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9c76fb860dcad5/Meus documentos/UFG/Artigos/Artigos em elaboracao/Artigo sobre fissuração no concreto/Análises e relatórios/"/>
    </mc:Choice>
  </mc:AlternateContent>
  <xr:revisionPtr revIDLastSave="3143" documentId="13_ncr:1_{B639399D-E732-4B65-8001-4F2E3544A816}" xr6:coauthVersionLast="47" xr6:coauthVersionMax="47" xr10:uidLastSave="{81C66233-BC50-44B9-AF0B-64679EDA1E8E}"/>
  <bookViews>
    <workbookView xWindow="-108" yWindow="-108" windowWidth="23256" windowHeight="12456" activeTab="3" xr2:uid="{35D8B8E8-5A12-4E97-9ED3-A2B3E9E7C29C}"/>
  </bookViews>
  <sheets>
    <sheet name="Dados gerais" sheetId="19" r:id="rId1"/>
    <sheet name="Sem outliers" sheetId="21" r:id="rId2"/>
    <sheet name="Machine learning" sheetId="20" r:id="rId3"/>
    <sheet name="Gráficos finais" sheetId="1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chart.v1.0" hidden="1">'Sem outliers'!$B$3:$B$293</definedName>
    <definedName name="_xlchart.v1.1" hidden="1">'Machine learning'!$B$2</definedName>
    <definedName name="_xlchart.v1.10" hidden="1">'Machine learning'!$B$3:$B$309</definedName>
    <definedName name="_xlchart.v1.11" hidden="1">'Machine learning'!$G$2</definedName>
    <definedName name="_xlchart.v1.12" hidden="1">'Machine learning'!$G$3:$G$309</definedName>
    <definedName name="_xlchart.v1.13" hidden="1">'Machine learning'!$B$2</definedName>
    <definedName name="_xlchart.v1.14" hidden="1">'Machine learning'!$B$3:$B$309</definedName>
    <definedName name="_xlchart.v1.15" hidden="1">'Machine learning'!$H$2</definedName>
    <definedName name="_xlchart.v1.16" hidden="1">'Machine learning'!$H$3:$H$309</definedName>
    <definedName name="_xlchart.v1.17" hidden="1">'Machine learning'!$B$2</definedName>
    <definedName name="_xlchart.v1.18" hidden="1">'Machine learning'!$B$3:$B$309</definedName>
    <definedName name="_xlchart.v1.19" hidden="1">'Machine learning'!$C$2</definedName>
    <definedName name="_xlchart.v1.2" hidden="1">'Machine learning'!$B$3:$B$309</definedName>
    <definedName name="_xlchart.v1.20" hidden="1">'Machine learning'!$C$3:$C$309</definedName>
    <definedName name="_xlchart.v1.21" hidden="1">'Machine learning'!$B$2</definedName>
    <definedName name="_xlchart.v1.22" hidden="1">'Machine learning'!$B$3:$B$309</definedName>
    <definedName name="_xlchart.v1.23" hidden="1">'Machine learning'!$D$2</definedName>
    <definedName name="_xlchart.v1.24" hidden="1">'Machine learning'!$D$3:$D$309</definedName>
    <definedName name="_xlchart.v1.25" hidden="1">'Machine learning'!$B$2</definedName>
    <definedName name="_xlchart.v1.26" hidden="1">'Machine learning'!$B$3:$B$309</definedName>
    <definedName name="_xlchart.v1.27" hidden="1">'Machine learning'!$B$2</definedName>
    <definedName name="_xlchart.v1.28" hidden="1">'Sem outliers'!$B$3:$B$293</definedName>
    <definedName name="_xlchart.v1.29" hidden="1">'Machine learning'!$B$2</definedName>
    <definedName name="_xlchart.v1.3" hidden="1">'Machine learning'!$E$2</definedName>
    <definedName name="_xlchart.v1.30" hidden="1">'Machine learning'!$B$3:$B$309</definedName>
    <definedName name="_xlchart.v1.31" hidden="1">'Machine learning'!$I$2</definedName>
    <definedName name="_xlchart.v1.32" hidden="1">'Machine learning'!$I$3:$I$309</definedName>
    <definedName name="_xlchart.v1.33" hidden="1">'Machine learning'!$G$2</definedName>
    <definedName name="_xlchart.v1.34" hidden="1">'Machine learning'!$I$2</definedName>
    <definedName name="_xlchart.v1.35" hidden="1">'Sem outliers'!$G$3:$G$293</definedName>
    <definedName name="_xlchart.v1.36" hidden="1">'Sem outliers'!$I$3:$I$293</definedName>
    <definedName name="_xlchart.v1.37" hidden="1">'Machine learning'!$E$2</definedName>
    <definedName name="_xlchart.v1.38" hidden="1">'Machine learning'!$F$2</definedName>
    <definedName name="_xlchart.v1.39" hidden="1">'Sem outliers'!$E$3:$E$293</definedName>
    <definedName name="_xlchart.v1.4" hidden="1">'Machine learning'!$E$3:$E$309</definedName>
    <definedName name="_xlchart.v1.40" hidden="1">'Sem outliers'!$F$3:$F$293</definedName>
    <definedName name="_xlchart.v1.41" hidden="1">'Machine learning'!$B$2</definedName>
    <definedName name="_xlchart.v1.42" hidden="1">'Machine learning'!$B$3:$B$309</definedName>
    <definedName name="_xlchart.v1.43" hidden="1">'Machine learning'!$F$2</definedName>
    <definedName name="_xlchart.v1.44" hidden="1">'Machine learning'!$F$3:$F$309</definedName>
    <definedName name="_xlchart.v1.45" hidden="1">'Gráficos finais'!$D$172</definedName>
    <definedName name="_xlchart.v1.46" hidden="1">'Machine learning'!$B$2</definedName>
    <definedName name="_xlchart.v1.47" hidden="1">'Machine learning'!$B$3:$B$309</definedName>
    <definedName name="_xlchart.v1.48" hidden="1">'Machine learning'!$G$2</definedName>
    <definedName name="_xlchart.v1.49" hidden="1">'Machine learning'!$H$2</definedName>
    <definedName name="_xlchart.v1.5" hidden="1">'Machine learning'!$D$2</definedName>
    <definedName name="_xlchart.v1.50" hidden="1">'Sem outliers'!$G$3:$G$293</definedName>
    <definedName name="_xlchart.v1.51" hidden="1">'Sem outliers'!$H$3:$H$293</definedName>
    <definedName name="_xlchart.v1.52" hidden="1">'Machine learning'!$B$2</definedName>
    <definedName name="_xlchart.v1.53" hidden="1">'Machine learning'!$C$2</definedName>
    <definedName name="_xlchart.v1.54" hidden="1">'Sem outliers'!$B$3:$B$293</definedName>
    <definedName name="_xlchart.v1.55" hidden="1">'Sem outliers'!$C$3:$C$293</definedName>
    <definedName name="_xlchart.v1.56" hidden="1">'Machine learning'!$F$2</definedName>
    <definedName name="_xlchart.v1.57" hidden="1">'Machine learning'!$G$2</definedName>
    <definedName name="_xlchart.v1.58" hidden="1">'Sem outliers'!$F$3:$F$293</definedName>
    <definedName name="_xlchart.v1.59" hidden="1">'Sem outliers'!$G$3:$G$293</definedName>
    <definedName name="_xlchart.v1.6" hidden="1">'Machine learning'!$E$2</definedName>
    <definedName name="_xlchart.v1.60" hidden="1">'Machine learning'!$C$2</definedName>
    <definedName name="_xlchart.v1.61" hidden="1">'Machine learning'!$D$2</definedName>
    <definedName name="_xlchart.v1.62" hidden="1">'Sem outliers'!$C$3:$C$293</definedName>
    <definedName name="_xlchart.v1.63" hidden="1">'Sem outliers'!$D$3:$D$293</definedName>
    <definedName name="_xlchart.v1.64" hidden="1">'Gráficos finais'!$Q$170</definedName>
    <definedName name="_xlchart.v1.65" hidden="1">'Machine learning'!$B$2</definedName>
    <definedName name="_xlchart.v1.66" hidden="1">'Machine learning'!$B$3:$B$309</definedName>
    <definedName name="_xlchart.v1.67" hidden="1">'Machine learning'!$B$2</definedName>
    <definedName name="_xlchart.v1.68" hidden="1">'Machine learning'!$B$3:$B$309</definedName>
    <definedName name="_xlchart.v1.7" hidden="1">'Sem outliers'!$D$3:$D$293</definedName>
    <definedName name="_xlchart.v1.8" hidden="1">'Sem outliers'!$E$3:$E$293</definedName>
    <definedName name="_xlchart.v1.9" hidden="1">'Machine learning'!$B$2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3" i="20" l="1"/>
  <c r="D313" i="20"/>
  <c r="E313" i="20"/>
  <c r="F313" i="20"/>
  <c r="G313" i="20"/>
  <c r="H313" i="20"/>
  <c r="I313" i="20"/>
  <c r="J313" i="20"/>
  <c r="C311" i="20"/>
  <c r="D311" i="20"/>
  <c r="E311" i="20"/>
  <c r="F311" i="20"/>
  <c r="G311" i="20"/>
  <c r="H311" i="20"/>
  <c r="I311" i="20"/>
  <c r="J311" i="20"/>
  <c r="B313" i="20"/>
  <c r="B311" i="20"/>
  <c r="V249" i="21" l="1" a="1"/>
  <c r="V249" i="21" s="1"/>
  <c r="U249" i="21" a="1"/>
  <c r="U249" i="21" s="1"/>
  <c r="T249" i="21" a="1"/>
  <c r="T249" i="21" s="1"/>
  <c r="K28" i="21" l="1"/>
  <c r="K29" i="21"/>
  <c r="K30" i="21"/>
  <c r="K31" i="21"/>
  <c r="K32" i="21"/>
  <c r="K38" i="21"/>
  <c r="K39" i="21"/>
  <c r="K59" i="21"/>
  <c r="K70" i="21"/>
  <c r="K73" i="21"/>
  <c r="K76" i="21"/>
  <c r="K125" i="21"/>
  <c r="K248" i="21" a="1"/>
  <c r="K248" i="21" s="1"/>
  <c r="B28" i="21"/>
  <c r="AZ28" i="21" s="1"/>
  <c r="C28" i="21"/>
  <c r="D28" i="21"/>
  <c r="E28" i="21"/>
  <c r="F28" i="21"/>
  <c r="G28" i="21"/>
  <c r="H28" i="21" s="1"/>
  <c r="I28" i="21"/>
  <c r="J28" i="21"/>
  <c r="Y28" i="21" s="1"/>
  <c r="Z28" i="21" s="1"/>
  <c r="N28" i="21"/>
  <c r="Q28" i="21"/>
  <c r="T28" i="21"/>
  <c r="U28" i="21"/>
  <c r="X28" i="21"/>
  <c r="AA28" i="21"/>
  <c r="AD28" i="21"/>
  <c r="AG28" i="21"/>
  <c r="AJ28" i="21"/>
  <c r="AM28" i="21" a="1"/>
  <c r="AM28" i="21" s="1"/>
  <c r="AP28" i="21" a="1"/>
  <c r="AP28" i="21" s="1"/>
  <c r="AS28" i="21" a="1"/>
  <c r="B29" i="21"/>
  <c r="C29" i="21"/>
  <c r="D29" i="21"/>
  <c r="E29" i="21"/>
  <c r="F29" i="21"/>
  <c r="AZ29" i="21" s="1"/>
  <c r="G29" i="21"/>
  <c r="H29" i="21" s="1"/>
  <c r="I29" i="21"/>
  <c r="J29" i="21"/>
  <c r="N29" i="21"/>
  <c r="Q29" i="21"/>
  <c r="T29" i="21"/>
  <c r="U29" i="21"/>
  <c r="V29" i="21"/>
  <c r="W29" i="21" s="1"/>
  <c r="X29" i="21"/>
  <c r="Y29" i="21" s="1"/>
  <c r="Z29" i="21" s="1"/>
  <c r="AA29" i="21"/>
  <c r="AD29" i="21"/>
  <c r="AG29" i="21"/>
  <c r="AJ29" i="21"/>
  <c r="B30" i="21"/>
  <c r="C30" i="21"/>
  <c r="D30" i="21"/>
  <c r="E30" i="21"/>
  <c r="F30" i="21"/>
  <c r="G30" i="21"/>
  <c r="H30" i="21" s="1"/>
  <c r="I30" i="21"/>
  <c r="J30" i="21"/>
  <c r="N30" i="21"/>
  <c r="Q30" i="21"/>
  <c r="T30" i="21"/>
  <c r="U30" i="21"/>
  <c r="V30" i="21"/>
  <c r="W30" i="21" s="1"/>
  <c r="X30" i="21"/>
  <c r="AA30" i="21"/>
  <c r="AD30" i="21"/>
  <c r="AE30" i="21" s="1"/>
  <c r="AF30" i="21" s="1"/>
  <c r="AG30" i="21"/>
  <c r="AJ30" i="21"/>
  <c r="B31" i="21"/>
  <c r="C31" i="21"/>
  <c r="D31" i="21"/>
  <c r="E31" i="21"/>
  <c r="F31" i="21"/>
  <c r="G31" i="21"/>
  <c r="H31" i="21" s="1"/>
  <c r="I31" i="21"/>
  <c r="J31" i="21"/>
  <c r="N31" i="21"/>
  <c r="Q31" i="21"/>
  <c r="T31" i="21"/>
  <c r="U31" i="21"/>
  <c r="X31" i="21"/>
  <c r="AA31" i="21"/>
  <c r="AD31" i="21"/>
  <c r="AG31" i="21"/>
  <c r="AJ31" i="21"/>
  <c r="B32" i="21"/>
  <c r="C32" i="21"/>
  <c r="D32" i="21"/>
  <c r="E32" i="21"/>
  <c r="F32" i="21"/>
  <c r="G32" i="21"/>
  <c r="H32" i="21" s="1"/>
  <c r="I32" i="21"/>
  <c r="J32" i="21"/>
  <c r="N32" i="21"/>
  <c r="Q32" i="21"/>
  <c r="T32" i="21"/>
  <c r="U32" i="21"/>
  <c r="X32" i="21"/>
  <c r="AA32" i="21"/>
  <c r="AD32" i="21"/>
  <c r="AG32" i="21"/>
  <c r="AJ32" i="21"/>
  <c r="G293" i="21"/>
  <c r="H293" i="21" s="1"/>
  <c r="F293" i="21"/>
  <c r="E293" i="21"/>
  <c r="D293" i="21"/>
  <c r="C293" i="21"/>
  <c r="B293" i="21"/>
  <c r="G292" i="21"/>
  <c r="H292" i="21" s="1"/>
  <c r="F292" i="21"/>
  <c r="E292" i="21"/>
  <c r="D292" i="21"/>
  <c r="C292" i="21"/>
  <c r="B292" i="21"/>
  <c r="G291" i="21"/>
  <c r="H291" i="21" s="1"/>
  <c r="F291" i="21"/>
  <c r="E291" i="21"/>
  <c r="D291" i="21"/>
  <c r="C291" i="21"/>
  <c r="B291" i="21"/>
  <c r="AS290" i="21" a="1"/>
  <c r="AS290" i="21" s="1"/>
  <c r="AP290" i="21" a="1"/>
  <c r="AM290" i="21" a="1"/>
  <c r="AJ290" i="21" a="1"/>
  <c r="AG290" i="21" a="1"/>
  <c r="AD290" i="21" a="1"/>
  <c r="AA290" i="21" a="1"/>
  <c r="X290" i="21" a="1"/>
  <c r="V290" i="21" a="1"/>
  <c r="W291" i="21" s="1"/>
  <c r="U290" i="21" a="1"/>
  <c r="U290" i="21" s="1"/>
  <c r="T290" i="21" a="1"/>
  <c r="T290" i="21" s="1"/>
  <c r="Q290" i="21" a="1"/>
  <c r="N290" i="21" a="1"/>
  <c r="K290" i="21" a="1"/>
  <c r="J290" i="21" a="1"/>
  <c r="I290" i="21" a="1"/>
  <c r="I290" i="21" s="1"/>
  <c r="G290" i="21"/>
  <c r="H290" i="21" s="1"/>
  <c r="F290" i="21"/>
  <c r="E290" i="21"/>
  <c r="D290" i="21"/>
  <c r="C290" i="21"/>
  <c r="B290" i="21"/>
  <c r="G289" i="21"/>
  <c r="H289" i="21" s="1"/>
  <c r="F289" i="21"/>
  <c r="E289" i="21"/>
  <c r="D289" i="21"/>
  <c r="C289" i="21"/>
  <c r="B289" i="21"/>
  <c r="G288" i="21"/>
  <c r="H288" i="21" s="1"/>
  <c r="F288" i="21"/>
  <c r="E288" i="21"/>
  <c r="D288" i="21"/>
  <c r="C288" i="21"/>
  <c r="B288" i="21"/>
  <c r="G287" i="21"/>
  <c r="H287" i="21" s="1"/>
  <c r="F287" i="21"/>
  <c r="E287" i="21"/>
  <c r="D287" i="21"/>
  <c r="C287" i="21"/>
  <c r="B287" i="21"/>
  <c r="G286" i="21"/>
  <c r="H286" i="21" s="1"/>
  <c r="F286" i="21"/>
  <c r="E286" i="21"/>
  <c r="D286" i="21"/>
  <c r="C286" i="21"/>
  <c r="B286" i="21"/>
  <c r="G285" i="21"/>
  <c r="H285" i="21" s="1"/>
  <c r="F285" i="21"/>
  <c r="E285" i="21"/>
  <c r="D285" i="21"/>
  <c r="C285" i="21"/>
  <c r="B285" i="21"/>
  <c r="AS284" i="21" a="1"/>
  <c r="AS284" i="21" s="1"/>
  <c r="AP284" i="21" a="1"/>
  <c r="AM284" i="21" a="1"/>
  <c r="AJ284" i="21" a="1"/>
  <c r="AG284" i="21" a="1"/>
  <c r="AG284" i="21" s="1"/>
  <c r="AD284" i="21" a="1"/>
  <c r="AA284" i="21" a="1"/>
  <c r="X284" i="21" a="1"/>
  <c r="V284" i="21" a="1"/>
  <c r="W289" i="21" s="1"/>
  <c r="U284" i="21" a="1"/>
  <c r="U284" i="21" s="1"/>
  <c r="T284" i="21" a="1"/>
  <c r="T284" i="21" s="1"/>
  <c r="Q284" i="21" a="1"/>
  <c r="N284" i="21" a="1"/>
  <c r="K284" i="21" a="1"/>
  <c r="J284" i="21" a="1"/>
  <c r="J284" i="21" s="1"/>
  <c r="I284" i="21" a="1"/>
  <c r="I284" i="21" s="1"/>
  <c r="G284" i="21"/>
  <c r="H284" i="21" s="1"/>
  <c r="F284" i="21"/>
  <c r="E284" i="21"/>
  <c r="D284" i="21"/>
  <c r="C284" i="21"/>
  <c r="B284" i="21"/>
  <c r="G283" i="21"/>
  <c r="H283" i="21" s="1"/>
  <c r="F283" i="21"/>
  <c r="E283" i="21"/>
  <c r="D283" i="21"/>
  <c r="C283" i="21"/>
  <c r="B283" i="21"/>
  <c r="AS282" i="21" a="1"/>
  <c r="AP282" i="21" a="1"/>
  <c r="AP282" i="21" s="1"/>
  <c r="AM282" i="21" a="1"/>
  <c r="AJ282" i="21" a="1"/>
  <c r="AG282" i="21" a="1"/>
  <c r="AD282" i="21" a="1"/>
  <c r="AD282" i="21" s="1"/>
  <c r="AA282" i="21" a="1"/>
  <c r="X282" i="21" a="1"/>
  <c r="X282" i="21" s="1"/>
  <c r="V282" i="21" a="1"/>
  <c r="V282" i="21" s="1"/>
  <c r="W282" i="21" s="1"/>
  <c r="U282" i="21" a="1"/>
  <c r="U282" i="21" s="1"/>
  <c r="T282" i="21" a="1"/>
  <c r="T282" i="21" s="1"/>
  <c r="Q282" i="21" a="1"/>
  <c r="N282" i="21" a="1"/>
  <c r="N282" i="21" s="1"/>
  <c r="K282" i="21" a="1"/>
  <c r="J282" i="21" a="1"/>
  <c r="J282" i="21" s="1"/>
  <c r="I282" i="21" a="1"/>
  <c r="I282" i="21" s="1"/>
  <c r="G282" i="21"/>
  <c r="H282" i="21" s="1"/>
  <c r="F282" i="21"/>
  <c r="E282" i="21"/>
  <c r="D282" i="21"/>
  <c r="C282" i="21"/>
  <c r="B282" i="21"/>
  <c r="G281" i="21"/>
  <c r="H281" i="21" s="1"/>
  <c r="F281" i="21"/>
  <c r="E281" i="21"/>
  <c r="D281" i="21"/>
  <c r="C281" i="21"/>
  <c r="B281" i="21"/>
  <c r="AS280" i="21" a="1"/>
  <c r="AS280" i="21" s="1"/>
  <c r="AP280" i="21" a="1"/>
  <c r="AP280" i="21" s="1"/>
  <c r="AM280" i="21" a="1"/>
  <c r="AJ280" i="21" a="1"/>
  <c r="AG280" i="21" a="1"/>
  <c r="AD280" i="21" a="1"/>
  <c r="AA280" i="21" a="1"/>
  <c r="AA280" i="21" s="1"/>
  <c r="X280" i="21" a="1"/>
  <c r="V280" i="21" a="1"/>
  <c r="W281" i="21" s="1"/>
  <c r="U280" i="21" a="1"/>
  <c r="U280" i="21" s="1"/>
  <c r="T280" i="21" a="1"/>
  <c r="T280" i="21" s="1"/>
  <c r="Q280" i="21" a="1"/>
  <c r="Q280" i="21" s="1"/>
  <c r="N280" i="21" a="1"/>
  <c r="K280" i="21" a="1"/>
  <c r="K280" i="21" s="1"/>
  <c r="J280" i="21" a="1"/>
  <c r="J280" i="21" s="1"/>
  <c r="I280" i="21" a="1"/>
  <c r="I280" i="21" s="1"/>
  <c r="G280" i="21"/>
  <c r="H280" i="21" s="1"/>
  <c r="F280" i="21"/>
  <c r="E280" i="21"/>
  <c r="D280" i="21"/>
  <c r="C280" i="21"/>
  <c r="B280" i="21"/>
  <c r="G279" i="21"/>
  <c r="H279" i="21" s="1"/>
  <c r="F279" i="21"/>
  <c r="E279" i="21"/>
  <c r="D279" i="21"/>
  <c r="C279" i="21"/>
  <c r="B279" i="21"/>
  <c r="G278" i="21"/>
  <c r="H278" i="21" s="1"/>
  <c r="F278" i="21"/>
  <c r="E278" i="21"/>
  <c r="D278" i="21"/>
  <c r="C278" i="21"/>
  <c r="B278" i="21"/>
  <c r="AS277" i="21" a="1"/>
  <c r="AS277" i="21" s="1"/>
  <c r="AP277" i="21" a="1"/>
  <c r="AP277" i="21" s="1"/>
  <c r="AM277" i="21" a="1"/>
  <c r="AM277" i="21" s="1"/>
  <c r="AJ277" i="21" a="1"/>
  <c r="AG277" i="21" a="1"/>
  <c r="AG277" i="21" s="1"/>
  <c r="AD277" i="21" a="1"/>
  <c r="AD277" i="21" s="1"/>
  <c r="AA277" i="21" a="1"/>
  <c r="AA277" i="21" s="1"/>
  <c r="X277" i="21" a="1"/>
  <c r="V277" i="21" a="1"/>
  <c r="V277" i="21" s="1"/>
  <c r="W277" i="21" s="1"/>
  <c r="U277" i="21" a="1"/>
  <c r="U277" i="21" s="1"/>
  <c r="T277" i="21" a="1"/>
  <c r="T277" i="21" s="1"/>
  <c r="Q277" i="21" a="1"/>
  <c r="N277" i="21" a="1"/>
  <c r="N277" i="21" s="1"/>
  <c r="K277" i="21" a="1"/>
  <c r="K277" i="21" s="1"/>
  <c r="J277" i="21" a="1"/>
  <c r="AB278" i="21" s="1"/>
  <c r="AC278" i="21" s="1"/>
  <c r="I277" i="21" a="1"/>
  <c r="I277" i="21" s="1"/>
  <c r="G277" i="21"/>
  <c r="H277" i="21" s="1"/>
  <c r="F277" i="21"/>
  <c r="E277" i="21"/>
  <c r="D277" i="21"/>
  <c r="C277" i="21"/>
  <c r="B277" i="21"/>
  <c r="G276" i="21"/>
  <c r="H276" i="21" s="1"/>
  <c r="F276" i="21"/>
  <c r="E276" i="21"/>
  <c r="D276" i="21"/>
  <c r="C276" i="21"/>
  <c r="B276" i="21"/>
  <c r="G275" i="21"/>
  <c r="H275" i="21" s="1"/>
  <c r="F275" i="21"/>
  <c r="E275" i="21"/>
  <c r="D275" i="21"/>
  <c r="C275" i="21"/>
  <c r="B275" i="21"/>
  <c r="G274" i="21"/>
  <c r="H274" i="21" s="1"/>
  <c r="F274" i="21"/>
  <c r="E274" i="21"/>
  <c r="D274" i="21"/>
  <c r="C274" i="21"/>
  <c r="B274" i="21"/>
  <c r="AS273" i="21" a="1"/>
  <c r="AP273" i="21" a="1"/>
  <c r="AM273" i="21" a="1"/>
  <c r="AJ273" i="21" a="1"/>
  <c r="AG273" i="21" a="1"/>
  <c r="AD273" i="21" a="1"/>
  <c r="AA273" i="21" a="1"/>
  <c r="X273" i="21" a="1"/>
  <c r="V273" i="21" a="1"/>
  <c r="W276" i="21" s="1"/>
  <c r="U273" i="21" a="1"/>
  <c r="U273" i="21" s="1"/>
  <c r="T273" i="21" a="1"/>
  <c r="T273" i="21" s="1"/>
  <c r="Q273" i="21" a="1"/>
  <c r="N273" i="21" a="1"/>
  <c r="K273" i="21" a="1"/>
  <c r="K273" i="21" s="1"/>
  <c r="J273" i="21" a="1"/>
  <c r="I273" i="21" a="1"/>
  <c r="I273" i="21" s="1"/>
  <c r="G273" i="21"/>
  <c r="H273" i="21" s="1"/>
  <c r="F273" i="21"/>
  <c r="E273" i="21"/>
  <c r="D273" i="21"/>
  <c r="C273" i="21"/>
  <c r="B273" i="21"/>
  <c r="G272" i="21"/>
  <c r="H272" i="21" s="1"/>
  <c r="F272" i="21"/>
  <c r="E272" i="21"/>
  <c r="D272" i="21"/>
  <c r="C272" i="21"/>
  <c r="B272" i="21"/>
  <c r="AS271" i="21" a="1"/>
  <c r="AS271" i="21" s="1"/>
  <c r="AP271" i="21" a="1"/>
  <c r="AP271" i="21" s="1"/>
  <c r="AM271" i="21" a="1"/>
  <c r="AJ271" i="21" a="1"/>
  <c r="AG271" i="21" a="1"/>
  <c r="AD271" i="21" a="1"/>
  <c r="AD271" i="21" s="1"/>
  <c r="AA271" i="21" a="1"/>
  <c r="X271" i="21" a="1"/>
  <c r="V271" i="21" a="1"/>
  <c r="W272" i="21" s="1"/>
  <c r="U271" i="21" a="1"/>
  <c r="U271" i="21" s="1"/>
  <c r="T271" i="21" a="1"/>
  <c r="T271" i="21" s="1"/>
  <c r="Q271" i="21" a="1"/>
  <c r="Q271" i="21" s="1"/>
  <c r="N271" i="21" a="1"/>
  <c r="K271" i="21" a="1"/>
  <c r="J271" i="21" a="1"/>
  <c r="I271" i="21" a="1"/>
  <c r="I271" i="21" s="1"/>
  <c r="G271" i="21"/>
  <c r="H271" i="21" s="1"/>
  <c r="F271" i="21"/>
  <c r="E271" i="21"/>
  <c r="D271" i="21"/>
  <c r="C271" i="21"/>
  <c r="B271" i="21"/>
  <c r="G270" i="21"/>
  <c r="H270" i="21" s="1"/>
  <c r="F270" i="21"/>
  <c r="E270" i="21"/>
  <c r="D270" i="21"/>
  <c r="C270" i="21"/>
  <c r="B270" i="21"/>
  <c r="G269" i="21"/>
  <c r="H269" i="21" s="1"/>
  <c r="F269" i="21"/>
  <c r="E269" i="21"/>
  <c r="D269" i="21"/>
  <c r="C269" i="21"/>
  <c r="B269" i="21"/>
  <c r="AS268" i="21" a="1"/>
  <c r="AP268" i="21" a="1"/>
  <c r="AM268" i="21" a="1"/>
  <c r="AJ268" i="21" a="1"/>
  <c r="AG268" i="21" a="1"/>
  <c r="AD268" i="21" a="1"/>
  <c r="AA268" i="21" a="1"/>
  <c r="X268" i="21" a="1"/>
  <c r="V268" i="21" a="1"/>
  <c r="V268" i="21" s="1"/>
  <c r="W268" i="21" s="1"/>
  <c r="U268" i="21" a="1"/>
  <c r="U268" i="21" s="1"/>
  <c r="T268" i="21" a="1"/>
  <c r="T268" i="21" s="1"/>
  <c r="Q268" i="21" a="1"/>
  <c r="N268" i="21" a="1"/>
  <c r="K268" i="21" a="1"/>
  <c r="J268" i="21" a="1"/>
  <c r="I268" i="21" a="1"/>
  <c r="I268" i="21" s="1"/>
  <c r="G268" i="21"/>
  <c r="H268" i="21" s="1"/>
  <c r="F268" i="21"/>
  <c r="E268" i="21"/>
  <c r="D268" i="21"/>
  <c r="C268" i="21"/>
  <c r="B268" i="21"/>
  <c r="G267" i="21"/>
  <c r="H267" i="21" s="1"/>
  <c r="F267" i="21"/>
  <c r="E267" i="21"/>
  <c r="D267" i="21"/>
  <c r="C267" i="21"/>
  <c r="B267" i="21"/>
  <c r="AS266" i="21" a="1"/>
  <c r="AP266" i="21" a="1"/>
  <c r="AP266" i="21" s="1"/>
  <c r="AM266" i="21" a="1"/>
  <c r="AM266" i="21" s="1"/>
  <c r="AJ266" i="21" a="1"/>
  <c r="AG266" i="21" a="1"/>
  <c r="AD266" i="21" a="1"/>
  <c r="AA266" i="21" a="1"/>
  <c r="AA266" i="21" s="1"/>
  <c r="X266" i="21" a="1"/>
  <c r="V266" i="21" a="1"/>
  <c r="W267" i="21" s="1"/>
  <c r="U266" i="21" a="1"/>
  <c r="U266" i="21" s="1"/>
  <c r="T266" i="21" a="1"/>
  <c r="T266" i="21" s="1"/>
  <c r="Q266" i="21" a="1"/>
  <c r="N266" i="21" a="1"/>
  <c r="K266" i="21" a="1"/>
  <c r="J266" i="21" a="1"/>
  <c r="J266" i="21" s="1"/>
  <c r="I266" i="21" a="1"/>
  <c r="I266" i="21" s="1"/>
  <c r="G266" i="21"/>
  <c r="H266" i="21" s="1"/>
  <c r="F266" i="21"/>
  <c r="E266" i="21"/>
  <c r="D266" i="21"/>
  <c r="C266" i="21"/>
  <c r="B266" i="21"/>
  <c r="G265" i="21"/>
  <c r="H265" i="21" s="1"/>
  <c r="F265" i="21"/>
  <c r="E265" i="21"/>
  <c r="D265" i="21"/>
  <c r="C265" i="21"/>
  <c r="B265" i="21"/>
  <c r="AS264" i="21" a="1"/>
  <c r="AP264" i="21" a="1"/>
  <c r="AP264" i="21" s="1"/>
  <c r="AM264" i="21" a="1"/>
  <c r="AM264" i="21" s="1"/>
  <c r="AJ264" i="21" a="1"/>
  <c r="AG264" i="21" a="1"/>
  <c r="AG264" i="21" s="1"/>
  <c r="AD264" i="21" a="1"/>
  <c r="AD264" i="21" s="1"/>
  <c r="AA264" i="21" a="1"/>
  <c r="X264" i="21" a="1"/>
  <c r="V264" i="21" a="1"/>
  <c r="U264" i="21" a="1"/>
  <c r="U264" i="21" s="1"/>
  <c r="T264" i="21" a="1"/>
  <c r="T264" i="21" s="1"/>
  <c r="Q264" i="21" a="1"/>
  <c r="N264" i="21" a="1"/>
  <c r="N264" i="21" s="1"/>
  <c r="K264" i="21" a="1"/>
  <c r="J264" i="21" a="1"/>
  <c r="J264" i="21" s="1"/>
  <c r="I264" i="21" a="1"/>
  <c r="I264" i="21" s="1"/>
  <c r="G264" i="21"/>
  <c r="H264" i="21" s="1"/>
  <c r="F264" i="21"/>
  <c r="E264" i="21"/>
  <c r="D264" i="21"/>
  <c r="C264" i="21"/>
  <c r="B264" i="21"/>
  <c r="G263" i="21"/>
  <c r="H263" i="21" s="1"/>
  <c r="F263" i="21"/>
  <c r="E263" i="21"/>
  <c r="D263" i="21"/>
  <c r="C263" i="21"/>
  <c r="B263" i="21"/>
  <c r="AS262" i="21" a="1"/>
  <c r="AS262" i="21" s="1"/>
  <c r="AP262" i="21" a="1"/>
  <c r="AM262" i="21" a="1"/>
  <c r="AM262" i="21" s="1"/>
  <c r="AJ262" i="21" a="1"/>
  <c r="AG262" i="21" a="1"/>
  <c r="AG262" i="21" s="1"/>
  <c r="AD262" i="21" a="1"/>
  <c r="AA262" i="21" a="1"/>
  <c r="AA262" i="21" s="1"/>
  <c r="X262" i="21" a="1"/>
  <c r="V262" i="21" a="1"/>
  <c r="W263" i="21" s="1"/>
  <c r="U262" i="21" a="1"/>
  <c r="U262" i="21" s="1"/>
  <c r="T262" i="21" a="1"/>
  <c r="T262" i="21" s="1"/>
  <c r="Q262" i="21" a="1"/>
  <c r="Q262" i="21" s="1"/>
  <c r="N262" i="21" a="1"/>
  <c r="N262" i="21" s="1"/>
  <c r="K262" i="21" a="1"/>
  <c r="K262" i="21" s="1"/>
  <c r="J262" i="21" a="1"/>
  <c r="J262" i="21" s="1"/>
  <c r="I262" i="21" a="1"/>
  <c r="I262" i="21" s="1"/>
  <c r="G262" i="21"/>
  <c r="H262" i="21" s="1"/>
  <c r="F262" i="21"/>
  <c r="E262" i="21"/>
  <c r="D262" i="21"/>
  <c r="C262" i="21"/>
  <c r="B262" i="21"/>
  <c r="G261" i="21"/>
  <c r="H261" i="21" s="1"/>
  <c r="F261" i="21"/>
  <c r="E261" i="21"/>
  <c r="D261" i="21"/>
  <c r="C261" i="21"/>
  <c r="B261" i="21"/>
  <c r="AS260" i="21" a="1"/>
  <c r="AP260" i="21" a="1"/>
  <c r="AM260" i="21" a="1"/>
  <c r="AM260" i="21" s="1"/>
  <c r="AJ260" i="21" a="1"/>
  <c r="AG260" i="21" a="1"/>
  <c r="AD260" i="21" a="1"/>
  <c r="AA260" i="21" a="1"/>
  <c r="AA260" i="21" s="1"/>
  <c r="X260" i="21" a="1"/>
  <c r="V260" i="21" a="1"/>
  <c r="U260" i="21" a="1"/>
  <c r="U260" i="21" s="1"/>
  <c r="T260" i="21" a="1"/>
  <c r="T260" i="21" s="1"/>
  <c r="Q260" i="21" a="1"/>
  <c r="N260" i="21" a="1"/>
  <c r="K260" i="21" a="1"/>
  <c r="K260" i="21" s="1"/>
  <c r="J260" i="21" a="1"/>
  <c r="J260" i="21" s="1"/>
  <c r="I260" i="21" a="1"/>
  <c r="I260" i="21" s="1"/>
  <c r="G260" i="21"/>
  <c r="H260" i="21" s="1"/>
  <c r="F260" i="21"/>
  <c r="E260" i="21"/>
  <c r="D260" i="21"/>
  <c r="C260" i="21"/>
  <c r="B260" i="21"/>
  <c r="G259" i="21"/>
  <c r="H259" i="21" s="1"/>
  <c r="F259" i="21"/>
  <c r="E259" i="21"/>
  <c r="D259" i="21"/>
  <c r="C259" i="21"/>
  <c r="B259" i="21"/>
  <c r="AS258" i="21" a="1"/>
  <c r="AS258" i="21" s="1"/>
  <c r="AP258" i="21" a="1"/>
  <c r="AP258" i="21" s="1"/>
  <c r="AM258" i="21" a="1"/>
  <c r="AM258" i="21" s="1"/>
  <c r="AJ258" i="21" a="1"/>
  <c r="AG258" i="21" a="1"/>
  <c r="AG258" i="21" s="1"/>
  <c r="AD258" i="21" a="1"/>
  <c r="AD258" i="21" s="1"/>
  <c r="AA258" i="21" a="1"/>
  <c r="AA258" i="21" s="1"/>
  <c r="X258" i="21" a="1"/>
  <c r="V258" i="21" a="1"/>
  <c r="W259" i="21" s="1"/>
  <c r="U258" i="21" a="1"/>
  <c r="U258" i="21" s="1"/>
  <c r="T258" i="21" a="1"/>
  <c r="T258" i="21" s="1"/>
  <c r="Q258" i="21" a="1"/>
  <c r="Q258" i="21" s="1"/>
  <c r="N258" i="21" a="1"/>
  <c r="N258" i="21" s="1"/>
  <c r="K258" i="21" a="1"/>
  <c r="J258" i="21" a="1"/>
  <c r="I258" i="21" a="1"/>
  <c r="I258" i="21" s="1"/>
  <c r="G258" i="21"/>
  <c r="H258" i="21" s="1"/>
  <c r="F258" i="21"/>
  <c r="E258" i="21"/>
  <c r="D258" i="21"/>
  <c r="C258" i="21"/>
  <c r="B258" i="21"/>
  <c r="G257" i="21"/>
  <c r="H257" i="21" s="1"/>
  <c r="F257" i="21"/>
  <c r="E257" i="21"/>
  <c r="D257" i="21"/>
  <c r="C257" i="21"/>
  <c r="B257" i="21"/>
  <c r="AS256" i="21" a="1"/>
  <c r="AP256" i="21" a="1"/>
  <c r="AP256" i="21" s="1"/>
  <c r="AM256" i="21" a="1"/>
  <c r="AJ256" i="21" a="1"/>
  <c r="AG256" i="21" a="1"/>
  <c r="AD256" i="21" a="1"/>
  <c r="AD256" i="21" s="1"/>
  <c r="AA256" i="21" a="1"/>
  <c r="X256" i="21" a="1"/>
  <c r="V256" i="21" a="1"/>
  <c r="U256" i="21" a="1"/>
  <c r="U256" i="21" s="1"/>
  <c r="T256" i="21" a="1"/>
  <c r="T256" i="21" s="1"/>
  <c r="Q256" i="21" a="1"/>
  <c r="N256" i="21" a="1"/>
  <c r="N256" i="21" s="1"/>
  <c r="K256" i="21" a="1"/>
  <c r="J256" i="21" a="1"/>
  <c r="J256" i="21" s="1"/>
  <c r="I256" i="21" a="1"/>
  <c r="I256" i="21" s="1"/>
  <c r="G256" i="21"/>
  <c r="H256" i="21" s="1"/>
  <c r="F256" i="21"/>
  <c r="E256" i="21"/>
  <c r="D256" i="21"/>
  <c r="C256" i="21"/>
  <c r="B256" i="21"/>
  <c r="G255" i="21"/>
  <c r="H255" i="21" s="1"/>
  <c r="F255" i="21"/>
  <c r="E255" i="21"/>
  <c r="D255" i="21"/>
  <c r="C255" i="21"/>
  <c r="B255" i="21"/>
  <c r="G254" i="21"/>
  <c r="H254" i="21" s="1"/>
  <c r="F254" i="21"/>
  <c r="E254" i="21"/>
  <c r="D254" i="21"/>
  <c r="C254" i="21"/>
  <c r="B254" i="21"/>
  <c r="G253" i="21"/>
  <c r="H253" i="21" s="1"/>
  <c r="F253" i="21"/>
  <c r="E253" i="21"/>
  <c r="D253" i="21"/>
  <c r="C253" i="21"/>
  <c r="B253" i="21"/>
  <c r="G252" i="21"/>
  <c r="H252" i="21" s="1"/>
  <c r="F252" i="21"/>
  <c r="E252" i="21"/>
  <c r="D252" i="21"/>
  <c r="C252" i="21"/>
  <c r="B252" i="21"/>
  <c r="G251" i="21"/>
  <c r="H251" i="21" s="1"/>
  <c r="F251" i="21"/>
  <c r="E251" i="21"/>
  <c r="D251" i="21"/>
  <c r="C251" i="21"/>
  <c r="B251" i="21"/>
  <c r="G250" i="21"/>
  <c r="H250" i="21" s="1"/>
  <c r="F250" i="21"/>
  <c r="E250" i="21"/>
  <c r="D250" i="21"/>
  <c r="C250" i="21"/>
  <c r="B250" i="21"/>
  <c r="G249" i="21"/>
  <c r="H249" i="21" s="1"/>
  <c r="F249" i="21"/>
  <c r="E249" i="21"/>
  <c r="D249" i="21"/>
  <c r="C249" i="21"/>
  <c r="B249" i="21"/>
  <c r="AS248" i="21" a="1"/>
  <c r="AP248" i="21" a="1"/>
  <c r="AP248" i="21" s="1"/>
  <c r="AM248" i="21" a="1"/>
  <c r="AJ248" i="21" a="1"/>
  <c r="AG248" i="21" a="1"/>
  <c r="AD248" i="21" a="1"/>
  <c r="AA248" i="21" a="1"/>
  <c r="X248" i="21" a="1"/>
  <c r="Q248" i="21" a="1"/>
  <c r="Q248" i="21" s="1"/>
  <c r="N248" i="21" a="1"/>
  <c r="J248" i="21" a="1"/>
  <c r="J248" i="21" s="1"/>
  <c r="I248" i="21" a="1"/>
  <c r="I248" i="21" s="1"/>
  <c r="G248" i="21"/>
  <c r="H248" i="21" s="1"/>
  <c r="F248" i="21"/>
  <c r="E248" i="21"/>
  <c r="D248" i="21"/>
  <c r="C248" i="21"/>
  <c r="B248" i="21"/>
  <c r="G247" i="21"/>
  <c r="H247" i="21" s="1"/>
  <c r="F247" i="21"/>
  <c r="E247" i="21"/>
  <c r="D247" i="21"/>
  <c r="C247" i="21"/>
  <c r="B247" i="21"/>
  <c r="G246" i="21"/>
  <c r="H246" i="21" s="1"/>
  <c r="F246" i="21"/>
  <c r="E246" i="21"/>
  <c r="D246" i="21"/>
  <c r="C246" i="21"/>
  <c r="B246" i="21"/>
  <c r="G245" i="21"/>
  <c r="H245" i="21" s="1"/>
  <c r="F245" i="21"/>
  <c r="E245" i="21"/>
  <c r="D245" i="21"/>
  <c r="C245" i="21"/>
  <c r="B245" i="21"/>
  <c r="G244" i="21"/>
  <c r="H244" i="21" s="1"/>
  <c r="F244" i="21"/>
  <c r="E244" i="21"/>
  <c r="D244" i="21"/>
  <c r="C244" i="21"/>
  <c r="B244" i="21"/>
  <c r="G243" i="21"/>
  <c r="H243" i="21" s="1"/>
  <c r="F243" i="21"/>
  <c r="E243" i="21"/>
  <c r="D243" i="21"/>
  <c r="C243" i="21"/>
  <c r="B243" i="21"/>
  <c r="G242" i="21"/>
  <c r="H242" i="21" s="1"/>
  <c r="F242" i="21"/>
  <c r="E242" i="21"/>
  <c r="D242" i="21"/>
  <c r="C242" i="21"/>
  <c r="B242" i="21"/>
  <c r="AS241" i="21" a="1"/>
  <c r="AS241" i="21" s="1"/>
  <c r="AP241" i="21" a="1"/>
  <c r="AM241" i="21" a="1"/>
  <c r="AJ241" i="21" a="1"/>
  <c r="AG241" i="21" a="1"/>
  <c r="AD241" i="21" a="1"/>
  <c r="AA241" i="21" a="1"/>
  <c r="X241" i="21" a="1"/>
  <c r="V241" i="21" a="1"/>
  <c r="U241" i="21" a="1"/>
  <c r="U241" i="21" s="1"/>
  <c r="T241" i="21" a="1"/>
  <c r="T241" i="21" s="1"/>
  <c r="Q241" i="21" a="1"/>
  <c r="Q241" i="21" s="1"/>
  <c r="N241" i="21" a="1"/>
  <c r="K241" i="21" a="1"/>
  <c r="J241" i="21" a="1"/>
  <c r="I241" i="21" a="1"/>
  <c r="I241" i="21" s="1"/>
  <c r="G241" i="21"/>
  <c r="H241" i="21" s="1"/>
  <c r="F241" i="21"/>
  <c r="E241" i="21"/>
  <c r="D241" i="21"/>
  <c r="C241" i="21"/>
  <c r="B241" i="21"/>
  <c r="G240" i="21"/>
  <c r="H240" i="21" s="1"/>
  <c r="F240" i="21"/>
  <c r="E240" i="21"/>
  <c r="D240" i="21"/>
  <c r="C240" i="21"/>
  <c r="B240" i="21"/>
  <c r="G239" i="21"/>
  <c r="H239" i="21" s="1"/>
  <c r="F239" i="21"/>
  <c r="E239" i="21"/>
  <c r="D239" i="21"/>
  <c r="C239" i="21"/>
  <c r="B239" i="21"/>
  <c r="G238" i="21"/>
  <c r="H238" i="21" s="1"/>
  <c r="F238" i="21"/>
  <c r="E238" i="21"/>
  <c r="D238" i="21"/>
  <c r="C238" i="21"/>
  <c r="B238" i="21"/>
  <c r="G237" i="21"/>
  <c r="H237" i="21" s="1"/>
  <c r="F237" i="21"/>
  <c r="E237" i="21"/>
  <c r="D237" i="21"/>
  <c r="C237" i="21"/>
  <c r="B237" i="21"/>
  <c r="G236" i="21"/>
  <c r="H236" i="21" s="1"/>
  <c r="F236" i="21"/>
  <c r="E236" i="21"/>
  <c r="D236" i="21"/>
  <c r="C236" i="21"/>
  <c r="B236" i="21"/>
  <c r="G235" i="21"/>
  <c r="H235" i="21" s="1"/>
  <c r="F235" i="21"/>
  <c r="E235" i="21"/>
  <c r="D235" i="21"/>
  <c r="C235" i="21"/>
  <c r="B235" i="21"/>
  <c r="G234" i="21"/>
  <c r="H234" i="21" s="1"/>
  <c r="F234" i="21"/>
  <c r="E234" i="21"/>
  <c r="D234" i="21"/>
  <c r="C234" i="21"/>
  <c r="B234" i="21"/>
  <c r="AS233" i="21" a="1"/>
  <c r="AP233" i="21" a="1"/>
  <c r="AM233" i="21" a="1"/>
  <c r="AJ233" i="21" a="1"/>
  <c r="AG233" i="21" a="1"/>
  <c r="AD233" i="21" a="1"/>
  <c r="AA233" i="21" a="1"/>
  <c r="X233" i="21" a="1"/>
  <c r="V233" i="21" a="1"/>
  <c r="U233" i="21" a="1"/>
  <c r="U233" i="21" s="1"/>
  <c r="T233" i="21" a="1"/>
  <c r="T233" i="21" s="1"/>
  <c r="Q233" i="21" a="1"/>
  <c r="N233" i="21" a="1"/>
  <c r="K233" i="21" a="1"/>
  <c r="J233" i="21" a="1"/>
  <c r="J233" i="21" s="1"/>
  <c r="I233" i="21" a="1"/>
  <c r="I233" i="21" s="1"/>
  <c r="G233" i="21"/>
  <c r="H233" i="21" s="1"/>
  <c r="F233" i="21"/>
  <c r="E233" i="21"/>
  <c r="D233" i="21"/>
  <c r="C233" i="21"/>
  <c r="B233" i="21"/>
  <c r="G232" i="21"/>
  <c r="H232" i="21" s="1"/>
  <c r="F232" i="21"/>
  <c r="E232" i="21"/>
  <c r="D232" i="21"/>
  <c r="C232" i="21"/>
  <c r="B232" i="21"/>
  <c r="G231" i="21"/>
  <c r="H231" i="21" s="1"/>
  <c r="F231" i="21"/>
  <c r="E231" i="21"/>
  <c r="D231" i="21"/>
  <c r="C231" i="21"/>
  <c r="B231" i="21"/>
  <c r="AS230" i="21" a="1"/>
  <c r="AS230" i="21" s="1"/>
  <c r="AP230" i="21" a="1"/>
  <c r="AM230" i="21" a="1"/>
  <c r="AJ230" i="21" a="1"/>
  <c r="AJ230" i="21" s="1"/>
  <c r="AG230" i="21" a="1"/>
  <c r="AG230" i="21" s="1"/>
  <c r="AD230" i="21" a="1"/>
  <c r="AA230" i="21" a="1"/>
  <c r="X230" i="21" a="1"/>
  <c r="X230" i="21" s="1"/>
  <c r="V230" i="21" a="1"/>
  <c r="U230" i="21" a="1"/>
  <c r="U230" i="21" s="1"/>
  <c r="T230" i="21" a="1"/>
  <c r="T230" i="21" s="1"/>
  <c r="Q230" i="21" a="1"/>
  <c r="Q230" i="21" s="1"/>
  <c r="N230" i="21" a="1"/>
  <c r="K230" i="21" a="1"/>
  <c r="J230" i="21" a="1"/>
  <c r="J230" i="21" s="1"/>
  <c r="I230" i="21" a="1"/>
  <c r="I230" i="21" s="1"/>
  <c r="G230" i="21"/>
  <c r="H230" i="21" s="1"/>
  <c r="F230" i="21"/>
  <c r="E230" i="21"/>
  <c r="D230" i="21"/>
  <c r="C230" i="21"/>
  <c r="B230" i="21"/>
  <c r="G229" i="21"/>
  <c r="H229" i="21" s="1"/>
  <c r="F229" i="21"/>
  <c r="E229" i="21"/>
  <c r="D229" i="21"/>
  <c r="C229" i="21"/>
  <c r="B229" i="21"/>
  <c r="G228" i="21"/>
  <c r="H228" i="21" s="1"/>
  <c r="F228" i="21"/>
  <c r="E228" i="21"/>
  <c r="D228" i="21"/>
  <c r="C228" i="21"/>
  <c r="B228" i="21"/>
  <c r="G227" i="21"/>
  <c r="H227" i="21" s="1"/>
  <c r="F227" i="21"/>
  <c r="E227" i="21"/>
  <c r="D227" i="21"/>
  <c r="C227" i="21"/>
  <c r="B227" i="21"/>
  <c r="G226" i="21"/>
  <c r="H226" i="21" s="1"/>
  <c r="F226" i="21"/>
  <c r="E226" i="21"/>
  <c r="D226" i="21"/>
  <c r="C226" i="21"/>
  <c r="B226" i="21"/>
  <c r="G225" i="21"/>
  <c r="H225" i="21" s="1"/>
  <c r="F225" i="21"/>
  <c r="E225" i="21"/>
  <c r="D225" i="21"/>
  <c r="C225" i="21"/>
  <c r="B225" i="21"/>
  <c r="G224" i="21"/>
  <c r="H224" i="21" s="1"/>
  <c r="F224" i="21"/>
  <c r="E224" i="21"/>
  <c r="D224" i="21"/>
  <c r="C224" i="21"/>
  <c r="B224" i="21"/>
  <c r="G223" i="21"/>
  <c r="H223" i="21" s="1"/>
  <c r="F223" i="21"/>
  <c r="E223" i="21"/>
  <c r="D223" i="21"/>
  <c r="C223" i="21"/>
  <c r="B223" i="21"/>
  <c r="AS222" i="21" a="1"/>
  <c r="AP222" i="21" a="1"/>
  <c r="AM222" i="21" a="1"/>
  <c r="AJ222" i="21" a="1"/>
  <c r="AG222" i="21" a="1"/>
  <c r="AD222" i="21" a="1"/>
  <c r="AA222" i="21" a="1"/>
  <c r="X222" i="21" a="1"/>
  <c r="V222" i="21" a="1"/>
  <c r="U222" i="21" a="1"/>
  <c r="U222" i="21" s="1"/>
  <c r="T222" i="21" a="1"/>
  <c r="T222" i="21" s="1"/>
  <c r="Q222" i="21" a="1"/>
  <c r="N222" i="21" a="1"/>
  <c r="K222" i="21" a="1"/>
  <c r="J222" i="21" a="1"/>
  <c r="J222" i="21" s="1"/>
  <c r="I222" i="21" a="1"/>
  <c r="I222" i="21" s="1"/>
  <c r="G222" i="21"/>
  <c r="H222" i="21" s="1"/>
  <c r="F222" i="21"/>
  <c r="E222" i="21"/>
  <c r="D222" i="21"/>
  <c r="C222" i="21"/>
  <c r="B222" i="21"/>
  <c r="G221" i="21"/>
  <c r="H221" i="21" s="1"/>
  <c r="F221" i="21"/>
  <c r="E221" i="21"/>
  <c r="D221" i="21"/>
  <c r="C221" i="21"/>
  <c r="B221" i="21"/>
  <c r="G220" i="21"/>
  <c r="H220" i="21" s="1"/>
  <c r="F220" i="21"/>
  <c r="E220" i="21"/>
  <c r="D220" i="21"/>
  <c r="C220" i="21"/>
  <c r="B220" i="21"/>
  <c r="G219" i="21"/>
  <c r="H219" i="21" s="1"/>
  <c r="F219" i="21"/>
  <c r="E219" i="21"/>
  <c r="D219" i="21"/>
  <c r="C219" i="21"/>
  <c r="B219" i="21"/>
  <c r="G218" i="21"/>
  <c r="H218" i="21" s="1"/>
  <c r="F218" i="21"/>
  <c r="E218" i="21"/>
  <c r="D218" i="21"/>
  <c r="C218" i="21"/>
  <c r="B218" i="21"/>
  <c r="G217" i="21"/>
  <c r="H217" i="21" s="1"/>
  <c r="F217" i="21"/>
  <c r="E217" i="21"/>
  <c r="D217" i="21"/>
  <c r="C217" i="21"/>
  <c r="B217" i="21"/>
  <c r="AS216" i="21" a="1"/>
  <c r="AP216" i="21" a="1"/>
  <c r="AP216" i="21" s="1"/>
  <c r="AM216" i="21" a="1"/>
  <c r="AJ216" i="21" a="1"/>
  <c r="AG216" i="21" a="1"/>
  <c r="AD216" i="21" a="1"/>
  <c r="AA216" i="21" a="1"/>
  <c r="X216" i="21" a="1"/>
  <c r="V216" i="21" a="1"/>
  <c r="W219" i="21" s="1"/>
  <c r="U216" i="21" a="1"/>
  <c r="U216" i="21" s="1"/>
  <c r="T216" i="21" a="1"/>
  <c r="T216" i="21" s="1"/>
  <c r="Q216" i="21" a="1"/>
  <c r="N216" i="21" a="1"/>
  <c r="N216" i="21" s="1"/>
  <c r="K216" i="21" a="1"/>
  <c r="J216" i="21" a="1"/>
  <c r="I216" i="21" a="1"/>
  <c r="I216" i="21" s="1"/>
  <c r="G216" i="21"/>
  <c r="H216" i="21" s="1"/>
  <c r="F216" i="21"/>
  <c r="E216" i="21"/>
  <c r="D216" i="21"/>
  <c r="C216" i="21"/>
  <c r="B216" i="21"/>
  <c r="G215" i="21"/>
  <c r="H215" i="21" s="1"/>
  <c r="F215" i="21"/>
  <c r="E215" i="21"/>
  <c r="D215" i="21"/>
  <c r="C215" i="21"/>
  <c r="B215" i="21"/>
  <c r="G214" i="21"/>
  <c r="H214" i="21" s="1"/>
  <c r="F214" i="21"/>
  <c r="E214" i="21"/>
  <c r="D214" i="21"/>
  <c r="C214" i="21"/>
  <c r="B214" i="21"/>
  <c r="G213" i="21"/>
  <c r="H213" i="21" s="1"/>
  <c r="F213" i="21"/>
  <c r="E213" i="21"/>
  <c r="D213" i="21"/>
  <c r="C213" i="21"/>
  <c r="B213" i="21"/>
  <c r="G212" i="21"/>
  <c r="H212" i="21" s="1"/>
  <c r="F212" i="21"/>
  <c r="E212" i="21"/>
  <c r="D212" i="21"/>
  <c r="C212" i="21"/>
  <c r="B212" i="21"/>
  <c r="G211" i="21"/>
  <c r="H211" i="21" s="1"/>
  <c r="F211" i="21"/>
  <c r="E211" i="21"/>
  <c r="D211" i="21"/>
  <c r="C211" i="21"/>
  <c r="B211" i="21"/>
  <c r="AS210" i="21" a="1"/>
  <c r="AP210" i="21" a="1"/>
  <c r="AP210" i="21" s="1"/>
  <c r="AM210" i="21" a="1"/>
  <c r="AJ210" i="21" a="1"/>
  <c r="AG210" i="21" a="1"/>
  <c r="AD210" i="21" a="1"/>
  <c r="AD210" i="21" s="1"/>
  <c r="AA210" i="21" a="1"/>
  <c r="X210" i="21" a="1"/>
  <c r="X210" i="21" s="1"/>
  <c r="V210" i="21" a="1"/>
  <c r="W215" i="21" s="1"/>
  <c r="U210" i="21" a="1"/>
  <c r="U210" i="21" s="1"/>
  <c r="T210" i="21" a="1"/>
  <c r="T210" i="21" s="1"/>
  <c r="Q210" i="21" a="1"/>
  <c r="N210" i="21" a="1"/>
  <c r="K210" i="21" a="1"/>
  <c r="J210" i="21" a="1"/>
  <c r="J210" i="21" s="1"/>
  <c r="I210" i="21" a="1"/>
  <c r="I210" i="21" s="1"/>
  <c r="G210" i="21"/>
  <c r="H210" i="21" s="1"/>
  <c r="F210" i="21"/>
  <c r="E210" i="21"/>
  <c r="D210" i="21"/>
  <c r="C210" i="21"/>
  <c r="B210" i="21"/>
  <c r="G209" i="21"/>
  <c r="H209" i="21" s="1"/>
  <c r="F209" i="21"/>
  <c r="E209" i="21"/>
  <c r="D209" i="21"/>
  <c r="C209" i="21"/>
  <c r="B209" i="21"/>
  <c r="G208" i="21"/>
  <c r="H208" i="21" s="1"/>
  <c r="F208" i="21"/>
  <c r="E208" i="21"/>
  <c r="D208" i="21"/>
  <c r="C208" i="21"/>
  <c r="B208" i="21"/>
  <c r="AS207" i="21" a="1"/>
  <c r="AP207" i="21" a="1"/>
  <c r="AP207" i="21" s="1"/>
  <c r="AM207" i="21" a="1"/>
  <c r="AJ207" i="21" a="1"/>
  <c r="AG207" i="21" a="1"/>
  <c r="AD207" i="21" a="1"/>
  <c r="AD207" i="21" s="1"/>
  <c r="AA207" i="21" a="1"/>
  <c r="X207" i="21" a="1"/>
  <c r="V207" i="21" a="1"/>
  <c r="W209" i="21" s="1"/>
  <c r="U207" i="21" a="1"/>
  <c r="U207" i="21" s="1"/>
  <c r="T207" i="21" a="1"/>
  <c r="T207" i="21" s="1"/>
  <c r="Q207" i="21" a="1"/>
  <c r="Q207" i="21" s="1"/>
  <c r="N207" i="21" a="1"/>
  <c r="N207" i="21" s="1"/>
  <c r="K207" i="21" a="1"/>
  <c r="J207" i="21" a="1"/>
  <c r="I207" i="21" a="1"/>
  <c r="I207" i="21" s="1"/>
  <c r="G207" i="21"/>
  <c r="H207" i="21" s="1"/>
  <c r="F207" i="21"/>
  <c r="E207" i="21"/>
  <c r="D207" i="21"/>
  <c r="C207" i="21"/>
  <c r="B207" i="21"/>
  <c r="G206" i="21"/>
  <c r="H206" i="21" s="1"/>
  <c r="F206" i="21"/>
  <c r="E206" i="21"/>
  <c r="D206" i="21"/>
  <c r="C206" i="21"/>
  <c r="B206" i="21"/>
  <c r="G205" i="21"/>
  <c r="H205" i="21" s="1"/>
  <c r="F205" i="21"/>
  <c r="E205" i="21"/>
  <c r="D205" i="21"/>
  <c r="C205" i="21"/>
  <c r="B205" i="21"/>
  <c r="AS204" i="21" a="1"/>
  <c r="AS204" i="21" s="1"/>
  <c r="AP204" i="21" a="1"/>
  <c r="AP204" i="21" s="1"/>
  <c r="AM204" i="21" a="1"/>
  <c r="AM204" i="21" s="1"/>
  <c r="AJ204" i="21" a="1"/>
  <c r="AJ204" i="21" s="1"/>
  <c r="AG204" i="21" a="1"/>
  <c r="AG204" i="21" s="1"/>
  <c r="AD204" i="21" a="1"/>
  <c r="AA204" i="21" a="1"/>
  <c r="AA204" i="21" s="1"/>
  <c r="X204" i="21" a="1"/>
  <c r="V204" i="21" a="1"/>
  <c r="V204" i="21" s="1"/>
  <c r="W204" i="21" s="1"/>
  <c r="U204" i="21" a="1"/>
  <c r="U204" i="21" s="1"/>
  <c r="T204" i="21" a="1"/>
  <c r="T204" i="21" s="1"/>
  <c r="Q204" i="21" a="1"/>
  <c r="N204" i="21" a="1"/>
  <c r="K204" i="21" a="1"/>
  <c r="K204" i="21" s="1"/>
  <c r="J204" i="21" a="1"/>
  <c r="J204" i="21" s="1"/>
  <c r="I204" i="21" a="1"/>
  <c r="I204" i="21" s="1"/>
  <c r="G204" i="21"/>
  <c r="H204" i="21" s="1"/>
  <c r="F204" i="21"/>
  <c r="E204" i="21"/>
  <c r="D204" i="21"/>
  <c r="C204" i="21"/>
  <c r="B204" i="21"/>
  <c r="G203" i="21"/>
  <c r="H203" i="21" s="1"/>
  <c r="F203" i="21"/>
  <c r="E203" i="21"/>
  <c r="D203" i="21"/>
  <c r="C203" i="21"/>
  <c r="B203" i="21"/>
  <c r="G202" i="21"/>
  <c r="H202" i="21" s="1"/>
  <c r="F202" i="21"/>
  <c r="E202" i="21"/>
  <c r="D202" i="21"/>
  <c r="C202" i="21"/>
  <c r="B202" i="21"/>
  <c r="G201" i="21"/>
  <c r="H201" i="21" s="1"/>
  <c r="F201" i="21"/>
  <c r="E201" i="21"/>
  <c r="D201" i="21"/>
  <c r="C201" i="21"/>
  <c r="B201" i="21"/>
  <c r="G200" i="21"/>
  <c r="H200" i="21" s="1"/>
  <c r="F200" i="21"/>
  <c r="E200" i="21"/>
  <c r="D200" i="21"/>
  <c r="C200" i="21"/>
  <c r="B200" i="21"/>
  <c r="AS199" i="21" a="1"/>
  <c r="AP199" i="21" a="1"/>
  <c r="AP199" i="21" s="1"/>
  <c r="AM199" i="21" a="1"/>
  <c r="AJ199" i="21" a="1"/>
  <c r="AG199" i="21" a="1"/>
  <c r="AD199" i="21" a="1"/>
  <c r="AD199" i="21" s="1"/>
  <c r="AA199" i="21" a="1"/>
  <c r="X199" i="21" a="1"/>
  <c r="V199" i="21" a="1"/>
  <c r="W202" i="21" s="1"/>
  <c r="U199" i="21" a="1"/>
  <c r="U199" i="21" s="1"/>
  <c r="T199" i="21" a="1"/>
  <c r="T199" i="21" s="1"/>
  <c r="Q199" i="21" a="1"/>
  <c r="N199" i="21" a="1"/>
  <c r="N199" i="21" s="1"/>
  <c r="K199" i="21" a="1"/>
  <c r="J199" i="21" a="1"/>
  <c r="J199" i="21" s="1"/>
  <c r="I199" i="21" a="1"/>
  <c r="I199" i="21" s="1"/>
  <c r="G199" i="21"/>
  <c r="H199" i="21" s="1"/>
  <c r="F199" i="21"/>
  <c r="E199" i="21"/>
  <c r="D199" i="21"/>
  <c r="C199" i="21"/>
  <c r="B199" i="21"/>
  <c r="G198" i="21"/>
  <c r="H198" i="21" s="1"/>
  <c r="F198" i="21"/>
  <c r="E198" i="21"/>
  <c r="D198" i="21"/>
  <c r="C198" i="21"/>
  <c r="B198" i="21"/>
  <c r="G197" i="21"/>
  <c r="H197" i="21" s="1"/>
  <c r="F197" i="21"/>
  <c r="E197" i="21"/>
  <c r="D197" i="21"/>
  <c r="C197" i="21"/>
  <c r="B197" i="21"/>
  <c r="AS196" i="21" a="1"/>
  <c r="AS196" i="21" s="1"/>
  <c r="AP196" i="21" a="1"/>
  <c r="AM196" i="21" a="1"/>
  <c r="AM196" i="21" s="1"/>
  <c r="AJ196" i="21" a="1"/>
  <c r="AG196" i="21" a="1"/>
  <c r="AG196" i="21" s="1"/>
  <c r="AD196" i="21" a="1"/>
  <c r="AA196" i="21" a="1"/>
  <c r="X196" i="21" a="1"/>
  <c r="V196" i="21" a="1"/>
  <c r="W198" i="21" s="1"/>
  <c r="U196" i="21" a="1"/>
  <c r="U196" i="21" s="1"/>
  <c r="T196" i="21" a="1"/>
  <c r="T196" i="21" s="1"/>
  <c r="Q196" i="21" a="1"/>
  <c r="N196" i="21" a="1"/>
  <c r="K196" i="21" a="1"/>
  <c r="J196" i="21" a="1"/>
  <c r="J196" i="21" s="1"/>
  <c r="I196" i="21" a="1"/>
  <c r="I196" i="21" s="1"/>
  <c r="G196" i="21"/>
  <c r="H196" i="21" s="1"/>
  <c r="F196" i="21"/>
  <c r="E196" i="21"/>
  <c r="D196" i="21"/>
  <c r="C196" i="21"/>
  <c r="B196" i="21"/>
  <c r="G195" i="21"/>
  <c r="H195" i="21" s="1"/>
  <c r="F195" i="21"/>
  <c r="E195" i="21"/>
  <c r="D195" i="21"/>
  <c r="C195" i="21"/>
  <c r="B195" i="21"/>
  <c r="G194" i="21"/>
  <c r="H194" i="21" s="1"/>
  <c r="F194" i="21"/>
  <c r="E194" i="21"/>
  <c r="D194" i="21"/>
  <c r="C194" i="21"/>
  <c r="B194" i="21"/>
  <c r="AS193" i="21" a="1"/>
  <c r="AS193" i="21" s="1"/>
  <c r="AP193" i="21" a="1"/>
  <c r="AP193" i="21" s="1"/>
  <c r="AM193" i="21" a="1"/>
  <c r="AM193" i="21" s="1"/>
  <c r="AJ193" i="21" a="1"/>
  <c r="AG193" i="21" a="1"/>
  <c r="AD193" i="21" a="1"/>
  <c r="AD193" i="21" s="1"/>
  <c r="AA193" i="21" a="1"/>
  <c r="AA193" i="21" s="1"/>
  <c r="X193" i="21" a="1"/>
  <c r="V193" i="21" a="1"/>
  <c r="W195" i="21" s="1"/>
  <c r="U193" i="21" a="1"/>
  <c r="U193" i="21" s="1"/>
  <c r="T193" i="21" a="1"/>
  <c r="T193" i="21" s="1"/>
  <c r="Q193" i="21" a="1"/>
  <c r="N193" i="21" a="1"/>
  <c r="N193" i="21" s="1"/>
  <c r="K193" i="21" a="1"/>
  <c r="K193" i="21" s="1"/>
  <c r="J193" i="21" a="1"/>
  <c r="I193" i="21" a="1"/>
  <c r="I193" i="21" s="1"/>
  <c r="G193" i="21"/>
  <c r="H193" i="21" s="1"/>
  <c r="F193" i="21"/>
  <c r="E193" i="21"/>
  <c r="D193" i="21"/>
  <c r="C193" i="21"/>
  <c r="B193" i="21"/>
  <c r="G192" i="21"/>
  <c r="H192" i="21" s="1"/>
  <c r="F192" i="21"/>
  <c r="E192" i="21"/>
  <c r="D192" i="21"/>
  <c r="C192" i="21"/>
  <c r="B192" i="21"/>
  <c r="G191" i="21"/>
  <c r="H191" i="21" s="1"/>
  <c r="F191" i="21"/>
  <c r="E191" i="21"/>
  <c r="D191" i="21"/>
  <c r="C191" i="21"/>
  <c r="B191" i="21"/>
  <c r="G190" i="21"/>
  <c r="H190" i="21" s="1"/>
  <c r="F190" i="21"/>
  <c r="E190" i="21"/>
  <c r="D190" i="21"/>
  <c r="C190" i="21"/>
  <c r="B190" i="21"/>
  <c r="G189" i="21"/>
  <c r="H189" i="21" s="1"/>
  <c r="F189" i="21"/>
  <c r="E189" i="21"/>
  <c r="D189" i="21"/>
  <c r="C189" i="21"/>
  <c r="B189" i="21"/>
  <c r="G188" i="21"/>
  <c r="H188" i="21" s="1"/>
  <c r="F188" i="21"/>
  <c r="E188" i="21"/>
  <c r="D188" i="21"/>
  <c r="C188" i="21"/>
  <c r="B188" i="21"/>
  <c r="G187" i="21"/>
  <c r="H187" i="21" s="1"/>
  <c r="F187" i="21"/>
  <c r="E187" i="21"/>
  <c r="D187" i="21"/>
  <c r="C187" i="21"/>
  <c r="B187" i="21"/>
  <c r="AS186" i="21" a="1"/>
  <c r="AP186" i="21" a="1"/>
  <c r="AM186" i="21" a="1"/>
  <c r="AJ186" i="21" a="1"/>
  <c r="AG186" i="21" a="1"/>
  <c r="AD186" i="21" a="1"/>
  <c r="AA186" i="21" a="1"/>
  <c r="X186" i="21" a="1"/>
  <c r="V186" i="21" a="1"/>
  <c r="U186" i="21" a="1"/>
  <c r="U186" i="21" s="1"/>
  <c r="T186" i="21" a="1"/>
  <c r="T186" i="21" s="1"/>
  <c r="Q186" i="21" a="1"/>
  <c r="N186" i="21" a="1"/>
  <c r="K186" i="21" a="1"/>
  <c r="J186" i="21" a="1"/>
  <c r="J186" i="21" s="1"/>
  <c r="I186" i="21" a="1"/>
  <c r="I186" i="21" s="1"/>
  <c r="G186" i="21"/>
  <c r="H186" i="21" s="1"/>
  <c r="F186" i="21"/>
  <c r="E186" i="21"/>
  <c r="D186" i="21"/>
  <c r="C186" i="21"/>
  <c r="B186" i="21"/>
  <c r="G185" i="21"/>
  <c r="H185" i="21" s="1"/>
  <c r="F185" i="21"/>
  <c r="E185" i="21"/>
  <c r="D185" i="21"/>
  <c r="C185" i="21"/>
  <c r="B185" i="21"/>
  <c r="G184" i="21"/>
  <c r="H184" i="21" s="1"/>
  <c r="F184" i="21"/>
  <c r="E184" i="21"/>
  <c r="D184" i="21"/>
  <c r="C184" i="21"/>
  <c r="B184" i="21"/>
  <c r="G183" i="21"/>
  <c r="H183" i="21" s="1"/>
  <c r="F183" i="21"/>
  <c r="E183" i="21"/>
  <c r="D183" i="21"/>
  <c r="C183" i="21"/>
  <c r="B183" i="21"/>
  <c r="G182" i="21"/>
  <c r="H182" i="21" s="1"/>
  <c r="F182" i="21"/>
  <c r="E182" i="21"/>
  <c r="D182" i="21"/>
  <c r="C182" i="21"/>
  <c r="B182" i="21"/>
  <c r="G181" i="21"/>
  <c r="H181" i="21" s="1"/>
  <c r="F181" i="21"/>
  <c r="E181" i="21"/>
  <c r="D181" i="21"/>
  <c r="C181" i="21"/>
  <c r="B181" i="21"/>
  <c r="G180" i="21"/>
  <c r="H180" i="21" s="1"/>
  <c r="F180" i="21"/>
  <c r="E180" i="21"/>
  <c r="D180" i="21"/>
  <c r="C180" i="21"/>
  <c r="B180" i="21"/>
  <c r="G179" i="21"/>
  <c r="H179" i="21" s="1"/>
  <c r="F179" i="21"/>
  <c r="E179" i="21"/>
  <c r="D179" i="21"/>
  <c r="C179" i="21"/>
  <c r="B179" i="21"/>
  <c r="AS178" i="21" a="1"/>
  <c r="AP178" i="21" a="1"/>
  <c r="AP178" i="21" s="1"/>
  <c r="AM178" i="21" a="1"/>
  <c r="AJ178" i="21" a="1"/>
  <c r="AG178" i="21" a="1"/>
  <c r="AD178" i="21" a="1"/>
  <c r="AD178" i="21" s="1"/>
  <c r="AA178" i="21" a="1"/>
  <c r="X178" i="21" a="1"/>
  <c r="V178" i="21" a="1"/>
  <c r="U178" i="21" a="1"/>
  <c r="U178" i="21" s="1"/>
  <c r="T178" i="21" a="1"/>
  <c r="T178" i="21" s="1"/>
  <c r="Q178" i="21" a="1"/>
  <c r="N178" i="21" a="1"/>
  <c r="K178" i="21" a="1"/>
  <c r="J178" i="21" a="1"/>
  <c r="J178" i="21" s="1"/>
  <c r="I178" i="21" a="1"/>
  <c r="I178" i="21" s="1"/>
  <c r="G178" i="21"/>
  <c r="H178" i="21" s="1"/>
  <c r="F178" i="21"/>
  <c r="E178" i="21"/>
  <c r="D178" i="21"/>
  <c r="C178" i="21"/>
  <c r="B178" i="21"/>
  <c r="G177" i="21"/>
  <c r="H177" i="21" s="1"/>
  <c r="F177" i="21"/>
  <c r="E177" i="21"/>
  <c r="D177" i="21"/>
  <c r="C177" i="21"/>
  <c r="B177" i="21"/>
  <c r="G176" i="21"/>
  <c r="H176" i="21" s="1"/>
  <c r="F176" i="21"/>
  <c r="E176" i="21"/>
  <c r="D176" i="21"/>
  <c r="C176" i="21"/>
  <c r="B176" i="21"/>
  <c r="G175" i="21"/>
  <c r="H175" i="21" s="1"/>
  <c r="F175" i="21"/>
  <c r="E175" i="21"/>
  <c r="D175" i="21"/>
  <c r="C175" i="21"/>
  <c r="B175" i="21"/>
  <c r="G174" i="21"/>
  <c r="H174" i="21" s="1"/>
  <c r="F174" i="21"/>
  <c r="E174" i="21"/>
  <c r="D174" i="21"/>
  <c r="C174" i="21"/>
  <c r="B174" i="21"/>
  <c r="G173" i="21"/>
  <c r="H173" i="21" s="1"/>
  <c r="F173" i="21"/>
  <c r="E173" i="21"/>
  <c r="D173" i="21"/>
  <c r="C173" i="21"/>
  <c r="B173" i="21"/>
  <c r="G172" i="21"/>
  <c r="H172" i="21" s="1"/>
  <c r="F172" i="21"/>
  <c r="E172" i="21"/>
  <c r="D172" i="21"/>
  <c r="C172" i="21"/>
  <c r="B172" i="21"/>
  <c r="G171" i="21"/>
  <c r="H171" i="21" s="1"/>
  <c r="F171" i="21"/>
  <c r="E171" i="21"/>
  <c r="D171" i="21"/>
  <c r="C171" i="21"/>
  <c r="B171" i="21"/>
  <c r="AS170" i="21" a="1"/>
  <c r="AP170" i="21" a="1"/>
  <c r="AM170" i="21" a="1"/>
  <c r="AJ170" i="21" a="1"/>
  <c r="AG170" i="21" a="1"/>
  <c r="AD170" i="21" a="1"/>
  <c r="AA170" i="21" a="1"/>
  <c r="X170" i="21" a="1"/>
  <c r="V170" i="21" a="1"/>
  <c r="W177" i="21" s="1"/>
  <c r="U170" i="21" a="1"/>
  <c r="U170" i="21" s="1"/>
  <c r="T170" i="21" a="1"/>
  <c r="T170" i="21" s="1"/>
  <c r="Q170" i="21" a="1"/>
  <c r="N170" i="21" a="1"/>
  <c r="K170" i="21" a="1"/>
  <c r="J170" i="21" a="1"/>
  <c r="J170" i="21" s="1"/>
  <c r="I170" i="21" a="1"/>
  <c r="I170" i="21" s="1"/>
  <c r="G170" i="21"/>
  <c r="H170" i="21" s="1"/>
  <c r="F170" i="21"/>
  <c r="E170" i="21"/>
  <c r="D170" i="21"/>
  <c r="C170" i="21"/>
  <c r="B170" i="21"/>
  <c r="G169" i="21"/>
  <c r="H169" i="21" s="1"/>
  <c r="F169" i="21"/>
  <c r="E169" i="21"/>
  <c r="D169" i="21"/>
  <c r="C169" i="21"/>
  <c r="B169" i="21"/>
  <c r="G168" i="21"/>
  <c r="H168" i="21" s="1"/>
  <c r="F168" i="21"/>
  <c r="E168" i="21"/>
  <c r="D168" i="21"/>
  <c r="C168" i="21"/>
  <c r="B168" i="21"/>
  <c r="G167" i="21"/>
  <c r="H167" i="21" s="1"/>
  <c r="F167" i="21"/>
  <c r="E167" i="21"/>
  <c r="D167" i="21"/>
  <c r="C167" i="21"/>
  <c r="B167" i="21"/>
  <c r="G166" i="21"/>
  <c r="H166" i="21" s="1"/>
  <c r="F166" i="21"/>
  <c r="E166" i="21"/>
  <c r="D166" i="21"/>
  <c r="C166" i="21"/>
  <c r="B166" i="21"/>
  <c r="G165" i="21"/>
  <c r="H165" i="21" s="1"/>
  <c r="F165" i="21"/>
  <c r="E165" i="21"/>
  <c r="D165" i="21"/>
  <c r="C165" i="21"/>
  <c r="B165" i="21"/>
  <c r="G164" i="21"/>
  <c r="H164" i="21" s="1"/>
  <c r="F164" i="21"/>
  <c r="E164" i="21"/>
  <c r="D164" i="21"/>
  <c r="C164" i="21"/>
  <c r="B164" i="21"/>
  <c r="AS163" i="21" a="1"/>
  <c r="AS163" i="21" s="1"/>
  <c r="AP163" i="21" a="1"/>
  <c r="AP163" i="21" s="1"/>
  <c r="AM163" i="21" a="1"/>
  <c r="AJ163" i="21" a="1"/>
  <c r="AJ163" i="21" s="1"/>
  <c r="AG163" i="21" a="1"/>
  <c r="AD163" i="21" a="1"/>
  <c r="AD163" i="21" s="1"/>
  <c r="AA163" i="21" a="1"/>
  <c r="X163" i="21" a="1"/>
  <c r="X163" i="21" s="1"/>
  <c r="V163" i="21" a="1"/>
  <c r="V163" i="21" s="1"/>
  <c r="W163" i="21" s="1"/>
  <c r="U163" i="21" a="1"/>
  <c r="U163" i="21" s="1"/>
  <c r="T163" i="21" a="1"/>
  <c r="T163" i="21" s="1"/>
  <c r="Q163" i="21" a="1"/>
  <c r="N163" i="21" a="1"/>
  <c r="K163" i="21" a="1"/>
  <c r="J163" i="21" a="1"/>
  <c r="I163" i="21" a="1"/>
  <c r="I163" i="21" s="1"/>
  <c r="G163" i="21"/>
  <c r="H163" i="21" s="1"/>
  <c r="F163" i="21"/>
  <c r="E163" i="21"/>
  <c r="D163" i="21"/>
  <c r="C163" i="21"/>
  <c r="B163" i="21"/>
  <c r="G162" i="21"/>
  <c r="H162" i="21" s="1"/>
  <c r="F162" i="21"/>
  <c r="E162" i="21"/>
  <c r="D162" i="21"/>
  <c r="C162" i="21"/>
  <c r="B162" i="21"/>
  <c r="G161" i="21"/>
  <c r="H161" i="21" s="1"/>
  <c r="F161" i="21"/>
  <c r="E161" i="21"/>
  <c r="D161" i="21"/>
  <c r="C161" i="21"/>
  <c r="B161" i="21"/>
  <c r="G160" i="21"/>
  <c r="H160" i="21" s="1"/>
  <c r="F160" i="21"/>
  <c r="E160" i="21"/>
  <c r="D160" i="21"/>
  <c r="C160" i="21"/>
  <c r="B160" i="21"/>
  <c r="G159" i="21"/>
  <c r="H159" i="21" s="1"/>
  <c r="F159" i="21"/>
  <c r="E159" i="21"/>
  <c r="D159" i="21"/>
  <c r="C159" i="21"/>
  <c r="B159" i="21"/>
  <c r="G158" i="21"/>
  <c r="H158" i="21" s="1"/>
  <c r="F158" i="21"/>
  <c r="E158" i="21"/>
  <c r="D158" i="21"/>
  <c r="C158" i="21"/>
  <c r="B158" i="21"/>
  <c r="AS157" i="21" a="1"/>
  <c r="AS157" i="21" s="1"/>
  <c r="AP157" i="21" a="1"/>
  <c r="AM157" i="21" a="1"/>
  <c r="AM157" i="21" s="1"/>
  <c r="AJ157" i="21" a="1"/>
  <c r="AG157" i="21" a="1"/>
  <c r="AD157" i="21" a="1"/>
  <c r="AA157" i="21" a="1"/>
  <c r="X157" i="21" a="1"/>
  <c r="V157" i="21" a="1"/>
  <c r="U157" i="21" a="1"/>
  <c r="U157" i="21" s="1"/>
  <c r="T157" i="21" a="1"/>
  <c r="T157" i="21" s="1"/>
  <c r="Q157" i="21" a="1"/>
  <c r="N157" i="21" a="1"/>
  <c r="K157" i="21" a="1"/>
  <c r="J157" i="21" a="1"/>
  <c r="I157" i="21" a="1"/>
  <c r="I157" i="21" s="1"/>
  <c r="G157" i="21"/>
  <c r="H157" i="21" s="1"/>
  <c r="F157" i="21"/>
  <c r="E157" i="21"/>
  <c r="D157" i="21"/>
  <c r="C157" i="21"/>
  <c r="B157" i="21"/>
  <c r="G156" i="21"/>
  <c r="H156" i="21" s="1"/>
  <c r="F156" i="21"/>
  <c r="E156" i="21"/>
  <c r="D156" i="21"/>
  <c r="C156" i="21"/>
  <c r="B156" i="21"/>
  <c r="G155" i="21"/>
  <c r="H155" i="21" s="1"/>
  <c r="F155" i="21"/>
  <c r="E155" i="21"/>
  <c r="D155" i="21"/>
  <c r="C155" i="21"/>
  <c r="B155" i="21"/>
  <c r="G154" i="21"/>
  <c r="H154" i="21" s="1"/>
  <c r="F154" i="21"/>
  <c r="E154" i="21"/>
  <c r="D154" i="21"/>
  <c r="C154" i="21"/>
  <c r="B154" i="21"/>
  <c r="G153" i="21"/>
  <c r="H153" i="21" s="1"/>
  <c r="F153" i="21"/>
  <c r="E153" i="21"/>
  <c r="D153" i="21"/>
  <c r="C153" i="21"/>
  <c r="B153" i="21"/>
  <c r="G152" i="21"/>
  <c r="H152" i="21" s="1"/>
  <c r="F152" i="21"/>
  <c r="E152" i="21"/>
  <c r="D152" i="21"/>
  <c r="C152" i="21"/>
  <c r="B152" i="21"/>
  <c r="G151" i="21"/>
  <c r="H151" i="21" s="1"/>
  <c r="F151" i="21"/>
  <c r="E151" i="21"/>
  <c r="D151" i="21"/>
  <c r="C151" i="21"/>
  <c r="B151" i="21"/>
  <c r="G150" i="21"/>
  <c r="H150" i="21" s="1"/>
  <c r="F150" i="21"/>
  <c r="E150" i="21"/>
  <c r="D150" i="21"/>
  <c r="C150" i="21"/>
  <c r="B150" i="21"/>
  <c r="AS149" i="21" a="1"/>
  <c r="AP149" i="21" a="1"/>
  <c r="AM149" i="21" a="1"/>
  <c r="AJ149" i="21" a="1"/>
  <c r="AG149" i="21" a="1"/>
  <c r="AD149" i="21" a="1"/>
  <c r="AA149" i="21" a="1"/>
  <c r="X149" i="21" a="1"/>
  <c r="V149" i="21" a="1"/>
  <c r="W152" i="21" s="1"/>
  <c r="U149" i="21" a="1"/>
  <c r="U149" i="21" s="1"/>
  <c r="T149" i="21" a="1"/>
  <c r="T149" i="21" s="1"/>
  <c r="Q149" i="21" a="1"/>
  <c r="N149" i="21" a="1"/>
  <c r="N149" i="21" s="1"/>
  <c r="K149" i="21" a="1"/>
  <c r="J149" i="21" a="1"/>
  <c r="I149" i="21" a="1"/>
  <c r="I149" i="21" s="1"/>
  <c r="G149" i="21"/>
  <c r="H149" i="21" s="1"/>
  <c r="F149" i="21"/>
  <c r="E149" i="21"/>
  <c r="D149" i="21"/>
  <c r="C149" i="21"/>
  <c r="B149" i="21"/>
  <c r="G148" i="21"/>
  <c r="H148" i="21" s="1"/>
  <c r="F148" i="21"/>
  <c r="E148" i="21"/>
  <c r="D148" i="21"/>
  <c r="C148" i="21"/>
  <c r="B148" i="21"/>
  <c r="G147" i="21"/>
  <c r="H147" i="21" s="1"/>
  <c r="F147" i="21"/>
  <c r="E147" i="21"/>
  <c r="D147" i="21"/>
  <c r="C147" i="21"/>
  <c r="B147" i="21"/>
  <c r="G146" i="21"/>
  <c r="H146" i="21" s="1"/>
  <c r="F146" i="21"/>
  <c r="E146" i="21"/>
  <c r="D146" i="21"/>
  <c r="C146" i="21"/>
  <c r="B146" i="21"/>
  <c r="G145" i="21"/>
  <c r="H145" i="21" s="1"/>
  <c r="F145" i="21"/>
  <c r="E145" i="21"/>
  <c r="D145" i="21"/>
  <c r="C145" i="21"/>
  <c r="B145" i="21"/>
  <c r="G144" i="21"/>
  <c r="H144" i="21" s="1"/>
  <c r="F144" i="21"/>
  <c r="E144" i="21"/>
  <c r="D144" i="21"/>
  <c r="C144" i="21"/>
  <c r="B144" i="21"/>
  <c r="G143" i="21"/>
  <c r="H143" i="21" s="1"/>
  <c r="F143" i="21"/>
  <c r="E143" i="21"/>
  <c r="D143" i="21"/>
  <c r="C143" i="21"/>
  <c r="B143" i="21"/>
  <c r="AS142" i="21" a="1"/>
  <c r="AP142" i="21" a="1"/>
  <c r="AM142" i="21" a="1"/>
  <c r="AJ142" i="21" a="1"/>
  <c r="AJ142" i="21" s="1"/>
  <c r="AG142" i="21" a="1"/>
  <c r="AD142" i="21" a="1"/>
  <c r="AA142" i="21" a="1"/>
  <c r="X142" i="21" a="1"/>
  <c r="V142" i="21" a="1"/>
  <c r="U142" i="21" a="1"/>
  <c r="U142" i="21" s="1"/>
  <c r="T142" i="21" a="1"/>
  <c r="T142" i="21" s="1"/>
  <c r="Q142" i="21" a="1"/>
  <c r="N142" i="21" a="1"/>
  <c r="K142" i="21" a="1"/>
  <c r="J142" i="21" a="1"/>
  <c r="I142" i="21" a="1"/>
  <c r="I142" i="21" s="1"/>
  <c r="G142" i="21"/>
  <c r="H142" i="21" s="1"/>
  <c r="F142" i="21"/>
  <c r="E142" i="21"/>
  <c r="D142" i="21"/>
  <c r="C142" i="21"/>
  <c r="B142" i="21"/>
  <c r="G141" i="21"/>
  <c r="H141" i="21" s="1"/>
  <c r="F141" i="21"/>
  <c r="E141" i="21"/>
  <c r="D141" i="21"/>
  <c r="C141" i="21"/>
  <c r="B141" i="21"/>
  <c r="G140" i="21"/>
  <c r="H140" i="21" s="1"/>
  <c r="F140" i="21"/>
  <c r="E140" i="21"/>
  <c r="D140" i="21"/>
  <c r="C140" i="21"/>
  <c r="B140" i="21"/>
  <c r="AS139" i="21" a="1"/>
  <c r="AP139" i="21" a="1"/>
  <c r="AP139" i="21" s="1"/>
  <c r="AM139" i="21" a="1"/>
  <c r="AJ139" i="21" a="1"/>
  <c r="AG139" i="21" a="1"/>
  <c r="AD139" i="21" a="1"/>
  <c r="AD139" i="21" s="1"/>
  <c r="AA139" i="21" a="1"/>
  <c r="X139" i="21" a="1"/>
  <c r="V139" i="21" a="1"/>
  <c r="W141" i="21" s="1"/>
  <c r="U139" i="21" a="1"/>
  <c r="U139" i="21" s="1"/>
  <c r="T139" i="21" a="1"/>
  <c r="T139" i="21" s="1"/>
  <c r="Q139" i="21" a="1"/>
  <c r="Q139" i="21" s="1"/>
  <c r="N139" i="21" a="1"/>
  <c r="K139" i="21" a="1"/>
  <c r="J139" i="21" a="1"/>
  <c r="J139" i="21" s="1"/>
  <c r="I139" i="21" a="1"/>
  <c r="I139" i="21" s="1"/>
  <c r="G139" i="21"/>
  <c r="H139" i="21" s="1"/>
  <c r="F139" i="21"/>
  <c r="E139" i="21"/>
  <c r="D139" i="21"/>
  <c r="C139" i="21"/>
  <c r="B139" i="21"/>
  <c r="G138" i="21"/>
  <c r="H138" i="21" s="1"/>
  <c r="F138" i="21"/>
  <c r="E138" i="21"/>
  <c r="D138" i="21"/>
  <c r="C138" i="21"/>
  <c r="B138" i="21"/>
  <c r="G137" i="21"/>
  <c r="H137" i="21" s="1"/>
  <c r="F137" i="21"/>
  <c r="E137" i="21"/>
  <c r="D137" i="21"/>
  <c r="C137" i="21"/>
  <c r="B137" i="21"/>
  <c r="AS136" i="21" a="1"/>
  <c r="AP136" i="21" a="1"/>
  <c r="AM136" i="21" a="1"/>
  <c r="AM136" i="21" s="1"/>
  <c r="AJ136" i="21" a="1"/>
  <c r="AG136" i="21" a="1"/>
  <c r="AG136" i="21" s="1"/>
  <c r="AD136" i="21" a="1"/>
  <c r="AA136" i="21" a="1"/>
  <c r="AA136" i="21" s="1"/>
  <c r="X136" i="21" a="1"/>
  <c r="V136" i="21" a="1"/>
  <c r="U136" i="21" a="1"/>
  <c r="U136" i="21" s="1"/>
  <c r="T136" i="21" a="1"/>
  <c r="T136" i="21" s="1"/>
  <c r="Q136" i="21" a="1"/>
  <c r="N136" i="21" a="1"/>
  <c r="K136" i="21" a="1"/>
  <c r="K136" i="21" s="1"/>
  <c r="J136" i="21" a="1"/>
  <c r="J136" i="21" s="1"/>
  <c r="I136" i="21" a="1"/>
  <c r="I136" i="21" s="1"/>
  <c r="G136" i="21"/>
  <c r="H136" i="21" s="1"/>
  <c r="F136" i="21"/>
  <c r="E136" i="21"/>
  <c r="D136" i="21"/>
  <c r="C136" i="21"/>
  <c r="B136" i="21"/>
  <c r="G135" i="21"/>
  <c r="H135" i="21" s="1"/>
  <c r="F135" i="21"/>
  <c r="E135" i="21"/>
  <c r="D135" i="21"/>
  <c r="C135" i="21"/>
  <c r="B135" i="21"/>
  <c r="AA134" i="21" a="1"/>
  <c r="G134" i="21"/>
  <c r="H134" i="21" s="1"/>
  <c r="F134" i="21"/>
  <c r="E134" i="21"/>
  <c r="D134" i="21"/>
  <c r="C134" i="21"/>
  <c r="B134" i="21"/>
  <c r="AS133" i="21" a="1"/>
  <c r="AP133" i="21" a="1"/>
  <c r="AP133" i="21" s="1"/>
  <c r="AM133" i="21" a="1"/>
  <c r="AJ133" i="21" a="1"/>
  <c r="AG133" i="21" a="1"/>
  <c r="AD133" i="21" a="1"/>
  <c r="AD133" i="21" s="1"/>
  <c r="X133" i="21" a="1"/>
  <c r="V133" i="21" a="1"/>
  <c r="W135" i="21" s="1"/>
  <c r="U133" i="21" a="1"/>
  <c r="U133" i="21" s="1"/>
  <c r="T133" i="21" a="1"/>
  <c r="T133" i="21" s="1"/>
  <c r="Q133" i="21" a="1"/>
  <c r="Q133" i="21" s="1"/>
  <c r="N133" i="21" a="1"/>
  <c r="K133" i="21" a="1"/>
  <c r="J133" i="21" a="1"/>
  <c r="J133" i="21" s="1"/>
  <c r="I133" i="21" a="1"/>
  <c r="I133" i="21" s="1"/>
  <c r="G133" i="21"/>
  <c r="H133" i="21" s="1"/>
  <c r="F133" i="21"/>
  <c r="E133" i="21"/>
  <c r="D133" i="21"/>
  <c r="C133" i="21"/>
  <c r="B133" i="21"/>
  <c r="G132" i="21"/>
  <c r="H132" i="21" s="1"/>
  <c r="F132" i="21"/>
  <c r="E132" i="21"/>
  <c r="D132" i="21"/>
  <c r="C132" i="21"/>
  <c r="B132" i="21"/>
  <c r="AA131" i="21" a="1"/>
  <c r="AA131" i="21" s="1"/>
  <c r="G131" i="21"/>
  <c r="H131" i="21" s="1"/>
  <c r="F131" i="21"/>
  <c r="E131" i="21"/>
  <c r="D131" i="21"/>
  <c r="C131" i="21"/>
  <c r="B131" i="21"/>
  <c r="AS130" i="21" a="1"/>
  <c r="AP130" i="21" a="1"/>
  <c r="AM130" i="21" a="1"/>
  <c r="AJ130" i="21" a="1"/>
  <c r="AG130" i="21" a="1"/>
  <c r="AD130" i="21" a="1"/>
  <c r="X130" i="21" a="1"/>
  <c r="V130" i="21" a="1"/>
  <c r="U130" i="21" a="1"/>
  <c r="U130" i="21" s="1"/>
  <c r="T130" i="21" a="1"/>
  <c r="T130" i="21" s="1"/>
  <c r="Q130" i="21" a="1"/>
  <c r="N130" i="21" a="1"/>
  <c r="K130" i="21" a="1"/>
  <c r="J130" i="21" a="1"/>
  <c r="I130" i="21" a="1"/>
  <c r="I130" i="21" s="1"/>
  <c r="G130" i="21"/>
  <c r="H130" i="21" s="1"/>
  <c r="F130" i="21"/>
  <c r="E130" i="21"/>
  <c r="D130" i="21"/>
  <c r="C130" i="21"/>
  <c r="B130" i="21"/>
  <c r="G129" i="21"/>
  <c r="H129" i="21" s="1"/>
  <c r="F129" i="21"/>
  <c r="E129" i="21"/>
  <c r="D129" i="21"/>
  <c r="C129" i="21"/>
  <c r="B129" i="21"/>
  <c r="AS128" i="21" a="1"/>
  <c r="AP128" i="21" a="1"/>
  <c r="AM128" i="21" a="1"/>
  <c r="AM128" i="21" s="1"/>
  <c r="AJ128" i="21" a="1"/>
  <c r="AG128" i="21" a="1"/>
  <c r="AD128" i="21" a="1"/>
  <c r="X128" i="21" a="1"/>
  <c r="X128" i="21" s="1"/>
  <c r="V128" i="21" a="1"/>
  <c r="V128" i="21" s="1"/>
  <c r="W128" i="21" s="1"/>
  <c r="U128" i="21" a="1"/>
  <c r="U128" i="21" s="1"/>
  <c r="T128" i="21" a="1"/>
  <c r="T128" i="21" s="1"/>
  <c r="Q128" i="21" a="1"/>
  <c r="N128" i="21" a="1"/>
  <c r="N128" i="21" s="1"/>
  <c r="K128" i="21" a="1"/>
  <c r="J128" i="21" a="1"/>
  <c r="J128" i="21" s="1"/>
  <c r="I128" i="21" a="1"/>
  <c r="I128" i="21" s="1"/>
  <c r="G128" i="21"/>
  <c r="H128" i="21" s="1"/>
  <c r="F128" i="21"/>
  <c r="E128" i="21"/>
  <c r="D128" i="21"/>
  <c r="C128" i="21"/>
  <c r="B128" i="21"/>
  <c r="U127" i="21"/>
  <c r="T127" i="21"/>
  <c r="Q127" i="21"/>
  <c r="N127" i="21"/>
  <c r="K127" i="21"/>
  <c r="J127" i="21"/>
  <c r="I127" i="21"/>
  <c r="G127" i="21"/>
  <c r="H127" i="21" s="1"/>
  <c r="F127" i="21"/>
  <c r="E127" i="21"/>
  <c r="D127" i="21"/>
  <c r="C127" i="21"/>
  <c r="B127" i="21"/>
  <c r="U126" i="21"/>
  <c r="T126" i="21"/>
  <c r="Q126" i="21"/>
  <c r="N126" i="21"/>
  <c r="K126" i="21"/>
  <c r="J126" i="21"/>
  <c r="I126" i="21"/>
  <c r="G126" i="21"/>
  <c r="H126" i="21" s="1"/>
  <c r="F126" i="21"/>
  <c r="E126" i="21"/>
  <c r="D126" i="21"/>
  <c r="C126" i="21"/>
  <c r="B126" i="21"/>
  <c r="AS125" i="21" a="1"/>
  <c r="AP125" i="21" a="1"/>
  <c r="AM125" i="21" a="1"/>
  <c r="AM125" i="21" s="1"/>
  <c r="AJ125" i="21" a="1"/>
  <c r="AG125" i="21" a="1"/>
  <c r="AG125" i="21" s="1"/>
  <c r="AD125" i="21" a="1"/>
  <c r="AD125" i="21" s="1"/>
  <c r="X125" i="21" a="1"/>
  <c r="V125" i="21" a="1"/>
  <c r="U125" i="21"/>
  <c r="T125" i="21"/>
  <c r="Q125" i="21"/>
  <c r="N125" i="21"/>
  <c r="J125" i="21"/>
  <c r="I125" i="21"/>
  <c r="G125" i="21"/>
  <c r="H125" i="21" s="1"/>
  <c r="F125" i="21"/>
  <c r="E125" i="21"/>
  <c r="D125" i="21"/>
  <c r="C125" i="21"/>
  <c r="B125" i="21"/>
  <c r="AJ124" i="21"/>
  <c r="AG124" i="21"/>
  <c r="AD124" i="21"/>
  <c r="AA124" i="21"/>
  <c r="X124" i="21"/>
  <c r="V124" i="21"/>
  <c r="W124" i="21" s="1"/>
  <c r="U124" i="21"/>
  <c r="T124" i="21"/>
  <c r="Q124" i="21"/>
  <c r="N124" i="21"/>
  <c r="K124" i="21"/>
  <c r="J124" i="21"/>
  <c r="I124" i="21"/>
  <c r="G124" i="21"/>
  <c r="H124" i="21" s="1"/>
  <c r="F124" i="21"/>
  <c r="E124" i="21"/>
  <c r="D124" i="21"/>
  <c r="C124" i="21"/>
  <c r="B124" i="21"/>
  <c r="AJ123" i="21"/>
  <c r="AG123" i="21"/>
  <c r="AD123" i="21"/>
  <c r="AA123" i="21"/>
  <c r="X123" i="21"/>
  <c r="V123" i="21"/>
  <c r="W123" i="21" s="1"/>
  <c r="U123" i="21"/>
  <c r="T123" i="21"/>
  <c r="Q123" i="21"/>
  <c r="N123" i="21"/>
  <c r="K123" i="21"/>
  <c r="J123" i="21"/>
  <c r="I123" i="21"/>
  <c r="G123" i="21"/>
  <c r="H123" i="21" s="1"/>
  <c r="F123" i="21"/>
  <c r="E123" i="21"/>
  <c r="D123" i="21"/>
  <c r="C123" i="21"/>
  <c r="B123" i="21"/>
  <c r="AJ122" i="21"/>
  <c r="AG122" i="21"/>
  <c r="AD122" i="21"/>
  <c r="AA122" i="21"/>
  <c r="X122" i="21"/>
  <c r="V122" i="21"/>
  <c r="W122" i="21" s="1"/>
  <c r="U122" i="21"/>
  <c r="T122" i="21"/>
  <c r="Q122" i="21"/>
  <c r="N122" i="21"/>
  <c r="K122" i="21"/>
  <c r="J122" i="21"/>
  <c r="I122" i="21"/>
  <c r="G122" i="21"/>
  <c r="H122" i="21" s="1"/>
  <c r="F122" i="21"/>
  <c r="E122" i="21"/>
  <c r="D122" i="21"/>
  <c r="C122" i="21"/>
  <c r="B122" i="21"/>
  <c r="AS121" i="21" a="1"/>
  <c r="AP121" i="21" a="1"/>
  <c r="AM121" i="21" a="1"/>
  <c r="AJ121" i="21"/>
  <c r="AG121" i="21"/>
  <c r="AD121" i="21"/>
  <c r="AA121" i="21"/>
  <c r="X121" i="21"/>
  <c r="V121" i="21"/>
  <c r="W121" i="21" s="1"/>
  <c r="U121" i="21"/>
  <c r="T121" i="21"/>
  <c r="Q121" i="21"/>
  <c r="N121" i="21"/>
  <c r="K121" i="21"/>
  <c r="J121" i="21"/>
  <c r="I121" i="21"/>
  <c r="G121" i="21"/>
  <c r="H121" i="21" s="1"/>
  <c r="F121" i="21"/>
  <c r="E121" i="21"/>
  <c r="D121" i="21"/>
  <c r="C121" i="21"/>
  <c r="B121" i="21"/>
  <c r="AJ120" i="21"/>
  <c r="AG120" i="21"/>
  <c r="AD120" i="21"/>
  <c r="AA120" i="21"/>
  <c r="X120" i="21"/>
  <c r="V120" i="21"/>
  <c r="W120" i="21" s="1"/>
  <c r="U120" i="21"/>
  <c r="T120" i="21"/>
  <c r="Q120" i="21"/>
  <c r="N120" i="21"/>
  <c r="K120" i="21"/>
  <c r="J120" i="21"/>
  <c r="I120" i="21"/>
  <c r="G120" i="21"/>
  <c r="H120" i="21" s="1"/>
  <c r="F120" i="21"/>
  <c r="E120" i="21"/>
  <c r="D120" i="21"/>
  <c r="C120" i="21"/>
  <c r="B120" i="21"/>
  <c r="AJ119" i="21"/>
  <c r="AG119" i="21"/>
  <c r="AD119" i="21"/>
  <c r="AA119" i="21"/>
  <c r="X119" i="21"/>
  <c r="V119" i="21"/>
  <c r="W119" i="21" s="1"/>
  <c r="U119" i="21"/>
  <c r="T119" i="21"/>
  <c r="Q119" i="21"/>
  <c r="N119" i="21"/>
  <c r="K119" i="21"/>
  <c r="J119" i="21"/>
  <c r="I119" i="21"/>
  <c r="G119" i="21"/>
  <c r="H119" i="21" s="1"/>
  <c r="F119" i="21"/>
  <c r="E119" i="21"/>
  <c r="D119" i="21"/>
  <c r="C119" i="21"/>
  <c r="B119" i="21"/>
  <c r="AJ118" i="21"/>
  <c r="AG118" i="21"/>
  <c r="AD118" i="21"/>
  <c r="AA118" i="21"/>
  <c r="X118" i="21"/>
  <c r="V118" i="21"/>
  <c r="W118" i="21" s="1"/>
  <c r="U118" i="21"/>
  <c r="T118" i="21"/>
  <c r="Q118" i="21"/>
  <c r="N118" i="21"/>
  <c r="K118" i="21"/>
  <c r="J118" i="21"/>
  <c r="AB118" i="21" s="1"/>
  <c r="AC118" i="21" s="1"/>
  <c r="I118" i="21"/>
  <c r="G118" i="21"/>
  <c r="H118" i="21" s="1"/>
  <c r="F118" i="21"/>
  <c r="E118" i="21"/>
  <c r="D118" i="21"/>
  <c r="C118" i="21"/>
  <c r="B118" i="21"/>
  <c r="AJ117" i="21"/>
  <c r="AG117" i="21"/>
  <c r="AD117" i="21"/>
  <c r="AA117" i="21"/>
  <c r="X117" i="21"/>
  <c r="V117" i="21"/>
  <c r="W117" i="21" s="1"/>
  <c r="U117" i="21"/>
  <c r="T117" i="21"/>
  <c r="Q117" i="21"/>
  <c r="N117" i="21"/>
  <c r="K117" i="21"/>
  <c r="J117" i="21"/>
  <c r="I117" i="21"/>
  <c r="G117" i="21"/>
  <c r="H117" i="21" s="1"/>
  <c r="F117" i="21"/>
  <c r="E117" i="21"/>
  <c r="D117" i="21"/>
  <c r="C117" i="21"/>
  <c r="B117" i="21"/>
  <c r="AS116" i="21" a="1"/>
  <c r="AP116" i="21" a="1"/>
  <c r="AM116" i="21" a="1"/>
  <c r="AJ116" i="21"/>
  <c r="AG116" i="21"/>
  <c r="AD116" i="21"/>
  <c r="AA116" i="21"/>
  <c r="X116" i="21"/>
  <c r="V116" i="21"/>
  <c r="W116" i="21" s="1"/>
  <c r="U116" i="21"/>
  <c r="T116" i="21"/>
  <c r="Q116" i="21"/>
  <c r="N116" i="21"/>
  <c r="K116" i="21"/>
  <c r="J116" i="21"/>
  <c r="I116" i="21"/>
  <c r="G116" i="21"/>
  <c r="H116" i="21" s="1"/>
  <c r="F116" i="21"/>
  <c r="E116" i="21"/>
  <c r="D116" i="21"/>
  <c r="C116" i="21"/>
  <c r="B116" i="21"/>
  <c r="AJ115" i="21"/>
  <c r="AG115" i="21"/>
  <c r="AD115" i="21"/>
  <c r="AA115" i="21"/>
  <c r="X115" i="21"/>
  <c r="V115" i="21"/>
  <c r="W115" i="21" s="1"/>
  <c r="U115" i="21"/>
  <c r="T115" i="21"/>
  <c r="Q115" i="21"/>
  <c r="N115" i="21"/>
  <c r="K115" i="21"/>
  <c r="J115" i="21"/>
  <c r="I115" i="21"/>
  <c r="G115" i="21"/>
  <c r="H115" i="21" s="1"/>
  <c r="F115" i="21"/>
  <c r="E115" i="21"/>
  <c r="D115" i="21"/>
  <c r="C115" i="21"/>
  <c r="B115" i="21"/>
  <c r="AJ114" i="21"/>
  <c r="AG114" i="21"/>
  <c r="AD114" i="21"/>
  <c r="AA114" i="21"/>
  <c r="X114" i="21"/>
  <c r="V114" i="21"/>
  <c r="W114" i="21" s="1"/>
  <c r="U114" i="21"/>
  <c r="T114" i="21"/>
  <c r="Q114" i="21"/>
  <c r="N114" i="21"/>
  <c r="K114" i="21"/>
  <c r="J114" i="21"/>
  <c r="I114" i="21"/>
  <c r="G114" i="21"/>
  <c r="H114" i="21" s="1"/>
  <c r="F114" i="21"/>
  <c r="E114" i="21"/>
  <c r="D114" i="21"/>
  <c r="C114" i="21"/>
  <c r="B114" i="21"/>
  <c r="AJ113" i="21"/>
  <c r="AG113" i="21"/>
  <c r="AD113" i="21"/>
  <c r="AA113" i="21"/>
  <c r="X113" i="21"/>
  <c r="V113" i="21"/>
  <c r="W113" i="21" s="1"/>
  <c r="U113" i="21"/>
  <c r="T113" i="21"/>
  <c r="Q113" i="21"/>
  <c r="N113" i="21"/>
  <c r="K113" i="21"/>
  <c r="J113" i="21"/>
  <c r="I113" i="21"/>
  <c r="G113" i="21"/>
  <c r="H113" i="21" s="1"/>
  <c r="F113" i="21"/>
  <c r="E113" i="21"/>
  <c r="D113" i="21"/>
  <c r="C113" i="21"/>
  <c r="B113" i="21"/>
  <c r="AJ112" i="21"/>
  <c r="AG112" i="21"/>
  <c r="AD112" i="21"/>
  <c r="AA112" i="21"/>
  <c r="X112" i="21"/>
  <c r="V112" i="21"/>
  <c r="W112" i="21" s="1"/>
  <c r="U112" i="21"/>
  <c r="T112" i="21"/>
  <c r="Q112" i="21"/>
  <c r="N112" i="21"/>
  <c r="K112" i="21"/>
  <c r="J112" i="21"/>
  <c r="I112" i="21"/>
  <c r="G112" i="21"/>
  <c r="H112" i="21" s="1"/>
  <c r="F112" i="21"/>
  <c r="E112" i="21"/>
  <c r="D112" i="21"/>
  <c r="C112" i="21"/>
  <c r="B112" i="21"/>
  <c r="AJ111" i="21"/>
  <c r="AG111" i="21"/>
  <c r="AD111" i="21"/>
  <c r="AA111" i="21"/>
  <c r="X111" i="21"/>
  <c r="V111" i="21"/>
  <c r="W111" i="21" s="1"/>
  <c r="U111" i="21"/>
  <c r="T111" i="21"/>
  <c r="Q111" i="21"/>
  <c r="N111" i="21"/>
  <c r="K111" i="21"/>
  <c r="J111" i="21"/>
  <c r="I111" i="21"/>
  <c r="G111" i="21"/>
  <c r="H111" i="21" s="1"/>
  <c r="F111" i="21"/>
  <c r="E111" i="21"/>
  <c r="D111" i="21"/>
  <c r="C111" i="21"/>
  <c r="B111" i="21"/>
  <c r="AJ110" i="21"/>
  <c r="AG110" i="21"/>
  <c r="AD110" i="21"/>
  <c r="AA110" i="21"/>
  <c r="X110" i="21"/>
  <c r="V110" i="21"/>
  <c r="W110" i="21" s="1"/>
  <c r="U110" i="21"/>
  <c r="T110" i="21"/>
  <c r="Q110" i="21"/>
  <c r="N110" i="21"/>
  <c r="K110" i="21"/>
  <c r="J110" i="21"/>
  <c r="I110" i="21"/>
  <c r="G110" i="21"/>
  <c r="H110" i="21" s="1"/>
  <c r="F110" i="21"/>
  <c r="E110" i="21"/>
  <c r="D110" i="21"/>
  <c r="C110" i="21"/>
  <c r="B110" i="21"/>
  <c r="AJ109" i="21"/>
  <c r="AG109" i="21"/>
  <c r="AD109" i="21"/>
  <c r="AA109" i="21"/>
  <c r="X109" i="21"/>
  <c r="V109" i="21"/>
  <c r="W109" i="21" s="1"/>
  <c r="U109" i="21"/>
  <c r="T109" i="21"/>
  <c r="Q109" i="21"/>
  <c r="N109" i="21"/>
  <c r="K109" i="21"/>
  <c r="J109" i="21"/>
  <c r="I109" i="21"/>
  <c r="G109" i="21"/>
  <c r="H109" i="21" s="1"/>
  <c r="F109" i="21"/>
  <c r="E109" i="21"/>
  <c r="D109" i="21"/>
  <c r="C109" i="21"/>
  <c r="B109" i="21"/>
  <c r="AS108" i="21" a="1"/>
  <c r="AP108" i="21" a="1"/>
  <c r="AM108" i="21" a="1"/>
  <c r="AJ108" i="21"/>
  <c r="AG108" i="21"/>
  <c r="AD108" i="21"/>
  <c r="X108" i="21"/>
  <c r="V108" i="21"/>
  <c r="W108" i="21" s="1"/>
  <c r="U108" i="21"/>
  <c r="T108" i="21"/>
  <c r="Q108" i="21"/>
  <c r="N108" i="21"/>
  <c r="K108" i="21"/>
  <c r="J108" i="21"/>
  <c r="I108" i="21"/>
  <c r="G108" i="21"/>
  <c r="H108" i="21" s="1"/>
  <c r="F108" i="21"/>
  <c r="E108" i="21"/>
  <c r="D108" i="21"/>
  <c r="C108" i="21"/>
  <c r="B108" i="21"/>
  <c r="AJ107" i="21"/>
  <c r="AG107" i="21"/>
  <c r="AD107" i="21"/>
  <c r="AA107" i="21"/>
  <c r="X107" i="21"/>
  <c r="V107" i="21"/>
  <c r="W107" i="21" s="1"/>
  <c r="U107" i="21"/>
  <c r="T107" i="21"/>
  <c r="Q107" i="21"/>
  <c r="N107" i="21"/>
  <c r="K107" i="21"/>
  <c r="J107" i="21"/>
  <c r="I107" i="21"/>
  <c r="G107" i="21"/>
  <c r="H107" i="21" s="1"/>
  <c r="F107" i="21"/>
  <c r="E107" i="21"/>
  <c r="D107" i="21"/>
  <c r="C107" i="21"/>
  <c r="B107" i="21"/>
  <c r="AJ106" i="21"/>
  <c r="AG106" i="21"/>
  <c r="AD106" i="21"/>
  <c r="AA106" i="21"/>
  <c r="X106" i="21"/>
  <c r="V106" i="21"/>
  <c r="W106" i="21" s="1"/>
  <c r="U106" i="21"/>
  <c r="T106" i="21"/>
  <c r="Q106" i="21"/>
  <c r="N106" i="21"/>
  <c r="K106" i="21"/>
  <c r="J106" i="21"/>
  <c r="I106" i="21"/>
  <c r="G106" i="21"/>
  <c r="H106" i="21" s="1"/>
  <c r="F106" i="21"/>
  <c r="E106" i="21"/>
  <c r="D106" i="21"/>
  <c r="C106" i="21"/>
  <c r="B106" i="21"/>
  <c r="AJ105" i="21"/>
  <c r="AG105" i="21"/>
  <c r="AD105" i="21"/>
  <c r="AA105" i="21"/>
  <c r="X105" i="21"/>
  <c r="V105" i="21"/>
  <c r="W105" i="21" s="1"/>
  <c r="U105" i="21"/>
  <c r="T105" i="21"/>
  <c r="Q105" i="21"/>
  <c r="N105" i="21"/>
  <c r="K105" i="21"/>
  <c r="J105" i="21"/>
  <c r="I105" i="21"/>
  <c r="G105" i="21"/>
  <c r="H105" i="21" s="1"/>
  <c r="F105" i="21"/>
  <c r="E105" i="21"/>
  <c r="D105" i="21"/>
  <c r="C105" i="21"/>
  <c r="B105" i="21"/>
  <c r="AJ104" i="21"/>
  <c r="AG104" i="21"/>
  <c r="AD104" i="21"/>
  <c r="AA104" i="21"/>
  <c r="X104" i="21"/>
  <c r="V104" i="21"/>
  <c r="W104" i="21" s="1"/>
  <c r="U104" i="21"/>
  <c r="T104" i="21"/>
  <c r="Q104" i="21"/>
  <c r="N104" i="21"/>
  <c r="K104" i="21"/>
  <c r="J104" i="21"/>
  <c r="I104" i="21"/>
  <c r="G104" i="21"/>
  <c r="H104" i="21" s="1"/>
  <c r="F104" i="21"/>
  <c r="E104" i="21"/>
  <c r="D104" i="21"/>
  <c r="C104" i="21"/>
  <c r="B104" i="21"/>
  <c r="AJ103" i="21"/>
  <c r="AG103" i="21"/>
  <c r="AD103" i="21"/>
  <c r="AA103" i="21"/>
  <c r="X103" i="21"/>
  <c r="V103" i="21"/>
  <c r="W103" i="21" s="1"/>
  <c r="U103" i="21"/>
  <c r="T103" i="21"/>
  <c r="Q103" i="21"/>
  <c r="N103" i="21"/>
  <c r="K103" i="21"/>
  <c r="J103" i="21"/>
  <c r="I103" i="21"/>
  <c r="G103" i="21"/>
  <c r="H103" i="21" s="1"/>
  <c r="F103" i="21"/>
  <c r="E103" i="21"/>
  <c r="D103" i="21"/>
  <c r="C103" i="21"/>
  <c r="B103" i="21"/>
  <c r="AJ102" i="21"/>
  <c r="AG102" i="21"/>
  <c r="AD102" i="21"/>
  <c r="AA102" i="21"/>
  <c r="X102" i="21"/>
  <c r="V102" i="21"/>
  <c r="W102" i="21" s="1"/>
  <c r="U102" i="21"/>
  <c r="T102" i="21"/>
  <c r="Q102" i="21"/>
  <c r="N102" i="21"/>
  <c r="K102" i="21"/>
  <c r="J102" i="21"/>
  <c r="I102" i="21"/>
  <c r="G102" i="21"/>
  <c r="H102" i="21" s="1"/>
  <c r="F102" i="21"/>
  <c r="E102" i="21"/>
  <c r="D102" i="21"/>
  <c r="C102" i="21"/>
  <c r="B102" i="21"/>
  <c r="AS101" i="21" a="1"/>
  <c r="AP101" i="21" a="1"/>
  <c r="AM101" i="21" a="1"/>
  <c r="AJ101" i="21"/>
  <c r="AG101" i="21"/>
  <c r="AD101" i="21"/>
  <c r="AA101" i="21"/>
  <c r="X101" i="21"/>
  <c r="V101" i="21"/>
  <c r="W101" i="21" s="1"/>
  <c r="U101" i="21"/>
  <c r="T101" i="21"/>
  <c r="Q101" i="21"/>
  <c r="N101" i="21"/>
  <c r="K101" i="21"/>
  <c r="J101" i="21"/>
  <c r="I101" i="21"/>
  <c r="G101" i="21"/>
  <c r="H101" i="21" s="1"/>
  <c r="F101" i="21"/>
  <c r="E101" i="21"/>
  <c r="D101" i="21"/>
  <c r="C101" i="21"/>
  <c r="B101" i="21"/>
  <c r="AJ100" i="21"/>
  <c r="AG100" i="21"/>
  <c r="AD100" i="21"/>
  <c r="AA100" i="21"/>
  <c r="X100" i="21"/>
  <c r="V100" i="21"/>
  <c r="W100" i="21" s="1"/>
  <c r="U100" i="21"/>
  <c r="T100" i="21"/>
  <c r="Q100" i="21"/>
  <c r="N100" i="21"/>
  <c r="K100" i="21"/>
  <c r="J100" i="21"/>
  <c r="I100" i="21"/>
  <c r="G100" i="21"/>
  <c r="H100" i="21" s="1"/>
  <c r="F100" i="21"/>
  <c r="E100" i="21"/>
  <c r="D100" i="21"/>
  <c r="C100" i="21"/>
  <c r="B100" i="21"/>
  <c r="AJ99" i="21"/>
  <c r="AG99" i="21"/>
  <c r="AD99" i="21"/>
  <c r="AA99" i="21"/>
  <c r="X99" i="21"/>
  <c r="V99" i="21"/>
  <c r="W99" i="21" s="1"/>
  <c r="U99" i="21"/>
  <c r="T99" i="21"/>
  <c r="Q99" i="21"/>
  <c r="N99" i="21"/>
  <c r="K99" i="21"/>
  <c r="J99" i="21"/>
  <c r="I99" i="21"/>
  <c r="G99" i="21"/>
  <c r="H99" i="21" s="1"/>
  <c r="F99" i="21"/>
  <c r="E99" i="21"/>
  <c r="D99" i="21"/>
  <c r="C99" i="21"/>
  <c r="B99" i="21"/>
  <c r="AJ98" i="21"/>
  <c r="AG98" i="21"/>
  <c r="AD98" i="21"/>
  <c r="AA98" i="21"/>
  <c r="X98" i="21"/>
  <c r="V98" i="21"/>
  <c r="W98" i="21" s="1"/>
  <c r="U98" i="21"/>
  <c r="T98" i="21"/>
  <c r="Q98" i="21"/>
  <c r="N98" i="21"/>
  <c r="K98" i="21"/>
  <c r="J98" i="21"/>
  <c r="I98" i="21"/>
  <c r="G98" i="21"/>
  <c r="H98" i="21" s="1"/>
  <c r="F98" i="21"/>
  <c r="E98" i="21"/>
  <c r="D98" i="21"/>
  <c r="C98" i="21"/>
  <c r="B98" i="21"/>
  <c r="AJ97" i="21"/>
  <c r="AG97" i="21"/>
  <c r="AD97" i="21"/>
  <c r="AA97" i="21"/>
  <c r="X97" i="21"/>
  <c r="V97" i="21"/>
  <c r="W97" i="21" s="1"/>
  <c r="U97" i="21"/>
  <c r="T97" i="21"/>
  <c r="Q97" i="21"/>
  <c r="N97" i="21"/>
  <c r="K97" i="21"/>
  <c r="J97" i="21"/>
  <c r="I97" i="21"/>
  <c r="G97" i="21"/>
  <c r="H97" i="21" s="1"/>
  <c r="F97" i="21"/>
  <c r="E97" i="21"/>
  <c r="D97" i="21"/>
  <c r="C97" i="21"/>
  <c r="B97" i="21"/>
  <c r="AJ96" i="21"/>
  <c r="AG96" i="21"/>
  <c r="AD96" i="21"/>
  <c r="AA96" i="21"/>
  <c r="X96" i="21"/>
  <c r="V96" i="21"/>
  <c r="W96" i="21" s="1"/>
  <c r="U96" i="21"/>
  <c r="T96" i="21"/>
  <c r="Q96" i="21"/>
  <c r="N96" i="21"/>
  <c r="K96" i="21"/>
  <c r="J96" i="21"/>
  <c r="I96" i="21"/>
  <c r="G96" i="21"/>
  <c r="H96" i="21" s="1"/>
  <c r="F96" i="21"/>
  <c r="E96" i="21"/>
  <c r="D96" i="21"/>
  <c r="C96" i="21"/>
  <c r="B96" i="21"/>
  <c r="AJ95" i="21"/>
  <c r="AG95" i="21"/>
  <c r="AD95" i="21"/>
  <c r="AA95" i="21"/>
  <c r="X95" i="21"/>
  <c r="V95" i="21"/>
  <c r="W95" i="21" s="1"/>
  <c r="U95" i="21"/>
  <c r="T95" i="21"/>
  <c r="Q95" i="21"/>
  <c r="N95" i="21"/>
  <c r="K95" i="21"/>
  <c r="J95" i="21"/>
  <c r="I95" i="21"/>
  <c r="G95" i="21"/>
  <c r="H95" i="21" s="1"/>
  <c r="F95" i="21"/>
  <c r="E95" i="21"/>
  <c r="D95" i="21"/>
  <c r="C95" i="21"/>
  <c r="B95" i="21"/>
  <c r="AS94" i="21" a="1"/>
  <c r="AP94" i="21" a="1"/>
  <c r="AM94" i="21" a="1"/>
  <c r="AJ94" i="21"/>
  <c r="AG94" i="21"/>
  <c r="AD94" i="21"/>
  <c r="AA94" i="21"/>
  <c r="X94" i="21"/>
  <c r="V94" i="21"/>
  <c r="W94" i="21" s="1"/>
  <c r="U94" i="21"/>
  <c r="T94" i="21"/>
  <c r="Q94" i="21"/>
  <c r="N94" i="21"/>
  <c r="K94" i="21"/>
  <c r="J94" i="21"/>
  <c r="I94" i="21"/>
  <c r="G94" i="21"/>
  <c r="H94" i="21" s="1"/>
  <c r="F94" i="21"/>
  <c r="E94" i="21"/>
  <c r="D94" i="21"/>
  <c r="C94" i="21"/>
  <c r="B94" i="21"/>
  <c r="AJ93" i="21"/>
  <c r="AG93" i="21"/>
  <c r="AD93" i="21"/>
  <c r="AA93" i="21"/>
  <c r="X93" i="21"/>
  <c r="V93" i="21"/>
  <c r="W93" i="21" s="1"/>
  <c r="U93" i="21"/>
  <c r="T93" i="21"/>
  <c r="Q93" i="21"/>
  <c r="N93" i="21"/>
  <c r="K93" i="21"/>
  <c r="J93" i="21"/>
  <c r="I93" i="21"/>
  <c r="G93" i="21"/>
  <c r="H93" i="21" s="1"/>
  <c r="F93" i="21"/>
  <c r="E93" i="21"/>
  <c r="D93" i="21"/>
  <c r="C93" i="21"/>
  <c r="B93" i="21"/>
  <c r="AJ92" i="21"/>
  <c r="AG92" i="21"/>
  <c r="AD92" i="21"/>
  <c r="AA92" i="21"/>
  <c r="X92" i="21"/>
  <c r="V92" i="21"/>
  <c r="W92" i="21" s="1"/>
  <c r="U92" i="21"/>
  <c r="T92" i="21"/>
  <c r="Q92" i="21"/>
  <c r="N92" i="21"/>
  <c r="K92" i="21"/>
  <c r="J92" i="21"/>
  <c r="I92" i="21"/>
  <c r="G92" i="21"/>
  <c r="H92" i="21" s="1"/>
  <c r="F92" i="21"/>
  <c r="E92" i="21"/>
  <c r="D92" i="21"/>
  <c r="C92" i="21"/>
  <c r="B92" i="21"/>
  <c r="AJ91" i="21"/>
  <c r="AG91" i="21"/>
  <c r="AD91" i="21"/>
  <c r="AA91" i="21"/>
  <c r="X91" i="21"/>
  <c r="V91" i="21"/>
  <c r="W91" i="21" s="1"/>
  <c r="U91" i="21"/>
  <c r="T91" i="21"/>
  <c r="Q91" i="21"/>
  <c r="N91" i="21"/>
  <c r="K91" i="21"/>
  <c r="J91" i="21"/>
  <c r="I91" i="21"/>
  <c r="G91" i="21"/>
  <c r="H91" i="21" s="1"/>
  <c r="F91" i="21"/>
  <c r="E91" i="21"/>
  <c r="D91" i="21"/>
  <c r="C91" i="21"/>
  <c r="B91" i="21"/>
  <c r="AJ90" i="21"/>
  <c r="AG90" i="21"/>
  <c r="AD90" i="21"/>
  <c r="AA90" i="21"/>
  <c r="X90" i="21"/>
  <c r="V90" i="21"/>
  <c r="W90" i="21" s="1"/>
  <c r="U90" i="21"/>
  <c r="T90" i="21"/>
  <c r="Q90" i="21"/>
  <c r="N90" i="21"/>
  <c r="K90" i="21"/>
  <c r="J90" i="21"/>
  <c r="I90" i="21"/>
  <c r="G90" i="21"/>
  <c r="H90" i="21" s="1"/>
  <c r="F90" i="21"/>
  <c r="E90" i="21"/>
  <c r="D90" i="21"/>
  <c r="C90" i="21"/>
  <c r="B90" i="21"/>
  <c r="AJ89" i="21"/>
  <c r="AG89" i="21"/>
  <c r="AD89" i="21"/>
  <c r="AA89" i="21"/>
  <c r="X89" i="21"/>
  <c r="V89" i="21"/>
  <c r="W89" i="21" s="1"/>
  <c r="U89" i="21"/>
  <c r="T89" i="21"/>
  <c r="Q89" i="21"/>
  <c r="N89" i="21"/>
  <c r="K89" i="21"/>
  <c r="J89" i="21"/>
  <c r="I89" i="21"/>
  <c r="G89" i="21"/>
  <c r="H89" i="21" s="1"/>
  <c r="F89" i="21"/>
  <c r="E89" i="21"/>
  <c r="D89" i="21"/>
  <c r="C89" i="21"/>
  <c r="B89" i="21"/>
  <c r="AJ88" i="21"/>
  <c r="AG88" i="21"/>
  <c r="AD88" i="21"/>
  <c r="AA88" i="21"/>
  <c r="X88" i="21"/>
  <c r="V88" i="21"/>
  <c r="W88" i="21" s="1"/>
  <c r="U88" i="21"/>
  <c r="T88" i="21"/>
  <c r="Q88" i="21"/>
  <c r="N88" i="21"/>
  <c r="K88" i="21"/>
  <c r="J88" i="21"/>
  <c r="I88" i="21"/>
  <c r="G88" i="21"/>
  <c r="H88" i="21" s="1"/>
  <c r="F88" i="21"/>
  <c r="E88" i="21"/>
  <c r="D88" i="21"/>
  <c r="C88" i="21"/>
  <c r="B88" i="21"/>
  <c r="AJ87" i="21"/>
  <c r="AG87" i="21"/>
  <c r="AD87" i="21"/>
  <c r="AA87" i="21"/>
  <c r="X87" i="21"/>
  <c r="V87" i="21"/>
  <c r="W87" i="21" s="1"/>
  <c r="U87" i="21"/>
  <c r="T87" i="21"/>
  <c r="Q87" i="21"/>
  <c r="N87" i="21"/>
  <c r="K87" i="21"/>
  <c r="J87" i="21"/>
  <c r="I87" i="21"/>
  <c r="G87" i="21"/>
  <c r="H87" i="21" s="1"/>
  <c r="F87" i="21"/>
  <c r="E87" i="21"/>
  <c r="D87" i="21"/>
  <c r="C87" i="21"/>
  <c r="B87" i="21"/>
  <c r="AS86" i="21" a="1"/>
  <c r="AS86" i="21" s="1"/>
  <c r="AP86" i="21" a="1"/>
  <c r="AM86" i="21" a="1"/>
  <c r="AM86" i="21" s="1"/>
  <c r="AJ86" i="21"/>
  <c r="AG86" i="21"/>
  <c r="AD86" i="21"/>
  <c r="X86" i="21"/>
  <c r="V86" i="21"/>
  <c r="W86" i="21" s="1"/>
  <c r="U86" i="21"/>
  <c r="T86" i="21"/>
  <c r="Q86" i="21"/>
  <c r="N86" i="21"/>
  <c r="K86" i="21"/>
  <c r="J86" i="21"/>
  <c r="I86" i="21"/>
  <c r="G86" i="21"/>
  <c r="H86" i="21" s="1"/>
  <c r="F86" i="21"/>
  <c r="E86" i="21"/>
  <c r="D86" i="21"/>
  <c r="C86" i="21"/>
  <c r="B86" i="21"/>
  <c r="AJ85" i="21"/>
  <c r="AG85" i="21"/>
  <c r="AD85" i="21"/>
  <c r="AA85" i="21"/>
  <c r="X85" i="21"/>
  <c r="V85" i="21"/>
  <c r="W85" i="21" s="1"/>
  <c r="U85" i="21"/>
  <c r="T85" i="21"/>
  <c r="Q85" i="21"/>
  <c r="N85" i="21"/>
  <c r="K85" i="21"/>
  <c r="J85" i="21"/>
  <c r="I85" i="21"/>
  <c r="G85" i="21"/>
  <c r="H85" i="21" s="1"/>
  <c r="F85" i="21"/>
  <c r="E85" i="21"/>
  <c r="D85" i="21"/>
  <c r="C85" i="21"/>
  <c r="B85" i="21"/>
  <c r="AS84" i="21" a="1"/>
  <c r="AS84" i="21" s="1"/>
  <c r="AP84" i="21" a="1"/>
  <c r="AP84" i="21" s="1"/>
  <c r="AM84" i="21" a="1"/>
  <c r="AJ84" i="21"/>
  <c r="AG84" i="21"/>
  <c r="AD84" i="21"/>
  <c r="AA84" i="21"/>
  <c r="X84" i="21"/>
  <c r="V84" i="21"/>
  <c r="W84" i="21" s="1"/>
  <c r="U84" i="21"/>
  <c r="T84" i="21"/>
  <c r="Q84" i="21"/>
  <c r="N84" i="21"/>
  <c r="K84" i="21"/>
  <c r="J84" i="21"/>
  <c r="I84" i="21"/>
  <c r="G84" i="21"/>
  <c r="H84" i="21" s="1"/>
  <c r="F84" i="21"/>
  <c r="E84" i="21"/>
  <c r="D84" i="21"/>
  <c r="C84" i="21"/>
  <c r="B84" i="21"/>
  <c r="AJ83" i="21"/>
  <c r="AG83" i="21"/>
  <c r="AD83" i="21"/>
  <c r="AA83" i="21"/>
  <c r="X83" i="21"/>
  <c r="V83" i="21"/>
  <c r="W83" i="21" s="1"/>
  <c r="U83" i="21"/>
  <c r="T83" i="21"/>
  <c r="Q83" i="21"/>
  <c r="N83" i="21"/>
  <c r="K83" i="21"/>
  <c r="J83" i="21"/>
  <c r="I83" i="21"/>
  <c r="G83" i="21"/>
  <c r="H83" i="21" s="1"/>
  <c r="F83" i="21"/>
  <c r="E83" i="21"/>
  <c r="D83" i="21"/>
  <c r="C83" i="21"/>
  <c r="B83" i="21"/>
  <c r="AJ82" i="21"/>
  <c r="AG82" i="21"/>
  <c r="AD82" i="21"/>
  <c r="AA82" i="21"/>
  <c r="X82" i="21"/>
  <c r="V82" i="21"/>
  <c r="W82" i="21" s="1"/>
  <c r="U82" i="21"/>
  <c r="T82" i="21"/>
  <c r="Q82" i="21"/>
  <c r="N82" i="21"/>
  <c r="K82" i="21"/>
  <c r="J82" i="21"/>
  <c r="I82" i="21"/>
  <c r="G82" i="21"/>
  <c r="H82" i="21" s="1"/>
  <c r="F82" i="21"/>
  <c r="E82" i="21"/>
  <c r="D82" i="21"/>
  <c r="C82" i="21"/>
  <c r="B82" i="21"/>
  <c r="AS81" i="21" a="1"/>
  <c r="AS81" i="21" s="1"/>
  <c r="AP81" i="21" a="1"/>
  <c r="AM81" i="21" a="1"/>
  <c r="AM81" i="21" s="1"/>
  <c r="AJ81" i="21"/>
  <c r="AG81" i="21"/>
  <c r="AD81" i="21"/>
  <c r="AA81" i="21"/>
  <c r="X81" i="21"/>
  <c r="V81" i="21"/>
  <c r="W81" i="21" s="1"/>
  <c r="U81" i="21"/>
  <c r="T81" i="21"/>
  <c r="Q81" i="21"/>
  <c r="N81" i="21"/>
  <c r="K81" i="21"/>
  <c r="J81" i="21"/>
  <c r="I81" i="21"/>
  <c r="G81" i="21"/>
  <c r="H81" i="21" s="1"/>
  <c r="F81" i="21"/>
  <c r="E81" i="21"/>
  <c r="D81" i="21"/>
  <c r="C81" i="21"/>
  <c r="B81" i="21"/>
  <c r="AJ80" i="21"/>
  <c r="AG80" i="21"/>
  <c r="AD80" i="21"/>
  <c r="AA80" i="21"/>
  <c r="X80" i="21"/>
  <c r="V80" i="21"/>
  <c r="W80" i="21" s="1"/>
  <c r="U80" i="21"/>
  <c r="T80" i="21"/>
  <c r="Q80" i="21"/>
  <c r="N80" i="21"/>
  <c r="K80" i="21"/>
  <c r="J80" i="21"/>
  <c r="I80" i="21"/>
  <c r="G80" i="21"/>
  <c r="H80" i="21" s="1"/>
  <c r="F80" i="21"/>
  <c r="E80" i="21"/>
  <c r="D80" i="21"/>
  <c r="C80" i="21"/>
  <c r="B80" i="21"/>
  <c r="AS79" i="21" a="1"/>
  <c r="AS79" i="21" s="1"/>
  <c r="AP79" i="21" a="1"/>
  <c r="AM79" i="21" a="1"/>
  <c r="AM79" i="21" s="1"/>
  <c r="AJ79" i="21"/>
  <c r="AG79" i="21"/>
  <c r="AD79" i="21"/>
  <c r="AA79" i="21"/>
  <c r="X79" i="21"/>
  <c r="V79" i="21"/>
  <c r="W79" i="21" s="1"/>
  <c r="U79" i="21"/>
  <c r="T79" i="21"/>
  <c r="Q79" i="21"/>
  <c r="N79" i="21"/>
  <c r="K79" i="21"/>
  <c r="J79" i="21"/>
  <c r="I79" i="21"/>
  <c r="G79" i="21"/>
  <c r="H79" i="21" s="1"/>
  <c r="F79" i="21"/>
  <c r="E79" i="21"/>
  <c r="D79" i="21"/>
  <c r="C79" i="21"/>
  <c r="B79" i="21"/>
  <c r="AJ78" i="21"/>
  <c r="AG78" i="21"/>
  <c r="AD78" i="21"/>
  <c r="AA78" i="21"/>
  <c r="X78" i="21"/>
  <c r="V78" i="21"/>
  <c r="W78" i="21" s="1"/>
  <c r="U78" i="21"/>
  <c r="T78" i="21"/>
  <c r="Q78" i="21"/>
  <c r="N78" i="21"/>
  <c r="K78" i="21"/>
  <c r="J78" i="21"/>
  <c r="I78" i="21"/>
  <c r="G78" i="21"/>
  <c r="H78" i="21" s="1"/>
  <c r="F78" i="21"/>
  <c r="E78" i="21"/>
  <c r="D78" i="21"/>
  <c r="C78" i="21"/>
  <c r="B78" i="21"/>
  <c r="AJ77" i="21"/>
  <c r="AG77" i="21"/>
  <c r="AD77" i="21"/>
  <c r="AA77" i="21"/>
  <c r="X77" i="21"/>
  <c r="V77" i="21"/>
  <c r="W77" i="21" s="1"/>
  <c r="U77" i="21"/>
  <c r="T77" i="21"/>
  <c r="Q77" i="21"/>
  <c r="N77" i="21"/>
  <c r="K77" i="21"/>
  <c r="J77" i="21"/>
  <c r="I77" i="21"/>
  <c r="G77" i="21"/>
  <c r="H77" i="21" s="1"/>
  <c r="F77" i="21"/>
  <c r="E77" i="21"/>
  <c r="D77" i="21"/>
  <c r="C77" i="21"/>
  <c r="B77" i="21"/>
  <c r="AS76" i="21" a="1"/>
  <c r="AS76" i="21" s="1"/>
  <c r="AP76" i="21" a="1"/>
  <c r="AM76" i="21" a="1"/>
  <c r="AM76" i="21" s="1"/>
  <c r="AJ76" i="21"/>
  <c r="AG76" i="21"/>
  <c r="AD76" i="21"/>
  <c r="X76" i="21"/>
  <c r="U76" i="21"/>
  <c r="T76" i="21"/>
  <c r="Q76" i="21"/>
  <c r="N76" i="21"/>
  <c r="J76" i="21"/>
  <c r="I76" i="21"/>
  <c r="G76" i="21"/>
  <c r="H76" i="21" s="1"/>
  <c r="F76" i="21"/>
  <c r="E76" i="21"/>
  <c r="D76" i="21"/>
  <c r="C76" i="21"/>
  <c r="B76" i="21"/>
  <c r="AJ75" i="21"/>
  <c r="AG75" i="21"/>
  <c r="AD75" i="21"/>
  <c r="AA75" i="21"/>
  <c r="X75" i="21"/>
  <c r="V75" i="21"/>
  <c r="W75" i="21" s="1"/>
  <c r="U75" i="21"/>
  <c r="T75" i="21"/>
  <c r="Q75" i="21"/>
  <c r="N75" i="21"/>
  <c r="K75" i="21"/>
  <c r="J75" i="21"/>
  <c r="I75" i="21"/>
  <c r="G75" i="21"/>
  <c r="H75" i="21" s="1"/>
  <c r="F75" i="21"/>
  <c r="E75" i="21"/>
  <c r="D75" i="21"/>
  <c r="C75" i="21"/>
  <c r="B75" i="21"/>
  <c r="AJ74" i="21"/>
  <c r="AG74" i="21"/>
  <c r="AD74" i="21"/>
  <c r="AA74" i="21"/>
  <c r="X74" i="21"/>
  <c r="V74" i="21"/>
  <c r="W74" i="21" s="1"/>
  <c r="U74" i="21"/>
  <c r="T74" i="21"/>
  <c r="Q74" i="21"/>
  <c r="N74" i="21"/>
  <c r="K74" i="21"/>
  <c r="J74" i="21"/>
  <c r="I74" i="21"/>
  <c r="G74" i="21"/>
  <c r="H74" i="21" s="1"/>
  <c r="F74" i="21"/>
  <c r="E74" i="21"/>
  <c r="D74" i="21"/>
  <c r="C74" i="21"/>
  <c r="B74" i="21"/>
  <c r="AS73" i="21" a="1"/>
  <c r="AP73" i="21" a="1"/>
  <c r="AM73" i="21" a="1"/>
  <c r="AM73" i="21" s="1"/>
  <c r="AJ73" i="21"/>
  <c r="AG73" i="21"/>
  <c r="AD73" i="21"/>
  <c r="X73" i="21"/>
  <c r="U73" i="21"/>
  <c r="T73" i="21"/>
  <c r="Q73" i="21"/>
  <c r="N73" i="21"/>
  <c r="J73" i="21"/>
  <c r="I73" i="21"/>
  <c r="G73" i="21"/>
  <c r="H73" i="21" s="1"/>
  <c r="F73" i="21"/>
  <c r="E73" i="21"/>
  <c r="D73" i="21"/>
  <c r="C73" i="21"/>
  <c r="B73" i="21"/>
  <c r="AJ72" i="21"/>
  <c r="AG72" i="21"/>
  <c r="AD72" i="21"/>
  <c r="AA72" i="21"/>
  <c r="X72" i="21"/>
  <c r="V72" i="21"/>
  <c r="W72" i="21" s="1"/>
  <c r="U72" i="21"/>
  <c r="T72" i="21"/>
  <c r="Q72" i="21"/>
  <c r="N72" i="21"/>
  <c r="K72" i="21"/>
  <c r="J72" i="21"/>
  <c r="I72" i="21"/>
  <c r="G72" i="21"/>
  <c r="H72" i="21" s="1"/>
  <c r="F72" i="21"/>
  <c r="E72" i="21"/>
  <c r="D72" i="21"/>
  <c r="C72" i="21"/>
  <c r="B72" i="21"/>
  <c r="AJ71" i="21"/>
  <c r="AG71" i="21"/>
  <c r="AD71" i="21"/>
  <c r="AA71" i="21"/>
  <c r="X71" i="21"/>
  <c r="U71" i="21"/>
  <c r="T71" i="21"/>
  <c r="Q71" i="21"/>
  <c r="N71" i="21"/>
  <c r="K71" i="21"/>
  <c r="J71" i="21"/>
  <c r="I71" i="21"/>
  <c r="G71" i="21"/>
  <c r="H71" i="21" s="1"/>
  <c r="F71" i="21"/>
  <c r="E71" i="21"/>
  <c r="D71" i="21"/>
  <c r="C71" i="21"/>
  <c r="B71" i="21"/>
  <c r="AS70" i="21" a="1"/>
  <c r="AS70" i="21" s="1"/>
  <c r="AP70" i="21" a="1"/>
  <c r="AP70" i="21" s="1"/>
  <c r="AM70" i="21" a="1"/>
  <c r="AJ70" i="21"/>
  <c r="AG70" i="21"/>
  <c r="AD70" i="21"/>
  <c r="X70" i="21"/>
  <c r="U70" i="21"/>
  <c r="T70" i="21"/>
  <c r="Q70" i="21"/>
  <c r="N70" i="21"/>
  <c r="J70" i="21"/>
  <c r="L70" i="21" s="1"/>
  <c r="M70" i="21" s="1"/>
  <c r="I70" i="21"/>
  <c r="G70" i="21"/>
  <c r="H70" i="21" s="1"/>
  <c r="F70" i="21"/>
  <c r="E70" i="21"/>
  <c r="D70" i="21"/>
  <c r="C70" i="21"/>
  <c r="B70" i="21"/>
  <c r="AJ69" i="21"/>
  <c r="AG69" i="21"/>
  <c r="AD69" i="21"/>
  <c r="AA69" i="21"/>
  <c r="X69" i="21"/>
  <c r="V69" i="21"/>
  <c r="W69" i="21" s="1"/>
  <c r="U69" i="21"/>
  <c r="T69" i="21"/>
  <c r="Q69" i="21"/>
  <c r="N69" i="21"/>
  <c r="K69" i="21"/>
  <c r="J69" i="21"/>
  <c r="I69" i="21"/>
  <c r="G69" i="21"/>
  <c r="H69" i="21" s="1"/>
  <c r="F69" i="21"/>
  <c r="E69" i="21"/>
  <c r="D69" i="21"/>
  <c r="C69" i="21"/>
  <c r="B69" i="21"/>
  <c r="AJ68" i="21"/>
  <c r="AG68" i="21"/>
  <c r="AD68" i="21"/>
  <c r="AA68" i="21"/>
  <c r="X68" i="21"/>
  <c r="V68" i="21"/>
  <c r="W68" i="21" s="1"/>
  <c r="U68" i="21"/>
  <c r="T68" i="21"/>
  <c r="Q68" i="21"/>
  <c r="N68" i="21"/>
  <c r="K68" i="21"/>
  <c r="J68" i="21"/>
  <c r="I68" i="21"/>
  <c r="G68" i="21"/>
  <c r="H68" i="21" s="1"/>
  <c r="F68" i="21"/>
  <c r="E68" i="21"/>
  <c r="D68" i="21"/>
  <c r="C68" i="21"/>
  <c r="B68" i="21"/>
  <c r="AJ67" i="21"/>
  <c r="AG67" i="21"/>
  <c r="AD67" i="21"/>
  <c r="AA67" i="21"/>
  <c r="X67" i="21"/>
  <c r="V67" i="21"/>
  <c r="W67" i="21" s="1"/>
  <c r="U67" i="21"/>
  <c r="T67" i="21"/>
  <c r="Q67" i="21"/>
  <c r="N67" i="21"/>
  <c r="K67" i="21"/>
  <c r="J67" i="21"/>
  <c r="I67" i="21"/>
  <c r="G67" i="21"/>
  <c r="H67" i="21" s="1"/>
  <c r="F67" i="21"/>
  <c r="E67" i="21"/>
  <c r="D67" i="21"/>
  <c r="C67" i="21"/>
  <c r="B67" i="21"/>
  <c r="AS66" i="21" a="1"/>
  <c r="AP66" i="21" a="1"/>
  <c r="AM66" i="21" a="1"/>
  <c r="AJ66" i="21"/>
  <c r="AG66" i="21"/>
  <c r="AD66" i="21"/>
  <c r="AA66" i="21"/>
  <c r="X66" i="21"/>
  <c r="V66" i="21"/>
  <c r="W66" i="21" s="1"/>
  <c r="U66" i="21"/>
  <c r="T66" i="21"/>
  <c r="Q66" i="21"/>
  <c r="N66" i="21"/>
  <c r="K66" i="21"/>
  <c r="J66" i="21"/>
  <c r="I66" i="21"/>
  <c r="G66" i="21"/>
  <c r="H66" i="21" s="1"/>
  <c r="F66" i="21"/>
  <c r="E66" i="21"/>
  <c r="D66" i="21"/>
  <c r="C66" i="21"/>
  <c r="B66" i="21"/>
  <c r="AJ65" i="21"/>
  <c r="AG65" i="21"/>
  <c r="AD65" i="21"/>
  <c r="AA65" i="21"/>
  <c r="X65" i="21"/>
  <c r="V65" i="21"/>
  <c r="W65" i="21" s="1"/>
  <c r="U65" i="21"/>
  <c r="T65" i="21"/>
  <c r="Q65" i="21"/>
  <c r="N65" i="21"/>
  <c r="K65" i="21"/>
  <c r="J65" i="21"/>
  <c r="I65" i="21"/>
  <c r="G65" i="21"/>
  <c r="H65" i="21" s="1"/>
  <c r="F65" i="21"/>
  <c r="E65" i="21"/>
  <c r="D65" i="21"/>
  <c r="C65" i="21"/>
  <c r="B65" i="21"/>
  <c r="AJ64" i="21"/>
  <c r="AG64" i="21"/>
  <c r="AD64" i="21"/>
  <c r="AA64" i="21"/>
  <c r="X64" i="21"/>
  <c r="V64" i="21"/>
  <c r="W64" i="21" s="1"/>
  <c r="U64" i="21"/>
  <c r="T64" i="21"/>
  <c r="Q64" i="21"/>
  <c r="N64" i="21"/>
  <c r="K64" i="21"/>
  <c r="J64" i="21"/>
  <c r="I64" i="21"/>
  <c r="G64" i="21"/>
  <c r="H64" i="21" s="1"/>
  <c r="F64" i="21"/>
  <c r="E64" i="21"/>
  <c r="D64" i="21"/>
  <c r="C64" i="21"/>
  <c r="B64" i="21"/>
  <c r="AJ63" i="21"/>
  <c r="AG63" i="21"/>
  <c r="AD63" i="21"/>
  <c r="AA63" i="21"/>
  <c r="X63" i="21"/>
  <c r="V63" i="21"/>
  <c r="W63" i="21" s="1"/>
  <c r="U63" i="21"/>
  <c r="T63" i="21"/>
  <c r="Q63" i="21"/>
  <c r="N63" i="21"/>
  <c r="K63" i="21"/>
  <c r="J63" i="21"/>
  <c r="I63" i="21"/>
  <c r="G63" i="21"/>
  <c r="H63" i="21" s="1"/>
  <c r="F63" i="21"/>
  <c r="E63" i="21"/>
  <c r="D63" i="21"/>
  <c r="C63" i="21"/>
  <c r="B63" i="21"/>
  <c r="AS62" i="21" a="1"/>
  <c r="AP62" i="21" a="1"/>
  <c r="AM62" i="21" a="1"/>
  <c r="AJ62" i="21"/>
  <c r="AG62" i="21"/>
  <c r="AD62" i="21"/>
  <c r="AA62" i="21"/>
  <c r="X62" i="21"/>
  <c r="V62" i="21"/>
  <c r="W62" i="21" s="1"/>
  <c r="U62" i="21"/>
  <c r="T62" i="21"/>
  <c r="Q62" i="21"/>
  <c r="N62" i="21"/>
  <c r="K62" i="21"/>
  <c r="J62" i="21"/>
  <c r="I62" i="21"/>
  <c r="G62" i="21"/>
  <c r="H62" i="21" s="1"/>
  <c r="F62" i="21"/>
  <c r="E62" i="21"/>
  <c r="D62" i="21"/>
  <c r="C62" i="21"/>
  <c r="B62" i="21"/>
  <c r="AJ61" i="21"/>
  <c r="AG61" i="21"/>
  <c r="AD61" i="21"/>
  <c r="AA61" i="21"/>
  <c r="X61" i="21"/>
  <c r="V61" i="21"/>
  <c r="W61" i="21" s="1"/>
  <c r="U61" i="21"/>
  <c r="T61" i="21"/>
  <c r="Q61" i="21"/>
  <c r="N61" i="21"/>
  <c r="K61" i="21"/>
  <c r="J61" i="21"/>
  <c r="I61" i="21"/>
  <c r="G61" i="21"/>
  <c r="H61" i="21" s="1"/>
  <c r="F61" i="21"/>
  <c r="E61" i="21"/>
  <c r="D61" i="21"/>
  <c r="C61" i="21"/>
  <c r="B61" i="21"/>
  <c r="AJ60" i="21"/>
  <c r="AG60" i="21"/>
  <c r="AD60" i="21"/>
  <c r="AA60" i="21"/>
  <c r="X60" i="21"/>
  <c r="V60" i="21"/>
  <c r="W60" i="21" s="1"/>
  <c r="U60" i="21"/>
  <c r="T60" i="21"/>
  <c r="Q60" i="21"/>
  <c r="N60" i="21"/>
  <c r="K60" i="21"/>
  <c r="J60" i="21"/>
  <c r="I60" i="21"/>
  <c r="G60" i="21"/>
  <c r="H60" i="21" s="1"/>
  <c r="F60" i="21"/>
  <c r="E60" i="21"/>
  <c r="D60" i="21"/>
  <c r="C60" i="21"/>
  <c r="B60" i="21"/>
  <c r="AS59" i="21" a="1"/>
  <c r="AP59" i="21" a="1"/>
  <c r="AP59" i="21" s="1"/>
  <c r="AM59" i="21" a="1"/>
  <c r="AJ59" i="21"/>
  <c r="AG59" i="21"/>
  <c r="AD59" i="21"/>
  <c r="X59" i="21"/>
  <c r="V59" i="21"/>
  <c r="W59" i="21" s="1"/>
  <c r="U59" i="21"/>
  <c r="T59" i="21"/>
  <c r="Q59" i="21"/>
  <c r="N59" i="21"/>
  <c r="J59" i="21"/>
  <c r="I59" i="21"/>
  <c r="G59" i="21"/>
  <c r="H59" i="21" s="1"/>
  <c r="F59" i="21"/>
  <c r="E59" i="21"/>
  <c r="D59" i="21"/>
  <c r="C59" i="21"/>
  <c r="B59" i="21"/>
  <c r="AJ58" i="21"/>
  <c r="AG58" i="21"/>
  <c r="AD58" i="21"/>
  <c r="AA58" i="21"/>
  <c r="X58" i="21"/>
  <c r="V58" i="21"/>
  <c r="W58" i="21" s="1"/>
  <c r="U58" i="21"/>
  <c r="T58" i="21"/>
  <c r="Q58" i="21"/>
  <c r="N58" i="21"/>
  <c r="K58" i="21"/>
  <c r="J58" i="21"/>
  <c r="I58" i="21"/>
  <c r="G58" i="21"/>
  <c r="H58" i="21" s="1"/>
  <c r="F58" i="21"/>
  <c r="E58" i="21"/>
  <c r="D58" i="21"/>
  <c r="C58" i="21"/>
  <c r="B58" i="21"/>
  <c r="AJ57" i="21"/>
  <c r="AG57" i="21"/>
  <c r="AD57" i="21"/>
  <c r="AA57" i="21"/>
  <c r="X57" i="21"/>
  <c r="V57" i="21"/>
  <c r="W57" i="21" s="1"/>
  <c r="U57" i="21"/>
  <c r="T57" i="21"/>
  <c r="Q57" i="21"/>
  <c r="N57" i="21"/>
  <c r="K57" i="21"/>
  <c r="J57" i="21"/>
  <c r="I57" i="21"/>
  <c r="G57" i="21"/>
  <c r="H57" i="21" s="1"/>
  <c r="F57" i="21"/>
  <c r="E57" i="21"/>
  <c r="D57" i="21"/>
  <c r="C57" i="21"/>
  <c r="B57" i="21"/>
  <c r="AS56" i="21" a="1"/>
  <c r="AT57" i="21" s="1"/>
  <c r="AU57" i="21" s="1"/>
  <c r="AP56" i="21" a="1"/>
  <c r="AM56" i="21" a="1"/>
  <c r="AM56" i="21" s="1"/>
  <c r="AJ56" i="21"/>
  <c r="AG56" i="21"/>
  <c r="AD56" i="21"/>
  <c r="X56" i="21"/>
  <c r="V56" i="21"/>
  <c r="W56" i="21" s="1"/>
  <c r="U56" i="21"/>
  <c r="T56" i="21"/>
  <c r="Q56" i="21"/>
  <c r="N56" i="21"/>
  <c r="K56" i="21"/>
  <c r="J56" i="21"/>
  <c r="I56" i="21"/>
  <c r="G56" i="21"/>
  <c r="H56" i="21" s="1"/>
  <c r="F56" i="21"/>
  <c r="E56" i="21"/>
  <c r="D56" i="21"/>
  <c r="C56" i="21"/>
  <c r="B56" i="21"/>
  <c r="AJ55" i="21"/>
  <c r="AG55" i="21"/>
  <c r="AD55" i="21"/>
  <c r="AA55" i="21"/>
  <c r="X55" i="21"/>
  <c r="V55" i="21"/>
  <c r="W55" i="21" s="1"/>
  <c r="U55" i="21"/>
  <c r="T55" i="21"/>
  <c r="Q55" i="21"/>
  <c r="N55" i="21"/>
  <c r="K55" i="21"/>
  <c r="J55" i="21"/>
  <c r="I55" i="21"/>
  <c r="G55" i="21"/>
  <c r="H55" i="21" s="1"/>
  <c r="F55" i="21"/>
  <c r="E55" i="21"/>
  <c r="D55" i="21"/>
  <c r="C55" i="21"/>
  <c r="B55" i="21"/>
  <c r="AS54" i="21" a="1"/>
  <c r="AP54" i="21" a="1"/>
  <c r="AM54" i="21" a="1"/>
  <c r="AJ54" i="21"/>
  <c r="AG54" i="21"/>
  <c r="AD54" i="21"/>
  <c r="AA54" i="21"/>
  <c r="X54" i="21"/>
  <c r="V54" i="21"/>
  <c r="W54" i="21" s="1"/>
  <c r="U54" i="21"/>
  <c r="T54" i="21"/>
  <c r="Q54" i="21"/>
  <c r="N54" i="21"/>
  <c r="K54" i="21"/>
  <c r="J54" i="21"/>
  <c r="I54" i="21"/>
  <c r="G54" i="21"/>
  <c r="H54" i="21" s="1"/>
  <c r="F54" i="21"/>
  <c r="E54" i="21"/>
  <c r="D54" i="21"/>
  <c r="C54" i="21"/>
  <c r="B54" i="21"/>
  <c r="AJ53" i="21"/>
  <c r="AG53" i="21"/>
  <c r="AD53" i="21"/>
  <c r="AA53" i="21"/>
  <c r="X53" i="21"/>
  <c r="V53" i="21"/>
  <c r="W53" i="21" s="1"/>
  <c r="U53" i="21"/>
  <c r="T53" i="21"/>
  <c r="Q53" i="21"/>
  <c r="N53" i="21"/>
  <c r="K53" i="21"/>
  <c r="J53" i="21"/>
  <c r="AB53" i="21" s="1"/>
  <c r="AC53" i="21" s="1"/>
  <c r="I53" i="21"/>
  <c r="G53" i="21"/>
  <c r="H53" i="21" s="1"/>
  <c r="F53" i="21"/>
  <c r="E53" i="21"/>
  <c r="D53" i="21"/>
  <c r="C53" i="21"/>
  <c r="B53" i="21"/>
  <c r="AJ52" i="21"/>
  <c r="AG52" i="21"/>
  <c r="AD52" i="21"/>
  <c r="AA52" i="21"/>
  <c r="X52" i="21"/>
  <c r="V52" i="21"/>
  <c r="W52" i="21" s="1"/>
  <c r="U52" i="21"/>
  <c r="T52" i="21"/>
  <c r="Q52" i="21"/>
  <c r="N52" i="21"/>
  <c r="K52" i="21"/>
  <c r="J52" i="21"/>
  <c r="I52" i="21"/>
  <c r="G52" i="21"/>
  <c r="H52" i="21" s="1"/>
  <c r="F52" i="21"/>
  <c r="E52" i="21"/>
  <c r="D52" i="21"/>
  <c r="C52" i="21"/>
  <c r="B52" i="21"/>
  <c r="AJ51" i="21"/>
  <c r="AG51" i="21"/>
  <c r="AD51" i="21"/>
  <c r="AA51" i="21"/>
  <c r="X51" i="21"/>
  <c r="V51" i="21"/>
  <c r="W51" i="21" s="1"/>
  <c r="U51" i="21"/>
  <c r="T51" i="21"/>
  <c r="Q51" i="21"/>
  <c r="N51" i="21"/>
  <c r="K51" i="21"/>
  <c r="J51" i="21"/>
  <c r="AB51" i="21" s="1"/>
  <c r="AC51" i="21" s="1"/>
  <c r="I51" i="21"/>
  <c r="G51" i="21"/>
  <c r="H51" i="21" s="1"/>
  <c r="F51" i="21"/>
  <c r="E51" i="21"/>
  <c r="D51" i="21"/>
  <c r="C51" i="21"/>
  <c r="B51" i="21"/>
  <c r="AS50" i="21" a="1"/>
  <c r="AS50" i="21" s="1"/>
  <c r="AP50" i="21" a="1"/>
  <c r="AM50" i="21" a="1"/>
  <c r="AJ50" i="21"/>
  <c r="AG50" i="21"/>
  <c r="AD50" i="21"/>
  <c r="AA50" i="21"/>
  <c r="X50" i="21"/>
  <c r="V50" i="21"/>
  <c r="W50" i="21" s="1"/>
  <c r="U50" i="21"/>
  <c r="T50" i="21"/>
  <c r="Q50" i="21"/>
  <c r="N50" i="21"/>
  <c r="K50" i="21"/>
  <c r="J50" i="21"/>
  <c r="I50" i="21"/>
  <c r="G50" i="21"/>
  <c r="H50" i="21" s="1"/>
  <c r="F50" i="21"/>
  <c r="E50" i="21"/>
  <c r="D50" i="21"/>
  <c r="C50" i="21"/>
  <c r="B50" i="21"/>
  <c r="AJ49" i="21"/>
  <c r="AG49" i="21"/>
  <c r="AD49" i="21"/>
  <c r="AA49" i="21"/>
  <c r="X49" i="21"/>
  <c r="V49" i="21"/>
  <c r="W49" i="21" s="1"/>
  <c r="U49" i="21"/>
  <c r="T49" i="21"/>
  <c r="Q49" i="21"/>
  <c r="N49" i="21"/>
  <c r="K49" i="21"/>
  <c r="J49" i="21"/>
  <c r="I49" i="21"/>
  <c r="G49" i="21"/>
  <c r="H49" i="21" s="1"/>
  <c r="F49" i="21"/>
  <c r="E49" i="21"/>
  <c r="D49" i="21"/>
  <c r="C49" i="21"/>
  <c r="B49" i="21"/>
  <c r="AJ48" i="21"/>
  <c r="AG48" i="21"/>
  <c r="AD48" i="21"/>
  <c r="AA48" i="21"/>
  <c r="X48" i="21"/>
  <c r="V48" i="21"/>
  <c r="W48" i="21" s="1"/>
  <c r="U48" i="21"/>
  <c r="T48" i="21"/>
  <c r="Q48" i="21"/>
  <c r="N48" i="21"/>
  <c r="K48" i="21"/>
  <c r="J48" i="21"/>
  <c r="I48" i="21"/>
  <c r="G48" i="21"/>
  <c r="H48" i="21" s="1"/>
  <c r="F48" i="21"/>
  <c r="E48" i="21"/>
  <c r="D48" i="21"/>
  <c r="C48" i="21"/>
  <c r="B48" i="21"/>
  <c r="AJ47" i="21"/>
  <c r="AG47" i="21"/>
  <c r="AD47" i="21"/>
  <c r="AA47" i="21"/>
  <c r="X47" i="21"/>
  <c r="V47" i="21"/>
  <c r="W47" i="21" s="1"/>
  <c r="U47" i="21"/>
  <c r="T47" i="21"/>
  <c r="Q47" i="21"/>
  <c r="N47" i="21"/>
  <c r="K47" i="21"/>
  <c r="J47" i="21"/>
  <c r="I47" i="21"/>
  <c r="G47" i="21"/>
  <c r="H47" i="21" s="1"/>
  <c r="F47" i="21"/>
  <c r="E47" i="21"/>
  <c r="D47" i="21"/>
  <c r="C47" i="21"/>
  <c r="B47" i="21"/>
  <c r="AJ46" i="21"/>
  <c r="AG46" i="21"/>
  <c r="AD46" i="21"/>
  <c r="AA46" i="21"/>
  <c r="X46" i="21"/>
  <c r="V46" i="21"/>
  <c r="W46" i="21" s="1"/>
  <c r="U46" i="21"/>
  <c r="T46" i="21"/>
  <c r="Q46" i="21"/>
  <c r="N46" i="21"/>
  <c r="K46" i="21"/>
  <c r="J46" i="21"/>
  <c r="I46" i="21"/>
  <c r="G46" i="21"/>
  <c r="H46" i="21" s="1"/>
  <c r="F46" i="21"/>
  <c r="E46" i="21"/>
  <c r="D46" i="21"/>
  <c r="C46" i="21"/>
  <c r="B46" i="21"/>
  <c r="AS45" i="21" a="1"/>
  <c r="AP45" i="21" a="1"/>
  <c r="AP45" i="21" s="1"/>
  <c r="AM45" i="21" a="1"/>
  <c r="AJ45" i="21"/>
  <c r="AG45" i="21"/>
  <c r="AD45" i="21"/>
  <c r="AA45" i="21"/>
  <c r="X45" i="21"/>
  <c r="V45" i="21"/>
  <c r="W45" i="21" s="1"/>
  <c r="U45" i="21"/>
  <c r="T45" i="21"/>
  <c r="Q45" i="21"/>
  <c r="N45" i="21"/>
  <c r="K45" i="21"/>
  <c r="J45" i="21"/>
  <c r="I45" i="21"/>
  <c r="G45" i="21"/>
  <c r="H45" i="21" s="1"/>
  <c r="F45" i="21"/>
  <c r="E45" i="21"/>
  <c r="D45" i="21"/>
  <c r="C45" i="21"/>
  <c r="B45" i="21"/>
  <c r="AJ44" i="21"/>
  <c r="AG44" i="21"/>
  <c r="AD44" i="21"/>
  <c r="AA44" i="21"/>
  <c r="X44" i="21"/>
  <c r="V44" i="21"/>
  <c r="W44" i="21" s="1"/>
  <c r="U44" i="21"/>
  <c r="T44" i="21"/>
  <c r="Q44" i="21"/>
  <c r="N44" i="21"/>
  <c r="K44" i="21"/>
  <c r="J44" i="21"/>
  <c r="I44" i="21"/>
  <c r="G44" i="21"/>
  <c r="H44" i="21" s="1"/>
  <c r="F44" i="21"/>
  <c r="E44" i="21"/>
  <c r="D44" i="21"/>
  <c r="C44" i="21"/>
  <c r="B44" i="21"/>
  <c r="AJ43" i="21"/>
  <c r="AG43" i="21"/>
  <c r="AD43" i="21"/>
  <c r="AA43" i="21"/>
  <c r="X43" i="21"/>
  <c r="V43" i="21"/>
  <c r="W43" i="21" s="1"/>
  <c r="U43" i="21"/>
  <c r="T43" i="21"/>
  <c r="Q43" i="21"/>
  <c r="N43" i="21"/>
  <c r="K43" i="21"/>
  <c r="J43" i="21"/>
  <c r="I43" i="21"/>
  <c r="G43" i="21"/>
  <c r="H43" i="21" s="1"/>
  <c r="F43" i="21"/>
  <c r="E43" i="21"/>
  <c r="D43" i="21"/>
  <c r="C43" i="21"/>
  <c r="B43" i="21"/>
  <c r="AJ42" i="21"/>
  <c r="AG42" i="21"/>
  <c r="AD42" i="21"/>
  <c r="AA42" i="21"/>
  <c r="X42" i="21"/>
  <c r="V42" i="21"/>
  <c r="W42" i="21" s="1"/>
  <c r="U42" i="21"/>
  <c r="T42" i="21"/>
  <c r="Q42" i="21"/>
  <c r="N42" i="21"/>
  <c r="K42" i="21"/>
  <c r="J42" i="21"/>
  <c r="I42" i="21"/>
  <c r="G42" i="21"/>
  <c r="H42" i="21" s="1"/>
  <c r="F42" i="21"/>
  <c r="E42" i="21"/>
  <c r="D42" i="21"/>
  <c r="C42" i="21"/>
  <c r="B42" i="21"/>
  <c r="AJ41" i="21"/>
  <c r="AG41" i="21"/>
  <c r="AD41" i="21"/>
  <c r="AA41" i="21"/>
  <c r="X41" i="21"/>
  <c r="V41" i="21"/>
  <c r="W41" i="21" s="1"/>
  <c r="U41" i="21"/>
  <c r="T41" i="21"/>
  <c r="Q41" i="21"/>
  <c r="N41" i="21"/>
  <c r="K41" i="21"/>
  <c r="J41" i="21"/>
  <c r="I41" i="21"/>
  <c r="G41" i="21"/>
  <c r="H41" i="21" s="1"/>
  <c r="F41" i="21"/>
  <c r="E41" i="21"/>
  <c r="D41" i="21"/>
  <c r="C41" i="21"/>
  <c r="B41" i="21"/>
  <c r="AJ40" i="21"/>
  <c r="AG40" i="21"/>
  <c r="AD40" i="21"/>
  <c r="AA40" i="21"/>
  <c r="X40" i="21"/>
  <c r="V40" i="21"/>
  <c r="W40" i="21" s="1"/>
  <c r="U40" i="21"/>
  <c r="T40" i="21"/>
  <c r="Q40" i="21"/>
  <c r="N40" i="21"/>
  <c r="K40" i="21"/>
  <c r="J40" i="21"/>
  <c r="AB40" i="21" s="1"/>
  <c r="AC40" i="21" s="1"/>
  <c r="I40" i="21"/>
  <c r="G40" i="21"/>
  <c r="H40" i="21" s="1"/>
  <c r="F40" i="21"/>
  <c r="E40" i="21"/>
  <c r="D40" i="21"/>
  <c r="C40" i="21"/>
  <c r="B40" i="21"/>
  <c r="AJ39" i="21"/>
  <c r="AG39" i="21"/>
  <c r="AD39" i="21"/>
  <c r="AA39" i="21"/>
  <c r="X39" i="21"/>
  <c r="V39" i="21"/>
  <c r="W39" i="21" s="1"/>
  <c r="U39" i="21"/>
  <c r="T39" i="21"/>
  <c r="Q39" i="21"/>
  <c r="N39" i="21"/>
  <c r="J39" i="21"/>
  <c r="I39" i="21"/>
  <c r="G39" i="21"/>
  <c r="H39" i="21" s="1"/>
  <c r="F39" i="21"/>
  <c r="E39" i="21"/>
  <c r="D39" i="21"/>
  <c r="C39" i="21"/>
  <c r="B39" i="21"/>
  <c r="AS38" i="21" a="1"/>
  <c r="AP38" i="21" a="1"/>
  <c r="AM38" i="21" a="1"/>
  <c r="AJ38" i="21"/>
  <c r="AG38" i="21"/>
  <c r="AD38" i="21"/>
  <c r="AA38" i="21"/>
  <c r="X38" i="21"/>
  <c r="U38" i="21"/>
  <c r="T38" i="21"/>
  <c r="Q38" i="21"/>
  <c r="N38" i="21"/>
  <c r="J38" i="21"/>
  <c r="I38" i="21"/>
  <c r="G38" i="21"/>
  <c r="H38" i="21" s="1"/>
  <c r="F38" i="21"/>
  <c r="E38" i="21"/>
  <c r="D38" i="21"/>
  <c r="C38" i="21"/>
  <c r="B38" i="21"/>
  <c r="AJ37" i="21"/>
  <c r="AG37" i="21"/>
  <c r="AD37" i="21"/>
  <c r="AA37" i="21"/>
  <c r="X37" i="21"/>
  <c r="V37" i="21"/>
  <c r="W37" i="21" s="1"/>
  <c r="U37" i="21"/>
  <c r="T37" i="21"/>
  <c r="Q37" i="21"/>
  <c r="N37" i="21"/>
  <c r="K37" i="21"/>
  <c r="J37" i="21"/>
  <c r="AB37" i="21" s="1"/>
  <c r="AC37" i="21" s="1"/>
  <c r="I37" i="21"/>
  <c r="G37" i="21"/>
  <c r="H37" i="21" s="1"/>
  <c r="F37" i="21"/>
  <c r="E37" i="21"/>
  <c r="D37" i="21"/>
  <c r="C37" i="21"/>
  <c r="B37" i="21"/>
  <c r="AJ36" i="21"/>
  <c r="AG36" i="21"/>
  <c r="AD36" i="21"/>
  <c r="AA36" i="21"/>
  <c r="X36" i="21"/>
  <c r="V36" i="21"/>
  <c r="W36" i="21" s="1"/>
  <c r="U36" i="21"/>
  <c r="T36" i="21"/>
  <c r="Q36" i="21"/>
  <c r="N36" i="21"/>
  <c r="K36" i="21"/>
  <c r="J36" i="21"/>
  <c r="I36" i="21"/>
  <c r="G36" i="21"/>
  <c r="H36" i="21" s="1"/>
  <c r="F36" i="21"/>
  <c r="E36" i="21"/>
  <c r="D36" i="21"/>
  <c r="C36" i="21"/>
  <c r="B36" i="21"/>
  <c r="AJ35" i="21"/>
  <c r="AG35" i="21"/>
  <c r="AD35" i="21"/>
  <c r="AA35" i="21"/>
  <c r="X35" i="21"/>
  <c r="V35" i="21"/>
  <c r="W35" i="21" s="1"/>
  <c r="U35" i="21"/>
  <c r="T35" i="21"/>
  <c r="Q35" i="21"/>
  <c r="N35" i="21"/>
  <c r="K35" i="21"/>
  <c r="J35" i="21"/>
  <c r="I35" i="21"/>
  <c r="G35" i="21"/>
  <c r="H35" i="21" s="1"/>
  <c r="F35" i="21"/>
  <c r="E35" i="21"/>
  <c r="D35" i="21"/>
  <c r="C35" i="21"/>
  <c r="B35" i="21"/>
  <c r="AJ34" i="21"/>
  <c r="AG34" i="21"/>
  <c r="AD34" i="21"/>
  <c r="AA34" i="21"/>
  <c r="X34" i="21"/>
  <c r="V34" i="21"/>
  <c r="W34" i="21" s="1"/>
  <c r="U34" i="21"/>
  <c r="T34" i="21"/>
  <c r="Q34" i="21"/>
  <c r="N34" i="21"/>
  <c r="K34" i="21"/>
  <c r="J34" i="21"/>
  <c r="I34" i="21"/>
  <c r="G34" i="21"/>
  <c r="H34" i="21" s="1"/>
  <c r="F34" i="21"/>
  <c r="E34" i="21"/>
  <c r="D34" i="21"/>
  <c r="C34" i="21"/>
  <c r="B34" i="21"/>
  <c r="AS33" i="21" a="1"/>
  <c r="AP33" i="21" a="1"/>
  <c r="AM33" i="21" a="1"/>
  <c r="AJ33" i="21"/>
  <c r="AG33" i="21"/>
  <c r="AD33" i="21"/>
  <c r="AA33" i="21"/>
  <c r="X33" i="21"/>
  <c r="V33" i="21"/>
  <c r="W33" i="21" s="1"/>
  <c r="U33" i="21"/>
  <c r="T33" i="21"/>
  <c r="Q33" i="21"/>
  <c r="N33" i="21"/>
  <c r="K33" i="21"/>
  <c r="J33" i="21"/>
  <c r="I33" i="21"/>
  <c r="G33" i="21"/>
  <c r="H33" i="21" s="1"/>
  <c r="F33" i="21"/>
  <c r="E33" i="21"/>
  <c r="D33" i="21"/>
  <c r="C33" i="21"/>
  <c r="B33" i="21"/>
  <c r="AJ27" i="21"/>
  <c r="AG27" i="21"/>
  <c r="AD27" i="21"/>
  <c r="AA27" i="21"/>
  <c r="X27" i="21"/>
  <c r="V27" i="21"/>
  <c r="W27" i="21" s="1"/>
  <c r="U27" i="21"/>
  <c r="T27" i="21"/>
  <c r="Q27" i="21"/>
  <c r="N27" i="21"/>
  <c r="K27" i="21"/>
  <c r="J27" i="21"/>
  <c r="I27" i="21"/>
  <c r="G27" i="21"/>
  <c r="H27" i="21" s="1"/>
  <c r="F27" i="21"/>
  <c r="E27" i="21"/>
  <c r="D27" i="21"/>
  <c r="C27" i="21"/>
  <c r="B27" i="21"/>
  <c r="AJ26" i="21"/>
  <c r="AG26" i="21"/>
  <c r="AD26" i="21"/>
  <c r="AA26" i="21"/>
  <c r="X26" i="21"/>
  <c r="V26" i="21"/>
  <c r="W26" i="21" s="1"/>
  <c r="U26" i="21"/>
  <c r="T26" i="21"/>
  <c r="Q26" i="21"/>
  <c r="N26" i="21"/>
  <c r="K26" i="21"/>
  <c r="J26" i="21"/>
  <c r="I26" i="21"/>
  <c r="G26" i="21"/>
  <c r="H26" i="21" s="1"/>
  <c r="F26" i="21"/>
  <c r="E26" i="21"/>
  <c r="D26" i="21"/>
  <c r="C26" i="21"/>
  <c r="B26" i="21"/>
  <c r="AJ25" i="21"/>
  <c r="AG25" i="21"/>
  <c r="AD25" i="21"/>
  <c r="AA25" i="21"/>
  <c r="X25" i="21"/>
  <c r="V25" i="21"/>
  <c r="W25" i="21" s="1"/>
  <c r="U25" i="21"/>
  <c r="T25" i="21"/>
  <c r="Q25" i="21"/>
  <c r="N25" i="21"/>
  <c r="K25" i="21"/>
  <c r="J25" i="21"/>
  <c r="I25" i="21"/>
  <c r="G25" i="21"/>
  <c r="H25" i="21" s="1"/>
  <c r="F25" i="21"/>
  <c r="E25" i="21"/>
  <c r="D25" i="21"/>
  <c r="C25" i="21"/>
  <c r="B25" i="21"/>
  <c r="AJ24" i="21"/>
  <c r="AG24" i="21"/>
  <c r="AD24" i="21"/>
  <c r="AA24" i="21"/>
  <c r="X24" i="21"/>
  <c r="V24" i="21"/>
  <c r="W24" i="21" s="1"/>
  <c r="U24" i="21"/>
  <c r="T24" i="21"/>
  <c r="Q24" i="21"/>
  <c r="N24" i="21"/>
  <c r="K24" i="21"/>
  <c r="J24" i="21"/>
  <c r="I24" i="21"/>
  <c r="G24" i="21"/>
  <c r="H24" i="21" s="1"/>
  <c r="F24" i="21"/>
  <c r="E24" i="21"/>
  <c r="D24" i="21"/>
  <c r="C24" i="21"/>
  <c r="B24" i="21"/>
  <c r="AJ23" i="21"/>
  <c r="AG23" i="21"/>
  <c r="AD23" i="21"/>
  <c r="AA23" i="21"/>
  <c r="X23" i="21"/>
  <c r="V23" i="21"/>
  <c r="W23" i="21" s="1"/>
  <c r="U23" i="21"/>
  <c r="T23" i="21"/>
  <c r="Q23" i="21"/>
  <c r="N23" i="21"/>
  <c r="K23" i="21"/>
  <c r="J23" i="21"/>
  <c r="I23" i="21"/>
  <c r="G23" i="21"/>
  <c r="H23" i="21" s="1"/>
  <c r="F23" i="21"/>
  <c r="E23" i="21"/>
  <c r="D23" i="21"/>
  <c r="C23" i="21"/>
  <c r="B23" i="21"/>
  <c r="AS22" i="21" a="1"/>
  <c r="AP22" i="21" a="1"/>
  <c r="AM22" i="21" a="1"/>
  <c r="AJ22" i="21"/>
  <c r="AG22" i="21"/>
  <c r="AD22" i="21"/>
  <c r="AA22" i="21"/>
  <c r="X22" i="21"/>
  <c r="V22" i="21"/>
  <c r="W22" i="21" s="1"/>
  <c r="U22" i="21"/>
  <c r="T22" i="21"/>
  <c r="Q22" i="21"/>
  <c r="N22" i="21"/>
  <c r="K22" i="21"/>
  <c r="J22" i="21"/>
  <c r="I22" i="21"/>
  <c r="G22" i="21"/>
  <c r="H22" i="21" s="1"/>
  <c r="F22" i="21"/>
  <c r="E22" i="21"/>
  <c r="D22" i="21"/>
  <c r="C22" i="21"/>
  <c r="B22" i="21"/>
  <c r="AJ21" i="21"/>
  <c r="AG21" i="21"/>
  <c r="AD21" i="21"/>
  <c r="AA21" i="21"/>
  <c r="X21" i="21"/>
  <c r="V21" i="21"/>
  <c r="W21" i="21" s="1"/>
  <c r="U21" i="21"/>
  <c r="T21" i="21"/>
  <c r="Q21" i="21"/>
  <c r="N21" i="21"/>
  <c r="K21" i="21"/>
  <c r="J21" i="21"/>
  <c r="I21" i="21"/>
  <c r="G21" i="21"/>
  <c r="H21" i="21" s="1"/>
  <c r="F21" i="21"/>
  <c r="E21" i="21"/>
  <c r="D21" i="21"/>
  <c r="C21" i="21"/>
  <c r="B21" i="21"/>
  <c r="AJ20" i="21"/>
  <c r="AG20" i="21"/>
  <c r="AD20" i="21"/>
  <c r="AA20" i="21"/>
  <c r="X20" i="21"/>
  <c r="V20" i="21"/>
  <c r="W20" i="21" s="1"/>
  <c r="U20" i="21"/>
  <c r="T20" i="21"/>
  <c r="Q20" i="21"/>
  <c r="N20" i="21"/>
  <c r="K20" i="21"/>
  <c r="J20" i="21"/>
  <c r="I20" i="21"/>
  <c r="G20" i="21"/>
  <c r="H20" i="21" s="1"/>
  <c r="F20" i="21"/>
  <c r="E20" i="21"/>
  <c r="D20" i="21"/>
  <c r="C20" i="21"/>
  <c r="B20" i="21"/>
  <c r="AJ19" i="21"/>
  <c r="AG19" i="21"/>
  <c r="AD19" i="21"/>
  <c r="AA19" i="21"/>
  <c r="X19" i="21"/>
  <c r="V19" i="21"/>
  <c r="W19" i="21" s="1"/>
  <c r="U19" i="21"/>
  <c r="T19" i="21"/>
  <c r="Q19" i="21"/>
  <c r="N19" i="21"/>
  <c r="K19" i="21"/>
  <c r="J19" i="21"/>
  <c r="AB19" i="21" s="1"/>
  <c r="AC19" i="21" s="1"/>
  <c r="I19" i="21"/>
  <c r="G19" i="21"/>
  <c r="H19" i="21" s="1"/>
  <c r="F19" i="21"/>
  <c r="E19" i="21"/>
  <c r="D19" i="21"/>
  <c r="C19" i="21"/>
  <c r="B19" i="21"/>
  <c r="AJ18" i="21"/>
  <c r="AG18" i="21"/>
  <c r="AD18" i="21"/>
  <c r="AA18" i="21"/>
  <c r="X18" i="21"/>
  <c r="V18" i="21"/>
  <c r="W18" i="21" s="1"/>
  <c r="U18" i="21"/>
  <c r="T18" i="21"/>
  <c r="Q18" i="21"/>
  <c r="N18" i="21"/>
  <c r="K18" i="21"/>
  <c r="J18" i="21"/>
  <c r="I18" i="21"/>
  <c r="G18" i="21"/>
  <c r="H18" i="21" s="1"/>
  <c r="F18" i="21"/>
  <c r="E18" i="21"/>
  <c r="D18" i="21"/>
  <c r="C18" i="21"/>
  <c r="B18" i="21"/>
  <c r="AJ17" i="21"/>
  <c r="AG17" i="21"/>
  <c r="AD17" i="21"/>
  <c r="AA17" i="21"/>
  <c r="X17" i="21"/>
  <c r="V17" i="21"/>
  <c r="W17" i="21" s="1"/>
  <c r="U17" i="21"/>
  <c r="T17" i="21"/>
  <c r="Q17" i="21"/>
  <c r="N17" i="21"/>
  <c r="K17" i="21"/>
  <c r="J17" i="21"/>
  <c r="AB17" i="21" s="1"/>
  <c r="AC17" i="21" s="1"/>
  <c r="I17" i="21"/>
  <c r="G17" i="21"/>
  <c r="H17" i="21" s="1"/>
  <c r="F17" i="21"/>
  <c r="E17" i="21"/>
  <c r="D17" i="21"/>
  <c r="C17" i="21"/>
  <c r="B17" i="21"/>
  <c r="AJ16" i="21"/>
  <c r="AG16" i="21"/>
  <c r="AD16" i="21"/>
  <c r="AA16" i="21"/>
  <c r="X16" i="21"/>
  <c r="V16" i="21"/>
  <c r="W16" i="21" s="1"/>
  <c r="U16" i="21"/>
  <c r="T16" i="21"/>
  <c r="Q16" i="21"/>
  <c r="N16" i="21"/>
  <c r="K16" i="21"/>
  <c r="J16" i="21"/>
  <c r="I16" i="21"/>
  <c r="G16" i="21"/>
  <c r="H16" i="21" s="1"/>
  <c r="F16" i="21"/>
  <c r="E16" i="21"/>
  <c r="D16" i="21"/>
  <c r="C16" i="21"/>
  <c r="B16" i="21"/>
  <c r="B13" i="21" s="1"/>
  <c r="AJ15" i="21"/>
  <c r="AG15" i="21"/>
  <c r="AD15" i="21"/>
  <c r="AA15" i="21"/>
  <c r="X15" i="21"/>
  <c r="V15" i="21"/>
  <c r="W15" i="21" s="1"/>
  <c r="U15" i="21"/>
  <c r="T15" i="21"/>
  <c r="Q15" i="21"/>
  <c r="N15" i="21"/>
  <c r="K15" i="21"/>
  <c r="J15" i="21"/>
  <c r="I15" i="21"/>
  <c r="G15" i="21"/>
  <c r="H15" i="21" s="1"/>
  <c r="F15" i="21"/>
  <c r="E15" i="21"/>
  <c r="D15" i="21"/>
  <c r="C15" i="21"/>
  <c r="B15" i="21"/>
  <c r="AJ14" i="21"/>
  <c r="AG14" i="21"/>
  <c r="AD14" i="21"/>
  <c r="AA14" i="21"/>
  <c r="X14" i="21"/>
  <c r="V14" i="21"/>
  <c r="W14" i="21" s="1"/>
  <c r="U14" i="21"/>
  <c r="T14" i="21"/>
  <c r="Q14" i="21"/>
  <c r="N14" i="21"/>
  <c r="K14" i="21"/>
  <c r="J14" i="21"/>
  <c r="AB14" i="21" s="1"/>
  <c r="AC14" i="21" s="1"/>
  <c r="I14" i="21"/>
  <c r="G14" i="21"/>
  <c r="H14" i="21" s="1"/>
  <c r="F14" i="21"/>
  <c r="E14" i="21"/>
  <c r="D14" i="21"/>
  <c r="C14" i="21"/>
  <c r="AJ13" i="21"/>
  <c r="AG13" i="21"/>
  <c r="AD13" i="21"/>
  <c r="AA13" i="21"/>
  <c r="X13" i="21"/>
  <c r="V13" i="21"/>
  <c r="W13" i="21" s="1"/>
  <c r="U13" i="21"/>
  <c r="T13" i="21"/>
  <c r="Q13" i="21"/>
  <c r="N13" i="21"/>
  <c r="K13" i="21"/>
  <c r="J13" i="21"/>
  <c r="I13" i="21"/>
  <c r="G13" i="21"/>
  <c r="H13" i="21" s="1"/>
  <c r="F13" i="21"/>
  <c r="E13" i="21"/>
  <c r="D13" i="21"/>
  <c r="C13" i="21"/>
  <c r="AS12" i="21" a="1"/>
  <c r="AP12" i="21" a="1"/>
  <c r="AM12" i="21" a="1"/>
  <c r="AM12" i="21" s="1"/>
  <c r="AJ12" i="21"/>
  <c r="AG12" i="21"/>
  <c r="AD12" i="21"/>
  <c r="AA12" i="21"/>
  <c r="X12" i="21"/>
  <c r="V12" i="21"/>
  <c r="W12" i="21" s="1"/>
  <c r="U12" i="21"/>
  <c r="T12" i="21"/>
  <c r="Q12" i="21"/>
  <c r="N12" i="21"/>
  <c r="K12" i="21"/>
  <c r="J12" i="21"/>
  <c r="I12" i="21"/>
  <c r="G12" i="21"/>
  <c r="H12" i="21" s="1"/>
  <c r="F12" i="21"/>
  <c r="E12" i="21"/>
  <c r="D12" i="21"/>
  <c r="C12" i="21"/>
  <c r="B12" i="21"/>
  <c r="G11" i="21"/>
  <c r="H11" i="21" s="1"/>
  <c r="F11" i="21"/>
  <c r="E11" i="21"/>
  <c r="D11" i="21"/>
  <c r="C11" i="21"/>
  <c r="B11" i="21"/>
  <c r="G10" i="21"/>
  <c r="H10" i="21" s="1"/>
  <c r="F10" i="21"/>
  <c r="E10" i="21"/>
  <c r="D10" i="21"/>
  <c r="C10" i="21"/>
  <c r="B10" i="21"/>
  <c r="AS9" i="21" a="1"/>
  <c r="AS9" i="21" s="1"/>
  <c r="AP9" i="21" a="1"/>
  <c r="AM9" i="21" a="1"/>
  <c r="AJ9" i="21" a="1"/>
  <c r="AJ9" i="21" s="1"/>
  <c r="AG9" i="21" a="1"/>
  <c r="AD9" i="21" a="1"/>
  <c r="AD9" i="21" s="1"/>
  <c r="AA9" i="21" a="1"/>
  <c r="AA9" i="21" s="1"/>
  <c r="X9" i="21" a="1"/>
  <c r="X9" i="21" s="1"/>
  <c r="V9" i="21" a="1"/>
  <c r="V9" i="21" s="1"/>
  <c r="W9" i="21" s="1" a="1"/>
  <c r="W9" i="21" s="1"/>
  <c r="U9" i="21" a="1"/>
  <c r="U9" i="21" s="1"/>
  <c r="T9" i="21" a="1"/>
  <c r="T9" i="21" s="1"/>
  <c r="Q9" i="21" a="1"/>
  <c r="Q9" i="21" s="1"/>
  <c r="N9" i="21" a="1"/>
  <c r="K9" i="21" a="1"/>
  <c r="J9" i="21" a="1"/>
  <c r="J9" i="21" s="1"/>
  <c r="I9" i="21" a="1"/>
  <c r="I9" i="21" s="1"/>
  <c r="G9" i="21"/>
  <c r="H9" i="21" s="1"/>
  <c r="F9" i="21"/>
  <c r="E9" i="21"/>
  <c r="D9" i="21"/>
  <c r="C9" i="21"/>
  <c r="B9" i="21"/>
  <c r="G8" i="21"/>
  <c r="H8" i="21" s="1"/>
  <c r="F8" i="21"/>
  <c r="E8" i="21"/>
  <c r="D8" i="21"/>
  <c r="C8" i="21"/>
  <c r="B8" i="21"/>
  <c r="G7" i="21"/>
  <c r="H7" i="21" s="1"/>
  <c r="F7" i="21"/>
  <c r="E7" i="21"/>
  <c r="D7" i="21"/>
  <c r="C7" i="21"/>
  <c r="B7" i="21"/>
  <c r="G6" i="21"/>
  <c r="H6" i="21" s="1"/>
  <c r="F6" i="21"/>
  <c r="E6" i="21"/>
  <c r="D6" i="21"/>
  <c r="C6" i="21"/>
  <c r="B6" i="21"/>
  <c r="G5" i="21"/>
  <c r="H5" i="21" s="1"/>
  <c r="F5" i="21"/>
  <c r="E5" i="21"/>
  <c r="D5" i="21"/>
  <c r="C5" i="21"/>
  <c r="B5" i="21"/>
  <c r="G4" i="21"/>
  <c r="H4" i="21" s="1"/>
  <c r="F4" i="21"/>
  <c r="E4" i="21"/>
  <c r="D4" i="21"/>
  <c r="C4" i="21"/>
  <c r="B4" i="21"/>
  <c r="AS3" i="21" a="1"/>
  <c r="AS3" i="21" s="1"/>
  <c r="AP3" i="21" a="1"/>
  <c r="AP3" i="21" s="1"/>
  <c r="AM3" i="21" a="1"/>
  <c r="AM3" i="21" s="1"/>
  <c r="AJ3" i="21" a="1"/>
  <c r="AJ3" i="21" s="1"/>
  <c r="AG3" i="21" a="1"/>
  <c r="AG3" i="21" s="1"/>
  <c r="AD3" i="21" a="1"/>
  <c r="AD3" i="21" s="1"/>
  <c r="AA3" i="21" a="1"/>
  <c r="X3" i="21" a="1"/>
  <c r="X3" i="21" s="1"/>
  <c r="V3" i="21" a="1"/>
  <c r="W8" i="21" s="1"/>
  <c r="U3" i="21" a="1"/>
  <c r="U3" i="21" s="1"/>
  <c r="T3" i="21" a="1"/>
  <c r="T3" i="21" s="1"/>
  <c r="Q3" i="21" a="1"/>
  <c r="N3" i="21" a="1"/>
  <c r="K3" i="21" a="1"/>
  <c r="J3" i="21" a="1"/>
  <c r="J3" i="21" s="1"/>
  <c r="I3" i="21" a="1"/>
  <c r="I3" i="21" s="1"/>
  <c r="G3" i="21"/>
  <c r="H3" i="21" s="1"/>
  <c r="F3" i="21"/>
  <c r="E3" i="21"/>
  <c r="D3" i="21"/>
  <c r="C3" i="21"/>
  <c r="B3" i="21"/>
  <c r="BD278" i="21" l="1"/>
  <c r="L212" i="21"/>
  <c r="M212" i="21" s="1"/>
  <c r="O30" i="21"/>
  <c r="P30" i="21" s="1"/>
  <c r="AT272" i="21"/>
  <c r="AU272" i="21" s="1"/>
  <c r="AE31" i="21"/>
  <c r="AF31" i="21" s="1"/>
  <c r="R275" i="21"/>
  <c r="S275" i="21" s="1"/>
  <c r="AZ251" i="21"/>
  <c r="BD257" i="21"/>
  <c r="BD94" i="21"/>
  <c r="BB97" i="21"/>
  <c r="AZ206" i="21"/>
  <c r="BB262" i="21"/>
  <c r="BB181" i="21"/>
  <c r="BB185" i="21"/>
  <c r="BD185" i="21"/>
  <c r="R261" i="21"/>
  <c r="S261" i="21" s="1"/>
  <c r="BB130" i="21"/>
  <c r="BB146" i="21"/>
  <c r="Y31" i="21"/>
  <c r="Z31" i="21" s="1"/>
  <c r="L64" i="21"/>
  <c r="M64" i="21" s="1"/>
  <c r="AE64" i="21"/>
  <c r="AF64" i="21" s="1"/>
  <c r="BB210" i="21"/>
  <c r="AQ291" i="21"/>
  <c r="AR291" i="21" s="1"/>
  <c r="BD14" i="21"/>
  <c r="BB242" i="21"/>
  <c r="AQ67" i="21"/>
  <c r="AR67" i="21" s="1"/>
  <c r="BD71" i="21"/>
  <c r="AH110" i="21"/>
  <c r="AI110" i="21" s="1"/>
  <c r="L117" i="21"/>
  <c r="M117" i="21" s="1"/>
  <c r="AN46" i="21"/>
  <c r="AO46" i="21" s="1"/>
  <c r="AT105" i="21"/>
  <c r="AU105" i="21" s="1"/>
  <c r="BD85" i="21"/>
  <c r="O119" i="21"/>
  <c r="P119" i="21" s="1"/>
  <c r="BD250" i="21"/>
  <c r="BD32" i="21"/>
  <c r="AE56" i="21"/>
  <c r="AF56" i="21" s="1"/>
  <c r="B14" i="21"/>
  <c r="O43" i="21"/>
  <c r="P43" i="21" s="1"/>
  <c r="AH43" i="21"/>
  <c r="AI43" i="21" s="1"/>
  <c r="L48" i="21"/>
  <c r="M48" i="21" s="1"/>
  <c r="BB156" i="21"/>
  <c r="BD203" i="21"/>
  <c r="BD215" i="21"/>
  <c r="BB269" i="21"/>
  <c r="AZ32" i="21"/>
  <c r="AK105" i="21"/>
  <c r="AL105" i="21" s="1"/>
  <c r="AQ29" i="21"/>
  <c r="AR29" i="21" s="1"/>
  <c r="L8" i="21"/>
  <c r="M8" i="21" s="1"/>
  <c r="O31" i="21"/>
  <c r="P31" i="21" s="1"/>
  <c r="AQ45" i="21"/>
  <c r="AR45" i="21" s="1"/>
  <c r="R71" i="21"/>
  <c r="S71" i="21" s="1"/>
  <c r="Y81" i="21"/>
  <c r="Z81" i="21" s="1"/>
  <c r="O105" i="21"/>
  <c r="P105" i="21" s="1"/>
  <c r="BD159" i="21"/>
  <c r="BD163" i="21"/>
  <c r="BB29" i="21"/>
  <c r="L34" i="21"/>
  <c r="M34" i="21" s="1"/>
  <c r="AE34" i="21"/>
  <c r="AF34" i="21" s="1"/>
  <c r="Y45" i="21"/>
  <c r="Z45" i="21" s="1"/>
  <c r="AH85" i="21"/>
  <c r="AI85" i="21" s="1"/>
  <c r="BD141" i="21"/>
  <c r="AQ217" i="21"/>
  <c r="AR217" i="21" s="1"/>
  <c r="BD29" i="21"/>
  <c r="O92" i="21"/>
  <c r="P92" i="21" s="1"/>
  <c r="AB132" i="21"/>
  <c r="AC132" i="21" s="1"/>
  <c r="BB155" i="21"/>
  <c r="BD31" i="21"/>
  <c r="AK100" i="21"/>
  <c r="AL100" i="21" s="1"/>
  <c r="BB280" i="21"/>
  <c r="BB31" i="21"/>
  <c r="AN31" i="21"/>
  <c r="AO31" i="21" s="1"/>
  <c r="AE71" i="21"/>
  <c r="AF71" i="21" s="1"/>
  <c r="AQ74" i="21"/>
  <c r="AR74" i="21" s="1"/>
  <c r="BD239" i="21"/>
  <c r="AB74" i="21"/>
  <c r="AC74" i="21" s="1"/>
  <c r="L38" i="21"/>
  <c r="M38" i="21" s="1"/>
  <c r="O64" i="21"/>
  <c r="P64" i="21" s="1"/>
  <c r="BD102" i="21"/>
  <c r="Y30" i="21"/>
  <c r="Z30" i="21" s="1"/>
  <c r="L104" i="21"/>
  <c r="M104" i="21" s="1"/>
  <c r="Y79" i="21"/>
  <c r="Z79" i="21" s="1"/>
  <c r="AT164" i="21"/>
  <c r="AU164" i="21" s="1"/>
  <c r="AK30" i="21"/>
  <c r="AL30" i="21" s="1"/>
  <c r="AB29" i="21"/>
  <c r="AC29" i="21" s="1"/>
  <c r="O29" i="21"/>
  <c r="P29" i="21" s="1"/>
  <c r="AB28" i="21"/>
  <c r="AC28" i="21" s="1"/>
  <c r="AT114" i="21"/>
  <c r="AU114" i="21" s="1"/>
  <c r="BD9" i="21"/>
  <c r="BD16" i="21"/>
  <c r="BD144" i="21"/>
  <c r="BD251" i="21"/>
  <c r="AH30" i="21"/>
  <c r="AI30" i="21" s="1"/>
  <c r="BD30" i="21"/>
  <c r="L30" i="21"/>
  <c r="M30" i="21" s="1"/>
  <c r="BB15" i="21"/>
  <c r="BD78" i="21"/>
  <c r="BB105" i="21"/>
  <c r="AK109" i="21"/>
  <c r="AL109" i="21" s="1"/>
  <c r="BD189" i="21"/>
  <c r="BB30" i="21"/>
  <c r="AT30" i="21"/>
  <c r="AU30" i="21" s="1"/>
  <c r="BB110" i="21"/>
  <c r="BB191" i="21"/>
  <c r="BB199" i="21"/>
  <c r="AZ232" i="21"/>
  <c r="BD245" i="21"/>
  <c r="AZ31" i="21"/>
  <c r="AT61" i="21"/>
  <c r="AU61" i="21" s="1"/>
  <c r="AE12" i="21"/>
  <c r="AF12" i="21" s="1"/>
  <c r="AH16" i="21"/>
  <c r="AI16" i="21" s="1"/>
  <c r="AK21" i="21"/>
  <c r="AL21" i="21" s="1"/>
  <c r="L26" i="21"/>
  <c r="M26" i="21" s="1"/>
  <c r="L43" i="21"/>
  <c r="M43" i="21" s="1"/>
  <c r="Y71" i="21"/>
  <c r="Z71" i="21" s="1"/>
  <c r="AE84" i="21"/>
  <c r="AF84" i="21" s="1"/>
  <c r="L112" i="21"/>
  <c r="M112" i="21" s="1"/>
  <c r="AE112" i="21"/>
  <c r="AF112" i="21" s="1"/>
  <c r="AQ126" i="21"/>
  <c r="AR126" i="21" s="1"/>
  <c r="BB239" i="21"/>
  <c r="AZ290" i="21"/>
  <c r="R29" i="21"/>
  <c r="S29" i="21" s="1"/>
  <c r="L52" i="21"/>
  <c r="M52" i="21" s="1"/>
  <c r="AT67" i="21"/>
  <c r="AU67" i="21" s="1"/>
  <c r="O71" i="21"/>
  <c r="P71" i="21" s="1"/>
  <c r="AT81" i="21"/>
  <c r="AU81" i="21" s="1"/>
  <c r="L86" i="21"/>
  <c r="M86" i="21" s="1"/>
  <c r="AH86" i="21"/>
  <c r="AI86" i="21" s="1"/>
  <c r="BD96" i="21"/>
  <c r="R101" i="21"/>
  <c r="S101" i="21" s="1"/>
  <c r="AE103" i="21"/>
  <c r="AF103" i="21" s="1"/>
  <c r="Y106" i="21"/>
  <c r="Z106" i="21" s="1"/>
  <c r="BD178" i="21"/>
  <c r="AH32" i="21"/>
  <c r="AI32" i="21" s="1"/>
  <c r="AN30" i="21"/>
  <c r="AO30" i="21" s="1"/>
  <c r="Y59" i="21"/>
  <c r="Z59" i="21" s="1"/>
  <c r="O80" i="21"/>
  <c r="P80" i="21" s="1"/>
  <c r="O88" i="21"/>
  <c r="P88" i="21" s="1"/>
  <c r="AB98" i="21"/>
  <c r="AC98" i="21" s="1"/>
  <c r="Y100" i="21"/>
  <c r="Z100" i="21" s="1"/>
  <c r="AK101" i="21"/>
  <c r="AL101" i="21" s="1"/>
  <c r="L106" i="21"/>
  <c r="M106" i="21" s="1"/>
  <c r="BB148" i="21"/>
  <c r="AN245" i="21"/>
  <c r="AO245" i="21" s="1"/>
  <c r="L259" i="21"/>
  <c r="M259" i="21" s="1"/>
  <c r="AE287" i="21"/>
  <c r="AF287" i="21" s="1"/>
  <c r="AQ3" i="21"/>
  <c r="AQ18" i="21"/>
  <c r="AR18" i="21" s="1"/>
  <c r="AE18" i="21"/>
  <c r="AF18" i="21" s="1"/>
  <c r="L42" i="21"/>
  <c r="M42" i="21" s="1"/>
  <c r="L114" i="21"/>
  <c r="M114" i="21" s="1"/>
  <c r="O116" i="21"/>
  <c r="P116" i="21" s="1"/>
  <c r="O125" i="21"/>
  <c r="P125" i="21" s="1"/>
  <c r="BD129" i="21"/>
  <c r="BD133" i="21"/>
  <c r="BB143" i="21"/>
  <c r="BB158" i="21"/>
  <c r="BB241" i="21"/>
  <c r="J241" i="21"/>
  <c r="R241" i="21" s="1"/>
  <c r="S241" i="21" s="1"/>
  <c r="AZ30" i="21"/>
  <c r="AK29" i="21"/>
  <c r="AL29" i="21" s="1"/>
  <c r="AN28" i="21"/>
  <c r="AO28" i="21" s="1"/>
  <c r="O18" i="21"/>
  <c r="P18" i="21" s="1"/>
  <c r="O25" i="21"/>
  <c r="P25" i="21" s="1"/>
  <c r="AK46" i="21"/>
  <c r="AL46" i="21" s="1"/>
  <c r="AZ62" i="21"/>
  <c r="AB64" i="21"/>
  <c r="AC64" i="21" s="1"/>
  <c r="R70" i="21"/>
  <c r="S70" i="21" s="1"/>
  <c r="AZ80" i="21"/>
  <c r="R129" i="21"/>
  <c r="S129" i="21" s="1"/>
  <c r="AZ134" i="21"/>
  <c r="AQ158" i="21"/>
  <c r="AR158" i="21" s="1"/>
  <c r="AE178" i="21"/>
  <c r="AF178" i="21" s="1"/>
  <c r="R221" i="21"/>
  <c r="S221" i="21" s="1"/>
  <c r="BD238" i="21"/>
  <c r="BD247" i="21"/>
  <c r="AK276" i="21"/>
  <c r="AL276" i="21" s="1"/>
  <c r="R286" i="21"/>
  <c r="S286" i="21" s="1"/>
  <c r="AK31" i="21"/>
  <c r="AL31" i="21" s="1"/>
  <c r="AK25" i="21"/>
  <c r="AL25" i="21" s="1"/>
  <c r="AN125" i="21"/>
  <c r="AO125" i="21" s="1"/>
  <c r="AZ138" i="21"/>
  <c r="AZ155" i="21"/>
  <c r="AE160" i="21"/>
  <c r="AF160" i="21" s="1"/>
  <c r="BB169" i="21"/>
  <c r="AH31" i="21"/>
  <c r="AI31" i="21" s="1"/>
  <c r="AE29" i="21"/>
  <c r="AF29" i="21" s="1"/>
  <c r="BD28" i="21"/>
  <c r="AT32" i="21"/>
  <c r="AU32" i="21" s="1"/>
  <c r="AK32" i="21"/>
  <c r="AL32" i="21" s="1"/>
  <c r="AS28" i="21"/>
  <c r="AT28" i="21" s="1"/>
  <c r="AU28" i="21" s="1"/>
  <c r="AE28" i="21"/>
  <c r="AF28" i="21" s="1"/>
  <c r="L73" i="21"/>
  <c r="M73" i="21" s="1"/>
  <c r="AT29" i="21"/>
  <c r="AU29" i="21" s="1"/>
  <c r="AQ36" i="21"/>
  <c r="AR36" i="21" s="1"/>
  <c r="AH182" i="21"/>
  <c r="AI182" i="21" s="1"/>
  <c r="BB190" i="21"/>
  <c r="AN237" i="21"/>
  <c r="AO237" i="21" s="1"/>
  <c r="AZ239" i="21"/>
  <c r="AK272" i="21"/>
  <c r="AL272" i="21" s="1"/>
  <c r="AT31" i="21"/>
  <c r="AU31" i="21" s="1"/>
  <c r="R30" i="21"/>
  <c r="S30" i="21" s="1"/>
  <c r="AE76" i="21"/>
  <c r="AF76" i="21" s="1"/>
  <c r="AH22" i="21"/>
  <c r="AI22" i="21" s="1"/>
  <c r="AE24" i="21"/>
  <c r="AF24" i="21" s="1"/>
  <c r="AT13" i="21"/>
  <c r="AU13" i="21" s="1"/>
  <c r="O41" i="21"/>
  <c r="P41" i="21" s="1"/>
  <c r="Y42" i="21"/>
  <c r="Z42" i="21" s="1"/>
  <c r="R55" i="21"/>
  <c r="S55" i="21" s="1"/>
  <c r="R63" i="21"/>
  <c r="S63" i="21" s="1"/>
  <c r="AK69" i="21"/>
  <c r="AL69" i="21" s="1"/>
  <c r="AQ89" i="21"/>
  <c r="AR89" i="21" s="1"/>
  <c r="R91" i="21"/>
  <c r="S91" i="21" s="1"/>
  <c r="Y104" i="21"/>
  <c r="Z104" i="21" s="1"/>
  <c r="AB116" i="21"/>
  <c r="AC116" i="21" s="1"/>
  <c r="AK119" i="21"/>
  <c r="AL119" i="21" s="1"/>
  <c r="L124" i="21"/>
  <c r="M124" i="21" s="1"/>
  <c r="Y126" i="21"/>
  <c r="Z126" i="21" s="1"/>
  <c r="L126" i="21"/>
  <c r="M126" i="21" s="1"/>
  <c r="BD152" i="21"/>
  <c r="R183" i="21"/>
  <c r="S183" i="21" s="1"/>
  <c r="BD183" i="21"/>
  <c r="AQ235" i="21"/>
  <c r="AR235" i="21" s="1"/>
  <c r="BD237" i="21"/>
  <c r="AQ31" i="21"/>
  <c r="AR31" i="21" s="1"/>
  <c r="AQ30" i="21"/>
  <c r="AR30" i="21" s="1"/>
  <c r="AB30" i="21"/>
  <c r="AC30" i="21" s="1"/>
  <c r="AN29" i="21"/>
  <c r="AO29" i="21" s="1"/>
  <c r="L251" i="21"/>
  <c r="M251" i="21" s="1"/>
  <c r="O91" i="21"/>
  <c r="P91" i="21" s="1"/>
  <c r="BB8" i="21"/>
  <c r="BD19" i="21"/>
  <c r="O20" i="21"/>
  <c r="P20" i="21" s="1"/>
  <c r="R24" i="21"/>
  <c r="S24" i="21" s="1"/>
  <c r="R36" i="21"/>
  <c r="S36" i="21" s="1"/>
  <c r="BD53" i="21"/>
  <c r="BB58" i="21"/>
  <c r="BB59" i="21"/>
  <c r="BB72" i="21"/>
  <c r="L74" i="21"/>
  <c r="M74" i="21" s="1"/>
  <c r="AE80" i="21"/>
  <c r="AF80" i="21" s="1"/>
  <c r="BB92" i="21"/>
  <c r="AH100" i="21"/>
  <c r="AI100" i="21" s="1"/>
  <c r="AE116" i="21"/>
  <c r="AF116" i="21" s="1"/>
  <c r="AK117" i="21"/>
  <c r="AL117" i="21" s="1"/>
  <c r="AT124" i="21"/>
  <c r="AU124" i="21" s="1"/>
  <c r="AE122" i="21"/>
  <c r="AF122" i="21" s="1"/>
  <c r="BD123" i="21"/>
  <c r="AE125" i="21"/>
  <c r="AF125" i="21" s="1"/>
  <c r="AT173" i="21"/>
  <c r="AU173" i="21" s="1"/>
  <c r="R189" i="21"/>
  <c r="S189" i="21" s="1"/>
  <c r="BD187" i="21"/>
  <c r="AN201" i="21"/>
  <c r="AO201" i="21" s="1"/>
  <c r="AH229" i="21"/>
  <c r="AI229" i="21" s="1"/>
  <c r="AZ226" i="21"/>
  <c r="AN266" i="21"/>
  <c r="AO266" i="21" s="1"/>
  <c r="BD275" i="21"/>
  <c r="BD280" i="21"/>
  <c r="BB292" i="21"/>
  <c r="AB31" i="21"/>
  <c r="AC31" i="21" s="1"/>
  <c r="L250" i="21"/>
  <c r="M250" i="21" s="1"/>
  <c r="L29" i="21"/>
  <c r="M29" i="21" s="1"/>
  <c r="L57" i="21"/>
  <c r="M57" i="21" s="1"/>
  <c r="L41" i="21"/>
  <c r="M41" i="21" s="1"/>
  <c r="BB3" i="21"/>
  <c r="BD8" i="21"/>
  <c r="AQ24" i="21"/>
  <c r="AR24" i="21" s="1"/>
  <c r="R27" i="21"/>
  <c r="S27" i="21" s="1"/>
  <c r="AK27" i="21"/>
  <c r="AL27" i="21" s="1"/>
  <c r="Y35" i="21"/>
  <c r="Z35" i="21" s="1"/>
  <c r="AZ37" i="21"/>
  <c r="BB39" i="21"/>
  <c r="AE52" i="21"/>
  <c r="AF52" i="21" s="1"/>
  <c r="O66" i="21"/>
  <c r="P66" i="21" s="1"/>
  <c r="AK67" i="21"/>
  <c r="AL67" i="21" s="1"/>
  <c r="AN77" i="21"/>
  <c r="AO77" i="21" s="1"/>
  <c r="AE79" i="21"/>
  <c r="AF79" i="21" s="1"/>
  <c r="AZ82" i="21"/>
  <c r="AK90" i="21"/>
  <c r="AL90" i="21" s="1"/>
  <c r="AZ91" i="21"/>
  <c r="BD103" i="21"/>
  <c r="AZ144" i="21"/>
  <c r="Y177" i="21"/>
  <c r="Z177" i="21" s="1"/>
  <c r="BB171" i="21"/>
  <c r="BB176" i="21"/>
  <c r="BB180" i="21"/>
  <c r="AK227" i="21"/>
  <c r="AL227" i="21" s="1"/>
  <c r="BD226" i="21"/>
  <c r="O274" i="21"/>
  <c r="P274" i="21" s="1"/>
  <c r="AZ287" i="21"/>
  <c r="BB28" i="21"/>
  <c r="L39" i="21"/>
  <c r="M39" i="21" s="1"/>
  <c r="O22" i="21"/>
  <c r="P22" i="21" s="1"/>
  <c r="AE41" i="21"/>
  <c r="AF41" i="21" s="1"/>
  <c r="O57" i="21"/>
  <c r="P57" i="21" s="1"/>
  <c r="AZ21" i="21"/>
  <c r="AH52" i="21"/>
  <c r="AI52" i="21" s="1"/>
  <c r="AH73" i="21"/>
  <c r="AI73" i="21" s="1"/>
  <c r="AK74" i="21"/>
  <c r="AL74" i="21" s="1"/>
  <c r="BD79" i="21"/>
  <c r="O79" i="21"/>
  <c r="P79" i="21" s="1"/>
  <c r="AK80" i="21"/>
  <c r="AL80" i="21" s="1"/>
  <c r="BB90" i="21"/>
  <c r="BD98" i="21"/>
  <c r="Y115" i="21"/>
  <c r="Z115" i="21" s="1"/>
  <c r="AK138" i="21"/>
  <c r="AL138" i="21" s="1"/>
  <c r="BD137" i="21"/>
  <c r="BD148" i="21"/>
  <c r="BD225" i="21"/>
  <c r="AK249" i="21"/>
  <c r="AL249" i="21" s="1"/>
  <c r="O269" i="21"/>
  <c r="P269" i="21" s="1"/>
  <c r="Y272" i="21"/>
  <c r="Z272" i="21" s="1"/>
  <c r="AN289" i="21"/>
  <c r="AO289" i="21" s="1"/>
  <c r="AB32" i="21"/>
  <c r="AC32" i="21" s="1"/>
  <c r="AH29" i="21"/>
  <c r="AI29" i="21" s="1"/>
  <c r="AK28" i="21"/>
  <c r="AL28" i="21" s="1"/>
  <c r="Y17" i="21"/>
  <c r="Z17" i="21" s="1"/>
  <c r="AB49" i="21"/>
  <c r="AC49" i="21" s="1"/>
  <c r="AN69" i="21"/>
  <c r="AO69" i="21" s="1"/>
  <c r="BD74" i="21"/>
  <c r="AB88" i="21"/>
  <c r="AC88" i="21" s="1"/>
  <c r="AE121" i="21"/>
  <c r="AF121" i="21" s="1"/>
  <c r="BD164" i="21"/>
  <c r="AQ223" i="21"/>
  <c r="AR223" i="21" s="1"/>
  <c r="AN250" i="21"/>
  <c r="AO250" i="21" s="1"/>
  <c r="AN275" i="21"/>
  <c r="AO275" i="21" s="1"/>
  <c r="W279" i="21"/>
  <c r="AZ280" i="21"/>
  <c r="BD282" i="21"/>
  <c r="AE282" i="21"/>
  <c r="AF282" i="21" s="1"/>
  <c r="AH28" i="21"/>
  <c r="AI28" i="21" s="1"/>
  <c r="L76" i="21"/>
  <c r="M76" i="21" s="1"/>
  <c r="AH15" i="21"/>
  <c r="AI15" i="21" s="1"/>
  <c r="Y63" i="21"/>
  <c r="Z63" i="21" s="1"/>
  <c r="L154" i="21"/>
  <c r="M154" i="21" s="1"/>
  <c r="J149" i="21"/>
  <c r="O149" i="21" s="1"/>
  <c r="P149" i="21" s="1"/>
  <c r="BB253" i="21"/>
  <c r="AZ253" i="21"/>
  <c r="R15" i="21"/>
  <c r="S15" i="21" s="1"/>
  <c r="AH63" i="21"/>
  <c r="AI63" i="21" s="1"/>
  <c r="L115" i="21"/>
  <c r="M115" i="21" s="1"/>
  <c r="AZ252" i="21"/>
  <c r="BB252" i="21"/>
  <c r="L62" i="21"/>
  <c r="M62" i="21" s="1"/>
  <c r="AQ93" i="21"/>
  <c r="AR93" i="21" s="1"/>
  <c r="AE95" i="21"/>
  <c r="AF95" i="21" s="1"/>
  <c r="L118" i="21"/>
  <c r="M118" i="21" s="1"/>
  <c r="AE118" i="21"/>
  <c r="AF118" i="21" s="1"/>
  <c r="AB176" i="21"/>
  <c r="AC176" i="21" s="1"/>
  <c r="AN260" i="21"/>
  <c r="AO260" i="21" s="1"/>
  <c r="AB9" i="21"/>
  <c r="AB26" i="21"/>
  <c r="AC26" i="21" s="1"/>
  <c r="L35" i="21"/>
  <c r="M35" i="21" s="1"/>
  <c r="BD50" i="21"/>
  <c r="AK79" i="21"/>
  <c r="AL79" i="21" s="1"/>
  <c r="BD80" i="21"/>
  <c r="BD83" i="21"/>
  <c r="L94" i="21"/>
  <c r="M94" i="21" s="1"/>
  <c r="O95" i="21"/>
  <c r="P95" i="21" s="1"/>
  <c r="BD99" i="21"/>
  <c r="BB106" i="21"/>
  <c r="O118" i="21"/>
  <c r="P118" i="21" s="1"/>
  <c r="BB122" i="21"/>
  <c r="BB126" i="21"/>
  <c r="R127" i="21"/>
  <c r="S127" i="21" s="1"/>
  <c r="BD146" i="21"/>
  <c r="AB267" i="21"/>
  <c r="AC267" i="21" s="1"/>
  <c r="V284" i="21"/>
  <c r="W284" i="21" s="1"/>
  <c r="AQ32" i="21"/>
  <c r="AR32" i="21" s="1"/>
  <c r="Y32" i="21"/>
  <c r="Z32" i="21" s="1"/>
  <c r="BD11" i="21"/>
  <c r="L13" i="21"/>
  <c r="M13" i="21" s="1"/>
  <c r="AE17" i="21"/>
  <c r="AF17" i="21" s="1"/>
  <c r="BD34" i="21"/>
  <c r="O35" i="21"/>
  <c r="P35" i="21" s="1"/>
  <c r="AH35" i="21"/>
  <c r="AI35" i="21" s="1"/>
  <c r="O49" i="21"/>
  <c r="P49" i="21" s="1"/>
  <c r="L53" i="21"/>
  <c r="M53" i="21" s="1"/>
  <c r="BD64" i="21"/>
  <c r="AK64" i="21"/>
  <c r="AL64" i="21" s="1"/>
  <c r="Y78" i="21"/>
  <c r="Z78" i="21" s="1"/>
  <c r="BB81" i="21"/>
  <c r="BB91" i="21"/>
  <c r="O106" i="21"/>
  <c r="P106" i="21" s="1"/>
  <c r="AH106" i="21"/>
  <c r="AI106" i="21" s="1"/>
  <c r="AK118" i="21"/>
  <c r="AL118" i="21" s="1"/>
  <c r="AE119" i="21"/>
  <c r="AF119" i="21" s="1"/>
  <c r="BD122" i="21"/>
  <c r="BD126" i="21"/>
  <c r="BD167" i="21"/>
  <c r="BD186" i="21"/>
  <c r="BD206" i="21"/>
  <c r="BD210" i="21"/>
  <c r="BD218" i="21"/>
  <c r="BD222" i="21"/>
  <c r="O232" i="21"/>
  <c r="P232" i="21" s="1"/>
  <c r="AE272" i="21"/>
  <c r="AF272" i="21" s="1"/>
  <c r="BD5" i="21"/>
  <c r="O17" i="21"/>
  <c r="P17" i="21" s="1"/>
  <c r="AH17" i="21"/>
  <c r="AI17" i="21" s="1"/>
  <c r="R19" i="21"/>
  <c r="S19" i="21" s="1"/>
  <c r="AK19" i="21"/>
  <c r="AL19" i="21" s="1"/>
  <c r="BD25" i="21"/>
  <c r="AN35" i="21"/>
  <c r="AO35" i="21" s="1"/>
  <c r="R35" i="21"/>
  <c r="S35" i="21" s="1"/>
  <c r="AK35" i="21"/>
  <c r="AL35" i="21" s="1"/>
  <c r="BD37" i="21"/>
  <c r="AZ40" i="21"/>
  <c r="BD41" i="21"/>
  <c r="R49" i="21"/>
  <c r="S49" i="21" s="1"/>
  <c r="O53" i="21"/>
  <c r="P53" i="21" s="1"/>
  <c r="AH53" i="21"/>
  <c r="AI53" i="21" s="1"/>
  <c r="AK58" i="21"/>
  <c r="AL58" i="21" s="1"/>
  <c r="AH60" i="21"/>
  <c r="AI60" i="21" s="1"/>
  <c r="BD63" i="21"/>
  <c r="BD70" i="21"/>
  <c r="AK78" i="21"/>
  <c r="AL78" i="21" s="1"/>
  <c r="BD91" i="21"/>
  <c r="BB93" i="21"/>
  <c r="AK93" i="21"/>
  <c r="AL93" i="21" s="1"/>
  <c r="Y93" i="21"/>
  <c r="Z93" i="21" s="1"/>
  <c r="AK102" i="21"/>
  <c r="AL102" i="21" s="1"/>
  <c r="BB119" i="21"/>
  <c r="R122" i="21"/>
  <c r="S122" i="21" s="1"/>
  <c r="AK122" i="21"/>
  <c r="AL122" i="21" s="1"/>
  <c r="O126" i="21"/>
  <c r="P126" i="21" s="1"/>
  <c r="R133" i="21"/>
  <c r="S133" i="21" s="1"/>
  <c r="BB136" i="21"/>
  <c r="BB147" i="21"/>
  <c r="BD158" i="21"/>
  <c r="BB160" i="21"/>
  <c r="BD162" i="21"/>
  <c r="BD195" i="21"/>
  <c r="AZ198" i="21"/>
  <c r="AK203" i="21"/>
  <c r="AL203" i="21" s="1"/>
  <c r="BD205" i="21"/>
  <c r="AT223" i="21"/>
  <c r="AU223" i="21" s="1"/>
  <c r="BD231" i="21"/>
  <c r="BD232" i="21"/>
  <c r="BD236" i="21"/>
  <c r="AN244" i="21"/>
  <c r="AO244" i="21" s="1"/>
  <c r="BD246" i="21"/>
  <c r="BB248" i="21"/>
  <c r="Y253" i="21"/>
  <c r="Z253" i="21" s="1"/>
  <c r="BD253" i="21"/>
  <c r="BD258" i="21"/>
  <c r="AZ261" i="21"/>
  <c r="BD264" i="21"/>
  <c r="AQ282" i="21"/>
  <c r="AR282" i="21" s="1"/>
  <c r="AN32" i="21"/>
  <c r="AO32" i="21" s="1"/>
  <c r="AE32" i="21"/>
  <c r="AF32" i="21" s="1"/>
  <c r="O32" i="21"/>
  <c r="P32" i="21" s="1"/>
  <c r="BD15" i="21"/>
  <c r="Y16" i="21"/>
  <c r="Z16" i="21" s="1"/>
  <c r="R17" i="21"/>
  <c r="S17" i="21" s="1"/>
  <c r="AK17" i="21"/>
  <c r="AL17" i="21" s="1"/>
  <c r="AZ24" i="21"/>
  <c r="AB45" i="21"/>
  <c r="AC45" i="21" s="1"/>
  <c r="L46" i="21"/>
  <c r="M46" i="21" s="1"/>
  <c r="AB46" i="21"/>
  <c r="AC46" i="21" s="1"/>
  <c r="BB51" i="21"/>
  <c r="L51" i="21"/>
  <c r="M51" i="21" s="1"/>
  <c r="BD58" i="21"/>
  <c r="AH59" i="21"/>
  <c r="AI59" i="21" s="1"/>
  <c r="AK60" i="21"/>
  <c r="AL60" i="21" s="1"/>
  <c r="AB61" i="21"/>
  <c r="AC61" i="21" s="1"/>
  <c r="AQ63" i="21"/>
  <c r="AR63" i="21" s="1"/>
  <c r="AZ69" i="21"/>
  <c r="L69" i="21"/>
  <c r="M69" i="21" s="1"/>
  <c r="AE69" i="21"/>
  <c r="AF69" i="21" s="1"/>
  <c r="BB73" i="21"/>
  <c r="BD75" i="21"/>
  <c r="BD77" i="21"/>
  <c r="L78" i="21"/>
  <c r="M78" i="21" s="1"/>
  <c r="Y80" i="21"/>
  <c r="Z80" i="21" s="1"/>
  <c r="AN83" i="21"/>
  <c r="AO83" i="21" s="1"/>
  <c r="AK86" i="21"/>
  <c r="AL86" i="21" s="1"/>
  <c r="R87" i="21"/>
  <c r="S87" i="21" s="1"/>
  <c r="AB93" i="21"/>
  <c r="AC93" i="21" s="1"/>
  <c r="AH96" i="21"/>
  <c r="AI96" i="21" s="1"/>
  <c r="Y97" i="21"/>
  <c r="Z97" i="21" s="1"/>
  <c r="AK98" i="21"/>
  <c r="AL98" i="21" s="1"/>
  <c r="AE99" i="21"/>
  <c r="AF99" i="21" s="1"/>
  <c r="R100" i="21"/>
  <c r="S100" i="21" s="1"/>
  <c r="O104" i="21"/>
  <c r="P104" i="21" s="1"/>
  <c r="AK115" i="21"/>
  <c r="AL115" i="21" s="1"/>
  <c r="BB117" i="21"/>
  <c r="AB117" i="21"/>
  <c r="AC117" i="21" s="1"/>
  <c r="AH121" i="21"/>
  <c r="AI121" i="21" s="1"/>
  <c r="AK126" i="21"/>
  <c r="AL126" i="21" s="1"/>
  <c r="AQ133" i="21"/>
  <c r="AR133" i="21" s="1"/>
  <c r="O138" i="21"/>
  <c r="P138" i="21" s="1"/>
  <c r="BD149" i="21"/>
  <c r="BD153" i="21"/>
  <c r="BB179" i="21"/>
  <c r="BD213" i="21"/>
  <c r="AK220" i="21"/>
  <c r="AL220" i="21" s="1"/>
  <c r="AB237" i="21"/>
  <c r="AC237" i="21" s="1"/>
  <c r="BD244" i="21"/>
  <c r="L252" i="21"/>
  <c r="M252" i="21" s="1"/>
  <c r="BB255" i="21"/>
  <c r="BB260" i="21"/>
  <c r="BD267" i="21"/>
  <c r="AH270" i="21"/>
  <c r="AI270" i="21" s="1"/>
  <c r="AZ272" i="21"/>
  <c r="AE276" i="21"/>
  <c r="AF276" i="21" s="1"/>
  <c r="BB277" i="21"/>
  <c r="BD286" i="21"/>
  <c r="BB32" i="21"/>
  <c r="AH20" i="21"/>
  <c r="AI20" i="21" s="1"/>
  <c r="L27" i="21"/>
  <c r="M27" i="21" s="1"/>
  <c r="AH34" i="21"/>
  <c r="AI34" i="21" s="1"/>
  <c r="Y37" i="21"/>
  <c r="Z37" i="21" s="1"/>
  <c r="O40" i="21"/>
  <c r="P40" i="21" s="1"/>
  <c r="AH40" i="21"/>
  <c r="AI40" i="21" s="1"/>
  <c r="L45" i="21"/>
  <c r="M45" i="21" s="1"/>
  <c r="O46" i="21"/>
  <c r="P46" i="21" s="1"/>
  <c r="AE46" i="21"/>
  <c r="AF46" i="21" s="1"/>
  <c r="BD47" i="21"/>
  <c r="BB48" i="21"/>
  <c r="L61" i="21"/>
  <c r="M61" i="21" s="1"/>
  <c r="AP62" i="21"/>
  <c r="AQ62" i="21" s="1"/>
  <c r="AR62" i="21" s="1"/>
  <c r="AH67" i="21"/>
  <c r="AI67" i="21" s="1"/>
  <c r="O69" i="21"/>
  <c r="P69" i="21" s="1"/>
  <c r="AH78" i="21"/>
  <c r="AI78" i="21" s="1"/>
  <c r="AB80" i="21"/>
  <c r="AC80" i="21" s="1"/>
  <c r="BB86" i="21"/>
  <c r="L93" i="21"/>
  <c r="M93" i="21" s="1"/>
  <c r="AN95" i="21"/>
  <c r="AO95" i="21" s="1"/>
  <c r="AN126" i="21"/>
  <c r="AO126" i="21" s="1"/>
  <c r="BB135" i="21"/>
  <c r="BD138" i="21"/>
  <c r="BB140" i="21"/>
  <c r="BD143" i="21"/>
  <c r="BD150" i="21"/>
  <c r="AQ174" i="21"/>
  <c r="AR174" i="21" s="1"/>
  <c r="BD194" i="21"/>
  <c r="BD219" i="21"/>
  <c r="L238" i="21"/>
  <c r="M238" i="21" s="1"/>
  <c r="AZ237" i="21"/>
  <c r="AZ247" i="21"/>
  <c r="R270" i="21"/>
  <c r="S270" i="21" s="1"/>
  <c r="BB288" i="21"/>
  <c r="AZ293" i="21"/>
  <c r="AE16" i="21"/>
  <c r="AF16" i="21" s="1"/>
  <c r="AH25" i="21"/>
  <c r="AI25" i="21" s="1"/>
  <c r="AB52" i="21"/>
  <c r="AC52" i="21" s="1"/>
  <c r="AN60" i="21"/>
  <c r="AO60" i="21" s="1"/>
  <c r="Y62" i="21"/>
  <c r="Z62" i="21" s="1"/>
  <c r="AB79" i="21"/>
  <c r="AC79" i="21" s="1"/>
  <c r="Y118" i="21"/>
  <c r="Z118" i="21" s="1"/>
  <c r="BB144" i="21"/>
  <c r="AP170" i="21"/>
  <c r="AQ170" i="21" s="1"/>
  <c r="AR170" i="21" s="1"/>
  <c r="AK209" i="21"/>
  <c r="AL209" i="21" s="1"/>
  <c r="AE210" i="21"/>
  <c r="AF210" i="21" s="1"/>
  <c r="AH231" i="21"/>
  <c r="AI231" i="21" s="1"/>
  <c r="AH240" i="21"/>
  <c r="AI240" i="21" s="1"/>
  <c r="Y246" i="21"/>
  <c r="Z246" i="21" s="1"/>
  <c r="BB259" i="21"/>
  <c r="R267" i="21"/>
  <c r="S267" i="21" s="1"/>
  <c r="AJ170" i="21"/>
  <c r="AK170" i="21" s="1"/>
  <c r="AL170" i="21" s="1"/>
  <c r="AK172" i="21"/>
  <c r="AL172" i="21" s="1"/>
  <c r="Y12" i="21"/>
  <c r="Z12" i="21" s="1"/>
  <c r="AB13" i="21"/>
  <c r="AC13" i="21" s="1"/>
  <c r="AK16" i="21"/>
  <c r="AL16" i="21" s="1"/>
  <c r="AK20" i="21"/>
  <c r="AL20" i="21" s="1"/>
  <c r="R22" i="21"/>
  <c r="S22" i="21" s="1"/>
  <c r="AK22" i="21"/>
  <c r="AL22" i="21" s="1"/>
  <c r="BD23" i="21"/>
  <c r="O24" i="21"/>
  <c r="P24" i="21" s="1"/>
  <c r="AH24" i="21"/>
  <c r="AI24" i="21" s="1"/>
  <c r="BB26" i="21"/>
  <c r="R40" i="21"/>
  <c r="S40" i="21" s="1"/>
  <c r="R41" i="21"/>
  <c r="S41" i="21" s="1"/>
  <c r="AZ43" i="21"/>
  <c r="BD44" i="21"/>
  <c r="AZ45" i="21"/>
  <c r="AT48" i="21"/>
  <c r="AU48" i="21" s="1"/>
  <c r="R52" i="21"/>
  <c r="S52" i="21" s="1"/>
  <c r="AK52" i="21"/>
  <c r="AL52" i="21" s="1"/>
  <c r="AN55" i="21"/>
  <c r="AO55" i="21" s="1"/>
  <c r="BD55" i="21"/>
  <c r="AK55" i="21"/>
  <c r="AL55" i="21" s="1"/>
  <c r="AE58" i="21"/>
  <c r="AF58" i="21" s="1"/>
  <c r="AH64" i="21"/>
  <c r="AI64" i="21" s="1"/>
  <c r="BB67" i="21"/>
  <c r="AB67" i="21"/>
  <c r="AC67" i="21" s="1"/>
  <c r="AT84" i="21"/>
  <c r="AU84" i="21" s="1"/>
  <c r="O90" i="21"/>
  <c r="P90" i="21" s="1"/>
  <c r="R96" i="21"/>
  <c r="S96" i="21" s="1"/>
  <c r="AK96" i="21"/>
  <c r="AL96" i="21" s="1"/>
  <c r="BB99" i="21"/>
  <c r="L99" i="21"/>
  <c r="M99" i="21" s="1"/>
  <c r="BB102" i="21"/>
  <c r="L102" i="21"/>
  <c r="M102" i="21" s="1"/>
  <c r="AE102" i="21"/>
  <c r="AF102" i="21" s="1"/>
  <c r="AB121" i="21"/>
  <c r="AC121" i="21" s="1"/>
  <c r="O121" i="21"/>
  <c r="P121" i="21" s="1"/>
  <c r="AZ129" i="21"/>
  <c r="BB129" i="21"/>
  <c r="BD140" i="21"/>
  <c r="W162" i="21"/>
  <c r="V157" i="21"/>
  <c r="W157" i="21" s="1"/>
  <c r="AQ160" i="21"/>
  <c r="AR160" i="21" s="1"/>
  <c r="BD160" i="21"/>
  <c r="BB183" i="21"/>
  <c r="AQ11" i="21"/>
  <c r="BB12" i="21"/>
  <c r="AN20" i="21"/>
  <c r="AO20" i="21" s="1"/>
  <c r="AN25" i="21"/>
  <c r="AO25" i="21" s="1"/>
  <c r="AK24" i="21"/>
  <c r="AL24" i="21" s="1"/>
  <c r="BD27" i="21"/>
  <c r="AB35" i="21"/>
  <c r="AC35" i="21" s="1"/>
  <c r="AH39" i="21"/>
  <c r="AI39" i="21" s="1"/>
  <c r="BD40" i="21"/>
  <c r="AE43" i="21"/>
  <c r="AF43" i="21" s="1"/>
  <c r="BB45" i="21"/>
  <c r="AH47" i="21"/>
  <c r="AI47" i="21" s="1"/>
  <c r="AK48" i="21"/>
  <c r="AL48" i="21" s="1"/>
  <c r="Y49" i="21"/>
  <c r="Z49" i="21" s="1"/>
  <c r="O50" i="21"/>
  <c r="P50" i="21" s="1"/>
  <c r="AH50" i="21"/>
  <c r="AI50" i="21" s="1"/>
  <c r="BD52" i="21"/>
  <c r="AM54" i="21"/>
  <c r="AN54" i="21" s="1"/>
  <c r="AO54" i="21" s="1"/>
  <c r="BD60" i="21"/>
  <c r="BD61" i="21"/>
  <c r="AK61" i="21"/>
  <c r="AL61" i="21" s="1"/>
  <c r="BB66" i="21"/>
  <c r="AH66" i="21"/>
  <c r="AI66" i="21" s="1"/>
  <c r="AE78" i="21"/>
  <c r="AF78" i="21" s="1"/>
  <c r="AT86" i="21"/>
  <c r="AU86" i="21" s="1"/>
  <c r="O87" i="21"/>
  <c r="P87" i="21" s="1"/>
  <c r="Y89" i="21"/>
  <c r="Z89" i="21" s="1"/>
  <c r="AB89" i="21"/>
  <c r="AC89" i="21" s="1"/>
  <c r="AK112" i="21"/>
  <c r="AL112" i="21" s="1"/>
  <c r="O112" i="21"/>
  <c r="P112" i="21" s="1"/>
  <c r="R132" i="21"/>
  <c r="S132" i="21" s="1"/>
  <c r="AZ152" i="21"/>
  <c r="AT158" i="21"/>
  <c r="AU158" i="21" s="1"/>
  <c r="AZ159" i="21"/>
  <c r="AZ163" i="21"/>
  <c r="BB163" i="21"/>
  <c r="BB173" i="21"/>
  <c r="Y13" i="21"/>
  <c r="Z13" i="21" s="1"/>
  <c r="AP9" i="21"/>
  <c r="AQ9" i="21" s="1"/>
  <c r="AT10" i="21"/>
  <c r="AH13" i="21"/>
  <c r="AI13" i="21" s="1"/>
  <c r="BD20" i="21"/>
  <c r="BD22" i="21"/>
  <c r="BB24" i="21"/>
  <c r="O26" i="21"/>
  <c r="P26" i="21" s="1"/>
  <c r="AZ46" i="21"/>
  <c r="L49" i="21"/>
  <c r="M49" i="21" s="1"/>
  <c r="R50" i="21"/>
  <c r="S50" i="21" s="1"/>
  <c r="AQ55" i="21"/>
  <c r="AR55" i="21" s="1"/>
  <c r="BD57" i="21"/>
  <c r="R57" i="21"/>
  <c r="S57" i="21" s="1"/>
  <c r="AE59" i="21"/>
  <c r="AF59" i="21" s="1"/>
  <c r="O81" i="21"/>
  <c r="P81" i="21" s="1"/>
  <c r="AE81" i="21"/>
  <c r="AF81" i="21" s="1"/>
  <c r="R84" i="21"/>
  <c r="S84" i="21" s="1"/>
  <c r="BB87" i="21"/>
  <c r="AZ87" i="21"/>
  <c r="BD88" i="21"/>
  <c r="R107" i="21"/>
  <c r="S107" i="21" s="1"/>
  <c r="AH108" i="21"/>
  <c r="AI108" i="21" s="1"/>
  <c r="AT144" i="21"/>
  <c r="AU144" i="21" s="1"/>
  <c r="L150" i="21"/>
  <c r="M150" i="21" s="1"/>
  <c r="O236" i="21"/>
  <c r="P236" i="21" s="1"/>
  <c r="O235" i="21"/>
  <c r="P235" i="21" s="1"/>
  <c r="AT241" i="21"/>
  <c r="AU241" i="21" s="1"/>
  <c r="AZ19" i="21"/>
  <c r="AT26" i="21"/>
  <c r="AU26" i="21" s="1"/>
  <c r="AH55" i="21"/>
  <c r="AI55" i="21" s="1"/>
  <c r="R81" i="21"/>
  <c r="S81" i="21" s="1"/>
  <c r="BB108" i="21"/>
  <c r="AQ145" i="21"/>
  <c r="AR145" i="21" s="1"/>
  <c r="Y143" i="21"/>
  <c r="Z143" i="21" s="1"/>
  <c r="AE147" i="21"/>
  <c r="AF147" i="21" s="1"/>
  <c r="BB172" i="21"/>
  <c r="BB195" i="21"/>
  <c r="BB7" i="21"/>
  <c r="L11" i="21"/>
  <c r="BB10" i="21"/>
  <c r="BB14" i="21"/>
  <c r="BB13" i="21"/>
  <c r="L16" i="21"/>
  <c r="M16" i="21" s="1"/>
  <c r="AH19" i="21"/>
  <c r="AI19" i="21" s="1"/>
  <c r="Y20" i="21"/>
  <c r="Z20" i="21" s="1"/>
  <c r="AE23" i="21"/>
  <c r="AF23" i="21" s="1"/>
  <c r="AB25" i="21"/>
  <c r="AC25" i="21" s="1"/>
  <c r="AK26" i="21"/>
  <c r="AL26" i="21" s="1"/>
  <c r="AK44" i="21"/>
  <c r="AL44" i="21" s="1"/>
  <c r="AE49" i="21"/>
  <c r="AF49" i="21" s="1"/>
  <c r="Y52" i="21"/>
  <c r="Z52" i="21" s="1"/>
  <c r="AH57" i="21"/>
  <c r="AI57" i="21" s="1"/>
  <c r="O59" i="21"/>
  <c r="P59" i="21" s="1"/>
  <c r="Y65" i="21"/>
  <c r="Z65" i="21" s="1"/>
  <c r="AE86" i="21"/>
  <c r="AF86" i="21" s="1"/>
  <c r="AZ4" i="21"/>
  <c r="O11" i="21"/>
  <c r="O16" i="21"/>
  <c r="P16" i="21" s="1"/>
  <c r="BD17" i="21"/>
  <c r="AB20" i="21"/>
  <c r="AC20" i="21" s="1"/>
  <c r="AB22" i="21"/>
  <c r="AC22" i="21" s="1"/>
  <c r="O23" i="21"/>
  <c r="P23" i="21" s="1"/>
  <c r="AE25" i="21"/>
  <c r="AF25" i="21" s="1"/>
  <c r="L55" i="21"/>
  <c r="M55" i="21" s="1"/>
  <c r="AB55" i="21"/>
  <c r="AC55" i="21" s="1"/>
  <c r="Y57" i="21"/>
  <c r="Z57" i="21" s="1"/>
  <c r="AK57" i="21"/>
  <c r="AL57" i="21" s="1"/>
  <c r="AB96" i="21"/>
  <c r="AC96" i="21" s="1"/>
  <c r="AH145" i="21"/>
  <c r="AI145" i="21" s="1"/>
  <c r="R162" i="21"/>
  <c r="S162" i="21" s="1"/>
  <c r="R159" i="21"/>
  <c r="S159" i="21" s="1"/>
  <c r="Y84" i="21"/>
  <c r="Z84" i="21" s="1"/>
  <c r="AK13" i="21"/>
  <c r="AL13" i="21" s="1"/>
  <c r="AN3" i="21"/>
  <c r="R16" i="21"/>
  <c r="S16" i="21" s="1"/>
  <c r="L20" i="21"/>
  <c r="M20" i="21" s="1"/>
  <c r="AE20" i="21"/>
  <c r="AF20" i="21" s="1"/>
  <c r="BD21" i="21"/>
  <c r="L22" i="21"/>
  <c r="M22" i="21" s="1"/>
  <c r="AE22" i="21"/>
  <c r="AF22" i="21" s="1"/>
  <c r="AB24" i="21"/>
  <c r="AC24" i="21" s="1"/>
  <c r="AH36" i="21"/>
  <c r="AI36" i="21" s="1"/>
  <c r="AE40" i="21"/>
  <c r="AF40" i="21" s="1"/>
  <c r="AB48" i="21"/>
  <c r="AC48" i="21" s="1"/>
  <c r="BD49" i="21"/>
  <c r="AH51" i="21"/>
  <c r="AI51" i="21" s="1"/>
  <c r="O55" i="21"/>
  <c r="P55" i="21" s="1"/>
  <c r="AE55" i="21"/>
  <c r="AF55" i="21" s="1"/>
  <c r="AN57" i="21"/>
  <c r="AO57" i="21" s="1"/>
  <c r="AN58" i="21"/>
  <c r="AO58" i="21" s="1"/>
  <c r="AQ59" i="21"/>
  <c r="AR59" i="21" s="1"/>
  <c r="BB65" i="21"/>
  <c r="L65" i="21"/>
  <c r="M65" i="21" s="1"/>
  <c r="BB76" i="21"/>
  <c r="AQ84" i="21"/>
  <c r="AR84" i="21" s="1"/>
  <c r="O86" i="21"/>
  <c r="P86" i="21" s="1"/>
  <c r="BB88" i="21"/>
  <c r="BD95" i="21"/>
  <c r="L96" i="21"/>
  <c r="M96" i="21" s="1"/>
  <c r="Y107" i="21"/>
  <c r="Z107" i="21" s="1"/>
  <c r="BD112" i="21"/>
  <c r="J130" i="21"/>
  <c r="R146" i="21"/>
  <c r="S146" i="21" s="1"/>
  <c r="AK143" i="21"/>
  <c r="AL143" i="21" s="1"/>
  <c r="AN162" i="21"/>
  <c r="AO162" i="21" s="1"/>
  <c r="O175" i="21"/>
  <c r="P175" i="21" s="1"/>
  <c r="N170" i="21"/>
  <c r="O170" i="21" s="1"/>
  <c r="P170" i="21" s="1"/>
  <c r="W179" i="21"/>
  <c r="W181" i="21"/>
  <c r="AZ220" i="21"/>
  <c r="R242" i="21"/>
  <c r="S242" i="21" s="1"/>
  <c r="BB251" i="21"/>
  <c r="O256" i="21"/>
  <c r="P256" i="21" s="1"/>
  <c r="AT280" i="21"/>
  <c r="AU280" i="21" s="1"/>
  <c r="AQ281" i="21"/>
  <c r="AR281" i="21" s="1"/>
  <c r="Y282" i="21"/>
  <c r="Z282" i="21" s="1"/>
  <c r="AZ285" i="21"/>
  <c r="AT291" i="21"/>
  <c r="AU291" i="21" s="1"/>
  <c r="R292" i="21"/>
  <c r="S292" i="21" s="1"/>
  <c r="AH70" i="21"/>
  <c r="AI70" i="21" s="1"/>
  <c r="Y72" i="21"/>
  <c r="Z72" i="21" s="1"/>
  <c r="O78" i="21"/>
  <c r="P78" i="21" s="1"/>
  <c r="R79" i="21"/>
  <c r="S79" i="21" s="1"/>
  <c r="R80" i="21"/>
  <c r="S80" i="21" s="1"/>
  <c r="BD82" i="21"/>
  <c r="BB84" i="21"/>
  <c r="AH84" i="21"/>
  <c r="AI84" i="21" s="1"/>
  <c r="AN86" i="21"/>
  <c r="AO86" i="21" s="1"/>
  <c r="L89" i="21"/>
  <c r="M89" i="21" s="1"/>
  <c r="AE89" i="21"/>
  <c r="AF89" i="21" s="1"/>
  <c r="AB91" i="21"/>
  <c r="AC91" i="21" s="1"/>
  <c r="AH93" i="21"/>
  <c r="AI93" i="21" s="1"/>
  <c r="L100" i="21"/>
  <c r="M100" i="21" s="1"/>
  <c r="AN107" i="21"/>
  <c r="AO107" i="21" s="1"/>
  <c r="BD107" i="21"/>
  <c r="L110" i="21"/>
  <c r="M110" i="21" s="1"/>
  <c r="AE110" i="21"/>
  <c r="AF110" i="21" s="1"/>
  <c r="AE115" i="21"/>
  <c r="AF115" i="21" s="1"/>
  <c r="BD116" i="21"/>
  <c r="R116" i="21"/>
  <c r="S116" i="21" s="1"/>
  <c r="AH116" i="21"/>
  <c r="AI116" i="21" s="1"/>
  <c r="BD119" i="21"/>
  <c r="R125" i="21"/>
  <c r="S125" i="21" s="1"/>
  <c r="BD127" i="21"/>
  <c r="L131" i="21"/>
  <c r="M131" i="21" s="1"/>
  <c r="AZ135" i="21"/>
  <c r="L152" i="21"/>
  <c r="M152" i="21" s="1"/>
  <c r="AZ150" i="21"/>
  <c r="BD154" i="21"/>
  <c r="W171" i="21"/>
  <c r="W173" i="21"/>
  <c r="AH215" i="21"/>
  <c r="AI215" i="21" s="1"/>
  <c r="L245" i="21"/>
  <c r="M245" i="21" s="1"/>
  <c r="AB243" i="21"/>
  <c r="AC243" i="21" s="1"/>
  <c r="Q273" i="21"/>
  <c r="AE293" i="21"/>
  <c r="AF293" i="21" s="1"/>
  <c r="AK70" i="21"/>
  <c r="AL70" i="21" s="1"/>
  <c r="AT72" i="21"/>
  <c r="AU72" i="21" s="1"/>
  <c r="BD73" i="21"/>
  <c r="R78" i="21"/>
  <c r="S78" i="21" s="1"/>
  <c r="AH80" i="21"/>
  <c r="AI80" i="21" s="1"/>
  <c r="AN81" i="21"/>
  <c r="AO81" i="21" s="1"/>
  <c r="Y88" i="21"/>
  <c r="Z88" i="21" s="1"/>
  <c r="O89" i="21"/>
  <c r="P89" i="21" s="1"/>
  <c r="AE92" i="21"/>
  <c r="AF92" i="21" s="1"/>
  <c r="AQ103" i="21"/>
  <c r="AR103" i="21" s="1"/>
  <c r="Y102" i="21"/>
  <c r="Z102" i="21" s="1"/>
  <c r="R103" i="21"/>
  <c r="S103" i="21" s="1"/>
  <c r="AB104" i="21"/>
  <c r="AC104" i="21" s="1"/>
  <c r="AE106" i="21"/>
  <c r="AF106" i="21" s="1"/>
  <c r="AN112" i="21"/>
  <c r="AO112" i="21" s="1"/>
  <c r="O110" i="21"/>
  <c r="P110" i="21" s="1"/>
  <c r="AB112" i="21"/>
  <c r="AC112" i="21" s="1"/>
  <c r="BD113" i="21"/>
  <c r="BB114" i="21"/>
  <c r="AH115" i="21"/>
  <c r="AI115" i="21" s="1"/>
  <c r="AE124" i="21"/>
  <c r="AF124" i="21" s="1"/>
  <c r="Y124" i="21"/>
  <c r="Z124" i="21" s="1"/>
  <c r="O132" i="21"/>
  <c r="P132" i="21" s="1"/>
  <c r="AK132" i="21"/>
  <c r="AL132" i="21" s="1"/>
  <c r="BD139" i="21"/>
  <c r="AQ147" i="21"/>
  <c r="AR147" i="21" s="1"/>
  <c r="BB168" i="21"/>
  <c r="BD170" i="21"/>
  <c r="AZ171" i="21"/>
  <c r="BD192" i="21"/>
  <c r="BB196" i="21"/>
  <c r="R198" i="21"/>
  <c r="S198" i="21" s="1"/>
  <c r="BD199" i="21"/>
  <c r="O206" i="21"/>
  <c r="P206" i="21" s="1"/>
  <c r="BD207" i="21"/>
  <c r="R215" i="21"/>
  <c r="S215" i="21" s="1"/>
  <c r="AK213" i="21"/>
  <c r="AL213" i="21" s="1"/>
  <c r="BD211" i="21"/>
  <c r="L231" i="21"/>
  <c r="M231" i="21" s="1"/>
  <c r="AK239" i="21"/>
  <c r="AL239" i="21" s="1"/>
  <c r="BD234" i="21"/>
  <c r="O242" i="21"/>
  <c r="P242" i="21" s="1"/>
  <c r="AT255" i="21"/>
  <c r="AU255" i="21" s="1"/>
  <c r="AQ257" i="21"/>
  <c r="AR257" i="21" s="1"/>
  <c r="O261" i="21"/>
  <c r="P261" i="21" s="1"/>
  <c r="AH261" i="21"/>
  <c r="AI261" i="21" s="1"/>
  <c r="BD262" i="21"/>
  <c r="BD263" i="21"/>
  <c r="AZ267" i="21"/>
  <c r="BB268" i="21"/>
  <c r="L270" i="21"/>
  <c r="M270" i="21" s="1"/>
  <c r="BD269" i="21"/>
  <c r="AJ271" i="21"/>
  <c r="AZ277" i="21"/>
  <c r="BB279" i="21"/>
  <c r="BD281" i="21"/>
  <c r="AD290" i="21"/>
  <c r="BB203" i="21"/>
  <c r="R206" i="21"/>
  <c r="S206" i="21" s="1"/>
  <c r="BD227" i="21"/>
  <c r="BD233" i="21"/>
  <c r="AQ256" i="21"/>
  <c r="AR256" i="21" s="1"/>
  <c r="BD284" i="21"/>
  <c r="BB111" i="21"/>
  <c r="L111" i="21"/>
  <c r="M111" i="21" s="1"/>
  <c r="BB121" i="21"/>
  <c r="L121" i="21"/>
  <c r="M121" i="21" s="1"/>
  <c r="Y121" i="21"/>
  <c r="Z121" i="21" s="1"/>
  <c r="BD124" i="21"/>
  <c r="AB131" i="21"/>
  <c r="AC131" i="21" s="1"/>
  <c r="AZ142" i="21"/>
  <c r="AE146" i="21"/>
  <c r="AF146" i="21" s="1"/>
  <c r="BB142" i="21"/>
  <c r="BB157" i="21"/>
  <c r="L161" i="21"/>
  <c r="M161" i="21" s="1"/>
  <c r="AB168" i="21"/>
  <c r="AC168" i="21" s="1"/>
  <c r="W200" i="21"/>
  <c r="AZ202" i="21"/>
  <c r="Q204" i="21"/>
  <c r="R204" i="21" s="1"/>
  <c r="S204" i="21" s="1"/>
  <c r="AQ210" i="21"/>
  <c r="AR210" i="21" s="1"/>
  <c r="Y227" i="21"/>
  <c r="Z227" i="21" s="1"/>
  <c r="BB223" i="21"/>
  <c r="AZ224" i="21"/>
  <c r="BB229" i="21"/>
  <c r="R230" i="21"/>
  <c r="S230" i="21" s="1"/>
  <c r="AQ234" i="21"/>
  <c r="AR234" i="21" s="1"/>
  <c r="AK247" i="21"/>
  <c r="AL247" i="21" s="1"/>
  <c r="BD254" i="21"/>
  <c r="BB256" i="21"/>
  <c r="Y257" i="21"/>
  <c r="Z257" i="21" s="1"/>
  <c r="BD261" i="21"/>
  <c r="AZ264" i="21"/>
  <c r="BB276" i="21"/>
  <c r="BD277" i="21"/>
  <c r="AK283" i="21"/>
  <c r="AL283" i="21" s="1"/>
  <c r="BB287" i="21"/>
  <c r="BD290" i="21"/>
  <c r="AB66" i="21"/>
  <c r="AC66" i="21" s="1"/>
  <c r="L67" i="21"/>
  <c r="M67" i="21" s="1"/>
  <c r="AE67" i="21"/>
  <c r="AF67" i="21" s="1"/>
  <c r="O73" i="21"/>
  <c r="P73" i="21" s="1"/>
  <c r="AT79" i="21"/>
  <c r="AU79" i="21" s="1"/>
  <c r="L84" i="21"/>
  <c r="M84" i="21" s="1"/>
  <c r="BD87" i="21"/>
  <c r="AE88" i="21"/>
  <c r="AF88" i="21" s="1"/>
  <c r="AH91" i="21"/>
  <c r="AI91" i="21" s="1"/>
  <c r="BD92" i="21"/>
  <c r="AH95" i="21"/>
  <c r="AI95" i="21" s="1"/>
  <c r="L97" i="21"/>
  <c r="M97" i="21" s="1"/>
  <c r="AE97" i="21"/>
  <c r="AF97" i="21" s="1"/>
  <c r="O99" i="21"/>
  <c r="P99" i="21" s="1"/>
  <c r="BB101" i="21"/>
  <c r="L101" i="21"/>
  <c r="M101" i="21" s="1"/>
  <c r="O102" i="21"/>
  <c r="P102" i="21" s="1"/>
  <c r="Y105" i="21"/>
  <c r="Z105" i="21" s="1"/>
  <c r="AB105" i="21"/>
  <c r="AC105" i="21" s="1"/>
  <c r="BD106" i="21"/>
  <c r="L107" i="21"/>
  <c r="M107" i="21" s="1"/>
  <c r="AE107" i="21"/>
  <c r="AF107" i="21" s="1"/>
  <c r="BD110" i="21"/>
  <c r="AK114" i="21"/>
  <c r="AL114" i="21" s="1"/>
  <c r="L116" i="21"/>
  <c r="M116" i="21" s="1"/>
  <c r="AH117" i="21"/>
  <c r="AI117" i="21" s="1"/>
  <c r="AB119" i="21"/>
  <c r="AC119" i="21" s="1"/>
  <c r="O124" i="21"/>
  <c r="P124" i="21" s="1"/>
  <c r="AH124" i="21"/>
  <c r="AI124" i="21" s="1"/>
  <c r="L134" i="21"/>
  <c r="M134" i="21" s="1"/>
  <c r="BD142" i="21"/>
  <c r="AD142" i="21"/>
  <c r="K157" i="21"/>
  <c r="AP157" i="21"/>
  <c r="O169" i="21"/>
  <c r="P169" i="21" s="1"/>
  <c r="BB177" i="21"/>
  <c r="AZ179" i="21"/>
  <c r="AZ180" i="21"/>
  <c r="BD184" i="21"/>
  <c r="Y188" i="21"/>
  <c r="Z188" i="21" s="1"/>
  <c r="AZ187" i="21"/>
  <c r="BB193" i="21"/>
  <c r="AZ199" i="21"/>
  <c r="AT214" i="21"/>
  <c r="AU214" i="21" s="1"/>
  <c r="AK211" i="21"/>
  <c r="AL211" i="21" s="1"/>
  <c r="W220" i="21"/>
  <c r="BB222" i="21"/>
  <c r="AB224" i="21"/>
  <c r="AC224" i="21" s="1"/>
  <c r="AT240" i="21"/>
  <c r="AU240" i="21" s="1"/>
  <c r="BB235" i="21"/>
  <c r="BB246" i="21"/>
  <c r="O249" i="21"/>
  <c r="P249" i="21" s="1"/>
  <c r="AB257" i="21"/>
  <c r="AC257" i="21" s="1"/>
  <c r="AZ257" i="21"/>
  <c r="O262" i="21"/>
  <c r="P262" i="21" s="1"/>
  <c r="X271" i="21"/>
  <c r="L274" i="21"/>
  <c r="M274" i="21" s="1"/>
  <c r="V273" i="21"/>
  <c r="W273" i="21" s="1"/>
  <c r="BD276" i="21"/>
  <c r="AZ286" i="21"/>
  <c r="BD289" i="21"/>
  <c r="L66" i="21"/>
  <c r="M66" i="21" s="1"/>
  <c r="AE66" i="21"/>
  <c r="AF66" i="21" s="1"/>
  <c r="O67" i="21"/>
  <c r="P67" i="21" s="1"/>
  <c r="Y68" i="21"/>
  <c r="Z68" i="21" s="1"/>
  <c r="BB71" i="21"/>
  <c r="AZ79" i="21"/>
  <c r="L80" i="21"/>
  <c r="M80" i="21" s="1"/>
  <c r="AB81" i="21"/>
  <c r="AC81" i="21" s="1"/>
  <c r="O84" i="21"/>
  <c r="P84" i="21" s="1"/>
  <c r="R88" i="21"/>
  <c r="S88" i="21" s="1"/>
  <c r="AK95" i="21"/>
  <c r="AL95" i="21" s="1"/>
  <c r="O97" i="21"/>
  <c r="P97" i="21" s="1"/>
  <c r="O101" i="21"/>
  <c r="P101" i="21" s="1"/>
  <c r="AE101" i="21"/>
  <c r="AF101" i="21" s="1"/>
  <c r="R102" i="21"/>
  <c r="S102" i="21" s="1"/>
  <c r="O107" i="21"/>
  <c r="P107" i="21" s="1"/>
  <c r="Y108" i="21"/>
  <c r="Z108" i="21" s="1"/>
  <c r="R111" i="21"/>
  <c r="S111" i="21" s="1"/>
  <c r="AK111" i="21"/>
  <c r="AL111" i="21" s="1"/>
  <c r="AB115" i="21"/>
  <c r="AC115" i="21" s="1"/>
  <c r="O135" i="21"/>
  <c r="P135" i="21" s="1"/>
  <c r="BD135" i="21"/>
  <c r="R145" i="21"/>
  <c r="S145" i="21" s="1"/>
  <c r="BD147" i="21"/>
  <c r="O159" i="21"/>
  <c r="P159" i="21" s="1"/>
  <c r="AB162" i="21"/>
  <c r="AC162" i="21" s="1"/>
  <c r="W164" i="21"/>
  <c r="BD193" i="21"/>
  <c r="BD197" i="21"/>
  <c r="AB201" i="21"/>
  <c r="AC201" i="21" s="1"/>
  <c r="BB200" i="21"/>
  <c r="BD201" i="21"/>
  <c r="BD209" i="21"/>
  <c r="BD214" i="21"/>
  <c r="BB216" i="21"/>
  <c r="BB220" i="21"/>
  <c r="O224" i="21"/>
  <c r="P224" i="21" s="1"/>
  <c r="AE224" i="21"/>
  <c r="AF224" i="21" s="1"/>
  <c r="Y238" i="21"/>
  <c r="Z238" i="21" s="1"/>
  <c r="AQ242" i="21"/>
  <c r="AR242" i="21" s="1"/>
  <c r="AZ245" i="21"/>
  <c r="BD259" i="21"/>
  <c r="BD268" i="21"/>
  <c r="AQ293" i="21"/>
  <c r="AR293" i="21" s="1"/>
  <c r="Y82" i="21"/>
  <c r="Z82" i="21" s="1"/>
  <c r="K3" i="21"/>
  <c r="L3" i="21" s="1"/>
  <c r="AQ21" i="21"/>
  <c r="AR21" i="21" s="1"/>
  <c r="O7" i="21"/>
  <c r="P7" i="21" s="1"/>
  <c r="V3" i="21"/>
  <c r="AT3" i="21"/>
  <c r="Y4" i="21"/>
  <c r="Z4" i="21" s="1"/>
  <c r="BD7" i="21"/>
  <c r="AE11" i="21"/>
  <c r="AB12" i="21"/>
  <c r="AC12" i="21" s="1"/>
  <c r="O14" i="21"/>
  <c r="P14" i="21" s="1"/>
  <c r="AH14" i="21"/>
  <c r="AI14" i="21" s="1"/>
  <c r="AN16" i="21"/>
  <c r="AO16" i="21" s="1"/>
  <c r="Y22" i="21"/>
  <c r="Z22" i="21" s="1"/>
  <c r="AK23" i="21"/>
  <c r="AL23" i="21" s="1"/>
  <c r="BD24" i="21"/>
  <c r="R26" i="21"/>
  <c r="S26" i="21" s="1"/>
  <c r="AH26" i="21"/>
  <c r="AI26" i="21" s="1"/>
  <c r="BD33" i="21"/>
  <c r="Y34" i="21"/>
  <c r="Z34" i="21" s="1"/>
  <c r="L37" i="21"/>
  <c r="M37" i="21" s="1"/>
  <c r="BD38" i="21"/>
  <c r="Y39" i="21"/>
  <c r="Z39" i="21" s="1"/>
  <c r="AS56" i="21"/>
  <c r="AT56" i="21" s="1"/>
  <c r="AU56" i="21" s="1"/>
  <c r="AB62" i="21"/>
  <c r="AC62" i="21" s="1"/>
  <c r="L72" i="21"/>
  <c r="M72" i="21" s="1"/>
  <c r="AK77" i="21"/>
  <c r="AL77" i="21" s="1"/>
  <c r="AK83" i="21"/>
  <c r="AL83" i="21" s="1"/>
  <c r="AT98" i="21"/>
  <c r="AU98" i="21" s="1"/>
  <c r="AT97" i="21"/>
  <c r="AU97" i="21" s="1"/>
  <c r="AK185" i="21"/>
  <c r="AL185" i="21" s="1"/>
  <c r="AK179" i="21"/>
  <c r="AL179" i="21" s="1"/>
  <c r="AJ178" i="21"/>
  <c r="AK178" i="21" s="1"/>
  <c r="AL178" i="21" s="1"/>
  <c r="AK180" i="21"/>
  <c r="AL180" i="21" s="1"/>
  <c r="AZ219" i="21"/>
  <c r="BB219" i="21"/>
  <c r="AK82" i="21"/>
  <c r="AL82" i="21" s="1"/>
  <c r="AE82" i="21"/>
  <c r="AF82" i="21" s="1"/>
  <c r="O82" i="21"/>
  <c r="P82" i="21" s="1"/>
  <c r="AB85" i="21"/>
  <c r="AC85" i="21" s="1"/>
  <c r="W4" i="21"/>
  <c r="L82" i="21"/>
  <c r="M82" i="21" s="1"/>
  <c r="R7" i="21"/>
  <c r="S7" i="21" s="1"/>
  <c r="BB4" i="21"/>
  <c r="AK4" i="21"/>
  <c r="AL4" i="21" s="1"/>
  <c r="AE5" i="21"/>
  <c r="AF5" i="21" s="1"/>
  <c r="Y6" i="21"/>
  <c r="Z6" i="21" s="1"/>
  <c r="AE9" i="21"/>
  <c r="R12" i="21"/>
  <c r="S12" i="21" s="1"/>
  <c r="R14" i="21"/>
  <c r="S14" i="21" s="1"/>
  <c r="BB16" i="21"/>
  <c r="AT16" i="21"/>
  <c r="AU16" i="21" s="1"/>
  <c r="AQ17" i="21"/>
  <c r="AR17" i="21" s="1"/>
  <c r="AK18" i="21"/>
  <c r="AL18" i="21" s="1"/>
  <c r="BB20" i="21"/>
  <c r="BB21" i="21"/>
  <c r="AB21" i="21"/>
  <c r="AC21" i="21" s="1"/>
  <c r="Y21" i="21"/>
  <c r="Z21" i="21" s="1"/>
  <c r="BB22" i="21"/>
  <c r="BD26" i="21"/>
  <c r="AB27" i="21"/>
  <c r="AC27" i="21" s="1"/>
  <c r="AT37" i="21"/>
  <c r="AU37" i="21" s="1"/>
  <c r="AB34" i="21"/>
  <c r="AC34" i="21" s="1"/>
  <c r="O37" i="21"/>
  <c r="P37" i="21" s="1"/>
  <c r="AE37" i="21"/>
  <c r="AF37" i="21" s="1"/>
  <c r="AB39" i="21"/>
  <c r="AC39" i="21" s="1"/>
  <c r="Y47" i="21"/>
  <c r="Z47" i="21" s="1"/>
  <c r="Y56" i="21"/>
  <c r="Z56" i="21" s="1"/>
  <c r="Y75" i="21"/>
  <c r="Z75" i="21" s="1"/>
  <c r="AH94" i="21"/>
  <c r="AI94" i="21" s="1"/>
  <c r="AE94" i="21"/>
  <c r="AF94" i="21" s="1"/>
  <c r="O94" i="21"/>
  <c r="P94" i="21" s="1"/>
  <c r="Y94" i="21"/>
  <c r="Z94" i="21" s="1"/>
  <c r="N9" i="21"/>
  <c r="L12" i="21"/>
  <c r="M12" i="21" s="1"/>
  <c r="BD3" i="21"/>
  <c r="Q3" i="21"/>
  <c r="R3" i="21" s="1"/>
  <c r="AB4" i="21"/>
  <c r="AC4" i="21" s="1"/>
  <c r="BD4" i="21"/>
  <c r="AQ5" i="21"/>
  <c r="AR5" i="21" s="1"/>
  <c r="AK6" i="21"/>
  <c r="AL6" i="21" s="1"/>
  <c r="AE7" i="21"/>
  <c r="AF7" i="21" s="1"/>
  <c r="Y8" i="21"/>
  <c r="Z8" i="21" s="1"/>
  <c r="BD12" i="21"/>
  <c r="AH12" i="21"/>
  <c r="AI12" i="21" s="1"/>
  <c r="AK14" i="21"/>
  <c r="AL14" i="21" s="1"/>
  <c r="AK15" i="21"/>
  <c r="AL15" i="21" s="1"/>
  <c r="Y15" i="21"/>
  <c r="Z15" i="21" s="1"/>
  <c r="AZ17" i="21"/>
  <c r="AH18" i="21"/>
  <c r="AI18" i="21" s="1"/>
  <c r="AT18" i="21"/>
  <c r="AU18" i="21" s="1"/>
  <c r="Y19" i="21"/>
  <c r="Z19" i="21" s="1"/>
  <c r="BB27" i="21"/>
  <c r="R37" i="21"/>
  <c r="S37" i="21" s="1"/>
  <c r="AH37" i="21"/>
  <c r="AI37" i="21" s="1"/>
  <c r="AZ57" i="21"/>
  <c r="AZ75" i="21"/>
  <c r="BB75" i="21"/>
  <c r="AH75" i="21"/>
  <c r="AI75" i="21" s="1"/>
  <c r="AB75" i="21"/>
  <c r="AC75" i="21" s="1"/>
  <c r="L75" i="21"/>
  <c r="M75" i="21" s="1"/>
  <c r="BB94" i="21"/>
  <c r="AZ94" i="21"/>
  <c r="AZ125" i="21"/>
  <c r="BB125" i="21"/>
  <c r="AE14" i="21"/>
  <c r="AF14" i="21" s="1"/>
  <c r="AE3" i="21"/>
  <c r="BB5" i="21"/>
  <c r="BB6" i="21"/>
  <c r="AZ6" i="21"/>
  <c r="AQ7" i="21"/>
  <c r="AR7" i="21" s="1"/>
  <c r="AK8" i="21"/>
  <c r="AL8" i="21" s="1"/>
  <c r="AZ15" i="21"/>
  <c r="L15" i="21"/>
  <c r="M15" i="21" s="1"/>
  <c r="AB15" i="21"/>
  <c r="AC15" i="21" s="1"/>
  <c r="AB16" i="21"/>
  <c r="AC16" i="21" s="1"/>
  <c r="BB17" i="21"/>
  <c r="BB18" i="21"/>
  <c r="L18" i="21"/>
  <c r="M18" i="21" s="1"/>
  <c r="Y18" i="21"/>
  <c r="Z18" i="21" s="1"/>
  <c r="BB19" i="21"/>
  <c r="O21" i="21"/>
  <c r="P21" i="21" s="1"/>
  <c r="AE21" i="21"/>
  <c r="AF21" i="21" s="1"/>
  <c r="Y24" i="21"/>
  <c r="Z24" i="21" s="1"/>
  <c r="BB25" i="21"/>
  <c r="AT25" i="21"/>
  <c r="AU25" i="21" s="1"/>
  <c r="AE27" i="21"/>
  <c r="AF27" i="21" s="1"/>
  <c r="AH33" i="21"/>
  <c r="AI33" i="21" s="1"/>
  <c r="O34" i="21"/>
  <c r="P34" i="21" s="1"/>
  <c r="BB56" i="21"/>
  <c r="AZ56" i="21"/>
  <c r="L56" i="21"/>
  <c r="M56" i="21" s="1"/>
  <c r="O58" i="21"/>
  <c r="P58" i="21" s="1"/>
  <c r="Y58" i="21"/>
  <c r="Z58" i="21" s="1"/>
  <c r="AB68" i="21"/>
  <c r="AC68" i="21" s="1"/>
  <c r="AK72" i="21"/>
  <c r="AL72" i="21" s="1"/>
  <c r="AT74" i="21"/>
  <c r="AU74" i="21" s="1"/>
  <c r="AS73" i="21"/>
  <c r="AT73" i="21" s="1"/>
  <c r="AU73" i="21" s="1"/>
  <c r="AZ76" i="21"/>
  <c r="AE77" i="21"/>
  <c r="AF77" i="21" s="1"/>
  <c r="O77" i="21"/>
  <c r="P77" i="21" s="1"/>
  <c r="Y77" i="21"/>
  <c r="Z77" i="21" s="1"/>
  <c r="AE83" i="21"/>
  <c r="AF83" i="21" s="1"/>
  <c r="O83" i="21"/>
  <c r="P83" i="21" s="1"/>
  <c r="Y83" i="21"/>
  <c r="Z83" i="21" s="1"/>
  <c r="AT64" i="21"/>
  <c r="AU64" i="21" s="1"/>
  <c r="AS62" i="21"/>
  <c r="AT62" i="21" s="1"/>
  <c r="AU62" i="21" s="1"/>
  <c r="AS66" i="21"/>
  <c r="AT66" i="21" s="1"/>
  <c r="AU66" i="21" s="1"/>
  <c r="AG157" i="21"/>
  <c r="AH158" i="21"/>
  <c r="AI158" i="21" s="1"/>
  <c r="AH3" i="21"/>
  <c r="BD6" i="21"/>
  <c r="AZ8" i="21"/>
  <c r="AN11" i="21"/>
  <c r="BD10" i="21"/>
  <c r="BD13" i="21"/>
  <c r="R13" i="21"/>
  <c r="S13" i="21" s="1"/>
  <c r="O15" i="21"/>
  <c r="P15" i="21" s="1"/>
  <c r="AE15" i="21"/>
  <c r="AF15" i="21" s="1"/>
  <c r="BD18" i="21"/>
  <c r="AB18" i="21"/>
  <c r="AC18" i="21" s="1"/>
  <c r="O19" i="21"/>
  <c r="P19" i="21" s="1"/>
  <c r="AE19" i="21"/>
  <c r="AF19" i="21" s="1"/>
  <c r="R20" i="21"/>
  <c r="S20" i="21" s="1"/>
  <c r="R21" i="21"/>
  <c r="S21" i="21" s="1"/>
  <c r="AH21" i="21"/>
  <c r="AI21" i="21" s="1"/>
  <c r="L24" i="21"/>
  <c r="M24" i="21" s="1"/>
  <c r="L25" i="21"/>
  <c r="M25" i="21" s="1"/>
  <c r="Y25" i="21"/>
  <c r="Z25" i="21" s="1"/>
  <c r="Y26" i="21"/>
  <c r="Z26" i="21" s="1"/>
  <c r="O27" i="21"/>
  <c r="P27" i="21" s="1"/>
  <c r="AH27" i="21"/>
  <c r="AI27" i="21" s="1"/>
  <c r="AK34" i="21"/>
  <c r="AL34" i="21" s="1"/>
  <c r="AB42" i="21"/>
  <c r="AC42" i="21" s="1"/>
  <c r="AN53" i="21"/>
  <c r="AO53" i="21" s="1"/>
  <c r="AM50" i="21"/>
  <c r="AN50" i="21" s="1"/>
  <c r="AO50" i="21" s="1"/>
  <c r="AB65" i="21"/>
  <c r="AC65" i="21" s="1"/>
  <c r="L68" i="21"/>
  <c r="M68" i="21" s="1"/>
  <c r="AZ72" i="21"/>
  <c r="Y73" i="21"/>
  <c r="Z73" i="21" s="1"/>
  <c r="Y76" i="21"/>
  <c r="Z76" i="21" s="1"/>
  <c r="BB77" i="21"/>
  <c r="AZ77" i="21"/>
  <c r="L77" i="21"/>
  <c r="M77" i="21" s="1"/>
  <c r="BB83" i="21"/>
  <c r="AZ83" i="21"/>
  <c r="L83" i="21"/>
  <c r="M83" i="21" s="1"/>
  <c r="AT11" i="21"/>
  <c r="AN12" i="21"/>
  <c r="AO12" i="21" s="1"/>
  <c r="AZ42" i="21"/>
  <c r="BB42" i="21"/>
  <c r="AH54" i="21"/>
  <c r="AI54" i="21" s="1"/>
  <c r="R54" i="21"/>
  <c r="S54" i="21" s="1"/>
  <c r="AT55" i="21"/>
  <c r="AU55" i="21" s="1"/>
  <c r="AS54" i="21"/>
  <c r="AT54" i="21" s="1"/>
  <c r="AU54" i="21" s="1"/>
  <c r="BD128" i="21"/>
  <c r="BB128" i="21"/>
  <c r="W132" i="21"/>
  <c r="V130" i="21"/>
  <c r="W130" i="21" s="1"/>
  <c r="W131" i="21"/>
  <c r="BD35" i="21"/>
  <c r="AE35" i="21"/>
  <c r="AF35" i="21" s="1"/>
  <c r="AK37" i="21"/>
  <c r="AL37" i="21" s="1"/>
  <c r="Y38" i="21"/>
  <c r="Z38" i="21" s="1"/>
  <c r="AE39" i="21"/>
  <c r="AF39" i="21" s="1"/>
  <c r="AK40" i="21"/>
  <c r="AL40" i="21" s="1"/>
  <c r="R43" i="21"/>
  <c r="S43" i="21" s="1"/>
  <c r="AK43" i="21"/>
  <c r="AL43" i="21" s="1"/>
  <c r="Y46" i="21"/>
  <c r="Z46" i="21" s="1"/>
  <c r="AH49" i="21"/>
  <c r="AI49" i="21" s="1"/>
  <c r="BD51" i="21"/>
  <c r="Y53" i="21"/>
  <c r="Z53" i="21" s="1"/>
  <c r="Y55" i="21"/>
  <c r="Z55" i="21" s="1"/>
  <c r="L58" i="21"/>
  <c r="M58" i="21" s="1"/>
  <c r="AK63" i="21"/>
  <c r="AL63" i="21" s="1"/>
  <c r="Y67" i="21"/>
  <c r="Z67" i="21" s="1"/>
  <c r="BD69" i="21"/>
  <c r="AN72" i="21"/>
  <c r="AO72" i="21" s="1"/>
  <c r="O72" i="21"/>
  <c r="P72" i="21" s="1"/>
  <c r="AB72" i="21"/>
  <c r="AC72" i="21" s="1"/>
  <c r="AE73" i="21"/>
  <c r="AF73" i="21" s="1"/>
  <c r="O76" i="21"/>
  <c r="P76" i="21" s="1"/>
  <c r="AH76" i="21"/>
  <c r="AI76" i="21" s="1"/>
  <c r="BB79" i="21"/>
  <c r="BD81" i="21"/>
  <c r="AB82" i="21"/>
  <c r="AC82" i="21" s="1"/>
  <c r="AK84" i="21"/>
  <c r="AL84" i="21" s="1"/>
  <c r="BD86" i="21"/>
  <c r="AH87" i="21"/>
  <c r="AI87" i="21" s="1"/>
  <c r="R89" i="21"/>
  <c r="S89" i="21" s="1"/>
  <c r="AH89" i="21"/>
  <c r="AI89" i="21" s="1"/>
  <c r="BD90" i="21"/>
  <c r="R92" i="21"/>
  <c r="S92" i="21" s="1"/>
  <c r="O93" i="21"/>
  <c r="P93" i="21" s="1"/>
  <c r="AB95" i="21"/>
  <c r="AC95" i="21" s="1"/>
  <c r="BD100" i="21"/>
  <c r="AH123" i="21"/>
  <c r="AI123" i="21" s="1"/>
  <c r="W187" i="21"/>
  <c r="W189" i="21"/>
  <c r="W188" i="21"/>
  <c r="AT188" i="21"/>
  <c r="AU188" i="21" s="1"/>
  <c r="AT189" i="21"/>
  <c r="AU189" i="21" s="1"/>
  <c r="BB188" i="21"/>
  <c r="AZ188" i="21"/>
  <c r="BD36" i="21"/>
  <c r="AH38" i="21"/>
  <c r="AI38" i="21" s="1"/>
  <c r="O39" i="21"/>
  <c r="P39" i="21" s="1"/>
  <c r="AB41" i="21"/>
  <c r="AC41" i="21" s="1"/>
  <c r="O42" i="21"/>
  <c r="P42" i="21" s="1"/>
  <c r="AE42" i="21"/>
  <c r="AF42" i="21" s="1"/>
  <c r="BD43" i="21"/>
  <c r="BD45" i="21"/>
  <c r="BD48" i="21"/>
  <c r="AK49" i="21"/>
  <c r="AL49" i="21" s="1"/>
  <c r="AQ51" i="21"/>
  <c r="AR51" i="21" s="1"/>
  <c r="AK51" i="21"/>
  <c r="AL51" i="21" s="1"/>
  <c r="AZ53" i="21"/>
  <c r="O56" i="21"/>
  <c r="P56" i="21" s="1"/>
  <c r="AH56" i="21"/>
  <c r="AI56" i="21" s="1"/>
  <c r="AE57" i="21"/>
  <c r="AF57" i="21" s="1"/>
  <c r="AZ59" i="21"/>
  <c r="AH61" i="21"/>
  <c r="AI61" i="21" s="1"/>
  <c r="O62" i="21"/>
  <c r="P62" i="21" s="1"/>
  <c r="AE62" i="21"/>
  <c r="AF62" i="21" s="1"/>
  <c r="BB64" i="21"/>
  <c r="O65" i="21"/>
  <c r="P65" i="21" s="1"/>
  <c r="AE65" i="21"/>
  <c r="AF65" i="21" s="1"/>
  <c r="BD66" i="21"/>
  <c r="O68" i="21"/>
  <c r="P68" i="21" s="1"/>
  <c r="AE68" i="21"/>
  <c r="AF68" i="21" s="1"/>
  <c r="AQ70" i="21"/>
  <c r="AR70" i="21" s="1"/>
  <c r="AH71" i="21"/>
  <c r="AI71" i="21" s="1"/>
  <c r="R72" i="21"/>
  <c r="S72" i="21" s="1"/>
  <c r="AE72" i="21"/>
  <c r="AF72" i="21" s="1"/>
  <c r="BB74" i="21"/>
  <c r="AH74" i="21"/>
  <c r="AI74" i="21" s="1"/>
  <c r="Y74" i="21"/>
  <c r="Z74" i="21" s="1"/>
  <c r="AB77" i="21"/>
  <c r="AC77" i="21" s="1"/>
  <c r="AN78" i="21"/>
  <c r="AO78" i="21" s="1"/>
  <c r="AH79" i="21"/>
  <c r="AI79" i="21" s="1"/>
  <c r="BB80" i="21"/>
  <c r="AN80" i="21"/>
  <c r="AO80" i="21" s="1"/>
  <c r="AH81" i="21"/>
  <c r="AI81" i="21" s="1"/>
  <c r="AB83" i="21"/>
  <c r="AC83" i="21" s="1"/>
  <c r="AN85" i="21"/>
  <c r="AO85" i="21" s="1"/>
  <c r="AH88" i="21"/>
  <c r="AI88" i="21" s="1"/>
  <c r="BD89" i="21"/>
  <c r="AK91" i="21"/>
  <c r="AL91" i="21" s="1"/>
  <c r="AH92" i="21"/>
  <c r="AI92" i="21" s="1"/>
  <c r="BD93" i="21"/>
  <c r="R93" i="21"/>
  <c r="S93" i="21" s="1"/>
  <c r="BB95" i="21"/>
  <c r="BB96" i="21"/>
  <c r="Y96" i="21"/>
  <c r="Z96" i="21" s="1"/>
  <c r="R123" i="21"/>
  <c r="S123" i="21" s="1"/>
  <c r="Y128" i="21"/>
  <c r="Z128" i="21" s="1"/>
  <c r="R138" i="21"/>
  <c r="S138" i="21" s="1"/>
  <c r="BD151" i="21"/>
  <c r="BD165" i="21"/>
  <c r="AQ183" i="21"/>
  <c r="AR183" i="21" s="1"/>
  <c r="BB38" i="21"/>
  <c r="AE38" i="21"/>
  <c r="AF38" i="21" s="1"/>
  <c r="AK39" i="21"/>
  <c r="AL39" i="21" s="1"/>
  <c r="BD42" i="21"/>
  <c r="R42" i="21"/>
  <c r="S42" i="21" s="1"/>
  <c r="AH42" i="21"/>
  <c r="AI42" i="21" s="1"/>
  <c r="AE44" i="21"/>
  <c r="AF44" i="21" s="1"/>
  <c r="AK45" i="21"/>
  <c r="AL45" i="21" s="1"/>
  <c r="Y50" i="21"/>
  <c r="Z50" i="21" s="1"/>
  <c r="AT51" i="21"/>
  <c r="AU51" i="21" s="1"/>
  <c r="AE53" i="21"/>
  <c r="AF53" i="21" s="1"/>
  <c r="BD54" i="21"/>
  <c r="BD56" i="21"/>
  <c r="BB57" i="21"/>
  <c r="AB58" i="21"/>
  <c r="AC58" i="21" s="1"/>
  <c r="BB61" i="21"/>
  <c r="R62" i="21"/>
  <c r="S62" i="21" s="1"/>
  <c r="AH62" i="21"/>
  <c r="AI62" i="21" s="1"/>
  <c r="BD65" i="21"/>
  <c r="R65" i="21"/>
  <c r="S65" i="21" s="1"/>
  <c r="AH65" i="21"/>
  <c r="AI65" i="21" s="1"/>
  <c r="AK66" i="21"/>
  <c r="AL66" i="21" s="1"/>
  <c r="BD68" i="21"/>
  <c r="R68" i="21"/>
  <c r="S68" i="21" s="1"/>
  <c r="AH68" i="21"/>
  <c r="AI68" i="21" s="1"/>
  <c r="AT70" i="21"/>
  <c r="AU70" i="21" s="1"/>
  <c r="AK71" i="21"/>
  <c r="AL71" i="21" s="1"/>
  <c r="BD72" i="21"/>
  <c r="AH72" i="21"/>
  <c r="AI72" i="21" s="1"/>
  <c r="R73" i="21"/>
  <c r="S73" i="21" s="1"/>
  <c r="O75" i="21"/>
  <c r="P75" i="21" s="1"/>
  <c r="AE75" i="21"/>
  <c r="AF75" i="21" s="1"/>
  <c r="BD76" i="21"/>
  <c r="R77" i="21"/>
  <c r="S77" i="21" s="1"/>
  <c r="BB78" i="21"/>
  <c r="AQ78" i="21"/>
  <c r="AR78" i="21" s="1"/>
  <c r="AK81" i="21"/>
  <c r="AL81" i="21" s="1"/>
  <c r="R82" i="21"/>
  <c r="S82" i="21" s="1"/>
  <c r="R83" i="21"/>
  <c r="S83" i="21" s="1"/>
  <c r="AZ84" i="21"/>
  <c r="AQ90" i="21"/>
  <c r="AR90" i="21" s="1"/>
  <c r="AK87" i="21"/>
  <c r="AL87" i="21" s="1"/>
  <c r="AK88" i="21"/>
  <c r="AL88" i="21" s="1"/>
  <c r="AK89" i="21"/>
  <c r="AL89" i="21" s="1"/>
  <c r="AK92" i="21"/>
  <c r="AL92" i="21" s="1"/>
  <c r="AE93" i="21"/>
  <c r="AF93" i="21" s="1"/>
  <c r="Y103" i="21"/>
  <c r="Z103" i="21" s="1"/>
  <c r="AZ128" i="21"/>
  <c r="W138" i="21"/>
  <c r="V136" i="21"/>
  <c r="W136" i="21" s="1"/>
  <c r="AS136" i="21"/>
  <c r="AT136" i="21" s="1"/>
  <c r="AU136" i="21" s="1"/>
  <c r="AT137" i="21"/>
  <c r="AU137" i="21" s="1"/>
  <c r="AH137" i="21"/>
  <c r="AI137" i="21" s="1"/>
  <c r="AK156" i="21"/>
  <c r="AL156" i="21" s="1"/>
  <c r="AK151" i="21"/>
  <c r="AL151" i="21" s="1"/>
  <c r="BD175" i="21"/>
  <c r="Y185" i="21"/>
  <c r="Z185" i="21" s="1"/>
  <c r="Y179" i="21"/>
  <c r="Z179" i="21" s="1"/>
  <c r="X178" i="21"/>
  <c r="Y178" i="21" s="1"/>
  <c r="Z178" i="21" s="1"/>
  <c r="Y180" i="21"/>
  <c r="Z180" i="21" s="1"/>
  <c r="AQ178" i="21"/>
  <c r="AR178" i="21" s="1"/>
  <c r="AQ184" i="21"/>
  <c r="AR184" i="21" s="1"/>
  <c r="Y40" i="21"/>
  <c r="Z40" i="21" s="1"/>
  <c r="AK42" i="21"/>
  <c r="AL42" i="21" s="1"/>
  <c r="BB50" i="21"/>
  <c r="AK50" i="21"/>
  <c r="AL50" i="21" s="1"/>
  <c r="AB50" i="21"/>
  <c r="AC50" i="21" s="1"/>
  <c r="AT50" i="21"/>
  <c r="AU50" i="21" s="1"/>
  <c r="R58" i="21"/>
  <c r="S58" i="21" s="1"/>
  <c r="AK62" i="21"/>
  <c r="AL62" i="21" s="1"/>
  <c r="AK65" i="21"/>
  <c r="AL65" i="21" s="1"/>
  <c r="AK68" i="21"/>
  <c r="AL68" i="21" s="1"/>
  <c r="AN71" i="21"/>
  <c r="AO71" i="21" s="1"/>
  <c r="AK73" i="21"/>
  <c r="AL73" i="21" s="1"/>
  <c r="R75" i="21"/>
  <c r="S75" i="21" s="1"/>
  <c r="AN76" i="21"/>
  <c r="AO76" i="21" s="1"/>
  <c r="AH82" i="21"/>
  <c r="AI82" i="21" s="1"/>
  <c r="BD84" i="21"/>
  <c r="AN88" i="21"/>
  <c r="AO88" i="21" s="1"/>
  <c r="AH90" i="21"/>
  <c r="AI90" i="21" s="1"/>
  <c r="AT90" i="21"/>
  <c r="AU90" i="21" s="1"/>
  <c r="AB92" i="21"/>
  <c r="AC92" i="21" s="1"/>
  <c r="AN92" i="21"/>
  <c r="AO92" i="21" s="1"/>
  <c r="AZ98" i="21"/>
  <c r="AT117" i="21"/>
  <c r="AU117" i="21" s="1"/>
  <c r="AS116" i="21"/>
  <c r="AT116" i="21" s="1"/>
  <c r="AU116" i="21" s="1"/>
  <c r="Y138" i="21"/>
  <c r="Z138" i="21" s="1"/>
  <c r="BB211" i="21"/>
  <c r="AZ211" i="21"/>
  <c r="BB35" i="21"/>
  <c r="AK38" i="21"/>
  <c r="AL38" i="21" s="1"/>
  <c r="BD39" i="21"/>
  <c r="AH41" i="21"/>
  <c r="AI41" i="21" s="1"/>
  <c r="Y43" i="21"/>
  <c r="Z43" i="21" s="1"/>
  <c r="AH45" i="21"/>
  <c r="AI45" i="21" s="1"/>
  <c r="AQ47" i="21"/>
  <c r="AR47" i="21" s="1"/>
  <c r="BD46" i="21"/>
  <c r="R46" i="21"/>
  <c r="S46" i="21" s="1"/>
  <c r="AH46" i="21"/>
  <c r="AI46" i="21" s="1"/>
  <c r="AH48" i="21"/>
  <c r="AI48" i="21" s="1"/>
  <c r="L50" i="21"/>
  <c r="M50" i="21" s="1"/>
  <c r="AE50" i="21"/>
  <c r="AF50" i="21" s="1"/>
  <c r="O52" i="21"/>
  <c r="P52" i="21" s="1"/>
  <c r="R53" i="21"/>
  <c r="S53" i="21" s="1"/>
  <c r="AK53" i="21"/>
  <c r="AL53" i="21" s="1"/>
  <c r="AN56" i="21"/>
  <c r="AO56" i="21" s="1"/>
  <c r="R59" i="21"/>
  <c r="S59" i="21" s="1"/>
  <c r="AK59" i="21"/>
  <c r="AL59" i="21" s="1"/>
  <c r="Y60" i="21"/>
  <c r="Z60" i="21" s="1"/>
  <c r="O61" i="21"/>
  <c r="P61" i="21" s="1"/>
  <c r="AE61" i="21"/>
  <c r="AF61" i="21" s="1"/>
  <c r="AN63" i="21"/>
  <c r="AO63" i="21" s="1"/>
  <c r="AM66" i="21"/>
  <c r="AN66" i="21" s="1"/>
  <c r="AO66" i="21" s="1"/>
  <c r="BD67" i="21"/>
  <c r="AB69" i="21"/>
  <c r="AC69" i="21" s="1"/>
  <c r="Y69" i="21"/>
  <c r="Z69" i="21" s="1"/>
  <c r="L71" i="21"/>
  <c r="M71" i="21" s="1"/>
  <c r="AQ71" i="21"/>
  <c r="AR71" i="21" s="1"/>
  <c r="AN74" i="21"/>
  <c r="AO74" i="21" s="1"/>
  <c r="O74" i="21"/>
  <c r="P74" i="21" s="1"/>
  <c r="AE74" i="21"/>
  <c r="AF74" i="21" s="1"/>
  <c r="AK75" i="21"/>
  <c r="AL75" i="21" s="1"/>
  <c r="AH77" i="21"/>
  <c r="AI77" i="21" s="1"/>
  <c r="AB78" i="21"/>
  <c r="AC78" i="21" s="1"/>
  <c r="L79" i="21"/>
  <c r="M79" i="21" s="1"/>
  <c r="L81" i="21"/>
  <c r="M81" i="21" s="1"/>
  <c r="AH83" i="21"/>
  <c r="AI83" i="21" s="1"/>
  <c r="AB84" i="21"/>
  <c r="AC84" i="21" s="1"/>
  <c r="Y86" i="21"/>
  <c r="Z86" i="21" s="1"/>
  <c r="L88" i="21"/>
  <c r="M88" i="21" s="1"/>
  <c r="L90" i="21"/>
  <c r="M90" i="21" s="1"/>
  <c r="Y90" i="21"/>
  <c r="Z90" i="21" s="1"/>
  <c r="R95" i="21"/>
  <c r="S95" i="21" s="1"/>
  <c r="O96" i="21"/>
  <c r="P96" i="21" s="1"/>
  <c r="AE96" i="21"/>
  <c r="AF96" i="21" s="1"/>
  <c r="O122" i="21"/>
  <c r="P122" i="21" s="1"/>
  <c r="AT126" i="21"/>
  <c r="AU126" i="21" s="1"/>
  <c r="AS125" i="21"/>
  <c r="AT125" i="21" s="1"/>
  <c r="AU125" i="21" s="1"/>
  <c r="AT127" i="21"/>
  <c r="AU127" i="21" s="1"/>
  <c r="O141" i="21"/>
  <c r="P141" i="21" s="1"/>
  <c r="O140" i="21"/>
  <c r="P140" i="21" s="1"/>
  <c r="N139" i="21"/>
  <c r="O139" i="21" s="1"/>
  <c r="P139" i="21" s="1"/>
  <c r="AZ151" i="21"/>
  <c r="BD171" i="21"/>
  <c r="O183" i="21"/>
  <c r="P183" i="21" s="1"/>
  <c r="N178" i="21"/>
  <c r="O178" i="21" s="1"/>
  <c r="P178" i="21" s="1"/>
  <c r="O185" i="21"/>
  <c r="P185" i="21" s="1"/>
  <c r="AE184" i="21"/>
  <c r="AF184" i="21" s="1"/>
  <c r="L179" i="21"/>
  <c r="M179" i="21" s="1"/>
  <c r="AT190" i="21"/>
  <c r="AU190" i="21" s="1"/>
  <c r="V260" i="21"/>
  <c r="W260" i="21" s="1"/>
  <c r="W261" i="21"/>
  <c r="L40" i="21"/>
  <c r="M40" i="21" s="1"/>
  <c r="AB43" i="21"/>
  <c r="AC43" i="21" s="1"/>
  <c r="AH58" i="21"/>
  <c r="AI58" i="21" s="1"/>
  <c r="Y66" i="21"/>
  <c r="Z66" i="21" s="1"/>
  <c r="AN73" i="21"/>
  <c r="AO73" i="21" s="1"/>
  <c r="AT76" i="21"/>
  <c r="AU76" i="21" s="1"/>
  <c r="AN79" i="21"/>
  <c r="AO79" i="21" s="1"/>
  <c r="AQ82" i="21"/>
  <c r="AR82" i="21" s="1"/>
  <c r="AB90" i="21"/>
  <c r="AC90" i="21" s="1"/>
  <c r="L92" i="21"/>
  <c r="M92" i="21" s="1"/>
  <c r="AN100" i="21"/>
  <c r="AO100" i="21" s="1"/>
  <c r="AN99" i="21"/>
  <c r="AO99" i="21" s="1"/>
  <c r="W143" i="21"/>
  <c r="W144" i="21"/>
  <c r="AH164" i="21"/>
  <c r="AI164" i="21" s="1"/>
  <c r="AH166" i="21"/>
  <c r="AI166" i="21" s="1"/>
  <c r="AK226" i="21"/>
  <c r="AL226" i="21" s="1"/>
  <c r="AK228" i="21"/>
  <c r="AL228" i="21" s="1"/>
  <c r="AH97" i="21"/>
  <c r="AI97" i="21" s="1"/>
  <c r="AB97" i="21"/>
  <c r="AC97" i="21" s="1"/>
  <c r="R98" i="21"/>
  <c r="S98" i="21" s="1"/>
  <c r="BD101" i="21"/>
  <c r="BB103" i="21"/>
  <c r="L103" i="21"/>
  <c r="M103" i="21" s="1"/>
  <c r="AH107" i="21"/>
  <c r="AI107" i="21" s="1"/>
  <c r="R110" i="21"/>
  <c r="S110" i="21" s="1"/>
  <c r="AH114" i="21"/>
  <c r="AI114" i="21" s="1"/>
  <c r="L119" i="21"/>
  <c r="M119" i="21" s="1"/>
  <c r="BD121" i="21"/>
  <c r="R121" i="21"/>
  <c r="S121" i="21" s="1"/>
  <c r="AZ121" i="21"/>
  <c r="AK124" i="21"/>
  <c r="AL124" i="21" s="1"/>
  <c r="AQ127" i="21"/>
  <c r="AR127" i="21" s="1"/>
  <c r="L127" i="21"/>
  <c r="M127" i="21" s="1"/>
  <c r="L129" i="21"/>
  <c r="M129" i="21" s="1"/>
  <c r="AK134" i="21"/>
  <c r="AL134" i="21" s="1"/>
  <c r="AN136" i="21"/>
  <c r="AO136" i="21" s="1"/>
  <c r="AH144" i="21"/>
  <c r="AI144" i="21" s="1"/>
  <c r="AN150" i="21"/>
  <c r="AO150" i="21" s="1"/>
  <c r="AZ153" i="21"/>
  <c r="AZ156" i="21"/>
  <c r="AK162" i="21"/>
  <c r="AL162" i="21" s="1"/>
  <c r="R165" i="21"/>
  <c r="S165" i="21" s="1"/>
  <c r="AE166" i="21"/>
  <c r="AF166" i="21" s="1"/>
  <c r="BD168" i="21"/>
  <c r="BD169" i="21"/>
  <c r="L177" i="21"/>
  <c r="M177" i="21" s="1"/>
  <c r="AN176" i="21"/>
  <c r="AO176" i="21" s="1"/>
  <c r="W172" i="21"/>
  <c r="BD173" i="21"/>
  <c r="BD176" i="21"/>
  <c r="BD177" i="21"/>
  <c r="W180" i="21"/>
  <c r="BD181" i="21"/>
  <c r="L200" i="21"/>
  <c r="M200" i="21" s="1"/>
  <c r="L202" i="21"/>
  <c r="M202" i="21" s="1"/>
  <c r="BB228" i="21"/>
  <c r="BD270" i="21"/>
  <c r="AH98" i="21"/>
  <c r="AI98" i="21" s="1"/>
  <c r="R99" i="21"/>
  <c r="S99" i="21" s="1"/>
  <c r="O100" i="21"/>
  <c r="P100" i="21" s="1"/>
  <c r="AE100" i="21"/>
  <c r="AF100" i="21" s="1"/>
  <c r="AH101" i="21"/>
  <c r="AI101" i="21" s="1"/>
  <c r="AB102" i="21"/>
  <c r="AC102" i="21" s="1"/>
  <c r="AB103" i="21"/>
  <c r="AC103" i="21" s="1"/>
  <c r="R104" i="21"/>
  <c r="S104" i="21" s="1"/>
  <c r="AH104" i="21"/>
  <c r="AI104" i="21" s="1"/>
  <c r="BD105" i="21"/>
  <c r="R105" i="21"/>
  <c r="S105" i="21" s="1"/>
  <c r="AH105" i="21"/>
  <c r="AI105" i="21" s="1"/>
  <c r="R106" i="21"/>
  <c r="S106" i="21" s="1"/>
  <c r="AK107" i="21"/>
  <c r="AL107" i="21" s="1"/>
  <c r="AK110" i="21"/>
  <c r="AL110" i="21" s="1"/>
  <c r="Y117" i="21"/>
  <c r="Z117" i="21" s="1"/>
  <c r="Y119" i="21"/>
  <c r="Z119" i="21" s="1"/>
  <c r="AH122" i="21"/>
  <c r="AI122" i="21" s="1"/>
  <c r="BB124" i="21"/>
  <c r="AZ124" i="21"/>
  <c r="AE127" i="21"/>
  <c r="AF127" i="21" s="1"/>
  <c r="AP125" i="21"/>
  <c r="AQ125" i="21" s="1"/>
  <c r="AR125" i="21" s="1"/>
  <c r="O127" i="21"/>
  <c r="P127" i="21" s="1"/>
  <c r="O128" i="21"/>
  <c r="P128" i="21" s="1"/>
  <c r="AH129" i="21"/>
  <c r="AI129" i="21" s="1"/>
  <c r="O131" i="21"/>
  <c r="P131" i="21" s="1"/>
  <c r="BD132" i="21"/>
  <c r="L136" i="21"/>
  <c r="M136" i="21" s="1"/>
  <c r="AQ138" i="21"/>
  <c r="AR138" i="21" s="1"/>
  <c r="L141" i="21"/>
  <c r="M141" i="21" s="1"/>
  <c r="AK141" i="21"/>
  <c r="AL141" i="21" s="1"/>
  <c r="AK148" i="21"/>
  <c r="AL148" i="21" s="1"/>
  <c r="AZ143" i="21"/>
  <c r="O153" i="21"/>
  <c r="P153" i="21" s="1"/>
  <c r="V149" i="21"/>
  <c r="W149" i="21" s="1"/>
  <c r="AQ152" i="21"/>
  <c r="AR152" i="21" s="1"/>
  <c r="AN160" i="21"/>
  <c r="AO160" i="21" s="1"/>
  <c r="BB159" i="21"/>
  <c r="O161" i="21"/>
  <c r="P161" i="21" s="1"/>
  <c r="Y172" i="21"/>
  <c r="Z172" i="21" s="1"/>
  <c r="L185" i="21"/>
  <c r="M185" i="21" s="1"/>
  <c r="AH180" i="21"/>
  <c r="AI180" i="21" s="1"/>
  <c r="AT180" i="21"/>
  <c r="AU180" i="21" s="1"/>
  <c r="AT182" i="21"/>
  <c r="AU182" i="21" s="1"/>
  <c r="AQ192" i="21"/>
  <c r="AR192" i="21" s="1"/>
  <c r="Y206" i="21"/>
  <c r="Z206" i="21" s="1"/>
  <c r="X204" i="21"/>
  <c r="Y204" i="21" s="1"/>
  <c r="Z204" i="21" s="1"/>
  <c r="BB227" i="21"/>
  <c r="AZ227" i="21"/>
  <c r="BB234" i="21"/>
  <c r="AZ234" i="21"/>
  <c r="AD266" i="21"/>
  <c r="AE266" i="21" s="1"/>
  <c r="AF266" i="21" s="1"/>
  <c r="AE267" i="21"/>
  <c r="AF267" i="21" s="1"/>
  <c r="AQ274" i="21"/>
  <c r="AR274" i="21" s="1"/>
  <c r="AQ276" i="21"/>
  <c r="AR276" i="21" s="1"/>
  <c r="AH281" i="21"/>
  <c r="AI281" i="21" s="1"/>
  <c r="AG280" i="21"/>
  <c r="AH280" i="21" s="1"/>
  <c r="AI280" i="21" s="1"/>
  <c r="AK99" i="21"/>
  <c r="AL99" i="21" s="1"/>
  <c r="Y101" i="21"/>
  <c r="Z101" i="21" s="1"/>
  <c r="AH103" i="21"/>
  <c r="AI103" i="21" s="1"/>
  <c r="AK106" i="21"/>
  <c r="AL106" i="21" s="1"/>
  <c r="L108" i="21"/>
  <c r="M108" i="21" s="1"/>
  <c r="AE108" i="21"/>
  <c r="AF108" i="21" s="1"/>
  <c r="Y111" i="21"/>
  <c r="Z111" i="21" s="1"/>
  <c r="BB112" i="21"/>
  <c r="BB116" i="21"/>
  <c r="AK116" i="21"/>
  <c r="AL116" i="21" s="1"/>
  <c r="R118" i="21"/>
  <c r="S118" i="21" s="1"/>
  <c r="AH118" i="21"/>
  <c r="AI118" i="21" s="1"/>
  <c r="AK121" i="21"/>
  <c r="AL121" i="21" s="1"/>
  <c r="L122" i="21"/>
  <c r="M122" i="21" s="1"/>
  <c r="L123" i="21"/>
  <c r="M123" i="21" s="1"/>
  <c r="AB123" i="21"/>
  <c r="AC123" i="21" s="1"/>
  <c r="AH125" i="21"/>
  <c r="AI125" i="21" s="1"/>
  <c r="R126" i="21"/>
  <c r="S126" i="21" s="1"/>
  <c r="AN128" i="21"/>
  <c r="AO128" i="21" s="1"/>
  <c r="BB133" i="21"/>
  <c r="O134" i="21"/>
  <c r="P134" i="21" s="1"/>
  <c r="R137" i="21"/>
  <c r="S137" i="21" s="1"/>
  <c r="AB136" i="21"/>
  <c r="AC136" i="21" s="1"/>
  <c r="BB137" i="21"/>
  <c r="AQ139" i="21"/>
  <c r="AR139" i="21" s="1"/>
  <c r="Y148" i="21"/>
  <c r="Z148" i="21" s="1"/>
  <c r="AN148" i="21"/>
  <c r="AO148" i="21" s="1"/>
  <c r="AT145" i="21"/>
  <c r="AU145" i="21" s="1"/>
  <c r="Y156" i="21"/>
  <c r="Z156" i="21" s="1"/>
  <c r="W150" i="21"/>
  <c r="AQ162" i="21"/>
  <c r="AR162" i="21" s="1"/>
  <c r="BB161" i="21"/>
  <c r="AK169" i="21"/>
  <c r="AL169" i="21" s="1"/>
  <c r="BB164" i="21"/>
  <c r="Y164" i="21"/>
  <c r="Z164" i="21" s="1"/>
  <c r="R173" i="21"/>
  <c r="S173" i="21" s="1"/>
  <c r="AE174" i="21"/>
  <c r="AF174" i="21" s="1"/>
  <c r="AZ172" i="21"/>
  <c r="AH181" i="21"/>
  <c r="AI181" i="21" s="1"/>
  <c r="BB184" i="21"/>
  <c r="Y192" i="21"/>
  <c r="Z192" i="21" s="1"/>
  <c r="Y187" i="21"/>
  <c r="Z187" i="21" s="1"/>
  <c r="X186" i="21"/>
  <c r="Y186" i="21" s="1"/>
  <c r="Z186" i="21" s="1"/>
  <c r="L272" i="21"/>
  <c r="M272" i="21" s="1"/>
  <c r="K271" i="21"/>
  <c r="AB99" i="21"/>
  <c r="AC99" i="21" s="1"/>
  <c r="AH102" i="21"/>
  <c r="AI102" i="21" s="1"/>
  <c r="AT104" i="21"/>
  <c r="AU104" i="21" s="1"/>
  <c r="AZ105" i="21"/>
  <c r="AB106" i="21"/>
  <c r="AC106" i="21" s="1"/>
  <c r="AN106" i="21"/>
  <c r="AO106" i="21" s="1"/>
  <c r="O108" i="21"/>
  <c r="P108" i="21" s="1"/>
  <c r="AB111" i="21"/>
  <c r="AC111" i="21" s="1"/>
  <c r="AH113" i="21"/>
  <c r="AI113" i="21" s="1"/>
  <c r="O114" i="21"/>
  <c r="P114" i="21" s="1"/>
  <c r="AB114" i="21"/>
  <c r="AC114" i="21" s="1"/>
  <c r="O115" i="21"/>
  <c r="P115" i="21" s="1"/>
  <c r="AN119" i="21"/>
  <c r="AO119" i="21" s="1"/>
  <c r="R119" i="21"/>
  <c r="S119" i="21" s="1"/>
  <c r="AN122" i="21"/>
  <c r="AO122" i="21" s="1"/>
  <c r="Y122" i="21"/>
  <c r="Z122" i="21" s="1"/>
  <c r="O123" i="21"/>
  <c r="P123" i="21" s="1"/>
  <c r="AE123" i="21"/>
  <c r="AF123" i="21" s="1"/>
  <c r="AB124" i="21"/>
  <c r="AC124" i="21" s="1"/>
  <c r="AB135" i="21"/>
  <c r="AC135" i="21" s="1"/>
  <c r="BD136" i="21"/>
  <c r="V139" i="21"/>
  <c r="W139" i="21" s="1"/>
  <c r="X142" i="21"/>
  <c r="AQ146" i="21"/>
  <c r="AR146" i="21" s="1"/>
  <c r="AB150" i="21"/>
  <c r="AC150" i="21" s="1"/>
  <c r="BB150" i="21"/>
  <c r="BD155" i="21"/>
  <c r="Y162" i="21"/>
  <c r="Z162" i="21" s="1"/>
  <c r="BD161" i="21"/>
  <c r="AK164" i="21"/>
  <c r="AL164" i="21" s="1"/>
  <c r="W165" i="21"/>
  <c r="AH172" i="21"/>
  <c r="AI172" i="21" s="1"/>
  <c r="AT172" i="21"/>
  <c r="AU172" i="21" s="1"/>
  <c r="AH174" i="21"/>
  <c r="AI174" i="21" s="1"/>
  <c r="R181" i="21"/>
  <c r="S181" i="21" s="1"/>
  <c r="BD179" i="21"/>
  <c r="L192" i="21"/>
  <c r="M192" i="21" s="1"/>
  <c r="L187" i="21"/>
  <c r="M187" i="21" s="1"/>
  <c r="AB192" i="21"/>
  <c r="AC192" i="21" s="1"/>
  <c r="AB231" i="21"/>
  <c r="AC231" i="21" s="1"/>
  <c r="AA230" i="21"/>
  <c r="AB230" i="21" s="1"/>
  <c r="AC230" i="21" s="1"/>
  <c r="AH239" i="21"/>
  <c r="AI239" i="21" s="1"/>
  <c r="AG233" i="21"/>
  <c r="AH233" i="21" s="1"/>
  <c r="AI233" i="21" s="1"/>
  <c r="AT285" i="21"/>
  <c r="AU285" i="21" s="1"/>
  <c r="Y98" i="21"/>
  <c r="Z98" i="21" s="1"/>
  <c r="L105" i="21"/>
  <c r="M105" i="21" s="1"/>
  <c r="R108" i="21"/>
  <c r="S108" i="21" s="1"/>
  <c r="AK108" i="21"/>
  <c r="AL108" i="21" s="1"/>
  <c r="BD109" i="21"/>
  <c r="AE111" i="21"/>
  <c r="AF111" i="21" s="1"/>
  <c r="Y112" i="21"/>
  <c r="Z112" i="21" s="1"/>
  <c r="BD114" i="21"/>
  <c r="R115" i="21"/>
  <c r="S115" i="21" s="1"/>
  <c r="Y116" i="21"/>
  <c r="Z116" i="21" s="1"/>
  <c r="AM116" i="21"/>
  <c r="AN116" i="21" s="1"/>
  <c r="AO116" i="21" s="1"/>
  <c r="BD117" i="21"/>
  <c r="BD120" i="21"/>
  <c r="AQ123" i="21"/>
  <c r="AR123" i="21" s="1"/>
  <c r="AB122" i="21"/>
  <c r="AC122" i="21" s="1"/>
  <c r="R124" i="21"/>
  <c r="S124" i="21" s="1"/>
  <c r="AJ125" i="21"/>
  <c r="AK125" i="21" s="1"/>
  <c r="AL125" i="21" s="1"/>
  <c r="AT129" i="21"/>
  <c r="AU129" i="21" s="1"/>
  <c r="BD130" i="21"/>
  <c r="AE132" i="21"/>
  <c r="AF132" i="21" s="1"/>
  <c r="AA134" i="21"/>
  <c r="AB134" i="21" s="1"/>
  <c r="AC134" i="21" s="1"/>
  <c r="AE138" i="21"/>
  <c r="AF138" i="21" s="1"/>
  <c r="BB138" i="21"/>
  <c r="R141" i="21"/>
  <c r="S141" i="21" s="1"/>
  <c r="Y141" i="21"/>
  <c r="Z141" i="21" s="1"/>
  <c r="L148" i="21"/>
  <c r="M148" i="21" s="1"/>
  <c r="AB148" i="21"/>
  <c r="AC148" i="21" s="1"/>
  <c r="AP142" i="21"/>
  <c r="AZ148" i="21"/>
  <c r="AE152" i="21"/>
  <c r="AF152" i="21" s="1"/>
  <c r="Y151" i="21"/>
  <c r="Z151" i="21" s="1"/>
  <c r="BD156" i="21"/>
  <c r="BD157" i="21"/>
  <c r="Q157" i="21"/>
  <c r="AB160" i="21"/>
  <c r="AC160" i="21" s="1"/>
  <c r="AT162" i="21"/>
  <c r="AU162" i="21" s="1"/>
  <c r="J163" i="21"/>
  <c r="AT163" i="21" s="1"/>
  <c r="AU163" i="21" s="1"/>
  <c r="Y169" i="21"/>
  <c r="Z169" i="21" s="1"/>
  <c r="AN168" i="21"/>
  <c r="AO168" i="21" s="1"/>
  <c r="AZ164" i="21"/>
  <c r="AT166" i="21"/>
  <c r="AU166" i="21" s="1"/>
  <c r="R167" i="21"/>
  <c r="S167" i="21" s="1"/>
  <c r="AE168" i="21"/>
  <c r="AF168" i="21" s="1"/>
  <c r="AK177" i="21"/>
  <c r="AL177" i="21" s="1"/>
  <c r="L171" i="21"/>
  <c r="M171" i="21" s="1"/>
  <c r="BD172" i="21"/>
  <c r="AT174" i="21"/>
  <c r="AU174" i="21" s="1"/>
  <c r="R175" i="21"/>
  <c r="S175" i="21" s="1"/>
  <c r="AE176" i="21"/>
  <c r="AF176" i="21" s="1"/>
  <c r="O177" i="21"/>
  <c r="P177" i="21" s="1"/>
  <c r="AB184" i="21"/>
  <c r="AC184" i="21" s="1"/>
  <c r="AN184" i="21"/>
  <c r="AO184" i="21" s="1"/>
  <c r="BD180" i="21"/>
  <c r="AT181" i="21"/>
  <c r="AU181" i="21" s="1"/>
  <c r="O191" i="21"/>
  <c r="P191" i="21" s="1"/>
  <c r="N186" i="21"/>
  <c r="O186" i="21" s="1"/>
  <c r="P186" i="21" s="1"/>
  <c r="AE190" i="21"/>
  <c r="AF190" i="21" s="1"/>
  <c r="Y286" i="21"/>
  <c r="Z286" i="21" s="1"/>
  <c r="BB98" i="21"/>
  <c r="BB100" i="21"/>
  <c r="AB101" i="21"/>
  <c r="AC101" i="21" s="1"/>
  <c r="AZ101" i="21"/>
  <c r="AN102" i="21"/>
  <c r="AO102" i="21" s="1"/>
  <c r="BB104" i="21"/>
  <c r="BB107" i="21"/>
  <c r="AB107" i="21"/>
  <c r="AC107" i="21" s="1"/>
  <c r="AB110" i="21"/>
  <c r="AC110" i="21" s="1"/>
  <c r="O111" i="21"/>
  <c r="P111" i="21" s="1"/>
  <c r="AH111" i="21"/>
  <c r="AI111" i="21" s="1"/>
  <c r="AH119" i="21"/>
  <c r="AI119" i="21" s="1"/>
  <c r="AP121" i="21"/>
  <c r="AQ121" i="21" s="1"/>
  <c r="AR121" i="21" s="1"/>
  <c r="BD125" i="21"/>
  <c r="W129" i="21"/>
  <c r="Q130" i="21"/>
  <c r="AE133" i="21"/>
  <c r="AF133" i="21" s="1"/>
  <c r="BB134" i="21"/>
  <c r="AK135" i="21"/>
  <c r="AL135" i="21" s="1"/>
  <c r="AH136" i="21"/>
  <c r="AI136" i="21" s="1"/>
  <c r="BB139" i="21"/>
  <c r="R139" i="21"/>
  <c r="S139" i="21" s="1"/>
  <c r="AB153" i="21"/>
  <c r="AC153" i="21" s="1"/>
  <c r="AE158" i="21"/>
  <c r="AF158" i="21" s="1"/>
  <c r="L169" i="21"/>
  <c r="M169" i="21" s="1"/>
  <c r="AQ166" i="21"/>
  <c r="AR166" i="21" s="1"/>
  <c r="BB165" i="21"/>
  <c r="BB167" i="21"/>
  <c r="AZ167" i="21"/>
  <c r="AQ168" i="21"/>
  <c r="AR168" i="21" s="1"/>
  <c r="BB175" i="21"/>
  <c r="AZ175" i="21"/>
  <c r="AQ176" i="21"/>
  <c r="AR176" i="21" s="1"/>
  <c r="AE182" i="21"/>
  <c r="AF182" i="21" s="1"/>
  <c r="AQ182" i="21"/>
  <c r="AR182" i="21" s="1"/>
  <c r="R182" i="21"/>
  <c r="S182" i="21" s="1"/>
  <c r="AH188" i="21"/>
  <c r="AI188" i="21" s="1"/>
  <c r="AH189" i="21"/>
  <c r="AI189" i="21" s="1"/>
  <c r="AH190" i="21"/>
  <c r="AI190" i="21" s="1"/>
  <c r="AE191" i="21"/>
  <c r="AF191" i="21" s="1"/>
  <c r="Y201" i="21"/>
  <c r="Z201" i="21" s="1"/>
  <c r="Y203" i="21"/>
  <c r="Z203" i="21" s="1"/>
  <c r="R209" i="21"/>
  <c r="S209" i="21" s="1"/>
  <c r="J207" i="21"/>
  <c r="R207" i="21" s="1"/>
  <c r="S207" i="21" s="1"/>
  <c r="BB238" i="21"/>
  <c r="AE247" i="21"/>
  <c r="AF247" i="21" s="1"/>
  <c r="AE243" i="21"/>
  <c r="AF243" i="21" s="1"/>
  <c r="AE242" i="21"/>
  <c r="AF242" i="21" s="1"/>
  <c r="AH262" i="21"/>
  <c r="AI262" i="21" s="1"/>
  <c r="AT267" i="21"/>
  <c r="AU267" i="21" s="1"/>
  <c r="AS266" i="21"/>
  <c r="AT266" i="21" s="1"/>
  <c r="AU266" i="21" s="1"/>
  <c r="AB289" i="21"/>
  <c r="AC289" i="21" s="1"/>
  <c r="BB187" i="21"/>
  <c r="R191" i="21"/>
  <c r="S191" i="21" s="1"/>
  <c r="V199" i="21"/>
  <c r="W199" i="21" s="1"/>
  <c r="O200" i="21"/>
  <c r="P200" i="21" s="1"/>
  <c r="BD204" i="21"/>
  <c r="BB206" i="21"/>
  <c r="Y211" i="21"/>
  <c r="Z211" i="21" s="1"/>
  <c r="AG222" i="21"/>
  <c r="AH222" i="21" s="1"/>
  <c r="AI222" i="21" s="1"/>
  <c r="AH223" i="21"/>
  <c r="AI223" i="21" s="1"/>
  <c r="R234" i="21"/>
  <c r="S234" i="21" s="1"/>
  <c r="AE240" i="21"/>
  <c r="AF240" i="21" s="1"/>
  <c r="AS233" i="21"/>
  <c r="AT233" i="21" s="1"/>
  <c r="AU233" i="21" s="1"/>
  <c r="AE234" i="21"/>
  <c r="AF234" i="21" s="1"/>
  <c r="BD241" i="21"/>
  <c r="AA241" i="21"/>
  <c r="AT247" i="21"/>
  <c r="AU247" i="21" s="1"/>
  <c r="AB244" i="21"/>
  <c r="AC244" i="21" s="1"/>
  <c r="AB245" i="21"/>
  <c r="AC245" i="21" s="1"/>
  <c r="BB247" i="21"/>
  <c r="W254" i="21"/>
  <c r="BB257" i="21"/>
  <c r="AN261" i="21"/>
  <c r="AO261" i="21" s="1"/>
  <c r="BB261" i="21"/>
  <c r="AT263" i="21"/>
  <c r="AU263" i="21" s="1"/>
  <c r="AN265" i="21"/>
  <c r="AO265" i="21" s="1"/>
  <c r="BD265" i="21"/>
  <c r="AB266" i="21"/>
  <c r="AC266" i="21" s="1"/>
  <c r="AQ266" i="21"/>
  <c r="AR266" i="21" s="1"/>
  <c r="W278" i="21"/>
  <c r="R280" i="21"/>
  <c r="S280" i="21" s="1"/>
  <c r="AB281" i="21"/>
  <c r="AC281" i="21" s="1"/>
  <c r="AE283" i="21"/>
  <c r="AF283" i="21" s="1"/>
  <c r="AQ283" i="21"/>
  <c r="AR283" i="21" s="1"/>
  <c r="BD283" i="21"/>
  <c r="AH284" i="21"/>
  <c r="AI284" i="21" s="1"/>
  <c r="AH285" i="21"/>
  <c r="AI285" i="21" s="1"/>
  <c r="AT288" i="21"/>
  <c r="AU288" i="21" s="1"/>
  <c r="AK192" i="21"/>
  <c r="AL192" i="21" s="1"/>
  <c r="AK188" i="21"/>
  <c r="AL188" i="21" s="1"/>
  <c r="AQ205" i="21"/>
  <c r="AR205" i="21" s="1"/>
  <c r="AN209" i="21"/>
  <c r="AO209" i="21" s="1"/>
  <c r="W212" i="21"/>
  <c r="W213" i="21"/>
  <c r="W214" i="21"/>
  <c r="AN224" i="21"/>
  <c r="AO224" i="21" s="1"/>
  <c r="BB231" i="21"/>
  <c r="AZ231" i="21"/>
  <c r="AH232" i="21"/>
  <c r="AI232" i="21" s="1"/>
  <c r="AH247" i="21"/>
  <c r="AI247" i="21" s="1"/>
  <c r="BB245" i="21"/>
  <c r="AB251" i="21"/>
  <c r="AC251" i="21" s="1"/>
  <c r="AT257" i="21"/>
  <c r="AU257" i="21" s="1"/>
  <c r="AK259" i="21"/>
  <c r="AL259" i="21" s="1"/>
  <c r="L260" i="21"/>
  <c r="M260" i="21" s="1"/>
  <c r="AK263" i="21"/>
  <c r="AL263" i="21" s="1"/>
  <c r="AQ265" i="21"/>
  <c r="AR265" i="21" s="1"/>
  <c r="AH267" i="21"/>
  <c r="AI267" i="21" s="1"/>
  <c r="AK269" i="21"/>
  <c r="AL269" i="21" s="1"/>
  <c r="AB272" i="21"/>
  <c r="AC272" i="21" s="1"/>
  <c r="AN272" i="21"/>
  <c r="AO272" i="21" s="1"/>
  <c r="O275" i="21"/>
  <c r="P275" i="21" s="1"/>
  <c r="L276" i="21"/>
  <c r="M276" i="21" s="1"/>
  <c r="AZ282" i="21"/>
  <c r="L288" i="21"/>
  <c r="M288" i="21" s="1"/>
  <c r="AK289" i="21"/>
  <c r="AL289" i="21" s="1"/>
  <c r="BB285" i="21"/>
  <c r="BD287" i="21"/>
  <c r="AK293" i="21"/>
  <c r="AL293" i="21" s="1"/>
  <c r="W292" i="21"/>
  <c r="BD293" i="21"/>
  <c r="AJ186" i="21"/>
  <c r="AK186" i="21" s="1"/>
  <c r="AL186" i="21" s="1"/>
  <c r="AQ191" i="21"/>
  <c r="AR191" i="21" s="1"/>
  <c r="R195" i="21"/>
  <c r="S195" i="21" s="1"/>
  <c r="R203" i="21"/>
  <c r="S203" i="21" s="1"/>
  <c r="AE199" i="21"/>
  <c r="AF199" i="21" s="1"/>
  <c r="BB202" i="21"/>
  <c r="L208" i="21"/>
  <c r="M208" i="21" s="1"/>
  <c r="O208" i="21"/>
  <c r="P208" i="21" s="1"/>
  <c r="AJ210" i="21"/>
  <c r="AK212" i="21"/>
  <c r="AL212" i="21" s="1"/>
  <c r="AE221" i="21"/>
  <c r="AF221" i="21" s="1"/>
  <c r="BD217" i="21"/>
  <c r="W221" i="21"/>
  <c r="Y226" i="21"/>
  <c r="Z226" i="21" s="1"/>
  <c r="AM222" i="21"/>
  <c r="AN222" i="21" s="1"/>
  <c r="AO222" i="21" s="1"/>
  <c r="AK237" i="21"/>
  <c r="AL237" i="21" s="1"/>
  <c r="BB237" i="21"/>
  <c r="AG241" i="21"/>
  <c r="AH241" i="21" s="1"/>
  <c r="AI241" i="21" s="1"/>
  <c r="O243" i="21"/>
  <c r="P243" i="21" s="1"/>
  <c r="BB249" i="21"/>
  <c r="W249" i="21"/>
  <c r="BD256" i="21"/>
  <c r="AA256" i="21"/>
  <c r="AB256" i="21" s="1"/>
  <c r="AC256" i="21" s="1"/>
  <c r="AS256" i="21"/>
  <c r="AT256" i="21" s="1"/>
  <c r="AU256" i="21" s="1"/>
  <c r="O257" i="21"/>
  <c r="P257" i="21" s="1"/>
  <c r="K258" i="21"/>
  <c r="AB260" i="21"/>
  <c r="AC260" i="21" s="1"/>
  <c r="AT261" i="21"/>
  <c r="AU261" i="21" s="1"/>
  <c r="L265" i="21"/>
  <c r="M265" i="21" s="1"/>
  <c r="AB265" i="21"/>
  <c r="AC265" i="21" s="1"/>
  <c r="AG266" i="21"/>
  <c r="AH266" i="21" s="1"/>
  <c r="AI266" i="21" s="1"/>
  <c r="AN267" i="21"/>
  <c r="AO267" i="21" s="1"/>
  <c r="AA271" i="21"/>
  <c r="AM271" i="21"/>
  <c r="BD273" i="21"/>
  <c r="R276" i="21"/>
  <c r="S276" i="21" s="1"/>
  <c r="Y275" i="21"/>
  <c r="Z275" i="21" s="1"/>
  <c r="BB274" i="21"/>
  <c r="O283" i="21"/>
  <c r="P283" i="21" s="1"/>
  <c r="O286" i="21"/>
  <c r="P286" i="21" s="1"/>
  <c r="AN287" i="21"/>
  <c r="AO287" i="21" s="1"/>
  <c r="AJ290" i="21"/>
  <c r="AE192" i="21"/>
  <c r="AF192" i="21" s="1"/>
  <c r="BD198" i="21"/>
  <c r="AE205" i="21"/>
  <c r="AF205" i="21" s="1"/>
  <c r="W205" i="21"/>
  <c r="K207" i="21"/>
  <c r="V207" i="21"/>
  <c r="W207" i="21" s="1"/>
  <c r="R208" i="21"/>
  <c r="S208" i="21" s="1"/>
  <c r="AZ212" i="21"/>
  <c r="BB213" i="21"/>
  <c r="AQ229" i="21"/>
  <c r="AR229" i="21" s="1"/>
  <c r="BD223" i="21"/>
  <c r="AQ224" i="21"/>
  <c r="AR224" i="21" s="1"/>
  <c r="Y228" i="21"/>
  <c r="Z228" i="21" s="1"/>
  <c r="AN235" i="21"/>
  <c r="AO235" i="21" s="1"/>
  <c r="AE235" i="21"/>
  <c r="AF235" i="21" s="1"/>
  <c r="AK245" i="21"/>
  <c r="AL245" i="21" s="1"/>
  <c r="AZ243" i="21"/>
  <c r="AH254" i="21"/>
  <c r="AI254" i="21" s="1"/>
  <c r="W250" i="21"/>
  <c r="BD252" i="21"/>
  <c r="V258" i="21"/>
  <c r="W258" i="21" s="1"/>
  <c r="BD260" i="21"/>
  <c r="AS260" i="21"/>
  <c r="AT260" i="21" s="1"/>
  <c r="AU260" i="21" s="1"/>
  <c r="O263" i="21"/>
  <c r="P263" i="21" s="1"/>
  <c r="V262" i="21"/>
  <c r="W262" i="21" s="1"/>
  <c r="AQ263" i="21"/>
  <c r="AR263" i="21" s="1"/>
  <c r="R263" i="21"/>
  <c r="S263" i="21" s="1"/>
  <c r="AA264" i="21"/>
  <c r="AB264" i="21" s="1"/>
  <c r="AC264" i="21" s="1"/>
  <c r="AK267" i="21"/>
  <c r="AL267" i="21" s="1"/>
  <c r="AQ267" i="21"/>
  <c r="AR267" i="21" s="1"/>
  <c r="BD272" i="21"/>
  <c r="AQ272" i="21"/>
  <c r="AR272" i="21" s="1"/>
  <c r="R278" i="21"/>
  <c r="S278" i="21" s="1"/>
  <c r="AN281" i="21"/>
  <c r="AO281" i="21" s="1"/>
  <c r="Y283" i="21"/>
  <c r="Z283" i="21" s="1"/>
  <c r="N284" i="21"/>
  <c r="O284" i="21" s="1"/>
  <c r="P284" i="21" s="1"/>
  <c r="AQ285" i="21"/>
  <c r="AR285" i="21" s="1"/>
  <c r="BD285" i="21"/>
  <c r="AK286" i="21"/>
  <c r="AL286" i="21" s="1"/>
  <c r="W287" i="21"/>
  <c r="J290" i="21"/>
  <c r="AT290" i="21" s="1"/>
  <c r="AU290" i="21" s="1"/>
  <c r="Y292" i="21"/>
  <c r="Z292" i="21" s="1"/>
  <c r="AZ292" i="21"/>
  <c r="W293" i="21"/>
  <c r="AN192" i="21"/>
  <c r="AO192" i="21" s="1"/>
  <c r="AK187" i="21"/>
  <c r="AL187" i="21" s="1"/>
  <c r="BD188" i="21"/>
  <c r="BB192" i="21"/>
  <c r="AK201" i="21"/>
  <c r="AL201" i="21" s="1"/>
  <c r="AZ203" i="21"/>
  <c r="AD204" i="21"/>
  <c r="AE204" i="21" s="1"/>
  <c r="AF204" i="21" s="1"/>
  <c r="AH205" i="21"/>
  <c r="AI205" i="21" s="1"/>
  <c r="Y209" i="21"/>
  <c r="Z209" i="21" s="1"/>
  <c r="BB208" i="21"/>
  <c r="W208" i="21"/>
  <c r="AZ210" i="21"/>
  <c r="O223" i="21"/>
  <c r="P223" i="21" s="1"/>
  <c r="AA222" i="21"/>
  <c r="AB222" i="21" s="1"/>
  <c r="AC222" i="21" s="1"/>
  <c r="AP222" i="21"/>
  <c r="AQ222" i="21" s="1"/>
  <c r="AR222" i="21" s="1"/>
  <c r="BB224" i="21"/>
  <c r="O225" i="21"/>
  <c r="P225" i="21" s="1"/>
  <c r="Y237" i="21"/>
  <c r="Z237" i="21" s="1"/>
  <c r="AM233" i="21"/>
  <c r="AK238" i="21"/>
  <c r="AL238" i="21" s="1"/>
  <c r="AN243" i="21"/>
  <c r="AO243" i="21" s="1"/>
  <c r="AK246" i="21"/>
  <c r="AL246" i="21" s="1"/>
  <c r="AZ249" i="21"/>
  <c r="BD255" i="21"/>
  <c r="AH257" i="21"/>
  <c r="AI257" i="21" s="1"/>
  <c r="AE257" i="21"/>
  <c r="AF257" i="21" s="1"/>
  <c r="AZ260" i="21"/>
  <c r="Y263" i="21"/>
  <c r="Z263" i="21" s="1"/>
  <c r="AT262" i="21"/>
  <c r="AU262" i="21" s="1"/>
  <c r="R265" i="21"/>
  <c r="S265" i="21" s="1"/>
  <c r="AE274" i="21"/>
  <c r="AF274" i="21" s="1"/>
  <c r="AZ276" i="21"/>
  <c r="L280" i="21"/>
  <c r="M280" i="21" s="1"/>
  <c r="AM280" i="21"/>
  <c r="AN280" i="21" s="1"/>
  <c r="AO280" i="21" s="1"/>
  <c r="AJ282" i="21"/>
  <c r="AK282" i="21" s="1"/>
  <c r="AL282" i="21" s="1"/>
  <c r="R288" i="21"/>
  <c r="S288" i="21" s="1"/>
  <c r="Y289" i="21"/>
  <c r="Z289" i="21" s="1"/>
  <c r="AT284" i="21"/>
  <c r="AU284" i="21" s="1"/>
  <c r="L293" i="21"/>
  <c r="M293" i="21" s="1"/>
  <c r="X290" i="21"/>
  <c r="AQ190" i="21"/>
  <c r="AR190" i="21" s="1"/>
  <c r="R190" i="21"/>
  <c r="S190" i="21" s="1"/>
  <c r="BD191" i="21"/>
  <c r="BB198" i="21"/>
  <c r="AT205" i="21"/>
  <c r="AU205" i="21" s="1"/>
  <c r="W206" i="21"/>
  <c r="AB211" i="21"/>
  <c r="AC211" i="21" s="1"/>
  <c r="AN218" i="21"/>
  <c r="AO218" i="21" s="1"/>
  <c r="AE229" i="21"/>
  <c r="AF229" i="21" s="1"/>
  <c r="AT228" i="21"/>
  <c r="AU228" i="21" s="1"/>
  <c r="AB225" i="21"/>
  <c r="AC225" i="21" s="1"/>
  <c r="AB226" i="21"/>
  <c r="AC226" i="21" s="1"/>
  <c r="BD228" i="21"/>
  <c r="AZ228" i="21"/>
  <c r="AB235" i="21"/>
  <c r="AC235" i="21" s="1"/>
  <c r="AQ240" i="21"/>
  <c r="AR240" i="21" s="1"/>
  <c r="AB236" i="21"/>
  <c r="AC236" i="21" s="1"/>
  <c r="AZ238" i="21"/>
  <c r="Y245" i="21"/>
  <c r="Z245" i="21" s="1"/>
  <c r="AM241" i="21"/>
  <c r="AN241" i="21" s="1"/>
  <c r="AO241" i="21" s="1"/>
  <c r="BD242" i="21"/>
  <c r="AZ246" i="21"/>
  <c r="AK257" i="21"/>
  <c r="AL257" i="21" s="1"/>
  <c r="Y259" i="21"/>
  <c r="Z259" i="21" s="1"/>
  <c r="AG260" i="21"/>
  <c r="AH260" i="21" s="1"/>
  <c r="AI260" i="21" s="1"/>
  <c r="AB262" i="21"/>
  <c r="AC262" i="21" s="1"/>
  <c r="BB263" i="21"/>
  <c r="O267" i="21"/>
  <c r="P267" i="21" s="1"/>
  <c r="Y267" i="21"/>
  <c r="Z267" i="21" s="1"/>
  <c r="Y269" i="21"/>
  <c r="Z269" i="21" s="1"/>
  <c r="AZ268" i="21"/>
  <c r="W270" i="21"/>
  <c r="AH272" i="21"/>
  <c r="AI272" i="21" s="1"/>
  <c r="BD279" i="21"/>
  <c r="AQ280" i="21"/>
  <c r="AR280" i="21" s="1"/>
  <c r="O282" i="21"/>
  <c r="P282" i="21" s="1"/>
  <c r="AZ283" i="21"/>
  <c r="AB287" i="21"/>
  <c r="AC287" i="21" s="1"/>
  <c r="L285" i="21"/>
  <c r="M285" i="21" s="1"/>
  <c r="AQ287" i="21"/>
  <c r="AR287" i="21" s="1"/>
  <c r="O288" i="21"/>
  <c r="P288" i="21" s="1"/>
  <c r="AP290" i="21"/>
  <c r="AD186" i="21"/>
  <c r="AE186" i="21" s="1"/>
  <c r="AF186" i="21" s="1"/>
  <c r="AP186" i="21"/>
  <c r="AQ186" i="21" s="1"/>
  <c r="AR186" i="21" s="1"/>
  <c r="AB194" i="21"/>
  <c r="AC194" i="21" s="1"/>
  <c r="AT194" i="21"/>
  <c r="AU194" i="21" s="1"/>
  <c r="AH197" i="21"/>
  <c r="AI197" i="21" s="1"/>
  <c r="BD202" i="21"/>
  <c r="BB204" i="21"/>
  <c r="AT215" i="21"/>
  <c r="AU215" i="21" s="1"/>
  <c r="BD220" i="21"/>
  <c r="AH228" i="21"/>
  <c r="AI228" i="21" s="1"/>
  <c r="AS222" i="21"/>
  <c r="AT222" i="21" s="1"/>
  <c r="AU222" i="21" s="1"/>
  <c r="AE223" i="21"/>
  <c r="AF223" i="21" s="1"/>
  <c r="AN225" i="21"/>
  <c r="AO225" i="21" s="1"/>
  <c r="AN226" i="21"/>
  <c r="AO226" i="21" s="1"/>
  <c r="AT229" i="21"/>
  <c r="AU229" i="21" s="1"/>
  <c r="O234" i="21"/>
  <c r="P234" i="21" s="1"/>
  <c r="AA233" i="21"/>
  <c r="AT239" i="21"/>
  <c r="AU239" i="21" s="1"/>
  <c r="AN236" i="21"/>
  <c r="AO236" i="21" s="1"/>
  <c r="Y239" i="21"/>
  <c r="Z239" i="21" s="1"/>
  <c r="AQ247" i="21"/>
  <c r="AR247" i="21" s="1"/>
  <c r="AQ243" i="21"/>
  <c r="AR243" i="21" s="1"/>
  <c r="O244" i="21"/>
  <c r="P244" i="21" s="1"/>
  <c r="Y247" i="21"/>
  <c r="Z247" i="21" s="1"/>
  <c r="BD248" i="21"/>
  <c r="AN257" i="21"/>
  <c r="AO257" i="21" s="1"/>
  <c r="AZ259" i="21"/>
  <c r="AE263" i="21"/>
  <c r="AF263" i="21" s="1"/>
  <c r="AH263" i="21"/>
  <c r="AI263" i="21" s="1"/>
  <c r="BD266" i="21"/>
  <c r="N266" i="21"/>
  <c r="O266" i="21" s="1"/>
  <c r="P266" i="21" s="1"/>
  <c r="W269" i="21"/>
  <c r="AG271" i="21"/>
  <c r="R272" i="21"/>
  <c r="S272" i="21" s="1"/>
  <c r="BB273" i="21"/>
  <c r="J273" i="21"/>
  <c r="L273" i="21" s="1"/>
  <c r="M273" i="21" s="1"/>
  <c r="AK275" i="21"/>
  <c r="AL275" i="21" s="1"/>
  <c r="O281" i="21"/>
  <c r="P281" i="21" s="1"/>
  <c r="AB280" i="21"/>
  <c r="AC280" i="21" s="1"/>
  <c r="AT281" i="21"/>
  <c r="AU281" i="21" s="1"/>
  <c r="R283" i="21"/>
  <c r="S283" i="21" s="1"/>
  <c r="BB283" i="21"/>
  <c r="AE285" i="21"/>
  <c r="AF285" i="21" s="1"/>
  <c r="W285" i="21"/>
  <c r="AH288" i="21"/>
  <c r="AI288" i="21" s="1"/>
  <c r="R289" i="21"/>
  <c r="S289" i="21" s="1"/>
  <c r="AK3" i="21"/>
  <c r="Y3" i="21"/>
  <c r="AH7" i="21"/>
  <c r="AI7" i="21" s="1"/>
  <c r="AN8" i="21"/>
  <c r="AO8" i="21" s="1"/>
  <c r="O4" i="21"/>
  <c r="P4" i="21" s="1"/>
  <c r="W5" i="21"/>
  <c r="O6" i="21"/>
  <c r="P6" i="21" s="1"/>
  <c r="W7" i="21"/>
  <c r="O8" i="21"/>
  <c r="P8" i="21" s="1"/>
  <c r="AH11" i="21"/>
  <c r="AH10" i="21"/>
  <c r="AG9" i="21"/>
  <c r="AH9" i="21" s="1"/>
  <c r="R10" i="21"/>
  <c r="R23" i="21"/>
  <c r="S23" i="21" s="1"/>
  <c r="AH23" i="21"/>
  <c r="AI23" i="21" s="1"/>
  <c r="BB33" i="21"/>
  <c r="AZ33" i="21"/>
  <c r="L33" i="21"/>
  <c r="M33" i="21" s="1"/>
  <c r="Y36" i="21"/>
  <c r="Z36" i="21" s="1"/>
  <c r="AB6" i="21"/>
  <c r="AC6" i="21" s="1"/>
  <c r="AT7" i="21"/>
  <c r="AU7" i="21" s="1"/>
  <c r="AZ3" i="21"/>
  <c r="AE4" i="21"/>
  <c r="AF4" i="21" s="1"/>
  <c r="AQ4" i="21"/>
  <c r="AR4" i="21" s="1"/>
  <c r="Y5" i="21"/>
  <c r="Z5" i="21" s="1"/>
  <c r="AK5" i="21"/>
  <c r="AL5" i="21" s="1"/>
  <c r="AZ5" i="21"/>
  <c r="AE6" i="21"/>
  <c r="AF6" i="21" s="1"/>
  <c r="AQ6" i="21"/>
  <c r="AR6" i="21" s="1"/>
  <c r="Y7" i="21"/>
  <c r="Z7" i="21" s="1"/>
  <c r="AK7" i="21"/>
  <c r="AL7" i="21" s="1"/>
  <c r="AZ7" i="21"/>
  <c r="AE8" i="21"/>
  <c r="AF8" i="21" s="1"/>
  <c r="AQ8" i="21"/>
  <c r="AR8" i="21" s="1"/>
  <c r="AK9" i="21"/>
  <c r="O33" i="21"/>
  <c r="P33" i="21" s="1"/>
  <c r="AB33" i="21"/>
  <c r="AC33" i="21" s="1"/>
  <c r="BB36" i="21"/>
  <c r="AZ36" i="21"/>
  <c r="L36" i="21"/>
  <c r="M36" i="21" s="1"/>
  <c r="AH5" i="21"/>
  <c r="AI5" i="21" s="1"/>
  <c r="BB9" i="21"/>
  <c r="AZ9" i="21"/>
  <c r="R4" i="21"/>
  <c r="S4" i="21" s="1"/>
  <c r="L5" i="21"/>
  <c r="M5" i="21" s="1"/>
  <c r="R6" i="21"/>
  <c r="S6" i="21" s="1"/>
  <c r="L7" i="21"/>
  <c r="M7" i="21" s="1"/>
  <c r="R8" i="21"/>
  <c r="S8" i="21" s="1"/>
  <c r="BB11" i="21"/>
  <c r="R11" i="21"/>
  <c r="AN23" i="21"/>
  <c r="AO23" i="21" s="1"/>
  <c r="AQ23" i="21"/>
  <c r="AR23" i="21" s="1"/>
  <c r="AZ27" i="21"/>
  <c r="AE33" i="21"/>
  <c r="AF33" i="21" s="1"/>
  <c r="O36" i="21"/>
  <c r="P36" i="21" s="1"/>
  <c r="AB36" i="21"/>
  <c r="AC36" i="21" s="1"/>
  <c r="AN4" i="21"/>
  <c r="AO4" i="21" s="1"/>
  <c r="AT5" i="21"/>
  <c r="AU5" i="21" s="1"/>
  <c r="N3" i="21"/>
  <c r="O3" i="21" s="1"/>
  <c r="AH4" i="21"/>
  <c r="AI4" i="21" s="1"/>
  <c r="AT4" i="21"/>
  <c r="AU4" i="21" s="1"/>
  <c r="AB5" i="21"/>
  <c r="AC5" i="21" s="1"/>
  <c r="AN5" i="21"/>
  <c r="AO5" i="21" s="1"/>
  <c r="AH6" i="21"/>
  <c r="AI6" i="21" s="1"/>
  <c r="AT6" i="21"/>
  <c r="AU6" i="21" s="1"/>
  <c r="AB7" i="21"/>
  <c r="AC7" i="21" s="1"/>
  <c r="AN7" i="21"/>
  <c r="AO7" i="21" s="1"/>
  <c r="AH8" i="21"/>
  <c r="AI8" i="21" s="1"/>
  <c r="AT8" i="21"/>
  <c r="AU8" i="21" s="1"/>
  <c r="O9" i="21"/>
  <c r="Y9" i="21"/>
  <c r="AZ14" i="21"/>
  <c r="R33" i="21"/>
  <c r="S33" i="21" s="1"/>
  <c r="AZ34" i="21"/>
  <c r="AE36" i="21"/>
  <c r="AF36" i="21" s="1"/>
  <c r="AN6" i="21"/>
  <c r="AO6" i="21" s="1"/>
  <c r="AB8" i="21"/>
  <c r="AC8" i="21" s="1"/>
  <c r="O5" i="21"/>
  <c r="P5" i="21" s="1"/>
  <c r="W6" i="21"/>
  <c r="R9" i="21"/>
  <c r="Y23" i="21"/>
  <c r="Z23" i="21" s="1"/>
  <c r="AK33" i="21"/>
  <c r="AL33" i="21" s="1"/>
  <c r="AA3" i="21"/>
  <c r="AB3" i="21" s="1"/>
  <c r="L4" i="21"/>
  <c r="M4" i="21" s="1"/>
  <c r="R5" i="21"/>
  <c r="S5" i="21" s="1"/>
  <c r="L6" i="21"/>
  <c r="M6" i="21" s="1"/>
  <c r="AT9" i="21"/>
  <c r="BB23" i="21"/>
  <c r="AZ23" i="21"/>
  <c r="L23" i="21"/>
  <c r="M23" i="21" s="1"/>
  <c r="AB23" i="21"/>
  <c r="AC23" i="21" s="1"/>
  <c r="AK36" i="21"/>
  <c r="AL36" i="21" s="1"/>
  <c r="Y33" i="21"/>
  <c r="Z33" i="21" s="1"/>
  <c r="BB34" i="21"/>
  <c r="R39" i="21"/>
  <c r="S39" i="21" s="1"/>
  <c r="Y10" i="21"/>
  <c r="AZ10" i="21"/>
  <c r="Y11" i="21"/>
  <c r="AZ11" i="21"/>
  <c r="AZ13" i="21"/>
  <c r="AN15" i="21"/>
  <c r="AO15" i="21" s="1"/>
  <c r="AT24" i="21"/>
  <c r="AU24" i="21" s="1"/>
  <c r="AZ26" i="21"/>
  <c r="AN34" i="21"/>
  <c r="AO34" i="21" s="1"/>
  <c r="AQ35" i="21"/>
  <c r="AR35" i="21" s="1"/>
  <c r="AT36" i="21"/>
  <c r="AU36" i="21" s="1"/>
  <c r="AN43" i="21"/>
  <c r="AO43" i="21" s="1"/>
  <c r="AN44" i="21"/>
  <c r="AO44" i="21" s="1"/>
  <c r="AN42" i="21"/>
  <c r="AO42" i="21" s="1"/>
  <c r="AT41" i="21"/>
  <c r="AU41" i="21" s="1"/>
  <c r="AT42" i="21"/>
  <c r="AU42" i="21" s="1"/>
  <c r="AT43" i="21"/>
  <c r="AU43" i="21" s="1"/>
  <c r="AT44" i="21"/>
  <c r="AU44" i="21" s="1"/>
  <c r="AT39" i="21"/>
  <c r="AU39" i="21" s="1"/>
  <c r="BB44" i="21"/>
  <c r="AZ44" i="21"/>
  <c r="Y44" i="21"/>
  <c r="Z44" i="21" s="1"/>
  <c r="AB10" i="21"/>
  <c r="AB11" i="21"/>
  <c r="AZ12" i="21"/>
  <c r="AN14" i="21"/>
  <c r="AO14" i="21" s="1"/>
  <c r="AQ16" i="21"/>
  <c r="AR16" i="21" s="1"/>
  <c r="AT17" i="21"/>
  <c r="AU17" i="21" s="1"/>
  <c r="AZ18" i="21"/>
  <c r="AN19" i="21"/>
  <c r="AO19" i="21" s="1"/>
  <c r="AQ20" i="21"/>
  <c r="AR20" i="21" s="1"/>
  <c r="AT21" i="21"/>
  <c r="AU21" i="21" s="1"/>
  <c r="AM22" i="21"/>
  <c r="AN22" i="21" s="1"/>
  <c r="AO22" i="21" s="1"/>
  <c r="AS22" i="21"/>
  <c r="AT22" i="21" s="1"/>
  <c r="AU22" i="21" s="1"/>
  <c r="AT23" i="21"/>
  <c r="AU23" i="21" s="1"/>
  <c r="AZ25" i="21"/>
  <c r="AN27" i="21"/>
  <c r="AO27" i="21" s="1"/>
  <c r="AP33" i="21"/>
  <c r="AQ33" i="21" s="1"/>
  <c r="AR33" i="21" s="1"/>
  <c r="BB37" i="21"/>
  <c r="AM38" i="21"/>
  <c r="AN38" i="21" s="1"/>
  <c r="AO38" i="21" s="1"/>
  <c r="AS38" i="21"/>
  <c r="AT38" i="21" s="1"/>
  <c r="AU38" i="21" s="1"/>
  <c r="BB40" i="21"/>
  <c r="L44" i="21"/>
  <c r="M44" i="21" s="1"/>
  <c r="BB55" i="21"/>
  <c r="AQ57" i="21"/>
  <c r="AR57" i="21" s="1"/>
  <c r="AP56" i="21"/>
  <c r="AQ56" i="21" s="1"/>
  <c r="AR56" i="21" s="1"/>
  <c r="AQ80" i="21"/>
  <c r="AR80" i="21" s="1"/>
  <c r="AP79" i="21"/>
  <c r="AQ79" i="21" s="1"/>
  <c r="AR79" i="21" s="1"/>
  <c r="Y120" i="21"/>
  <c r="Z120" i="21" s="1"/>
  <c r="AK120" i="21"/>
  <c r="AL120" i="21" s="1"/>
  <c r="AH120" i="21"/>
  <c r="AI120" i="21" s="1"/>
  <c r="R120" i="21"/>
  <c r="S120" i="21" s="1"/>
  <c r="K9" i="21"/>
  <c r="L9" i="21" s="1"/>
  <c r="AM9" i="21"/>
  <c r="AN9" i="21" s="1"/>
  <c r="AE10" i="21"/>
  <c r="AP12" i="21"/>
  <c r="AQ12" i="21" s="1"/>
  <c r="O13" i="21"/>
  <c r="P13" i="21" s="1"/>
  <c r="AE13" i="21"/>
  <c r="AF13" i="21" s="1"/>
  <c r="AN13" i="21"/>
  <c r="AO13" i="21" s="1"/>
  <c r="AQ15" i="21"/>
  <c r="AR15" i="21" s="1"/>
  <c r="L17" i="21"/>
  <c r="M17" i="21" s="1"/>
  <c r="L21" i="21"/>
  <c r="M21" i="21" s="1"/>
  <c r="AE26" i="21"/>
  <c r="AF26" i="21" s="1"/>
  <c r="AN26" i="21"/>
  <c r="AO26" i="21" s="1"/>
  <c r="AQ34" i="21"/>
  <c r="AR34" i="21" s="1"/>
  <c r="AT35" i="21"/>
  <c r="AU35" i="21" s="1"/>
  <c r="AN37" i="21"/>
  <c r="AO37" i="21" s="1"/>
  <c r="AZ39" i="21"/>
  <c r="AN40" i="21"/>
  <c r="AO40" i="21" s="1"/>
  <c r="Y41" i="21"/>
  <c r="Z41" i="21" s="1"/>
  <c r="O44" i="21"/>
  <c r="P44" i="21" s="1"/>
  <c r="AB44" i="21"/>
  <c r="AC44" i="21" s="1"/>
  <c r="BB47" i="21"/>
  <c r="AZ47" i="21"/>
  <c r="AE47" i="21"/>
  <c r="AF47" i="21" s="1"/>
  <c r="O47" i="21"/>
  <c r="P47" i="21" s="1"/>
  <c r="AK47" i="21"/>
  <c r="AL47" i="21" s="1"/>
  <c r="AB47" i="21"/>
  <c r="AC47" i="21" s="1"/>
  <c r="L47" i="21"/>
  <c r="M47" i="21" s="1"/>
  <c r="AZ49" i="21"/>
  <c r="BB49" i="21"/>
  <c r="BD59" i="21"/>
  <c r="BB60" i="21"/>
  <c r="AZ60" i="21"/>
  <c r="AE60" i="21"/>
  <c r="AF60" i="21" s="1"/>
  <c r="O60" i="21"/>
  <c r="P60" i="21" s="1"/>
  <c r="L60" i="21"/>
  <c r="M60" i="21" s="1"/>
  <c r="BB127" i="21"/>
  <c r="AZ127" i="21"/>
  <c r="AK12" i="21"/>
  <c r="Y14" i="21"/>
  <c r="Z14" i="21" s="1"/>
  <c r="AQ14" i="21"/>
  <c r="AR14" i="21" s="1"/>
  <c r="AN18" i="21"/>
  <c r="AO18" i="21" s="1"/>
  <c r="AQ19" i="21"/>
  <c r="AR19" i="21" s="1"/>
  <c r="AT20" i="21"/>
  <c r="AU20" i="21" s="1"/>
  <c r="Y27" i="21"/>
  <c r="Z27" i="21" s="1"/>
  <c r="AQ27" i="21"/>
  <c r="AR27" i="21" s="1"/>
  <c r="R34" i="21"/>
  <c r="S34" i="21" s="1"/>
  <c r="R38" i="21"/>
  <c r="S38" i="21" s="1"/>
  <c r="BB41" i="21"/>
  <c r="AZ41" i="21"/>
  <c r="AK41" i="21"/>
  <c r="AL41" i="21" s="1"/>
  <c r="AZ55" i="21"/>
  <c r="AK10" i="21"/>
  <c r="AK11" i="21"/>
  <c r="AQ13" i="21"/>
  <c r="AR13" i="21" s="1"/>
  <c r="AT15" i="21"/>
  <c r="AU15" i="21" s="1"/>
  <c r="AZ22" i="21"/>
  <c r="AN24" i="21"/>
  <c r="AO24" i="21" s="1"/>
  <c r="AQ26" i="21"/>
  <c r="AR26" i="21" s="1"/>
  <c r="AT34" i="21"/>
  <c r="AU34" i="21" s="1"/>
  <c r="AZ35" i="21"/>
  <c r="AN36" i="21"/>
  <c r="AO36" i="21" s="1"/>
  <c r="AQ37" i="21"/>
  <c r="AR37" i="21" s="1"/>
  <c r="AQ44" i="21"/>
  <c r="AR44" i="21" s="1"/>
  <c r="AQ41" i="21"/>
  <c r="AR41" i="21" s="1"/>
  <c r="AQ42" i="21"/>
  <c r="AR42" i="21" s="1"/>
  <c r="AQ43" i="21"/>
  <c r="AR43" i="21" s="1"/>
  <c r="AZ38" i="21"/>
  <c r="AN39" i="21"/>
  <c r="AO39" i="21" s="1"/>
  <c r="AQ40" i="21"/>
  <c r="AR40" i="21" s="1"/>
  <c r="R44" i="21"/>
  <c r="S44" i="21" s="1"/>
  <c r="BB52" i="21"/>
  <c r="BB54" i="21"/>
  <c r="AZ54" i="21"/>
  <c r="AE54" i="21"/>
  <c r="AF54" i="21" s="1"/>
  <c r="O54" i="21"/>
  <c r="P54" i="21" s="1"/>
  <c r="AK54" i="21"/>
  <c r="AL54" i="21" s="1"/>
  <c r="AQ58" i="21"/>
  <c r="AR58" i="21" s="1"/>
  <c r="AZ65" i="21"/>
  <c r="BB123" i="21"/>
  <c r="AZ123" i="21"/>
  <c r="L10" i="21"/>
  <c r="AN10" i="21"/>
  <c r="O12" i="21"/>
  <c r="AT14" i="21"/>
  <c r="AU14" i="21" s="1"/>
  <c r="AZ16" i="21"/>
  <c r="AN17" i="21"/>
  <c r="AO17" i="21" s="1"/>
  <c r="AT19" i="21"/>
  <c r="AU19" i="21" s="1"/>
  <c r="AZ20" i="21"/>
  <c r="AN21" i="21"/>
  <c r="AO21" i="21" s="1"/>
  <c r="AP22" i="21"/>
  <c r="AQ22" i="21" s="1"/>
  <c r="AR22" i="21" s="1"/>
  <c r="AQ25" i="21"/>
  <c r="AR25" i="21" s="1"/>
  <c r="AT27" i="21"/>
  <c r="AU27" i="21" s="1"/>
  <c r="AM33" i="21"/>
  <c r="AN33" i="21" s="1"/>
  <c r="AO33" i="21" s="1"/>
  <c r="AS33" i="21"/>
  <c r="AT33" i="21" s="1"/>
  <c r="AU33" i="21" s="1"/>
  <c r="AP38" i="21"/>
  <c r="AN41" i="21"/>
  <c r="AO41" i="21" s="1"/>
  <c r="AH44" i="21"/>
  <c r="AI44" i="21" s="1"/>
  <c r="AZ52" i="21"/>
  <c r="L54" i="21"/>
  <c r="M54" i="21" s="1"/>
  <c r="Y54" i="21"/>
  <c r="Z54" i="21" s="1"/>
  <c r="AQ60" i="21"/>
  <c r="AR60" i="21" s="1"/>
  <c r="BD62" i="21"/>
  <c r="BB62" i="21"/>
  <c r="BB63" i="21"/>
  <c r="AZ63" i="21"/>
  <c r="AE63" i="21"/>
  <c r="AF63" i="21" s="1"/>
  <c r="O63" i="21"/>
  <c r="P63" i="21" s="1"/>
  <c r="AB63" i="21"/>
  <c r="AC63" i="21" s="1"/>
  <c r="L63" i="21"/>
  <c r="M63" i="21" s="1"/>
  <c r="BB68" i="21"/>
  <c r="BB70" i="21"/>
  <c r="AZ70" i="21"/>
  <c r="O70" i="21"/>
  <c r="P70" i="21" s="1"/>
  <c r="AE70" i="21"/>
  <c r="AF70" i="21" s="1"/>
  <c r="AZ115" i="21"/>
  <c r="BD115" i="21"/>
  <c r="BB115" i="21"/>
  <c r="AT132" i="21"/>
  <c r="AU132" i="21" s="1"/>
  <c r="AT131" i="21"/>
  <c r="AU131" i="21" s="1"/>
  <c r="AS130" i="21"/>
  <c r="O10" i="21"/>
  <c r="AQ10" i="21"/>
  <c r="AS12" i="21"/>
  <c r="AT12" i="21" s="1"/>
  <c r="L14" i="21"/>
  <c r="M14" i="21" s="1"/>
  <c r="R18" i="21"/>
  <c r="S18" i="21" s="1"/>
  <c r="L19" i="21"/>
  <c r="M19" i="21" s="1"/>
  <c r="R25" i="21"/>
  <c r="S25" i="21" s="1"/>
  <c r="AQ39" i="21"/>
  <c r="AR39" i="21" s="1"/>
  <c r="AT40" i="21"/>
  <c r="AU40" i="21" s="1"/>
  <c r="R47" i="21"/>
  <c r="S47" i="21" s="1"/>
  <c r="R60" i="21"/>
  <c r="S60" i="21" s="1"/>
  <c r="AZ68" i="21"/>
  <c r="Y70" i="21"/>
  <c r="Z70" i="21" s="1"/>
  <c r="AQ77" i="21"/>
  <c r="AR77" i="21" s="1"/>
  <c r="AP76" i="21"/>
  <c r="AQ76" i="21" s="1"/>
  <c r="AR76" i="21" s="1"/>
  <c r="AQ46" i="21"/>
  <c r="AR46" i="21" s="1"/>
  <c r="AT47" i="21"/>
  <c r="AU47" i="21" s="1"/>
  <c r="AZ48" i="21"/>
  <c r="AN49" i="21"/>
  <c r="AO49" i="21" s="1"/>
  <c r="AZ51" i="21"/>
  <c r="AN52" i="21"/>
  <c r="AO52" i="21" s="1"/>
  <c r="AQ53" i="21"/>
  <c r="AR53" i="21" s="1"/>
  <c r="AT60" i="21"/>
  <c r="AU60" i="21" s="1"/>
  <c r="AZ61" i="21"/>
  <c r="AT63" i="21"/>
  <c r="AU63" i="21" s="1"/>
  <c r="AZ64" i="21"/>
  <c r="AN65" i="21"/>
  <c r="AO65" i="21" s="1"/>
  <c r="AZ67" i="21"/>
  <c r="AN68" i="21"/>
  <c r="AO68" i="21" s="1"/>
  <c r="AQ69" i="21"/>
  <c r="AR69" i="21" s="1"/>
  <c r="AZ74" i="21"/>
  <c r="AN75" i="21"/>
  <c r="AO75" i="21" s="1"/>
  <c r="BB82" i="21"/>
  <c r="AQ85" i="21"/>
  <c r="AR85" i="21" s="1"/>
  <c r="AK85" i="21"/>
  <c r="AL85" i="21" s="1"/>
  <c r="Y109" i="21"/>
  <c r="Z109" i="21" s="1"/>
  <c r="AE109" i="21"/>
  <c r="AF109" i="21" s="1"/>
  <c r="O109" i="21"/>
  <c r="P109" i="21" s="1"/>
  <c r="AB109" i="21"/>
  <c r="AC109" i="21" s="1"/>
  <c r="L109" i="21"/>
  <c r="M109" i="21" s="1"/>
  <c r="AZ118" i="21"/>
  <c r="BD118" i="21"/>
  <c r="BB120" i="21"/>
  <c r="AZ120" i="21"/>
  <c r="L120" i="21"/>
  <c r="M120" i="21" s="1"/>
  <c r="AP54" i="21"/>
  <c r="AQ54" i="21" s="1"/>
  <c r="AR54" i="21" s="1"/>
  <c r="R56" i="21"/>
  <c r="S56" i="21" s="1"/>
  <c r="AK56" i="21"/>
  <c r="AL56" i="21" s="1"/>
  <c r="AT58" i="21"/>
  <c r="AU58" i="21" s="1"/>
  <c r="AM59" i="21"/>
  <c r="AN59" i="21" s="1"/>
  <c r="AO59" i="21" s="1"/>
  <c r="AS59" i="21"/>
  <c r="AT59" i="21" s="1"/>
  <c r="AU59" i="21" s="1"/>
  <c r="AM62" i="21"/>
  <c r="AN62" i="21" s="1"/>
  <c r="AO62" i="21" s="1"/>
  <c r="R66" i="21"/>
  <c r="S66" i="21" s="1"/>
  <c r="R69" i="21"/>
  <c r="S69" i="21" s="1"/>
  <c r="AH69" i="21"/>
  <c r="AI69" i="21" s="1"/>
  <c r="AT71" i="21"/>
  <c r="AU71" i="21" s="1"/>
  <c r="R76" i="21"/>
  <c r="S76" i="21" s="1"/>
  <c r="AK76" i="21"/>
  <c r="AL76" i="21" s="1"/>
  <c r="AT78" i="21"/>
  <c r="AU78" i="21" s="1"/>
  <c r="AZ81" i="21"/>
  <c r="AN82" i="21"/>
  <c r="AO82" i="21" s="1"/>
  <c r="AQ83" i="21"/>
  <c r="AR83" i="21" s="1"/>
  <c r="BB85" i="21"/>
  <c r="AZ85" i="21"/>
  <c r="BB109" i="21"/>
  <c r="AZ109" i="21"/>
  <c r="O120" i="21"/>
  <c r="P120" i="21" s="1"/>
  <c r="AB120" i="21"/>
  <c r="AC120" i="21" s="1"/>
  <c r="Y132" i="21"/>
  <c r="Z132" i="21" s="1"/>
  <c r="Y131" i="21"/>
  <c r="Z131" i="21" s="1"/>
  <c r="X130" i="21"/>
  <c r="AN140" i="21"/>
  <c r="AO140" i="21" s="1"/>
  <c r="AM139" i="21"/>
  <c r="AN139" i="21" s="1"/>
  <c r="AO139" i="21" s="1"/>
  <c r="AN141" i="21"/>
  <c r="AO141" i="21" s="1"/>
  <c r="O45" i="21"/>
  <c r="P45" i="21" s="1"/>
  <c r="AE45" i="21"/>
  <c r="AF45" i="21" s="1"/>
  <c r="AT46" i="21"/>
  <c r="AU46" i="21" s="1"/>
  <c r="O48" i="21"/>
  <c r="P48" i="21" s="1"/>
  <c r="AE48" i="21"/>
  <c r="AF48" i="21" s="1"/>
  <c r="AN48" i="21"/>
  <c r="AO48" i="21" s="1"/>
  <c r="AQ49" i="21"/>
  <c r="AR49" i="21" s="1"/>
  <c r="AZ50" i="21"/>
  <c r="O51" i="21"/>
  <c r="P51" i="21" s="1"/>
  <c r="AE51" i="21"/>
  <c r="AF51" i="21" s="1"/>
  <c r="AN51" i="21"/>
  <c r="AO51" i="21" s="1"/>
  <c r="AQ52" i="21"/>
  <c r="AR52" i="21" s="1"/>
  <c r="AT53" i="21"/>
  <c r="AU53" i="21" s="1"/>
  <c r="AN61" i="21"/>
  <c r="AO61" i="21" s="1"/>
  <c r="AN64" i="21"/>
  <c r="AO64" i="21" s="1"/>
  <c r="AQ65" i="21"/>
  <c r="AR65" i="21" s="1"/>
  <c r="AZ66" i="21"/>
  <c r="AN67" i="21"/>
  <c r="AO67" i="21" s="1"/>
  <c r="AQ68" i="21"/>
  <c r="AR68" i="21" s="1"/>
  <c r="AT69" i="21"/>
  <c r="AU69" i="21" s="1"/>
  <c r="AM70" i="21"/>
  <c r="AN70" i="21" s="1"/>
  <c r="AO70" i="21" s="1"/>
  <c r="AZ73" i="21"/>
  <c r="AQ75" i="21"/>
  <c r="AR75" i="21" s="1"/>
  <c r="AP81" i="21"/>
  <c r="AQ81" i="21" s="1"/>
  <c r="AR81" i="21" s="1"/>
  <c r="Y85" i="21"/>
  <c r="Z85" i="21" s="1"/>
  <c r="BB113" i="21"/>
  <c r="AZ113" i="21"/>
  <c r="Y113" i="21"/>
  <c r="Z113" i="21" s="1"/>
  <c r="AE113" i="21"/>
  <c r="AF113" i="21" s="1"/>
  <c r="O113" i="21"/>
  <c r="P113" i="21" s="1"/>
  <c r="AK113" i="21"/>
  <c r="AL113" i="21" s="1"/>
  <c r="AB113" i="21"/>
  <c r="AC113" i="21" s="1"/>
  <c r="L113" i="21"/>
  <c r="M113" i="21" s="1"/>
  <c r="AQ120" i="21"/>
  <c r="AR120" i="21" s="1"/>
  <c r="AE120" i="21"/>
  <c r="AF120" i="21" s="1"/>
  <c r="AE129" i="21"/>
  <c r="AF129" i="21" s="1"/>
  <c r="AD128" i="21"/>
  <c r="AE128" i="21" s="1"/>
  <c r="AF128" i="21" s="1"/>
  <c r="AM45" i="21"/>
  <c r="AN45" i="21" s="1"/>
  <c r="AO45" i="21" s="1"/>
  <c r="AS45" i="21"/>
  <c r="AT45" i="21" s="1"/>
  <c r="AU45" i="21" s="1"/>
  <c r="AP50" i="21"/>
  <c r="AQ50" i="21" s="1"/>
  <c r="AR50" i="21" s="1"/>
  <c r="AZ58" i="21"/>
  <c r="AP66" i="21"/>
  <c r="AQ66" i="21" s="1"/>
  <c r="AR66" i="21" s="1"/>
  <c r="AZ71" i="21"/>
  <c r="AP73" i="21"/>
  <c r="AQ73" i="21" s="1"/>
  <c r="AR73" i="21" s="1"/>
  <c r="AT77" i="21"/>
  <c r="AU77" i="21" s="1"/>
  <c r="AZ78" i="21"/>
  <c r="AT80" i="21"/>
  <c r="AU80" i="21" s="1"/>
  <c r="AT83" i="21"/>
  <c r="AU83" i="21" s="1"/>
  <c r="L85" i="21"/>
  <c r="M85" i="21" s="1"/>
  <c r="BD97" i="21"/>
  <c r="BD108" i="21"/>
  <c r="AZ111" i="21"/>
  <c r="BD111" i="21"/>
  <c r="AH132" i="21"/>
  <c r="AI132" i="21" s="1"/>
  <c r="AH131" i="21"/>
  <c r="AI131" i="21" s="1"/>
  <c r="AG130" i="21"/>
  <c r="AN47" i="21"/>
  <c r="AO47" i="21" s="1"/>
  <c r="Y48" i="21"/>
  <c r="Z48" i="21" s="1"/>
  <c r="AQ48" i="21"/>
  <c r="AR48" i="21" s="1"/>
  <c r="AT49" i="21"/>
  <c r="AU49" i="21" s="1"/>
  <c r="Y51" i="21"/>
  <c r="Z51" i="21" s="1"/>
  <c r="AT52" i="21"/>
  <c r="AU52" i="21" s="1"/>
  <c r="Y61" i="21"/>
  <c r="Z61" i="21" s="1"/>
  <c r="AQ61" i="21"/>
  <c r="AR61" i="21" s="1"/>
  <c r="Y64" i="21"/>
  <c r="Z64" i="21" s="1"/>
  <c r="AQ64" i="21"/>
  <c r="AR64" i="21" s="1"/>
  <c r="AT65" i="21"/>
  <c r="AU65" i="21" s="1"/>
  <c r="AT68" i="21"/>
  <c r="AU68" i="21" s="1"/>
  <c r="AT75" i="21"/>
  <c r="AU75" i="21" s="1"/>
  <c r="AT85" i="21"/>
  <c r="AU85" i="21" s="1"/>
  <c r="O85" i="21"/>
  <c r="P85" i="21" s="1"/>
  <c r="AQ97" i="21"/>
  <c r="AR97" i="21" s="1"/>
  <c r="AQ98" i="21"/>
  <c r="AR98" i="21" s="1"/>
  <c r="AQ99" i="21"/>
  <c r="AR99" i="21" s="1"/>
  <c r="AQ95" i="21"/>
  <c r="AR95" i="21" s="1"/>
  <c r="AP94" i="21"/>
  <c r="AQ94" i="21" s="1"/>
  <c r="AR94" i="21" s="1"/>
  <c r="AQ100" i="21"/>
  <c r="AR100" i="21" s="1"/>
  <c r="BD104" i="21"/>
  <c r="R109" i="21"/>
  <c r="S109" i="21" s="1"/>
  <c r="BB118" i="21"/>
  <c r="AK129" i="21"/>
  <c r="AL129" i="21" s="1"/>
  <c r="AJ128" i="21"/>
  <c r="AK128" i="21" s="1"/>
  <c r="AL128" i="21" s="1"/>
  <c r="BD131" i="21"/>
  <c r="BB43" i="21"/>
  <c r="R45" i="21"/>
  <c r="S45" i="21" s="1"/>
  <c r="BB46" i="21"/>
  <c r="R48" i="21"/>
  <c r="S48" i="21" s="1"/>
  <c r="R51" i="21"/>
  <c r="S51" i="21" s="1"/>
  <c r="BB53" i="21"/>
  <c r="R61" i="21"/>
  <c r="S61" i="21" s="1"/>
  <c r="R64" i="21"/>
  <c r="S64" i="21" s="1"/>
  <c r="R67" i="21"/>
  <c r="S67" i="21" s="1"/>
  <c r="BB69" i="21"/>
  <c r="AQ72" i="21"/>
  <c r="AR72" i="21" s="1"/>
  <c r="R74" i="21"/>
  <c r="S74" i="21" s="1"/>
  <c r="AT82" i="21"/>
  <c r="AU82" i="21" s="1"/>
  <c r="W126" i="21"/>
  <c r="W127" i="21"/>
  <c r="V125" i="21"/>
  <c r="W125" i="21" s="1"/>
  <c r="AN132" i="21"/>
  <c r="AO132" i="21" s="1"/>
  <c r="AN131" i="21"/>
  <c r="AO131" i="21" s="1"/>
  <c r="AM130" i="21"/>
  <c r="O147" i="21"/>
  <c r="P147" i="21" s="1"/>
  <c r="O146" i="21"/>
  <c r="P146" i="21" s="1"/>
  <c r="O145" i="21"/>
  <c r="P145" i="21" s="1"/>
  <c r="O144" i="21"/>
  <c r="P144" i="21" s="1"/>
  <c r="O143" i="21"/>
  <c r="P143" i="21" s="1"/>
  <c r="N142" i="21"/>
  <c r="O148" i="21"/>
  <c r="P148" i="21" s="1"/>
  <c r="AM84" i="21"/>
  <c r="AN84" i="21" s="1"/>
  <c r="AO84" i="21" s="1"/>
  <c r="R85" i="21"/>
  <c r="S85" i="21" s="1"/>
  <c r="AE85" i="21"/>
  <c r="AF85" i="21" s="1"/>
  <c r="AQ96" i="21"/>
  <c r="AR96" i="21" s="1"/>
  <c r="AQ104" i="21"/>
  <c r="AR104" i="21" s="1"/>
  <c r="AQ105" i="21"/>
  <c r="AR105" i="21" s="1"/>
  <c r="AQ106" i="21"/>
  <c r="AR106" i="21" s="1"/>
  <c r="AQ102" i="21"/>
  <c r="AR102" i="21" s="1"/>
  <c r="AP101" i="21"/>
  <c r="AQ101" i="21" s="1"/>
  <c r="AR101" i="21" s="1"/>
  <c r="AQ107" i="21"/>
  <c r="AR107" i="21" s="1"/>
  <c r="AQ113" i="21"/>
  <c r="AR113" i="21" s="1"/>
  <c r="AH109" i="21"/>
  <c r="AI109" i="21" s="1"/>
  <c r="R113" i="21"/>
  <c r="S113" i="21" s="1"/>
  <c r="Y123" i="21"/>
  <c r="Z123" i="21" s="1"/>
  <c r="AK123" i="21"/>
  <c r="AL123" i="21" s="1"/>
  <c r="AQ129" i="21"/>
  <c r="AR129" i="21" s="1"/>
  <c r="AP128" i="21"/>
  <c r="AQ128" i="21" s="1"/>
  <c r="AR128" i="21" s="1"/>
  <c r="AT109" i="21"/>
  <c r="AU109" i="21" s="1"/>
  <c r="AZ110" i="21"/>
  <c r="AN111" i="21"/>
  <c r="AO111" i="21" s="1"/>
  <c r="AQ112" i="21"/>
  <c r="AR112" i="21" s="1"/>
  <c r="AT113" i="21"/>
  <c r="AU113" i="21" s="1"/>
  <c r="AZ114" i="21"/>
  <c r="AN115" i="21"/>
  <c r="AO115" i="21" s="1"/>
  <c r="AZ117" i="21"/>
  <c r="AN118" i="21"/>
  <c r="AO118" i="21" s="1"/>
  <c r="AQ119" i="21"/>
  <c r="AR119" i="21" s="1"/>
  <c r="AT120" i="21"/>
  <c r="AU120" i="21" s="1"/>
  <c r="AQ122" i="21"/>
  <c r="AR122" i="21" s="1"/>
  <c r="AT123" i="21"/>
  <c r="AU123" i="21" s="1"/>
  <c r="AE126" i="21"/>
  <c r="AF126" i="21" s="1"/>
  <c r="AH127" i="21"/>
  <c r="AI127" i="21" s="1"/>
  <c r="Y129" i="21"/>
  <c r="Z129" i="21" s="1"/>
  <c r="AN129" i="21"/>
  <c r="AO129" i="21" s="1"/>
  <c r="AQ131" i="21"/>
  <c r="AR131" i="21" s="1"/>
  <c r="AT135" i="21"/>
  <c r="AU135" i="21" s="1"/>
  <c r="AT134" i="21"/>
  <c r="AU134" i="21" s="1"/>
  <c r="AS133" i="21"/>
  <c r="AT133" i="21" s="1"/>
  <c r="AU133" i="21" s="1"/>
  <c r="AZ86" i="21"/>
  <c r="AE87" i="21"/>
  <c r="AF87" i="21" s="1"/>
  <c r="AN87" i="21"/>
  <c r="AO87" i="21" s="1"/>
  <c r="AQ88" i="21"/>
  <c r="AR88" i="21" s="1"/>
  <c r="AT89" i="21"/>
  <c r="AU89" i="21" s="1"/>
  <c r="AZ90" i="21"/>
  <c r="AE91" i="21"/>
  <c r="AF91" i="21" s="1"/>
  <c r="AN91" i="21"/>
  <c r="AO91" i="21" s="1"/>
  <c r="Y92" i="21"/>
  <c r="Z92" i="21" s="1"/>
  <c r="AQ92" i="21"/>
  <c r="AR92" i="21" s="1"/>
  <c r="AT93" i="21"/>
  <c r="AU93" i="21" s="1"/>
  <c r="AK94" i="21"/>
  <c r="AL94" i="21" s="1"/>
  <c r="Y95" i="21"/>
  <c r="Z95" i="21" s="1"/>
  <c r="AT96" i="21"/>
  <c r="AU96" i="21" s="1"/>
  <c r="AK97" i="21"/>
  <c r="AL97" i="21" s="1"/>
  <c r="AZ97" i="21"/>
  <c r="O98" i="21"/>
  <c r="P98" i="21" s="1"/>
  <c r="AE98" i="21"/>
  <c r="AF98" i="21" s="1"/>
  <c r="AN98" i="21"/>
  <c r="AO98" i="21" s="1"/>
  <c r="Y99" i="21"/>
  <c r="Z99" i="21" s="1"/>
  <c r="AT100" i="21"/>
  <c r="AU100" i="21" s="1"/>
  <c r="AT103" i="21"/>
  <c r="AU103" i="21" s="1"/>
  <c r="AK104" i="21"/>
  <c r="AL104" i="21" s="1"/>
  <c r="AZ104" i="21"/>
  <c r="AE105" i="21"/>
  <c r="AF105" i="21" s="1"/>
  <c r="AN105" i="21"/>
  <c r="AO105" i="21" s="1"/>
  <c r="AT107" i="21"/>
  <c r="AU107" i="21" s="1"/>
  <c r="AM108" i="21"/>
  <c r="AN108" i="21" s="1"/>
  <c r="AO108" i="21" s="1"/>
  <c r="AS108" i="21"/>
  <c r="AT108" i="21" s="1"/>
  <c r="AU108" i="21" s="1"/>
  <c r="R112" i="21"/>
  <c r="S112" i="21" s="1"/>
  <c r="AH112" i="21"/>
  <c r="AI112" i="21" s="1"/>
  <c r="K128" i="21"/>
  <c r="L128" i="21" s="1"/>
  <c r="M128" i="21" s="1"/>
  <c r="Q128" i="21"/>
  <c r="R128" i="21" s="1"/>
  <c r="S128" i="21" s="1"/>
  <c r="N130" i="21"/>
  <c r="R131" i="21"/>
  <c r="S131" i="21" s="1"/>
  <c r="AE131" i="21"/>
  <c r="AF131" i="21" s="1"/>
  <c r="AT141" i="21"/>
  <c r="AU141" i="21" s="1"/>
  <c r="AT140" i="21"/>
  <c r="AU140" i="21" s="1"/>
  <c r="AS139" i="21"/>
  <c r="AT139" i="21" s="1"/>
  <c r="AU139" i="21" s="1"/>
  <c r="AP86" i="21"/>
  <c r="AQ86" i="21" s="1"/>
  <c r="AR86" i="21" s="1"/>
  <c r="AH99" i="21"/>
  <c r="AI99" i="21" s="1"/>
  <c r="AB100" i="21"/>
  <c r="AC100" i="21" s="1"/>
  <c r="AN110" i="21"/>
  <c r="AO110" i="21" s="1"/>
  <c r="AQ111" i="21"/>
  <c r="AR111" i="21" s="1"/>
  <c r="AT112" i="21"/>
  <c r="AU112" i="21" s="1"/>
  <c r="AE114" i="21"/>
  <c r="AF114" i="21" s="1"/>
  <c r="AN114" i="21"/>
  <c r="AO114" i="21" s="1"/>
  <c r="AQ115" i="21"/>
  <c r="AR115" i="21" s="1"/>
  <c r="AZ116" i="21"/>
  <c r="O117" i="21"/>
  <c r="P117" i="21" s="1"/>
  <c r="AE117" i="21"/>
  <c r="AF117" i="21" s="1"/>
  <c r="AN117" i="21"/>
  <c r="AO117" i="21" s="1"/>
  <c r="AQ118" i="21"/>
  <c r="AR118" i="21" s="1"/>
  <c r="AT119" i="21"/>
  <c r="AU119" i="21" s="1"/>
  <c r="AT122" i="21"/>
  <c r="AU122" i="21" s="1"/>
  <c r="AN124" i="21"/>
  <c r="AO124" i="21" s="1"/>
  <c r="AH126" i="21"/>
  <c r="AI126" i="21" s="1"/>
  <c r="AK127" i="21"/>
  <c r="AL127" i="21" s="1"/>
  <c r="Y134" i="21"/>
  <c r="Z134" i="21" s="1"/>
  <c r="X133" i="21"/>
  <c r="Y133" i="21" s="1"/>
  <c r="Z133" i="21" s="1"/>
  <c r="BD145" i="21"/>
  <c r="AZ145" i="21"/>
  <c r="R86" i="21"/>
  <c r="S86" i="21" s="1"/>
  <c r="Y87" i="21"/>
  <c r="Z87" i="21" s="1"/>
  <c r="AQ87" i="21"/>
  <c r="AR87" i="21" s="1"/>
  <c r="AT88" i="21"/>
  <c r="AU88" i="21" s="1"/>
  <c r="AZ89" i="21"/>
  <c r="AE90" i="21"/>
  <c r="AF90" i="21" s="1"/>
  <c r="AN90" i="21"/>
  <c r="AO90" i="21" s="1"/>
  <c r="Y91" i="21"/>
  <c r="Z91" i="21" s="1"/>
  <c r="AQ91" i="21"/>
  <c r="AR91" i="21" s="1"/>
  <c r="AT92" i="21"/>
  <c r="AU92" i="21" s="1"/>
  <c r="AZ93" i="21"/>
  <c r="AT95" i="21"/>
  <c r="AU95" i="21" s="1"/>
  <c r="AZ96" i="21"/>
  <c r="AN97" i="21"/>
  <c r="AO97" i="21" s="1"/>
  <c r="AT99" i="21"/>
  <c r="AU99" i="21" s="1"/>
  <c r="AZ100" i="21"/>
  <c r="AT102" i="21"/>
  <c r="AU102" i="21" s="1"/>
  <c r="AK103" i="21"/>
  <c r="AL103" i="21" s="1"/>
  <c r="AZ103" i="21"/>
  <c r="AE104" i="21"/>
  <c r="AF104" i="21" s="1"/>
  <c r="AN104" i="21"/>
  <c r="AO104" i="21" s="1"/>
  <c r="AT106" i="21"/>
  <c r="AU106" i="21" s="1"/>
  <c r="AZ107" i="21"/>
  <c r="AP116" i="21"/>
  <c r="AQ116" i="21" s="1"/>
  <c r="AR116" i="21" s="1"/>
  <c r="AM121" i="21"/>
  <c r="AN121" i="21" s="1"/>
  <c r="AO121" i="21" s="1"/>
  <c r="AS121" i="21"/>
  <c r="AT121" i="21" s="1"/>
  <c r="AU121" i="21" s="1"/>
  <c r="X125" i="21"/>
  <c r="Y125" i="21" s="1"/>
  <c r="Z125" i="21" s="1"/>
  <c r="O129" i="21"/>
  <c r="P129" i="21" s="1"/>
  <c r="AQ132" i="21"/>
  <c r="AR132" i="21" s="1"/>
  <c r="AZ130" i="21"/>
  <c r="L132" i="21"/>
  <c r="M132" i="21" s="1"/>
  <c r="AB140" i="21"/>
  <c r="AC140" i="21" s="1"/>
  <c r="AA139" i="21"/>
  <c r="AB139" i="21" s="1"/>
  <c r="AC139" i="21" s="1"/>
  <c r="BB141" i="21"/>
  <c r="AZ141" i="21"/>
  <c r="AB141" i="21"/>
  <c r="AC141" i="21" s="1"/>
  <c r="BB89" i="21"/>
  <c r="AM94" i="21"/>
  <c r="AN94" i="21" s="1"/>
  <c r="AO94" i="21" s="1"/>
  <c r="AS94" i="21"/>
  <c r="AT94" i="21" s="1"/>
  <c r="AU94" i="21" s="1"/>
  <c r="L95" i="21"/>
  <c r="M95" i="21" s="1"/>
  <c r="AM101" i="21"/>
  <c r="AN101" i="21" s="1"/>
  <c r="AO101" i="21" s="1"/>
  <c r="AS101" i="21"/>
  <c r="AT101" i="21" s="1"/>
  <c r="AU101" i="21" s="1"/>
  <c r="AZ108" i="21"/>
  <c r="AN109" i="21"/>
  <c r="AO109" i="21" s="1"/>
  <c r="Y110" i="21"/>
  <c r="Z110" i="21" s="1"/>
  <c r="AQ110" i="21"/>
  <c r="AR110" i="21" s="1"/>
  <c r="AT111" i="21"/>
  <c r="AU111" i="21" s="1"/>
  <c r="AZ112" i="21"/>
  <c r="AN113" i="21"/>
  <c r="AO113" i="21" s="1"/>
  <c r="Y114" i="21"/>
  <c r="Z114" i="21" s="1"/>
  <c r="AQ114" i="21"/>
  <c r="AR114" i="21" s="1"/>
  <c r="AT115" i="21"/>
  <c r="AU115" i="21" s="1"/>
  <c r="AQ117" i="21"/>
  <c r="AR117" i="21" s="1"/>
  <c r="AT118" i="21"/>
  <c r="AU118" i="21" s="1"/>
  <c r="AZ119" i="21"/>
  <c r="AN120" i="21"/>
  <c r="AO120" i="21" s="1"/>
  <c r="AZ122" i="21"/>
  <c r="AN123" i="21"/>
  <c r="AO123" i="21" s="1"/>
  <c r="AQ124" i="21"/>
  <c r="AR124" i="21" s="1"/>
  <c r="AZ126" i="21"/>
  <c r="Y127" i="21"/>
  <c r="Z127" i="21" s="1"/>
  <c r="AN127" i="21"/>
  <c r="AO127" i="21" s="1"/>
  <c r="AG128" i="21"/>
  <c r="AH128" i="21" s="1"/>
  <c r="AI128" i="21" s="1"/>
  <c r="AS128" i="21"/>
  <c r="AT128" i="21" s="1"/>
  <c r="AU128" i="21" s="1"/>
  <c r="AD130" i="21"/>
  <c r="AJ130" i="21"/>
  <c r="AP130" i="21"/>
  <c r="AH135" i="21"/>
  <c r="AI135" i="21" s="1"/>
  <c r="AH134" i="21"/>
  <c r="AI134" i="21" s="1"/>
  <c r="AG133" i="21"/>
  <c r="AH133" i="21" s="1"/>
  <c r="AI133" i="21" s="1"/>
  <c r="Y135" i="21"/>
  <c r="Z135" i="21" s="1"/>
  <c r="AE139" i="21"/>
  <c r="AF139" i="21" s="1"/>
  <c r="AT87" i="21"/>
  <c r="AU87" i="21" s="1"/>
  <c r="AZ88" i="21"/>
  <c r="AN89" i="21"/>
  <c r="AO89" i="21" s="1"/>
  <c r="AT91" i="21"/>
  <c r="AU91" i="21" s="1"/>
  <c r="AZ92" i="21"/>
  <c r="AN93" i="21"/>
  <c r="AO93" i="21" s="1"/>
  <c r="AZ95" i="21"/>
  <c r="AN96" i="21"/>
  <c r="AO96" i="21" s="1"/>
  <c r="AZ99" i="21"/>
  <c r="AZ102" i="21"/>
  <c r="O103" i="21"/>
  <c r="P103" i="21" s="1"/>
  <c r="AN103" i="21"/>
  <c r="AO103" i="21" s="1"/>
  <c r="AZ106" i="21"/>
  <c r="AP108" i="21"/>
  <c r="AQ108" i="21" s="1"/>
  <c r="AR108" i="21" s="1"/>
  <c r="R114" i="21"/>
  <c r="S114" i="21" s="1"/>
  <c r="R117" i="21"/>
  <c r="S117" i="21" s="1"/>
  <c r="K130" i="21"/>
  <c r="AK131" i="21"/>
  <c r="AL131" i="21" s="1"/>
  <c r="AZ132" i="21"/>
  <c r="BD134" i="21"/>
  <c r="AH141" i="21"/>
  <c r="AI141" i="21" s="1"/>
  <c r="AH140" i="21"/>
  <c r="AI140" i="21" s="1"/>
  <c r="AG139" i="21"/>
  <c r="AH139" i="21" s="1"/>
  <c r="AI139" i="21" s="1"/>
  <c r="L87" i="21"/>
  <c r="M87" i="21" s="1"/>
  <c r="R90" i="21"/>
  <c r="S90" i="21" s="1"/>
  <c r="L91" i="21"/>
  <c r="M91" i="21" s="1"/>
  <c r="R94" i="21"/>
  <c r="S94" i="21" s="1"/>
  <c r="R97" i="21"/>
  <c r="S97" i="21" s="1"/>
  <c r="L98" i="21"/>
  <c r="M98" i="21" s="1"/>
  <c r="AQ109" i="21"/>
  <c r="AR109" i="21" s="1"/>
  <c r="AT110" i="21"/>
  <c r="AU110" i="21" s="1"/>
  <c r="BB131" i="21"/>
  <c r="AZ131" i="21"/>
  <c r="BB132" i="21"/>
  <c r="AN135" i="21"/>
  <c r="AO135" i="21" s="1"/>
  <c r="AN134" i="21"/>
  <c r="AO134" i="21" s="1"/>
  <c r="AM133" i="21"/>
  <c r="AN133" i="21" s="1"/>
  <c r="AO133" i="21" s="1"/>
  <c r="BB145" i="21"/>
  <c r="BB149" i="21"/>
  <c r="AZ149" i="21"/>
  <c r="L135" i="21"/>
  <c r="M135" i="21" s="1"/>
  <c r="AZ136" i="21"/>
  <c r="W137" i="21"/>
  <c r="AH138" i="21"/>
  <c r="AI138" i="21" s="1"/>
  <c r="AT138" i="21"/>
  <c r="AU138" i="21" s="1"/>
  <c r="AE140" i="21"/>
  <c r="AF140" i="21" s="1"/>
  <c r="AQ140" i="21"/>
  <c r="AR140" i="21" s="1"/>
  <c r="L143" i="21"/>
  <c r="M143" i="21" s="1"/>
  <c r="Y144" i="21"/>
  <c r="Z144" i="21" s="1"/>
  <c r="AK144" i="21"/>
  <c r="AL144" i="21" s="1"/>
  <c r="W145" i="21"/>
  <c r="AH146" i="21"/>
  <c r="AI146" i="21" s="1"/>
  <c r="AT146" i="21"/>
  <c r="AU146" i="21" s="1"/>
  <c r="R147" i="21"/>
  <c r="S147" i="21" s="1"/>
  <c r="AE148" i="21"/>
  <c r="AF148" i="21" s="1"/>
  <c r="AQ148" i="21"/>
  <c r="AR148" i="21" s="1"/>
  <c r="L151" i="21"/>
  <c r="M151" i="21" s="1"/>
  <c r="BB151" i="21"/>
  <c r="Y152" i="21"/>
  <c r="Z152" i="21" s="1"/>
  <c r="AK152" i="21"/>
  <c r="AL152" i="21" s="1"/>
  <c r="AZ154" i="21"/>
  <c r="BB154" i="21"/>
  <c r="AZ162" i="21"/>
  <c r="BB162" i="21"/>
  <c r="BD221" i="21"/>
  <c r="AZ221" i="21"/>
  <c r="N133" i="21"/>
  <c r="O133" i="21" s="1"/>
  <c r="P133" i="21" s="1"/>
  <c r="R134" i="21"/>
  <c r="S134" i="21" s="1"/>
  <c r="X136" i="21"/>
  <c r="Y136" i="21" s="1"/>
  <c r="Z136" i="21" s="1"/>
  <c r="AD136" i="21"/>
  <c r="AE136" i="21" s="1"/>
  <c r="AF136" i="21" s="1"/>
  <c r="AJ136" i="21"/>
  <c r="AK136" i="21" s="1"/>
  <c r="AL136" i="21" s="1"/>
  <c r="AP136" i="21"/>
  <c r="AQ136" i="21" s="1"/>
  <c r="AR136" i="21" s="1"/>
  <c r="Y137" i="21"/>
  <c r="Z137" i="21" s="1"/>
  <c r="AK137" i="21"/>
  <c r="AL137" i="21" s="1"/>
  <c r="AZ137" i="21"/>
  <c r="K139" i="21"/>
  <c r="L139" i="21" s="1"/>
  <c r="M139" i="21" s="1"/>
  <c r="R140" i="21"/>
  <c r="S140" i="21" s="1"/>
  <c r="AE141" i="21"/>
  <c r="AF141" i="21" s="1"/>
  <c r="AQ141" i="21"/>
  <c r="AR141" i="21" s="1"/>
  <c r="AB143" i="21"/>
  <c r="AC143" i="21" s="1"/>
  <c r="AN143" i="21"/>
  <c r="AO143" i="21" s="1"/>
  <c r="L144" i="21"/>
  <c r="M144" i="21" s="1"/>
  <c r="Y145" i="21"/>
  <c r="Z145" i="21" s="1"/>
  <c r="AK145" i="21"/>
  <c r="AL145" i="21" s="1"/>
  <c r="W146" i="21"/>
  <c r="AH147" i="21"/>
  <c r="AI147" i="21" s="1"/>
  <c r="AT147" i="21"/>
  <c r="AU147" i="21" s="1"/>
  <c r="R148" i="21"/>
  <c r="S148" i="21" s="1"/>
  <c r="AB156" i="21"/>
  <c r="AC156" i="21" s="1"/>
  <c r="AB155" i="21"/>
  <c r="AC155" i="21" s="1"/>
  <c r="AH156" i="21"/>
  <c r="AI156" i="21" s="1"/>
  <c r="AH155" i="21"/>
  <c r="AI155" i="21" s="1"/>
  <c r="AH154" i="21"/>
  <c r="AI154" i="21" s="1"/>
  <c r="AH153" i="21"/>
  <c r="AI153" i="21" s="1"/>
  <c r="AN156" i="21"/>
  <c r="AO156" i="21" s="1"/>
  <c r="AN155" i="21"/>
  <c r="AO155" i="21" s="1"/>
  <c r="AT156" i="21"/>
  <c r="AU156" i="21" s="1"/>
  <c r="AT155" i="21"/>
  <c r="AU155" i="21" s="1"/>
  <c r="AT154" i="21"/>
  <c r="AU154" i="21" s="1"/>
  <c r="AT153" i="21"/>
  <c r="AU153" i="21" s="1"/>
  <c r="O150" i="21"/>
  <c r="P150" i="21" s="1"/>
  <c r="AB151" i="21"/>
  <c r="AC151" i="21" s="1"/>
  <c r="AN151" i="21"/>
  <c r="AO151" i="21" s="1"/>
  <c r="BB152" i="21"/>
  <c r="AZ178" i="21"/>
  <c r="BB178" i="21"/>
  <c r="AZ186" i="21"/>
  <c r="BB186" i="21"/>
  <c r="AE134" i="21"/>
  <c r="AF134" i="21" s="1"/>
  <c r="AQ134" i="21"/>
  <c r="AR134" i="21" s="1"/>
  <c r="N136" i="21"/>
  <c r="O136" i="21" s="1"/>
  <c r="P136" i="21" s="1"/>
  <c r="L137" i="21"/>
  <c r="M137" i="21" s="1"/>
  <c r="J142" i="21"/>
  <c r="AK142" i="21" s="1"/>
  <c r="AL142" i="21" s="1"/>
  <c r="AB144" i="21"/>
  <c r="AC144" i="21" s="1"/>
  <c r="AN144" i="21"/>
  <c r="AO144" i="21" s="1"/>
  <c r="L145" i="21"/>
  <c r="M145" i="21" s="1"/>
  <c r="Y146" i="21"/>
  <c r="Z146" i="21" s="1"/>
  <c r="AK146" i="21"/>
  <c r="AL146" i="21" s="1"/>
  <c r="AZ146" i="21"/>
  <c r="W147" i="21"/>
  <c r="AH148" i="21"/>
  <c r="AI148" i="21" s="1"/>
  <c r="AT148" i="21"/>
  <c r="AU148" i="21" s="1"/>
  <c r="L156" i="21"/>
  <c r="M156" i="21" s="1"/>
  <c r="R156" i="21"/>
  <c r="S156" i="21" s="1"/>
  <c r="R155" i="21"/>
  <c r="S155" i="21" s="1"/>
  <c r="R154" i="21"/>
  <c r="S154" i="21" s="1"/>
  <c r="R153" i="21"/>
  <c r="S153" i="21" s="1"/>
  <c r="W155" i="21"/>
  <c r="W154" i="21"/>
  <c r="W156" i="21"/>
  <c r="AA149" i="21"/>
  <c r="AB149" i="21" s="1"/>
  <c r="AC149" i="21" s="1"/>
  <c r="AG149" i="21"/>
  <c r="AM149" i="21"/>
  <c r="AN149" i="21" s="1"/>
  <c r="AO149" i="21" s="1"/>
  <c r="AS149" i="21"/>
  <c r="AT149" i="21" s="1"/>
  <c r="AU149" i="21" s="1"/>
  <c r="AE150" i="21"/>
  <c r="AF150" i="21" s="1"/>
  <c r="AQ150" i="21"/>
  <c r="AR150" i="21" s="1"/>
  <c r="O151" i="21"/>
  <c r="P151" i="21" s="1"/>
  <c r="AB152" i="21"/>
  <c r="AC152" i="21" s="1"/>
  <c r="AN152" i="21"/>
  <c r="AO152" i="21" s="1"/>
  <c r="L153" i="21"/>
  <c r="M153" i="21" s="1"/>
  <c r="AB154" i="21"/>
  <c r="AC154" i="21" s="1"/>
  <c r="BD166" i="21"/>
  <c r="BB166" i="21"/>
  <c r="AZ166" i="21"/>
  <c r="AH195" i="21"/>
  <c r="AI195" i="21" s="1"/>
  <c r="AZ194" i="21"/>
  <c r="BB194" i="21"/>
  <c r="L204" i="21"/>
  <c r="M204" i="21" s="1"/>
  <c r="AZ133" i="21"/>
  <c r="W134" i="21"/>
  <c r="AE135" i="21"/>
  <c r="AF135" i="21" s="1"/>
  <c r="AQ135" i="21"/>
  <c r="AR135" i="21" s="1"/>
  <c r="AB137" i="21"/>
  <c r="AC137" i="21" s="1"/>
  <c r="AN137" i="21"/>
  <c r="AO137" i="21" s="1"/>
  <c r="L138" i="21"/>
  <c r="M138" i="21" s="1"/>
  <c r="AZ139" i="21"/>
  <c r="W140" i="21"/>
  <c r="AA142" i="21"/>
  <c r="AG142" i="21"/>
  <c r="AM142" i="21"/>
  <c r="AS142" i="21"/>
  <c r="AE143" i="21"/>
  <c r="AF143" i="21" s="1"/>
  <c r="AQ143" i="21"/>
  <c r="AR143" i="21" s="1"/>
  <c r="AB145" i="21"/>
  <c r="AC145" i="21" s="1"/>
  <c r="AN145" i="21"/>
  <c r="AO145" i="21" s="1"/>
  <c r="L146" i="21"/>
  <c r="M146" i="21" s="1"/>
  <c r="Y147" i="21"/>
  <c r="Z147" i="21" s="1"/>
  <c r="AK147" i="21"/>
  <c r="AL147" i="21" s="1"/>
  <c r="AZ147" i="21"/>
  <c r="W148" i="21"/>
  <c r="K149" i="21"/>
  <c r="Q149" i="21"/>
  <c r="R149" i="21" s="1"/>
  <c r="S149" i="21" s="1"/>
  <c r="R150" i="21"/>
  <c r="S150" i="21" s="1"/>
  <c r="AE151" i="21"/>
  <c r="AF151" i="21" s="1"/>
  <c r="AQ151" i="21"/>
  <c r="AR151" i="21" s="1"/>
  <c r="O152" i="21"/>
  <c r="P152" i="21" s="1"/>
  <c r="AN153" i="21"/>
  <c r="AO153" i="21" s="1"/>
  <c r="AN154" i="21"/>
  <c r="AO154" i="21" s="1"/>
  <c r="AQ194" i="21"/>
  <c r="AR194" i="21" s="1"/>
  <c r="J193" i="21"/>
  <c r="O193" i="21" s="1"/>
  <c r="P193" i="21" s="1"/>
  <c r="Y195" i="21"/>
  <c r="Z195" i="21" s="1"/>
  <c r="L194" i="21"/>
  <c r="M194" i="21" s="1"/>
  <c r="AK195" i="21"/>
  <c r="AL195" i="21" s="1"/>
  <c r="AN194" i="21"/>
  <c r="AO194" i="21" s="1"/>
  <c r="AT209" i="21"/>
  <c r="AU209" i="21" s="1"/>
  <c r="AT208" i="21"/>
  <c r="AU208" i="21" s="1"/>
  <c r="AS207" i="21"/>
  <c r="AJ133" i="21"/>
  <c r="AK133" i="21" s="1"/>
  <c r="AL133" i="21" s="1"/>
  <c r="R135" i="21"/>
  <c r="S135" i="21" s="1"/>
  <c r="O137" i="21"/>
  <c r="P137" i="21" s="1"/>
  <c r="AB138" i="21"/>
  <c r="AC138" i="21" s="1"/>
  <c r="AN138" i="21"/>
  <c r="AO138" i="21" s="1"/>
  <c r="X139" i="21"/>
  <c r="Y139" i="21" s="1"/>
  <c r="Z139" i="21" s="1"/>
  <c r="AJ139" i="21"/>
  <c r="AK139" i="21" s="1"/>
  <c r="AL139" i="21" s="1"/>
  <c r="Y140" i="21"/>
  <c r="Z140" i="21" s="1"/>
  <c r="AK140" i="21"/>
  <c r="AL140" i="21" s="1"/>
  <c r="AZ140" i="21"/>
  <c r="K142" i="21"/>
  <c r="Q142" i="21"/>
  <c r="V142" i="21"/>
  <c r="W142" i="21" s="1"/>
  <c r="R143" i="21"/>
  <c r="S143" i="21" s="1"/>
  <c r="AE144" i="21"/>
  <c r="AF144" i="21" s="1"/>
  <c r="AQ144" i="21"/>
  <c r="AR144" i="21" s="1"/>
  <c r="AB146" i="21"/>
  <c r="AC146" i="21" s="1"/>
  <c r="AN146" i="21"/>
  <c r="AO146" i="21" s="1"/>
  <c r="L147" i="21"/>
  <c r="M147" i="21" s="1"/>
  <c r="AH150" i="21"/>
  <c r="AI150" i="21" s="1"/>
  <c r="AT150" i="21"/>
  <c r="AU150" i="21" s="1"/>
  <c r="R151" i="21"/>
  <c r="S151" i="21" s="1"/>
  <c r="L155" i="21"/>
  <c r="M155" i="21" s="1"/>
  <c r="L195" i="21"/>
  <c r="M195" i="21" s="1"/>
  <c r="K133" i="21"/>
  <c r="L133" i="21" s="1"/>
  <c r="M133" i="21" s="1"/>
  <c r="V133" i="21"/>
  <c r="W133" i="21" s="1"/>
  <c r="AE137" i="21"/>
  <c r="AF137" i="21" s="1"/>
  <c r="AQ137" i="21"/>
  <c r="AR137" i="21" s="1"/>
  <c r="L140" i="21"/>
  <c r="M140" i="21" s="1"/>
  <c r="AH143" i="21"/>
  <c r="AI143" i="21" s="1"/>
  <c r="AT143" i="21"/>
  <c r="AU143" i="21" s="1"/>
  <c r="R144" i="21"/>
  <c r="S144" i="21" s="1"/>
  <c r="AE145" i="21"/>
  <c r="AF145" i="21" s="1"/>
  <c r="AB147" i="21"/>
  <c r="AC147" i="21" s="1"/>
  <c r="AN147" i="21"/>
  <c r="AO147" i="21" s="1"/>
  <c r="Y154" i="21"/>
  <c r="Z154" i="21" s="1"/>
  <c r="Y153" i="21"/>
  <c r="Z153" i="21" s="1"/>
  <c r="Y155" i="21"/>
  <c r="Z155" i="21" s="1"/>
  <c r="AE156" i="21"/>
  <c r="AF156" i="21" s="1"/>
  <c r="AE155" i="21"/>
  <c r="AF155" i="21" s="1"/>
  <c r="AE154" i="21"/>
  <c r="AF154" i="21" s="1"/>
  <c r="AE153" i="21"/>
  <c r="AF153" i="21" s="1"/>
  <c r="AK154" i="21"/>
  <c r="AL154" i="21" s="1"/>
  <c r="AK153" i="21"/>
  <c r="AL153" i="21" s="1"/>
  <c r="AK155" i="21"/>
  <c r="AL155" i="21" s="1"/>
  <c r="AQ156" i="21"/>
  <c r="AR156" i="21" s="1"/>
  <c r="AQ155" i="21"/>
  <c r="AR155" i="21" s="1"/>
  <c r="AQ154" i="21"/>
  <c r="AR154" i="21" s="1"/>
  <c r="AQ153" i="21"/>
  <c r="AR153" i="21" s="1"/>
  <c r="AH151" i="21"/>
  <c r="AI151" i="21" s="1"/>
  <c r="AT151" i="21"/>
  <c r="AU151" i="21" s="1"/>
  <c r="R152" i="21"/>
  <c r="S152" i="21" s="1"/>
  <c r="W153" i="21"/>
  <c r="AZ170" i="21"/>
  <c r="BB170" i="21"/>
  <c r="O195" i="21"/>
  <c r="P195" i="21" s="1"/>
  <c r="Y194" i="21"/>
  <c r="Z194" i="21" s="1"/>
  <c r="Q136" i="21"/>
  <c r="R136" i="21" s="1"/>
  <c r="S136" i="21" s="1"/>
  <c r="O156" i="21"/>
  <c r="P156" i="21" s="1"/>
  <c r="O155" i="21"/>
  <c r="P155" i="21" s="1"/>
  <c r="O154" i="21"/>
  <c r="P154" i="21" s="1"/>
  <c r="X149" i="21"/>
  <c r="AD149" i="21"/>
  <c r="AE149" i="21" s="1"/>
  <c r="AF149" i="21" s="1"/>
  <c r="AJ149" i="21"/>
  <c r="AP149" i="21"/>
  <c r="AQ149" i="21" s="1"/>
  <c r="AR149" i="21" s="1"/>
  <c r="Y150" i="21"/>
  <c r="Z150" i="21" s="1"/>
  <c r="AK150" i="21"/>
  <c r="AL150" i="21" s="1"/>
  <c r="W151" i="21"/>
  <c r="AH152" i="21"/>
  <c r="AI152" i="21" s="1"/>
  <c r="AT152" i="21"/>
  <c r="AU152" i="21" s="1"/>
  <c r="BB153" i="21"/>
  <c r="O167" i="21"/>
  <c r="P167" i="21" s="1"/>
  <c r="O166" i="21"/>
  <c r="P166" i="21" s="1"/>
  <c r="O165" i="21"/>
  <c r="P165" i="21" s="1"/>
  <c r="O164" i="21"/>
  <c r="P164" i="21" s="1"/>
  <c r="N163" i="21"/>
  <c r="O168" i="21"/>
  <c r="P168" i="21" s="1"/>
  <c r="BD174" i="21"/>
  <c r="BB174" i="21"/>
  <c r="AZ174" i="21"/>
  <c r="BD182" i="21"/>
  <c r="BB182" i="21"/>
  <c r="AZ182" i="21"/>
  <c r="BD190" i="21"/>
  <c r="AZ190" i="21"/>
  <c r="AN195" i="21"/>
  <c r="AO195" i="21" s="1"/>
  <c r="O215" i="21"/>
  <c r="P215" i="21" s="1"/>
  <c r="O214" i="21"/>
  <c r="P214" i="21" s="1"/>
  <c r="O212" i="21"/>
  <c r="P212" i="21" s="1"/>
  <c r="O211" i="21"/>
  <c r="P211" i="21" s="1"/>
  <c r="N210" i="21"/>
  <c r="O210" i="21" s="1"/>
  <c r="P210" i="21" s="1"/>
  <c r="O213" i="21"/>
  <c r="P213" i="21" s="1"/>
  <c r="R158" i="21"/>
  <c r="S158" i="21" s="1"/>
  <c r="AE159" i="21"/>
  <c r="AF159" i="21" s="1"/>
  <c r="AQ159" i="21"/>
  <c r="AR159" i="21" s="1"/>
  <c r="O160" i="21"/>
  <c r="P160" i="21" s="1"/>
  <c r="AB161" i="21"/>
  <c r="AC161" i="21" s="1"/>
  <c r="AN161" i="21"/>
  <c r="AO161" i="21" s="1"/>
  <c r="L162" i="21"/>
  <c r="M162" i="21" s="1"/>
  <c r="AH165" i="21"/>
  <c r="AI165" i="21" s="1"/>
  <c r="AT165" i="21"/>
  <c r="AU165" i="21" s="1"/>
  <c r="R166" i="21"/>
  <c r="S166" i="21" s="1"/>
  <c r="AE167" i="21"/>
  <c r="AF167" i="21" s="1"/>
  <c r="AQ167" i="21"/>
  <c r="AR167" i="21" s="1"/>
  <c r="AB169" i="21"/>
  <c r="AC169" i="21" s="1"/>
  <c r="AN169" i="21"/>
  <c r="AO169" i="21" s="1"/>
  <c r="X170" i="21"/>
  <c r="Y170" i="21" s="1"/>
  <c r="Z170" i="21" s="1"/>
  <c r="AD170" i="21"/>
  <c r="AE170" i="21" s="1"/>
  <c r="AF170" i="21" s="1"/>
  <c r="Y171" i="21"/>
  <c r="Z171" i="21" s="1"/>
  <c r="AK171" i="21"/>
  <c r="AL171" i="21" s="1"/>
  <c r="AH173" i="21"/>
  <c r="AI173" i="21" s="1"/>
  <c r="R174" i="21"/>
  <c r="S174" i="21" s="1"/>
  <c r="AE175" i="21"/>
  <c r="AF175" i="21" s="1"/>
  <c r="AQ175" i="21"/>
  <c r="AR175" i="21" s="1"/>
  <c r="O176" i="21"/>
  <c r="P176" i="21" s="1"/>
  <c r="AB177" i="21"/>
  <c r="AC177" i="21" s="1"/>
  <c r="AN177" i="21"/>
  <c r="AO177" i="21" s="1"/>
  <c r="AE183" i="21"/>
  <c r="AF183" i="21" s="1"/>
  <c r="O184" i="21"/>
  <c r="P184" i="21" s="1"/>
  <c r="AB185" i="21"/>
  <c r="AC185" i="21" s="1"/>
  <c r="AN185" i="21"/>
  <c r="AO185" i="21" s="1"/>
  <c r="O192" i="21"/>
  <c r="P192" i="21" s="1"/>
  <c r="R197" i="21"/>
  <c r="S197" i="21" s="1"/>
  <c r="Y198" i="21"/>
  <c r="Z198" i="21" s="1"/>
  <c r="Y197" i="21"/>
  <c r="Z197" i="21" s="1"/>
  <c r="X196" i="21"/>
  <c r="Y196" i="21" s="1"/>
  <c r="Z196" i="21" s="1"/>
  <c r="AK198" i="21"/>
  <c r="AL198" i="21" s="1"/>
  <c r="BB197" i="21"/>
  <c r="AZ197" i="21"/>
  <c r="AB197" i="21"/>
  <c r="AC197" i="21" s="1"/>
  <c r="AB203" i="21"/>
  <c r="AC203" i="21" s="1"/>
  <c r="AB202" i="21"/>
  <c r="AC202" i="21" s="1"/>
  <c r="AA199" i="21"/>
  <c r="AB199" i="21" s="1"/>
  <c r="AC199" i="21" s="1"/>
  <c r="AB200" i="21"/>
  <c r="AC200" i="21" s="1"/>
  <c r="AB204" i="21"/>
  <c r="AC204" i="21" s="1"/>
  <c r="AN204" i="21"/>
  <c r="AO204" i="21" s="1"/>
  <c r="AZ157" i="21"/>
  <c r="W158" i="21"/>
  <c r="AH159" i="21"/>
  <c r="AI159" i="21" s="1"/>
  <c r="AT159" i="21"/>
  <c r="AU159" i="21" s="1"/>
  <c r="R160" i="21"/>
  <c r="S160" i="21" s="1"/>
  <c r="AE161" i="21"/>
  <c r="AF161" i="21" s="1"/>
  <c r="AQ161" i="21"/>
  <c r="AR161" i="21" s="1"/>
  <c r="O162" i="21"/>
  <c r="P162" i="21" s="1"/>
  <c r="L164" i="21"/>
  <c r="M164" i="21" s="1"/>
  <c r="Y165" i="21"/>
  <c r="Z165" i="21" s="1"/>
  <c r="AK165" i="21"/>
  <c r="AL165" i="21" s="1"/>
  <c r="AZ165" i="21"/>
  <c r="W166" i="21"/>
  <c r="AH167" i="21"/>
  <c r="AI167" i="21" s="1"/>
  <c r="AT167" i="21"/>
  <c r="AU167" i="21" s="1"/>
  <c r="R168" i="21"/>
  <c r="S168" i="21" s="1"/>
  <c r="AE169" i="21"/>
  <c r="AF169" i="21" s="1"/>
  <c r="AQ169" i="21"/>
  <c r="AR169" i="21" s="1"/>
  <c r="AB171" i="21"/>
  <c r="AC171" i="21" s="1"/>
  <c r="AN171" i="21"/>
  <c r="AO171" i="21" s="1"/>
  <c r="L172" i="21"/>
  <c r="M172" i="21" s="1"/>
  <c r="Y173" i="21"/>
  <c r="Z173" i="21" s="1"/>
  <c r="AK173" i="21"/>
  <c r="AL173" i="21" s="1"/>
  <c r="AZ173" i="21"/>
  <c r="W174" i="21"/>
  <c r="AH175" i="21"/>
  <c r="AI175" i="21" s="1"/>
  <c r="AT175" i="21"/>
  <c r="AU175" i="21" s="1"/>
  <c r="R176" i="21"/>
  <c r="S176" i="21" s="1"/>
  <c r="AE177" i="21"/>
  <c r="AF177" i="21" s="1"/>
  <c r="AQ177" i="21"/>
  <c r="AR177" i="21" s="1"/>
  <c r="AB179" i="21"/>
  <c r="AC179" i="21" s="1"/>
  <c r="AN179" i="21"/>
  <c r="AO179" i="21" s="1"/>
  <c r="L180" i="21"/>
  <c r="M180" i="21" s="1"/>
  <c r="Y181" i="21"/>
  <c r="Z181" i="21" s="1"/>
  <c r="AK181" i="21"/>
  <c r="AL181" i="21" s="1"/>
  <c r="AZ181" i="21"/>
  <c r="W182" i="21"/>
  <c r="AH183" i="21"/>
  <c r="AI183" i="21" s="1"/>
  <c r="AT183" i="21"/>
  <c r="AU183" i="21" s="1"/>
  <c r="R184" i="21"/>
  <c r="S184" i="21" s="1"/>
  <c r="AE185" i="21"/>
  <c r="AF185" i="21" s="1"/>
  <c r="AQ185" i="21"/>
  <c r="AR185" i="21" s="1"/>
  <c r="AB187" i="21"/>
  <c r="AC187" i="21" s="1"/>
  <c r="AN187" i="21"/>
  <c r="AO187" i="21" s="1"/>
  <c r="L188" i="21"/>
  <c r="M188" i="21" s="1"/>
  <c r="Y189" i="21"/>
  <c r="Z189" i="21" s="1"/>
  <c r="AK189" i="21"/>
  <c r="AL189" i="21" s="1"/>
  <c r="AZ189" i="21"/>
  <c r="W190" i="21"/>
  <c r="AH191" i="21"/>
  <c r="AI191" i="21" s="1"/>
  <c r="AT191" i="21"/>
  <c r="AU191" i="21" s="1"/>
  <c r="R192" i="21"/>
  <c r="S192" i="21" s="1"/>
  <c r="O194" i="21"/>
  <c r="P194" i="21" s="1"/>
  <c r="AB195" i="21"/>
  <c r="AC195" i="21" s="1"/>
  <c r="AQ195" i="21"/>
  <c r="AR195" i="21" s="1"/>
  <c r="L197" i="21"/>
  <c r="M197" i="21" s="1"/>
  <c r="K196" i="21"/>
  <c r="L196" i="21" s="1"/>
  <c r="M196" i="21" s="1"/>
  <c r="AA196" i="21"/>
  <c r="AB196" i="21" s="1"/>
  <c r="AC196" i="21" s="1"/>
  <c r="AB198" i="21"/>
  <c r="AC198" i="21" s="1"/>
  <c r="AN196" i="21"/>
  <c r="AO196" i="21" s="1"/>
  <c r="AN197" i="21"/>
  <c r="AO197" i="21" s="1"/>
  <c r="AH203" i="21"/>
  <c r="AI203" i="21" s="1"/>
  <c r="AH202" i="21"/>
  <c r="AI202" i="21" s="1"/>
  <c r="AH201" i="21"/>
  <c r="AI201" i="21" s="1"/>
  <c r="AH200" i="21"/>
  <c r="AI200" i="21" s="1"/>
  <c r="AG199" i="21"/>
  <c r="AH199" i="21" s="1"/>
  <c r="AI199" i="21" s="1"/>
  <c r="AZ201" i="21"/>
  <c r="BB201" i="21"/>
  <c r="W227" i="21"/>
  <c r="W226" i="21"/>
  <c r="W225" i="21"/>
  <c r="W224" i="21"/>
  <c r="W223" i="21"/>
  <c r="W228" i="21"/>
  <c r="V222" i="21"/>
  <c r="W222" i="21" s="1"/>
  <c r="W229" i="21"/>
  <c r="X157" i="21"/>
  <c r="AD157" i="21"/>
  <c r="AJ157" i="21"/>
  <c r="Y158" i="21"/>
  <c r="Z158" i="21" s="1"/>
  <c r="AK158" i="21"/>
  <c r="AL158" i="21" s="1"/>
  <c r="AZ158" i="21"/>
  <c r="W159" i="21"/>
  <c r="AH160" i="21"/>
  <c r="AI160" i="21" s="1"/>
  <c r="AT160" i="21"/>
  <c r="AU160" i="21" s="1"/>
  <c r="R161" i="21"/>
  <c r="S161" i="21" s="1"/>
  <c r="AE162" i="21"/>
  <c r="AF162" i="21" s="1"/>
  <c r="AB164" i="21"/>
  <c r="AC164" i="21" s="1"/>
  <c r="AN164" i="21"/>
  <c r="AO164" i="21" s="1"/>
  <c r="L165" i="21"/>
  <c r="M165" i="21" s="1"/>
  <c r="Y166" i="21"/>
  <c r="Z166" i="21" s="1"/>
  <c r="AK166" i="21"/>
  <c r="AL166" i="21" s="1"/>
  <c r="W167" i="21"/>
  <c r="AH168" i="21"/>
  <c r="AI168" i="21" s="1"/>
  <c r="AT168" i="21"/>
  <c r="AU168" i="21" s="1"/>
  <c r="R169" i="21"/>
  <c r="S169" i="21" s="1"/>
  <c r="O171" i="21"/>
  <c r="P171" i="21" s="1"/>
  <c r="AB172" i="21"/>
  <c r="AC172" i="21" s="1"/>
  <c r="AN172" i="21"/>
  <c r="AO172" i="21" s="1"/>
  <c r="L173" i="21"/>
  <c r="M173" i="21" s="1"/>
  <c r="Y174" i="21"/>
  <c r="Z174" i="21" s="1"/>
  <c r="AK174" i="21"/>
  <c r="AL174" i="21" s="1"/>
  <c r="W175" i="21"/>
  <c r="AH176" i="21"/>
  <c r="AI176" i="21" s="1"/>
  <c r="AT176" i="21"/>
  <c r="AU176" i="21" s="1"/>
  <c r="R177" i="21"/>
  <c r="S177" i="21" s="1"/>
  <c r="O179" i="21"/>
  <c r="P179" i="21" s="1"/>
  <c r="AB180" i="21"/>
  <c r="AC180" i="21" s="1"/>
  <c r="AN180" i="21"/>
  <c r="AO180" i="21" s="1"/>
  <c r="L181" i="21"/>
  <c r="M181" i="21" s="1"/>
  <c r="Y182" i="21"/>
  <c r="Z182" i="21" s="1"/>
  <c r="AK182" i="21"/>
  <c r="AL182" i="21" s="1"/>
  <c r="W183" i="21"/>
  <c r="AH184" i="21"/>
  <c r="AI184" i="21" s="1"/>
  <c r="AT184" i="21"/>
  <c r="AU184" i="21" s="1"/>
  <c r="R185" i="21"/>
  <c r="S185" i="21" s="1"/>
  <c r="O187" i="21"/>
  <c r="P187" i="21" s="1"/>
  <c r="AB188" i="21"/>
  <c r="AC188" i="21" s="1"/>
  <c r="AN188" i="21"/>
  <c r="AO188" i="21" s="1"/>
  <c r="L189" i="21"/>
  <c r="M189" i="21" s="1"/>
  <c r="BB189" i="21"/>
  <c r="Y190" i="21"/>
  <c r="Z190" i="21" s="1"/>
  <c r="AK190" i="21"/>
  <c r="AL190" i="21" s="1"/>
  <c r="W191" i="21"/>
  <c r="AH192" i="21"/>
  <c r="AI192" i="21" s="1"/>
  <c r="AT192" i="21"/>
  <c r="AU192" i="21" s="1"/>
  <c r="AG193" i="21"/>
  <c r="AE194" i="21"/>
  <c r="AF194" i="21" s="1"/>
  <c r="AE195" i="21"/>
  <c r="AF195" i="21" s="1"/>
  <c r="AT197" i="21"/>
  <c r="AU197" i="21" s="1"/>
  <c r="L198" i="21"/>
  <c r="M198" i="21" s="1"/>
  <c r="AQ204" i="21"/>
  <c r="AR204" i="21" s="1"/>
  <c r="AA207" i="21"/>
  <c r="AB208" i="21"/>
  <c r="AC208" i="21" s="1"/>
  <c r="N157" i="21"/>
  <c r="L158" i="21"/>
  <c r="M158" i="21" s="1"/>
  <c r="Y159" i="21"/>
  <c r="Z159" i="21" s="1"/>
  <c r="AK159" i="21"/>
  <c r="AL159" i="21" s="1"/>
  <c r="W160" i="21"/>
  <c r="AH161" i="21"/>
  <c r="AI161" i="21" s="1"/>
  <c r="AT161" i="21"/>
  <c r="AU161" i="21" s="1"/>
  <c r="AB165" i="21"/>
  <c r="AC165" i="21" s="1"/>
  <c r="AN165" i="21"/>
  <c r="AO165" i="21" s="1"/>
  <c r="L166" i="21"/>
  <c r="M166" i="21" s="1"/>
  <c r="Y167" i="21"/>
  <c r="Z167" i="21" s="1"/>
  <c r="AK167" i="21"/>
  <c r="AL167" i="21" s="1"/>
  <c r="W168" i="21"/>
  <c r="AH169" i="21"/>
  <c r="AI169" i="21" s="1"/>
  <c r="AT169" i="21"/>
  <c r="AU169" i="21" s="1"/>
  <c r="AA170" i="21"/>
  <c r="AB170" i="21" s="1"/>
  <c r="AC170" i="21" s="1"/>
  <c r="AG170" i="21"/>
  <c r="AH170" i="21" s="1"/>
  <c r="AI170" i="21" s="1"/>
  <c r="AM170" i="21"/>
  <c r="AN170" i="21" s="1"/>
  <c r="AO170" i="21" s="1"/>
  <c r="AS170" i="21"/>
  <c r="AT170" i="21" s="1"/>
  <c r="AU170" i="21" s="1"/>
  <c r="AE171" i="21"/>
  <c r="AF171" i="21" s="1"/>
  <c r="AQ171" i="21"/>
  <c r="AR171" i="21" s="1"/>
  <c r="O172" i="21"/>
  <c r="P172" i="21" s="1"/>
  <c r="AB173" i="21"/>
  <c r="AC173" i="21" s="1"/>
  <c r="AN173" i="21"/>
  <c r="AO173" i="21" s="1"/>
  <c r="L174" i="21"/>
  <c r="M174" i="21" s="1"/>
  <c r="Y175" i="21"/>
  <c r="Z175" i="21" s="1"/>
  <c r="AK175" i="21"/>
  <c r="AL175" i="21" s="1"/>
  <c r="W176" i="21"/>
  <c r="AH177" i="21"/>
  <c r="AI177" i="21" s="1"/>
  <c r="AT177" i="21"/>
  <c r="AU177" i="21" s="1"/>
  <c r="AA178" i="21"/>
  <c r="AB178" i="21" s="1"/>
  <c r="AC178" i="21" s="1"/>
  <c r="AG178" i="21"/>
  <c r="AH178" i="21" s="1"/>
  <c r="AI178" i="21" s="1"/>
  <c r="AM178" i="21"/>
  <c r="AN178" i="21" s="1"/>
  <c r="AO178" i="21" s="1"/>
  <c r="AS178" i="21"/>
  <c r="AT178" i="21" s="1"/>
  <c r="AU178" i="21" s="1"/>
  <c r="AE179" i="21"/>
  <c r="AF179" i="21" s="1"/>
  <c r="AQ179" i="21"/>
  <c r="AR179" i="21" s="1"/>
  <c r="O180" i="21"/>
  <c r="P180" i="21" s="1"/>
  <c r="AB181" i="21"/>
  <c r="AC181" i="21" s="1"/>
  <c r="AN181" i="21"/>
  <c r="AO181" i="21" s="1"/>
  <c r="L182" i="21"/>
  <c r="M182" i="21" s="1"/>
  <c r="Y183" i="21"/>
  <c r="Z183" i="21" s="1"/>
  <c r="AK183" i="21"/>
  <c r="AL183" i="21" s="1"/>
  <c r="AZ183" i="21"/>
  <c r="W184" i="21"/>
  <c r="AH185" i="21"/>
  <c r="AI185" i="21" s="1"/>
  <c r="AT185" i="21"/>
  <c r="AU185" i="21" s="1"/>
  <c r="AA186" i="21"/>
  <c r="AB186" i="21" s="1"/>
  <c r="AC186" i="21" s="1"/>
  <c r="AG186" i="21"/>
  <c r="AH186" i="21" s="1"/>
  <c r="AI186" i="21" s="1"/>
  <c r="AM186" i="21"/>
  <c r="AN186" i="21" s="1"/>
  <c r="AO186" i="21" s="1"/>
  <c r="AS186" i="21"/>
  <c r="AT186" i="21" s="1"/>
  <c r="AU186" i="21" s="1"/>
  <c r="AE187" i="21"/>
  <c r="AF187" i="21" s="1"/>
  <c r="AQ187" i="21"/>
  <c r="AR187" i="21" s="1"/>
  <c r="O188" i="21"/>
  <c r="P188" i="21" s="1"/>
  <c r="AB189" i="21"/>
  <c r="AC189" i="21" s="1"/>
  <c r="AN189" i="21"/>
  <c r="AO189" i="21" s="1"/>
  <c r="L190" i="21"/>
  <c r="M190" i="21" s="1"/>
  <c r="Y191" i="21"/>
  <c r="Z191" i="21" s="1"/>
  <c r="AK191" i="21"/>
  <c r="AL191" i="21" s="1"/>
  <c r="AZ191" i="21"/>
  <c r="W192" i="21"/>
  <c r="Q193" i="21"/>
  <c r="V193" i="21"/>
  <c r="W193" i="21" s="1"/>
  <c r="R194" i="21"/>
  <c r="S194" i="21" s="1"/>
  <c r="AT195" i="21"/>
  <c r="AU195" i="21" s="1"/>
  <c r="BD196" i="21"/>
  <c r="AE197" i="21"/>
  <c r="AF197" i="21" s="1"/>
  <c r="AD196" i="21"/>
  <c r="AE196" i="21" s="1"/>
  <c r="AF196" i="21" s="1"/>
  <c r="AE198" i="21"/>
  <c r="AF198" i="21" s="1"/>
  <c r="AQ197" i="21"/>
  <c r="AR197" i="21" s="1"/>
  <c r="AN203" i="21"/>
  <c r="AO203" i="21" s="1"/>
  <c r="AN202" i="21"/>
  <c r="AO202" i="21" s="1"/>
  <c r="AM199" i="21"/>
  <c r="AN199" i="21" s="1"/>
  <c r="AO199" i="21" s="1"/>
  <c r="AN200" i="21"/>
  <c r="AO200" i="21" s="1"/>
  <c r="BD200" i="21"/>
  <c r="AH204" i="21"/>
  <c r="AI204" i="21" s="1"/>
  <c r="AT204" i="21"/>
  <c r="AU204" i="21" s="1"/>
  <c r="AB209" i="21"/>
  <c r="AC209" i="21" s="1"/>
  <c r="L225" i="21"/>
  <c r="M225" i="21" s="1"/>
  <c r="L224" i="21"/>
  <c r="M224" i="21" s="1"/>
  <c r="L223" i="21"/>
  <c r="M223" i="21" s="1"/>
  <c r="L229" i="21"/>
  <c r="M229" i="21" s="1"/>
  <c r="L228" i="21"/>
  <c r="M228" i="21" s="1"/>
  <c r="L226" i="21"/>
  <c r="M226" i="21" s="1"/>
  <c r="L227" i="21"/>
  <c r="M227" i="21" s="1"/>
  <c r="K222" i="21"/>
  <c r="L222" i="21" s="1"/>
  <c r="M222" i="21" s="1"/>
  <c r="BD230" i="21"/>
  <c r="BB230" i="21"/>
  <c r="AZ230" i="21"/>
  <c r="AB158" i="21"/>
  <c r="AC158" i="21" s="1"/>
  <c r="AN158" i="21"/>
  <c r="AO158" i="21" s="1"/>
  <c r="L159" i="21"/>
  <c r="M159" i="21" s="1"/>
  <c r="Y160" i="21"/>
  <c r="Z160" i="21" s="1"/>
  <c r="AK160" i="21"/>
  <c r="AL160" i="21" s="1"/>
  <c r="AZ160" i="21"/>
  <c r="W161" i="21"/>
  <c r="AH162" i="21"/>
  <c r="AI162" i="21" s="1"/>
  <c r="AA163" i="21"/>
  <c r="AG163" i="21"/>
  <c r="AM163" i="21"/>
  <c r="AN163" i="21" s="1"/>
  <c r="AO163" i="21" s="1"/>
  <c r="AE164" i="21"/>
  <c r="AF164" i="21" s="1"/>
  <c r="AQ164" i="21"/>
  <c r="AR164" i="21" s="1"/>
  <c r="AB166" i="21"/>
  <c r="AC166" i="21" s="1"/>
  <c r="AN166" i="21"/>
  <c r="AO166" i="21" s="1"/>
  <c r="L167" i="21"/>
  <c r="M167" i="21" s="1"/>
  <c r="Y168" i="21"/>
  <c r="Z168" i="21" s="1"/>
  <c r="AK168" i="21"/>
  <c r="AL168" i="21" s="1"/>
  <c r="AZ168" i="21"/>
  <c r="W169" i="21"/>
  <c r="K170" i="21"/>
  <c r="L170" i="21" s="1"/>
  <c r="M170" i="21" s="1"/>
  <c r="Q170" i="21"/>
  <c r="R170" i="21" s="1"/>
  <c r="S170" i="21" s="1"/>
  <c r="V170" i="21"/>
  <c r="W170" i="21" s="1"/>
  <c r="R171" i="21"/>
  <c r="S171" i="21" s="1"/>
  <c r="AE172" i="21"/>
  <c r="AF172" i="21" s="1"/>
  <c r="AQ172" i="21"/>
  <c r="AR172" i="21" s="1"/>
  <c r="O173" i="21"/>
  <c r="P173" i="21" s="1"/>
  <c r="AB174" i="21"/>
  <c r="AC174" i="21" s="1"/>
  <c r="AN174" i="21"/>
  <c r="AO174" i="21" s="1"/>
  <c r="L175" i="21"/>
  <c r="M175" i="21" s="1"/>
  <c r="Y176" i="21"/>
  <c r="Z176" i="21" s="1"/>
  <c r="AK176" i="21"/>
  <c r="AL176" i="21" s="1"/>
  <c r="AZ176" i="21"/>
  <c r="K178" i="21"/>
  <c r="L178" i="21" s="1"/>
  <c r="M178" i="21" s="1"/>
  <c r="Q178" i="21"/>
  <c r="R178" i="21" s="1"/>
  <c r="S178" i="21" s="1"/>
  <c r="V178" i="21"/>
  <c r="W178" i="21" s="1"/>
  <c r="R179" i="21"/>
  <c r="S179" i="21" s="1"/>
  <c r="AE180" i="21"/>
  <c r="AF180" i="21" s="1"/>
  <c r="AQ180" i="21"/>
  <c r="AR180" i="21" s="1"/>
  <c r="O181" i="21"/>
  <c r="P181" i="21" s="1"/>
  <c r="AB182" i="21"/>
  <c r="AC182" i="21" s="1"/>
  <c r="AN182" i="21"/>
  <c r="AO182" i="21" s="1"/>
  <c r="L183" i="21"/>
  <c r="M183" i="21" s="1"/>
  <c r="Y184" i="21"/>
  <c r="Z184" i="21" s="1"/>
  <c r="AK184" i="21"/>
  <c r="AL184" i="21" s="1"/>
  <c r="AZ184" i="21"/>
  <c r="W185" i="21"/>
  <c r="K186" i="21"/>
  <c r="L186" i="21" s="1"/>
  <c r="M186" i="21" s="1"/>
  <c r="Q186" i="21"/>
  <c r="R186" i="21" s="1"/>
  <c r="S186" i="21" s="1"/>
  <c r="V186" i="21"/>
  <c r="W186" i="21" s="1"/>
  <c r="R187" i="21"/>
  <c r="S187" i="21" s="1"/>
  <c r="AE188" i="21"/>
  <c r="AF188" i="21" s="1"/>
  <c r="AQ188" i="21"/>
  <c r="AR188" i="21" s="1"/>
  <c r="O189" i="21"/>
  <c r="P189" i="21" s="1"/>
  <c r="AB190" i="21"/>
  <c r="AC190" i="21" s="1"/>
  <c r="AN190" i="21"/>
  <c r="AO190" i="21" s="1"/>
  <c r="L191" i="21"/>
  <c r="M191" i="21" s="1"/>
  <c r="AZ192" i="21"/>
  <c r="AH194" i="21"/>
  <c r="AI194" i="21" s="1"/>
  <c r="AZ195" i="21"/>
  <c r="O198" i="21"/>
  <c r="P198" i="21" s="1"/>
  <c r="AQ199" i="21"/>
  <c r="AR199" i="21" s="1"/>
  <c r="AH209" i="21"/>
  <c r="AI209" i="21" s="1"/>
  <c r="AH208" i="21"/>
  <c r="AI208" i="21" s="1"/>
  <c r="AG207" i="21"/>
  <c r="AZ209" i="21"/>
  <c r="BB209" i="21"/>
  <c r="AK210" i="21"/>
  <c r="AL210" i="21" s="1"/>
  <c r="J157" i="21"/>
  <c r="AH157" i="21" s="1"/>
  <c r="AI157" i="21" s="1"/>
  <c r="O158" i="21"/>
  <c r="P158" i="21" s="1"/>
  <c r="AB159" i="21"/>
  <c r="AC159" i="21" s="1"/>
  <c r="AN159" i="21"/>
  <c r="AO159" i="21" s="1"/>
  <c r="L160" i="21"/>
  <c r="M160" i="21" s="1"/>
  <c r="Y161" i="21"/>
  <c r="Z161" i="21" s="1"/>
  <c r="AK161" i="21"/>
  <c r="AL161" i="21" s="1"/>
  <c r="AZ161" i="21"/>
  <c r="K163" i="21"/>
  <c r="L163" i="21" s="1"/>
  <c r="M163" i="21" s="1"/>
  <c r="Q163" i="21"/>
  <c r="R164" i="21"/>
  <c r="S164" i="21" s="1"/>
  <c r="AE165" i="21"/>
  <c r="AF165" i="21" s="1"/>
  <c r="AQ165" i="21"/>
  <c r="AR165" i="21" s="1"/>
  <c r="AB167" i="21"/>
  <c r="AC167" i="21" s="1"/>
  <c r="AN167" i="21"/>
  <c r="AO167" i="21" s="1"/>
  <c r="L168" i="21"/>
  <c r="M168" i="21" s="1"/>
  <c r="AZ169" i="21"/>
  <c r="AH171" i="21"/>
  <c r="AI171" i="21" s="1"/>
  <c r="AT171" i="21"/>
  <c r="AU171" i="21" s="1"/>
  <c r="R172" i="21"/>
  <c r="S172" i="21" s="1"/>
  <c r="AE173" i="21"/>
  <c r="AF173" i="21" s="1"/>
  <c r="AQ173" i="21"/>
  <c r="AR173" i="21" s="1"/>
  <c r="O174" i="21"/>
  <c r="P174" i="21" s="1"/>
  <c r="AB175" i="21"/>
  <c r="AC175" i="21" s="1"/>
  <c r="AN175" i="21"/>
  <c r="AO175" i="21" s="1"/>
  <c r="L176" i="21"/>
  <c r="M176" i="21" s="1"/>
  <c r="AZ177" i="21"/>
  <c r="AH179" i="21"/>
  <c r="AI179" i="21" s="1"/>
  <c r="AT179" i="21"/>
  <c r="AU179" i="21" s="1"/>
  <c r="R180" i="21"/>
  <c r="S180" i="21" s="1"/>
  <c r="AE181" i="21"/>
  <c r="AF181" i="21" s="1"/>
  <c r="AQ181" i="21"/>
  <c r="AR181" i="21" s="1"/>
  <c r="O182" i="21"/>
  <c r="P182" i="21" s="1"/>
  <c r="AB183" i="21"/>
  <c r="AC183" i="21" s="1"/>
  <c r="AN183" i="21"/>
  <c r="AO183" i="21" s="1"/>
  <c r="L184" i="21"/>
  <c r="M184" i="21" s="1"/>
  <c r="AZ185" i="21"/>
  <c r="AH187" i="21"/>
  <c r="AI187" i="21" s="1"/>
  <c r="AT187" i="21"/>
  <c r="AU187" i="21" s="1"/>
  <c r="R188" i="21"/>
  <c r="S188" i="21" s="1"/>
  <c r="AE189" i="21"/>
  <c r="AF189" i="21" s="1"/>
  <c r="AQ189" i="21"/>
  <c r="AR189" i="21" s="1"/>
  <c r="O190" i="21"/>
  <c r="P190" i="21" s="1"/>
  <c r="AB191" i="21"/>
  <c r="AC191" i="21" s="1"/>
  <c r="AN191" i="21"/>
  <c r="AO191" i="21" s="1"/>
  <c r="AZ193" i="21"/>
  <c r="W194" i="21"/>
  <c r="AH196" i="21"/>
  <c r="AI196" i="21" s="1"/>
  <c r="AT196" i="21"/>
  <c r="AU196" i="21" s="1"/>
  <c r="O199" i="21"/>
  <c r="P199" i="21" s="1"/>
  <c r="AT203" i="21"/>
  <c r="AU203" i="21" s="1"/>
  <c r="AT202" i="21"/>
  <c r="AU202" i="21" s="1"/>
  <c r="AT201" i="21"/>
  <c r="AU201" i="21" s="1"/>
  <c r="AT200" i="21"/>
  <c r="AU200" i="21" s="1"/>
  <c r="AS199" i="21"/>
  <c r="AT199" i="21" s="1"/>
  <c r="AU199" i="21" s="1"/>
  <c r="BB205" i="21"/>
  <c r="BD208" i="21"/>
  <c r="AA157" i="21"/>
  <c r="X193" i="21"/>
  <c r="AJ193" i="21"/>
  <c r="AK194" i="21"/>
  <c r="AL194" i="21" s="1"/>
  <c r="AK204" i="21"/>
  <c r="AL204" i="21" s="1"/>
  <c r="AM207" i="21"/>
  <c r="AN208" i="21"/>
  <c r="AO208" i="21" s="1"/>
  <c r="Y210" i="21"/>
  <c r="Z210" i="21" s="1"/>
  <c r="AZ218" i="21"/>
  <c r="BB218" i="21"/>
  <c r="Q196" i="21"/>
  <c r="R196" i="21" s="1"/>
  <c r="S196" i="21" s="1"/>
  <c r="V196" i="21"/>
  <c r="W196" i="21" s="1"/>
  <c r="AQ198" i="21"/>
  <c r="AR198" i="21" s="1"/>
  <c r="L201" i="21"/>
  <c r="M201" i="21" s="1"/>
  <c r="Y202" i="21"/>
  <c r="Z202" i="21" s="1"/>
  <c r="AK202" i="21"/>
  <c r="AL202" i="21" s="1"/>
  <c r="W203" i="21"/>
  <c r="R205" i="21"/>
  <c r="S205" i="21" s="1"/>
  <c r="AE206" i="21"/>
  <c r="AF206" i="21" s="1"/>
  <c r="AQ206" i="21"/>
  <c r="AR206" i="21" s="1"/>
  <c r="L209" i="21"/>
  <c r="M209" i="21" s="1"/>
  <c r="Y215" i="21"/>
  <c r="Z215" i="21" s="1"/>
  <c r="Y214" i="21"/>
  <c r="Z214" i="21" s="1"/>
  <c r="AE214" i="21"/>
  <c r="AF214" i="21" s="1"/>
  <c r="AK215" i="21"/>
  <c r="AL215" i="21" s="1"/>
  <c r="AK214" i="21"/>
  <c r="AL214" i="21" s="1"/>
  <c r="AQ214" i="21"/>
  <c r="AR214" i="21" s="1"/>
  <c r="W211" i="21"/>
  <c r="BD212" i="21"/>
  <c r="BB212" i="21"/>
  <c r="AQ215" i="21"/>
  <c r="AR215" i="21" s="1"/>
  <c r="AB221" i="21"/>
  <c r="AC221" i="21" s="1"/>
  <c r="AB220" i="21"/>
  <c r="AC220" i="21" s="1"/>
  <c r="AB219" i="21"/>
  <c r="AC219" i="21" s="1"/>
  <c r="AA216" i="21"/>
  <c r="L218" i="21"/>
  <c r="M218" i="21" s="1"/>
  <c r="Y219" i="21"/>
  <c r="Z219" i="21" s="1"/>
  <c r="BB225" i="21"/>
  <c r="AZ225" i="21"/>
  <c r="R231" i="21"/>
  <c r="S231" i="21" s="1"/>
  <c r="R232" i="21"/>
  <c r="S232" i="21" s="1"/>
  <c r="AZ196" i="21"/>
  <c r="W197" i="21"/>
  <c r="AH198" i="21"/>
  <c r="AI198" i="21" s="1"/>
  <c r="AT198" i="21"/>
  <c r="AU198" i="21" s="1"/>
  <c r="AE200" i="21"/>
  <c r="AF200" i="21" s="1"/>
  <c r="AQ200" i="21"/>
  <c r="AR200" i="21" s="1"/>
  <c r="O201" i="21"/>
  <c r="P201" i="21" s="1"/>
  <c r="L203" i="21"/>
  <c r="M203" i="21" s="1"/>
  <c r="AZ204" i="21"/>
  <c r="AH206" i="21"/>
  <c r="AI206" i="21" s="1"/>
  <c r="AT206" i="21"/>
  <c r="AU206" i="21" s="1"/>
  <c r="AE208" i="21"/>
  <c r="AF208" i="21" s="1"/>
  <c r="AQ208" i="21"/>
  <c r="AR208" i="21" s="1"/>
  <c r="O209" i="21"/>
  <c r="P209" i="21" s="1"/>
  <c r="L211" i="21"/>
  <c r="M211" i="21" s="1"/>
  <c r="Y212" i="21"/>
  <c r="Z212" i="21" s="1"/>
  <c r="AB214" i="21"/>
  <c r="AC214" i="21" s="1"/>
  <c r="AT220" i="21"/>
  <c r="AU220" i="21" s="1"/>
  <c r="AT219" i="21"/>
  <c r="AU219" i="21" s="1"/>
  <c r="AT218" i="21"/>
  <c r="AU218" i="21" s="1"/>
  <c r="AT217" i="21"/>
  <c r="AU217" i="21" s="1"/>
  <c r="AS216" i="21"/>
  <c r="AK219" i="21"/>
  <c r="AL219" i="21" s="1"/>
  <c r="BB226" i="21"/>
  <c r="AJ196" i="21"/>
  <c r="AK196" i="21" s="1"/>
  <c r="AL196" i="21" s="1"/>
  <c r="AP196" i="21"/>
  <c r="AQ196" i="21" s="1"/>
  <c r="AR196" i="21" s="1"/>
  <c r="AK197" i="21"/>
  <c r="AL197" i="21" s="1"/>
  <c r="K199" i="21"/>
  <c r="L199" i="21" s="1"/>
  <c r="M199" i="21" s="1"/>
  <c r="Q199" i="21"/>
  <c r="R199" i="21" s="1"/>
  <c r="S199" i="21" s="1"/>
  <c r="R200" i="21"/>
  <c r="S200" i="21" s="1"/>
  <c r="AE201" i="21"/>
  <c r="AF201" i="21" s="1"/>
  <c r="AQ201" i="21"/>
  <c r="AR201" i="21" s="1"/>
  <c r="O202" i="21"/>
  <c r="P202" i="21" s="1"/>
  <c r="Y205" i="21"/>
  <c r="Z205" i="21" s="1"/>
  <c r="AK205" i="21"/>
  <c r="AL205" i="21" s="1"/>
  <c r="AZ205" i="21"/>
  <c r="AE209" i="21"/>
  <c r="AF209" i="21" s="1"/>
  <c r="AQ209" i="21"/>
  <c r="AR209" i="21" s="1"/>
  <c r="AN211" i="21"/>
  <c r="AO211" i="21" s="1"/>
  <c r="AN212" i="21"/>
  <c r="AO212" i="21" s="1"/>
  <c r="AQ213" i="21"/>
  <c r="AR213" i="21" s="1"/>
  <c r="BB215" i="21"/>
  <c r="AZ215" i="21"/>
  <c r="AH220" i="21"/>
  <c r="AI220" i="21" s="1"/>
  <c r="AH219" i="21"/>
  <c r="AI219" i="21" s="1"/>
  <c r="AH218" i="21"/>
  <c r="AI218" i="21" s="1"/>
  <c r="AH217" i="21"/>
  <c r="AI217" i="21" s="1"/>
  <c r="AG216" i="21"/>
  <c r="BB217" i="21"/>
  <c r="AZ217" i="21"/>
  <c r="O217" i="21"/>
  <c r="P217" i="21" s="1"/>
  <c r="AB218" i="21"/>
  <c r="AC218" i="21" s="1"/>
  <c r="AN233" i="21"/>
  <c r="AO233" i="21" s="1"/>
  <c r="N196" i="21"/>
  <c r="O196" i="21" s="1"/>
  <c r="P196" i="21" s="1"/>
  <c r="R201" i="21"/>
  <c r="S201" i="21" s="1"/>
  <c r="AE202" i="21"/>
  <c r="AF202" i="21" s="1"/>
  <c r="AQ202" i="21"/>
  <c r="AR202" i="21" s="1"/>
  <c r="O203" i="21"/>
  <c r="P203" i="21" s="1"/>
  <c r="N204" i="21"/>
  <c r="O204" i="21" s="1"/>
  <c r="P204" i="21" s="1"/>
  <c r="L205" i="21"/>
  <c r="M205" i="21" s="1"/>
  <c r="AK206" i="21"/>
  <c r="AL206" i="21" s="1"/>
  <c r="AB215" i="21"/>
  <c r="AC215" i="21" s="1"/>
  <c r="AB213" i="21"/>
  <c r="AC213" i="21" s="1"/>
  <c r="AN215" i="21"/>
  <c r="AO215" i="21" s="1"/>
  <c r="AN214" i="21"/>
  <c r="AO214" i="21" s="1"/>
  <c r="AN213" i="21"/>
  <c r="AO213" i="21" s="1"/>
  <c r="AT212" i="21"/>
  <c r="AU212" i="21" s="1"/>
  <c r="AB212" i="21"/>
  <c r="AC212" i="21" s="1"/>
  <c r="AQ212" i="21"/>
  <c r="AR212" i="21" s="1"/>
  <c r="Y213" i="21"/>
  <c r="Z213" i="21" s="1"/>
  <c r="AT213" i="21"/>
  <c r="AU213" i="21" s="1"/>
  <c r="J216" i="21"/>
  <c r="AQ216" i="21" s="1"/>
  <c r="AR216" i="21" s="1"/>
  <c r="AK218" i="21"/>
  <c r="AL218" i="21" s="1"/>
  <c r="AB217" i="21"/>
  <c r="AC217" i="21" s="1"/>
  <c r="R229" i="21"/>
  <c r="S229" i="21" s="1"/>
  <c r="R228" i="21"/>
  <c r="S228" i="21" s="1"/>
  <c r="R227" i="21"/>
  <c r="S227" i="21" s="1"/>
  <c r="R226" i="21"/>
  <c r="S226" i="21" s="1"/>
  <c r="R225" i="21"/>
  <c r="S225" i="21" s="1"/>
  <c r="R224" i="21"/>
  <c r="S224" i="21" s="1"/>
  <c r="R223" i="21"/>
  <c r="S223" i="21" s="1"/>
  <c r="W231" i="21"/>
  <c r="W232" i="21"/>
  <c r="L236" i="21"/>
  <c r="M236" i="21" s="1"/>
  <c r="L235" i="21"/>
  <c r="M235" i="21" s="1"/>
  <c r="L234" i="21"/>
  <c r="M234" i="21" s="1"/>
  <c r="L240" i="21"/>
  <c r="M240" i="21" s="1"/>
  <c r="L239" i="21"/>
  <c r="M239" i="21" s="1"/>
  <c r="L237" i="21"/>
  <c r="M237" i="21" s="1"/>
  <c r="K233" i="21"/>
  <c r="L233" i="21" s="1"/>
  <c r="M233" i="21" s="1"/>
  <c r="R202" i="21"/>
  <c r="S202" i="21" s="1"/>
  <c r="AE203" i="21"/>
  <c r="AF203" i="21" s="1"/>
  <c r="AQ203" i="21"/>
  <c r="AR203" i="21" s="1"/>
  <c r="AB205" i="21"/>
  <c r="AC205" i="21" s="1"/>
  <c r="AN205" i="21"/>
  <c r="AO205" i="21" s="1"/>
  <c r="L206" i="21"/>
  <c r="M206" i="21" s="1"/>
  <c r="AZ207" i="21"/>
  <c r="L215" i="21"/>
  <c r="M215" i="21" s="1"/>
  <c r="L214" i="21"/>
  <c r="M214" i="21" s="1"/>
  <c r="L213" i="21"/>
  <c r="M213" i="21" s="1"/>
  <c r="R213" i="21"/>
  <c r="S213" i="21" s="1"/>
  <c r="AA210" i="21"/>
  <c r="AB210" i="21" s="1"/>
  <c r="AC210" i="21" s="1"/>
  <c r="AG210" i="21"/>
  <c r="AH210" i="21" s="1"/>
  <c r="AI210" i="21" s="1"/>
  <c r="AM210" i="21"/>
  <c r="AN210" i="21" s="1"/>
  <c r="AO210" i="21" s="1"/>
  <c r="AS210" i="21"/>
  <c r="AT210" i="21" s="1"/>
  <c r="AU210" i="21" s="1"/>
  <c r="AE211" i="21"/>
  <c r="AF211" i="21" s="1"/>
  <c r="AQ211" i="21"/>
  <c r="AR211" i="21" s="1"/>
  <c r="AE212" i="21"/>
  <c r="AF212" i="21" s="1"/>
  <c r="AH214" i="21"/>
  <c r="AI214" i="21" s="1"/>
  <c r="AE215" i="21"/>
  <c r="AF215" i="21" s="1"/>
  <c r="L217" i="21"/>
  <c r="M217" i="21" s="1"/>
  <c r="BB221" i="21"/>
  <c r="AH221" i="21"/>
  <c r="AI221" i="21" s="1"/>
  <c r="Q222" i="21"/>
  <c r="R222" i="21" s="1"/>
  <c r="S222" i="21" s="1"/>
  <c r="BD229" i="21"/>
  <c r="AZ229" i="21"/>
  <c r="V230" i="21"/>
  <c r="W230" i="21" s="1"/>
  <c r="AB233" i="21"/>
  <c r="AC233" i="21" s="1"/>
  <c r="O197" i="21"/>
  <c r="P197" i="21" s="1"/>
  <c r="AN198" i="21"/>
  <c r="AO198" i="21" s="1"/>
  <c r="X199" i="21"/>
  <c r="Y199" i="21" s="1"/>
  <c r="Z199" i="21" s="1"/>
  <c r="AJ199" i="21"/>
  <c r="AK199" i="21" s="1"/>
  <c r="AL199" i="21" s="1"/>
  <c r="Y200" i="21"/>
  <c r="Z200" i="21" s="1"/>
  <c r="AK200" i="21"/>
  <c r="AL200" i="21" s="1"/>
  <c r="AZ200" i="21"/>
  <c r="W201" i="21"/>
  <c r="O205" i="21"/>
  <c r="P205" i="21" s="1"/>
  <c r="AB206" i="21"/>
  <c r="AC206" i="21" s="1"/>
  <c r="AN206" i="21"/>
  <c r="AO206" i="21" s="1"/>
  <c r="X207" i="21"/>
  <c r="AJ207" i="21"/>
  <c r="BB207" i="21"/>
  <c r="Y208" i="21"/>
  <c r="Z208" i="21" s="1"/>
  <c r="AK208" i="21"/>
  <c r="AL208" i="21" s="1"/>
  <c r="AZ208" i="21"/>
  <c r="K210" i="21"/>
  <c r="L210" i="21" s="1"/>
  <c r="M210" i="21" s="1"/>
  <c r="Q210" i="21"/>
  <c r="R210" i="21" s="1"/>
  <c r="S210" i="21" s="1"/>
  <c r="V210" i="21"/>
  <c r="W210" i="21" s="1"/>
  <c r="R211" i="21"/>
  <c r="S211" i="21" s="1"/>
  <c r="AE213" i="21"/>
  <c r="AF213" i="21" s="1"/>
  <c r="AZ213" i="21"/>
  <c r="Y218" i="21"/>
  <c r="Z218" i="21" s="1"/>
  <c r="AN221" i="21"/>
  <c r="AO221" i="21" s="1"/>
  <c r="AN220" i="21"/>
  <c r="AO220" i="21" s="1"/>
  <c r="AN219" i="21"/>
  <c r="AO219" i="21" s="1"/>
  <c r="AM216" i="21"/>
  <c r="AN217" i="21"/>
  <c r="AO217" i="21" s="1"/>
  <c r="K230" i="21"/>
  <c r="L230" i="21" s="1"/>
  <c r="M230" i="21" s="1"/>
  <c r="AK230" i="21"/>
  <c r="AL230" i="21" s="1"/>
  <c r="L232" i="21"/>
  <c r="M232" i="21" s="1"/>
  <c r="AH211" i="21"/>
  <c r="AI211" i="21" s="1"/>
  <c r="AT211" i="21"/>
  <c r="AU211" i="21" s="1"/>
  <c r="R212" i="21"/>
  <c r="S212" i="21" s="1"/>
  <c r="AH212" i="21"/>
  <c r="AI212" i="21" s="1"/>
  <c r="AH213" i="21"/>
  <c r="AI213" i="21" s="1"/>
  <c r="BB214" i="21"/>
  <c r="AZ214" i="21"/>
  <c r="R214" i="21"/>
  <c r="S214" i="21" s="1"/>
  <c r="BD216" i="21"/>
  <c r="AQ221" i="21"/>
  <c r="AR221" i="21" s="1"/>
  <c r="L219" i="21"/>
  <c r="M219" i="21" s="1"/>
  <c r="Y220" i="21"/>
  <c r="Z220" i="21" s="1"/>
  <c r="AT221" i="21"/>
  <c r="AU221" i="21" s="1"/>
  <c r="BD224" i="21"/>
  <c r="Y230" i="21"/>
  <c r="Z230" i="21" s="1"/>
  <c r="AE217" i="21"/>
  <c r="AF217" i="21" s="1"/>
  <c r="O218" i="21"/>
  <c r="P218" i="21" s="1"/>
  <c r="L220" i="21"/>
  <c r="M220" i="21" s="1"/>
  <c r="Y221" i="21"/>
  <c r="Z221" i="21" s="1"/>
  <c r="AK221" i="21"/>
  <c r="AL221" i="21" s="1"/>
  <c r="AE225" i="21"/>
  <c r="AF225" i="21" s="1"/>
  <c r="AQ225" i="21"/>
  <c r="AR225" i="21" s="1"/>
  <c r="O226" i="21"/>
  <c r="P226" i="21" s="1"/>
  <c r="AB227" i="21"/>
  <c r="AC227" i="21" s="1"/>
  <c r="AN227" i="21"/>
  <c r="AO227" i="21" s="1"/>
  <c r="Y229" i="21"/>
  <c r="Z229" i="21" s="1"/>
  <c r="AK229" i="21"/>
  <c r="AL229" i="21" s="1"/>
  <c r="AE232" i="21"/>
  <c r="AF232" i="21" s="1"/>
  <c r="AE231" i="21"/>
  <c r="AF231" i="21" s="1"/>
  <c r="AM230" i="21"/>
  <c r="AN230" i="21" s="1"/>
  <c r="AO230" i="21" s="1"/>
  <c r="AN232" i="21"/>
  <c r="AO232" i="21" s="1"/>
  <c r="W238" i="21"/>
  <c r="W237" i="21"/>
  <c r="W236" i="21"/>
  <c r="W235" i="21"/>
  <c r="W234" i="21"/>
  <c r="BD240" i="21"/>
  <c r="BB240" i="21"/>
  <c r="L246" i="21"/>
  <c r="M246" i="21" s="1"/>
  <c r="K216" i="21"/>
  <c r="Q216" i="21"/>
  <c r="V216" i="21"/>
  <c r="W216" i="21" s="1"/>
  <c r="R217" i="21"/>
  <c r="S217" i="21" s="1"/>
  <c r="AE218" i="21"/>
  <c r="AF218" i="21" s="1"/>
  <c r="AQ218" i="21"/>
  <c r="AR218" i="21" s="1"/>
  <c r="O219" i="21"/>
  <c r="P219" i="21" s="1"/>
  <c r="L221" i="21"/>
  <c r="M221" i="21" s="1"/>
  <c r="AZ222" i="21"/>
  <c r="AH224" i="21"/>
  <c r="AI224" i="21" s="1"/>
  <c r="AT224" i="21"/>
  <c r="AU224" i="21" s="1"/>
  <c r="AE226" i="21"/>
  <c r="AF226" i="21" s="1"/>
  <c r="AQ226" i="21"/>
  <c r="AR226" i="21" s="1"/>
  <c r="O227" i="21"/>
  <c r="P227" i="21" s="1"/>
  <c r="AB228" i="21"/>
  <c r="AC228" i="21" s="1"/>
  <c r="AN228" i="21"/>
  <c r="AO228" i="21" s="1"/>
  <c r="Y232" i="21"/>
  <c r="Z232" i="21" s="1"/>
  <c r="AD230" i="21"/>
  <c r="AE230" i="21" s="1"/>
  <c r="AF230" i="21" s="1"/>
  <c r="O231" i="21"/>
  <c r="P231" i="21" s="1"/>
  <c r="AK231" i="21"/>
  <c r="AL231" i="21" s="1"/>
  <c r="V233" i="21"/>
  <c r="W233" i="21" s="1"/>
  <c r="R218" i="21"/>
  <c r="S218" i="21" s="1"/>
  <c r="AE219" i="21"/>
  <c r="AF219" i="21" s="1"/>
  <c r="AQ219" i="21"/>
  <c r="AR219" i="21" s="1"/>
  <c r="O220" i="21"/>
  <c r="P220" i="21" s="1"/>
  <c r="X222" i="21"/>
  <c r="Y222" i="21" s="1"/>
  <c r="Z222" i="21" s="1"/>
  <c r="AD222" i="21"/>
  <c r="AE222" i="21" s="1"/>
  <c r="AF222" i="21" s="1"/>
  <c r="AJ222" i="21"/>
  <c r="AK222" i="21" s="1"/>
  <c r="AL222" i="21" s="1"/>
  <c r="Y223" i="21"/>
  <c r="Z223" i="21" s="1"/>
  <c r="AK223" i="21"/>
  <c r="AL223" i="21" s="1"/>
  <c r="AZ223" i="21"/>
  <c r="AH225" i="21"/>
  <c r="AI225" i="21" s="1"/>
  <c r="AT225" i="21"/>
  <c r="AU225" i="21" s="1"/>
  <c r="AE227" i="21"/>
  <c r="AF227" i="21" s="1"/>
  <c r="AQ227" i="21"/>
  <c r="AR227" i="21" s="1"/>
  <c r="O228" i="21"/>
  <c r="P228" i="21" s="1"/>
  <c r="AB229" i="21"/>
  <c r="AC229" i="21" s="1"/>
  <c r="AN229" i="21"/>
  <c r="AO229" i="21" s="1"/>
  <c r="AQ232" i="21"/>
  <c r="AR232" i="21" s="1"/>
  <c r="AQ231" i="21"/>
  <c r="AR231" i="21" s="1"/>
  <c r="AN231" i="21"/>
  <c r="AO231" i="21" s="1"/>
  <c r="AT232" i="21"/>
  <c r="AU232" i="21" s="1"/>
  <c r="L244" i="21"/>
  <c r="M244" i="21" s="1"/>
  <c r="L243" i="21"/>
  <c r="M243" i="21" s="1"/>
  <c r="L242" i="21"/>
  <c r="M242" i="21" s="1"/>
  <c r="L247" i="21"/>
  <c r="M247" i="21" s="1"/>
  <c r="W246" i="21"/>
  <c r="W245" i="21"/>
  <c r="W244" i="21"/>
  <c r="W243" i="21"/>
  <c r="W242" i="21"/>
  <c r="W247" i="21"/>
  <c r="AZ216" i="21"/>
  <c r="W217" i="21"/>
  <c r="R219" i="21"/>
  <c r="S219" i="21" s="1"/>
  <c r="AE220" i="21"/>
  <c r="AF220" i="21" s="1"/>
  <c r="AQ220" i="21"/>
  <c r="AR220" i="21" s="1"/>
  <c r="O221" i="21"/>
  <c r="P221" i="21" s="1"/>
  <c r="N222" i="21"/>
  <c r="O222" i="21" s="1"/>
  <c r="P222" i="21" s="1"/>
  <c r="Y224" i="21"/>
  <c r="Z224" i="21" s="1"/>
  <c r="AK224" i="21"/>
  <c r="AL224" i="21" s="1"/>
  <c r="AH226" i="21"/>
  <c r="AI226" i="21" s="1"/>
  <c r="AT226" i="21"/>
  <c r="AU226" i="21" s="1"/>
  <c r="AE228" i="21"/>
  <c r="AF228" i="21" s="1"/>
  <c r="AQ228" i="21"/>
  <c r="AR228" i="21" s="1"/>
  <c r="O229" i="21"/>
  <c r="P229" i="21" s="1"/>
  <c r="N230" i="21"/>
  <c r="O230" i="21" s="1"/>
  <c r="P230" i="21" s="1"/>
  <c r="AH230" i="21"/>
  <c r="AI230" i="21" s="1"/>
  <c r="AP230" i="21"/>
  <c r="AQ230" i="21" s="1"/>
  <c r="AR230" i="21" s="1"/>
  <c r="R240" i="21"/>
  <c r="S240" i="21" s="1"/>
  <c r="R239" i="21"/>
  <c r="S239" i="21" s="1"/>
  <c r="R238" i="21"/>
  <c r="S238" i="21" s="1"/>
  <c r="R237" i="21"/>
  <c r="S237" i="21" s="1"/>
  <c r="R236" i="21"/>
  <c r="S236" i="21" s="1"/>
  <c r="R235" i="21"/>
  <c r="S235" i="21" s="1"/>
  <c r="BD235" i="21"/>
  <c r="BB236" i="21"/>
  <c r="AZ236" i="21"/>
  <c r="W240" i="21"/>
  <c r="K241" i="21"/>
  <c r="L241" i="21" s="1"/>
  <c r="M241" i="21" s="1"/>
  <c r="V241" i="21"/>
  <c r="W241" i="21" s="1"/>
  <c r="X216" i="21"/>
  <c r="AD216" i="21"/>
  <c r="AJ216" i="21"/>
  <c r="Y217" i="21"/>
  <c r="Z217" i="21" s="1"/>
  <c r="AK217" i="21"/>
  <c r="AL217" i="21" s="1"/>
  <c r="W218" i="21"/>
  <c r="R220" i="21"/>
  <c r="S220" i="21" s="1"/>
  <c r="AB223" i="21"/>
  <c r="AC223" i="21" s="1"/>
  <c r="AN223" i="21"/>
  <c r="AO223" i="21" s="1"/>
  <c r="Y225" i="21"/>
  <c r="Z225" i="21" s="1"/>
  <c r="AK225" i="21"/>
  <c r="AL225" i="21" s="1"/>
  <c r="AH227" i="21"/>
  <c r="AI227" i="21" s="1"/>
  <c r="AT227" i="21"/>
  <c r="AU227" i="21" s="1"/>
  <c r="Y231" i="21"/>
  <c r="Z231" i="21" s="1"/>
  <c r="AT231" i="21"/>
  <c r="AU231" i="21" s="1"/>
  <c r="AB232" i="21"/>
  <c r="AC232" i="21" s="1"/>
  <c r="BB232" i="21"/>
  <c r="Q233" i="21"/>
  <c r="R233" i="21" s="1"/>
  <c r="S233" i="21" s="1"/>
  <c r="AZ240" i="21"/>
  <c r="BD243" i="21"/>
  <c r="AK232" i="21"/>
  <c r="AL232" i="21" s="1"/>
  <c r="AT230" i="21"/>
  <c r="AU230" i="21" s="1"/>
  <c r="BB233" i="21"/>
  <c r="W239" i="21"/>
  <c r="R247" i="21"/>
  <c r="S247" i="21" s="1"/>
  <c r="R246" i="21"/>
  <c r="S246" i="21" s="1"/>
  <c r="R245" i="21"/>
  <c r="S245" i="21" s="1"/>
  <c r="R244" i="21"/>
  <c r="S244" i="21" s="1"/>
  <c r="R243" i="21"/>
  <c r="S243" i="21" s="1"/>
  <c r="BB244" i="21"/>
  <c r="AZ244" i="21"/>
  <c r="AZ248" i="21"/>
  <c r="Y261" i="21"/>
  <c r="Z261" i="21" s="1"/>
  <c r="X260" i="21"/>
  <c r="Y260" i="21" s="1"/>
  <c r="Z260" i="21" s="1"/>
  <c r="AQ261" i="21"/>
  <c r="AR261" i="21" s="1"/>
  <c r="AP260" i="21"/>
  <c r="AQ260" i="21" s="1"/>
  <c r="AR260" i="21" s="1"/>
  <c r="AZ269" i="21"/>
  <c r="AH234" i="21"/>
  <c r="AI234" i="21" s="1"/>
  <c r="AT234" i="21"/>
  <c r="AU234" i="21" s="1"/>
  <c r="AE236" i="21"/>
  <c r="AF236" i="21" s="1"/>
  <c r="AQ236" i="21"/>
  <c r="AR236" i="21" s="1"/>
  <c r="O237" i="21"/>
  <c r="P237" i="21" s="1"/>
  <c r="AB238" i="21"/>
  <c r="AC238" i="21" s="1"/>
  <c r="AN238" i="21"/>
  <c r="AO238" i="21" s="1"/>
  <c r="Y240" i="21"/>
  <c r="Z240" i="21" s="1"/>
  <c r="AK240" i="21"/>
  <c r="AL240" i="21" s="1"/>
  <c r="AH242" i="21"/>
  <c r="AI242" i="21" s="1"/>
  <c r="AT242" i="21"/>
  <c r="AU242" i="21" s="1"/>
  <c r="AE244" i="21"/>
  <c r="AF244" i="21" s="1"/>
  <c r="AQ244" i="21"/>
  <c r="AR244" i="21" s="1"/>
  <c r="O245" i="21"/>
  <c r="P245" i="21" s="1"/>
  <c r="AB246" i="21"/>
  <c r="AC246" i="21" s="1"/>
  <c r="AN246" i="21"/>
  <c r="AO246" i="21" s="1"/>
  <c r="Y251" i="21"/>
  <c r="Z251" i="21" s="1"/>
  <c r="Y250" i="21"/>
  <c r="Z250" i="21" s="1"/>
  <c r="Y255" i="21"/>
  <c r="Z255" i="21" s="1"/>
  <c r="Y254" i="21"/>
  <c r="Z254" i="21" s="1"/>
  <c r="AE255" i="21"/>
  <c r="AF255" i="21" s="1"/>
  <c r="AE254" i="21"/>
  <c r="AF254" i="21" s="1"/>
  <c r="AE253" i="21"/>
  <c r="AF253" i="21" s="1"/>
  <c r="AE252" i="21"/>
  <c r="AF252" i="21" s="1"/>
  <c r="AE251" i="21"/>
  <c r="AF251" i="21" s="1"/>
  <c r="AE250" i="21"/>
  <c r="AF250" i="21" s="1"/>
  <c r="AK251" i="21"/>
  <c r="AL251" i="21" s="1"/>
  <c r="AK250" i="21"/>
  <c r="AL250" i="21" s="1"/>
  <c r="AK255" i="21"/>
  <c r="AL255" i="21" s="1"/>
  <c r="AK254" i="21"/>
  <c r="AL254" i="21" s="1"/>
  <c r="AQ255" i="21"/>
  <c r="AR255" i="21" s="1"/>
  <c r="AQ254" i="21"/>
  <c r="AR254" i="21" s="1"/>
  <c r="AQ253" i="21"/>
  <c r="AR253" i="21" s="1"/>
  <c r="AQ252" i="21"/>
  <c r="AR252" i="21" s="1"/>
  <c r="AQ251" i="21"/>
  <c r="AR251" i="21" s="1"/>
  <c r="AQ250" i="21"/>
  <c r="AR250" i="21" s="1"/>
  <c r="AQ249" i="21"/>
  <c r="AR249" i="21" s="1"/>
  <c r="Y252" i="21"/>
  <c r="Z252" i="21" s="1"/>
  <c r="AK253" i="21"/>
  <c r="AL253" i="21" s="1"/>
  <c r="AH255" i="21"/>
  <c r="AI255" i="21" s="1"/>
  <c r="R257" i="21"/>
  <c r="S257" i="21" s="1"/>
  <c r="Q256" i="21"/>
  <c r="R256" i="21" s="1"/>
  <c r="S256" i="21" s="1"/>
  <c r="AE256" i="21"/>
  <c r="AF256" i="21" s="1"/>
  <c r="AE261" i="21"/>
  <c r="AF261" i="21" s="1"/>
  <c r="AD260" i="21"/>
  <c r="AE260" i="21" s="1"/>
  <c r="AF260" i="21" s="1"/>
  <c r="L262" i="21"/>
  <c r="M262" i="21" s="1"/>
  <c r="AH264" i="21"/>
  <c r="AI264" i="21" s="1"/>
  <c r="L267" i="21"/>
  <c r="M267" i="21" s="1"/>
  <c r="K266" i="21"/>
  <c r="L266" i="21" s="1"/>
  <c r="M266" i="21" s="1"/>
  <c r="AZ233" i="21"/>
  <c r="AH235" i="21"/>
  <c r="AI235" i="21" s="1"/>
  <c r="AT235" i="21"/>
  <c r="AU235" i="21" s="1"/>
  <c r="AE237" i="21"/>
  <c r="AF237" i="21" s="1"/>
  <c r="AQ237" i="21"/>
  <c r="AR237" i="21" s="1"/>
  <c r="O238" i="21"/>
  <c r="P238" i="21" s="1"/>
  <c r="AB239" i="21"/>
  <c r="AC239" i="21" s="1"/>
  <c r="AN239" i="21"/>
  <c r="AO239" i="21" s="1"/>
  <c r="AZ241" i="21"/>
  <c r="AH243" i="21"/>
  <c r="AI243" i="21" s="1"/>
  <c r="AT243" i="21"/>
  <c r="AU243" i="21" s="1"/>
  <c r="AE245" i="21"/>
  <c r="AF245" i="21" s="1"/>
  <c r="AQ245" i="21"/>
  <c r="AR245" i="21" s="1"/>
  <c r="O246" i="21"/>
  <c r="P246" i="21" s="1"/>
  <c r="AB247" i="21"/>
  <c r="AC247" i="21" s="1"/>
  <c r="AN247" i="21"/>
  <c r="AO247" i="21" s="1"/>
  <c r="O255" i="21"/>
  <c r="P255" i="21" s="1"/>
  <c r="O254" i="21"/>
  <c r="P254" i="21" s="1"/>
  <c r="O253" i="21"/>
  <c r="P253" i="21" s="1"/>
  <c r="O252" i="21"/>
  <c r="P252" i="21" s="1"/>
  <c r="O251" i="21"/>
  <c r="P251" i="21" s="1"/>
  <c r="X248" i="21"/>
  <c r="AD248" i="21"/>
  <c r="AE248" i="21" s="1"/>
  <c r="AF248" i="21" s="1"/>
  <c r="AJ248" i="21"/>
  <c r="AK248" i="21" s="1"/>
  <c r="AL248" i="21" s="1"/>
  <c r="O250" i="21"/>
  <c r="P250" i="21" s="1"/>
  <c r="BB258" i="21"/>
  <c r="AZ258" i="21"/>
  <c r="AT259" i="21"/>
  <c r="AU259" i="21" s="1"/>
  <c r="AH259" i="21"/>
  <c r="AI259" i="21" s="1"/>
  <c r="R259" i="21"/>
  <c r="S259" i="21" s="1"/>
  <c r="J258" i="21"/>
  <c r="AE258" i="21" s="1"/>
  <c r="AF258" i="21" s="1"/>
  <c r="AN259" i="21"/>
  <c r="AO259" i="21" s="1"/>
  <c r="AB259" i="21"/>
  <c r="AC259" i="21" s="1"/>
  <c r="X233" i="21"/>
  <c r="Y233" i="21" s="1"/>
  <c r="Z233" i="21" s="1"/>
  <c r="AD233" i="21"/>
  <c r="AE233" i="21" s="1"/>
  <c r="AF233" i="21" s="1"/>
  <c r="AJ233" i="21"/>
  <c r="AK233" i="21" s="1"/>
  <c r="AL233" i="21" s="1"/>
  <c r="AP233" i="21"/>
  <c r="AQ233" i="21" s="1"/>
  <c r="AR233" i="21" s="1"/>
  <c r="Y234" i="21"/>
  <c r="Z234" i="21" s="1"/>
  <c r="AK234" i="21"/>
  <c r="AL234" i="21" s="1"/>
  <c r="AH236" i="21"/>
  <c r="AI236" i="21" s="1"/>
  <c r="AT236" i="21"/>
  <c r="AU236" i="21" s="1"/>
  <c r="AE238" i="21"/>
  <c r="AF238" i="21" s="1"/>
  <c r="AQ238" i="21"/>
  <c r="AR238" i="21" s="1"/>
  <c r="O239" i="21"/>
  <c r="P239" i="21" s="1"/>
  <c r="AB240" i="21"/>
  <c r="AC240" i="21" s="1"/>
  <c r="AN240" i="21"/>
  <c r="AO240" i="21" s="1"/>
  <c r="X241" i="21"/>
  <c r="Y241" i="21" s="1"/>
  <c r="Z241" i="21" s="1"/>
  <c r="AD241" i="21"/>
  <c r="AJ241" i="21"/>
  <c r="AK241" i="21" s="1"/>
  <c r="AL241" i="21" s="1"/>
  <c r="AP241" i="21"/>
  <c r="AQ241" i="21" s="1"/>
  <c r="AR241" i="21" s="1"/>
  <c r="Y242" i="21"/>
  <c r="Z242" i="21" s="1"/>
  <c r="AK242" i="21"/>
  <c r="AL242" i="21" s="1"/>
  <c r="AZ242" i="21"/>
  <c r="AH244" i="21"/>
  <c r="AI244" i="21" s="1"/>
  <c r="AT244" i="21"/>
  <c r="AU244" i="21" s="1"/>
  <c r="AE246" i="21"/>
  <c r="AF246" i="21" s="1"/>
  <c r="AQ246" i="21"/>
  <c r="AR246" i="21" s="1"/>
  <c r="O247" i="21"/>
  <c r="P247" i="21" s="1"/>
  <c r="N248" i="21"/>
  <c r="Y249" i="21"/>
  <c r="Z249" i="21" s="1"/>
  <c r="BB250" i="21"/>
  <c r="AZ250" i="21"/>
  <c r="AK252" i="21"/>
  <c r="AL252" i="21" s="1"/>
  <c r="AG256" i="21"/>
  <c r="AH256" i="21" s="1"/>
  <c r="AI256" i="21" s="1"/>
  <c r="AN262" i="21"/>
  <c r="AO262" i="21" s="1"/>
  <c r="N233" i="21"/>
  <c r="O233" i="21" s="1"/>
  <c r="P233" i="21" s="1"/>
  <c r="Y235" i="21"/>
  <c r="Z235" i="21" s="1"/>
  <c r="AK235" i="21"/>
  <c r="AL235" i="21" s="1"/>
  <c r="AZ235" i="21"/>
  <c r="AH237" i="21"/>
  <c r="AI237" i="21" s="1"/>
  <c r="AT237" i="21"/>
  <c r="AU237" i="21" s="1"/>
  <c r="AE239" i="21"/>
  <c r="AF239" i="21" s="1"/>
  <c r="AQ239" i="21"/>
  <c r="AR239" i="21" s="1"/>
  <c r="O240" i="21"/>
  <c r="P240" i="21" s="1"/>
  <c r="N241" i="21"/>
  <c r="O241" i="21" s="1"/>
  <c r="P241" i="21" s="1"/>
  <c r="Y243" i="21"/>
  <c r="Z243" i="21" s="1"/>
  <c r="AK243" i="21"/>
  <c r="AL243" i="21" s="1"/>
  <c r="AH245" i="21"/>
  <c r="AI245" i="21" s="1"/>
  <c r="AT245" i="21"/>
  <c r="AU245" i="21" s="1"/>
  <c r="AB250" i="21"/>
  <c r="AC250" i="21" s="1"/>
  <c r="BB254" i="21"/>
  <c r="AK261" i="21"/>
  <c r="AL261" i="21" s="1"/>
  <c r="AJ260" i="21"/>
  <c r="AK260" i="21" s="1"/>
  <c r="AL260" i="21" s="1"/>
  <c r="W265" i="21"/>
  <c r="V264" i="21"/>
  <c r="W264" i="21" s="1"/>
  <c r="AB234" i="21"/>
  <c r="AC234" i="21" s="1"/>
  <c r="AN234" i="21"/>
  <c r="AO234" i="21" s="1"/>
  <c r="Y236" i="21"/>
  <c r="Z236" i="21" s="1"/>
  <c r="AK236" i="21"/>
  <c r="AL236" i="21" s="1"/>
  <c r="AH238" i="21"/>
  <c r="AI238" i="21" s="1"/>
  <c r="AT238" i="21"/>
  <c r="AU238" i="21" s="1"/>
  <c r="AB242" i="21"/>
  <c r="AC242" i="21" s="1"/>
  <c r="AN242" i="21"/>
  <c r="AO242" i="21" s="1"/>
  <c r="BB243" i="21"/>
  <c r="Y244" i="21"/>
  <c r="Z244" i="21" s="1"/>
  <c r="AK244" i="21"/>
  <c r="AL244" i="21" s="1"/>
  <c r="AH246" i="21"/>
  <c r="AI246" i="21" s="1"/>
  <c r="AT246" i="21"/>
  <c r="AU246" i="21" s="1"/>
  <c r="AB249" i="21"/>
  <c r="AC249" i="21" s="1"/>
  <c r="AB255" i="21"/>
  <c r="AC255" i="21" s="1"/>
  <c r="AB254" i="21"/>
  <c r="AC254" i="21" s="1"/>
  <c r="AB253" i="21"/>
  <c r="AC253" i="21" s="1"/>
  <c r="AB252" i="21"/>
  <c r="AC252" i="21" s="1"/>
  <c r="AH253" i="21"/>
  <c r="AI253" i="21" s="1"/>
  <c r="AH252" i="21"/>
  <c r="AI252" i="21" s="1"/>
  <c r="AH251" i="21"/>
  <c r="AI251" i="21" s="1"/>
  <c r="AH250" i="21"/>
  <c r="AI250" i="21" s="1"/>
  <c r="AH249" i="21"/>
  <c r="AI249" i="21" s="1"/>
  <c r="AN249" i="21"/>
  <c r="AO249" i="21" s="1"/>
  <c r="AN255" i="21"/>
  <c r="AO255" i="21" s="1"/>
  <c r="AN254" i="21"/>
  <c r="AO254" i="21" s="1"/>
  <c r="AN253" i="21"/>
  <c r="AO253" i="21" s="1"/>
  <c r="AN252" i="21"/>
  <c r="AO252" i="21" s="1"/>
  <c r="AT253" i="21"/>
  <c r="AU253" i="21" s="1"/>
  <c r="AT252" i="21"/>
  <c r="AU252" i="21" s="1"/>
  <c r="AT251" i="21"/>
  <c r="AU251" i="21" s="1"/>
  <c r="AT250" i="21"/>
  <c r="AU250" i="21" s="1"/>
  <c r="AT249" i="21"/>
  <c r="AU249" i="21" s="1"/>
  <c r="BD249" i="21"/>
  <c r="AE249" i="21"/>
  <c r="AF249" i="21" s="1"/>
  <c r="W257" i="21"/>
  <c r="V256" i="21"/>
  <c r="W256" i="21" s="1"/>
  <c r="O259" i="21"/>
  <c r="P259" i="21" s="1"/>
  <c r="R262" i="21"/>
  <c r="S262" i="21" s="1"/>
  <c r="AH265" i="21"/>
  <c r="AI265" i="21" s="1"/>
  <c r="L255" i="21"/>
  <c r="M255" i="21" s="1"/>
  <c r="L254" i="21"/>
  <c r="M254" i="21" s="1"/>
  <c r="L253" i="21"/>
  <c r="M253" i="21" s="1"/>
  <c r="R254" i="21"/>
  <c r="S254" i="21" s="1"/>
  <c r="R253" i="21"/>
  <c r="S253" i="21" s="1"/>
  <c r="R252" i="21"/>
  <c r="S252" i="21" s="1"/>
  <c r="R251" i="21"/>
  <c r="S251" i="21" s="1"/>
  <c r="R250" i="21"/>
  <c r="S250" i="21" s="1"/>
  <c r="R249" i="21"/>
  <c r="S249" i="21" s="1"/>
  <c r="W252" i="21"/>
  <c r="W251" i="21"/>
  <c r="W255" i="21"/>
  <c r="AA248" i="21"/>
  <c r="AB248" i="21" s="1"/>
  <c r="AC248" i="21" s="1"/>
  <c r="AG248" i="21"/>
  <c r="AH248" i="21" s="1"/>
  <c r="AI248" i="21" s="1"/>
  <c r="AM248" i="21"/>
  <c r="AN248" i="21" s="1"/>
  <c r="AO248" i="21" s="1"/>
  <c r="AS248" i="21"/>
  <c r="AT248" i="21" s="1"/>
  <c r="AU248" i="21" s="1"/>
  <c r="AN251" i="21"/>
  <c r="AO251" i="21" s="1"/>
  <c r="W253" i="21"/>
  <c r="AT254" i="21"/>
  <c r="AU254" i="21" s="1"/>
  <c r="R255" i="21"/>
  <c r="S255" i="21" s="1"/>
  <c r="L257" i="21"/>
  <c r="M257" i="21" s="1"/>
  <c r="K256" i="21"/>
  <c r="L256" i="21" s="1"/>
  <c r="M256" i="21" s="1"/>
  <c r="AM256" i="21"/>
  <c r="AN256" i="21" s="1"/>
  <c r="AO256" i="21" s="1"/>
  <c r="O264" i="21"/>
  <c r="P264" i="21" s="1"/>
  <c r="AT265" i="21"/>
  <c r="AU265" i="21" s="1"/>
  <c r="AS264" i="21"/>
  <c r="AT264" i="21" s="1"/>
  <c r="AU264" i="21" s="1"/>
  <c r="AB276" i="21"/>
  <c r="AC276" i="21" s="1"/>
  <c r="AA273" i="21"/>
  <c r="AB274" i="21"/>
  <c r="AC274" i="21" s="1"/>
  <c r="AB275" i="21"/>
  <c r="AC275" i="21" s="1"/>
  <c r="AA268" i="21"/>
  <c r="AB269" i="21"/>
  <c r="AC269" i="21" s="1"/>
  <c r="AM268" i="21"/>
  <c r="AN269" i="21"/>
  <c r="AO269" i="21" s="1"/>
  <c r="AZ270" i="21"/>
  <c r="BB270" i="21"/>
  <c r="AS273" i="21"/>
  <c r="AT276" i="21"/>
  <c r="AU276" i="21" s="1"/>
  <c r="AT275" i="21"/>
  <c r="AU275" i="21" s="1"/>
  <c r="AZ254" i="21"/>
  <c r="N260" i="21"/>
  <c r="O260" i="21" s="1"/>
  <c r="P260" i="21" s="1"/>
  <c r="L261" i="21"/>
  <c r="M261" i="21" s="1"/>
  <c r="AZ262" i="21"/>
  <c r="K264" i="21"/>
  <c r="L264" i="21" s="1"/>
  <c r="M264" i="21" s="1"/>
  <c r="Q264" i="21"/>
  <c r="R264" i="21" s="1"/>
  <c r="S264" i="21" s="1"/>
  <c r="O265" i="21"/>
  <c r="P265" i="21" s="1"/>
  <c r="J268" i="21"/>
  <c r="AE270" i="21"/>
  <c r="AF270" i="21" s="1"/>
  <c r="AE269" i="21"/>
  <c r="AF269" i="21" s="1"/>
  <c r="AQ270" i="21"/>
  <c r="AR270" i="21" s="1"/>
  <c r="AQ269" i="21"/>
  <c r="AR269" i="21" s="1"/>
  <c r="AB270" i="21"/>
  <c r="AC270" i="21" s="1"/>
  <c r="V271" i="21"/>
  <c r="W271" i="21" s="1"/>
  <c r="AK281" i="21"/>
  <c r="AL281" i="21" s="1"/>
  <c r="AJ280" i="21"/>
  <c r="AK280" i="21" s="1"/>
  <c r="AL280" i="21" s="1"/>
  <c r="AZ255" i="21"/>
  <c r="AE259" i="21"/>
  <c r="AF259" i="21" s="1"/>
  <c r="AQ259" i="21"/>
  <c r="AR259" i="21" s="1"/>
  <c r="AB261" i="21"/>
  <c r="AC261" i="21" s="1"/>
  <c r="X262" i="21"/>
  <c r="Y262" i="21" s="1"/>
  <c r="Z262" i="21" s="1"/>
  <c r="AD262" i="21"/>
  <c r="AE262" i="21" s="1"/>
  <c r="AF262" i="21" s="1"/>
  <c r="AJ262" i="21"/>
  <c r="AK262" i="21" s="1"/>
  <c r="AL262" i="21" s="1"/>
  <c r="AP262" i="21"/>
  <c r="AQ262" i="21" s="1"/>
  <c r="AR262" i="21" s="1"/>
  <c r="AZ263" i="21"/>
  <c r="Y265" i="21"/>
  <c r="Z265" i="21" s="1"/>
  <c r="X264" i="21"/>
  <c r="Y264" i="21" s="1"/>
  <c r="Z264" i="21" s="1"/>
  <c r="AK265" i="21"/>
  <c r="AL265" i="21" s="1"/>
  <c r="AJ264" i="21"/>
  <c r="AK264" i="21" s="1"/>
  <c r="AL264" i="21" s="1"/>
  <c r="V266" i="21"/>
  <c r="W266" i="21" s="1"/>
  <c r="L269" i="21"/>
  <c r="M269" i="21" s="1"/>
  <c r="AD268" i="21"/>
  <c r="AE268" i="21" s="1"/>
  <c r="AF268" i="21" s="1"/>
  <c r="AP268" i="21"/>
  <c r="AG273" i="21"/>
  <c r="AH276" i="21"/>
  <c r="AI276" i="21" s="1"/>
  <c r="AH275" i="21"/>
  <c r="AI275" i="21" s="1"/>
  <c r="AZ278" i="21"/>
  <c r="BB278" i="21"/>
  <c r="AZ256" i="21"/>
  <c r="L263" i="21"/>
  <c r="M263" i="21" s="1"/>
  <c r="BB265" i="21"/>
  <c r="O272" i="21"/>
  <c r="P272" i="21" s="1"/>
  <c r="N271" i="21"/>
  <c r="AH274" i="21"/>
  <c r="AI274" i="21" s="1"/>
  <c r="AT279" i="21"/>
  <c r="AU279" i="21" s="1"/>
  <c r="AH279" i="21"/>
  <c r="AI279" i="21" s="1"/>
  <c r="R279" i="21"/>
  <c r="S279" i="21" s="1"/>
  <c r="AT278" i="21"/>
  <c r="AU278" i="21" s="1"/>
  <c r="AH278" i="21"/>
  <c r="AI278" i="21" s="1"/>
  <c r="J277" i="21"/>
  <c r="O277" i="21" s="1"/>
  <c r="P277" i="21" s="1"/>
  <c r="L278" i="21"/>
  <c r="M278" i="21" s="1"/>
  <c r="AK278" i="21"/>
  <c r="AL278" i="21" s="1"/>
  <c r="AN278" i="21"/>
  <c r="AO278" i="21" s="1"/>
  <c r="K282" i="21"/>
  <c r="L282" i="21" s="1"/>
  <c r="M282" i="21" s="1"/>
  <c r="L283" i="21"/>
  <c r="M283" i="21" s="1"/>
  <c r="X256" i="21"/>
  <c r="Y256" i="21" s="1"/>
  <c r="Z256" i="21" s="1"/>
  <c r="AJ256" i="21"/>
  <c r="AK256" i="21" s="1"/>
  <c r="AL256" i="21" s="1"/>
  <c r="AB263" i="21"/>
  <c r="AC263" i="21" s="1"/>
  <c r="AN263" i="21"/>
  <c r="AO263" i="21" s="1"/>
  <c r="AN264" i="21"/>
  <c r="AO264" i="21" s="1"/>
  <c r="N268" i="21"/>
  <c r="O270" i="21"/>
  <c r="P270" i="21" s="1"/>
  <c r="AH269" i="21"/>
  <c r="AI269" i="21" s="1"/>
  <c r="AG268" i="21"/>
  <c r="AH268" i="21" s="1"/>
  <c r="AI268" i="21" s="1"/>
  <c r="AT269" i="21"/>
  <c r="AU269" i="21" s="1"/>
  <c r="AS268" i="21"/>
  <c r="AN270" i="21"/>
  <c r="AO270" i="21" s="1"/>
  <c r="BD271" i="21"/>
  <c r="AZ271" i="21"/>
  <c r="L279" i="21"/>
  <c r="M279" i="21" s="1"/>
  <c r="Y281" i="21"/>
  <c r="Z281" i="21" s="1"/>
  <c r="X280" i="21"/>
  <c r="Y280" i="21" s="1"/>
  <c r="Z280" i="21" s="1"/>
  <c r="Q260" i="21"/>
  <c r="R260" i="21" s="1"/>
  <c r="S260" i="21" s="1"/>
  <c r="BB264" i="21"/>
  <c r="BB266" i="21"/>
  <c r="AZ266" i="21"/>
  <c r="Q266" i="21"/>
  <c r="R266" i="21" s="1"/>
  <c r="S266" i="21" s="1"/>
  <c r="Y270" i="21"/>
  <c r="Z270" i="21" s="1"/>
  <c r="AK270" i="21"/>
  <c r="AL270" i="21" s="1"/>
  <c r="AT270" i="21"/>
  <c r="AU270" i="21" s="1"/>
  <c r="AN276" i="21"/>
  <c r="AO276" i="21" s="1"/>
  <c r="AM273" i="21"/>
  <c r="AN274" i="21"/>
  <c r="AO274" i="21" s="1"/>
  <c r="AT274" i="21"/>
  <c r="AU274" i="21" s="1"/>
  <c r="O279" i="21"/>
  <c r="P279" i="21" s="1"/>
  <c r="Y278" i="21"/>
  <c r="Z278" i="21" s="1"/>
  <c r="X258" i="21"/>
  <c r="AJ258" i="21"/>
  <c r="AE264" i="21"/>
  <c r="AF264" i="21" s="1"/>
  <c r="AQ264" i="21"/>
  <c r="AR264" i="21" s="1"/>
  <c r="AE265" i="21"/>
  <c r="AF265" i="21" s="1"/>
  <c r="BB267" i="21"/>
  <c r="X268" i="21"/>
  <c r="AJ268" i="21"/>
  <c r="BB271" i="21"/>
  <c r="BD274" i="21"/>
  <c r="BB275" i="21"/>
  <c r="AZ275" i="21"/>
  <c r="AE281" i="21"/>
  <c r="AF281" i="21" s="1"/>
  <c r="AD280" i="21"/>
  <c r="AE280" i="21" s="1"/>
  <c r="AF280" i="21" s="1"/>
  <c r="R274" i="21"/>
  <c r="S274" i="21" s="1"/>
  <c r="AE275" i="21"/>
  <c r="AF275" i="21" s="1"/>
  <c r="AQ275" i="21"/>
  <c r="AR275" i="21" s="1"/>
  <c r="O276" i="21"/>
  <c r="P276" i="21" s="1"/>
  <c r="Y279" i="21"/>
  <c r="Z279" i="21" s="1"/>
  <c r="AK279" i="21"/>
  <c r="AL279" i="21" s="1"/>
  <c r="AZ279" i="21"/>
  <c r="AH292" i="21"/>
  <c r="AI292" i="21" s="1"/>
  <c r="AH291" i="21"/>
  <c r="AI291" i="21" s="1"/>
  <c r="AH293" i="21"/>
  <c r="AI293" i="21" s="1"/>
  <c r="AG290" i="21"/>
  <c r="AH290" i="21" s="1"/>
  <c r="AI290" i="21" s="1"/>
  <c r="BD292" i="21"/>
  <c r="AZ265" i="21"/>
  <c r="BB272" i="21"/>
  <c r="AZ273" i="21"/>
  <c r="W274" i="21"/>
  <c r="O278" i="21"/>
  <c r="P278" i="21" s="1"/>
  <c r="AB279" i="21"/>
  <c r="AC279" i="21" s="1"/>
  <c r="AN279" i="21"/>
  <c r="AO279" i="21" s="1"/>
  <c r="L281" i="21"/>
  <c r="M281" i="21" s="1"/>
  <c r="AH283" i="21"/>
  <c r="AI283" i="21" s="1"/>
  <c r="AG282" i="21"/>
  <c r="AH282" i="21" s="1"/>
  <c r="AI282" i="21" s="1"/>
  <c r="AT283" i="21"/>
  <c r="AU283" i="21" s="1"/>
  <c r="AS282" i="21"/>
  <c r="AT282" i="21" s="1"/>
  <c r="AU282" i="21" s="1"/>
  <c r="K268" i="21"/>
  <c r="Q268" i="21"/>
  <c r="R269" i="21"/>
  <c r="S269" i="21" s="1"/>
  <c r="X273" i="21"/>
  <c r="AD273" i="21"/>
  <c r="AJ273" i="21"/>
  <c r="AP273" i="21"/>
  <c r="Y274" i="21"/>
  <c r="Z274" i="21" s="1"/>
  <c r="AK274" i="21"/>
  <c r="AL274" i="21" s="1"/>
  <c r="AZ274" i="21"/>
  <c r="W275" i="21"/>
  <c r="AE278" i="21"/>
  <c r="AF278" i="21" s="1"/>
  <c r="AQ278" i="21"/>
  <c r="AR278" i="21" s="1"/>
  <c r="N280" i="21"/>
  <c r="O280" i="21" s="1"/>
  <c r="P280" i="21" s="1"/>
  <c r="BB282" i="21"/>
  <c r="AN292" i="21"/>
  <c r="AO292" i="21" s="1"/>
  <c r="AM290" i="21"/>
  <c r="AN291" i="21"/>
  <c r="AO291" i="21" s="1"/>
  <c r="AN293" i="21"/>
  <c r="AO293" i="21" s="1"/>
  <c r="X266" i="21"/>
  <c r="Y266" i="21" s="1"/>
  <c r="Z266" i="21" s="1"/>
  <c r="AJ266" i="21"/>
  <c r="AK266" i="21" s="1"/>
  <c r="AL266" i="21" s="1"/>
  <c r="J271" i="21"/>
  <c r="N273" i="21"/>
  <c r="Q277" i="21"/>
  <c r="AE279" i="21"/>
  <c r="AF279" i="21" s="1"/>
  <c r="AQ279" i="21"/>
  <c r="AR279" i="21" s="1"/>
  <c r="AZ281" i="21"/>
  <c r="BB281" i="21"/>
  <c r="BD288" i="21"/>
  <c r="AZ289" i="21"/>
  <c r="BB289" i="21"/>
  <c r="O293" i="21"/>
  <c r="P293" i="21" s="1"/>
  <c r="O291" i="21"/>
  <c r="P291" i="21" s="1"/>
  <c r="N290" i="21"/>
  <c r="O292" i="21"/>
  <c r="P292" i="21" s="1"/>
  <c r="L275" i="21"/>
  <c r="M275" i="21" s="1"/>
  <c r="Y276" i="21"/>
  <c r="Z276" i="21" s="1"/>
  <c r="AB292" i="21"/>
  <c r="AC292" i="21" s="1"/>
  <c r="AB291" i="21"/>
  <c r="AC291" i="21" s="1"/>
  <c r="AA290" i="21"/>
  <c r="AB293" i="21"/>
  <c r="AC293" i="21" s="1"/>
  <c r="BD291" i="21"/>
  <c r="BB291" i="21"/>
  <c r="AZ291" i="21"/>
  <c r="R281" i="21"/>
  <c r="S281" i="21" s="1"/>
  <c r="AA282" i="21"/>
  <c r="AB282" i="21" s="1"/>
  <c r="AC282" i="21" s="1"/>
  <c r="AB283" i="21"/>
  <c r="AC283" i="21" s="1"/>
  <c r="AM282" i="21"/>
  <c r="AN282" i="21" s="1"/>
  <c r="AO282" i="21" s="1"/>
  <c r="AN283" i="21"/>
  <c r="AO283" i="21" s="1"/>
  <c r="BB284" i="21"/>
  <c r="AZ284" i="21"/>
  <c r="X277" i="21"/>
  <c r="AJ277" i="21"/>
  <c r="V280" i="21"/>
  <c r="W280" i="21" s="1"/>
  <c r="W283" i="21"/>
  <c r="K284" i="21"/>
  <c r="L284" i="21" s="1"/>
  <c r="M284" i="21" s="1"/>
  <c r="Q284" i="21"/>
  <c r="R284" i="21" s="1"/>
  <c r="S284" i="21" s="1"/>
  <c r="R285" i="21"/>
  <c r="S285" i="21" s="1"/>
  <c r="AE286" i="21"/>
  <c r="AF286" i="21" s="1"/>
  <c r="AQ286" i="21"/>
  <c r="AR286" i="21" s="1"/>
  <c r="O287" i="21"/>
  <c r="P287" i="21" s="1"/>
  <c r="AB288" i="21"/>
  <c r="AC288" i="21" s="1"/>
  <c r="AN288" i="21"/>
  <c r="AO288" i="21" s="1"/>
  <c r="L289" i="21"/>
  <c r="M289" i="21" s="1"/>
  <c r="AE292" i="21"/>
  <c r="AF292" i="21" s="1"/>
  <c r="AK291" i="21"/>
  <c r="AL291" i="21" s="1"/>
  <c r="AK292" i="21"/>
  <c r="AL292" i="21" s="1"/>
  <c r="AH286" i="21"/>
  <c r="AI286" i="21" s="1"/>
  <c r="AT286" i="21"/>
  <c r="AU286" i="21" s="1"/>
  <c r="R287" i="21"/>
  <c r="S287" i="21" s="1"/>
  <c r="AE288" i="21"/>
  <c r="AF288" i="21" s="1"/>
  <c r="AQ288" i="21"/>
  <c r="AR288" i="21" s="1"/>
  <c r="O289" i="21"/>
  <c r="P289" i="21" s="1"/>
  <c r="Y293" i="21"/>
  <c r="Z293" i="21" s="1"/>
  <c r="AT293" i="21"/>
  <c r="AU293" i="21" s="1"/>
  <c r="X284" i="21"/>
  <c r="Y284" i="21" s="1"/>
  <c r="Z284" i="21" s="1"/>
  <c r="AD284" i="21"/>
  <c r="AE284" i="21" s="1"/>
  <c r="AF284" i="21" s="1"/>
  <c r="AJ284" i="21"/>
  <c r="AK284" i="21" s="1"/>
  <c r="AL284" i="21" s="1"/>
  <c r="AP284" i="21"/>
  <c r="AQ284" i="21" s="1"/>
  <c r="AR284" i="21" s="1"/>
  <c r="Y285" i="21"/>
  <c r="Z285" i="21" s="1"/>
  <c r="AK285" i="21"/>
  <c r="AL285" i="21" s="1"/>
  <c r="W286" i="21"/>
  <c r="AH287" i="21"/>
  <c r="AI287" i="21" s="1"/>
  <c r="AT287" i="21"/>
  <c r="AU287" i="21" s="1"/>
  <c r="AE289" i="21"/>
  <c r="AF289" i="21" s="1"/>
  <c r="AQ289" i="21"/>
  <c r="AR289" i="21" s="1"/>
  <c r="AT292" i="21"/>
  <c r="AU292" i="21" s="1"/>
  <c r="Y291" i="21"/>
  <c r="Z291" i="21" s="1"/>
  <c r="AB285" i="21"/>
  <c r="AC285" i="21" s="1"/>
  <c r="AN285" i="21"/>
  <c r="AO285" i="21" s="1"/>
  <c r="L286" i="21"/>
  <c r="M286" i="21" s="1"/>
  <c r="BB286" i="21"/>
  <c r="Y287" i="21"/>
  <c r="Z287" i="21" s="1"/>
  <c r="AK287" i="21"/>
  <c r="AL287" i="21" s="1"/>
  <c r="W288" i="21"/>
  <c r="AH289" i="21"/>
  <c r="AI289" i="21" s="1"/>
  <c r="AT289" i="21"/>
  <c r="AU289" i="21" s="1"/>
  <c r="R293" i="21"/>
  <c r="S293" i="21" s="1"/>
  <c r="R291" i="21"/>
  <c r="S291" i="21" s="1"/>
  <c r="Q282" i="21"/>
  <c r="R282" i="21" s="1"/>
  <c r="S282" i="21" s="1"/>
  <c r="O285" i="21"/>
  <c r="P285" i="21" s="1"/>
  <c r="AB286" i="21"/>
  <c r="AC286" i="21" s="1"/>
  <c r="AN286" i="21"/>
  <c r="AO286" i="21" s="1"/>
  <c r="L287" i="21"/>
  <c r="M287" i="21" s="1"/>
  <c r="Y288" i="21"/>
  <c r="Z288" i="21" s="1"/>
  <c r="AK288" i="21"/>
  <c r="AL288" i="21" s="1"/>
  <c r="AZ288" i="21"/>
  <c r="K290" i="21"/>
  <c r="Q290" i="21"/>
  <c r="V290" i="21"/>
  <c r="W290" i="21" s="1"/>
  <c r="BB290" i="21"/>
  <c r="AE291" i="21"/>
  <c r="AF291" i="21" s="1"/>
  <c r="AA284" i="21"/>
  <c r="AB284" i="21" s="1"/>
  <c r="AC284" i="21" s="1"/>
  <c r="AM284" i="21"/>
  <c r="AN284" i="21" s="1"/>
  <c r="AO284" i="21" s="1"/>
  <c r="AQ292" i="21"/>
  <c r="AR292" i="21" s="1"/>
  <c r="L291" i="21"/>
  <c r="M291" i="21" s="1"/>
  <c r="L292" i="21"/>
  <c r="M292" i="21" s="1"/>
  <c r="BB293" i="21"/>
  <c r="AE241" i="21" l="1"/>
  <c r="AF241" i="21" s="1"/>
  <c r="AH163" i="21"/>
  <c r="AI163" i="21" s="1"/>
  <c r="AK149" i="21"/>
  <c r="AL149" i="21" s="1"/>
  <c r="L149" i="21"/>
  <c r="M149" i="21" s="1"/>
  <c r="AH149" i="21"/>
  <c r="AI149" i="21" s="1"/>
  <c r="AB163" i="21"/>
  <c r="AC163" i="21" s="1"/>
  <c r="Y149" i="21"/>
  <c r="Z149" i="21" s="1"/>
  <c r="R290" i="21"/>
  <c r="S290" i="21" s="1"/>
  <c r="L290" i="21"/>
  <c r="M290" i="21" s="1"/>
  <c r="R163" i="21"/>
  <c r="S163" i="21" s="1"/>
  <c r="O163" i="21"/>
  <c r="P163" i="21" s="1"/>
  <c r="AC3" i="21"/>
  <c r="P3" i="21"/>
  <c r="S3" i="21"/>
  <c r="W3" i="21"/>
  <c r="V298" i="21"/>
  <c r="V299" i="21" s="1"/>
  <c r="Z3" i="21"/>
  <c r="AL3" i="21"/>
  <c r="AF3" i="21"/>
  <c r="AO3" i="21"/>
  <c r="M3" i="21"/>
  <c r="AU3" i="21"/>
  <c r="AR3" i="21"/>
  <c r="AI3" i="21"/>
  <c r="AQ130" i="21"/>
  <c r="AR130" i="21" s="1"/>
  <c r="L130" i="21"/>
  <c r="M130" i="21" s="1"/>
  <c r="AE130" i="21"/>
  <c r="AF130" i="21" s="1"/>
  <c r="AH130" i="21"/>
  <c r="AI130" i="21" s="1"/>
  <c r="AN290" i="21"/>
  <c r="AO290" i="21" s="1"/>
  <c r="AN130" i="21"/>
  <c r="AO130" i="21" s="1"/>
  <c r="AT130" i="21"/>
  <c r="AU130" i="21" s="1"/>
  <c r="AB241" i="21"/>
  <c r="AC241" i="21" s="1"/>
  <c r="AB290" i="21"/>
  <c r="AC290" i="21" s="1"/>
  <c r="O130" i="21"/>
  <c r="P130" i="21" s="1"/>
  <c r="Y130" i="21"/>
  <c r="Z130" i="21" s="1"/>
  <c r="O290" i="21"/>
  <c r="P290" i="21" s="1"/>
  <c r="AK130" i="21"/>
  <c r="AL130" i="21" s="1"/>
  <c r="R130" i="21"/>
  <c r="S130" i="21" s="1"/>
  <c r="S310" i="21" s="1" a="1"/>
  <c r="S310" i="21" s="1"/>
  <c r="AN273" i="21"/>
  <c r="AO273" i="21" s="1"/>
  <c r="Y273" i="21"/>
  <c r="Z273" i="21" s="1"/>
  <c r="AK290" i="21"/>
  <c r="AL290" i="21" s="1"/>
  <c r="AB207" i="21"/>
  <c r="AC207" i="21" s="1"/>
  <c r="AT258" i="21"/>
  <c r="AU258" i="21" s="1"/>
  <c r="AR9" i="21" a="1"/>
  <c r="AR9" i="21" s="1"/>
  <c r="AN271" i="21"/>
  <c r="AO271" i="21" s="1"/>
  <c r="L268" i="21"/>
  <c r="M268" i="21" s="1"/>
  <c r="AK268" i="21"/>
  <c r="AL268" i="21" s="1"/>
  <c r="AN277" i="21"/>
  <c r="AO277" i="21" s="1"/>
  <c r="AT273" i="21"/>
  <c r="AU273" i="21" s="1"/>
  <c r="Y290" i="21"/>
  <c r="Z290" i="21" s="1"/>
  <c r="Y268" i="21"/>
  <c r="Z268" i="21" s="1"/>
  <c r="R216" i="21"/>
  <c r="S216" i="21" s="1"/>
  <c r="R193" i="21"/>
  <c r="S193" i="21" s="1"/>
  <c r="Y163" i="21"/>
  <c r="Z163" i="21" s="1"/>
  <c r="AT268" i="21"/>
  <c r="AU268" i="21" s="1"/>
  <c r="AK258" i="21"/>
  <c r="AL258" i="21" s="1"/>
  <c r="AQ271" i="21"/>
  <c r="AR271" i="21" s="1"/>
  <c r="AK216" i="21"/>
  <c r="AL216" i="21" s="1"/>
  <c r="Y271" i="21"/>
  <c r="Z271" i="21" s="1"/>
  <c r="AC9" i="21" a="1"/>
  <c r="AC9" i="21" s="1"/>
  <c r="AB271" i="21"/>
  <c r="AC271" i="21" s="1"/>
  <c r="O207" i="21"/>
  <c r="P207" i="21" s="1"/>
  <c r="L207" i="21"/>
  <c r="M207" i="21" s="1"/>
  <c r="AQ207" i="21"/>
  <c r="AR207" i="21" s="1"/>
  <c r="R271" i="21"/>
  <c r="S271" i="21" s="1"/>
  <c r="AT207" i="21"/>
  <c r="AU207" i="21" s="1"/>
  <c r="AF9" i="21" a="1"/>
  <c r="AF9" i="21" s="1"/>
  <c r="AE163" i="21"/>
  <c r="AF163" i="21" s="1"/>
  <c r="S9" i="21" a="1"/>
  <c r="S9" i="21" s="1"/>
  <c r="AB142" i="21"/>
  <c r="AC142" i="21" s="1"/>
  <c r="AC309" i="21" s="1"/>
  <c r="O216" i="21"/>
  <c r="P216" i="21" s="1"/>
  <c r="AE142" i="21"/>
  <c r="AF142" i="21" s="1"/>
  <c r="AF309" i="21" s="1"/>
  <c r="O142" i="21"/>
  <c r="P142" i="21" s="1"/>
  <c r="Y142" i="21"/>
  <c r="Z142" i="21" s="1"/>
  <c r="Z310" i="21" s="1" a="1"/>
  <c r="Z310" i="21" s="1"/>
  <c r="AU9" i="21" a="1"/>
  <c r="AU9" i="21" s="1"/>
  <c r="AQ142" i="21"/>
  <c r="AR142" i="21" s="1"/>
  <c r="R277" i="21"/>
  <c r="S277" i="21" s="1"/>
  <c r="L271" i="21"/>
  <c r="M271" i="21" s="1"/>
  <c r="R142" i="21"/>
  <c r="S142" i="21" s="1"/>
  <c r="AN142" i="21"/>
  <c r="AO142" i="21" s="1"/>
  <c r="AO310" i="21" s="1" a="1"/>
  <c r="AO310" i="21" s="1"/>
  <c r="AB268" i="21"/>
  <c r="AC268" i="21" s="1"/>
  <c r="AN258" i="21"/>
  <c r="AO258" i="21" s="1"/>
  <c r="L216" i="21"/>
  <c r="M216" i="21" s="1"/>
  <c r="L142" i="21"/>
  <c r="M142" i="21" s="1"/>
  <c r="M309" i="21" s="1"/>
  <c r="AH142" i="21"/>
  <c r="AI142" i="21" s="1"/>
  <c r="AI309" i="21" s="1"/>
  <c r="AK163" i="21"/>
  <c r="AL163" i="21" s="1"/>
  <c r="AQ163" i="21"/>
  <c r="AR163" i="21" s="1"/>
  <c r="R268" i="21"/>
  <c r="S268" i="21" s="1"/>
  <c r="Y258" i="21"/>
  <c r="Z258" i="21" s="1"/>
  <c r="AK271" i="21"/>
  <c r="AL271" i="21" s="1"/>
  <c r="O271" i="21"/>
  <c r="P271" i="21" s="1"/>
  <c r="AE271" i="21"/>
  <c r="AF271" i="21" s="1"/>
  <c r="AB258" i="21"/>
  <c r="AC258" i="21" s="1"/>
  <c r="AH258" i="21"/>
  <c r="AI258" i="21" s="1"/>
  <c r="AQ258" i="21"/>
  <c r="AR258" i="21" s="1"/>
  <c r="AE207" i="21"/>
  <c r="AF207" i="21" s="1"/>
  <c r="W295" i="21"/>
  <c r="AT142" i="21"/>
  <c r="AU142" i="21" s="1"/>
  <c r="W294" i="21"/>
  <c r="AE290" i="21"/>
  <c r="AF290" i="21" s="1"/>
  <c r="AK207" i="21"/>
  <c r="AL207" i="21" s="1"/>
  <c r="AH273" i="21"/>
  <c r="AI273" i="21" s="1"/>
  <c r="AB273" i="21"/>
  <c r="AC273" i="21" s="1"/>
  <c r="R273" i="21"/>
  <c r="S273" i="21" s="1"/>
  <c r="O273" i="21"/>
  <c r="P273" i="21" s="1"/>
  <c r="AQ273" i="21"/>
  <c r="AR273" i="21" s="1"/>
  <c r="AH207" i="21"/>
  <c r="AI207" i="21" s="1"/>
  <c r="AQ290" i="21"/>
  <c r="AR290" i="21" s="1"/>
  <c r="AN207" i="21"/>
  <c r="AO207" i="21" s="1"/>
  <c r="Y207" i="21"/>
  <c r="Z207" i="21" s="1"/>
  <c r="AK273" i="21"/>
  <c r="AL273" i="21" s="1"/>
  <c r="O268" i="21"/>
  <c r="P268" i="21" s="1"/>
  <c r="AQ268" i="21"/>
  <c r="AR268" i="21" s="1"/>
  <c r="AN268" i="21"/>
  <c r="AO268" i="21" s="1"/>
  <c r="AE273" i="21"/>
  <c r="AF273" i="21" s="1"/>
  <c r="O157" i="21"/>
  <c r="P157" i="21" s="1"/>
  <c r="AK157" i="21"/>
  <c r="AL157" i="21" s="1"/>
  <c r="AH277" i="21"/>
  <c r="AI277" i="21" s="1"/>
  <c r="AE277" i="21"/>
  <c r="AF277" i="21" s="1"/>
  <c r="Y216" i="21"/>
  <c r="Z216" i="21" s="1"/>
  <c r="AT193" i="21"/>
  <c r="AU193" i="21" s="1"/>
  <c r="AB193" i="21"/>
  <c r="AC193" i="21" s="1"/>
  <c r="AO9" i="21" a="1"/>
  <c r="AO9" i="21" s="1"/>
  <c r="W320" i="21"/>
  <c r="P9" i="21" a="1"/>
  <c r="P9" i="21" s="1"/>
  <c r="AI9" i="21" a="1"/>
  <c r="AI9" i="21" s="1"/>
  <c r="AH216" i="21"/>
  <c r="AI216" i="21" s="1"/>
  <c r="AB216" i="21"/>
  <c r="AC216" i="21" s="1"/>
  <c r="AK193" i="21"/>
  <c r="AL193" i="21" s="1"/>
  <c r="AN193" i="21"/>
  <c r="AO193" i="21" s="1"/>
  <c r="M9" i="21" a="1"/>
  <c r="M9" i="21" s="1"/>
  <c r="BB294" i="21"/>
  <c r="Y193" i="21"/>
  <c r="Z193" i="21" s="1"/>
  <c r="AH193" i="21"/>
  <c r="AI193" i="21" s="1"/>
  <c r="V295" i="21"/>
  <c r="AL9" i="21" a="1"/>
  <c r="AL9" i="21" s="1"/>
  <c r="AK277" i="21"/>
  <c r="AL277" i="21" s="1"/>
  <c r="Y277" i="21"/>
  <c r="Z277" i="21" s="1"/>
  <c r="AT271" i="21"/>
  <c r="AU271" i="21" s="1"/>
  <c r="AH271" i="21"/>
  <c r="AI271" i="21" s="1"/>
  <c r="AB277" i="21"/>
  <c r="AC277" i="21" s="1"/>
  <c r="AT216" i="21"/>
  <c r="AU216" i="21" s="1"/>
  <c r="AB157" i="21"/>
  <c r="AC157" i="21" s="1"/>
  <c r="AE157" i="21"/>
  <c r="AF157" i="21" s="1"/>
  <c r="V294" i="21"/>
  <c r="W321" i="21" a="1"/>
  <c r="W321" i="21" s="1"/>
  <c r="AZ294" i="21"/>
  <c r="AQ277" i="21"/>
  <c r="AR277" i="21" s="1"/>
  <c r="L277" i="21"/>
  <c r="M277" i="21" s="1"/>
  <c r="AQ157" i="21"/>
  <c r="AR157" i="21" s="1"/>
  <c r="AT157" i="21"/>
  <c r="AU157" i="21" s="1"/>
  <c r="AN157" i="21"/>
  <c r="AO157" i="21" s="1"/>
  <c r="L157" i="21"/>
  <c r="M157" i="21" s="1"/>
  <c r="R157" i="21"/>
  <c r="S157" i="21" s="1"/>
  <c r="Y157" i="21"/>
  <c r="Z157" i="21" s="1"/>
  <c r="AQ193" i="21"/>
  <c r="AR193" i="21" s="1"/>
  <c r="L193" i="21"/>
  <c r="M193" i="21" s="1"/>
  <c r="AU12" i="21"/>
  <c r="AL12" i="21"/>
  <c r="AR12" i="21"/>
  <c r="AE193" i="21"/>
  <c r="AF193" i="21" s="1"/>
  <c r="BD294" i="21"/>
  <c r="V331" i="21" s="1"/>
  <c r="P12" i="21"/>
  <c r="V321" i="21" a="1"/>
  <c r="V321" i="21" s="1"/>
  <c r="AT277" i="21"/>
  <c r="AU277" i="21" s="1"/>
  <c r="R258" i="21"/>
  <c r="S258" i="21" s="1"/>
  <c r="L258" i="21"/>
  <c r="M258" i="21" s="1"/>
  <c r="O258" i="21"/>
  <c r="P258" i="21" s="1"/>
  <c r="AE216" i="21"/>
  <c r="AF216" i="21" s="1"/>
  <c r="AN216" i="21"/>
  <c r="AO216" i="21" s="1"/>
  <c r="W309" i="21"/>
  <c r="V310" i="21" a="1"/>
  <c r="V310" i="21" s="1"/>
  <c r="AL310" i="21" a="1"/>
  <c r="AL310" i="21" s="1"/>
  <c r="R310" i="21" a="1"/>
  <c r="R310" i="21" s="1"/>
  <c r="AB310" i="21" a="1"/>
  <c r="AB310" i="21" s="1"/>
  <c r="AF310" i="21" a="1"/>
  <c r="AF310" i="21" s="1"/>
  <c r="V309" i="21"/>
  <c r="AH310" i="21" a="1"/>
  <c r="AH310" i="21" s="1"/>
  <c r="W310" i="21" a="1"/>
  <c r="W310" i="21" s="1"/>
  <c r="M310" i="21" a="1"/>
  <c r="M310" i="21" s="1"/>
  <c r="AT310" i="21" a="1"/>
  <c r="AT310" i="21" s="1"/>
  <c r="V320" i="21"/>
  <c r="Z9" i="21" a="1"/>
  <c r="Z9" i="21" s="1"/>
  <c r="AK310" i="21" l="1" a="1"/>
  <c r="AK310" i="21" s="1"/>
  <c r="AL309" i="21"/>
  <c r="AI310" i="21" a="1"/>
  <c r="AI310" i="21" s="1"/>
  <c r="AH298" i="21"/>
  <c r="AH299" i="21" s="1"/>
  <c r="AQ298" i="21"/>
  <c r="AQ299" i="21" s="1"/>
  <c r="AE298" i="21"/>
  <c r="AE299" i="21" s="1"/>
  <c r="R298" i="21"/>
  <c r="R299" i="21" s="1"/>
  <c r="AO309" i="21"/>
  <c r="AO313" i="21" s="1"/>
  <c r="AO315" i="21" s="1"/>
  <c r="AT298" i="21"/>
  <c r="AT299" i="21" s="1"/>
  <c r="AK298" i="21"/>
  <c r="AK299" i="21" s="1"/>
  <c r="O298" i="21"/>
  <c r="O299" i="21" s="1"/>
  <c r="AN298" i="21"/>
  <c r="AN299" i="21" s="1"/>
  <c r="L298" i="21"/>
  <c r="L299" i="21" s="1"/>
  <c r="Y298" i="21"/>
  <c r="Y299" i="21" s="1"/>
  <c r="AB298" i="21"/>
  <c r="AB299" i="21" s="1"/>
  <c r="AB321" i="21" a="1"/>
  <c r="AB321" i="21" s="1"/>
  <c r="AE310" i="21" a="1"/>
  <c r="AE310" i="21" s="1"/>
  <c r="S309" i="21"/>
  <c r="AN309" i="21"/>
  <c r="AC310" i="21" a="1"/>
  <c r="AC310" i="21" s="1"/>
  <c r="AN310" i="21" a="1"/>
  <c r="AN310" i="21" s="1"/>
  <c r="AE309" i="21"/>
  <c r="R309" i="21"/>
  <c r="AH309" i="21"/>
  <c r="AH311" i="21" s="1"/>
  <c r="AQ309" i="21"/>
  <c r="AT309" i="21"/>
  <c r="AK309" i="21"/>
  <c r="AK311" i="21" s="1"/>
  <c r="Y309" i="21"/>
  <c r="P309" i="21"/>
  <c r="Z309" i="21"/>
  <c r="Z313" i="21" s="1"/>
  <c r="Z315" i="21" s="1"/>
  <c r="AO321" i="21" a="1"/>
  <c r="AO321" i="21" s="1"/>
  <c r="Y310" i="21" a="1"/>
  <c r="Y310" i="21" s="1"/>
  <c r="O309" i="21"/>
  <c r="O310" i="21" a="1"/>
  <c r="O310" i="21" s="1"/>
  <c r="AU310" i="21" a="1"/>
  <c r="AU310" i="21" s="1"/>
  <c r="AR310" i="21" a="1"/>
  <c r="AR310" i="21" s="1"/>
  <c r="AU309" i="21"/>
  <c r="S320" i="21"/>
  <c r="AB309" i="21"/>
  <c r="AB311" i="21" s="1"/>
  <c r="R321" i="21" a="1"/>
  <c r="R321" i="21" s="1"/>
  <c r="Y332" i="21" a="1"/>
  <c r="Y332" i="21" s="1"/>
  <c r="Y331" i="21"/>
  <c r="L331" i="21"/>
  <c r="O320" i="21"/>
  <c r="AQ310" i="21" a="1"/>
  <c r="AQ310" i="21" s="1"/>
  <c r="AQ311" i="21" s="1"/>
  <c r="W301" i="21"/>
  <c r="W305" i="21" s="1"/>
  <c r="AE294" i="21"/>
  <c r="L310" i="21" a="1"/>
  <c r="L310" i="21" s="1"/>
  <c r="AR309" i="21"/>
  <c r="L309" i="21"/>
  <c r="AC321" i="21" a="1"/>
  <c r="AC321" i="21" s="1"/>
  <c r="AU331" i="21"/>
  <c r="AI320" i="21"/>
  <c r="P310" i="21" a="1"/>
  <c r="P310" i="21" s="1"/>
  <c r="P313" i="21" s="1"/>
  <c r="P315" i="21" s="1"/>
  <c r="P331" i="21"/>
  <c r="O311" i="21"/>
  <c r="R294" i="21"/>
  <c r="AT311" i="21"/>
  <c r="AT332" i="21" a="1"/>
  <c r="AT332" i="21" s="1"/>
  <c r="AF320" i="21"/>
  <c r="Z321" i="21" a="1"/>
  <c r="Z321" i="21" s="1"/>
  <c r="AR331" i="21"/>
  <c r="R311" i="21"/>
  <c r="M320" i="21"/>
  <c r="M321" i="21" a="1"/>
  <c r="M321" i="21" s="1"/>
  <c r="AH321" i="21" a="1"/>
  <c r="AH321" i="21" s="1"/>
  <c r="Z331" i="21"/>
  <c r="AI294" i="21"/>
  <c r="AU321" i="21" a="1"/>
  <c r="AU321" i="21" s="1"/>
  <c r="S331" i="21"/>
  <c r="R295" i="21"/>
  <c r="AK294" i="21"/>
  <c r="AO295" i="21"/>
  <c r="AL331" i="21"/>
  <c r="AL320" i="21"/>
  <c r="AI295" i="21"/>
  <c r="AI321" i="21" a="1"/>
  <c r="AI321" i="21" s="1"/>
  <c r="AK295" i="21"/>
  <c r="AU320" i="21"/>
  <c r="AC331" i="21"/>
  <c r="AN331" i="21"/>
  <c r="AT321" i="21" a="1"/>
  <c r="AT321" i="21" s="1"/>
  <c r="AC313" i="21"/>
  <c r="AC315" i="21" s="1"/>
  <c r="AR321" i="21" a="1"/>
  <c r="AR321" i="21" s="1"/>
  <c r="AC294" i="21"/>
  <c r="AI331" i="21"/>
  <c r="W313" i="21"/>
  <c r="W315" i="21" s="1"/>
  <c r="AR332" i="21" a="1"/>
  <c r="AR332" i="21" s="1"/>
  <c r="AE295" i="21"/>
  <c r="R332" i="21" a="1"/>
  <c r="R332" i="21" s="1"/>
  <c r="AE320" i="21"/>
  <c r="AQ294" i="21"/>
  <c r="AK331" i="21"/>
  <c r="M294" i="21"/>
  <c r="AK321" i="21" a="1"/>
  <c r="AK321" i="21" s="1"/>
  <c r="W332" i="21" a="1"/>
  <c r="W332" i="21" s="1"/>
  <c r="AN320" i="21"/>
  <c r="AC295" i="21"/>
  <c r="Z294" i="21"/>
  <c r="AE332" i="21" a="1"/>
  <c r="AE332" i="21" s="1"/>
  <c r="M331" i="21"/>
  <c r="AI313" i="21"/>
  <c r="AI315" i="21" s="1"/>
  <c r="P295" i="21"/>
  <c r="P294" i="21"/>
  <c r="AU332" i="21" a="1"/>
  <c r="AU332" i="21" s="1"/>
  <c r="S294" i="21"/>
  <c r="AL295" i="21"/>
  <c r="AL294" i="21"/>
  <c r="S321" i="21" a="1"/>
  <c r="S321" i="21" s="1"/>
  <c r="M295" i="21"/>
  <c r="P321" i="21" a="1"/>
  <c r="P321" i="21" s="1"/>
  <c r="AH332" i="21" a="1"/>
  <c r="AH332" i="21" s="1"/>
  <c r="O321" i="21" a="1"/>
  <c r="O321" i="21" s="1"/>
  <c r="Z295" i="21"/>
  <c r="AO331" i="21"/>
  <c r="AN321" i="21" a="1"/>
  <c r="AN321" i="21" s="1"/>
  <c r="AB331" i="21"/>
  <c r="O295" i="21"/>
  <c r="O331" i="21"/>
  <c r="S295" i="21"/>
  <c r="AN294" i="21"/>
  <c r="AQ321" i="21" a="1"/>
  <c r="AQ321" i="21" s="1"/>
  <c r="AE331" i="21"/>
  <c r="Y320" i="21"/>
  <c r="M332" i="21" a="1"/>
  <c r="M332" i="21" s="1"/>
  <c r="AK320" i="21"/>
  <c r="AH320" i="21"/>
  <c r="AR320" i="21"/>
  <c r="AO320" i="21"/>
  <c r="AO324" i="21" s="1"/>
  <c r="AO326" i="21" s="1"/>
  <c r="M313" i="21"/>
  <c r="M315" i="21" s="1"/>
  <c r="AN311" i="21"/>
  <c r="O332" i="21" a="1"/>
  <c r="O332" i="21" s="1"/>
  <c r="O294" i="21"/>
  <c r="W331" i="21"/>
  <c r="AF294" i="21"/>
  <c r="L332" i="21" a="1"/>
  <c r="L332" i="21" s="1"/>
  <c r="L294" i="21"/>
  <c r="R320" i="21"/>
  <c r="AC332" i="21" a="1"/>
  <c r="AC332" i="21" s="1"/>
  <c r="AO294" i="21"/>
  <c r="AO301" i="21" s="1"/>
  <c r="AO305" i="21" s="1"/>
  <c r="AN332" i="21" a="1"/>
  <c r="AN332" i="21" s="1"/>
  <c r="Y294" i="21"/>
  <c r="AK332" i="21" a="1"/>
  <c r="AK332" i="21" s="1"/>
  <c r="Y321" i="21" a="1"/>
  <c r="Y321" i="21" s="1"/>
  <c r="S313" i="21"/>
  <c r="S315" i="21" s="1"/>
  <c r="AT331" i="21"/>
  <c r="AF295" i="21"/>
  <c r="AO332" i="21" a="1"/>
  <c r="AO332" i="21" s="1"/>
  <c r="AU295" i="21"/>
  <c r="AU294" i="21"/>
  <c r="AB332" i="21" a="1"/>
  <c r="AB332" i="21" s="1"/>
  <c r="AB295" i="21"/>
  <c r="P332" i="21" a="1"/>
  <c r="P332" i="21" s="1"/>
  <c r="P335" i="21" s="1"/>
  <c r="P337" i="21" s="1"/>
  <c r="P320" i="21"/>
  <c r="AL313" i="21"/>
  <c r="AL315" i="21" s="1"/>
  <c r="AF313" i="21"/>
  <c r="AF315" i="21" s="1"/>
  <c r="AF321" i="21" a="1"/>
  <c r="AF321" i="21" s="1"/>
  <c r="L295" i="21"/>
  <c r="AF332" i="21" a="1"/>
  <c r="AF332" i="21" s="1"/>
  <c r="AT295" i="21"/>
  <c r="AQ331" i="21"/>
  <c r="AH331" i="21"/>
  <c r="Y295" i="21"/>
  <c r="AH294" i="21"/>
  <c r="AT320" i="21"/>
  <c r="AT322" i="21" s="1"/>
  <c r="S332" i="21" a="1"/>
  <c r="S332" i="21" s="1"/>
  <c r="AB320" i="21"/>
  <c r="AB322" i="21" s="1"/>
  <c r="Z320" i="21"/>
  <c r="AF331" i="21"/>
  <c r="V311" i="21"/>
  <c r="V322" i="21"/>
  <c r="Z332" i="21" a="1"/>
  <c r="Z332" i="21" s="1"/>
  <c r="AR295" i="21"/>
  <c r="AR294" i="21"/>
  <c r="AT294" i="21"/>
  <c r="AI332" i="21" a="1"/>
  <c r="AI332" i="21" s="1"/>
  <c r="AI335" i="21" s="1"/>
  <c r="AI337" i="21" s="1"/>
  <c r="L320" i="21"/>
  <c r="AB294" i="21"/>
  <c r="AQ332" i="21" a="1"/>
  <c r="AQ332" i="21" s="1"/>
  <c r="AE321" i="21" a="1"/>
  <c r="AE321" i="21" s="1"/>
  <c r="V332" i="21" a="1"/>
  <c r="V332" i="21" s="1"/>
  <c r="V333" i="21" s="1"/>
  <c r="W324" i="21"/>
  <c r="W326" i="21" s="1"/>
  <c r="L321" i="21" a="1"/>
  <c r="L321" i="21" s="1"/>
  <c r="AL321" i="21" a="1"/>
  <c r="AL321" i="21" s="1"/>
  <c r="AL332" i="21" a="1"/>
  <c r="AL332" i="21" s="1"/>
  <c r="AQ320" i="21"/>
  <c r="AQ295" i="21"/>
  <c r="AN295" i="21"/>
  <c r="V296" i="21"/>
  <c r="R331" i="21"/>
  <c r="AC320" i="21"/>
  <c r="AH295" i="21"/>
  <c r="Y311" i="21" l="1"/>
  <c r="O322" i="21"/>
  <c r="AU335" i="21"/>
  <c r="AU337" i="21" s="1"/>
  <c r="AE311" i="21"/>
  <c r="Y333" i="21"/>
  <c r="AU313" i="21"/>
  <c r="AU315" i="21" s="1"/>
  <c r="AC335" i="21"/>
  <c r="AC337" i="21" s="1"/>
  <c r="AC324" i="21"/>
  <c r="AC326" i="21" s="1"/>
  <c r="S335" i="21"/>
  <c r="S337" i="21" s="1"/>
  <c r="AQ296" i="21"/>
  <c r="AR335" i="21"/>
  <c r="AR337" i="21" s="1"/>
  <c r="AE322" i="21"/>
  <c r="S324" i="21"/>
  <c r="S326" i="21" s="1"/>
  <c r="AL324" i="21"/>
  <c r="AL326" i="21" s="1"/>
  <c r="AF324" i="21"/>
  <c r="AF326" i="21" s="1"/>
  <c r="AR313" i="21"/>
  <c r="AR315" i="21" s="1"/>
  <c r="Z335" i="21"/>
  <c r="Z337" i="21" s="1"/>
  <c r="R322" i="21"/>
  <c r="AN296" i="21"/>
  <c r="AT333" i="21"/>
  <c r="L333" i="21"/>
  <c r="AN322" i="21"/>
  <c r="AL335" i="21"/>
  <c r="AL337" i="21" s="1"/>
  <c r="AH322" i="21"/>
  <c r="AK296" i="21"/>
  <c r="AQ333" i="21"/>
  <c r="AN333" i="21"/>
  <c r="AE296" i="21"/>
  <c r="Z324" i="21"/>
  <c r="Z326" i="21" s="1"/>
  <c r="M324" i="21"/>
  <c r="M326" i="21" s="1"/>
  <c r="AK333" i="21"/>
  <c r="AR324" i="21"/>
  <c r="AR326" i="21" s="1"/>
  <c r="R296" i="21"/>
  <c r="L311" i="21"/>
  <c r="AI324" i="21"/>
  <c r="AI326" i="21" s="1"/>
  <c r="AH296" i="21"/>
  <c r="Y296" i="21"/>
  <c r="P324" i="21"/>
  <c r="P326" i="21" s="1"/>
  <c r="AB333" i="21"/>
  <c r="AU324" i="21"/>
  <c r="AU326" i="21" s="1"/>
  <c r="W335" i="21"/>
  <c r="W337" i="21" s="1"/>
  <c r="L296" i="21"/>
  <c r="AE333" i="21"/>
  <c r="AC301" i="21"/>
  <c r="AC305" i="21" s="1"/>
  <c r="L322" i="21"/>
  <c r="AI301" i="21"/>
  <c r="AI305" i="21" s="1"/>
  <c r="O333" i="21"/>
  <c r="AR301" i="21"/>
  <c r="AR305" i="21" s="1"/>
  <c r="AB296" i="21"/>
  <c r="AT296" i="21"/>
  <c r="S301" i="21"/>
  <c r="S305" i="21" s="1"/>
  <c r="Z301" i="21"/>
  <c r="Z305" i="21" s="1"/>
  <c r="AK322" i="21"/>
  <c r="O296" i="21"/>
  <c r="AH333" i="21"/>
  <c r="P301" i="21"/>
  <c r="P305" i="21" s="1"/>
  <c r="M301" i="21"/>
  <c r="M305" i="21" s="1"/>
  <c r="AU301" i="21"/>
  <c r="AU305" i="21" s="1"/>
  <c r="Y322" i="21"/>
  <c r="AQ322" i="21"/>
  <c r="AF335" i="21"/>
  <c r="AF337" i="21" s="1"/>
  <c r="AF301" i="21"/>
  <c r="AF305" i="21" s="1"/>
  <c r="AO335" i="21"/>
  <c r="AO337" i="21" s="1"/>
  <c r="AL301" i="21"/>
  <c r="AL305" i="21" s="1"/>
  <c r="M335" i="21"/>
  <c r="M337" i="21" s="1"/>
  <c r="R333" i="21"/>
  <c r="G309" i="20"/>
  <c r="H309" i="20" s="1"/>
  <c r="F309" i="20"/>
  <c r="E309" i="20"/>
  <c r="D309" i="20"/>
  <c r="C309" i="20"/>
  <c r="B309" i="20"/>
  <c r="G308" i="20"/>
  <c r="H308" i="20" s="1"/>
  <c r="F308" i="20"/>
  <c r="E308" i="20"/>
  <c r="D308" i="20"/>
  <c r="C308" i="20"/>
  <c r="B308" i="20"/>
  <c r="G307" i="20"/>
  <c r="H307" i="20" s="1"/>
  <c r="F307" i="20"/>
  <c r="E307" i="20"/>
  <c r="D307" i="20"/>
  <c r="C307" i="20"/>
  <c r="B307" i="20"/>
  <c r="J306" i="20" a="1"/>
  <c r="J306" i="20" s="1"/>
  <c r="I306" i="20" a="1"/>
  <c r="I306" i="20" s="1"/>
  <c r="G306" i="20"/>
  <c r="H306" i="20" s="1"/>
  <c r="F306" i="20"/>
  <c r="E306" i="20"/>
  <c r="D306" i="20"/>
  <c r="C306" i="20"/>
  <c r="B306" i="20"/>
  <c r="G305" i="20"/>
  <c r="H305" i="20" s="1"/>
  <c r="F305" i="20"/>
  <c r="E305" i="20"/>
  <c r="D305" i="20"/>
  <c r="C305" i="20"/>
  <c r="B305" i="20"/>
  <c r="G304" i="20"/>
  <c r="H304" i="20" s="1"/>
  <c r="F304" i="20"/>
  <c r="E304" i="20"/>
  <c r="D304" i="20"/>
  <c r="C304" i="20"/>
  <c r="B304" i="20"/>
  <c r="G303" i="20"/>
  <c r="H303" i="20" s="1"/>
  <c r="F303" i="20"/>
  <c r="E303" i="20"/>
  <c r="D303" i="20"/>
  <c r="C303" i="20"/>
  <c r="B303" i="20"/>
  <c r="G302" i="20"/>
  <c r="H302" i="20" s="1"/>
  <c r="F302" i="20"/>
  <c r="E302" i="20"/>
  <c r="D302" i="20"/>
  <c r="C302" i="20"/>
  <c r="B302" i="20"/>
  <c r="G301" i="20"/>
  <c r="H301" i="20" s="1"/>
  <c r="F301" i="20"/>
  <c r="E301" i="20"/>
  <c r="D301" i="20"/>
  <c r="C301" i="20"/>
  <c r="B301" i="20"/>
  <c r="J300" i="20" a="1"/>
  <c r="I300" i="20" a="1"/>
  <c r="I300" i="20" s="1"/>
  <c r="G300" i="20"/>
  <c r="H300" i="20" s="1"/>
  <c r="F300" i="20"/>
  <c r="E300" i="20"/>
  <c r="D300" i="20"/>
  <c r="C300" i="20"/>
  <c r="B300" i="20"/>
  <c r="G299" i="20"/>
  <c r="H299" i="20" s="1"/>
  <c r="F299" i="20"/>
  <c r="E299" i="20"/>
  <c r="D299" i="20"/>
  <c r="C299" i="20"/>
  <c r="B299" i="20"/>
  <c r="J298" i="20"/>
  <c r="J298" i="20" a="1"/>
  <c r="I298" i="20" a="1"/>
  <c r="I298" i="20" s="1"/>
  <c r="G298" i="20"/>
  <c r="H298" i="20" s="1"/>
  <c r="F298" i="20"/>
  <c r="E298" i="20"/>
  <c r="D298" i="20"/>
  <c r="C298" i="20"/>
  <c r="B298" i="20"/>
  <c r="G297" i="20"/>
  <c r="H297" i="20" s="1"/>
  <c r="F297" i="20"/>
  <c r="E297" i="20"/>
  <c r="D297" i="20"/>
  <c r="C297" i="20"/>
  <c r="B297" i="20"/>
  <c r="J296" i="20" a="1"/>
  <c r="I296" i="20" a="1"/>
  <c r="I296" i="20" s="1"/>
  <c r="G296" i="20"/>
  <c r="H296" i="20" s="1"/>
  <c r="F296" i="20"/>
  <c r="E296" i="20"/>
  <c r="D296" i="20"/>
  <c r="C296" i="20"/>
  <c r="B296" i="20"/>
  <c r="G295" i="20"/>
  <c r="H295" i="20" s="1"/>
  <c r="F295" i="20"/>
  <c r="E295" i="20"/>
  <c r="D295" i="20"/>
  <c r="C295" i="20"/>
  <c r="B295" i="20"/>
  <c r="G294" i="20"/>
  <c r="H294" i="20" s="1"/>
  <c r="F294" i="20"/>
  <c r="E294" i="20"/>
  <c r="D294" i="20"/>
  <c r="C294" i="20"/>
  <c r="B294" i="20"/>
  <c r="J293" i="20" a="1"/>
  <c r="J293" i="20" s="1"/>
  <c r="I293" i="20" a="1"/>
  <c r="I293" i="20" s="1"/>
  <c r="G293" i="20"/>
  <c r="H293" i="20" s="1"/>
  <c r="F293" i="20"/>
  <c r="E293" i="20"/>
  <c r="D293" i="20"/>
  <c r="C293" i="20"/>
  <c r="B293" i="20"/>
  <c r="G292" i="20"/>
  <c r="H292" i="20" s="1"/>
  <c r="F292" i="20"/>
  <c r="E292" i="20"/>
  <c r="D292" i="20"/>
  <c r="C292" i="20"/>
  <c r="B292" i="20"/>
  <c r="G291" i="20"/>
  <c r="H291" i="20" s="1"/>
  <c r="F291" i="20"/>
  <c r="E291" i="20"/>
  <c r="D291" i="20"/>
  <c r="C291" i="20"/>
  <c r="B291" i="20"/>
  <c r="G290" i="20"/>
  <c r="H290" i="20" s="1"/>
  <c r="F290" i="20"/>
  <c r="E290" i="20"/>
  <c r="D290" i="20"/>
  <c r="C290" i="20"/>
  <c r="B290" i="20"/>
  <c r="J289" i="20" a="1"/>
  <c r="J289" i="20" s="1"/>
  <c r="I289" i="20" a="1"/>
  <c r="I289" i="20" s="1"/>
  <c r="G289" i="20"/>
  <c r="H289" i="20" s="1"/>
  <c r="F289" i="20"/>
  <c r="E289" i="20"/>
  <c r="D289" i="20"/>
  <c r="C289" i="20"/>
  <c r="B289" i="20"/>
  <c r="G288" i="20"/>
  <c r="H288" i="20" s="1"/>
  <c r="F288" i="20"/>
  <c r="E288" i="20"/>
  <c r="D288" i="20"/>
  <c r="C288" i="20"/>
  <c r="B288" i="20"/>
  <c r="J287" i="20" a="1"/>
  <c r="J287" i="20" s="1"/>
  <c r="I287" i="20" a="1"/>
  <c r="I287" i="20" s="1"/>
  <c r="G287" i="20"/>
  <c r="H287" i="20" s="1"/>
  <c r="F287" i="20"/>
  <c r="E287" i="20"/>
  <c r="D287" i="20"/>
  <c r="C287" i="20"/>
  <c r="B287" i="20"/>
  <c r="G286" i="20"/>
  <c r="H286" i="20" s="1"/>
  <c r="F286" i="20"/>
  <c r="E286" i="20"/>
  <c r="D286" i="20"/>
  <c r="C286" i="20"/>
  <c r="B286" i="20"/>
  <c r="G285" i="20"/>
  <c r="H285" i="20" s="1"/>
  <c r="F285" i="20"/>
  <c r="E285" i="20"/>
  <c r="D285" i="20"/>
  <c r="C285" i="20"/>
  <c r="B285" i="20"/>
  <c r="J284" i="20" a="1"/>
  <c r="J284" i="20" s="1"/>
  <c r="I284" i="20" a="1"/>
  <c r="I284" i="20" s="1"/>
  <c r="G284" i="20"/>
  <c r="H284" i="20" s="1"/>
  <c r="F284" i="20"/>
  <c r="E284" i="20"/>
  <c r="D284" i="20"/>
  <c r="C284" i="20"/>
  <c r="B284" i="20"/>
  <c r="G283" i="20"/>
  <c r="H283" i="20" s="1"/>
  <c r="F283" i="20"/>
  <c r="E283" i="20"/>
  <c r="D283" i="20"/>
  <c r="C283" i="20"/>
  <c r="B283" i="20"/>
  <c r="J282" i="20" a="1"/>
  <c r="J282" i="20" s="1"/>
  <c r="I282" i="20" a="1"/>
  <c r="I282" i="20" s="1"/>
  <c r="G282" i="20"/>
  <c r="H282" i="20" s="1"/>
  <c r="F282" i="20"/>
  <c r="E282" i="20"/>
  <c r="D282" i="20"/>
  <c r="C282" i="20"/>
  <c r="B282" i="20"/>
  <c r="G281" i="20"/>
  <c r="H281" i="20" s="1"/>
  <c r="F281" i="20"/>
  <c r="E281" i="20"/>
  <c r="D281" i="20"/>
  <c r="C281" i="20"/>
  <c r="B281" i="20"/>
  <c r="J280" i="20" a="1"/>
  <c r="I280" i="20" a="1"/>
  <c r="I280" i="20" s="1"/>
  <c r="G280" i="20"/>
  <c r="H280" i="20" s="1"/>
  <c r="F280" i="20"/>
  <c r="E280" i="20"/>
  <c r="D280" i="20"/>
  <c r="C280" i="20"/>
  <c r="B280" i="20"/>
  <c r="G279" i="20"/>
  <c r="H279" i="20" s="1"/>
  <c r="F279" i="20"/>
  <c r="E279" i="20"/>
  <c r="D279" i="20"/>
  <c r="C279" i="20"/>
  <c r="B279" i="20"/>
  <c r="J278" i="20" a="1"/>
  <c r="J278" i="20" s="1"/>
  <c r="I278" i="20" a="1"/>
  <c r="I278" i="20" s="1"/>
  <c r="G278" i="20"/>
  <c r="H278" i="20" s="1"/>
  <c r="F278" i="20"/>
  <c r="E278" i="20"/>
  <c r="D278" i="20"/>
  <c r="C278" i="20"/>
  <c r="B278" i="20"/>
  <c r="G277" i="20"/>
  <c r="H277" i="20" s="1"/>
  <c r="F277" i="20"/>
  <c r="E277" i="20"/>
  <c r="D277" i="20"/>
  <c r="C277" i="20"/>
  <c r="B277" i="20"/>
  <c r="J276" i="20" a="1"/>
  <c r="J276" i="20" s="1"/>
  <c r="I276" i="20" a="1"/>
  <c r="I276" i="20" s="1"/>
  <c r="G276" i="20"/>
  <c r="H276" i="20" s="1"/>
  <c r="F276" i="20"/>
  <c r="E276" i="20"/>
  <c r="D276" i="20"/>
  <c r="C276" i="20"/>
  <c r="B276" i="20"/>
  <c r="G275" i="20"/>
  <c r="H275" i="20" s="1"/>
  <c r="F275" i="20"/>
  <c r="E275" i="20"/>
  <c r="D275" i="20"/>
  <c r="C275" i="20"/>
  <c r="B275" i="20"/>
  <c r="J274" i="20" a="1"/>
  <c r="J274" i="20" s="1"/>
  <c r="I274" i="20" a="1"/>
  <c r="I274" i="20" s="1"/>
  <c r="H274" i="20"/>
  <c r="G274" i="20"/>
  <c r="F274" i="20"/>
  <c r="E274" i="20"/>
  <c r="D274" i="20"/>
  <c r="C274" i="20"/>
  <c r="B274" i="20"/>
  <c r="G273" i="20"/>
  <c r="H273" i="20" s="1"/>
  <c r="F273" i="20"/>
  <c r="E273" i="20"/>
  <c r="D273" i="20"/>
  <c r="C273" i="20"/>
  <c r="B273" i="20"/>
  <c r="J272" i="20" a="1"/>
  <c r="J272" i="20" s="1"/>
  <c r="I272" i="20" a="1"/>
  <c r="I272" i="20" s="1"/>
  <c r="G272" i="20"/>
  <c r="H272" i="20" s="1"/>
  <c r="F272" i="20"/>
  <c r="E272" i="20"/>
  <c r="D272" i="20"/>
  <c r="C272" i="20"/>
  <c r="B272" i="20"/>
  <c r="G271" i="20"/>
  <c r="H271" i="20" s="1"/>
  <c r="F271" i="20"/>
  <c r="E271" i="20"/>
  <c r="D271" i="20"/>
  <c r="C271" i="20"/>
  <c r="B271" i="20"/>
  <c r="G270" i="20"/>
  <c r="H270" i="20" s="1"/>
  <c r="F270" i="20"/>
  <c r="E270" i="20"/>
  <c r="D270" i="20"/>
  <c r="C270" i="20"/>
  <c r="B270" i="20"/>
  <c r="G269" i="20"/>
  <c r="H269" i="20" s="1"/>
  <c r="F269" i="20"/>
  <c r="E269" i="20"/>
  <c r="D269" i="20"/>
  <c r="C269" i="20"/>
  <c r="B269" i="20"/>
  <c r="G268" i="20"/>
  <c r="H268" i="20" s="1"/>
  <c r="F268" i="20"/>
  <c r="E268" i="20"/>
  <c r="D268" i="20"/>
  <c r="C268" i="20"/>
  <c r="B268" i="20"/>
  <c r="G267" i="20"/>
  <c r="H267" i="20" s="1"/>
  <c r="F267" i="20"/>
  <c r="E267" i="20"/>
  <c r="D267" i="20"/>
  <c r="C267" i="20"/>
  <c r="B267" i="20"/>
  <c r="G266" i="20"/>
  <c r="H266" i="20" s="1"/>
  <c r="F266" i="20"/>
  <c r="E266" i="20"/>
  <c r="D266" i="20"/>
  <c r="C266" i="20"/>
  <c r="B266" i="20"/>
  <c r="G265" i="20"/>
  <c r="H265" i="20" s="1"/>
  <c r="F265" i="20"/>
  <c r="E265" i="20"/>
  <c r="D265" i="20"/>
  <c r="C265" i="20"/>
  <c r="B265" i="20"/>
  <c r="J264" i="20" a="1"/>
  <c r="J264" i="20" s="1"/>
  <c r="I264" i="20" a="1"/>
  <c r="I264" i="20" s="1"/>
  <c r="G264" i="20"/>
  <c r="H264" i="20" s="1"/>
  <c r="F264" i="20"/>
  <c r="E264" i="20"/>
  <c r="D264" i="20"/>
  <c r="C264" i="20"/>
  <c r="B264" i="20"/>
  <c r="G263" i="20"/>
  <c r="H263" i="20" s="1"/>
  <c r="F263" i="20"/>
  <c r="E263" i="20"/>
  <c r="D263" i="20"/>
  <c r="C263" i="20"/>
  <c r="B263" i="20"/>
  <c r="G262" i="20"/>
  <c r="H262" i="20" s="1"/>
  <c r="F262" i="20"/>
  <c r="E262" i="20"/>
  <c r="D262" i="20"/>
  <c r="C262" i="20"/>
  <c r="B262" i="20"/>
  <c r="G261" i="20"/>
  <c r="H261" i="20" s="1"/>
  <c r="F261" i="20"/>
  <c r="E261" i="20"/>
  <c r="D261" i="20"/>
  <c r="C261" i="20"/>
  <c r="B261" i="20"/>
  <c r="G260" i="20"/>
  <c r="H260" i="20" s="1"/>
  <c r="F260" i="20"/>
  <c r="E260" i="20"/>
  <c r="D260" i="20"/>
  <c r="C260" i="20"/>
  <c r="B260" i="20"/>
  <c r="G259" i="20"/>
  <c r="H259" i="20" s="1"/>
  <c r="F259" i="20"/>
  <c r="E259" i="20"/>
  <c r="D259" i="20"/>
  <c r="C259" i="20"/>
  <c r="B259" i="20"/>
  <c r="G258" i="20"/>
  <c r="H258" i="20" s="1"/>
  <c r="F258" i="20"/>
  <c r="E258" i="20"/>
  <c r="D258" i="20"/>
  <c r="C258" i="20"/>
  <c r="B258" i="20"/>
  <c r="J257" i="20" a="1"/>
  <c r="J257" i="20" s="1"/>
  <c r="I257" i="20" a="1"/>
  <c r="I257" i="20" s="1"/>
  <c r="G257" i="20"/>
  <c r="H257" i="20" s="1"/>
  <c r="F257" i="20"/>
  <c r="E257" i="20"/>
  <c r="D257" i="20"/>
  <c r="C257" i="20"/>
  <c r="B257" i="20"/>
  <c r="G256" i="20"/>
  <c r="H256" i="20" s="1"/>
  <c r="F256" i="20"/>
  <c r="E256" i="20"/>
  <c r="D256" i="20"/>
  <c r="C256" i="20"/>
  <c r="B256" i="20"/>
  <c r="G255" i="20"/>
  <c r="H255" i="20" s="1"/>
  <c r="F255" i="20"/>
  <c r="E255" i="20"/>
  <c r="D255" i="20"/>
  <c r="C255" i="20"/>
  <c r="B255" i="20"/>
  <c r="G254" i="20"/>
  <c r="H254" i="20" s="1"/>
  <c r="F254" i="20"/>
  <c r="E254" i="20"/>
  <c r="D254" i="20"/>
  <c r="C254" i="20"/>
  <c r="B254" i="20"/>
  <c r="H253" i="20"/>
  <c r="G253" i="20"/>
  <c r="F253" i="20"/>
  <c r="E253" i="20"/>
  <c r="D253" i="20"/>
  <c r="C253" i="20"/>
  <c r="B253" i="20"/>
  <c r="G252" i="20"/>
  <c r="H252" i="20" s="1"/>
  <c r="F252" i="20"/>
  <c r="E252" i="20"/>
  <c r="D252" i="20"/>
  <c r="C252" i="20"/>
  <c r="B252" i="20"/>
  <c r="G251" i="20"/>
  <c r="H251" i="20" s="1"/>
  <c r="F251" i="20"/>
  <c r="E251" i="20"/>
  <c r="D251" i="20"/>
  <c r="C251" i="20"/>
  <c r="B251" i="20"/>
  <c r="G250" i="20"/>
  <c r="H250" i="20" s="1"/>
  <c r="F250" i="20"/>
  <c r="E250" i="20"/>
  <c r="D250" i="20"/>
  <c r="C250" i="20"/>
  <c r="B250" i="20"/>
  <c r="J249" i="20" a="1"/>
  <c r="J249" i="20" s="1"/>
  <c r="I249" i="20" a="1"/>
  <c r="I249" i="20" s="1"/>
  <c r="G249" i="20"/>
  <c r="H249" i="20" s="1"/>
  <c r="F249" i="20"/>
  <c r="E249" i="20"/>
  <c r="D249" i="20"/>
  <c r="C249" i="20"/>
  <c r="B249" i="20"/>
  <c r="G248" i="20"/>
  <c r="H248" i="20" s="1"/>
  <c r="F248" i="20"/>
  <c r="E248" i="20"/>
  <c r="D248" i="20"/>
  <c r="C248" i="20"/>
  <c r="B248" i="20"/>
  <c r="G247" i="20"/>
  <c r="H247" i="20" s="1"/>
  <c r="F247" i="20"/>
  <c r="E247" i="20"/>
  <c r="D247" i="20"/>
  <c r="C247" i="20"/>
  <c r="B247" i="20"/>
  <c r="J246" i="20" a="1"/>
  <c r="J246" i="20" s="1"/>
  <c r="I246" i="20" a="1"/>
  <c r="I246" i="20" s="1"/>
  <c r="G246" i="20"/>
  <c r="H246" i="20" s="1"/>
  <c r="F246" i="20"/>
  <c r="E246" i="20"/>
  <c r="D246" i="20"/>
  <c r="C246" i="20"/>
  <c r="B246" i="20"/>
  <c r="G245" i="20"/>
  <c r="H245" i="20" s="1"/>
  <c r="F245" i="20"/>
  <c r="E245" i="20"/>
  <c r="D245" i="20"/>
  <c r="C245" i="20"/>
  <c r="B245" i="20"/>
  <c r="G244" i="20"/>
  <c r="H244" i="20" s="1"/>
  <c r="F244" i="20"/>
  <c r="E244" i="20"/>
  <c r="D244" i="20"/>
  <c r="C244" i="20"/>
  <c r="B244" i="20"/>
  <c r="G243" i="20"/>
  <c r="H243" i="20" s="1"/>
  <c r="F243" i="20"/>
  <c r="E243" i="20"/>
  <c r="D243" i="20"/>
  <c r="C243" i="20"/>
  <c r="B243" i="20"/>
  <c r="G242" i="20"/>
  <c r="H242" i="20" s="1"/>
  <c r="F242" i="20"/>
  <c r="E242" i="20"/>
  <c r="D242" i="20"/>
  <c r="C242" i="20"/>
  <c r="B242" i="20"/>
  <c r="G241" i="20"/>
  <c r="H241" i="20" s="1"/>
  <c r="F241" i="20"/>
  <c r="E241" i="20"/>
  <c r="D241" i="20"/>
  <c r="C241" i="20"/>
  <c r="B241" i="20"/>
  <c r="G240" i="20"/>
  <c r="H240" i="20" s="1"/>
  <c r="F240" i="20"/>
  <c r="E240" i="20"/>
  <c r="D240" i="20"/>
  <c r="C240" i="20"/>
  <c r="B240" i="20"/>
  <c r="G239" i="20"/>
  <c r="H239" i="20" s="1"/>
  <c r="F239" i="20"/>
  <c r="E239" i="20"/>
  <c r="D239" i="20"/>
  <c r="C239" i="20"/>
  <c r="B239" i="20"/>
  <c r="J238" i="20" a="1"/>
  <c r="J238" i="20" s="1"/>
  <c r="I238" i="20" a="1"/>
  <c r="I238" i="20" s="1"/>
  <c r="H238" i="20"/>
  <c r="G238" i="20"/>
  <c r="F238" i="20"/>
  <c r="E238" i="20"/>
  <c r="D238" i="20"/>
  <c r="C238" i="20"/>
  <c r="B238" i="20"/>
  <c r="G237" i="20"/>
  <c r="H237" i="20" s="1"/>
  <c r="F237" i="20"/>
  <c r="E237" i="20"/>
  <c r="D237" i="20"/>
  <c r="C237" i="20"/>
  <c r="B237" i="20"/>
  <c r="G236" i="20"/>
  <c r="H236" i="20" s="1"/>
  <c r="F236" i="20"/>
  <c r="E236" i="20"/>
  <c r="D236" i="20"/>
  <c r="C236" i="20"/>
  <c r="B236" i="20"/>
  <c r="G235" i="20"/>
  <c r="H235" i="20" s="1"/>
  <c r="F235" i="20"/>
  <c r="E235" i="20"/>
  <c r="D235" i="20"/>
  <c r="C235" i="20"/>
  <c r="B235" i="20"/>
  <c r="G234" i="20"/>
  <c r="H234" i="20" s="1"/>
  <c r="F234" i="20"/>
  <c r="E234" i="20"/>
  <c r="D234" i="20"/>
  <c r="C234" i="20"/>
  <c r="B234" i="20"/>
  <c r="G233" i="20"/>
  <c r="H233" i="20" s="1"/>
  <c r="F233" i="20"/>
  <c r="E233" i="20"/>
  <c r="D233" i="20"/>
  <c r="C233" i="20"/>
  <c r="B233" i="20"/>
  <c r="J232" i="20" a="1"/>
  <c r="I232" i="20" a="1"/>
  <c r="I232" i="20" s="1"/>
  <c r="G232" i="20"/>
  <c r="H232" i="20" s="1"/>
  <c r="F232" i="20"/>
  <c r="E232" i="20"/>
  <c r="D232" i="20"/>
  <c r="C232" i="20"/>
  <c r="B232" i="20"/>
  <c r="G231" i="20"/>
  <c r="H231" i="20" s="1"/>
  <c r="F231" i="20"/>
  <c r="E231" i="20"/>
  <c r="D231" i="20"/>
  <c r="C231" i="20"/>
  <c r="B231" i="20"/>
  <c r="G230" i="20"/>
  <c r="H230" i="20" s="1"/>
  <c r="F230" i="20"/>
  <c r="E230" i="20"/>
  <c r="D230" i="20"/>
  <c r="C230" i="20"/>
  <c r="B230" i="20"/>
  <c r="H229" i="20"/>
  <c r="G229" i="20"/>
  <c r="F229" i="20"/>
  <c r="E229" i="20"/>
  <c r="D229" i="20"/>
  <c r="C229" i="20"/>
  <c r="B229" i="20"/>
  <c r="G228" i="20"/>
  <c r="H228" i="20" s="1"/>
  <c r="F228" i="20"/>
  <c r="E228" i="20"/>
  <c r="D228" i="20"/>
  <c r="C228" i="20"/>
  <c r="B228" i="20"/>
  <c r="G227" i="20"/>
  <c r="H227" i="20" s="1"/>
  <c r="F227" i="20"/>
  <c r="E227" i="20"/>
  <c r="D227" i="20"/>
  <c r="C227" i="20"/>
  <c r="B227" i="20"/>
  <c r="J226" i="20" a="1"/>
  <c r="J226" i="20" s="1"/>
  <c r="I226" i="20" a="1"/>
  <c r="I226" i="20" s="1"/>
  <c r="G226" i="20"/>
  <c r="H226" i="20" s="1"/>
  <c r="F226" i="20"/>
  <c r="E226" i="20"/>
  <c r="D226" i="20"/>
  <c r="C226" i="20"/>
  <c r="B226" i="20"/>
  <c r="G225" i="20"/>
  <c r="H225" i="20" s="1"/>
  <c r="F225" i="20"/>
  <c r="E225" i="20"/>
  <c r="D225" i="20"/>
  <c r="C225" i="20"/>
  <c r="B225" i="20"/>
  <c r="G224" i="20"/>
  <c r="H224" i="20" s="1"/>
  <c r="F224" i="20"/>
  <c r="E224" i="20"/>
  <c r="D224" i="20"/>
  <c r="C224" i="20"/>
  <c r="B224" i="20"/>
  <c r="J223" i="20" a="1"/>
  <c r="J223" i="20" s="1"/>
  <c r="I223" i="20" a="1"/>
  <c r="I223" i="20" s="1"/>
  <c r="G223" i="20"/>
  <c r="H223" i="20" s="1"/>
  <c r="F223" i="20"/>
  <c r="E223" i="20"/>
  <c r="D223" i="20"/>
  <c r="C223" i="20"/>
  <c r="B223" i="20"/>
  <c r="G222" i="20"/>
  <c r="H222" i="20" s="1"/>
  <c r="F222" i="20"/>
  <c r="E222" i="20"/>
  <c r="D222" i="20"/>
  <c r="C222" i="20"/>
  <c r="B222" i="20"/>
  <c r="G221" i="20"/>
  <c r="H221" i="20" s="1"/>
  <c r="F221" i="20"/>
  <c r="E221" i="20"/>
  <c r="D221" i="20"/>
  <c r="C221" i="20"/>
  <c r="B221" i="20"/>
  <c r="J220" i="20" a="1"/>
  <c r="J220" i="20" s="1"/>
  <c r="I220" i="20" a="1"/>
  <c r="I220" i="20" s="1"/>
  <c r="G220" i="20"/>
  <c r="H220" i="20" s="1"/>
  <c r="F220" i="20"/>
  <c r="E220" i="20"/>
  <c r="D220" i="20"/>
  <c r="C220" i="20"/>
  <c r="B220" i="20"/>
  <c r="G219" i="20"/>
  <c r="H219" i="20" s="1"/>
  <c r="F219" i="20"/>
  <c r="E219" i="20"/>
  <c r="D219" i="20"/>
  <c r="C219" i="20"/>
  <c r="B219" i="20"/>
  <c r="G218" i="20"/>
  <c r="H218" i="20" s="1"/>
  <c r="F218" i="20"/>
  <c r="E218" i="20"/>
  <c r="D218" i="20"/>
  <c r="C218" i="20"/>
  <c r="B218" i="20"/>
  <c r="G217" i="20"/>
  <c r="H217" i="20" s="1"/>
  <c r="F217" i="20"/>
  <c r="E217" i="20"/>
  <c r="D217" i="20"/>
  <c r="C217" i="20"/>
  <c r="B217" i="20"/>
  <c r="G216" i="20"/>
  <c r="H216" i="20" s="1"/>
  <c r="F216" i="20"/>
  <c r="E216" i="20"/>
  <c r="D216" i="20"/>
  <c r="C216" i="20"/>
  <c r="B216" i="20"/>
  <c r="J215" i="20" a="1"/>
  <c r="I215" i="20" a="1"/>
  <c r="I215" i="20" s="1"/>
  <c r="G215" i="20"/>
  <c r="H215" i="20" s="1"/>
  <c r="F215" i="20"/>
  <c r="E215" i="20"/>
  <c r="D215" i="20"/>
  <c r="C215" i="20"/>
  <c r="B215" i="20"/>
  <c r="G214" i="20"/>
  <c r="H214" i="20" s="1"/>
  <c r="F214" i="20"/>
  <c r="E214" i="20"/>
  <c r="D214" i="20"/>
  <c r="C214" i="20"/>
  <c r="B214" i="20"/>
  <c r="G213" i="20"/>
  <c r="H213" i="20" s="1"/>
  <c r="F213" i="20"/>
  <c r="E213" i="20"/>
  <c r="D213" i="20"/>
  <c r="C213" i="20"/>
  <c r="B213" i="20"/>
  <c r="J212" i="20" a="1"/>
  <c r="J212" i="20" s="1"/>
  <c r="I212" i="20" a="1"/>
  <c r="I212" i="20" s="1"/>
  <c r="G212" i="20"/>
  <c r="H212" i="20" s="1"/>
  <c r="F212" i="20"/>
  <c r="E212" i="20"/>
  <c r="D212" i="20"/>
  <c r="C212" i="20"/>
  <c r="B212" i="20"/>
  <c r="G211" i="20"/>
  <c r="H211" i="20" s="1"/>
  <c r="F211" i="20"/>
  <c r="E211" i="20"/>
  <c r="D211" i="20"/>
  <c r="C211" i="20"/>
  <c r="B211" i="20"/>
  <c r="G210" i="20"/>
  <c r="H210" i="20" s="1"/>
  <c r="F210" i="20"/>
  <c r="E210" i="20"/>
  <c r="D210" i="20"/>
  <c r="C210" i="20"/>
  <c r="B210" i="20"/>
  <c r="J209" i="20" a="1"/>
  <c r="J209" i="20" s="1"/>
  <c r="I209" i="20" a="1"/>
  <c r="I209" i="20" s="1"/>
  <c r="G209" i="20"/>
  <c r="H209" i="20" s="1"/>
  <c r="F209" i="20"/>
  <c r="E209" i="20"/>
  <c r="D209" i="20"/>
  <c r="C209" i="20"/>
  <c r="B209" i="20"/>
  <c r="H208" i="20"/>
  <c r="G208" i="20"/>
  <c r="F208" i="20"/>
  <c r="E208" i="20"/>
  <c r="D208" i="20"/>
  <c r="C208" i="20"/>
  <c r="B208" i="20"/>
  <c r="G207" i="20"/>
  <c r="H207" i="20" s="1"/>
  <c r="F207" i="20"/>
  <c r="E207" i="20"/>
  <c r="D207" i="20"/>
  <c r="C207" i="20"/>
  <c r="B207" i="20"/>
  <c r="G206" i="20"/>
  <c r="H206" i="20" s="1"/>
  <c r="F206" i="20"/>
  <c r="E206" i="20"/>
  <c r="D206" i="20"/>
  <c r="C206" i="20"/>
  <c r="B206" i="20"/>
  <c r="G205" i="20"/>
  <c r="H205" i="20" s="1"/>
  <c r="F205" i="20"/>
  <c r="E205" i="20"/>
  <c r="D205" i="20"/>
  <c r="C205" i="20"/>
  <c r="B205" i="20"/>
  <c r="G204" i="20"/>
  <c r="H204" i="20" s="1"/>
  <c r="F204" i="20"/>
  <c r="E204" i="20"/>
  <c r="D204" i="20"/>
  <c r="C204" i="20"/>
  <c r="B204" i="20"/>
  <c r="G203" i="20"/>
  <c r="H203" i="20" s="1"/>
  <c r="F203" i="20"/>
  <c r="E203" i="20"/>
  <c r="D203" i="20"/>
  <c r="C203" i="20"/>
  <c r="B203" i="20"/>
  <c r="J202" i="20" a="1"/>
  <c r="J202" i="20" s="1"/>
  <c r="I202" i="20" a="1"/>
  <c r="I202" i="20" s="1"/>
  <c r="G202" i="20"/>
  <c r="H202" i="20" s="1"/>
  <c r="F202" i="20"/>
  <c r="E202" i="20"/>
  <c r="D202" i="20"/>
  <c r="C202" i="20"/>
  <c r="B202" i="20"/>
  <c r="G201" i="20"/>
  <c r="H201" i="20" s="1"/>
  <c r="F201" i="20"/>
  <c r="E201" i="20"/>
  <c r="D201" i="20"/>
  <c r="C201" i="20"/>
  <c r="B201" i="20"/>
  <c r="G200" i="20"/>
  <c r="H200" i="20" s="1"/>
  <c r="F200" i="20"/>
  <c r="E200" i="20"/>
  <c r="D200" i="20"/>
  <c r="C200" i="20"/>
  <c r="B200" i="20"/>
  <c r="G199" i="20"/>
  <c r="H199" i="20" s="1"/>
  <c r="F199" i="20"/>
  <c r="E199" i="20"/>
  <c r="D199" i="20"/>
  <c r="C199" i="20"/>
  <c r="B199" i="20"/>
  <c r="G198" i="20"/>
  <c r="H198" i="20" s="1"/>
  <c r="F198" i="20"/>
  <c r="E198" i="20"/>
  <c r="D198" i="20"/>
  <c r="C198" i="20"/>
  <c r="B198" i="20"/>
  <c r="G197" i="20"/>
  <c r="H197" i="20" s="1"/>
  <c r="F197" i="20"/>
  <c r="E197" i="20"/>
  <c r="D197" i="20"/>
  <c r="C197" i="20"/>
  <c r="B197" i="20"/>
  <c r="G196" i="20"/>
  <c r="H196" i="20" s="1"/>
  <c r="F196" i="20"/>
  <c r="E196" i="20"/>
  <c r="D196" i="20"/>
  <c r="C196" i="20"/>
  <c r="B196" i="20"/>
  <c r="G195" i="20"/>
  <c r="H195" i="20" s="1"/>
  <c r="F195" i="20"/>
  <c r="E195" i="20"/>
  <c r="D195" i="20"/>
  <c r="C195" i="20"/>
  <c r="B195" i="20"/>
  <c r="J194" i="20" a="1"/>
  <c r="I194" i="20" a="1"/>
  <c r="I194" i="20" s="1"/>
  <c r="G194" i="20"/>
  <c r="H194" i="20" s="1"/>
  <c r="F194" i="20"/>
  <c r="E194" i="20"/>
  <c r="D194" i="20"/>
  <c r="C194" i="20"/>
  <c r="B194" i="20"/>
  <c r="G193" i="20"/>
  <c r="H193" i="20" s="1"/>
  <c r="F193" i="20"/>
  <c r="E193" i="20"/>
  <c r="D193" i="20"/>
  <c r="C193" i="20"/>
  <c r="B193" i="20"/>
  <c r="H192" i="20"/>
  <c r="G192" i="20"/>
  <c r="F192" i="20"/>
  <c r="E192" i="20"/>
  <c r="D192" i="20"/>
  <c r="C192" i="20"/>
  <c r="B192" i="20"/>
  <c r="G191" i="20"/>
  <c r="H191" i="20" s="1"/>
  <c r="F191" i="20"/>
  <c r="E191" i="20"/>
  <c r="D191" i="20"/>
  <c r="C191" i="20"/>
  <c r="B191" i="20"/>
  <c r="G190" i="20"/>
  <c r="H190" i="20" s="1"/>
  <c r="F190" i="20"/>
  <c r="E190" i="20"/>
  <c r="D190" i="20"/>
  <c r="C190" i="20"/>
  <c r="B190" i="20"/>
  <c r="G189" i="20"/>
  <c r="H189" i="20" s="1"/>
  <c r="F189" i="20"/>
  <c r="E189" i="20"/>
  <c r="D189" i="20"/>
  <c r="C189" i="20"/>
  <c r="B189" i="20"/>
  <c r="G188" i="20"/>
  <c r="H188" i="20" s="1"/>
  <c r="F188" i="20"/>
  <c r="E188" i="20"/>
  <c r="D188" i="20"/>
  <c r="C188" i="20"/>
  <c r="B188" i="20"/>
  <c r="G187" i="20"/>
  <c r="H187" i="20" s="1"/>
  <c r="F187" i="20"/>
  <c r="E187" i="20"/>
  <c r="D187" i="20"/>
  <c r="C187" i="20"/>
  <c r="B187" i="20"/>
  <c r="J186" i="20" a="1"/>
  <c r="J186" i="20" s="1"/>
  <c r="I186" i="20" a="1"/>
  <c r="I186" i="20" s="1"/>
  <c r="G186" i="20"/>
  <c r="H186" i="20" s="1"/>
  <c r="F186" i="20"/>
  <c r="E186" i="20"/>
  <c r="D186" i="20"/>
  <c r="C186" i="20"/>
  <c r="B186" i="20"/>
  <c r="G185" i="20"/>
  <c r="H185" i="20" s="1"/>
  <c r="F185" i="20"/>
  <c r="E185" i="20"/>
  <c r="D185" i="20"/>
  <c r="C185" i="20"/>
  <c r="B185" i="20"/>
  <c r="G184" i="20"/>
  <c r="H184" i="20" s="1"/>
  <c r="F184" i="20"/>
  <c r="E184" i="20"/>
  <c r="D184" i="20"/>
  <c r="C184" i="20"/>
  <c r="B184" i="20"/>
  <c r="G183" i="20"/>
  <c r="H183" i="20" s="1"/>
  <c r="F183" i="20"/>
  <c r="E183" i="20"/>
  <c r="D183" i="20"/>
  <c r="C183" i="20"/>
  <c r="B183" i="20"/>
  <c r="G182" i="20"/>
  <c r="H182" i="20" s="1"/>
  <c r="F182" i="20"/>
  <c r="E182" i="20"/>
  <c r="D182" i="20"/>
  <c r="C182" i="20"/>
  <c r="B182" i="20"/>
  <c r="G181" i="20"/>
  <c r="H181" i="20" s="1"/>
  <c r="F181" i="20"/>
  <c r="E181" i="20"/>
  <c r="D181" i="20"/>
  <c r="C181" i="20"/>
  <c r="B181" i="20"/>
  <c r="G180" i="20"/>
  <c r="H180" i="20" s="1"/>
  <c r="F180" i="20"/>
  <c r="E180" i="20"/>
  <c r="D180" i="20"/>
  <c r="C180" i="20"/>
  <c r="B180" i="20"/>
  <c r="J179" i="20" a="1"/>
  <c r="I179" i="20" a="1"/>
  <c r="I179" i="20" s="1"/>
  <c r="H179" i="20"/>
  <c r="G179" i="20"/>
  <c r="F179" i="20"/>
  <c r="E179" i="20"/>
  <c r="D179" i="20"/>
  <c r="C179" i="20"/>
  <c r="B179" i="20"/>
  <c r="G178" i="20"/>
  <c r="H178" i="20" s="1"/>
  <c r="F178" i="20"/>
  <c r="E178" i="20"/>
  <c r="D178" i="20"/>
  <c r="C178" i="20"/>
  <c r="B178" i="20"/>
  <c r="G177" i="20"/>
  <c r="H177" i="20" s="1"/>
  <c r="F177" i="20"/>
  <c r="E177" i="20"/>
  <c r="D177" i="20"/>
  <c r="C177" i="20"/>
  <c r="B177" i="20"/>
  <c r="G176" i="20"/>
  <c r="H176" i="20" s="1"/>
  <c r="F176" i="20"/>
  <c r="E176" i="20"/>
  <c r="D176" i="20"/>
  <c r="C176" i="20"/>
  <c r="B176" i="20"/>
  <c r="G175" i="20"/>
  <c r="H175" i="20" s="1"/>
  <c r="F175" i="20"/>
  <c r="E175" i="20"/>
  <c r="D175" i="20"/>
  <c r="C175" i="20"/>
  <c r="B175" i="20"/>
  <c r="G174" i="20"/>
  <c r="H174" i="20" s="1"/>
  <c r="F174" i="20"/>
  <c r="E174" i="20"/>
  <c r="D174" i="20"/>
  <c r="C174" i="20"/>
  <c r="B174" i="20"/>
  <c r="J173" i="20" a="1"/>
  <c r="I173" i="20" a="1"/>
  <c r="I173" i="20" s="1"/>
  <c r="G173" i="20"/>
  <c r="H173" i="20" s="1"/>
  <c r="F173" i="20"/>
  <c r="E173" i="20"/>
  <c r="D173" i="20"/>
  <c r="C173" i="20"/>
  <c r="B173" i="20"/>
  <c r="G172" i="20"/>
  <c r="H172" i="20" s="1"/>
  <c r="F172" i="20"/>
  <c r="E172" i="20"/>
  <c r="D172" i="20"/>
  <c r="C172" i="20"/>
  <c r="B172" i="20"/>
  <c r="G171" i="20"/>
  <c r="H171" i="20" s="1"/>
  <c r="F171" i="20"/>
  <c r="E171" i="20"/>
  <c r="D171" i="20"/>
  <c r="C171" i="20"/>
  <c r="B171" i="20"/>
  <c r="G170" i="20"/>
  <c r="H170" i="20" s="1"/>
  <c r="F170" i="20"/>
  <c r="E170" i="20"/>
  <c r="D170" i="20"/>
  <c r="C170" i="20"/>
  <c r="B170" i="20"/>
  <c r="G169" i="20"/>
  <c r="H169" i="20" s="1"/>
  <c r="F169" i="20"/>
  <c r="E169" i="20"/>
  <c r="D169" i="20"/>
  <c r="C169" i="20"/>
  <c r="B169" i="20"/>
  <c r="G168" i="20"/>
  <c r="H168" i="20" s="1"/>
  <c r="F168" i="20"/>
  <c r="E168" i="20"/>
  <c r="D168" i="20"/>
  <c r="C168" i="20"/>
  <c r="B168" i="20"/>
  <c r="G167" i="20"/>
  <c r="H167" i="20" s="1"/>
  <c r="F167" i="20"/>
  <c r="E167" i="20"/>
  <c r="D167" i="20"/>
  <c r="C167" i="20"/>
  <c r="B167" i="20"/>
  <c r="G166" i="20"/>
  <c r="H166" i="20" s="1"/>
  <c r="F166" i="20"/>
  <c r="E166" i="20"/>
  <c r="D166" i="20"/>
  <c r="C166" i="20"/>
  <c r="B166" i="20"/>
  <c r="J165" i="20" a="1"/>
  <c r="I165" i="20" a="1"/>
  <c r="I165" i="20" s="1"/>
  <c r="G165" i="20"/>
  <c r="H165" i="20" s="1"/>
  <c r="F165" i="20"/>
  <c r="E165" i="20"/>
  <c r="D165" i="20"/>
  <c r="C165" i="20"/>
  <c r="B165" i="20"/>
  <c r="G164" i="20"/>
  <c r="H164" i="20" s="1"/>
  <c r="F164" i="20"/>
  <c r="E164" i="20"/>
  <c r="D164" i="20"/>
  <c r="C164" i="20"/>
  <c r="B164" i="20"/>
  <c r="G163" i="20"/>
  <c r="H163" i="20" s="1"/>
  <c r="F163" i="20"/>
  <c r="E163" i="20"/>
  <c r="D163" i="20"/>
  <c r="C163" i="20"/>
  <c r="B163" i="20"/>
  <c r="H162" i="20"/>
  <c r="G162" i="20"/>
  <c r="F162" i="20"/>
  <c r="E162" i="20"/>
  <c r="D162" i="20"/>
  <c r="C162" i="20"/>
  <c r="B162" i="20"/>
  <c r="G161" i="20"/>
  <c r="H161" i="20" s="1"/>
  <c r="F161" i="20"/>
  <c r="E161" i="20"/>
  <c r="D161" i="20"/>
  <c r="C161" i="20"/>
  <c r="B161" i="20"/>
  <c r="G160" i="20"/>
  <c r="H160" i="20" s="1"/>
  <c r="F160" i="20"/>
  <c r="E160" i="20"/>
  <c r="D160" i="20"/>
  <c r="C160" i="20"/>
  <c r="B160" i="20"/>
  <c r="G159" i="20"/>
  <c r="H159" i="20" s="1"/>
  <c r="F159" i="20"/>
  <c r="E159" i="20"/>
  <c r="D159" i="20"/>
  <c r="C159" i="20"/>
  <c r="B159" i="20"/>
  <c r="J158" i="20" a="1"/>
  <c r="J158" i="20" s="1"/>
  <c r="I158" i="20" a="1"/>
  <c r="I158" i="20" s="1"/>
  <c r="G158" i="20"/>
  <c r="H158" i="20" s="1"/>
  <c r="F158" i="20"/>
  <c r="E158" i="20"/>
  <c r="D158" i="20"/>
  <c r="C158" i="20"/>
  <c r="B158" i="20"/>
  <c r="G157" i="20"/>
  <c r="H157" i="20" s="1"/>
  <c r="F157" i="20"/>
  <c r="E157" i="20"/>
  <c r="D157" i="20"/>
  <c r="C157" i="20"/>
  <c r="B157" i="20"/>
  <c r="G156" i="20"/>
  <c r="H156" i="20" s="1"/>
  <c r="F156" i="20"/>
  <c r="E156" i="20"/>
  <c r="D156" i="20"/>
  <c r="C156" i="20"/>
  <c r="B156" i="20"/>
  <c r="J155" i="20" a="1"/>
  <c r="J155" i="20" s="1"/>
  <c r="I155" i="20" a="1"/>
  <c r="I155" i="20" s="1"/>
  <c r="G155" i="20"/>
  <c r="H155" i="20" s="1"/>
  <c r="F155" i="20"/>
  <c r="E155" i="20"/>
  <c r="D155" i="20"/>
  <c r="C155" i="20"/>
  <c r="B155" i="20"/>
  <c r="G154" i="20"/>
  <c r="H154" i="20" s="1"/>
  <c r="F154" i="20"/>
  <c r="E154" i="20"/>
  <c r="D154" i="20"/>
  <c r="C154" i="20"/>
  <c r="B154" i="20"/>
  <c r="G153" i="20"/>
  <c r="H153" i="20" s="1"/>
  <c r="F153" i="20"/>
  <c r="E153" i="20"/>
  <c r="D153" i="20"/>
  <c r="C153" i="20"/>
  <c r="B153" i="20"/>
  <c r="J152" i="20" a="1"/>
  <c r="J152" i="20" s="1"/>
  <c r="I152" i="20" a="1"/>
  <c r="I152" i="20" s="1"/>
  <c r="G152" i="20"/>
  <c r="H152" i="20" s="1"/>
  <c r="F152" i="20"/>
  <c r="E152" i="20"/>
  <c r="D152" i="20"/>
  <c r="C152" i="20"/>
  <c r="B152" i="20"/>
  <c r="H151" i="20"/>
  <c r="G151" i="20"/>
  <c r="F151" i="20"/>
  <c r="E151" i="20"/>
  <c r="D151" i="20"/>
  <c r="C151" i="20"/>
  <c r="B151" i="20"/>
  <c r="G150" i="20"/>
  <c r="H150" i="20" s="1"/>
  <c r="F150" i="20"/>
  <c r="E150" i="20"/>
  <c r="D150" i="20"/>
  <c r="C150" i="20"/>
  <c r="B150" i="20"/>
  <c r="J149" i="20" a="1"/>
  <c r="J149" i="20" s="1"/>
  <c r="I149" i="20" a="1"/>
  <c r="I149" i="20" s="1"/>
  <c r="G149" i="20"/>
  <c r="H149" i="20" s="1"/>
  <c r="F149" i="20"/>
  <c r="E149" i="20"/>
  <c r="D149" i="20"/>
  <c r="C149" i="20"/>
  <c r="B149" i="20"/>
  <c r="G148" i="20"/>
  <c r="H148" i="20" s="1"/>
  <c r="F148" i="20"/>
  <c r="E148" i="20"/>
  <c r="D148" i="20"/>
  <c r="C148" i="20"/>
  <c r="B148" i="20"/>
  <c r="G147" i="20"/>
  <c r="H147" i="20" s="1"/>
  <c r="F147" i="20"/>
  <c r="E147" i="20"/>
  <c r="D147" i="20"/>
  <c r="C147" i="20"/>
  <c r="B147" i="20"/>
  <c r="J146" i="20" a="1"/>
  <c r="J146" i="20" s="1"/>
  <c r="I146" i="20" a="1"/>
  <c r="I146" i="20" s="1"/>
  <c r="H146" i="20"/>
  <c r="G146" i="20"/>
  <c r="F146" i="20"/>
  <c r="E146" i="20"/>
  <c r="D146" i="20"/>
  <c r="C146" i="20"/>
  <c r="B146" i="20"/>
  <c r="G145" i="20"/>
  <c r="H145" i="20" s="1"/>
  <c r="F145" i="20"/>
  <c r="E145" i="20"/>
  <c r="D145" i="20"/>
  <c r="C145" i="20"/>
  <c r="B145" i="20"/>
  <c r="J144" i="20" a="1"/>
  <c r="J144" i="20" s="1"/>
  <c r="I144" i="20" a="1"/>
  <c r="I144" i="20" s="1"/>
  <c r="G144" i="20"/>
  <c r="H144" i="20" s="1"/>
  <c r="F144" i="20"/>
  <c r="E144" i="20"/>
  <c r="D144" i="20"/>
  <c r="C144" i="20"/>
  <c r="B144" i="20"/>
  <c r="J143" i="20"/>
  <c r="I143" i="20"/>
  <c r="G143" i="20"/>
  <c r="H143" i="20" s="1"/>
  <c r="F143" i="20"/>
  <c r="E143" i="20"/>
  <c r="D143" i="20"/>
  <c r="C143" i="20"/>
  <c r="B143" i="20"/>
  <c r="J142" i="20"/>
  <c r="I142" i="20"/>
  <c r="G142" i="20"/>
  <c r="H142" i="20" s="1"/>
  <c r="F142" i="20"/>
  <c r="E142" i="20"/>
  <c r="D142" i="20"/>
  <c r="C142" i="20"/>
  <c r="B142" i="20"/>
  <c r="J141" i="20"/>
  <c r="I141" i="20"/>
  <c r="G141" i="20"/>
  <c r="H141" i="20" s="1"/>
  <c r="F141" i="20"/>
  <c r="E141" i="20"/>
  <c r="D141" i="20"/>
  <c r="C141" i="20"/>
  <c r="B141" i="20"/>
  <c r="J140" i="20"/>
  <c r="I140" i="20"/>
  <c r="G140" i="20"/>
  <c r="H140" i="20" s="1"/>
  <c r="F140" i="20"/>
  <c r="E140" i="20"/>
  <c r="D140" i="20"/>
  <c r="C140" i="20"/>
  <c r="B140" i="20"/>
  <c r="J139" i="20"/>
  <c r="I139" i="20"/>
  <c r="G139" i="20"/>
  <c r="H139" i="20" s="1"/>
  <c r="F139" i="20"/>
  <c r="E139" i="20"/>
  <c r="D139" i="20"/>
  <c r="C139" i="20"/>
  <c r="B139" i="20"/>
  <c r="J138" i="20"/>
  <c r="I138" i="20"/>
  <c r="G138" i="20"/>
  <c r="H138" i="20" s="1"/>
  <c r="F138" i="20"/>
  <c r="E138" i="20"/>
  <c r="D138" i="20"/>
  <c r="C138" i="20"/>
  <c r="B138" i="20"/>
  <c r="J137" i="20"/>
  <c r="I137" i="20"/>
  <c r="H137" i="20"/>
  <c r="G137" i="20"/>
  <c r="F137" i="20"/>
  <c r="E137" i="20"/>
  <c r="D137" i="20"/>
  <c r="C137" i="20"/>
  <c r="B137" i="20"/>
  <c r="J136" i="20"/>
  <c r="I136" i="20"/>
  <c r="G136" i="20"/>
  <c r="H136" i="20" s="1"/>
  <c r="F136" i="20"/>
  <c r="E136" i="20"/>
  <c r="D136" i="20"/>
  <c r="C136" i="20"/>
  <c r="B136" i="20"/>
  <c r="J135" i="20"/>
  <c r="I135" i="20"/>
  <c r="G135" i="20"/>
  <c r="H135" i="20" s="1"/>
  <c r="F135" i="20"/>
  <c r="E135" i="20"/>
  <c r="D135" i="20"/>
  <c r="C135" i="20"/>
  <c r="B135" i="20"/>
  <c r="J134" i="20"/>
  <c r="I134" i="20"/>
  <c r="G134" i="20"/>
  <c r="H134" i="20" s="1"/>
  <c r="F134" i="20"/>
  <c r="E134" i="20"/>
  <c r="D134" i="20"/>
  <c r="C134" i="20"/>
  <c r="B134" i="20"/>
  <c r="J133" i="20"/>
  <c r="I133" i="20"/>
  <c r="H133" i="20"/>
  <c r="G133" i="20"/>
  <c r="F133" i="20"/>
  <c r="E133" i="20"/>
  <c r="D133" i="20"/>
  <c r="C133" i="20"/>
  <c r="B133" i="20"/>
  <c r="J132" i="20"/>
  <c r="I132" i="20"/>
  <c r="G132" i="20"/>
  <c r="H132" i="20" s="1"/>
  <c r="F132" i="20"/>
  <c r="E132" i="20"/>
  <c r="D132" i="20"/>
  <c r="C132" i="20"/>
  <c r="B132" i="20"/>
  <c r="J131" i="20"/>
  <c r="I131" i="20"/>
  <c r="G131" i="20"/>
  <c r="H131" i="20" s="1"/>
  <c r="F131" i="20"/>
  <c r="E131" i="20"/>
  <c r="D131" i="20"/>
  <c r="C131" i="20"/>
  <c r="B131" i="20"/>
  <c r="J130" i="20"/>
  <c r="I130" i="20"/>
  <c r="G130" i="20"/>
  <c r="H130" i="20" s="1"/>
  <c r="F130" i="20"/>
  <c r="E130" i="20"/>
  <c r="D130" i="20"/>
  <c r="C130" i="20"/>
  <c r="B130" i="20"/>
  <c r="J129" i="20"/>
  <c r="I129" i="20"/>
  <c r="G129" i="20"/>
  <c r="H129" i="20" s="1"/>
  <c r="F129" i="20"/>
  <c r="E129" i="20"/>
  <c r="D129" i="20"/>
  <c r="C129" i="20"/>
  <c r="B129" i="20"/>
  <c r="J128" i="20"/>
  <c r="I128" i="20"/>
  <c r="G128" i="20"/>
  <c r="H128" i="20" s="1"/>
  <c r="F128" i="20"/>
  <c r="E128" i="20"/>
  <c r="D128" i="20"/>
  <c r="C128" i="20"/>
  <c r="B128" i="20"/>
  <c r="J127" i="20"/>
  <c r="I127" i="20"/>
  <c r="G127" i="20"/>
  <c r="H127" i="20" s="1"/>
  <c r="F127" i="20"/>
  <c r="E127" i="20"/>
  <c r="D127" i="20"/>
  <c r="C127" i="20"/>
  <c r="B127" i="20"/>
  <c r="J126" i="20"/>
  <c r="I126" i="20"/>
  <c r="G126" i="20"/>
  <c r="H126" i="20" s="1"/>
  <c r="F126" i="20"/>
  <c r="E126" i="20"/>
  <c r="D126" i="20"/>
  <c r="C126" i="20"/>
  <c r="B126" i="20"/>
  <c r="J125" i="20"/>
  <c r="I125" i="20"/>
  <c r="G125" i="20"/>
  <c r="H125" i="20" s="1"/>
  <c r="F125" i="20"/>
  <c r="E125" i="20"/>
  <c r="D125" i="20"/>
  <c r="C125" i="20"/>
  <c r="B125" i="20"/>
  <c r="J124" i="20"/>
  <c r="I124" i="20"/>
  <c r="G124" i="20"/>
  <c r="H124" i="20" s="1"/>
  <c r="F124" i="20"/>
  <c r="E124" i="20"/>
  <c r="D124" i="20"/>
  <c r="C124" i="20"/>
  <c r="B124" i="20"/>
  <c r="J123" i="20"/>
  <c r="I123" i="20"/>
  <c r="G123" i="20"/>
  <c r="H123" i="20" s="1"/>
  <c r="F123" i="20"/>
  <c r="E123" i="20"/>
  <c r="D123" i="20"/>
  <c r="C123" i="20"/>
  <c r="B123" i="20"/>
  <c r="J122" i="20"/>
  <c r="I122" i="20"/>
  <c r="G122" i="20"/>
  <c r="H122" i="20" s="1"/>
  <c r="F122" i="20"/>
  <c r="E122" i="20"/>
  <c r="D122" i="20"/>
  <c r="C122" i="20"/>
  <c r="B122" i="20"/>
  <c r="J121" i="20"/>
  <c r="I121" i="20"/>
  <c r="H121" i="20"/>
  <c r="G121" i="20"/>
  <c r="F121" i="20"/>
  <c r="E121" i="20"/>
  <c r="D121" i="20"/>
  <c r="C121" i="20"/>
  <c r="B121" i="20"/>
  <c r="J120" i="20"/>
  <c r="I120" i="20"/>
  <c r="G120" i="20"/>
  <c r="H120" i="20" s="1"/>
  <c r="F120" i="20"/>
  <c r="E120" i="20"/>
  <c r="D120" i="20"/>
  <c r="C120" i="20"/>
  <c r="B120" i="20"/>
  <c r="J119" i="20"/>
  <c r="I119" i="20"/>
  <c r="G119" i="20"/>
  <c r="H119" i="20" s="1"/>
  <c r="F119" i="20"/>
  <c r="E119" i="20"/>
  <c r="D119" i="20"/>
  <c r="C119" i="20"/>
  <c r="B119" i="20"/>
  <c r="J118" i="20"/>
  <c r="I118" i="20"/>
  <c r="H118" i="20"/>
  <c r="G118" i="20"/>
  <c r="F118" i="20"/>
  <c r="E118" i="20"/>
  <c r="D118" i="20"/>
  <c r="C118" i="20"/>
  <c r="B118" i="20"/>
  <c r="J117" i="20"/>
  <c r="I117" i="20"/>
  <c r="G117" i="20"/>
  <c r="H117" i="20" s="1"/>
  <c r="F117" i="20"/>
  <c r="E117" i="20"/>
  <c r="D117" i="20"/>
  <c r="C117" i="20"/>
  <c r="B117" i="20"/>
  <c r="J116" i="20"/>
  <c r="I116" i="20"/>
  <c r="G116" i="20"/>
  <c r="H116" i="20" s="1"/>
  <c r="F116" i="20"/>
  <c r="E116" i="20"/>
  <c r="D116" i="20"/>
  <c r="C116" i="20"/>
  <c r="B116" i="20"/>
  <c r="J115" i="20"/>
  <c r="I115" i="20"/>
  <c r="H115" i="20"/>
  <c r="G115" i="20"/>
  <c r="F115" i="20"/>
  <c r="E115" i="20"/>
  <c r="D115" i="20"/>
  <c r="C115" i="20"/>
  <c r="B115" i="20"/>
  <c r="J114" i="20"/>
  <c r="I114" i="20"/>
  <c r="G114" i="20"/>
  <c r="H114" i="20" s="1"/>
  <c r="F114" i="20"/>
  <c r="E114" i="20"/>
  <c r="D114" i="20"/>
  <c r="C114" i="20"/>
  <c r="B114" i="20"/>
  <c r="J113" i="20"/>
  <c r="I113" i="20"/>
  <c r="G113" i="20"/>
  <c r="H113" i="20" s="1"/>
  <c r="F113" i="20"/>
  <c r="E113" i="20"/>
  <c r="D113" i="20"/>
  <c r="C113" i="20"/>
  <c r="B113" i="20"/>
  <c r="J112" i="20"/>
  <c r="I112" i="20"/>
  <c r="G112" i="20"/>
  <c r="H112" i="20" s="1"/>
  <c r="F112" i="20"/>
  <c r="E112" i="20"/>
  <c r="D112" i="20"/>
  <c r="C112" i="20"/>
  <c r="B112" i="20"/>
  <c r="J111" i="20"/>
  <c r="I111" i="20"/>
  <c r="G111" i="20"/>
  <c r="H111" i="20" s="1"/>
  <c r="F111" i="20"/>
  <c r="E111" i="20"/>
  <c r="D111" i="20"/>
  <c r="C111" i="20"/>
  <c r="B111" i="20"/>
  <c r="J110" i="20"/>
  <c r="I110" i="20"/>
  <c r="G110" i="20"/>
  <c r="H110" i="20" s="1"/>
  <c r="F110" i="20"/>
  <c r="E110" i="20"/>
  <c r="D110" i="20"/>
  <c r="C110" i="20"/>
  <c r="B110" i="20"/>
  <c r="J109" i="20"/>
  <c r="I109" i="20"/>
  <c r="G109" i="20"/>
  <c r="H109" i="20" s="1"/>
  <c r="F109" i="20"/>
  <c r="E109" i="20"/>
  <c r="D109" i="20"/>
  <c r="C109" i="20"/>
  <c r="B109" i="20"/>
  <c r="J108" i="20"/>
  <c r="I108" i="20"/>
  <c r="H108" i="20"/>
  <c r="G108" i="20"/>
  <c r="F108" i="20"/>
  <c r="E108" i="20"/>
  <c r="D108" i="20"/>
  <c r="C108" i="20"/>
  <c r="B108" i="20"/>
  <c r="J107" i="20"/>
  <c r="I107" i="20"/>
  <c r="G107" i="20"/>
  <c r="H107" i="20" s="1"/>
  <c r="F107" i="20"/>
  <c r="E107" i="20"/>
  <c r="D107" i="20"/>
  <c r="C107" i="20"/>
  <c r="B107" i="20"/>
  <c r="J106" i="20"/>
  <c r="I106" i="20"/>
  <c r="G106" i="20"/>
  <c r="H106" i="20" s="1"/>
  <c r="F106" i="20"/>
  <c r="E106" i="20"/>
  <c r="D106" i="20"/>
  <c r="C106" i="20"/>
  <c r="B106" i="20"/>
  <c r="J105" i="20"/>
  <c r="I105" i="20"/>
  <c r="G105" i="20"/>
  <c r="H105" i="20" s="1"/>
  <c r="F105" i="20"/>
  <c r="E105" i="20"/>
  <c r="D105" i="20"/>
  <c r="C105" i="20"/>
  <c r="B105" i="20"/>
  <c r="J104" i="20"/>
  <c r="I104" i="20"/>
  <c r="G104" i="20"/>
  <c r="H104" i="20" s="1"/>
  <c r="F104" i="20"/>
  <c r="E104" i="20"/>
  <c r="D104" i="20"/>
  <c r="C104" i="20"/>
  <c r="B104" i="20"/>
  <c r="J103" i="20"/>
  <c r="I103" i="20"/>
  <c r="G103" i="20"/>
  <c r="H103" i="20" s="1"/>
  <c r="F103" i="20"/>
  <c r="E103" i="20"/>
  <c r="D103" i="20"/>
  <c r="C103" i="20"/>
  <c r="B103" i="20"/>
  <c r="J102" i="20"/>
  <c r="I102" i="20"/>
  <c r="G102" i="20"/>
  <c r="H102" i="20" s="1"/>
  <c r="F102" i="20"/>
  <c r="E102" i="20"/>
  <c r="D102" i="20"/>
  <c r="C102" i="20"/>
  <c r="B102" i="20"/>
  <c r="J101" i="20"/>
  <c r="I101" i="20"/>
  <c r="G101" i="20"/>
  <c r="H101" i="20" s="1"/>
  <c r="F101" i="20"/>
  <c r="E101" i="20"/>
  <c r="D101" i="20"/>
  <c r="C101" i="20"/>
  <c r="B101" i="20"/>
  <c r="J100" i="20"/>
  <c r="I100" i="20"/>
  <c r="G100" i="20"/>
  <c r="H100" i="20" s="1"/>
  <c r="F100" i="20"/>
  <c r="E100" i="20"/>
  <c r="D100" i="20"/>
  <c r="C100" i="20"/>
  <c r="B100" i="20"/>
  <c r="J99" i="20"/>
  <c r="I99" i="20"/>
  <c r="G99" i="20"/>
  <c r="H99" i="20" s="1"/>
  <c r="F99" i="20"/>
  <c r="E99" i="20"/>
  <c r="D99" i="20"/>
  <c r="C99" i="20"/>
  <c r="B99" i="20"/>
  <c r="J98" i="20"/>
  <c r="I98" i="20"/>
  <c r="G98" i="20"/>
  <c r="H98" i="20" s="1"/>
  <c r="F98" i="20"/>
  <c r="E98" i="20"/>
  <c r="D98" i="20"/>
  <c r="C98" i="20"/>
  <c r="B98" i="20"/>
  <c r="J97" i="20"/>
  <c r="I97" i="20"/>
  <c r="H97" i="20"/>
  <c r="G97" i="20"/>
  <c r="F97" i="20"/>
  <c r="E97" i="20"/>
  <c r="D97" i="20"/>
  <c r="C97" i="20"/>
  <c r="B97" i="20"/>
  <c r="J96" i="20"/>
  <c r="I96" i="20"/>
  <c r="G96" i="20"/>
  <c r="H96" i="20" s="1"/>
  <c r="F96" i="20"/>
  <c r="E96" i="20"/>
  <c r="D96" i="20"/>
  <c r="C96" i="20"/>
  <c r="B96" i="20"/>
  <c r="J95" i="20"/>
  <c r="I95" i="20"/>
  <c r="G95" i="20"/>
  <c r="H95" i="20" s="1"/>
  <c r="F95" i="20"/>
  <c r="E95" i="20"/>
  <c r="D95" i="20"/>
  <c r="C95" i="20"/>
  <c r="B95" i="20"/>
  <c r="J94" i="20"/>
  <c r="I94" i="20"/>
  <c r="G94" i="20"/>
  <c r="H94" i="20" s="1"/>
  <c r="F94" i="20"/>
  <c r="E94" i="20"/>
  <c r="D94" i="20"/>
  <c r="C94" i="20"/>
  <c r="B94" i="20"/>
  <c r="J93" i="20"/>
  <c r="I93" i="20"/>
  <c r="G93" i="20"/>
  <c r="H93" i="20" s="1"/>
  <c r="F93" i="20"/>
  <c r="E93" i="20"/>
  <c r="D93" i="20"/>
  <c r="C93" i="20"/>
  <c r="B93" i="20"/>
  <c r="J92" i="20"/>
  <c r="I92" i="20"/>
  <c r="G92" i="20"/>
  <c r="H92" i="20" s="1"/>
  <c r="F92" i="20"/>
  <c r="E92" i="20"/>
  <c r="D92" i="20"/>
  <c r="C92" i="20"/>
  <c r="B92" i="20"/>
  <c r="J91" i="20"/>
  <c r="I91" i="20"/>
  <c r="H91" i="20"/>
  <c r="G91" i="20"/>
  <c r="F91" i="20"/>
  <c r="E91" i="20"/>
  <c r="D91" i="20"/>
  <c r="C91" i="20"/>
  <c r="B91" i="20"/>
  <c r="J90" i="20"/>
  <c r="I90" i="20"/>
  <c r="H90" i="20"/>
  <c r="G90" i="20"/>
  <c r="F90" i="20"/>
  <c r="E90" i="20"/>
  <c r="D90" i="20"/>
  <c r="C90" i="20"/>
  <c r="B90" i="20"/>
  <c r="J89" i="20"/>
  <c r="I89" i="20"/>
  <c r="G89" i="20"/>
  <c r="H89" i="20" s="1"/>
  <c r="F89" i="20"/>
  <c r="E89" i="20"/>
  <c r="D89" i="20"/>
  <c r="C89" i="20"/>
  <c r="B89" i="20"/>
  <c r="J88" i="20"/>
  <c r="I88" i="20"/>
  <c r="G88" i="20"/>
  <c r="H88" i="20" s="1"/>
  <c r="F88" i="20"/>
  <c r="E88" i="20"/>
  <c r="D88" i="20"/>
  <c r="C88" i="20"/>
  <c r="B88" i="20"/>
  <c r="J87" i="20"/>
  <c r="I87" i="20"/>
  <c r="H87" i="20"/>
  <c r="G87" i="20"/>
  <c r="F87" i="20"/>
  <c r="E87" i="20"/>
  <c r="D87" i="20"/>
  <c r="C87" i="20"/>
  <c r="B87" i="20"/>
  <c r="J86" i="20"/>
  <c r="I86" i="20"/>
  <c r="G86" i="20"/>
  <c r="H86" i="20" s="1"/>
  <c r="F86" i="20"/>
  <c r="E86" i="20"/>
  <c r="D86" i="20"/>
  <c r="C86" i="20"/>
  <c r="B86" i="20"/>
  <c r="J85" i="20"/>
  <c r="I85" i="20"/>
  <c r="G85" i="20"/>
  <c r="H85" i="20" s="1"/>
  <c r="F85" i="20"/>
  <c r="E85" i="20"/>
  <c r="D85" i="20"/>
  <c r="C85" i="20"/>
  <c r="B85" i="20"/>
  <c r="J84" i="20"/>
  <c r="I84" i="20"/>
  <c r="G84" i="20"/>
  <c r="H84" i="20" s="1"/>
  <c r="F84" i="20"/>
  <c r="E84" i="20"/>
  <c r="D84" i="20"/>
  <c r="C84" i="20"/>
  <c r="B84" i="20"/>
  <c r="J83" i="20"/>
  <c r="I83" i="20"/>
  <c r="G83" i="20"/>
  <c r="H83" i="20" s="1"/>
  <c r="F83" i="20"/>
  <c r="E83" i="20"/>
  <c r="D83" i="20"/>
  <c r="C83" i="20"/>
  <c r="B83" i="20"/>
  <c r="J82" i="20"/>
  <c r="I82" i="20"/>
  <c r="G82" i="20"/>
  <c r="H82" i="20" s="1"/>
  <c r="F82" i="20"/>
  <c r="E82" i="20"/>
  <c r="D82" i="20"/>
  <c r="C82" i="20"/>
  <c r="B82" i="20"/>
  <c r="J81" i="20"/>
  <c r="I81" i="20"/>
  <c r="G81" i="20"/>
  <c r="H81" i="20" s="1"/>
  <c r="F81" i="20"/>
  <c r="E81" i="20"/>
  <c r="D81" i="20"/>
  <c r="C81" i="20"/>
  <c r="B81" i="20"/>
  <c r="J80" i="20"/>
  <c r="I80" i="20"/>
  <c r="G80" i="20"/>
  <c r="H80" i="20" s="1"/>
  <c r="F80" i="20"/>
  <c r="E80" i="20"/>
  <c r="D80" i="20"/>
  <c r="C80" i="20"/>
  <c r="B80" i="20"/>
  <c r="J79" i="20"/>
  <c r="I79" i="20"/>
  <c r="G79" i="20"/>
  <c r="H79" i="20" s="1"/>
  <c r="F79" i="20"/>
  <c r="E79" i="20"/>
  <c r="D79" i="20"/>
  <c r="C79" i="20"/>
  <c r="B79" i="20"/>
  <c r="J78" i="20"/>
  <c r="I78" i="20"/>
  <c r="G78" i="20"/>
  <c r="H78" i="20" s="1"/>
  <c r="F78" i="20"/>
  <c r="E78" i="20"/>
  <c r="D78" i="20"/>
  <c r="C78" i="20"/>
  <c r="B78" i="20"/>
  <c r="J77" i="20"/>
  <c r="I77" i="20"/>
  <c r="G77" i="20"/>
  <c r="H77" i="20" s="1"/>
  <c r="F77" i="20"/>
  <c r="E77" i="20"/>
  <c r="D77" i="20"/>
  <c r="C77" i="20"/>
  <c r="B77" i="20"/>
  <c r="J76" i="20"/>
  <c r="I76" i="20"/>
  <c r="G76" i="20"/>
  <c r="H76" i="20" s="1"/>
  <c r="F76" i="20"/>
  <c r="E76" i="20"/>
  <c r="D76" i="20"/>
  <c r="C76" i="20"/>
  <c r="B76" i="20"/>
  <c r="J75" i="20"/>
  <c r="I75" i="20"/>
  <c r="G75" i="20"/>
  <c r="H75" i="20" s="1"/>
  <c r="F75" i="20"/>
  <c r="E75" i="20"/>
  <c r="D75" i="20"/>
  <c r="C75" i="20"/>
  <c r="B75" i="20"/>
  <c r="J74" i="20"/>
  <c r="I74" i="20"/>
  <c r="H74" i="20"/>
  <c r="G74" i="20"/>
  <c r="F74" i="20"/>
  <c r="E74" i="20"/>
  <c r="D74" i="20"/>
  <c r="C74" i="20"/>
  <c r="B74" i="20"/>
  <c r="J73" i="20"/>
  <c r="I73" i="20"/>
  <c r="G73" i="20"/>
  <c r="H73" i="20" s="1"/>
  <c r="F73" i="20"/>
  <c r="E73" i="20"/>
  <c r="D73" i="20"/>
  <c r="C73" i="20"/>
  <c r="B73" i="20"/>
  <c r="J72" i="20"/>
  <c r="I72" i="20"/>
  <c r="G72" i="20"/>
  <c r="H72" i="20" s="1"/>
  <c r="F72" i="20"/>
  <c r="E72" i="20"/>
  <c r="D72" i="20"/>
  <c r="C72" i="20"/>
  <c r="B72" i="20"/>
  <c r="J71" i="20"/>
  <c r="I71" i="20"/>
  <c r="H71" i="20"/>
  <c r="G71" i="20"/>
  <c r="F71" i="20"/>
  <c r="E71" i="20"/>
  <c r="D71" i="20"/>
  <c r="C71" i="20"/>
  <c r="B71" i="20"/>
  <c r="J70" i="20"/>
  <c r="I70" i="20"/>
  <c r="G70" i="20"/>
  <c r="H70" i="20" s="1"/>
  <c r="F70" i="20"/>
  <c r="E70" i="20"/>
  <c r="D70" i="20"/>
  <c r="C70" i="20"/>
  <c r="B70" i="20"/>
  <c r="J69" i="20"/>
  <c r="I69" i="20"/>
  <c r="G69" i="20"/>
  <c r="H69" i="20" s="1"/>
  <c r="F69" i="20"/>
  <c r="E69" i="20"/>
  <c r="D69" i="20"/>
  <c r="C69" i="20"/>
  <c r="B69" i="20"/>
  <c r="J68" i="20"/>
  <c r="I68" i="20"/>
  <c r="G68" i="20"/>
  <c r="H68" i="20" s="1"/>
  <c r="F68" i="20"/>
  <c r="E68" i="20"/>
  <c r="D68" i="20"/>
  <c r="C68" i="20"/>
  <c r="B68" i="20"/>
  <c r="J67" i="20"/>
  <c r="I67" i="20"/>
  <c r="G67" i="20"/>
  <c r="H67" i="20" s="1"/>
  <c r="F67" i="20"/>
  <c r="E67" i="20"/>
  <c r="D67" i="20"/>
  <c r="C67" i="20"/>
  <c r="B67" i="20"/>
  <c r="J66" i="20"/>
  <c r="I66" i="20"/>
  <c r="G66" i="20"/>
  <c r="H66" i="20" s="1"/>
  <c r="F66" i="20"/>
  <c r="E66" i="20"/>
  <c r="D66" i="20"/>
  <c r="C66" i="20"/>
  <c r="B66" i="20"/>
  <c r="J65" i="20"/>
  <c r="I65" i="20"/>
  <c r="G65" i="20"/>
  <c r="H65" i="20" s="1"/>
  <c r="F65" i="20"/>
  <c r="E65" i="20"/>
  <c r="D65" i="20"/>
  <c r="C65" i="20"/>
  <c r="B65" i="20"/>
  <c r="J64" i="20"/>
  <c r="I64" i="20"/>
  <c r="G64" i="20"/>
  <c r="H64" i="20" s="1"/>
  <c r="F64" i="20"/>
  <c r="E64" i="20"/>
  <c r="D64" i="20"/>
  <c r="C64" i="20"/>
  <c r="B64" i="20"/>
  <c r="J63" i="20"/>
  <c r="I63" i="20"/>
  <c r="H63" i="20"/>
  <c r="G63" i="20"/>
  <c r="F63" i="20"/>
  <c r="E63" i="20"/>
  <c r="D63" i="20"/>
  <c r="C63" i="20"/>
  <c r="B63" i="20"/>
  <c r="J62" i="20"/>
  <c r="I62" i="20"/>
  <c r="H62" i="20"/>
  <c r="G62" i="20"/>
  <c r="F62" i="20"/>
  <c r="E62" i="20"/>
  <c r="D62" i="20"/>
  <c r="C62" i="20"/>
  <c r="B62" i="20"/>
  <c r="J61" i="20"/>
  <c r="I61" i="20"/>
  <c r="G61" i="20"/>
  <c r="H61" i="20" s="1"/>
  <c r="F61" i="20"/>
  <c r="E61" i="20"/>
  <c r="D61" i="20"/>
  <c r="C61" i="20"/>
  <c r="B61" i="20"/>
  <c r="J60" i="20"/>
  <c r="I60" i="20"/>
  <c r="G60" i="20"/>
  <c r="H60" i="20" s="1"/>
  <c r="F60" i="20"/>
  <c r="E60" i="20"/>
  <c r="D60" i="20"/>
  <c r="C60" i="20"/>
  <c r="B60" i="20"/>
  <c r="J59" i="20"/>
  <c r="I59" i="20"/>
  <c r="G59" i="20"/>
  <c r="H59" i="20" s="1"/>
  <c r="F59" i="20"/>
  <c r="E59" i="20"/>
  <c r="D59" i="20"/>
  <c r="C59" i="20"/>
  <c r="B59" i="20"/>
  <c r="J58" i="20"/>
  <c r="I58" i="20"/>
  <c r="G58" i="20"/>
  <c r="H58" i="20" s="1"/>
  <c r="F58" i="20"/>
  <c r="E58" i="20"/>
  <c r="D58" i="20"/>
  <c r="C58" i="20"/>
  <c r="B58" i="20"/>
  <c r="J57" i="20"/>
  <c r="I57" i="20"/>
  <c r="G57" i="20"/>
  <c r="H57" i="20" s="1"/>
  <c r="F57" i="20"/>
  <c r="E57" i="20"/>
  <c r="D57" i="20"/>
  <c r="C57" i="20"/>
  <c r="B57" i="20"/>
  <c r="J56" i="20"/>
  <c r="I56" i="20"/>
  <c r="H56" i="20"/>
  <c r="G56" i="20"/>
  <c r="F56" i="20"/>
  <c r="E56" i="20"/>
  <c r="D56" i="20"/>
  <c r="C56" i="20"/>
  <c r="B56" i="20"/>
  <c r="J55" i="20"/>
  <c r="I55" i="20"/>
  <c r="G55" i="20"/>
  <c r="H55" i="20" s="1"/>
  <c r="F55" i="20"/>
  <c r="E55" i="20"/>
  <c r="D55" i="20"/>
  <c r="C55" i="20"/>
  <c r="B55" i="20"/>
  <c r="J54" i="20"/>
  <c r="I54" i="20"/>
  <c r="G54" i="20"/>
  <c r="H54" i="20" s="1"/>
  <c r="F54" i="20"/>
  <c r="E54" i="20"/>
  <c r="D54" i="20"/>
  <c r="C54" i="20"/>
  <c r="B54" i="20"/>
  <c r="J53" i="20"/>
  <c r="I53" i="20"/>
  <c r="G53" i="20"/>
  <c r="H53" i="20" s="1"/>
  <c r="F53" i="20"/>
  <c r="E53" i="20"/>
  <c r="D53" i="20"/>
  <c r="C53" i="20"/>
  <c r="B53" i="20"/>
  <c r="J52" i="20"/>
  <c r="I52" i="20"/>
  <c r="G52" i="20"/>
  <c r="H52" i="20" s="1"/>
  <c r="F52" i="20"/>
  <c r="E52" i="20"/>
  <c r="D52" i="20"/>
  <c r="C52" i="20"/>
  <c r="B52" i="20"/>
  <c r="J51" i="20"/>
  <c r="I51" i="20"/>
  <c r="G51" i="20"/>
  <c r="H51" i="20" s="1"/>
  <c r="F51" i="20"/>
  <c r="E51" i="20"/>
  <c r="D51" i="20"/>
  <c r="C51" i="20"/>
  <c r="B51" i="20"/>
  <c r="J50" i="20"/>
  <c r="I50" i="20"/>
  <c r="G50" i="20"/>
  <c r="H50" i="20" s="1"/>
  <c r="F50" i="20"/>
  <c r="E50" i="20"/>
  <c r="D50" i="20"/>
  <c r="C50" i="20"/>
  <c r="B50" i="20"/>
  <c r="J49" i="20"/>
  <c r="I49" i="20"/>
  <c r="G49" i="20"/>
  <c r="H49" i="20" s="1"/>
  <c r="F49" i="20"/>
  <c r="E49" i="20"/>
  <c r="D49" i="20"/>
  <c r="C49" i="20"/>
  <c r="B49" i="20"/>
  <c r="J48" i="20"/>
  <c r="I48" i="20"/>
  <c r="G48" i="20"/>
  <c r="H48" i="20" s="1"/>
  <c r="F48" i="20"/>
  <c r="E48" i="20"/>
  <c r="D48" i="20"/>
  <c r="C48" i="20"/>
  <c r="B48" i="20"/>
  <c r="J47" i="20"/>
  <c r="I47" i="20"/>
  <c r="G47" i="20"/>
  <c r="H47" i="20" s="1"/>
  <c r="F47" i="20"/>
  <c r="E47" i="20"/>
  <c r="D47" i="20"/>
  <c r="C47" i="20"/>
  <c r="B47" i="20"/>
  <c r="J46" i="20"/>
  <c r="I46" i="20"/>
  <c r="G46" i="20"/>
  <c r="H46" i="20" s="1"/>
  <c r="F46" i="20"/>
  <c r="E46" i="20"/>
  <c r="D46" i="20"/>
  <c r="C46" i="20"/>
  <c r="B46" i="20"/>
  <c r="J45" i="20"/>
  <c r="I45" i="20"/>
  <c r="G45" i="20"/>
  <c r="H45" i="20" s="1"/>
  <c r="F45" i="20"/>
  <c r="E45" i="20"/>
  <c r="D45" i="20"/>
  <c r="C45" i="20"/>
  <c r="B45" i="20"/>
  <c r="J44" i="20"/>
  <c r="I44" i="20"/>
  <c r="G44" i="20"/>
  <c r="H44" i="20" s="1"/>
  <c r="F44" i="20"/>
  <c r="E44" i="20"/>
  <c r="D44" i="20"/>
  <c r="C44" i="20"/>
  <c r="B44" i="20"/>
  <c r="J43" i="20"/>
  <c r="I43" i="20"/>
  <c r="G43" i="20"/>
  <c r="H43" i="20" s="1"/>
  <c r="F43" i="20"/>
  <c r="E43" i="20"/>
  <c r="D43" i="20"/>
  <c r="C43" i="20"/>
  <c r="B43" i="20"/>
  <c r="J42" i="20"/>
  <c r="I42" i="20"/>
  <c r="G42" i="20"/>
  <c r="H42" i="20" s="1"/>
  <c r="F42" i="20"/>
  <c r="E42" i="20"/>
  <c r="D42" i="20"/>
  <c r="C42" i="20"/>
  <c r="B42" i="20"/>
  <c r="J41" i="20"/>
  <c r="I41" i="20"/>
  <c r="H41" i="20"/>
  <c r="G41" i="20"/>
  <c r="F41" i="20"/>
  <c r="E41" i="20"/>
  <c r="D41" i="20"/>
  <c r="C41" i="20"/>
  <c r="B41" i="20"/>
  <c r="J40" i="20"/>
  <c r="I40" i="20"/>
  <c r="G40" i="20"/>
  <c r="H40" i="20" s="1"/>
  <c r="F40" i="20"/>
  <c r="E40" i="20"/>
  <c r="D40" i="20"/>
  <c r="C40" i="20"/>
  <c r="B40" i="20"/>
  <c r="J39" i="20"/>
  <c r="I39" i="20"/>
  <c r="G39" i="20"/>
  <c r="H39" i="20" s="1"/>
  <c r="F39" i="20"/>
  <c r="E39" i="20"/>
  <c r="D39" i="20"/>
  <c r="C39" i="20"/>
  <c r="B39" i="20"/>
  <c r="J38" i="20"/>
  <c r="I38" i="20"/>
  <c r="G38" i="20"/>
  <c r="H38" i="20" s="1"/>
  <c r="F38" i="20"/>
  <c r="E38" i="20"/>
  <c r="D38" i="20"/>
  <c r="C38" i="20"/>
  <c r="B38" i="20"/>
  <c r="J37" i="20"/>
  <c r="I37" i="20"/>
  <c r="G37" i="20"/>
  <c r="H37" i="20" s="1"/>
  <c r="F37" i="20"/>
  <c r="E37" i="20"/>
  <c r="D37" i="20"/>
  <c r="C37" i="20"/>
  <c r="B37" i="20"/>
  <c r="J36" i="20"/>
  <c r="I36" i="20"/>
  <c r="G36" i="20"/>
  <c r="H36" i="20" s="1"/>
  <c r="F36" i="20"/>
  <c r="E36" i="20"/>
  <c r="D36" i="20"/>
  <c r="C36" i="20"/>
  <c r="B36" i="20"/>
  <c r="J35" i="20"/>
  <c r="I35" i="20"/>
  <c r="G35" i="20"/>
  <c r="H35" i="20" s="1"/>
  <c r="F35" i="20"/>
  <c r="E35" i="20"/>
  <c r="D35" i="20"/>
  <c r="C35" i="20"/>
  <c r="B35" i="20"/>
  <c r="J34" i="20"/>
  <c r="I34" i="20"/>
  <c r="G34" i="20"/>
  <c r="H34" i="20" s="1"/>
  <c r="F34" i="20"/>
  <c r="E34" i="20"/>
  <c r="D34" i="20"/>
  <c r="C34" i="20"/>
  <c r="B34" i="20"/>
  <c r="J33" i="20"/>
  <c r="I33" i="20"/>
  <c r="G33" i="20"/>
  <c r="H33" i="20" s="1"/>
  <c r="F33" i="20"/>
  <c r="E33" i="20"/>
  <c r="D33" i="20"/>
  <c r="C33" i="20"/>
  <c r="B33" i="20"/>
  <c r="J32" i="20"/>
  <c r="I32" i="20"/>
  <c r="H32" i="20"/>
  <c r="G32" i="20"/>
  <c r="F32" i="20"/>
  <c r="E32" i="20"/>
  <c r="D32" i="20"/>
  <c r="C32" i="20"/>
  <c r="B32" i="20"/>
  <c r="B29" i="20" s="1"/>
  <c r="J31" i="20"/>
  <c r="I31" i="20"/>
  <c r="G31" i="20"/>
  <c r="H31" i="20" s="1"/>
  <c r="F31" i="20"/>
  <c r="E31" i="20"/>
  <c r="D31" i="20"/>
  <c r="C31" i="20"/>
  <c r="B31" i="20"/>
  <c r="J30" i="20"/>
  <c r="I30" i="20"/>
  <c r="G30" i="20"/>
  <c r="H30" i="20" s="1"/>
  <c r="F30" i="20"/>
  <c r="E30" i="20"/>
  <c r="D30" i="20"/>
  <c r="C30" i="20"/>
  <c r="B30" i="20"/>
  <c r="J29" i="20"/>
  <c r="I29" i="20"/>
  <c r="G29" i="20"/>
  <c r="H29" i="20" s="1"/>
  <c r="F29" i="20"/>
  <c r="E29" i="20"/>
  <c r="D29" i="20"/>
  <c r="C29" i="20"/>
  <c r="J28" i="20"/>
  <c r="I28" i="20"/>
  <c r="G28" i="20"/>
  <c r="H28" i="20" s="1"/>
  <c r="F28" i="20"/>
  <c r="E28" i="20"/>
  <c r="D28" i="20"/>
  <c r="C28" i="20"/>
  <c r="B28" i="20"/>
  <c r="G27" i="20"/>
  <c r="H27" i="20" s="1"/>
  <c r="F27" i="20"/>
  <c r="E27" i="20"/>
  <c r="D27" i="20"/>
  <c r="C27" i="20"/>
  <c r="B27" i="20"/>
  <c r="G26" i="20"/>
  <c r="H26" i="20" s="1"/>
  <c r="F26" i="20"/>
  <c r="E26" i="20"/>
  <c r="D26" i="20"/>
  <c r="C26" i="20"/>
  <c r="B26" i="20"/>
  <c r="J25" i="20" a="1"/>
  <c r="I25" i="20" a="1"/>
  <c r="I25" i="20" s="1"/>
  <c r="G25" i="20"/>
  <c r="H25" i="20" s="1"/>
  <c r="F25" i="20"/>
  <c r="E25" i="20"/>
  <c r="D25" i="20"/>
  <c r="C25" i="20"/>
  <c r="B25" i="20"/>
  <c r="G24" i="20"/>
  <c r="H24" i="20" s="1"/>
  <c r="F24" i="20"/>
  <c r="E24" i="20"/>
  <c r="D24" i="20"/>
  <c r="C24" i="20"/>
  <c r="B24" i="20"/>
  <c r="G23" i="20"/>
  <c r="H23" i="20" s="1"/>
  <c r="F23" i="20"/>
  <c r="E23" i="20"/>
  <c r="D23" i="20"/>
  <c r="C23" i="20"/>
  <c r="B23" i="20"/>
  <c r="H22" i="20"/>
  <c r="G22" i="20"/>
  <c r="F22" i="20"/>
  <c r="E22" i="20"/>
  <c r="D22" i="20"/>
  <c r="C22" i="20"/>
  <c r="B22" i="20"/>
  <c r="G21" i="20"/>
  <c r="H21" i="20" s="1"/>
  <c r="F21" i="20"/>
  <c r="E21" i="20"/>
  <c r="D21" i="20"/>
  <c r="C21" i="20"/>
  <c r="B21" i="20"/>
  <c r="G20" i="20"/>
  <c r="H20" i="20" s="1"/>
  <c r="F20" i="20"/>
  <c r="E20" i="20"/>
  <c r="D20" i="20"/>
  <c r="C20" i="20"/>
  <c r="B20" i="20"/>
  <c r="G19" i="20"/>
  <c r="H19" i="20" s="1"/>
  <c r="F19" i="20"/>
  <c r="E19" i="20"/>
  <c r="D19" i="20"/>
  <c r="C19" i="20"/>
  <c r="B19" i="20"/>
  <c r="J18" i="20" a="1"/>
  <c r="J18" i="20" s="1"/>
  <c r="I18" i="20" a="1"/>
  <c r="I18" i="20" s="1"/>
  <c r="G18" i="20"/>
  <c r="H18" i="20" s="1"/>
  <c r="F18" i="20"/>
  <c r="E18" i="20"/>
  <c r="D18" i="20"/>
  <c r="C18" i="20"/>
  <c r="B18" i="20"/>
  <c r="G17" i="20"/>
  <c r="H17" i="20" s="1"/>
  <c r="F17" i="20"/>
  <c r="E17" i="20"/>
  <c r="D17" i="20"/>
  <c r="C17" i="20"/>
  <c r="B17" i="20"/>
  <c r="G16" i="20"/>
  <c r="H16" i="20" s="1"/>
  <c r="F16" i="20"/>
  <c r="E16" i="20"/>
  <c r="D16" i="20"/>
  <c r="C16" i="20"/>
  <c r="B16" i="20"/>
  <c r="J15" i="20" a="1"/>
  <c r="J15" i="20" s="1"/>
  <c r="I15" i="20" a="1"/>
  <c r="I15" i="20" s="1"/>
  <c r="G15" i="20"/>
  <c r="H15" i="20" s="1"/>
  <c r="F15" i="20"/>
  <c r="E15" i="20"/>
  <c r="D15" i="20"/>
  <c r="C15" i="20"/>
  <c r="B15" i="20"/>
  <c r="G14" i="20"/>
  <c r="H14" i="20" s="1"/>
  <c r="F14" i="20"/>
  <c r="E14" i="20"/>
  <c r="D14" i="20"/>
  <c r="C14" i="20"/>
  <c r="B14" i="20"/>
  <c r="G13" i="20"/>
  <c r="H13" i="20" s="1"/>
  <c r="F13" i="20"/>
  <c r="E13" i="20"/>
  <c r="D13" i="20"/>
  <c r="C13" i="20"/>
  <c r="B13" i="20"/>
  <c r="H12" i="20"/>
  <c r="G12" i="20"/>
  <c r="F12" i="20"/>
  <c r="E12" i="20"/>
  <c r="D12" i="20"/>
  <c r="C12" i="20"/>
  <c r="B12" i="20"/>
  <c r="G11" i="20"/>
  <c r="H11" i="20" s="1"/>
  <c r="F11" i="20"/>
  <c r="E11" i="20"/>
  <c r="D11" i="20"/>
  <c r="C11" i="20"/>
  <c r="B11" i="20"/>
  <c r="G10" i="20"/>
  <c r="H10" i="20" s="1"/>
  <c r="F10" i="20"/>
  <c r="E10" i="20"/>
  <c r="D10" i="20"/>
  <c r="C10" i="20"/>
  <c r="B10" i="20"/>
  <c r="J9" i="20" a="1"/>
  <c r="J9" i="20" s="1"/>
  <c r="I9" i="20" a="1"/>
  <c r="I9" i="20" s="1"/>
  <c r="G9" i="20"/>
  <c r="H9" i="20" s="1"/>
  <c r="F9" i="20"/>
  <c r="E9" i="20"/>
  <c r="D9" i="20"/>
  <c r="C9" i="20"/>
  <c r="B9" i="20"/>
  <c r="G8" i="20"/>
  <c r="H8" i="20" s="1"/>
  <c r="F8" i="20"/>
  <c r="E8" i="20"/>
  <c r="D8" i="20"/>
  <c r="C8" i="20"/>
  <c r="B8" i="20"/>
  <c r="G7" i="20"/>
  <c r="H7" i="20" s="1"/>
  <c r="F7" i="20"/>
  <c r="E7" i="20"/>
  <c r="D7" i="20"/>
  <c r="C7" i="20"/>
  <c r="B7" i="20"/>
  <c r="G6" i="20"/>
  <c r="H6" i="20" s="1"/>
  <c r="F6" i="20"/>
  <c r="E6" i="20"/>
  <c r="D6" i="20"/>
  <c r="C6" i="20"/>
  <c r="B6" i="20"/>
  <c r="G5" i="20"/>
  <c r="H5" i="20" s="1"/>
  <c r="F5" i="20"/>
  <c r="E5" i="20"/>
  <c r="D5" i="20"/>
  <c r="C5" i="20"/>
  <c r="B5" i="20"/>
  <c r="G4" i="20"/>
  <c r="H4" i="20" s="1"/>
  <c r="F4" i="20"/>
  <c r="E4" i="20"/>
  <c r="D4" i="20"/>
  <c r="C4" i="20"/>
  <c r="B4" i="20"/>
  <c r="J3" i="20" a="1"/>
  <c r="I3" i="20" a="1"/>
  <c r="I3" i="20" s="1"/>
  <c r="G3" i="20"/>
  <c r="H3" i="20" s="1"/>
  <c r="F3" i="20"/>
  <c r="E3" i="20"/>
  <c r="D3" i="20"/>
  <c r="C3" i="20"/>
  <c r="B3" i="20"/>
  <c r="BI25" i="19" a="1"/>
  <c r="BI25" i="19" s="1"/>
  <c r="BL25" i="19" a="1"/>
  <c r="BL25" i="19" s="1"/>
  <c r="BF25" i="19" a="1"/>
  <c r="BF25" i="19" s="1"/>
  <c r="BC25" i="19" a="1"/>
  <c r="BC25" i="19" s="1"/>
  <c r="AZ25" i="19" a="1"/>
  <c r="AZ25" i="19" s="1"/>
  <c r="AW25" i="19" a="1"/>
  <c r="AW25" i="19" s="1"/>
  <c r="AT25" i="19" a="1"/>
  <c r="AT25" i="19" s="1"/>
  <c r="AQ25" i="19" a="1"/>
  <c r="AQ25" i="19" s="1"/>
  <c r="AO25" i="19" a="1"/>
  <c r="AO25" i="19" s="1"/>
  <c r="AP25" i="19" s="1" a="1"/>
  <c r="AP25" i="19" s="1"/>
  <c r="AN25" i="19" a="1"/>
  <c r="AN25" i="19" s="1"/>
  <c r="AM25" i="19" a="1"/>
  <c r="AM25" i="19" s="1"/>
  <c r="AJ25" i="19" a="1"/>
  <c r="AJ25" i="19" s="1"/>
  <c r="AG25" i="19" a="1"/>
  <c r="AG25" i="19" s="1"/>
  <c r="AD25" i="19" a="1"/>
  <c r="AD25" i="19" s="1"/>
  <c r="I25" i="19" a="1"/>
  <c r="I25" i="19" s="1"/>
  <c r="BI9" i="19" a="1"/>
  <c r="BI9" i="19" s="1"/>
  <c r="BL9" i="19" a="1"/>
  <c r="BL9" i="19" s="1"/>
  <c r="BF9" i="19" a="1"/>
  <c r="BF9" i="19" s="1"/>
  <c r="BC9" i="19" a="1"/>
  <c r="BC9" i="19" s="1"/>
  <c r="AZ9" i="19" a="1"/>
  <c r="AZ9" i="19" s="1"/>
  <c r="AW9" i="19" a="1"/>
  <c r="AW9" i="19" s="1"/>
  <c r="AT9" i="19" a="1"/>
  <c r="AT9" i="19" s="1"/>
  <c r="AQ9" i="19" a="1"/>
  <c r="AQ9" i="19" s="1"/>
  <c r="AO9" i="19" a="1"/>
  <c r="AO9" i="19" s="1"/>
  <c r="AP9" i="19" s="1"/>
  <c r="AN9" i="19" a="1"/>
  <c r="AN9" i="19" s="1"/>
  <c r="AM9" i="19" a="1"/>
  <c r="AM9" i="19" s="1"/>
  <c r="AJ9" i="19" a="1"/>
  <c r="AJ9" i="19" s="1"/>
  <c r="AG9" i="19" a="1"/>
  <c r="AG9" i="19" s="1"/>
  <c r="AD9" i="19" a="1"/>
  <c r="AD9" i="19" s="1"/>
  <c r="I9" i="19" a="1"/>
  <c r="I9" i="19" s="1"/>
  <c r="BI306" i="19" a="1"/>
  <c r="BI306" i="19" s="1"/>
  <c r="BL306" i="19" a="1"/>
  <c r="BL306" i="19" s="1"/>
  <c r="BF306" i="19" a="1"/>
  <c r="BF306" i="19" s="1"/>
  <c r="BC306" i="19" a="1"/>
  <c r="BC306" i="19" s="1"/>
  <c r="AZ306" i="19" a="1"/>
  <c r="AZ306" i="19" s="1"/>
  <c r="AW306" i="19" a="1"/>
  <c r="AW306" i="19" s="1"/>
  <c r="AT306" i="19" a="1"/>
  <c r="AT306" i="19" s="1"/>
  <c r="AQ306" i="19" a="1"/>
  <c r="AQ306" i="19" s="1"/>
  <c r="AO306" i="19" a="1"/>
  <c r="AO306" i="19" s="1"/>
  <c r="AN306" i="19" a="1"/>
  <c r="AN306" i="19" s="1"/>
  <c r="AM306" i="19" a="1"/>
  <c r="AM306" i="19" s="1"/>
  <c r="AJ306" i="19" a="1"/>
  <c r="AJ306" i="19" s="1"/>
  <c r="AG306" i="19" a="1"/>
  <c r="AG306" i="19" s="1"/>
  <c r="AD306" i="19" a="1"/>
  <c r="AD306" i="19" s="1"/>
  <c r="B307" i="19"/>
  <c r="C307" i="19"/>
  <c r="D307" i="19"/>
  <c r="E307" i="19"/>
  <c r="F307" i="19"/>
  <c r="BW307" i="19" s="1"/>
  <c r="G307" i="19"/>
  <c r="H307" i="19" s="1"/>
  <c r="B308" i="19"/>
  <c r="BS308" i="19" s="1"/>
  <c r="C308" i="19"/>
  <c r="D308" i="19"/>
  <c r="E308" i="19"/>
  <c r="F308" i="19"/>
  <c r="G308" i="19"/>
  <c r="H308" i="19" s="1"/>
  <c r="B309" i="19"/>
  <c r="BS309" i="19" s="1"/>
  <c r="C309" i="19"/>
  <c r="D309" i="19"/>
  <c r="E309" i="19"/>
  <c r="F309" i="19"/>
  <c r="BW309" i="19" s="1"/>
  <c r="G309" i="19"/>
  <c r="H309" i="19" s="1"/>
  <c r="I306" i="19" a="1"/>
  <c r="I306" i="19" s="1"/>
  <c r="J306" i="19" a="1"/>
  <c r="J306" i="19" s="1"/>
  <c r="H306" i="19"/>
  <c r="G306" i="19"/>
  <c r="F306" i="19"/>
  <c r="E306" i="19"/>
  <c r="D306" i="19"/>
  <c r="C306" i="19"/>
  <c r="B306" i="19"/>
  <c r="AP12" i="19" l="1"/>
  <c r="BS306" i="19"/>
  <c r="AP11" i="19"/>
  <c r="BW308" i="19"/>
  <c r="AP10" i="19"/>
  <c r="BS307" i="19"/>
  <c r="AP14" i="19"/>
  <c r="BW306" i="19"/>
  <c r="AP13" i="19"/>
  <c r="J3" i="20"/>
  <c r="J25" i="20"/>
  <c r="J179" i="20"/>
  <c r="J194" i="20"/>
  <c r="J165" i="20"/>
  <c r="J173" i="20"/>
  <c r="J215" i="20"/>
  <c r="J232" i="20"/>
  <c r="J280" i="20"/>
  <c r="J296" i="20"/>
  <c r="J300" i="20"/>
  <c r="BU307" i="19"/>
  <c r="BU309" i="19"/>
  <c r="BU306" i="19"/>
  <c r="BU308" i="19"/>
  <c r="BI300" i="19" a="1"/>
  <c r="BI300" i="19" s="1"/>
  <c r="BL300" i="19" a="1"/>
  <c r="BL300" i="19" s="1"/>
  <c r="BF300" i="19" a="1"/>
  <c r="BF300" i="19" s="1"/>
  <c r="BC300" i="19" a="1"/>
  <c r="BC300" i="19" s="1"/>
  <c r="AZ300" i="19" a="1"/>
  <c r="AZ300" i="19" s="1"/>
  <c r="AW300" i="19" a="1"/>
  <c r="AW300" i="19" s="1"/>
  <c r="AT300" i="19" a="1"/>
  <c r="AT300" i="19" s="1"/>
  <c r="AQ300" i="19" a="1"/>
  <c r="AQ300" i="19" s="1"/>
  <c r="AO300" i="19" a="1"/>
  <c r="AO300" i="19" s="1"/>
  <c r="AN300" i="19" a="1"/>
  <c r="AN300" i="19" s="1"/>
  <c r="AM300" i="19" a="1"/>
  <c r="AM300" i="19" s="1"/>
  <c r="AJ300" i="19" a="1"/>
  <c r="AJ300" i="19" s="1"/>
  <c r="AG300" i="19" a="1"/>
  <c r="AG300" i="19" s="1"/>
  <c r="AD300" i="19" a="1"/>
  <c r="AD300" i="19" s="1"/>
  <c r="B301" i="19"/>
  <c r="C301" i="19"/>
  <c r="D301" i="19"/>
  <c r="E301" i="19"/>
  <c r="F301" i="19"/>
  <c r="G301" i="19"/>
  <c r="H301" i="19" s="1"/>
  <c r="B302" i="19"/>
  <c r="C302" i="19"/>
  <c r="D302" i="19"/>
  <c r="E302" i="19"/>
  <c r="F302" i="19"/>
  <c r="BW302" i="19" s="1"/>
  <c r="G302" i="19"/>
  <c r="H302" i="19" s="1"/>
  <c r="B303" i="19"/>
  <c r="C303" i="19"/>
  <c r="D303" i="19"/>
  <c r="E303" i="19"/>
  <c r="F303" i="19"/>
  <c r="G303" i="19"/>
  <c r="H303" i="19" s="1"/>
  <c r="B304" i="19"/>
  <c r="C304" i="19"/>
  <c r="D304" i="19"/>
  <c r="E304" i="19"/>
  <c r="F304" i="19"/>
  <c r="G304" i="19"/>
  <c r="H304" i="19" s="1"/>
  <c r="B305" i="19"/>
  <c r="C305" i="19"/>
  <c r="D305" i="19"/>
  <c r="E305" i="19"/>
  <c r="F305" i="19"/>
  <c r="G305" i="19"/>
  <c r="H305" i="19" s="1"/>
  <c r="J300" i="19" a="1"/>
  <c r="J300" i="19" s="1"/>
  <c r="I300" i="19" a="1"/>
  <c r="I300" i="19" s="1"/>
  <c r="G300" i="19"/>
  <c r="H300" i="19" s="1"/>
  <c r="F300" i="19"/>
  <c r="E300" i="19"/>
  <c r="D300" i="19"/>
  <c r="C300" i="19"/>
  <c r="B300" i="19"/>
  <c r="BW303" i="19" l="1"/>
  <c r="BW305" i="19"/>
  <c r="BS300" i="19"/>
  <c r="BU300" i="19"/>
  <c r="BS301" i="19"/>
  <c r="BU301" i="19"/>
  <c r="BS303" i="19"/>
  <c r="BU303" i="19"/>
  <c r="BU302" i="19"/>
  <c r="BS302" i="19"/>
  <c r="BW300" i="19"/>
  <c r="BW301" i="19"/>
  <c r="BS304" i="19"/>
  <c r="BU304" i="19"/>
  <c r="BS305" i="19"/>
  <c r="BU305" i="19"/>
  <c r="BW304" i="19"/>
  <c r="BI298" i="19" a="1"/>
  <c r="BI298" i="19" s="1"/>
  <c r="BL298" i="19" a="1"/>
  <c r="BL298" i="19" s="1"/>
  <c r="BF298" i="19" a="1"/>
  <c r="BF298" i="19" s="1"/>
  <c r="BC298" i="19" a="1"/>
  <c r="BC298" i="19" s="1"/>
  <c r="AZ298" i="19" a="1"/>
  <c r="AZ298" i="19" s="1"/>
  <c r="AW298" i="19" a="1"/>
  <c r="AW298" i="19" s="1"/>
  <c r="AT298" i="19" a="1"/>
  <c r="AT298" i="19" s="1"/>
  <c r="AQ298" i="19" a="1"/>
  <c r="AQ298" i="19" s="1"/>
  <c r="AO298" i="19" a="1"/>
  <c r="AO298" i="19" s="1"/>
  <c r="AN298" i="19" a="1"/>
  <c r="AN298" i="19" s="1"/>
  <c r="AM298" i="19" a="1"/>
  <c r="AM298" i="19" s="1"/>
  <c r="AJ298" i="19" a="1"/>
  <c r="AJ298" i="19" s="1"/>
  <c r="AG298" i="19" a="1"/>
  <c r="AG298" i="19" s="1"/>
  <c r="AD298" i="19" a="1"/>
  <c r="AD298" i="19" s="1"/>
  <c r="B299" i="19"/>
  <c r="C299" i="19"/>
  <c r="D299" i="19"/>
  <c r="E299" i="19"/>
  <c r="F299" i="19"/>
  <c r="G299" i="19"/>
  <c r="H299" i="19" s="1"/>
  <c r="I298" i="19" a="1"/>
  <c r="I298" i="19" s="1"/>
  <c r="J298" i="19" a="1"/>
  <c r="J298" i="19" s="1"/>
  <c r="G298" i="19"/>
  <c r="H298" i="19" s="1"/>
  <c r="F298" i="19"/>
  <c r="E298" i="19"/>
  <c r="D298" i="19"/>
  <c r="C298" i="19"/>
  <c r="B298" i="19"/>
  <c r="BW299" i="19" l="1"/>
  <c r="BW298" i="19"/>
  <c r="BS298" i="19"/>
  <c r="BU298" i="19"/>
  <c r="BS299" i="19"/>
  <c r="BU299" i="19"/>
  <c r="BI296" i="19" a="1"/>
  <c r="BI296" i="19" s="1"/>
  <c r="BL296" i="19" a="1"/>
  <c r="BL296" i="19" s="1"/>
  <c r="BF296" i="19" a="1"/>
  <c r="BF296" i="19" s="1"/>
  <c r="BC296" i="19" a="1"/>
  <c r="BC296" i="19" s="1"/>
  <c r="AZ296" i="19" a="1"/>
  <c r="AZ296" i="19" s="1"/>
  <c r="AW296" i="19" a="1"/>
  <c r="AW296" i="19" s="1"/>
  <c r="AT296" i="19" a="1"/>
  <c r="AT296" i="19" s="1"/>
  <c r="AQ296" i="19" a="1"/>
  <c r="AQ296" i="19" s="1"/>
  <c r="AO296" i="19" a="1"/>
  <c r="AO296" i="19" s="1"/>
  <c r="AN296" i="19" a="1"/>
  <c r="AN296" i="19" s="1"/>
  <c r="AM296" i="19" a="1"/>
  <c r="AM296" i="19" s="1"/>
  <c r="AJ296" i="19" a="1"/>
  <c r="AJ296" i="19" s="1"/>
  <c r="AG296" i="19" a="1"/>
  <c r="AG296" i="19" s="1"/>
  <c r="AD296" i="19" a="1"/>
  <c r="AD296" i="19" s="1"/>
  <c r="B297" i="19"/>
  <c r="C297" i="19"/>
  <c r="D297" i="19"/>
  <c r="E297" i="19"/>
  <c r="F297" i="19"/>
  <c r="G297" i="19"/>
  <c r="H297" i="19" s="1"/>
  <c r="I296" i="19" a="1"/>
  <c r="I296" i="19" s="1"/>
  <c r="J296" i="19" a="1"/>
  <c r="J296" i="19" s="1"/>
  <c r="G296" i="19"/>
  <c r="H296" i="19" s="1"/>
  <c r="F296" i="19"/>
  <c r="E296" i="19"/>
  <c r="D296" i="19"/>
  <c r="C296" i="19"/>
  <c r="B296" i="19"/>
  <c r="BW296" i="19" l="1"/>
  <c r="BS297" i="19"/>
  <c r="BU297" i="19"/>
  <c r="BW297" i="19"/>
  <c r="BS296" i="19"/>
  <c r="BU296" i="19"/>
  <c r="BI293" i="19" a="1"/>
  <c r="BI293" i="19" s="1"/>
  <c r="BL293" i="19" a="1"/>
  <c r="BL293" i="19" s="1"/>
  <c r="BF293" i="19" a="1"/>
  <c r="BF293" i="19" s="1"/>
  <c r="BC293" i="19" a="1"/>
  <c r="BC293" i="19" s="1"/>
  <c r="AZ293" i="19" a="1"/>
  <c r="AZ293" i="19" s="1"/>
  <c r="AW293" i="19" a="1"/>
  <c r="AW293" i="19" s="1"/>
  <c r="AT293" i="19" a="1"/>
  <c r="AT293" i="19" s="1"/>
  <c r="AQ293" i="19" a="1"/>
  <c r="AQ293" i="19" s="1"/>
  <c r="AO293" i="19" a="1"/>
  <c r="AO293" i="19" s="1"/>
  <c r="AN293" i="19" a="1"/>
  <c r="AN293" i="19" s="1"/>
  <c r="AM293" i="19" a="1"/>
  <c r="AM293" i="19" s="1"/>
  <c r="AJ293" i="19" a="1"/>
  <c r="AJ293" i="19" s="1"/>
  <c r="AG293" i="19" a="1"/>
  <c r="AG293" i="19" s="1"/>
  <c r="AD293" i="19" a="1"/>
  <c r="AD293" i="19" s="1"/>
  <c r="B294" i="19"/>
  <c r="C294" i="19"/>
  <c r="D294" i="19"/>
  <c r="E294" i="19"/>
  <c r="F294" i="19"/>
  <c r="BW294" i="19" s="1"/>
  <c r="G294" i="19"/>
  <c r="H294" i="19" s="1"/>
  <c r="B295" i="19"/>
  <c r="C295" i="19"/>
  <c r="D295" i="19"/>
  <c r="E295" i="19"/>
  <c r="F295" i="19"/>
  <c r="G295" i="19"/>
  <c r="H295" i="19" s="1"/>
  <c r="I293" i="19" a="1"/>
  <c r="I293" i="19" s="1"/>
  <c r="J293" i="19" a="1"/>
  <c r="J293" i="19" s="1"/>
  <c r="G293" i="19"/>
  <c r="H293" i="19" s="1"/>
  <c r="F293" i="19"/>
  <c r="E293" i="19"/>
  <c r="D293" i="19"/>
  <c r="C293" i="19"/>
  <c r="B293" i="19"/>
  <c r="BW293" i="19" l="1"/>
  <c r="BS293" i="19"/>
  <c r="BU293" i="19"/>
  <c r="BW295" i="19"/>
  <c r="BU294" i="19"/>
  <c r="BS294" i="19"/>
  <c r="BS295" i="19"/>
  <c r="BU295" i="19"/>
  <c r="BI289" i="19" a="1"/>
  <c r="BI289" i="19" s="1"/>
  <c r="BL289" i="19" a="1"/>
  <c r="BL289" i="19" s="1"/>
  <c r="BF289" i="19" a="1"/>
  <c r="BF289" i="19" s="1"/>
  <c r="BC289" i="19" a="1"/>
  <c r="BC289" i="19" s="1"/>
  <c r="AZ289" i="19" a="1"/>
  <c r="AZ289" i="19" s="1"/>
  <c r="AW289" i="19" a="1"/>
  <c r="AW289" i="19" s="1"/>
  <c r="AT289" i="19" a="1"/>
  <c r="AT289" i="19" s="1"/>
  <c r="AQ289" i="19" a="1"/>
  <c r="AQ289" i="19" s="1"/>
  <c r="AO289" i="19" a="1"/>
  <c r="AO289" i="19" s="1"/>
  <c r="AN289" i="19" a="1"/>
  <c r="AN289" i="19" s="1"/>
  <c r="AM289" i="19" a="1"/>
  <c r="AM289" i="19" s="1"/>
  <c r="AJ289" i="19" a="1"/>
  <c r="AJ289" i="19" s="1"/>
  <c r="AG289" i="19" a="1"/>
  <c r="AG289" i="19" s="1"/>
  <c r="AD289" i="19" a="1"/>
  <c r="AD289" i="19" s="1"/>
  <c r="B290" i="19"/>
  <c r="C290" i="19"/>
  <c r="D290" i="19"/>
  <c r="E290" i="19"/>
  <c r="F290" i="19"/>
  <c r="G290" i="19"/>
  <c r="H290" i="19" s="1"/>
  <c r="B291" i="19"/>
  <c r="C291" i="19"/>
  <c r="D291" i="19"/>
  <c r="E291" i="19"/>
  <c r="F291" i="19"/>
  <c r="G291" i="19"/>
  <c r="H291" i="19" s="1"/>
  <c r="B292" i="19"/>
  <c r="C292" i="19"/>
  <c r="D292" i="19"/>
  <c r="E292" i="19"/>
  <c r="F292" i="19"/>
  <c r="G292" i="19"/>
  <c r="H292" i="19" s="1"/>
  <c r="I289" i="19" a="1"/>
  <c r="I289" i="19" s="1"/>
  <c r="J289" i="19" a="1"/>
  <c r="J289" i="19" s="1"/>
  <c r="G289" i="19"/>
  <c r="H289" i="19" s="1"/>
  <c r="F289" i="19"/>
  <c r="E289" i="19"/>
  <c r="D289" i="19"/>
  <c r="C289" i="19"/>
  <c r="B289" i="19"/>
  <c r="BW289" i="19" l="1"/>
  <c r="BW291" i="19"/>
  <c r="BW292" i="19"/>
  <c r="BS290" i="19"/>
  <c r="BU290" i="19"/>
  <c r="BS289" i="19"/>
  <c r="BU289" i="19"/>
  <c r="BS291" i="19"/>
  <c r="BU291" i="19"/>
  <c r="BW290" i="19"/>
  <c r="BS292" i="19"/>
  <c r="BU292" i="19"/>
  <c r="BI287" i="19" a="1"/>
  <c r="BI287" i="19" s="1"/>
  <c r="BL287" i="19" a="1"/>
  <c r="BL287" i="19" s="1"/>
  <c r="BF287" i="19" a="1"/>
  <c r="BF287" i="19" s="1"/>
  <c r="BC287" i="19" a="1"/>
  <c r="BC287" i="19" s="1"/>
  <c r="AZ287" i="19" a="1"/>
  <c r="AZ287" i="19" s="1"/>
  <c r="AW287" i="19" a="1"/>
  <c r="AW287" i="19" s="1"/>
  <c r="AT287" i="19" a="1"/>
  <c r="AT287" i="19" s="1"/>
  <c r="AQ287" i="19" a="1"/>
  <c r="AQ287" i="19" s="1"/>
  <c r="AO287" i="19" a="1"/>
  <c r="AO287" i="19" s="1"/>
  <c r="AN287" i="19" a="1"/>
  <c r="AN287" i="19" s="1"/>
  <c r="AM287" i="19" a="1"/>
  <c r="AM287" i="19" s="1"/>
  <c r="AJ287" i="19" a="1"/>
  <c r="AJ287" i="19" s="1"/>
  <c r="AG287" i="19" a="1"/>
  <c r="AG287" i="19" s="1"/>
  <c r="AD287" i="19" a="1"/>
  <c r="AD287" i="19" s="1"/>
  <c r="B288" i="19"/>
  <c r="C288" i="19"/>
  <c r="D288" i="19"/>
  <c r="E288" i="19"/>
  <c r="F288" i="19"/>
  <c r="BW288" i="19" s="1"/>
  <c r="G288" i="19"/>
  <c r="H288" i="19" s="1"/>
  <c r="I287" i="19" a="1"/>
  <c r="I287" i="19" s="1"/>
  <c r="J287" i="19" a="1"/>
  <c r="J287" i="19" s="1"/>
  <c r="G287" i="19"/>
  <c r="H287" i="19" s="1"/>
  <c r="F287" i="19"/>
  <c r="E287" i="19"/>
  <c r="D287" i="19"/>
  <c r="C287" i="19"/>
  <c r="B287" i="19"/>
  <c r="B286" i="19"/>
  <c r="C286" i="19"/>
  <c r="D286" i="19"/>
  <c r="E286" i="19"/>
  <c r="F286" i="19"/>
  <c r="G286" i="19"/>
  <c r="H286" i="19"/>
  <c r="I284" i="19" a="1"/>
  <c r="I284" i="19" s="1"/>
  <c r="J284" i="19" a="1"/>
  <c r="J284" i="19" s="1"/>
  <c r="BW286" i="19" l="1"/>
  <c r="BS287" i="19"/>
  <c r="BU287" i="19"/>
  <c r="BW287" i="19"/>
  <c r="BU286" i="19"/>
  <c r="BS286" i="19"/>
  <c r="BS288" i="19"/>
  <c r="BU288" i="19"/>
  <c r="BI284" i="19" a="1"/>
  <c r="BI284" i="19" s="1"/>
  <c r="BL284" i="19" a="1"/>
  <c r="BL284" i="19" s="1"/>
  <c r="BF284" i="19" a="1"/>
  <c r="BF284" i="19" s="1"/>
  <c r="BC284" i="19" a="1"/>
  <c r="BC284" i="19" s="1"/>
  <c r="AZ284" i="19" a="1"/>
  <c r="AZ284" i="19" s="1"/>
  <c r="AW284" i="19" a="1"/>
  <c r="AW284" i="19" s="1"/>
  <c r="AT284" i="19" a="1"/>
  <c r="AT284" i="19" s="1"/>
  <c r="AQ284" i="19" a="1"/>
  <c r="AQ284" i="19" s="1"/>
  <c r="AO284" i="19" a="1"/>
  <c r="AO284" i="19" s="1"/>
  <c r="AN284" i="19" a="1"/>
  <c r="AN284" i="19" s="1"/>
  <c r="AM284" i="19" a="1"/>
  <c r="AM284" i="19" s="1"/>
  <c r="AJ284" i="19" a="1"/>
  <c r="AJ284" i="19" s="1"/>
  <c r="AG284" i="19" a="1"/>
  <c r="AG284" i="19" s="1"/>
  <c r="AD284" i="19" a="1"/>
  <c r="AD284" i="19" s="1"/>
  <c r="B285" i="19"/>
  <c r="C285" i="19"/>
  <c r="D285" i="19"/>
  <c r="E285" i="19"/>
  <c r="F285" i="19"/>
  <c r="G285" i="19"/>
  <c r="H285" i="19" s="1"/>
  <c r="G284" i="19"/>
  <c r="H284" i="19" s="1"/>
  <c r="F284" i="19"/>
  <c r="E284" i="19"/>
  <c r="D284" i="19"/>
  <c r="C284" i="19"/>
  <c r="B284" i="19"/>
  <c r="BW284" i="19" l="1"/>
  <c r="BS285" i="19"/>
  <c r="BU285" i="19"/>
  <c r="BW285" i="19"/>
  <c r="BS284" i="19"/>
  <c r="BU284" i="19"/>
  <c r="BI282" i="19" a="1"/>
  <c r="BI282" i="19" s="1"/>
  <c r="BL282" i="19" a="1"/>
  <c r="BL282" i="19" s="1"/>
  <c r="BF282" i="19" a="1"/>
  <c r="BF282" i="19" s="1"/>
  <c r="BC282" i="19" a="1"/>
  <c r="BC282" i="19" s="1"/>
  <c r="AZ282" i="19" a="1"/>
  <c r="AZ282" i="19" s="1"/>
  <c r="AW282" i="19" a="1"/>
  <c r="AW282" i="19" s="1"/>
  <c r="AT282" i="19" a="1"/>
  <c r="AT282" i="19" s="1"/>
  <c r="AQ282" i="19" a="1"/>
  <c r="AQ282" i="19" s="1"/>
  <c r="AO282" i="19" a="1"/>
  <c r="AO282" i="19" s="1"/>
  <c r="AN282" i="19" a="1"/>
  <c r="AN282" i="19" s="1"/>
  <c r="AM282" i="19" a="1"/>
  <c r="AM282" i="19" s="1"/>
  <c r="AJ282" i="19" a="1"/>
  <c r="AJ282" i="19" s="1"/>
  <c r="AG282" i="19" a="1"/>
  <c r="AG282" i="19" s="1"/>
  <c r="AD282" i="19" a="1"/>
  <c r="AD282" i="19" s="1"/>
  <c r="B283" i="19"/>
  <c r="C283" i="19"/>
  <c r="D283" i="19"/>
  <c r="E283" i="19"/>
  <c r="F283" i="19"/>
  <c r="BW283" i="19" s="1"/>
  <c r="G283" i="19"/>
  <c r="H283" i="19" s="1"/>
  <c r="I282" i="19" a="1"/>
  <c r="I282" i="19" s="1"/>
  <c r="J282" i="19" a="1"/>
  <c r="J282" i="19" s="1"/>
  <c r="G282" i="19"/>
  <c r="H282" i="19" s="1"/>
  <c r="F282" i="19"/>
  <c r="E282" i="19"/>
  <c r="D282" i="19"/>
  <c r="C282" i="19"/>
  <c r="B282" i="19"/>
  <c r="BS283" i="19" l="1"/>
  <c r="BU283" i="19"/>
  <c r="BW282" i="19"/>
  <c r="BS282" i="19"/>
  <c r="BU282" i="19"/>
  <c r="BI280" i="19" a="1"/>
  <c r="BI280" i="19" s="1"/>
  <c r="BL280" i="19" a="1"/>
  <c r="BL280" i="19" s="1"/>
  <c r="BF280" i="19" a="1"/>
  <c r="BF280" i="19" s="1"/>
  <c r="BC280" i="19" a="1"/>
  <c r="BC280" i="19" s="1"/>
  <c r="AZ280" i="19" a="1"/>
  <c r="AZ280" i="19" s="1"/>
  <c r="AW280" i="19" a="1"/>
  <c r="AW280" i="19" s="1"/>
  <c r="AT280" i="19" a="1"/>
  <c r="AT280" i="19" s="1"/>
  <c r="AQ280" i="19" a="1"/>
  <c r="AQ280" i="19" s="1"/>
  <c r="AO280" i="19" a="1"/>
  <c r="AO280" i="19" s="1"/>
  <c r="AN280" i="19" a="1"/>
  <c r="AN280" i="19" s="1"/>
  <c r="AM280" i="19" a="1"/>
  <c r="AM280" i="19" s="1"/>
  <c r="AJ280" i="19" a="1"/>
  <c r="AJ280" i="19" s="1"/>
  <c r="AG280" i="19" a="1"/>
  <c r="AG280" i="19" s="1"/>
  <c r="AD280" i="19" a="1"/>
  <c r="AD280" i="19" s="1"/>
  <c r="B281" i="19"/>
  <c r="C281" i="19"/>
  <c r="D281" i="19"/>
  <c r="E281" i="19"/>
  <c r="F281" i="19"/>
  <c r="BW281" i="19" s="1"/>
  <c r="G281" i="19"/>
  <c r="H281" i="19" s="1"/>
  <c r="I280" i="19" a="1"/>
  <c r="I280" i="19" s="1"/>
  <c r="J280" i="19" a="1"/>
  <c r="J280" i="19" s="1"/>
  <c r="G280" i="19"/>
  <c r="H280" i="19" s="1"/>
  <c r="F280" i="19"/>
  <c r="E280" i="19"/>
  <c r="D280" i="19"/>
  <c r="C280" i="19"/>
  <c r="B280" i="19"/>
  <c r="BS281" i="19" l="1"/>
  <c r="BU281" i="19"/>
  <c r="BW280" i="19"/>
  <c r="BS280" i="19"/>
  <c r="BU280" i="19"/>
  <c r="BI278" i="19" a="1"/>
  <c r="BI278" i="19" s="1"/>
  <c r="BL278" i="19" a="1"/>
  <c r="BL278" i="19" s="1"/>
  <c r="BF278" i="19" a="1"/>
  <c r="BF278" i="19" s="1"/>
  <c r="BC278" i="19" a="1"/>
  <c r="BC278" i="19" s="1"/>
  <c r="AZ278" i="19" a="1"/>
  <c r="AZ278" i="19" s="1"/>
  <c r="AW278" i="19" a="1"/>
  <c r="AW278" i="19" s="1"/>
  <c r="AT278" i="19" a="1"/>
  <c r="AT278" i="19" s="1"/>
  <c r="AQ278" i="19" a="1"/>
  <c r="AQ278" i="19" s="1"/>
  <c r="AO278" i="19" a="1"/>
  <c r="AO278" i="19" s="1"/>
  <c r="AN278" i="19" a="1"/>
  <c r="AN278" i="19" s="1"/>
  <c r="AM278" i="19" a="1"/>
  <c r="AM278" i="19" s="1"/>
  <c r="AJ278" i="19" a="1"/>
  <c r="AJ278" i="19" s="1"/>
  <c r="AG278" i="19" a="1"/>
  <c r="AG278" i="19" s="1"/>
  <c r="AD278" i="19" a="1"/>
  <c r="AD278" i="19" s="1"/>
  <c r="B279" i="19"/>
  <c r="C279" i="19"/>
  <c r="D279" i="19"/>
  <c r="E279" i="19"/>
  <c r="F279" i="19"/>
  <c r="BW279" i="19" s="1"/>
  <c r="G279" i="19"/>
  <c r="H279" i="19" s="1"/>
  <c r="I278" i="19" a="1"/>
  <c r="I278" i="19" s="1"/>
  <c r="J278" i="19" a="1"/>
  <c r="J278" i="19" s="1"/>
  <c r="G278" i="19"/>
  <c r="H278" i="19" s="1"/>
  <c r="F278" i="19"/>
  <c r="E278" i="19"/>
  <c r="D278" i="19"/>
  <c r="C278" i="19"/>
  <c r="B278" i="19"/>
  <c r="B221" i="19"/>
  <c r="B222" i="19"/>
  <c r="BW278" i="19" l="1"/>
  <c r="BS279" i="19"/>
  <c r="BU279" i="19"/>
  <c r="BU278" i="19"/>
  <c r="BS278" i="19"/>
  <c r="BI276" i="19" a="1"/>
  <c r="BI276" i="19" s="1"/>
  <c r="BL276" i="19" a="1"/>
  <c r="BL276" i="19" s="1"/>
  <c r="BF276" i="19" a="1"/>
  <c r="BF276" i="19" s="1"/>
  <c r="BC276" i="19" a="1"/>
  <c r="BC276" i="19" s="1"/>
  <c r="AZ276" i="19" a="1"/>
  <c r="AZ276" i="19" s="1"/>
  <c r="AW276" i="19" a="1"/>
  <c r="AW276" i="19" s="1"/>
  <c r="AT276" i="19" a="1"/>
  <c r="AT276" i="19" s="1"/>
  <c r="AQ276" i="19" a="1"/>
  <c r="AQ276" i="19" s="1"/>
  <c r="AO276" i="19" a="1"/>
  <c r="AO276" i="19" s="1"/>
  <c r="AN276" i="19" a="1"/>
  <c r="AN276" i="19" s="1"/>
  <c r="AM276" i="19" a="1"/>
  <c r="AM276" i="19" s="1"/>
  <c r="AJ276" i="19" a="1"/>
  <c r="AJ276" i="19" s="1"/>
  <c r="AG276" i="19" a="1"/>
  <c r="AG276" i="19" s="1"/>
  <c r="AD276" i="19" a="1"/>
  <c r="AD276" i="19" s="1"/>
  <c r="B277" i="19"/>
  <c r="C277" i="19"/>
  <c r="D277" i="19"/>
  <c r="E277" i="19"/>
  <c r="F277" i="19"/>
  <c r="BW277" i="19" s="1"/>
  <c r="G277" i="19"/>
  <c r="H277" i="19" s="1"/>
  <c r="I276" i="19" a="1"/>
  <c r="I276" i="19" s="1"/>
  <c r="J276" i="19" a="1"/>
  <c r="J276" i="19" s="1"/>
  <c r="G276" i="19"/>
  <c r="H276" i="19" s="1"/>
  <c r="F276" i="19"/>
  <c r="E276" i="19"/>
  <c r="D276" i="19"/>
  <c r="C276" i="19"/>
  <c r="B276" i="19"/>
  <c r="BS276" i="19" l="1"/>
  <c r="BU276" i="19"/>
  <c r="BW276" i="19"/>
  <c r="BS277" i="19"/>
  <c r="BU277" i="19"/>
  <c r="BI274" i="19" a="1"/>
  <c r="BI274" i="19" s="1"/>
  <c r="BL274" i="19" a="1"/>
  <c r="BL274" i="19" s="1"/>
  <c r="BF274" i="19" a="1"/>
  <c r="BF274" i="19" s="1"/>
  <c r="BC274" i="19" a="1"/>
  <c r="BC274" i="19" s="1"/>
  <c r="AZ274" i="19" a="1"/>
  <c r="AZ274" i="19" s="1"/>
  <c r="AW274" i="19" a="1"/>
  <c r="AW274" i="19" s="1"/>
  <c r="AT274" i="19" a="1"/>
  <c r="AT274" i="19" s="1"/>
  <c r="AQ274" i="19" a="1"/>
  <c r="AQ274" i="19" s="1"/>
  <c r="AO274" i="19" a="1"/>
  <c r="AO274" i="19" s="1"/>
  <c r="AN274" i="19" a="1"/>
  <c r="AN274" i="19" s="1"/>
  <c r="AM274" i="19" a="1"/>
  <c r="AM274" i="19" s="1"/>
  <c r="AJ274" i="19" a="1"/>
  <c r="AJ274" i="19" s="1"/>
  <c r="AG274" i="19" a="1"/>
  <c r="AG274" i="19" s="1"/>
  <c r="AD274" i="19" a="1"/>
  <c r="AD274" i="19" s="1"/>
  <c r="B275" i="19"/>
  <c r="C275" i="19"/>
  <c r="D275" i="19"/>
  <c r="E275" i="19"/>
  <c r="F275" i="19"/>
  <c r="BW275" i="19" s="1"/>
  <c r="G275" i="19"/>
  <c r="H275" i="19" s="1"/>
  <c r="I274" i="19" a="1"/>
  <c r="I274" i="19" s="1"/>
  <c r="J274" i="19" a="1"/>
  <c r="J274" i="19" s="1"/>
  <c r="G274" i="19"/>
  <c r="H274" i="19" s="1"/>
  <c r="F274" i="19"/>
  <c r="E274" i="19"/>
  <c r="D274" i="19"/>
  <c r="C274" i="19"/>
  <c r="B274" i="19"/>
  <c r="BW274" i="19" l="1"/>
  <c r="BS275" i="19"/>
  <c r="BU275" i="19"/>
  <c r="BS274" i="19"/>
  <c r="BU274" i="19"/>
  <c r="BI272" i="19" a="1"/>
  <c r="BI272" i="19" s="1"/>
  <c r="BL272" i="19" a="1"/>
  <c r="BL272" i="19" s="1"/>
  <c r="BF272" i="19" a="1"/>
  <c r="BF272" i="19" s="1"/>
  <c r="BC272" i="19" a="1"/>
  <c r="BC272" i="19" s="1"/>
  <c r="AZ272" i="19" a="1"/>
  <c r="AZ272" i="19" s="1"/>
  <c r="AW272" i="19" a="1"/>
  <c r="AW272" i="19" s="1"/>
  <c r="AT272" i="19" a="1"/>
  <c r="AT272" i="19" s="1"/>
  <c r="AQ272" i="19" a="1"/>
  <c r="AQ272" i="19" s="1"/>
  <c r="AO272" i="19" a="1"/>
  <c r="AO272" i="19" s="1"/>
  <c r="AP272" i="19" s="1"/>
  <c r="AN272" i="19" a="1"/>
  <c r="AN272" i="19" s="1"/>
  <c r="AM272" i="19" a="1"/>
  <c r="AM272" i="19" s="1"/>
  <c r="AJ272" i="19" a="1"/>
  <c r="AJ272" i="19" s="1"/>
  <c r="AG272" i="19" a="1"/>
  <c r="AG272" i="19" s="1"/>
  <c r="AD272" i="19" a="1"/>
  <c r="AD272" i="19" s="1"/>
  <c r="B273" i="19"/>
  <c r="C273" i="19"/>
  <c r="BM274" i="19"/>
  <c r="BN274" i="19" s="1"/>
  <c r="BM275" i="19"/>
  <c r="BN275" i="19" s="1"/>
  <c r="BM276" i="19"/>
  <c r="BN276" i="19" s="1"/>
  <c r="BM277" i="19"/>
  <c r="BN277" i="19" s="1"/>
  <c r="BM278" i="19"/>
  <c r="BN278" i="19" s="1"/>
  <c r="BM279" i="19"/>
  <c r="BN279" i="19" s="1"/>
  <c r="BM280" i="19"/>
  <c r="BN280" i="19" s="1"/>
  <c r="BM281" i="19"/>
  <c r="BN281" i="19" s="1"/>
  <c r="BM282" i="19"/>
  <c r="BN282" i="19" s="1"/>
  <c r="BM283" i="19"/>
  <c r="BN283" i="19" s="1"/>
  <c r="BM284" i="19"/>
  <c r="BN284" i="19" s="1"/>
  <c r="BM285" i="19"/>
  <c r="BN285" i="19" s="1"/>
  <c r="BM286" i="19"/>
  <c r="BN286" i="19" s="1"/>
  <c r="BM287" i="19"/>
  <c r="BN287" i="19" s="1"/>
  <c r="BM288" i="19"/>
  <c r="BN288" i="19" s="1"/>
  <c r="BM289" i="19"/>
  <c r="BN289" i="19" s="1"/>
  <c r="BM290" i="19"/>
  <c r="BN290" i="19" s="1"/>
  <c r="BM291" i="19"/>
  <c r="BN291" i="19" s="1"/>
  <c r="BM292" i="19"/>
  <c r="BN292" i="19" s="1"/>
  <c r="BM293" i="19"/>
  <c r="BN293" i="19" s="1"/>
  <c r="BM294" i="19"/>
  <c r="BN294" i="19" s="1"/>
  <c r="BM295" i="19"/>
  <c r="BN295" i="19" s="1"/>
  <c r="BM296" i="19"/>
  <c r="BN296" i="19" s="1"/>
  <c r="BM297" i="19"/>
  <c r="BN297" i="19" s="1"/>
  <c r="BM298" i="19"/>
  <c r="BN298" i="19" s="1"/>
  <c r="BM299" i="19"/>
  <c r="BN299" i="19" s="1"/>
  <c r="BM300" i="19"/>
  <c r="BN300" i="19" s="1"/>
  <c r="BM301" i="19"/>
  <c r="BN301" i="19" s="1"/>
  <c r="BM302" i="19"/>
  <c r="BN302" i="19" s="1"/>
  <c r="BM303" i="19"/>
  <c r="BN303" i="19" s="1"/>
  <c r="BM304" i="19"/>
  <c r="BN304" i="19" s="1"/>
  <c r="BM305" i="19"/>
  <c r="BN305" i="19" s="1"/>
  <c r="BM306" i="19"/>
  <c r="BN306" i="19" s="1"/>
  <c r="BM307" i="19"/>
  <c r="BN307" i="19" s="1"/>
  <c r="BM308" i="19"/>
  <c r="BN308" i="19" s="1"/>
  <c r="BM309" i="19"/>
  <c r="BN309" i="19" s="1"/>
  <c r="BJ274" i="19"/>
  <c r="BK274" i="19" s="1"/>
  <c r="BJ275" i="19"/>
  <c r="BK275" i="19" s="1"/>
  <c r="BJ276" i="19"/>
  <c r="BK276" i="19" s="1"/>
  <c r="BJ277" i="19"/>
  <c r="BK277" i="19" s="1"/>
  <c r="BJ278" i="19"/>
  <c r="BK278" i="19" s="1"/>
  <c r="BJ279" i="19"/>
  <c r="BK279" i="19" s="1"/>
  <c r="BJ280" i="19"/>
  <c r="BK280" i="19" s="1"/>
  <c r="BJ281" i="19"/>
  <c r="BK281" i="19" s="1"/>
  <c r="BJ282" i="19"/>
  <c r="BK282" i="19" s="1"/>
  <c r="BJ283" i="19"/>
  <c r="BK283" i="19" s="1"/>
  <c r="BJ284" i="19"/>
  <c r="BK284" i="19" s="1"/>
  <c r="BJ285" i="19"/>
  <c r="BK285" i="19" s="1"/>
  <c r="BJ286" i="19"/>
  <c r="BK286" i="19" s="1"/>
  <c r="BJ287" i="19"/>
  <c r="BK287" i="19" s="1"/>
  <c r="BJ288" i="19"/>
  <c r="BK288" i="19" s="1"/>
  <c r="BJ289" i="19"/>
  <c r="BK289" i="19" s="1"/>
  <c r="BJ290" i="19"/>
  <c r="BK290" i="19" s="1"/>
  <c r="BJ291" i="19"/>
  <c r="BK291" i="19" s="1"/>
  <c r="BJ292" i="19"/>
  <c r="BK292" i="19" s="1"/>
  <c r="BJ293" i="19"/>
  <c r="BK293" i="19" s="1"/>
  <c r="BJ294" i="19"/>
  <c r="BK294" i="19" s="1"/>
  <c r="BJ295" i="19"/>
  <c r="BK295" i="19" s="1"/>
  <c r="BJ296" i="19"/>
  <c r="BK296" i="19" s="1"/>
  <c r="BJ297" i="19"/>
  <c r="BK297" i="19" s="1"/>
  <c r="BJ298" i="19"/>
  <c r="BK298" i="19" s="1"/>
  <c r="BJ299" i="19"/>
  <c r="BK299" i="19" s="1"/>
  <c r="BJ300" i="19"/>
  <c r="BK300" i="19" s="1"/>
  <c r="BJ301" i="19"/>
  <c r="BK301" i="19" s="1"/>
  <c r="BJ302" i="19"/>
  <c r="BK302" i="19" s="1"/>
  <c r="BJ303" i="19"/>
  <c r="BK303" i="19" s="1"/>
  <c r="BJ304" i="19"/>
  <c r="BK304" i="19" s="1"/>
  <c r="BJ305" i="19"/>
  <c r="BK305" i="19" s="1"/>
  <c r="BJ306" i="19"/>
  <c r="BK306" i="19" s="1"/>
  <c r="BJ307" i="19"/>
  <c r="BK307" i="19" s="1"/>
  <c r="BJ308" i="19"/>
  <c r="BK308" i="19" s="1"/>
  <c r="BJ309" i="19"/>
  <c r="BK309" i="19" s="1"/>
  <c r="BG274" i="19"/>
  <c r="BH274" i="19" s="1"/>
  <c r="BG275" i="19"/>
  <c r="BH275" i="19" s="1"/>
  <c r="BG276" i="19"/>
  <c r="BH276" i="19" s="1"/>
  <c r="BG277" i="19"/>
  <c r="BH277" i="19" s="1"/>
  <c r="BG278" i="19"/>
  <c r="BH278" i="19" s="1"/>
  <c r="BG279" i="19"/>
  <c r="BH279" i="19" s="1"/>
  <c r="BG280" i="19"/>
  <c r="BH280" i="19" s="1"/>
  <c r="BG281" i="19"/>
  <c r="BH281" i="19" s="1"/>
  <c r="BG282" i="19"/>
  <c r="BH282" i="19" s="1"/>
  <c r="BG283" i="19"/>
  <c r="BH283" i="19" s="1"/>
  <c r="BG284" i="19"/>
  <c r="BH284" i="19" s="1"/>
  <c r="BG285" i="19"/>
  <c r="BH285" i="19" s="1"/>
  <c r="BG286" i="19"/>
  <c r="BH286" i="19" s="1"/>
  <c r="BG287" i="19"/>
  <c r="BH287" i="19" s="1"/>
  <c r="BG288" i="19"/>
  <c r="BH288" i="19" s="1"/>
  <c r="BG289" i="19"/>
  <c r="BH289" i="19" s="1"/>
  <c r="BG290" i="19"/>
  <c r="BH290" i="19" s="1"/>
  <c r="BG291" i="19"/>
  <c r="BH291" i="19" s="1"/>
  <c r="BG292" i="19"/>
  <c r="BH292" i="19" s="1"/>
  <c r="BG293" i="19"/>
  <c r="BH293" i="19" s="1"/>
  <c r="BG294" i="19"/>
  <c r="BH294" i="19" s="1"/>
  <c r="BG295" i="19"/>
  <c r="BH295" i="19" s="1"/>
  <c r="BG296" i="19"/>
  <c r="BH296" i="19" s="1"/>
  <c r="BG297" i="19"/>
  <c r="BH297" i="19" s="1"/>
  <c r="BG298" i="19"/>
  <c r="BH298" i="19" s="1"/>
  <c r="BG299" i="19"/>
  <c r="BH299" i="19" s="1"/>
  <c r="BG300" i="19"/>
  <c r="BH300" i="19" s="1"/>
  <c r="BG301" i="19"/>
  <c r="BH301" i="19" s="1"/>
  <c r="BG302" i="19"/>
  <c r="BH302" i="19" s="1"/>
  <c r="BG303" i="19"/>
  <c r="BH303" i="19" s="1"/>
  <c r="BG304" i="19"/>
  <c r="BH304" i="19" s="1"/>
  <c r="BG305" i="19"/>
  <c r="BH305" i="19" s="1"/>
  <c r="BG306" i="19"/>
  <c r="BH306" i="19" s="1"/>
  <c r="BG307" i="19"/>
  <c r="BH307" i="19" s="1"/>
  <c r="BG308" i="19"/>
  <c r="BH308" i="19" s="1"/>
  <c r="BG309" i="19"/>
  <c r="BH309" i="19" s="1"/>
  <c r="BD274" i="19"/>
  <c r="BE274" i="19" s="1"/>
  <c r="BD275" i="19"/>
  <c r="BE275" i="19" s="1"/>
  <c r="BD276" i="19"/>
  <c r="BE276" i="19" s="1"/>
  <c r="BD277" i="19"/>
  <c r="BE277" i="19" s="1"/>
  <c r="BD278" i="19"/>
  <c r="BE278" i="19" s="1"/>
  <c r="BD279" i="19"/>
  <c r="BE279" i="19" s="1"/>
  <c r="BD280" i="19"/>
  <c r="BE280" i="19" s="1"/>
  <c r="BD281" i="19"/>
  <c r="BE281" i="19" s="1"/>
  <c r="BD282" i="19"/>
  <c r="BE282" i="19" s="1"/>
  <c r="BD283" i="19"/>
  <c r="BE283" i="19" s="1"/>
  <c r="BD284" i="19"/>
  <c r="BE284" i="19" s="1"/>
  <c r="BD285" i="19"/>
  <c r="BE285" i="19" s="1"/>
  <c r="BD286" i="19"/>
  <c r="BE286" i="19" s="1"/>
  <c r="BD287" i="19"/>
  <c r="BE287" i="19" s="1"/>
  <c r="BD288" i="19"/>
  <c r="BE288" i="19" s="1"/>
  <c r="BD289" i="19"/>
  <c r="BE289" i="19" s="1"/>
  <c r="BD290" i="19"/>
  <c r="BE290" i="19" s="1"/>
  <c r="BD291" i="19"/>
  <c r="BE291" i="19" s="1"/>
  <c r="BD292" i="19"/>
  <c r="BE292" i="19" s="1"/>
  <c r="BD293" i="19"/>
  <c r="BE293" i="19" s="1"/>
  <c r="BD294" i="19"/>
  <c r="BE294" i="19" s="1"/>
  <c r="BD295" i="19"/>
  <c r="BE295" i="19" s="1"/>
  <c r="BD296" i="19"/>
  <c r="BE296" i="19" s="1"/>
  <c r="BD297" i="19"/>
  <c r="BE297" i="19" s="1"/>
  <c r="BD298" i="19"/>
  <c r="BE298" i="19" s="1"/>
  <c r="BD299" i="19"/>
  <c r="BE299" i="19" s="1"/>
  <c r="BD300" i="19"/>
  <c r="BE300" i="19" s="1"/>
  <c r="BD301" i="19"/>
  <c r="BE301" i="19" s="1"/>
  <c r="BD302" i="19"/>
  <c r="BE302" i="19" s="1"/>
  <c r="BD303" i="19"/>
  <c r="BE303" i="19" s="1"/>
  <c r="BD304" i="19"/>
  <c r="BE304" i="19" s="1"/>
  <c r="BD305" i="19"/>
  <c r="BE305" i="19" s="1"/>
  <c r="BD306" i="19"/>
  <c r="BE306" i="19" s="1"/>
  <c r="BD307" i="19"/>
  <c r="BE307" i="19" s="1"/>
  <c r="BD308" i="19"/>
  <c r="BE308" i="19" s="1"/>
  <c r="BD309" i="19"/>
  <c r="BE309" i="19" s="1"/>
  <c r="BA274" i="19"/>
  <c r="BB274" i="19" s="1"/>
  <c r="BA275" i="19"/>
  <c r="BB275" i="19" s="1"/>
  <c r="BA276" i="19"/>
  <c r="BB276" i="19" s="1"/>
  <c r="BA277" i="19"/>
  <c r="BB277" i="19" s="1"/>
  <c r="BA278" i="19"/>
  <c r="BB278" i="19" s="1"/>
  <c r="BA279" i="19"/>
  <c r="BB279" i="19" s="1"/>
  <c r="BA280" i="19"/>
  <c r="BB280" i="19" s="1"/>
  <c r="BA281" i="19"/>
  <c r="BB281" i="19" s="1"/>
  <c r="BA282" i="19"/>
  <c r="BB282" i="19" s="1"/>
  <c r="BA283" i="19"/>
  <c r="BB283" i="19" s="1"/>
  <c r="BA284" i="19"/>
  <c r="BB284" i="19" s="1"/>
  <c r="BA285" i="19"/>
  <c r="BB285" i="19" s="1"/>
  <c r="BA286" i="19"/>
  <c r="BB286" i="19" s="1"/>
  <c r="BA287" i="19"/>
  <c r="BB287" i="19" s="1"/>
  <c r="BA288" i="19"/>
  <c r="BB288" i="19" s="1"/>
  <c r="BA289" i="19"/>
  <c r="BB289" i="19" s="1"/>
  <c r="BA290" i="19"/>
  <c r="BB290" i="19" s="1"/>
  <c r="BA291" i="19"/>
  <c r="BB291" i="19" s="1"/>
  <c r="BA292" i="19"/>
  <c r="BB292" i="19" s="1"/>
  <c r="BA293" i="19"/>
  <c r="BB293" i="19" s="1"/>
  <c r="BA294" i="19"/>
  <c r="BB294" i="19" s="1"/>
  <c r="BA295" i="19"/>
  <c r="BB295" i="19" s="1"/>
  <c r="BA296" i="19"/>
  <c r="BB296" i="19" s="1"/>
  <c r="BA297" i="19"/>
  <c r="BB297" i="19" s="1"/>
  <c r="BA298" i="19"/>
  <c r="BB298" i="19" s="1"/>
  <c r="BA299" i="19"/>
  <c r="BB299" i="19" s="1"/>
  <c r="BA300" i="19"/>
  <c r="BB300" i="19" s="1"/>
  <c r="BA301" i="19"/>
  <c r="BB301" i="19" s="1"/>
  <c r="BA302" i="19"/>
  <c r="BB302" i="19" s="1"/>
  <c r="BA303" i="19"/>
  <c r="BB303" i="19" s="1"/>
  <c r="BA304" i="19"/>
  <c r="BB304" i="19" s="1"/>
  <c r="BA305" i="19"/>
  <c r="BB305" i="19" s="1"/>
  <c r="BA306" i="19"/>
  <c r="BB306" i="19" s="1"/>
  <c r="BA307" i="19"/>
  <c r="BB307" i="19" s="1"/>
  <c r="BA308" i="19"/>
  <c r="BB308" i="19" s="1"/>
  <c r="BA309" i="19"/>
  <c r="BB309" i="19" s="1"/>
  <c r="AX274" i="19"/>
  <c r="AY274" i="19" s="1"/>
  <c r="AX275" i="19"/>
  <c r="AY275" i="19" s="1"/>
  <c r="AX276" i="19"/>
  <c r="AY276" i="19" s="1"/>
  <c r="AX277" i="19"/>
  <c r="AY277" i="19" s="1"/>
  <c r="AX278" i="19"/>
  <c r="AY278" i="19" s="1"/>
  <c r="AX279" i="19"/>
  <c r="AY279" i="19" s="1"/>
  <c r="AX280" i="19"/>
  <c r="AY280" i="19" s="1"/>
  <c r="AX281" i="19"/>
  <c r="AY281" i="19" s="1"/>
  <c r="AX282" i="19"/>
  <c r="AY282" i="19" s="1"/>
  <c r="AX283" i="19"/>
  <c r="AY283" i="19" s="1"/>
  <c r="AX284" i="19"/>
  <c r="AY284" i="19" s="1"/>
  <c r="AX285" i="19"/>
  <c r="AY285" i="19" s="1"/>
  <c r="AX286" i="19"/>
  <c r="AY286" i="19" s="1"/>
  <c r="AX287" i="19"/>
  <c r="AY287" i="19" s="1"/>
  <c r="AX288" i="19"/>
  <c r="AY288" i="19" s="1"/>
  <c r="AX289" i="19"/>
  <c r="AY289" i="19" s="1"/>
  <c r="AX290" i="19"/>
  <c r="AY290" i="19" s="1"/>
  <c r="AX291" i="19"/>
  <c r="AY291" i="19" s="1"/>
  <c r="AX292" i="19"/>
  <c r="AY292" i="19" s="1"/>
  <c r="AX293" i="19"/>
  <c r="AY293" i="19" s="1"/>
  <c r="AX294" i="19"/>
  <c r="AY294" i="19" s="1"/>
  <c r="AX295" i="19"/>
  <c r="AY295" i="19" s="1"/>
  <c r="AX296" i="19"/>
  <c r="AY296" i="19" s="1"/>
  <c r="AX297" i="19"/>
  <c r="AY297" i="19" s="1"/>
  <c r="AX298" i="19"/>
  <c r="AY298" i="19" s="1"/>
  <c r="AX299" i="19"/>
  <c r="AY299" i="19" s="1"/>
  <c r="AX300" i="19"/>
  <c r="AY300" i="19" s="1"/>
  <c r="AX301" i="19"/>
  <c r="AY301" i="19" s="1"/>
  <c r="AX302" i="19"/>
  <c r="AY302" i="19" s="1"/>
  <c r="AX303" i="19"/>
  <c r="AY303" i="19" s="1"/>
  <c r="AX304" i="19"/>
  <c r="AY304" i="19" s="1"/>
  <c r="AX305" i="19"/>
  <c r="AY305" i="19" s="1"/>
  <c r="AX306" i="19"/>
  <c r="AY306" i="19" s="1"/>
  <c r="AX307" i="19"/>
  <c r="AY307" i="19" s="1"/>
  <c r="AX308" i="19"/>
  <c r="AY308" i="19" s="1"/>
  <c r="AX309" i="19"/>
  <c r="AY309" i="19" s="1"/>
  <c r="AU274" i="19"/>
  <c r="AV274" i="19" s="1"/>
  <c r="AU275" i="19"/>
  <c r="AV275" i="19" s="1"/>
  <c r="AU276" i="19"/>
  <c r="AV276" i="19" s="1"/>
  <c r="AU277" i="19"/>
  <c r="AV277" i="19" s="1"/>
  <c r="AU278" i="19"/>
  <c r="AV278" i="19" s="1"/>
  <c r="AU279" i="19"/>
  <c r="AV279" i="19" s="1"/>
  <c r="AU280" i="19"/>
  <c r="AV280" i="19" s="1"/>
  <c r="AU281" i="19"/>
  <c r="AV281" i="19" s="1"/>
  <c r="AU282" i="19"/>
  <c r="AV282" i="19" s="1"/>
  <c r="AU283" i="19"/>
  <c r="AV283" i="19" s="1"/>
  <c r="AU284" i="19"/>
  <c r="AV284" i="19" s="1"/>
  <c r="AU285" i="19"/>
  <c r="AV285" i="19" s="1"/>
  <c r="AU286" i="19"/>
  <c r="AV286" i="19" s="1"/>
  <c r="AU287" i="19"/>
  <c r="AV287" i="19" s="1"/>
  <c r="AU288" i="19"/>
  <c r="AV288" i="19" s="1"/>
  <c r="AU289" i="19"/>
  <c r="AV289" i="19" s="1"/>
  <c r="AU290" i="19"/>
  <c r="AV290" i="19" s="1"/>
  <c r="AU291" i="19"/>
  <c r="AV291" i="19" s="1"/>
  <c r="AU292" i="19"/>
  <c r="AV292" i="19" s="1"/>
  <c r="AU293" i="19"/>
  <c r="AV293" i="19" s="1"/>
  <c r="AU294" i="19"/>
  <c r="AV294" i="19" s="1"/>
  <c r="AU295" i="19"/>
  <c r="AV295" i="19" s="1"/>
  <c r="AU296" i="19"/>
  <c r="AV296" i="19" s="1"/>
  <c r="AU297" i="19"/>
  <c r="AV297" i="19" s="1"/>
  <c r="AU298" i="19"/>
  <c r="AV298" i="19" s="1"/>
  <c r="AU299" i="19"/>
  <c r="AV299" i="19" s="1"/>
  <c r="AU300" i="19"/>
  <c r="AV300" i="19" s="1"/>
  <c r="AU301" i="19"/>
  <c r="AV301" i="19" s="1"/>
  <c r="AU302" i="19"/>
  <c r="AV302" i="19" s="1"/>
  <c r="AU303" i="19"/>
  <c r="AV303" i="19" s="1"/>
  <c r="AU304" i="19"/>
  <c r="AV304" i="19" s="1"/>
  <c r="AU305" i="19"/>
  <c r="AV305" i="19" s="1"/>
  <c r="AU306" i="19"/>
  <c r="AV306" i="19" s="1"/>
  <c r="AU307" i="19"/>
  <c r="AV307" i="19" s="1"/>
  <c r="AU308" i="19"/>
  <c r="AV308" i="19" s="1"/>
  <c r="AU309" i="19"/>
  <c r="AV309" i="19" s="1"/>
  <c r="AR274" i="19"/>
  <c r="AS274" i="19" s="1"/>
  <c r="AR275" i="19"/>
  <c r="AS275" i="19" s="1"/>
  <c r="AR276" i="19"/>
  <c r="AS276" i="19" s="1"/>
  <c r="AR277" i="19"/>
  <c r="AS277" i="19" s="1"/>
  <c r="AR278" i="19"/>
  <c r="AS278" i="19" s="1"/>
  <c r="AR279" i="19"/>
  <c r="AS279" i="19" s="1"/>
  <c r="AR280" i="19"/>
  <c r="AS280" i="19" s="1"/>
  <c r="AR281" i="19"/>
  <c r="AS281" i="19" s="1"/>
  <c r="AR282" i="19"/>
  <c r="AS282" i="19" s="1"/>
  <c r="AR283" i="19"/>
  <c r="AS283" i="19" s="1"/>
  <c r="AR284" i="19"/>
  <c r="AS284" i="19" s="1"/>
  <c r="AR285" i="19"/>
  <c r="AS285" i="19" s="1"/>
  <c r="AR286" i="19"/>
  <c r="AS286" i="19" s="1"/>
  <c r="AR287" i="19"/>
  <c r="AS287" i="19" s="1"/>
  <c r="AR288" i="19"/>
  <c r="AS288" i="19" s="1"/>
  <c r="AR289" i="19"/>
  <c r="AS289" i="19" s="1"/>
  <c r="AR290" i="19"/>
  <c r="AS290" i="19" s="1"/>
  <c r="AR291" i="19"/>
  <c r="AS291" i="19" s="1"/>
  <c r="AR292" i="19"/>
  <c r="AS292" i="19" s="1"/>
  <c r="AR293" i="19"/>
  <c r="AS293" i="19" s="1"/>
  <c r="AR294" i="19"/>
  <c r="AS294" i="19" s="1"/>
  <c r="AR295" i="19"/>
  <c r="AS295" i="19" s="1"/>
  <c r="AR296" i="19"/>
  <c r="AS296" i="19" s="1"/>
  <c r="AR297" i="19"/>
  <c r="AS297" i="19" s="1"/>
  <c r="AR298" i="19"/>
  <c r="AS298" i="19" s="1"/>
  <c r="AR299" i="19"/>
  <c r="AS299" i="19" s="1"/>
  <c r="AR300" i="19"/>
  <c r="AS300" i="19" s="1"/>
  <c r="AR301" i="19"/>
  <c r="AS301" i="19" s="1"/>
  <c r="AR302" i="19"/>
  <c r="AS302" i="19" s="1"/>
  <c r="AR303" i="19"/>
  <c r="AS303" i="19" s="1"/>
  <c r="AR304" i="19"/>
  <c r="AS304" i="19" s="1"/>
  <c r="AR305" i="19"/>
  <c r="AS305" i="19" s="1"/>
  <c r="AR306" i="19"/>
  <c r="AS306" i="19" s="1"/>
  <c r="AR307" i="19"/>
  <c r="AS307" i="19" s="1"/>
  <c r="AR308" i="19"/>
  <c r="AS308" i="19" s="1"/>
  <c r="AR309" i="19"/>
  <c r="AS309" i="19" s="1"/>
  <c r="AP274" i="19"/>
  <c r="AP275" i="19"/>
  <c r="AP276" i="19"/>
  <c r="AP277" i="19"/>
  <c r="AP278" i="19"/>
  <c r="AP279" i="19"/>
  <c r="AP280" i="19"/>
  <c r="AP281" i="19"/>
  <c r="AP282" i="19"/>
  <c r="AP283" i="19"/>
  <c r="AP284" i="19"/>
  <c r="AP285" i="19"/>
  <c r="AP286" i="19"/>
  <c r="AP287" i="19"/>
  <c r="AP288" i="19"/>
  <c r="AP289" i="19"/>
  <c r="AP290" i="19"/>
  <c r="AP291" i="19"/>
  <c r="AP292" i="19"/>
  <c r="AP293" i="19"/>
  <c r="AP294" i="19"/>
  <c r="AP295" i="19"/>
  <c r="AP296" i="19"/>
  <c r="AP297" i="19"/>
  <c r="AP298" i="19"/>
  <c r="AP299" i="19"/>
  <c r="AP300" i="19"/>
  <c r="AP301" i="19"/>
  <c r="AP302" i="19"/>
  <c r="AP303" i="19"/>
  <c r="AP304" i="19"/>
  <c r="AP305" i="19"/>
  <c r="AP306" i="19"/>
  <c r="AP307" i="19"/>
  <c r="AP308" i="19"/>
  <c r="AP309" i="19"/>
  <c r="AK274" i="19"/>
  <c r="AL274" i="19" s="1"/>
  <c r="AK275" i="19"/>
  <c r="AL275" i="19" s="1"/>
  <c r="AK276" i="19"/>
  <c r="AL276" i="19" s="1"/>
  <c r="AK277" i="19"/>
  <c r="AL277" i="19" s="1"/>
  <c r="AK278" i="19"/>
  <c r="AL278" i="19" s="1"/>
  <c r="AK279" i="19"/>
  <c r="AL279" i="19" s="1"/>
  <c r="AK280" i="19"/>
  <c r="AL280" i="19" s="1"/>
  <c r="AK281" i="19"/>
  <c r="AL281" i="19" s="1"/>
  <c r="AK282" i="19"/>
  <c r="AL282" i="19" s="1"/>
  <c r="AK283" i="19"/>
  <c r="AL283" i="19" s="1"/>
  <c r="AK284" i="19"/>
  <c r="AL284" i="19" s="1"/>
  <c r="AK285" i="19"/>
  <c r="AL285" i="19" s="1"/>
  <c r="AK286" i="19"/>
  <c r="AL286" i="19" s="1"/>
  <c r="AK287" i="19"/>
  <c r="AL287" i="19" s="1"/>
  <c r="AK288" i="19"/>
  <c r="AL288" i="19" s="1"/>
  <c r="AK289" i="19"/>
  <c r="AL289" i="19" s="1"/>
  <c r="AK290" i="19"/>
  <c r="AL290" i="19" s="1"/>
  <c r="AK291" i="19"/>
  <c r="AL291" i="19" s="1"/>
  <c r="AK292" i="19"/>
  <c r="AL292" i="19" s="1"/>
  <c r="AK293" i="19"/>
  <c r="AL293" i="19" s="1"/>
  <c r="AK294" i="19"/>
  <c r="AL294" i="19" s="1"/>
  <c r="AK295" i="19"/>
  <c r="AL295" i="19" s="1"/>
  <c r="AK296" i="19"/>
  <c r="AL296" i="19" s="1"/>
  <c r="AK297" i="19"/>
  <c r="AL297" i="19" s="1"/>
  <c r="AK298" i="19"/>
  <c r="AL298" i="19" s="1"/>
  <c r="AK299" i="19"/>
  <c r="AL299" i="19" s="1"/>
  <c r="AK300" i="19"/>
  <c r="AL300" i="19" s="1"/>
  <c r="AK301" i="19"/>
  <c r="AL301" i="19" s="1"/>
  <c r="AK302" i="19"/>
  <c r="AL302" i="19" s="1"/>
  <c r="AK303" i="19"/>
  <c r="AL303" i="19" s="1"/>
  <c r="AK304" i="19"/>
  <c r="AL304" i="19" s="1"/>
  <c r="AK305" i="19"/>
  <c r="AL305" i="19" s="1"/>
  <c r="AK306" i="19"/>
  <c r="AL306" i="19" s="1"/>
  <c r="AK307" i="19"/>
  <c r="AL307" i="19" s="1"/>
  <c r="AK308" i="19"/>
  <c r="AL308" i="19" s="1"/>
  <c r="AK309" i="19"/>
  <c r="AL309" i="19" s="1"/>
  <c r="AH274" i="19"/>
  <c r="AI274" i="19" s="1"/>
  <c r="AH275" i="19"/>
  <c r="AI275" i="19" s="1"/>
  <c r="AH276" i="19"/>
  <c r="AI276" i="19" s="1"/>
  <c r="AH277" i="19"/>
  <c r="AI277" i="19" s="1"/>
  <c r="AH278" i="19"/>
  <c r="AI278" i="19" s="1"/>
  <c r="AH279" i="19"/>
  <c r="AI279" i="19" s="1"/>
  <c r="AH280" i="19"/>
  <c r="AI280" i="19" s="1"/>
  <c r="AH281" i="19"/>
  <c r="AI281" i="19" s="1"/>
  <c r="AH282" i="19"/>
  <c r="AI282" i="19" s="1"/>
  <c r="AH283" i="19"/>
  <c r="AI283" i="19" s="1"/>
  <c r="AH284" i="19"/>
  <c r="AI284" i="19" s="1"/>
  <c r="AH285" i="19"/>
  <c r="AI285" i="19" s="1"/>
  <c r="AH286" i="19"/>
  <c r="AI286" i="19" s="1"/>
  <c r="AH287" i="19"/>
  <c r="AI287" i="19" s="1"/>
  <c r="AH288" i="19"/>
  <c r="AI288" i="19" s="1"/>
  <c r="AH289" i="19"/>
  <c r="AI289" i="19" s="1"/>
  <c r="AH290" i="19"/>
  <c r="AI290" i="19" s="1"/>
  <c r="AH291" i="19"/>
  <c r="AI291" i="19" s="1"/>
  <c r="AH292" i="19"/>
  <c r="AI292" i="19" s="1"/>
  <c r="AH293" i="19"/>
  <c r="AI293" i="19" s="1"/>
  <c r="AH294" i="19"/>
  <c r="AI294" i="19" s="1"/>
  <c r="AH295" i="19"/>
  <c r="AI295" i="19" s="1"/>
  <c r="AH296" i="19"/>
  <c r="AI296" i="19" s="1"/>
  <c r="AH297" i="19"/>
  <c r="AI297" i="19" s="1"/>
  <c r="AH298" i="19"/>
  <c r="AI298" i="19" s="1"/>
  <c r="AH299" i="19"/>
  <c r="AI299" i="19" s="1"/>
  <c r="AH300" i="19"/>
  <c r="AI300" i="19" s="1"/>
  <c r="AH301" i="19"/>
  <c r="AI301" i="19" s="1"/>
  <c r="AH302" i="19"/>
  <c r="AI302" i="19" s="1"/>
  <c r="AH303" i="19"/>
  <c r="AI303" i="19" s="1"/>
  <c r="AH304" i="19"/>
  <c r="AI304" i="19" s="1"/>
  <c r="AH305" i="19"/>
  <c r="AI305" i="19" s="1"/>
  <c r="AH306" i="19"/>
  <c r="AI306" i="19" s="1"/>
  <c r="AH307" i="19"/>
  <c r="AI307" i="19" s="1"/>
  <c r="AH308" i="19"/>
  <c r="AI308" i="19" s="1"/>
  <c r="AH309" i="19"/>
  <c r="AI309" i="19" s="1"/>
  <c r="AE274" i="19"/>
  <c r="AF274" i="19" s="1"/>
  <c r="AE275" i="19"/>
  <c r="AF275" i="19" s="1"/>
  <c r="AE276" i="19"/>
  <c r="AF276" i="19" s="1"/>
  <c r="AE277" i="19"/>
  <c r="AF277" i="19" s="1"/>
  <c r="AE278" i="19"/>
  <c r="AF278" i="19" s="1"/>
  <c r="AE279" i="19"/>
  <c r="AF279" i="19" s="1"/>
  <c r="AE280" i="19"/>
  <c r="AF280" i="19" s="1"/>
  <c r="AE281" i="19"/>
  <c r="AF281" i="19" s="1"/>
  <c r="AE282" i="19"/>
  <c r="AF282" i="19" s="1"/>
  <c r="AE283" i="19"/>
  <c r="AF283" i="19" s="1"/>
  <c r="AE284" i="19"/>
  <c r="AF284" i="19" s="1"/>
  <c r="AE285" i="19"/>
  <c r="AF285" i="19" s="1"/>
  <c r="AE286" i="19"/>
  <c r="AF286" i="19" s="1"/>
  <c r="AE287" i="19"/>
  <c r="AF287" i="19" s="1"/>
  <c r="AE288" i="19"/>
  <c r="AF288" i="19" s="1"/>
  <c r="AE289" i="19"/>
  <c r="AF289" i="19" s="1"/>
  <c r="AE290" i="19"/>
  <c r="AF290" i="19" s="1"/>
  <c r="AE291" i="19"/>
  <c r="AF291" i="19" s="1"/>
  <c r="AE292" i="19"/>
  <c r="AF292" i="19" s="1"/>
  <c r="AE293" i="19"/>
  <c r="AF293" i="19" s="1"/>
  <c r="AE294" i="19"/>
  <c r="AF294" i="19" s="1"/>
  <c r="AE295" i="19"/>
  <c r="AF295" i="19" s="1"/>
  <c r="AE296" i="19"/>
  <c r="AF296" i="19" s="1"/>
  <c r="AE297" i="19"/>
  <c r="AF297" i="19" s="1"/>
  <c r="AE298" i="19"/>
  <c r="AF298" i="19" s="1"/>
  <c r="AE299" i="19"/>
  <c r="AF299" i="19" s="1"/>
  <c r="AE300" i="19"/>
  <c r="AF300" i="19" s="1"/>
  <c r="AE301" i="19"/>
  <c r="AF301" i="19" s="1"/>
  <c r="AE302" i="19"/>
  <c r="AF302" i="19" s="1"/>
  <c r="AE303" i="19"/>
  <c r="AF303" i="19" s="1"/>
  <c r="AE304" i="19"/>
  <c r="AF304" i="19" s="1"/>
  <c r="AE305" i="19"/>
  <c r="AF305" i="19" s="1"/>
  <c r="AE306" i="19"/>
  <c r="AF306" i="19" s="1"/>
  <c r="AE307" i="19"/>
  <c r="AF307" i="19" s="1"/>
  <c r="AE308" i="19"/>
  <c r="AF308" i="19"/>
  <c r="AE309" i="19"/>
  <c r="AF309" i="19" s="1"/>
  <c r="D273" i="19"/>
  <c r="E273" i="19"/>
  <c r="F273" i="19"/>
  <c r="G273" i="19"/>
  <c r="H273" i="19" s="1"/>
  <c r="J272" i="19" a="1"/>
  <c r="I272" i="19" a="1"/>
  <c r="I272" i="19" s="1"/>
  <c r="G272" i="19"/>
  <c r="H272" i="19" s="1"/>
  <c r="F272" i="19"/>
  <c r="E272" i="19"/>
  <c r="D272" i="19"/>
  <c r="C272" i="19"/>
  <c r="B272" i="19"/>
  <c r="AR273" i="19" l="1"/>
  <c r="AS273" i="19" s="1"/>
  <c r="BW273" i="19"/>
  <c r="BS273" i="19"/>
  <c r="BU273" i="19"/>
  <c r="AP273" i="19"/>
  <c r="AH273" i="19"/>
  <c r="AI273" i="19" s="1"/>
  <c r="BD273" i="19"/>
  <c r="BE273" i="19" s="1"/>
  <c r="J272" i="19"/>
  <c r="AK272" i="19" s="1"/>
  <c r="AL272" i="19" s="1"/>
  <c r="BM273" i="19"/>
  <c r="BN273" i="19" s="1"/>
  <c r="AU273" i="19"/>
  <c r="AV273" i="19" s="1"/>
  <c r="AE273" i="19"/>
  <c r="AF273" i="19" s="1"/>
  <c r="BA273" i="19"/>
  <c r="BB273" i="19" s="1"/>
  <c r="BG273" i="19"/>
  <c r="BH273" i="19" s="1"/>
  <c r="AX273" i="19"/>
  <c r="AY273" i="19" s="1"/>
  <c r="AK273" i="19"/>
  <c r="AL273" i="19" s="1"/>
  <c r="AR272" i="19"/>
  <c r="AS272" i="19" s="1"/>
  <c r="BJ273" i="19"/>
  <c r="BK273" i="19" s="1"/>
  <c r="AA44" i="19" a="1"/>
  <c r="AA44" i="19" s="1"/>
  <c r="BJ272" i="19" l="1"/>
  <c r="BK272" i="19" s="1"/>
  <c r="BM272" i="19"/>
  <c r="BN272" i="19" s="1"/>
  <c r="AE272" i="19"/>
  <c r="AF272" i="19" s="1"/>
  <c r="AU272" i="19"/>
  <c r="AV272" i="19" s="1"/>
  <c r="BG272" i="19"/>
  <c r="BH272" i="19" s="1"/>
  <c r="BD272" i="19"/>
  <c r="BE272" i="19" s="1"/>
  <c r="AH272" i="19"/>
  <c r="AI272" i="19" s="1"/>
  <c r="AX272" i="19"/>
  <c r="AY272" i="19" s="1"/>
  <c r="BA272" i="19"/>
  <c r="BB272" i="19" s="1"/>
  <c r="AA38" i="19" a="1"/>
  <c r="AA38" i="19" s="1"/>
  <c r="AA28" i="19" l="1" a="1"/>
  <c r="AA28" i="19" s="1"/>
  <c r="AA25" i="19" l="1" a="1"/>
  <c r="AA25" i="19" s="1"/>
  <c r="AA18" i="19" l="1" a="1"/>
  <c r="AA18" i="19" s="1"/>
  <c r="AA15" i="19" l="1" a="1"/>
  <c r="AA15" i="19" s="1"/>
  <c r="AA9" i="19" l="1" a="1"/>
  <c r="AA9" i="19" s="1"/>
  <c r="AA3" i="19" l="1" a="1"/>
  <c r="AA3" i="19" s="1"/>
  <c r="BL264" i="19" l="1" a="1"/>
  <c r="BL264" i="19" s="1"/>
  <c r="BL257" i="19" l="1" a="1"/>
  <c r="BL257" i="19" s="1"/>
  <c r="BL249" i="19" l="1" a="1"/>
  <c r="BL249" i="19" s="1"/>
  <c r="BL246" i="19" l="1" a="1"/>
  <c r="BL246" i="19" s="1"/>
  <c r="BL238" i="19" l="1" a="1"/>
  <c r="BL238" i="19" s="1"/>
  <c r="BL232" i="19" l="1" a="1"/>
  <c r="BL232" i="19" s="1"/>
  <c r="BL226" i="19" l="1" a="1"/>
  <c r="BL226" i="19" s="1"/>
  <c r="BL223" i="19" l="1" a="1"/>
  <c r="BL223" i="19" s="1"/>
  <c r="BL220" i="19" l="1" a="1"/>
  <c r="BL220" i="19" s="1"/>
  <c r="BL215" i="19" l="1" a="1"/>
  <c r="BL215" i="19" s="1"/>
  <c r="BL212" i="19" l="1" a="1"/>
  <c r="BL212" i="19" s="1"/>
  <c r="BL209" i="19" l="1" a="1"/>
  <c r="BL209" i="19" s="1"/>
  <c r="BL202" i="19" l="1" a="1"/>
  <c r="BL202" i="19" s="1"/>
  <c r="BL194" i="19" l="1" a="1"/>
  <c r="BL194" i="19" s="1"/>
  <c r="BL186" i="19" l="1" a="1"/>
  <c r="BL186" i="19" s="1"/>
  <c r="BL179" i="19" l="1" a="1"/>
  <c r="BL179" i="19" s="1"/>
  <c r="BL173" i="19" l="1" a="1"/>
  <c r="BL173" i="19" s="1"/>
  <c r="BL165" i="19" l="1" a="1"/>
  <c r="BL165" i="19" s="1"/>
  <c r="BL158" i="19" l="1" a="1"/>
  <c r="BL158" i="19" s="1"/>
  <c r="BL155" i="19" l="1" a="1"/>
  <c r="BL155" i="19" s="1"/>
  <c r="BL152" i="19" l="1" a="1"/>
  <c r="BL152" i="19" s="1"/>
  <c r="BL149" i="19" l="1" a="1"/>
  <c r="BL149" i="19" s="1"/>
  <c r="BL146" i="19" l="1" a="1"/>
  <c r="BL146" i="19" s="1"/>
  <c r="BL144" i="19" l="1" a="1"/>
  <c r="BL144" i="19" s="1"/>
  <c r="BL141" i="19" l="1" a="1"/>
  <c r="BL141" i="19" s="1"/>
  <c r="BL137" i="19" l="1" a="1"/>
  <c r="BL137" i="19" s="1"/>
  <c r="BL132" i="19" l="1" a="1"/>
  <c r="BL132" i="19" s="1"/>
  <c r="BL124" i="19" l="1" a="1"/>
  <c r="BL124" i="19" s="1"/>
  <c r="BL117" i="19" l="1" a="1"/>
  <c r="BL117" i="19" s="1"/>
  <c r="BL110" i="19" l="1" a="1"/>
  <c r="BL110" i="19" s="1"/>
  <c r="BL102" i="19" l="1" a="1"/>
  <c r="BL102" i="19" s="1"/>
  <c r="BL100" i="19" l="1" a="1"/>
  <c r="BL100" i="19" s="1"/>
  <c r="BL97" i="19" l="1" a="1"/>
  <c r="BL97" i="19" s="1"/>
  <c r="BL95" i="19" l="1" a="1"/>
  <c r="BL95" i="19" s="1"/>
  <c r="BL92" i="19" l="1" a="1"/>
  <c r="BL92" i="19" s="1"/>
  <c r="BL89" i="19" l="1" a="1"/>
  <c r="BL89" i="19" s="1"/>
  <c r="BL86" i="19" l="1" a="1"/>
  <c r="BL86" i="19" s="1"/>
  <c r="BL82" i="19" l="1" a="1"/>
  <c r="BL82" i="19" s="1"/>
  <c r="BL78" i="19" l="1" a="1"/>
  <c r="BL78" i="19" s="1"/>
  <c r="BL75" i="19" l="1" a="1"/>
  <c r="BL75" i="19" s="1"/>
  <c r="BL72" i="19" l="1" a="1"/>
  <c r="BL72" i="19" s="1"/>
  <c r="BL70" i="19" l="1" a="1"/>
  <c r="BL70" i="19" s="1"/>
  <c r="BL66" i="19" l="1" a="1"/>
  <c r="BL66" i="19" s="1"/>
  <c r="BL61" i="19" l="1" a="1"/>
  <c r="BL61" i="19" s="1"/>
  <c r="BL54" i="19" l="1" a="1"/>
  <c r="BL54" i="19" s="1"/>
  <c r="BL49" i="19" l="1" a="1"/>
  <c r="BL49" i="19" s="1"/>
  <c r="BL44" i="19" l="1" a="1"/>
  <c r="BL44" i="19" s="1"/>
  <c r="BL38" i="19" l="1" a="1"/>
  <c r="BL38" i="19" s="1"/>
  <c r="BL28" i="19" l="1" a="1"/>
  <c r="BL28" i="19" s="1"/>
  <c r="BF264" i="19" l="1" a="1"/>
  <c r="BF264" i="19" s="1"/>
  <c r="BF257" i="19" l="1" a="1"/>
  <c r="BF257" i="19" s="1"/>
  <c r="BF249" i="19" l="1" a="1"/>
  <c r="BF249" i="19" s="1"/>
  <c r="BF246" i="19" l="1" a="1"/>
  <c r="BF246" i="19" s="1"/>
  <c r="BF238" i="19" l="1" a="1"/>
  <c r="BF238" i="19" s="1"/>
  <c r="BF232" i="19" l="1" a="1"/>
  <c r="BF232" i="19" s="1"/>
  <c r="BF226" i="19" l="1" a="1"/>
  <c r="BF226" i="19" s="1"/>
  <c r="BF223" i="19" l="1" a="1"/>
  <c r="BF223" i="19" s="1"/>
  <c r="BF220" i="19" l="1" a="1"/>
  <c r="BF220" i="19" s="1"/>
  <c r="BF215" i="19" l="1" a="1"/>
  <c r="BF215" i="19" s="1"/>
  <c r="BF212" i="19" l="1" a="1"/>
  <c r="BF212" i="19" s="1"/>
  <c r="BF209" i="19" l="1" a="1"/>
  <c r="BF209" i="19" s="1"/>
  <c r="BF202" i="19" l="1" a="1"/>
  <c r="BF202" i="19" s="1"/>
  <c r="BF194" i="19" l="1" a="1"/>
  <c r="BF194" i="19" s="1"/>
  <c r="BF186" i="19" l="1" a="1"/>
  <c r="BF186" i="19" s="1"/>
  <c r="BF179" i="19" l="1" a="1"/>
  <c r="BF179" i="19" s="1"/>
  <c r="BF173" i="19" l="1" a="1"/>
  <c r="BF173" i="19" s="1"/>
  <c r="BF165" i="19" l="1" a="1"/>
  <c r="BF165" i="19" s="1"/>
  <c r="BF158" i="19" l="1" a="1"/>
  <c r="BF158" i="19" s="1"/>
  <c r="BF155" i="19" l="1" a="1"/>
  <c r="BF155" i="19" s="1"/>
  <c r="BF152" i="19" l="1" a="1"/>
  <c r="BF152" i="19" s="1"/>
  <c r="BF149" i="19" l="1" a="1"/>
  <c r="BF149" i="19" s="1"/>
  <c r="BF146" i="19" l="1" a="1"/>
  <c r="BF146" i="19" s="1"/>
  <c r="BF144" i="19" l="1" a="1"/>
  <c r="BF144" i="19" s="1"/>
  <c r="BF141" i="19" l="1" a="1"/>
  <c r="BF141" i="19" s="1"/>
  <c r="BF137" i="19" l="1" a="1"/>
  <c r="BF137" i="19" s="1"/>
  <c r="BF132" i="19" l="1" a="1"/>
  <c r="BF132" i="19" s="1"/>
  <c r="BF124" i="19" l="1" a="1"/>
  <c r="BF124" i="19" s="1"/>
  <c r="BF117" i="19" l="1" a="1"/>
  <c r="BF117" i="19" s="1"/>
  <c r="BF110" i="19" l="1" a="1"/>
  <c r="BF110" i="19" s="1"/>
  <c r="BF102" i="19" l="1" a="1"/>
  <c r="BF102" i="19" s="1"/>
  <c r="BF100" i="19" l="1" a="1"/>
  <c r="BF100" i="19" s="1"/>
  <c r="BF97" i="19" l="1" a="1"/>
  <c r="BF97" i="19" s="1"/>
  <c r="BF95" i="19" l="1" a="1"/>
  <c r="BF95" i="19" s="1"/>
  <c r="BF92" i="19" l="1" a="1"/>
  <c r="BF92" i="19" s="1"/>
  <c r="BF89" i="19" l="1" a="1"/>
  <c r="BF89" i="19" s="1"/>
  <c r="BF86" i="19" l="1" a="1"/>
  <c r="BF86" i="19" s="1"/>
  <c r="BF82" i="19" l="1" a="1"/>
  <c r="BF82" i="19" s="1"/>
  <c r="BF78" i="19" l="1" a="1"/>
  <c r="BF78" i="19" s="1"/>
  <c r="BF75" i="19" l="1" a="1"/>
  <c r="BF75" i="19" s="1"/>
  <c r="BF72" i="19" l="1" a="1"/>
  <c r="BF72" i="19" s="1"/>
  <c r="BF70" i="19" l="1" a="1"/>
  <c r="BF70" i="19" s="1"/>
  <c r="BF66" i="19" l="1" a="1"/>
  <c r="BF66" i="19" s="1"/>
  <c r="BF61" i="19" l="1" a="1"/>
  <c r="BF61" i="19" s="1"/>
  <c r="BF54" i="19" l="1" a="1"/>
  <c r="BF54" i="19" s="1"/>
  <c r="BF49" i="19" l="1" a="1"/>
  <c r="BF49" i="19" s="1"/>
  <c r="BF44" i="19" l="1" a="1"/>
  <c r="BF44" i="19" s="1"/>
  <c r="BF38" i="19" l="1" a="1"/>
  <c r="BF38" i="19" s="1"/>
  <c r="BF28" i="19" l="1" a="1"/>
  <c r="BF28" i="19" s="1"/>
  <c r="BI264" i="19" l="1" a="1"/>
  <c r="BI264" i="19" s="1"/>
  <c r="BC264" i="19" a="1"/>
  <c r="BC264" i="19" s="1"/>
  <c r="AZ264" i="19" a="1"/>
  <c r="AZ264" i="19" s="1"/>
  <c r="AW264" i="19" a="1"/>
  <c r="AW264" i="19" s="1"/>
  <c r="AT264" i="19" a="1"/>
  <c r="AT264" i="19" s="1"/>
  <c r="AQ264" i="19" a="1"/>
  <c r="AQ264" i="19" s="1"/>
  <c r="AO264" i="19" a="1"/>
  <c r="AO264" i="19" s="1"/>
  <c r="AP264" i="19" s="1"/>
  <c r="AN264" i="19" a="1"/>
  <c r="AN264" i="19" s="1"/>
  <c r="AM264" i="19" a="1"/>
  <c r="AM264" i="19" s="1"/>
  <c r="AJ264" i="19" a="1"/>
  <c r="AJ264" i="19" s="1"/>
  <c r="AG264" i="19" a="1"/>
  <c r="AG264" i="19" s="1"/>
  <c r="AD264" i="19" a="1"/>
  <c r="AD264" i="19" s="1"/>
  <c r="B265" i="19"/>
  <c r="C265" i="19"/>
  <c r="D265" i="19"/>
  <c r="E265" i="19"/>
  <c r="F265" i="19"/>
  <c r="G265" i="19"/>
  <c r="H265" i="19" s="1"/>
  <c r="B266" i="19"/>
  <c r="C266" i="19"/>
  <c r="D266" i="19"/>
  <c r="E266" i="19"/>
  <c r="F266" i="19"/>
  <c r="G266" i="19"/>
  <c r="H266" i="19" s="1"/>
  <c r="B267" i="19"/>
  <c r="C267" i="19"/>
  <c r="D267" i="19"/>
  <c r="E267" i="19"/>
  <c r="F267" i="19"/>
  <c r="G267" i="19"/>
  <c r="H267" i="19" s="1"/>
  <c r="B268" i="19"/>
  <c r="C268" i="19"/>
  <c r="D268" i="19"/>
  <c r="E268" i="19"/>
  <c r="F268" i="19"/>
  <c r="G268" i="19"/>
  <c r="H268" i="19" s="1"/>
  <c r="B269" i="19"/>
  <c r="C269" i="19"/>
  <c r="D269" i="19"/>
  <c r="E269" i="19"/>
  <c r="F269" i="19"/>
  <c r="G269" i="19"/>
  <c r="H269" i="19" s="1"/>
  <c r="B270" i="19"/>
  <c r="C270" i="19"/>
  <c r="D270" i="19"/>
  <c r="E270" i="19"/>
  <c r="F270" i="19"/>
  <c r="G270" i="19"/>
  <c r="H270" i="19" s="1"/>
  <c r="B271" i="19"/>
  <c r="C271" i="19"/>
  <c r="D271" i="19"/>
  <c r="E271" i="19"/>
  <c r="F271" i="19"/>
  <c r="G271" i="19"/>
  <c r="H271" i="19" s="1"/>
  <c r="I264" i="19" a="1"/>
  <c r="I264" i="19" s="1"/>
  <c r="J264" i="19" a="1"/>
  <c r="G264" i="19"/>
  <c r="H264" i="19" s="1"/>
  <c r="F264" i="19"/>
  <c r="E264" i="19"/>
  <c r="D264" i="19"/>
  <c r="C264" i="19"/>
  <c r="B264" i="19"/>
  <c r="BI257" i="19" a="1"/>
  <c r="BI257" i="19" s="1"/>
  <c r="BC257" i="19" a="1"/>
  <c r="BC257" i="19" s="1"/>
  <c r="AZ257" i="19" a="1"/>
  <c r="AZ257" i="19" s="1"/>
  <c r="AW257" i="19" a="1"/>
  <c r="AW257" i="19" s="1"/>
  <c r="AT257" i="19" a="1"/>
  <c r="AT257" i="19" s="1"/>
  <c r="AQ257" i="19" a="1"/>
  <c r="AQ257" i="19" s="1"/>
  <c r="AO257" i="19" a="1"/>
  <c r="AO257" i="19" s="1"/>
  <c r="AN257" i="19" a="1"/>
  <c r="AN257" i="19" s="1"/>
  <c r="AM257" i="19" a="1"/>
  <c r="AM257" i="19" s="1"/>
  <c r="AJ257" i="19" a="1"/>
  <c r="AJ257" i="19" s="1"/>
  <c r="AG257" i="19" a="1"/>
  <c r="AG257" i="19" s="1"/>
  <c r="AD257" i="19" a="1"/>
  <c r="AD257" i="19" s="1"/>
  <c r="B258" i="19"/>
  <c r="C258" i="19"/>
  <c r="D258" i="19"/>
  <c r="E258" i="19"/>
  <c r="F258" i="19"/>
  <c r="G258" i="19"/>
  <c r="H258" i="19" s="1"/>
  <c r="B259" i="19"/>
  <c r="C259" i="19"/>
  <c r="D259" i="19"/>
  <c r="E259" i="19"/>
  <c r="F259" i="19"/>
  <c r="G259" i="19"/>
  <c r="H259" i="19" s="1"/>
  <c r="B260" i="19"/>
  <c r="BS260" i="19" s="1"/>
  <c r="C260" i="19"/>
  <c r="D260" i="19"/>
  <c r="E260" i="19"/>
  <c r="F260" i="19"/>
  <c r="G260" i="19"/>
  <c r="H260" i="19" s="1"/>
  <c r="B261" i="19"/>
  <c r="C261" i="19"/>
  <c r="D261" i="19"/>
  <c r="E261" i="19"/>
  <c r="F261" i="19"/>
  <c r="G261" i="19"/>
  <c r="H261" i="19" s="1"/>
  <c r="B262" i="19"/>
  <c r="C262" i="19"/>
  <c r="D262" i="19"/>
  <c r="E262" i="19"/>
  <c r="F262" i="19"/>
  <c r="G262" i="19"/>
  <c r="H262" i="19" s="1"/>
  <c r="B263" i="19"/>
  <c r="C263" i="19"/>
  <c r="D263" i="19"/>
  <c r="E263" i="19"/>
  <c r="F263" i="19"/>
  <c r="G263" i="19"/>
  <c r="H263" i="19" s="1"/>
  <c r="I257" i="19" a="1"/>
  <c r="I257" i="19" s="1"/>
  <c r="J257" i="19" a="1"/>
  <c r="G257" i="19"/>
  <c r="H257" i="19" s="1"/>
  <c r="F257" i="19"/>
  <c r="E257" i="19"/>
  <c r="D257" i="19"/>
  <c r="C257" i="19"/>
  <c r="B257" i="19"/>
  <c r="BW271" i="19" l="1"/>
  <c r="BW267" i="19"/>
  <c r="BS257" i="19"/>
  <c r="BW270" i="19"/>
  <c r="BU268" i="19"/>
  <c r="BS268" i="19"/>
  <c r="BW266" i="19"/>
  <c r="BU265" i="19"/>
  <c r="BS265" i="19"/>
  <c r="BS270" i="19"/>
  <c r="BU270" i="19"/>
  <c r="BW268" i="19"/>
  <c r="BS266" i="19"/>
  <c r="BU266" i="19"/>
  <c r="BS269" i="19"/>
  <c r="BU269" i="19"/>
  <c r="BU271" i="19"/>
  <c r="BS271" i="19"/>
  <c r="BW269" i="19"/>
  <c r="BS267" i="19"/>
  <c r="BU267" i="19"/>
  <c r="BW265" i="19"/>
  <c r="BM270" i="19"/>
  <c r="BN270" i="19" s="1"/>
  <c r="BM265" i="19"/>
  <c r="BN265" i="19" s="1"/>
  <c r="BM271" i="19"/>
  <c r="BN271" i="19" s="1"/>
  <c r="BM266" i="19"/>
  <c r="BN266" i="19" s="1"/>
  <c r="BM267" i="19"/>
  <c r="BN267" i="19" s="1"/>
  <c r="BM268" i="19"/>
  <c r="BN268" i="19" s="1"/>
  <c r="BM269" i="19"/>
  <c r="BN269" i="19" s="1"/>
  <c r="BM258" i="19"/>
  <c r="BN258" i="19" s="1"/>
  <c r="BM259" i="19"/>
  <c r="BN259" i="19" s="1"/>
  <c r="BM263" i="19"/>
  <c r="BN263" i="19" s="1"/>
  <c r="BM260" i="19"/>
  <c r="BN260" i="19" s="1"/>
  <c r="BM261" i="19"/>
  <c r="BN261" i="19" s="1"/>
  <c r="BM262" i="19"/>
  <c r="BN262" i="19" s="1"/>
  <c r="J257" i="19"/>
  <c r="BG258" i="19"/>
  <c r="BH258" i="19" s="1"/>
  <c r="BG259" i="19"/>
  <c r="BH259" i="19" s="1"/>
  <c r="BG260" i="19"/>
  <c r="BH260" i="19" s="1"/>
  <c r="BG261" i="19"/>
  <c r="BH261" i="19" s="1"/>
  <c r="BG262" i="19"/>
  <c r="BH262" i="19" s="1"/>
  <c r="BG263" i="19"/>
  <c r="BH263" i="19" s="1"/>
  <c r="J264" i="19"/>
  <c r="BG266" i="19"/>
  <c r="BH266" i="19" s="1"/>
  <c r="BG267" i="19"/>
  <c r="BH267" i="19" s="1"/>
  <c r="BG268" i="19"/>
  <c r="BH268" i="19" s="1"/>
  <c r="BG269" i="19"/>
  <c r="BH269" i="19" s="1"/>
  <c r="BG270" i="19"/>
  <c r="BH270" i="19" s="1"/>
  <c r="BG271" i="19"/>
  <c r="BH271" i="19" s="1"/>
  <c r="BG265" i="19"/>
  <c r="BH265" i="19" s="1"/>
  <c r="AP268" i="19"/>
  <c r="AP267" i="19"/>
  <c r="AP265" i="19"/>
  <c r="AK269" i="19"/>
  <c r="AL269" i="19" s="1"/>
  <c r="BS261" i="19"/>
  <c r="AR267" i="19"/>
  <c r="AS267" i="19" s="1"/>
  <c r="AE265" i="19"/>
  <c r="AF265" i="19" s="1"/>
  <c r="AP271" i="19"/>
  <c r="AX266" i="19"/>
  <c r="AY266" i="19" s="1"/>
  <c r="AH269" i="19"/>
  <c r="AI269" i="19" s="1"/>
  <c r="AE268" i="19"/>
  <c r="AF268" i="19" s="1"/>
  <c r="AK267" i="19"/>
  <c r="AL267" i="19" s="1"/>
  <c r="AP270" i="19"/>
  <c r="AR271" i="19"/>
  <c r="AS271" i="19" s="1"/>
  <c r="AR265" i="19"/>
  <c r="AS265" i="19" s="1"/>
  <c r="AU269" i="19"/>
  <c r="AV269" i="19" s="1"/>
  <c r="AU265" i="19"/>
  <c r="AV265" i="19" s="1"/>
  <c r="AX269" i="19"/>
  <c r="AY269" i="19" s="1"/>
  <c r="BA269" i="19"/>
  <c r="BB269" i="19" s="1"/>
  <c r="BJ270" i="19"/>
  <c r="BK270" i="19" s="1"/>
  <c r="AH267" i="19"/>
  <c r="AI267" i="19" s="1"/>
  <c r="AK271" i="19"/>
  <c r="AL271" i="19" s="1"/>
  <c r="AK266" i="19"/>
  <c r="AL266" i="19" s="1"/>
  <c r="AP269" i="19"/>
  <c r="BD267" i="19"/>
  <c r="BE267" i="19" s="1"/>
  <c r="BJ269" i="19"/>
  <c r="BK269" i="19" s="1"/>
  <c r="AE271" i="19"/>
  <c r="AF271" i="19" s="1"/>
  <c r="AE267" i="19"/>
  <c r="AF267" i="19" s="1"/>
  <c r="AH271" i="19"/>
  <c r="AI271" i="19" s="1"/>
  <c r="AK265" i="19"/>
  <c r="AL265" i="19" s="1"/>
  <c r="AR270" i="19"/>
  <c r="AS270" i="19" s="1"/>
  <c r="AU268" i="19"/>
  <c r="AV268" i="19" s="1"/>
  <c r="AX268" i="19"/>
  <c r="AY268" i="19" s="1"/>
  <c r="BA268" i="19"/>
  <c r="BB268" i="19" s="1"/>
  <c r="BD266" i="19"/>
  <c r="BE266" i="19" s="1"/>
  <c r="BJ268" i="19"/>
  <c r="BK268" i="19" s="1"/>
  <c r="AR269" i="19"/>
  <c r="AS269" i="19" s="1"/>
  <c r="AX267" i="19"/>
  <c r="AY267" i="19" s="1"/>
  <c r="BD265" i="19"/>
  <c r="BE265" i="19" s="1"/>
  <c r="AH268" i="19"/>
  <c r="AI268" i="19" s="1"/>
  <c r="AE266" i="19"/>
  <c r="AF266" i="19" s="1"/>
  <c r="AH266" i="19"/>
  <c r="AI266" i="19" s="1"/>
  <c r="AK270" i="19"/>
  <c r="AL270" i="19" s="1"/>
  <c r="AE270" i="19"/>
  <c r="AF270" i="19" s="1"/>
  <c r="AH270" i="19"/>
  <c r="AI270" i="19" s="1"/>
  <c r="AH265" i="19"/>
  <c r="AI265" i="19" s="1"/>
  <c r="AP266" i="19"/>
  <c r="AR268" i="19"/>
  <c r="AS268" i="19" s="1"/>
  <c r="AU271" i="19"/>
  <c r="AV271" i="19" s="1"/>
  <c r="AU267" i="19"/>
  <c r="AV267" i="19" s="1"/>
  <c r="AX271" i="19"/>
  <c r="AY271" i="19" s="1"/>
  <c r="BA271" i="19"/>
  <c r="BB271" i="19" s="1"/>
  <c r="BA267" i="19"/>
  <c r="BB267" i="19" s="1"/>
  <c r="BD271" i="19"/>
  <c r="BE271" i="19" s="1"/>
  <c r="BJ267" i="19"/>
  <c r="BK267" i="19" s="1"/>
  <c r="BJ266" i="19"/>
  <c r="BK266" i="19" s="1"/>
  <c r="BD270" i="19"/>
  <c r="BE270" i="19" s="1"/>
  <c r="AE269" i="19"/>
  <c r="AF269" i="19" s="1"/>
  <c r="AK268" i="19"/>
  <c r="AL268" i="19" s="1"/>
  <c r="AU270" i="19"/>
  <c r="AV270" i="19" s="1"/>
  <c r="AU266" i="19"/>
  <c r="AV266" i="19" s="1"/>
  <c r="AX270" i="19"/>
  <c r="AY270" i="19" s="1"/>
  <c r="BA270" i="19"/>
  <c r="BB270" i="19" s="1"/>
  <c r="BA266" i="19"/>
  <c r="BB266" i="19" s="1"/>
  <c r="BD269" i="19"/>
  <c r="BE269" i="19" s="1"/>
  <c r="BJ265" i="19"/>
  <c r="BK265" i="19" s="1"/>
  <c r="AR266" i="19"/>
  <c r="AS266" i="19" s="1"/>
  <c r="AX265" i="19"/>
  <c r="AY265" i="19" s="1"/>
  <c r="BA265" i="19"/>
  <c r="BB265" i="19" s="1"/>
  <c r="BD268" i="19"/>
  <c r="BE268" i="19" s="1"/>
  <c r="BJ271" i="19"/>
  <c r="BK271" i="19" s="1"/>
  <c r="BW263" i="19"/>
  <c r="BW259" i="19"/>
  <c r="BS258" i="19"/>
  <c r="BW260" i="19"/>
  <c r="BW262" i="19"/>
  <c r="BW258" i="19"/>
  <c r="BS263" i="19"/>
  <c r="BS259" i="19"/>
  <c r="BW257" i="19"/>
  <c r="BS262" i="19"/>
  <c r="BW261" i="19"/>
  <c r="BU261" i="19"/>
  <c r="BU258" i="19"/>
  <c r="BU263" i="19"/>
  <c r="BU260" i="19"/>
  <c r="BU257" i="19"/>
  <c r="BU262" i="19"/>
  <c r="BU259" i="19"/>
  <c r="BI249" i="19" a="1"/>
  <c r="BI249" i="19" s="1"/>
  <c r="BC249" i="19" a="1"/>
  <c r="BC249" i="19" s="1"/>
  <c r="AZ249" i="19" a="1"/>
  <c r="AZ249" i="19" s="1"/>
  <c r="AW249" i="19" a="1"/>
  <c r="AW249" i="19" s="1"/>
  <c r="AT249" i="19" a="1"/>
  <c r="AT249" i="19" s="1"/>
  <c r="AQ249" i="19" a="1"/>
  <c r="AQ249" i="19" s="1"/>
  <c r="AO249" i="19" a="1"/>
  <c r="AO249" i="19" s="1"/>
  <c r="AN249" i="19" a="1"/>
  <c r="AN249" i="19" s="1"/>
  <c r="AM249" i="19" a="1"/>
  <c r="AM249" i="19" s="1"/>
  <c r="AJ249" i="19" a="1"/>
  <c r="AJ249" i="19" s="1"/>
  <c r="AG249" i="19" a="1"/>
  <c r="AG249" i="19" s="1"/>
  <c r="AD249" i="19" a="1"/>
  <c r="AD249" i="19" s="1"/>
  <c r="B250" i="19"/>
  <c r="C250" i="19"/>
  <c r="D250" i="19"/>
  <c r="E250" i="19"/>
  <c r="F250" i="19"/>
  <c r="G250" i="19"/>
  <c r="H250" i="19" s="1"/>
  <c r="B251" i="19"/>
  <c r="C251" i="19"/>
  <c r="D251" i="19"/>
  <c r="E251" i="19"/>
  <c r="F251" i="19"/>
  <c r="G251" i="19"/>
  <c r="H251" i="19" s="1"/>
  <c r="B252" i="19"/>
  <c r="C252" i="19"/>
  <c r="D252" i="19"/>
  <c r="E252" i="19"/>
  <c r="F252" i="19"/>
  <c r="G252" i="19"/>
  <c r="H252" i="19" s="1"/>
  <c r="B253" i="19"/>
  <c r="C253" i="19"/>
  <c r="D253" i="19"/>
  <c r="E253" i="19"/>
  <c r="F253" i="19"/>
  <c r="G253" i="19"/>
  <c r="H253" i="19" s="1"/>
  <c r="B254" i="19"/>
  <c r="C254" i="19"/>
  <c r="D254" i="19"/>
  <c r="E254" i="19"/>
  <c r="F254" i="19"/>
  <c r="G254" i="19"/>
  <c r="H254" i="19" s="1"/>
  <c r="B255" i="19"/>
  <c r="C255" i="19"/>
  <c r="D255" i="19"/>
  <c r="E255" i="19"/>
  <c r="F255" i="19"/>
  <c r="G255" i="19"/>
  <c r="H255" i="19" s="1"/>
  <c r="B256" i="19"/>
  <c r="C256" i="19"/>
  <c r="D256" i="19"/>
  <c r="E256" i="19"/>
  <c r="F256" i="19"/>
  <c r="G256" i="19"/>
  <c r="H256" i="19" s="1"/>
  <c r="I249" i="19" a="1"/>
  <c r="I249" i="19" s="1"/>
  <c r="J249" i="19" a="1"/>
  <c r="G249" i="19"/>
  <c r="H249" i="19" s="1"/>
  <c r="F249" i="19"/>
  <c r="E249" i="19"/>
  <c r="D249" i="19"/>
  <c r="C249" i="19"/>
  <c r="B249" i="19"/>
  <c r="BG264" i="19" l="1"/>
  <c r="BH264" i="19" s="1"/>
  <c r="BM264" i="19"/>
  <c r="BN264" i="19" s="1"/>
  <c r="BG257" i="19"/>
  <c r="BH257" i="19" s="1"/>
  <c r="BM257" i="19"/>
  <c r="BN257" i="19" s="1"/>
  <c r="BM250" i="19"/>
  <c r="BN250" i="19" s="1"/>
  <c r="BM251" i="19"/>
  <c r="BN251" i="19" s="1"/>
  <c r="BM256" i="19"/>
  <c r="BN256" i="19" s="1"/>
  <c r="BM252" i="19"/>
  <c r="BN252" i="19" s="1"/>
  <c r="BM253" i="19"/>
  <c r="BN253" i="19" s="1"/>
  <c r="BM254" i="19"/>
  <c r="BN254" i="19" s="1"/>
  <c r="BM255" i="19"/>
  <c r="BN255" i="19" s="1"/>
  <c r="AE264" i="19"/>
  <c r="AF264" i="19" s="1"/>
  <c r="AK264" i="19"/>
  <c r="AL264" i="19" s="1"/>
  <c r="BA264" i="19"/>
  <c r="BB264" i="19" s="1"/>
  <c r="AX264" i="19"/>
  <c r="AY264" i="19" s="1"/>
  <c r="AR264" i="19"/>
  <c r="AS264" i="19" s="1"/>
  <c r="AU264" i="19"/>
  <c r="AV264" i="19" s="1"/>
  <c r="AH264" i="19"/>
  <c r="AI264" i="19" s="1"/>
  <c r="BJ264" i="19"/>
  <c r="BK264" i="19" s="1"/>
  <c r="BD264" i="19"/>
  <c r="BE264" i="19" s="1"/>
  <c r="J249" i="19"/>
  <c r="BG256" i="19"/>
  <c r="BH256" i="19" s="1"/>
  <c r="BG250" i="19"/>
  <c r="BH250" i="19" s="1"/>
  <c r="BG251" i="19"/>
  <c r="BH251" i="19" s="1"/>
  <c r="BG252" i="19"/>
  <c r="BH252" i="19" s="1"/>
  <c r="BG253" i="19"/>
  <c r="BH253" i="19" s="1"/>
  <c r="BG254" i="19"/>
  <c r="BH254" i="19" s="1"/>
  <c r="BG255" i="19"/>
  <c r="BH255" i="19" s="1"/>
  <c r="BW250" i="19"/>
  <c r="BW254" i="19"/>
  <c r="BW256" i="19"/>
  <c r="BW251" i="19"/>
  <c r="BS253" i="19"/>
  <c r="BU253" i="19"/>
  <c r="BW249" i="19"/>
  <c r="BW252" i="19"/>
  <c r="BS254" i="19"/>
  <c r="BU254" i="19"/>
  <c r="BU256" i="19"/>
  <c r="BS256" i="19"/>
  <c r="BW253" i="19"/>
  <c r="BS250" i="19"/>
  <c r="BU250" i="19"/>
  <c r="BS255" i="19"/>
  <c r="BU255" i="19"/>
  <c r="BS251" i="19"/>
  <c r="BU251" i="19"/>
  <c r="BW255" i="19"/>
  <c r="BS249" i="19"/>
  <c r="BU249" i="19"/>
  <c r="BS252" i="19"/>
  <c r="BU252" i="19"/>
  <c r="BI246" i="19" a="1"/>
  <c r="BI246" i="19" s="1"/>
  <c r="BC246" i="19" a="1"/>
  <c r="BC246" i="19" s="1"/>
  <c r="AZ246" i="19" a="1"/>
  <c r="AZ246" i="19" s="1"/>
  <c r="AW246" i="19" a="1"/>
  <c r="AW246" i="19" s="1"/>
  <c r="AT246" i="19" a="1"/>
  <c r="AT246" i="19" s="1"/>
  <c r="AQ246" i="19" a="1"/>
  <c r="AQ246" i="19" s="1"/>
  <c r="AO246" i="19" a="1"/>
  <c r="AO246" i="19" s="1"/>
  <c r="AN246" i="19" a="1"/>
  <c r="AN246" i="19" s="1"/>
  <c r="AM246" i="19" a="1"/>
  <c r="AM246" i="19" s="1"/>
  <c r="AJ246" i="19" a="1"/>
  <c r="AJ246" i="19" s="1"/>
  <c r="AG246" i="19" a="1"/>
  <c r="AG246" i="19" s="1"/>
  <c r="AD246" i="19" a="1"/>
  <c r="AD246" i="19" s="1"/>
  <c r="B247" i="19"/>
  <c r="C247" i="19"/>
  <c r="D247" i="19"/>
  <c r="E247" i="19"/>
  <c r="F247" i="19"/>
  <c r="G247" i="19"/>
  <c r="H247" i="19" s="1"/>
  <c r="B248" i="19"/>
  <c r="C248" i="19"/>
  <c r="D248" i="19"/>
  <c r="E248" i="19"/>
  <c r="F248" i="19"/>
  <c r="G248" i="19"/>
  <c r="H248" i="19" s="1"/>
  <c r="I246" i="19" a="1"/>
  <c r="I246" i="19" s="1"/>
  <c r="J246" i="19" a="1"/>
  <c r="G246" i="19"/>
  <c r="H246" i="19" s="1"/>
  <c r="F246" i="19"/>
  <c r="E246" i="19"/>
  <c r="D246" i="19"/>
  <c r="C246" i="19"/>
  <c r="B246" i="19"/>
  <c r="BG249" i="19" l="1"/>
  <c r="BH249" i="19" s="1"/>
  <c r="BM249" i="19"/>
  <c r="BN249" i="19" s="1"/>
  <c r="BM247" i="19"/>
  <c r="BN247" i="19" s="1"/>
  <c r="BM248" i="19"/>
  <c r="BN248" i="19" s="1"/>
  <c r="J246" i="19"/>
  <c r="BG247" i="19"/>
  <c r="BH247" i="19" s="1"/>
  <c r="BG248" i="19"/>
  <c r="BH248" i="19" s="1"/>
  <c r="BW247" i="19"/>
  <c r="BW248" i="19"/>
  <c r="BU248" i="19"/>
  <c r="BS248" i="19"/>
  <c r="BS246" i="19"/>
  <c r="BU246" i="19"/>
  <c r="BW246" i="19"/>
  <c r="BS247" i="19"/>
  <c r="BU247" i="19"/>
  <c r="BI238" i="19" a="1"/>
  <c r="BI238" i="19" s="1"/>
  <c r="BC238" i="19" a="1"/>
  <c r="BC238" i="19" s="1"/>
  <c r="AZ238" i="19" a="1"/>
  <c r="AZ238" i="19" s="1"/>
  <c r="AW238" i="19" a="1"/>
  <c r="AW238" i="19" s="1"/>
  <c r="AT238" i="19" a="1"/>
  <c r="AT238" i="19" s="1"/>
  <c r="AQ238" i="19" a="1"/>
  <c r="AQ238" i="19" s="1"/>
  <c r="AO238" i="19" a="1"/>
  <c r="AO238" i="19" s="1"/>
  <c r="AN238" i="19" a="1"/>
  <c r="AN238" i="19" s="1"/>
  <c r="AM238" i="19" a="1"/>
  <c r="AM238" i="19" s="1"/>
  <c r="AJ238" i="19" a="1"/>
  <c r="AJ238" i="19" s="1"/>
  <c r="AG238" i="19" a="1"/>
  <c r="AG238" i="19" s="1"/>
  <c r="AD238" i="19" a="1"/>
  <c r="AD238" i="19" s="1"/>
  <c r="D239" i="19"/>
  <c r="E239" i="19"/>
  <c r="F239" i="19"/>
  <c r="G239" i="19"/>
  <c r="H239" i="19" s="1"/>
  <c r="D240" i="19"/>
  <c r="E240" i="19"/>
  <c r="F240" i="19"/>
  <c r="G240" i="19"/>
  <c r="H240" i="19" s="1"/>
  <c r="D241" i="19"/>
  <c r="E241" i="19"/>
  <c r="F241" i="19"/>
  <c r="G241" i="19"/>
  <c r="H241" i="19" s="1"/>
  <c r="D242" i="19"/>
  <c r="E242" i="19"/>
  <c r="F242" i="19"/>
  <c r="G242" i="19"/>
  <c r="H242" i="19" s="1"/>
  <c r="D243" i="19"/>
  <c r="E243" i="19"/>
  <c r="F243" i="19"/>
  <c r="G243" i="19"/>
  <c r="H243" i="19" s="1"/>
  <c r="D244" i="19"/>
  <c r="E244" i="19"/>
  <c r="F244" i="19"/>
  <c r="G244" i="19"/>
  <c r="H244" i="19" s="1"/>
  <c r="D245" i="19"/>
  <c r="E245" i="19"/>
  <c r="F245" i="19"/>
  <c r="G245" i="19"/>
  <c r="H245" i="19" s="1"/>
  <c r="C239" i="19"/>
  <c r="C240" i="19"/>
  <c r="C241" i="19"/>
  <c r="C242" i="19"/>
  <c r="C243" i="19"/>
  <c r="C244" i="19"/>
  <c r="C245" i="19"/>
  <c r="B239" i="19"/>
  <c r="B240" i="19"/>
  <c r="B241" i="19"/>
  <c r="B242" i="19"/>
  <c r="B243" i="19"/>
  <c r="B244" i="19"/>
  <c r="B245" i="19"/>
  <c r="J238" i="19" a="1"/>
  <c r="I238" i="19" a="1"/>
  <c r="I238" i="19" s="1"/>
  <c r="G238" i="19"/>
  <c r="H238" i="19" s="1"/>
  <c r="F238" i="19"/>
  <c r="E238" i="19"/>
  <c r="D238" i="19"/>
  <c r="C238" i="19"/>
  <c r="B238" i="19"/>
  <c r="BG246" i="19" l="1"/>
  <c r="BH246" i="19" s="1"/>
  <c r="BM246" i="19"/>
  <c r="BN246" i="19" s="1"/>
  <c r="BM239" i="19"/>
  <c r="BN239" i="19" s="1"/>
  <c r="BM245" i="19"/>
  <c r="BN245" i="19" s="1"/>
  <c r="BM241" i="19"/>
  <c r="BN241" i="19" s="1"/>
  <c r="BM242" i="19"/>
  <c r="BN242" i="19" s="1"/>
  <c r="BM243" i="19"/>
  <c r="BN243" i="19" s="1"/>
  <c r="BM244" i="19"/>
  <c r="BN244" i="19" s="1"/>
  <c r="BM240" i="19"/>
  <c r="BN240" i="19" s="1"/>
  <c r="J238" i="19"/>
  <c r="BG239" i="19"/>
  <c r="BH239" i="19" s="1"/>
  <c r="BG245" i="19"/>
  <c r="BH245" i="19" s="1"/>
  <c r="BG243" i="19"/>
  <c r="BH243" i="19" s="1"/>
  <c r="BG240" i="19"/>
  <c r="BH240" i="19" s="1"/>
  <c r="BG242" i="19"/>
  <c r="BH242" i="19" s="1"/>
  <c r="BG241" i="19"/>
  <c r="BH241" i="19" s="1"/>
  <c r="BG244" i="19"/>
  <c r="BH244" i="19" s="1"/>
  <c r="BW241" i="19"/>
  <c r="BW244" i="19"/>
  <c r="BW240" i="19"/>
  <c r="BS245" i="19"/>
  <c r="BU245" i="19"/>
  <c r="BW243" i="19"/>
  <c r="BW239" i="19"/>
  <c r="BS244" i="19"/>
  <c r="BU244" i="19"/>
  <c r="BS243" i="19"/>
  <c r="BU243" i="19"/>
  <c r="BW238" i="19"/>
  <c r="BS242" i="19"/>
  <c r="BU242" i="19"/>
  <c r="BW242" i="19"/>
  <c r="BU240" i="19"/>
  <c r="BS240" i="19"/>
  <c r="BS239" i="19"/>
  <c r="BU239" i="19"/>
  <c r="BS241" i="19"/>
  <c r="BU241" i="19"/>
  <c r="BS238" i="19"/>
  <c r="BU238" i="19"/>
  <c r="BW245" i="19"/>
  <c r="BI232" i="19" a="1"/>
  <c r="BI232" i="19" s="1"/>
  <c r="BC232" i="19" a="1"/>
  <c r="BC232" i="19" s="1"/>
  <c r="AZ232" i="19" a="1"/>
  <c r="AZ232" i="19" s="1"/>
  <c r="AW232" i="19" a="1"/>
  <c r="AW232" i="19" s="1"/>
  <c r="AT232" i="19" a="1"/>
  <c r="AT232" i="19" s="1"/>
  <c r="AQ232" i="19" a="1"/>
  <c r="AQ232" i="19" s="1"/>
  <c r="AO232" i="19" a="1"/>
  <c r="AO232" i="19" s="1"/>
  <c r="AN232" i="19" a="1"/>
  <c r="AN232" i="19" s="1"/>
  <c r="AM232" i="19" a="1"/>
  <c r="AM232" i="19" s="1"/>
  <c r="AJ232" i="19" a="1"/>
  <c r="AJ232" i="19" s="1"/>
  <c r="AG232" i="19" a="1"/>
  <c r="AG232" i="19" s="1"/>
  <c r="AD232" i="19" a="1"/>
  <c r="AD232" i="19" s="1"/>
  <c r="G233" i="19"/>
  <c r="H233" i="19" s="1"/>
  <c r="G234" i="19"/>
  <c r="H234" i="19" s="1"/>
  <c r="G235" i="19"/>
  <c r="H235" i="19" s="1"/>
  <c r="G236" i="19"/>
  <c r="H236" i="19" s="1"/>
  <c r="G237" i="19"/>
  <c r="H237" i="19" s="1"/>
  <c r="F233" i="19"/>
  <c r="F234" i="19"/>
  <c r="F235" i="19"/>
  <c r="F236" i="19"/>
  <c r="F237" i="19"/>
  <c r="E233" i="19"/>
  <c r="E234" i="19"/>
  <c r="E235" i="19"/>
  <c r="E236" i="19"/>
  <c r="E237" i="19"/>
  <c r="D233" i="19"/>
  <c r="D234" i="19"/>
  <c r="D235" i="19"/>
  <c r="D236" i="19"/>
  <c r="D237" i="19"/>
  <c r="C233" i="19"/>
  <c r="C234" i="19"/>
  <c r="C235" i="19"/>
  <c r="C236" i="19"/>
  <c r="C237" i="19"/>
  <c r="B233" i="19"/>
  <c r="B234" i="19"/>
  <c r="B235" i="19"/>
  <c r="B236" i="19"/>
  <c r="B237" i="19"/>
  <c r="J232" i="19" a="1"/>
  <c r="I232" i="19" a="1"/>
  <c r="I232" i="19" s="1"/>
  <c r="G232" i="19"/>
  <c r="H232" i="19" s="1"/>
  <c r="F232" i="19"/>
  <c r="E232" i="19"/>
  <c r="D232" i="19"/>
  <c r="C232" i="19"/>
  <c r="B232" i="19"/>
  <c r="BG238" i="19" l="1"/>
  <c r="BH238" i="19" s="1"/>
  <c r="BM238" i="19"/>
  <c r="BN238" i="19" s="1"/>
  <c r="BM233" i="19"/>
  <c r="BN233" i="19" s="1"/>
  <c r="BM234" i="19"/>
  <c r="BN234" i="19" s="1"/>
  <c r="BM237" i="19"/>
  <c r="BN237" i="19" s="1"/>
  <c r="BM235" i="19"/>
  <c r="BN235" i="19" s="1"/>
  <c r="BM236" i="19"/>
  <c r="BN236" i="19" s="1"/>
  <c r="J232" i="19"/>
  <c r="BJ232" i="19" s="1"/>
  <c r="BK232" i="19" s="1"/>
  <c r="BG235" i="19"/>
  <c r="BH235" i="19" s="1"/>
  <c r="BG237" i="19"/>
  <c r="BH237" i="19" s="1"/>
  <c r="BG233" i="19"/>
  <c r="BH233" i="19" s="1"/>
  <c r="BG234" i="19"/>
  <c r="BH234" i="19" s="1"/>
  <c r="BG236" i="19"/>
  <c r="BH236" i="19" s="1"/>
  <c r="BW232" i="19"/>
  <c r="BW237" i="19"/>
  <c r="BW233" i="19"/>
  <c r="BS234" i="19"/>
  <c r="BU234" i="19"/>
  <c r="BS233" i="19"/>
  <c r="BU233" i="19"/>
  <c r="BW236" i="19"/>
  <c r="BW235" i="19"/>
  <c r="BW234" i="19"/>
  <c r="BS235" i="19"/>
  <c r="BU235" i="19"/>
  <c r="BU232" i="19"/>
  <c r="BS232" i="19"/>
  <c r="BS237" i="19"/>
  <c r="BU237" i="19"/>
  <c r="BS236" i="19"/>
  <c r="BU236" i="19"/>
  <c r="BI226" i="19" a="1"/>
  <c r="BI226" i="19" s="1"/>
  <c r="BC226" i="19" a="1"/>
  <c r="BC226" i="19" s="1"/>
  <c r="AZ226" i="19" a="1"/>
  <c r="AZ226" i="19" s="1"/>
  <c r="AW226" i="19" a="1"/>
  <c r="AW226" i="19" s="1"/>
  <c r="AT226" i="19" a="1"/>
  <c r="AT226" i="19" s="1"/>
  <c r="AQ226" i="19" a="1"/>
  <c r="AQ226" i="19" s="1"/>
  <c r="AO226" i="19" a="1"/>
  <c r="AO226" i="19" s="1"/>
  <c r="AP226" i="19" s="1"/>
  <c r="AN226" i="19" a="1"/>
  <c r="AN226" i="19" s="1"/>
  <c r="AM226" i="19" a="1"/>
  <c r="AM226" i="19" s="1"/>
  <c r="AJ226" i="19" a="1"/>
  <c r="AJ226" i="19" s="1"/>
  <c r="AG226" i="19" a="1"/>
  <c r="AG226" i="19" s="1"/>
  <c r="AD226" i="19" a="1"/>
  <c r="AD226" i="19" s="1"/>
  <c r="BJ233" i="19"/>
  <c r="BK233" i="19" s="1"/>
  <c r="BJ234" i="19"/>
  <c r="BK234" i="19" s="1"/>
  <c r="BJ235" i="19"/>
  <c r="BK235" i="19" s="1"/>
  <c r="BJ236" i="19"/>
  <c r="BK236" i="19" s="1"/>
  <c r="BJ237" i="19"/>
  <c r="BK237" i="19" s="1"/>
  <c r="BJ238" i="19"/>
  <c r="BK238" i="19" s="1"/>
  <c r="BJ239" i="19"/>
  <c r="BK239" i="19" s="1"/>
  <c r="BJ240" i="19"/>
  <c r="BK240" i="19" s="1"/>
  <c r="BJ241" i="19"/>
  <c r="BK241" i="19" s="1"/>
  <c r="BJ242" i="19"/>
  <c r="BK242" i="19" s="1"/>
  <c r="BJ243" i="19"/>
  <c r="BK243" i="19" s="1"/>
  <c r="BJ244" i="19"/>
  <c r="BK244" i="19" s="1"/>
  <c r="BJ245" i="19"/>
  <c r="BK245" i="19" s="1"/>
  <c r="BJ246" i="19"/>
  <c r="BK246" i="19" s="1"/>
  <c r="BJ247" i="19"/>
  <c r="BK247" i="19" s="1"/>
  <c r="BJ248" i="19"/>
  <c r="BK248" i="19" s="1"/>
  <c r="BJ249" i="19"/>
  <c r="BK249" i="19" s="1"/>
  <c r="BJ250" i="19"/>
  <c r="BK250" i="19" s="1"/>
  <c r="BJ251" i="19"/>
  <c r="BK251" i="19" s="1"/>
  <c r="BJ252" i="19"/>
  <c r="BK252" i="19" s="1"/>
  <c r="BJ253" i="19"/>
  <c r="BK253" i="19" s="1"/>
  <c r="BJ254" i="19"/>
  <c r="BK254" i="19" s="1"/>
  <c r="BJ255" i="19"/>
  <c r="BK255" i="19" s="1"/>
  <c r="BJ256" i="19"/>
  <c r="BK256" i="19" s="1"/>
  <c r="BJ257" i="19"/>
  <c r="BK257" i="19" s="1"/>
  <c r="BJ258" i="19"/>
  <c r="BK258" i="19" s="1"/>
  <c r="BJ259" i="19"/>
  <c r="BK259" i="19" s="1"/>
  <c r="BJ260" i="19"/>
  <c r="BK260" i="19" s="1"/>
  <c r="BJ261" i="19"/>
  <c r="BK261" i="19" s="1"/>
  <c r="BJ262" i="19"/>
  <c r="BK262" i="19" s="1"/>
  <c r="BJ263" i="19"/>
  <c r="BK263" i="19" s="1"/>
  <c r="BD233" i="19"/>
  <c r="BE233" i="19" s="1"/>
  <c r="BD234" i="19"/>
  <c r="BE234" i="19" s="1"/>
  <c r="BD235" i="19"/>
  <c r="BE235" i="19" s="1"/>
  <c r="BD236" i="19"/>
  <c r="BE236" i="19" s="1"/>
  <c r="BD237" i="19"/>
  <c r="BE237" i="19" s="1"/>
  <c r="BD238" i="19"/>
  <c r="BE238" i="19" s="1"/>
  <c r="BD239" i="19"/>
  <c r="BE239" i="19" s="1"/>
  <c r="BD240" i="19"/>
  <c r="BE240" i="19" s="1"/>
  <c r="BD241" i="19"/>
  <c r="BE241" i="19" s="1"/>
  <c r="BD242" i="19"/>
  <c r="BE242" i="19" s="1"/>
  <c r="BD243" i="19"/>
  <c r="BE243" i="19" s="1"/>
  <c r="BD244" i="19"/>
  <c r="BE244" i="19" s="1"/>
  <c r="BD245" i="19"/>
  <c r="BE245" i="19" s="1"/>
  <c r="BD246" i="19"/>
  <c r="BE246" i="19" s="1"/>
  <c r="BD247" i="19"/>
  <c r="BE247" i="19" s="1"/>
  <c r="BD248" i="19"/>
  <c r="BE248" i="19" s="1"/>
  <c r="BD249" i="19"/>
  <c r="BE249" i="19" s="1"/>
  <c r="BD250" i="19"/>
  <c r="BE250" i="19" s="1"/>
  <c r="BD251" i="19"/>
  <c r="BE251" i="19" s="1"/>
  <c r="BD252" i="19"/>
  <c r="BE252" i="19" s="1"/>
  <c r="BD253" i="19"/>
  <c r="BE253" i="19" s="1"/>
  <c r="BD254" i="19"/>
  <c r="BE254" i="19" s="1"/>
  <c r="BD255" i="19"/>
  <c r="BE255" i="19" s="1"/>
  <c r="BD256" i="19"/>
  <c r="BE256" i="19" s="1"/>
  <c r="BD257" i="19"/>
  <c r="BE257" i="19" s="1"/>
  <c r="BD258" i="19"/>
  <c r="BE258" i="19" s="1"/>
  <c r="BD259" i="19"/>
  <c r="BE259" i="19" s="1"/>
  <c r="BD260" i="19"/>
  <c r="BE260" i="19" s="1"/>
  <c r="BD261" i="19"/>
  <c r="BE261" i="19" s="1"/>
  <c r="BD262" i="19"/>
  <c r="BE262" i="19" s="1"/>
  <c r="BD263" i="19"/>
  <c r="BE263" i="19" s="1"/>
  <c r="BA233" i="19"/>
  <c r="BB233" i="19" s="1"/>
  <c r="BA234" i="19"/>
  <c r="BB234" i="19" s="1"/>
  <c r="BA235" i="19"/>
  <c r="BB235" i="19" s="1"/>
  <c r="BA236" i="19"/>
  <c r="BB236" i="19" s="1"/>
  <c r="BA237" i="19"/>
  <c r="BB237" i="19" s="1"/>
  <c r="BA238" i="19"/>
  <c r="BB238" i="19" s="1"/>
  <c r="BA239" i="19"/>
  <c r="BB239" i="19" s="1"/>
  <c r="BA240" i="19"/>
  <c r="BB240" i="19" s="1"/>
  <c r="BA241" i="19"/>
  <c r="BB241" i="19" s="1"/>
  <c r="BA242" i="19"/>
  <c r="BB242" i="19" s="1"/>
  <c r="BA243" i="19"/>
  <c r="BB243" i="19" s="1"/>
  <c r="BA244" i="19"/>
  <c r="BB244" i="19" s="1"/>
  <c r="BA245" i="19"/>
  <c r="BB245" i="19" s="1"/>
  <c r="BA246" i="19"/>
  <c r="BB246" i="19" s="1"/>
  <c r="BA247" i="19"/>
  <c r="BB247" i="19" s="1"/>
  <c r="BA248" i="19"/>
  <c r="BB248" i="19" s="1"/>
  <c r="BA249" i="19"/>
  <c r="BB249" i="19" s="1"/>
  <c r="BA250" i="19"/>
  <c r="BB250" i="19" s="1"/>
  <c r="BA251" i="19"/>
  <c r="BB251" i="19" s="1"/>
  <c r="BA252" i="19"/>
  <c r="BB252" i="19" s="1"/>
  <c r="BA253" i="19"/>
  <c r="BB253" i="19" s="1"/>
  <c r="BA254" i="19"/>
  <c r="BB254" i="19" s="1"/>
  <c r="BA255" i="19"/>
  <c r="BB255" i="19" s="1"/>
  <c r="BA256" i="19"/>
  <c r="BB256" i="19" s="1"/>
  <c r="BA257" i="19"/>
  <c r="BB257" i="19" s="1"/>
  <c r="BA258" i="19"/>
  <c r="BB258" i="19" s="1"/>
  <c r="BA259" i="19"/>
  <c r="BB259" i="19" s="1"/>
  <c r="BA260" i="19"/>
  <c r="BB260" i="19" s="1"/>
  <c r="BA261" i="19"/>
  <c r="BB261" i="19" s="1"/>
  <c r="BA262" i="19"/>
  <c r="BB262" i="19" s="1"/>
  <c r="BA263" i="19"/>
  <c r="BB263" i="19" s="1"/>
  <c r="AX233" i="19"/>
  <c r="AY233" i="19" s="1"/>
  <c r="AX234" i="19"/>
  <c r="AY234" i="19" s="1"/>
  <c r="AX235" i="19"/>
  <c r="AY235" i="19" s="1"/>
  <c r="AX236" i="19"/>
  <c r="AY236" i="19" s="1"/>
  <c r="AX237" i="19"/>
  <c r="AY237" i="19" s="1"/>
  <c r="AX238" i="19"/>
  <c r="AY238" i="19" s="1"/>
  <c r="AX239" i="19"/>
  <c r="AY239" i="19" s="1"/>
  <c r="AX240" i="19"/>
  <c r="AY240" i="19" s="1"/>
  <c r="AX241" i="19"/>
  <c r="AY241" i="19" s="1"/>
  <c r="AX242" i="19"/>
  <c r="AY242" i="19" s="1"/>
  <c r="AX243" i="19"/>
  <c r="AY243" i="19" s="1"/>
  <c r="AX244" i="19"/>
  <c r="AY244" i="19" s="1"/>
  <c r="AX245" i="19"/>
  <c r="AY245" i="19" s="1"/>
  <c r="AX246" i="19"/>
  <c r="AY246" i="19" s="1"/>
  <c r="AX247" i="19"/>
  <c r="AY247" i="19" s="1"/>
  <c r="AX248" i="19"/>
  <c r="AY248" i="19" s="1"/>
  <c r="AX249" i="19"/>
  <c r="AY249" i="19" s="1"/>
  <c r="AX250" i="19"/>
  <c r="AY250" i="19" s="1"/>
  <c r="AX251" i="19"/>
  <c r="AY251" i="19" s="1"/>
  <c r="AX252" i="19"/>
  <c r="AY252" i="19" s="1"/>
  <c r="AX253" i="19"/>
  <c r="AY253" i="19" s="1"/>
  <c r="AX254" i="19"/>
  <c r="AY254" i="19" s="1"/>
  <c r="AX255" i="19"/>
  <c r="AY255" i="19" s="1"/>
  <c r="AX256" i="19"/>
  <c r="AY256" i="19" s="1"/>
  <c r="AX257" i="19"/>
  <c r="AY257" i="19" s="1"/>
  <c r="AX258" i="19"/>
  <c r="AY258" i="19" s="1"/>
  <c r="AX259" i="19"/>
  <c r="AY259" i="19" s="1"/>
  <c r="AX260" i="19"/>
  <c r="AY260" i="19" s="1"/>
  <c r="AX261" i="19"/>
  <c r="AY261" i="19" s="1"/>
  <c r="AX262" i="19"/>
  <c r="AY262" i="19" s="1"/>
  <c r="AX263" i="19"/>
  <c r="AY263" i="19" s="1"/>
  <c r="AU233" i="19"/>
  <c r="AV233" i="19" s="1"/>
  <c r="AU234" i="19"/>
  <c r="AV234" i="19" s="1"/>
  <c r="AU235" i="19"/>
  <c r="AV235" i="19" s="1"/>
  <c r="AU236" i="19"/>
  <c r="AV236" i="19" s="1"/>
  <c r="AU237" i="19"/>
  <c r="AV237" i="19" s="1"/>
  <c r="AU238" i="19"/>
  <c r="AV238" i="19" s="1"/>
  <c r="AU239" i="19"/>
  <c r="AV239" i="19" s="1"/>
  <c r="AU240" i="19"/>
  <c r="AV240" i="19" s="1"/>
  <c r="AU241" i="19"/>
  <c r="AV241" i="19" s="1"/>
  <c r="AU242" i="19"/>
  <c r="AV242" i="19" s="1"/>
  <c r="AU243" i="19"/>
  <c r="AV243" i="19" s="1"/>
  <c r="AU244" i="19"/>
  <c r="AV244" i="19" s="1"/>
  <c r="AU245" i="19"/>
  <c r="AV245" i="19" s="1"/>
  <c r="AU246" i="19"/>
  <c r="AV246" i="19" s="1"/>
  <c r="AU247" i="19"/>
  <c r="AV247" i="19" s="1"/>
  <c r="AU248" i="19"/>
  <c r="AV248" i="19" s="1"/>
  <c r="AU249" i="19"/>
  <c r="AV249" i="19" s="1"/>
  <c r="AU250" i="19"/>
  <c r="AV250" i="19" s="1"/>
  <c r="AU251" i="19"/>
  <c r="AV251" i="19" s="1"/>
  <c r="AU252" i="19"/>
  <c r="AV252" i="19" s="1"/>
  <c r="AU253" i="19"/>
  <c r="AV253" i="19" s="1"/>
  <c r="AU254" i="19"/>
  <c r="AV254" i="19" s="1"/>
  <c r="AU255" i="19"/>
  <c r="AV255" i="19" s="1"/>
  <c r="AU256" i="19"/>
  <c r="AV256" i="19" s="1"/>
  <c r="AU257" i="19"/>
  <c r="AV257" i="19" s="1"/>
  <c r="AU258" i="19"/>
  <c r="AV258" i="19" s="1"/>
  <c r="AU259" i="19"/>
  <c r="AV259" i="19" s="1"/>
  <c r="AU260" i="19"/>
  <c r="AV260" i="19" s="1"/>
  <c r="AU261" i="19"/>
  <c r="AV261" i="19" s="1"/>
  <c r="AU262" i="19"/>
  <c r="AV262" i="19" s="1"/>
  <c r="AU263" i="19"/>
  <c r="AV263" i="19" s="1"/>
  <c r="AR233" i="19"/>
  <c r="AS233" i="19" s="1"/>
  <c r="AR234" i="19"/>
  <c r="AS234" i="19" s="1"/>
  <c r="AR235" i="19"/>
  <c r="AS235" i="19" s="1"/>
  <c r="AR236" i="19"/>
  <c r="AS236" i="19" s="1"/>
  <c r="AR237" i="19"/>
  <c r="AS237" i="19" s="1"/>
  <c r="AR238" i="19"/>
  <c r="AS238" i="19" s="1"/>
  <c r="AR239" i="19"/>
  <c r="AS239" i="19" s="1"/>
  <c r="AR240" i="19"/>
  <c r="AS240" i="19" s="1"/>
  <c r="AR241" i="19"/>
  <c r="AS241" i="19" s="1"/>
  <c r="AR242" i="19"/>
  <c r="AS242" i="19" s="1"/>
  <c r="AR243" i="19"/>
  <c r="AS243" i="19" s="1"/>
  <c r="AR244" i="19"/>
  <c r="AS244" i="19" s="1"/>
  <c r="AR245" i="19"/>
  <c r="AS245" i="19" s="1"/>
  <c r="AR246" i="19"/>
  <c r="AS246" i="19" s="1"/>
  <c r="AR247" i="19"/>
  <c r="AS247" i="19" s="1"/>
  <c r="AR248" i="19"/>
  <c r="AS248" i="19" s="1"/>
  <c r="AR249" i="19"/>
  <c r="AS249" i="19" s="1"/>
  <c r="AR250" i="19"/>
  <c r="AS250" i="19" s="1"/>
  <c r="AR251" i="19"/>
  <c r="AS251" i="19" s="1"/>
  <c r="AR252" i="19"/>
  <c r="AS252" i="19" s="1"/>
  <c r="AR253" i="19"/>
  <c r="AS253" i="19" s="1"/>
  <c r="AR254" i="19"/>
  <c r="AS254" i="19" s="1"/>
  <c r="AR255" i="19"/>
  <c r="AS255" i="19" s="1"/>
  <c r="AR256" i="19"/>
  <c r="AS256" i="19" s="1"/>
  <c r="AR257" i="19"/>
  <c r="AS257" i="19" s="1"/>
  <c r="AR258" i="19"/>
  <c r="AS258" i="19" s="1"/>
  <c r="AR259" i="19"/>
  <c r="AS259" i="19" s="1"/>
  <c r="AR260" i="19"/>
  <c r="AS260" i="19" s="1"/>
  <c r="AR261" i="19"/>
  <c r="AS261" i="19" s="1"/>
  <c r="AR262" i="19"/>
  <c r="AS262" i="19" s="1"/>
  <c r="AR263" i="19"/>
  <c r="AS263" i="19" s="1"/>
  <c r="AP232" i="19"/>
  <c r="AP233" i="19"/>
  <c r="AP234" i="19"/>
  <c r="AP235" i="19"/>
  <c r="AP236" i="19"/>
  <c r="AP237" i="19"/>
  <c r="AP238" i="19"/>
  <c r="AP239" i="19"/>
  <c r="AP240" i="19"/>
  <c r="AP241" i="19"/>
  <c r="AP242" i="19"/>
  <c r="AP243" i="19"/>
  <c r="AP244" i="19"/>
  <c r="AP245" i="19"/>
  <c r="AP246" i="19"/>
  <c r="AP247" i="19"/>
  <c r="AP248" i="19"/>
  <c r="AP249" i="19"/>
  <c r="AP250" i="19"/>
  <c r="AP251" i="19"/>
  <c r="AP252" i="19"/>
  <c r="AP253" i="19"/>
  <c r="AP254" i="19"/>
  <c r="AP255" i="19"/>
  <c r="AP256" i="19"/>
  <c r="AP257" i="19"/>
  <c r="AP258" i="19"/>
  <c r="AP259" i="19"/>
  <c r="AP260" i="19"/>
  <c r="AP261" i="19"/>
  <c r="AP262" i="19"/>
  <c r="AP263" i="19"/>
  <c r="AK233" i="19"/>
  <c r="AL233" i="19" s="1"/>
  <c r="AK234" i="19"/>
  <c r="AL234" i="19" s="1"/>
  <c r="AK235" i="19"/>
  <c r="AL235" i="19" s="1"/>
  <c r="AK236" i="19"/>
  <c r="AL236" i="19" s="1"/>
  <c r="AK237" i="19"/>
  <c r="AL237" i="19" s="1"/>
  <c r="AK238" i="19"/>
  <c r="AL238" i="19" s="1"/>
  <c r="AK239" i="19"/>
  <c r="AL239" i="19" s="1"/>
  <c r="AK240" i="19"/>
  <c r="AL240" i="19" s="1"/>
  <c r="AK241" i="19"/>
  <c r="AL241" i="19" s="1"/>
  <c r="AK242" i="19"/>
  <c r="AL242" i="19" s="1"/>
  <c r="AK243" i="19"/>
  <c r="AL243" i="19" s="1"/>
  <c r="AK244" i="19"/>
  <c r="AL244" i="19" s="1"/>
  <c r="AK245" i="19"/>
  <c r="AL245" i="19" s="1"/>
  <c r="AK246" i="19"/>
  <c r="AL246" i="19" s="1"/>
  <c r="AK247" i="19"/>
  <c r="AL247" i="19" s="1"/>
  <c r="AK248" i="19"/>
  <c r="AL248" i="19" s="1"/>
  <c r="AK249" i="19"/>
  <c r="AL249" i="19" s="1"/>
  <c r="AK250" i="19"/>
  <c r="AL250" i="19" s="1"/>
  <c r="AK251" i="19"/>
  <c r="AL251" i="19" s="1"/>
  <c r="AK252" i="19"/>
  <c r="AL252" i="19" s="1"/>
  <c r="AK253" i="19"/>
  <c r="AL253" i="19" s="1"/>
  <c r="AK254" i="19"/>
  <c r="AL254" i="19" s="1"/>
  <c r="AK255" i="19"/>
  <c r="AL255" i="19" s="1"/>
  <c r="AK256" i="19"/>
  <c r="AL256" i="19" s="1"/>
  <c r="AK257" i="19"/>
  <c r="AL257" i="19" s="1"/>
  <c r="AK258" i="19"/>
  <c r="AL258" i="19" s="1"/>
  <c r="AK259" i="19"/>
  <c r="AL259" i="19" s="1"/>
  <c r="AK260" i="19"/>
  <c r="AL260" i="19" s="1"/>
  <c r="AK261" i="19"/>
  <c r="AL261" i="19" s="1"/>
  <c r="AK262" i="19"/>
  <c r="AL262" i="19" s="1"/>
  <c r="AK263" i="19"/>
  <c r="AL263" i="19" s="1"/>
  <c r="AH233" i="19"/>
  <c r="AI233" i="19" s="1"/>
  <c r="AH234" i="19"/>
  <c r="AI234" i="19" s="1"/>
  <c r="AH235" i="19"/>
  <c r="AI235" i="19" s="1"/>
  <c r="AH236" i="19"/>
  <c r="AI236" i="19" s="1"/>
  <c r="AH237" i="19"/>
  <c r="AI237" i="19" s="1"/>
  <c r="AH238" i="19"/>
  <c r="AI238" i="19" s="1"/>
  <c r="AH239" i="19"/>
  <c r="AI239" i="19" s="1"/>
  <c r="AH240" i="19"/>
  <c r="AI240" i="19" s="1"/>
  <c r="AH241" i="19"/>
  <c r="AI241" i="19" s="1"/>
  <c r="AH242" i="19"/>
  <c r="AI242" i="19" s="1"/>
  <c r="AH243" i="19"/>
  <c r="AI243" i="19" s="1"/>
  <c r="AH244" i="19"/>
  <c r="AI244" i="19" s="1"/>
  <c r="AH245" i="19"/>
  <c r="AI245" i="19" s="1"/>
  <c r="AH246" i="19"/>
  <c r="AI246" i="19" s="1"/>
  <c r="AH247" i="19"/>
  <c r="AI247" i="19" s="1"/>
  <c r="AH248" i="19"/>
  <c r="AI248" i="19" s="1"/>
  <c r="AH249" i="19"/>
  <c r="AI249" i="19" s="1"/>
  <c r="AH250" i="19"/>
  <c r="AI250" i="19" s="1"/>
  <c r="AH251" i="19"/>
  <c r="AI251" i="19" s="1"/>
  <c r="AH252" i="19"/>
  <c r="AI252" i="19" s="1"/>
  <c r="AH253" i="19"/>
  <c r="AI253" i="19" s="1"/>
  <c r="AH254" i="19"/>
  <c r="AI254" i="19" s="1"/>
  <c r="AH255" i="19"/>
  <c r="AI255" i="19" s="1"/>
  <c r="AH256" i="19"/>
  <c r="AI256" i="19" s="1"/>
  <c r="AH257" i="19"/>
  <c r="AI257" i="19" s="1"/>
  <c r="AH258" i="19"/>
  <c r="AI258" i="19" s="1"/>
  <c r="AH259" i="19"/>
  <c r="AI259" i="19" s="1"/>
  <c r="AH260" i="19"/>
  <c r="AI260" i="19" s="1"/>
  <c r="AH261" i="19"/>
  <c r="AI261" i="19" s="1"/>
  <c r="AH262" i="19"/>
  <c r="AI262" i="19" s="1"/>
  <c r="AH263" i="19"/>
  <c r="AI263" i="19" s="1"/>
  <c r="AE233" i="19"/>
  <c r="AF233" i="19" s="1"/>
  <c r="AE234" i="19"/>
  <c r="AF234" i="19" s="1"/>
  <c r="AE235" i="19"/>
  <c r="AF235" i="19" s="1"/>
  <c r="AE236" i="19"/>
  <c r="AF236" i="19" s="1"/>
  <c r="AE237" i="19"/>
  <c r="AF237" i="19" s="1"/>
  <c r="AE238" i="19"/>
  <c r="AF238" i="19" s="1"/>
  <c r="AE239" i="19"/>
  <c r="AF239" i="19" s="1"/>
  <c r="AE240" i="19"/>
  <c r="AF240" i="19" s="1"/>
  <c r="AE241" i="19"/>
  <c r="AF241" i="19" s="1"/>
  <c r="AE242" i="19"/>
  <c r="AF242" i="19" s="1"/>
  <c r="AE243" i="19"/>
  <c r="AF243" i="19" s="1"/>
  <c r="AE244" i="19"/>
  <c r="AF244" i="19" s="1"/>
  <c r="AE245" i="19"/>
  <c r="AF245" i="19" s="1"/>
  <c r="AE246" i="19"/>
  <c r="AF246" i="19" s="1"/>
  <c r="AE247" i="19"/>
  <c r="AF247" i="19" s="1"/>
  <c r="AE248" i="19"/>
  <c r="AF248" i="19" s="1"/>
  <c r="AE249" i="19"/>
  <c r="AF249" i="19" s="1"/>
  <c r="AE250" i="19"/>
  <c r="AF250" i="19" s="1"/>
  <c r="AE251" i="19"/>
  <c r="AF251" i="19" s="1"/>
  <c r="AE252" i="19"/>
  <c r="AF252" i="19" s="1"/>
  <c r="AE253" i="19"/>
  <c r="AF253" i="19" s="1"/>
  <c r="AE254" i="19"/>
  <c r="AF254" i="19" s="1"/>
  <c r="AE255" i="19"/>
  <c r="AF255" i="19" s="1"/>
  <c r="AE256" i="19"/>
  <c r="AF256" i="19" s="1"/>
  <c r="AE257" i="19"/>
  <c r="AF257" i="19" s="1"/>
  <c r="AE258" i="19"/>
  <c r="AF258" i="19" s="1"/>
  <c r="AE259" i="19"/>
  <c r="AF259" i="19" s="1"/>
  <c r="AE260" i="19"/>
  <c r="AF260" i="19" s="1"/>
  <c r="AE261" i="19"/>
  <c r="AF261" i="19" s="1"/>
  <c r="AE262" i="19"/>
  <c r="AF262" i="19" s="1"/>
  <c r="AE263" i="19"/>
  <c r="AF263" i="19" s="1"/>
  <c r="G227" i="19"/>
  <c r="H227" i="19" s="1"/>
  <c r="G228" i="19"/>
  <c r="H228" i="19" s="1"/>
  <c r="G229" i="19"/>
  <c r="H229" i="19" s="1"/>
  <c r="G230" i="19"/>
  <c r="H230" i="19" s="1"/>
  <c r="G231" i="19"/>
  <c r="H231" i="19" s="1"/>
  <c r="F227" i="19"/>
  <c r="F228" i="19"/>
  <c r="F229" i="19"/>
  <c r="F230" i="19"/>
  <c r="F231" i="19"/>
  <c r="E227" i="19"/>
  <c r="E228" i="19"/>
  <c r="E229" i="19"/>
  <c r="E230" i="19"/>
  <c r="E231" i="19"/>
  <c r="D227" i="19"/>
  <c r="D228" i="19"/>
  <c r="D229" i="19"/>
  <c r="D230" i="19"/>
  <c r="D231" i="19"/>
  <c r="C227" i="19"/>
  <c r="C228" i="19"/>
  <c r="C229" i="19"/>
  <c r="C230" i="19"/>
  <c r="C231" i="19"/>
  <c r="B227" i="19"/>
  <c r="B228" i="19"/>
  <c r="B229" i="19"/>
  <c r="B230" i="19"/>
  <c r="B231" i="19"/>
  <c r="J226" i="19" a="1"/>
  <c r="I226" i="19" a="1"/>
  <c r="I226" i="19" s="1"/>
  <c r="G226" i="19"/>
  <c r="H226" i="19" s="1"/>
  <c r="F226" i="19"/>
  <c r="E226" i="19"/>
  <c r="D226" i="19"/>
  <c r="C226" i="19"/>
  <c r="B226" i="19"/>
  <c r="AE232" i="19" l="1"/>
  <c r="AF232" i="19" s="1"/>
  <c r="AH232" i="19"/>
  <c r="AI232" i="19" s="1"/>
  <c r="AK232" i="19"/>
  <c r="AL232" i="19" s="1"/>
  <c r="AR232" i="19"/>
  <c r="AS232" i="19" s="1"/>
  <c r="AU232" i="19"/>
  <c r="AV232" i="19" s="1"/>
  <c r="AX232" i="19"/>
  <c r="AY232" i="19" s="1"/>
  <c r="BA232" i="19"/>
  <c r="BB232" i="19" s="1"/>
  <c r="BD232" i="19"/>
  <c r="BE232" i="19" s="1"/>
  <c r="BG232" i="19"/>
  <c r="BH232" i="19" s="1"/>
  <c r="BM232" i="19"/>
  <c r="BN232" i="19" s="1"/>
  <c r="BM227" i="19"/>
  <c r="BN227" i="19" s="1"/>
  <c r="BM228" i="19"/>
  <c r="BN228" i="19" s="1"/>
  <c r="BM229" i="19"/>
  <c r="BN229" i="19" s="1"/>
  <c r="BM230" i="19"/>
  <c r="BN230" i="19" s="1"/>
  <c r="BM231" i="19"/>
  <c r="BN231" i="19" s="1"/>
  <c r="J226" i="19"/>
  <c r="BG227" i="19"/>
  <c r="BH227" i="19" s="1"/>
  <c r="BG228" i="19"/>
  <c r="BH228" i="19" s="1"/>
  <c r="BG229" i="19"/>
  <c r="BH229" i="19" s="1"/>
  <c r="BG230" i="19"/>
  <c r="BH230" i="19" s="1"/>
  <c r="BG231" i="19"/>
  <c r="BH231" i="19" s="1"/>
  <c r="BW231" i="19"/>
  <c r="AP231" i="19"/>
  <c r="BW227" i="19"/>
  <c r="BW230" i="19"/>
  <c r="AH230" i="19"/>
  <c r="AI230" i="19" s="1"/>
  <c r="BS230" i="19"/>
  <c r="BU230" i="19"/>
  <c r="BS229" i="19"/>
  <c r="BU229" i="19"/>
  <c r="BS228" i="19"/>
  <c r="BU228" i="19"/>
  <c r="BS231" i="19"/>
  <c r="BU231" i="19"/>
  <c r="BS227" i="19"/>
  <c r="BU227" i="19"/>
  <c r="BW229" i="19"/>
  <c r="AK230" i="19"/>
  <c r="AL230" i="19" s="1"/>
  <c r="AU229" i="19"/>
  <c r="AV229" i="19" s="1"/>
  <c r="BW228" i="19"/>
  <c r="AE227" i="19"/>
  <c r="AF227" i="19" s="1"/>
  <c r="AH231" i="19"/>
  <c r="AI231" i="19" s="1"/>
  <c r="AE228" i="19"/>
  <c r="AF228" i="19" s="1"/>
  <c r="AK231" i="19"/>
  <c r="AL231" i="19" s="1"/>
  <c r="BD230" i="19"/>
  <c r="BE230" i="19" s="1"/>
  <c r="AK229" i="19"/>
  <c r="AL229" i="19" s="1"/>
  <c r="AP230" i="19"/>
  <c r="AR231" i="19"/>
  <c r="AS231" i="19" s="1"/>
  <c r="AU228" i="19"/>
  <c r="AV228" i="19" s="1"/>
  <c r="BD229" i="19"/>
  <c r="BE229" i="19" s="1"/>
  <c r="AE231" i="19"/>
  <c r="AF231" i="19" s="1"/>
  <c r="AH229" i="19"/>
  <c r="AI229" i="19" s="1"/>
  <c r="AK228" i="19"/>
  <c r="AL228" i="19" s="1"/>
  <c r="AP229" i="19"/>
  <c r="AR230" i="19"/>
  <c r="AS230" i="19" s="1"/>
  <c r="AU227" i="19"/>
  <c r="AV227" i="19" s="1"/>
  <c r="AX231" i="19"/>
  <c r="AY231" i="19" s="1"/>
  <c r="BA231" i="19"/>
  <c r="BB231" i="19" s="1"/>
  <c r="BJ227" i="19"/>
  <c r="BK227" i="19" s="1"/>
  <c r="BJ228" i="19"/>
  <c r="BK228" i="19" s="1"/>
  <c r="AH228" i="19"/>
  <c r="AI228" i="19" s="1"/>
  <c r="AP228" i="19"/>
  <c r="AX230" i="19"/>
  <c r="AY230" i="19" s="1"/>
  <c r="BA230" i="19"/>
  <c r="BB230" i="19" s="1"/>
  <c r="BD228" i="19"/>
  <c r="BE228" i="19" s="1"/>
  <c r="BJ231" i="19"/>
  <c r="BK231" i="19" s="1"/>
  <c r="AE230" i="19"/>
  <c r="AF230" i="19" s="1"/>
  <c r="AH227" i="19"/>
  <c r="AI227" i="19" s="1"/>
  <c r="AK227" i="19"/>
  <c r="AL227" i="19" s="1"/>
  <c r="AP227" i="19"/>
  <c r="AR229" i="19"/>
  <c r="AS229" i="19" s="1"/>
  <c r="AX229" i="19"/>
  <c r="AY229" i="19" s="1"/>
  <c r="BA229" i="19"/>
  <c r="BB229" i="19" s="1"/>
  <c r="BD227" i="19"/>
  <c r="BE227" i="19" s="1"/>
  <c r="BJ230" i="19"/>
  <c r="BK230" i="19" s="1"/>
  <c r="AE229" i="19"/>
  <c r="AF229" i="19" s="1"/>
  <c r="AR228" i="19"/>
  <c r="AS228" i="19" s="1"/>
  <c r="AU231" i="19"/>
  <c r="AV231" i="19" s="1"/>
  <c r="AX228" i="19"/>
  <c r="AY228" i="19" s="1"/>
  <c r="BA228" i="19"/>
  <c r="BB228" i="19" s="1"/>
  <c r="AR227" i="19"/>
  <c r="AS227" i="19" s="1"/>
  <c r="AU230" i="19"/>
  <c r="AV230" i="19" s="1"/>
  <c r="AX227" i="19"/>
  <c r="AY227" i="19" s="1"/>
  <c r="BA227" i="19"/>
  <c r="BB227" i="19" s="1"/>
  <c r="BD231" i="19"/>
  <c r="BE231" i="19" s="1"/>
  <c r="BJ229" i="19"/>
  <c r="BK229" i="19" s="1"/>
  <c r="X44" i="19" a="1"/>
  <c r="X44" i="19" s="1"/>
  <c r="BG226" i="19" l="1"/>
  <c r="BH226" i="19" s="1"/>
  <c r="BM226" i="19"/>
  <c r="BN226" i="19" s="1"/>
  <c r="BA226" i="19"/>
  <c r="BB226" i="19" s="1"/>
  <c r="AH226" i="19"/>
  <c r="AI226" i="19" s="1"/>
  <c r="BD226" i="19"/>
  <c r="BE226" i="19" s="1"/>
  <c r="AX226" i="19"/>
  <c r="AY226" i="19" s="1"/>
  <c r="BJ226" i="19"/>
  <c r="BK226" i="19" s="1"/>
  <c r="AK226" i="19"/>
  <c r="AL226" i="19" s="1"/>
  <c r="AU226" i="19"/>
  <c r="AV226" i="19" s="1"/>
  <c r="AE226" i="19"/>
  <c r="AF226" i="19" s="1"/>
  <c r="AR226" i="19"/>
  <c r="AS226" i="19" s="1"/>
  <c r="X38" i="19" a="1"/>
  <c r="X38" i="19" s="1"/>
  <c r="X28" i="19" l="1" a="1"/>
  <c r="X28" i="19" s="1"/>
  <c r="X25" i="19" l="1" a="1"/>
  <c r="X25" i="19" s="1"/>
  <c r="X18" i="19" l="1" a="1"/>
  <c r="X18" i="19" s="1"/>
  <c r="X15" i="19" l="1" a="1"/>
  <c r="X15" i="19" s="1"/>
  <c r="X9" i="19" l="1" a="1"/>
  <c r="X9" i="19" s="1"/>
  <c r="X3" i="19" l="1" a="1"/>
  <c r="X3" i="19" s="1"/>
  <c r="BW226" i="19" l="1"/>
  <c r="BW264" i="19"/>
  <c r="BW272" i="19"/>
  <c r="BU226" i="19"/>
  <c r="BU264" i="19"/>
  <c r="BU272" i="19"/>
  <c r="BS226" i="19"/>
  <c r="BS264" i="19"/>
  <c r="BS272" i="19"/>
  <c r="V25" i="19" a="1"/>
  <c r="V25" i="19" s="1"/>
  <c r="U25" i="19" a="1"/>
  <c r="U25" i="19" s="1"/>
  <c r="T25" i="19" a="1"/>
  <c r="T25" i="19" s="1"/>
  <c r="Q25" i="19" a="1"/>
  <c r="Q25" i="19" s="1"/>
  <c r="N25" i="19" a="1"/>
  <c r="N25" i="19" s="1"/>
  <c r="K25" i="19" a="1"/>
  <c r="K25" i="19" s="1"/>
  <c r="G26" i="19"/>
  <c r="H26" i="19" s="1"/>
  <c r="G27" i="19"/>
  <c r="H27" i="19" s="1"/>
  <c r="F26" i="19"/>
  <c r="F27" i="19"/>
  <c r="E26" i="19"/>
  <c r="E27" i="19"/>
  <c r="D26" i="19"/>
  <c r="D27" i="19"/>
  <c r="C26" i="19"/>
  <c r="C27" i="19"/>
  <c r="B26" i="19"/>
  <c r="B27" i="19"/>
  <c r="J25" i="19" a="1"/>
  <c r="G25" i="19"/>
  <c r="H25" i="19" s="1"/>
  <c r="F25" i="19"/>
  <c r="E25" i="19"/>
  <c r="D25" i="19"/>
  <c r="C25" i="19"/>
  <c r="B25" i="19"/>
  <c r="BD27" i="19" l="1"/>
  <c r="BD26" i="19"/>
  <c r="AK27" i="19"/>
  <c r="AU26" i="19"/>
  <c r="BM26" i="19"/>
  <c r="AH27" i="19"/>
  <c r="BG27" i="19"/>
  <c r="BA26" i="19"/>
  <c r="BG26" i="19"/>
  <c r="AH26" i="19"/>
  <c r="AX27" i="19"/>
  <c r="BA27" i="19"/>
  <c r="AE27" i="19"/>
  <c r="AE26" i="19"/>
  <c r="BJ27" i="19"/>
  <c r="AX26" i="19"/>
  <c r="AR27" i="19"/>
  <c r="BM27" i="19"/>
  <c r="AU27" i="19"/>
  <c r="AK26" i="19"/>
  <c r="AR26" i="19"/>
  <c r="BJ26" i="19"/>
  <c r="AB26" i="19"/>
  <c r="AC26" i="19" s="1"/>
  <c r="AB27" i="19"/>
  <c r="AC27" i="19" s="1"/>
  <c r="BS26" i="19"/>
  <c r="BU27" i="19"/>
  <c r="BW25" i="19"/>
  <c r="J25" i="19"/>
  <c r="Y27" i="19"/>
  <c r="Z27" i="19" s="1"/>
  <c r="Y26" i="19"/>
  <c r="Z26" i="19" s="1"/>
  <c r="BW27" i="19"/>
  <c r="BW26" i="19"/>
  <c r="BU25" i="19"/>
  <c r="BU26" i="19"/>
  <c r="BS27" i="19"/>
  <c r="BS25" i="19"/>
  <c r="V18" i="19" a="1"/>
  <c r="V18" i="19" s="1"/>
  <c r="U18" i="19" a="1"/>
  <c r="U18" i="19" s="1"/>
  <c r="T18" i="19" a="1"/>
  <c r="T18" i="19" s="1"/>
  <c r="Q18" i="19" a="1"/>
  <c r="Q18" i="19" s="1"/>
  <c r="N18" i="19" a="1"/>
  <c r="N18" i="19" s="1"/>
  <c r="K18" i="19" a="1"/>
  <c r="K18" i="19" s="1"/>
  <c r="G19" i="19"/>
  <c r="H19" i="19" s="1"/>
  <c r="G20" i="19"/>
  <c r="H20" i="19" s="1"/>
  <c r="G21" i="19"/>
  <c r="H21" i="19" s="1"/>
  <c r="G22" i="19"/>
  <c r="H22" i="19" s="1"/>
  <c r="G23" i="19"/>
  <c r="H23" i="19" s="1"/>
  <c r="G24" i="19"/>
  <c r="H24" i="19" s="1"/>
  <c r="F19" i="19"/>
  <c r="F20" i="19"/>
  <c r="F21" i="19"/>
  <c r="F22" i="19"/>
  <c r="F23" i="19"/>
  <c r="F24" i="19"/>
  <c r="E19" i="19"/>
  <c r="E20" i="19"/>
  <c r="E21" i="19"/>
  <c r="E22" i="19"/>
  <c r="E23" i="19"/>
  <c r="E24" i="19"/>
  <c r="D19" i="19"/>
  <c r="D20" i="19"/>
  <c r="D21" i="19"/>
  <c r="D22" i="19"/>
  <c r="D23" i="19"/>
  <c r="D24" i="19"/>
  <c r="C19" i="19"/>
  <c r="C20" i="19"/>
  <c r="C21" i="19"/>
  <c r="C22" i="19"/>
  <c r="C23" i="19"/>
  <c r="C24" i="19"/>
  <c r="B19" i="19"/>
  <c r="B20" i="19"/>
  <c r="B21" i="19"/>
  <c r="B22" i="19"/>
  <c r="B23" i="19"/>
  <c r="B24" i="19"/>
  <c r="J18" i="19" a="1"/>
  <c r="I18" i="19" a="1"/>
  <c r="I18" i="19" s="1"/>
  <c r="G18" i="19"/>
  <c r="H18" i="19" s="1"/>
  <c r="F18" i="19"/>
  <c r="E18" i="19"/>
  <c r="D18" i="19"/>
  <c r="C18" i="19"/>
  <c r="B18" i="19"/>
  <c r="AK25" i="19" l="1"/>
  <c r="AL25" i="19" s="1" a="1"/>
  <c r="AL25" i="19" s="1"/>
  <c r="AH25" i="19"/>
  <c r="AI25" i="19" s="1" a="1"/>
  <c r="AI25" i="19" s="1"/>
  <c r="BG25" i="19"/>
  <c r="BH25" i="19" s="1" a="1"/>
  <c r="BH25" i="19" s="1"/>
  <c r="AE25" i="19"/>
  <c r="AF25" i="19" s="1" a="1"/>
  <c r="AF25" i="19" s="1"/>
  <c r="AU25" i="19"/>
  <c r="AV25" i="19" s="1" a="1"/>
  <c r="AV25" i="19" s="1"/>
  <c r="BA25" i="19"/>
  <c r="BB25" i="19" s="1" a="1"/>
  <c r="BB25" i="19" s="1"/>
  <c r="BJ25" i="19"/>
  <c r="BK25" i="19" s="1" a="1"/>
  <c r="BK25" i="19" s="1"/>
  <c r="AR25" i="19"/>
  <c r="AS25" i="19" s="1" a="1"/>
  <c r="AS25" i="19" s="1"/>
  <c r="BM25" i="19"/>
  <c r="BN25" i="19" s="1" a="1"/>
  <c r="BN25" i="19" s="1"/>
  <c r="AX25" i="19"/>
  <c r="AY25" i="19" s="1" a="1"/>
  <c r="AY25" i="19" s="1"/>
  <c r="BD25" i="19"/>
  <c r="BE25" i="19" s="1" a="1"/>
  <c r="BE25" i="19" s="1"/>
  <c r="Y25" i="19"/>
  <c r="Z25" i="19" s="1"/>
  <c r="AB25" i="19"/>
  <c r="AC25" i="19" s="1"/>
  <c r="AB19" i="19"/>
  <c r="AC19" i="19" s="1"/>
  <c r="AB22" i="19"/>
  <c r="AC22" i="19" s="1"/>
  <c r="AB20" i="19"/>
  <c r="AC20" i="19" s="1"/>
  <c r="AB21" i="19"/>
  <c r="AC21" i="19" s="1"/>
  <c r="AB23" i="19"/>
  <c r="AC23" i="19" s="1"/>
  <c r="AB24" i="19"/>
  <c r="AC24" i="19" s="1"/>
  <c r="J18" i="19"/>
  <c r="Y24" i="19"/>
  <c r="Z24" i="19" s="1"/>
  <c r="Y21" i="19"/>
  <c r="Z21" i="19" s="1"/>
  <c r="Y20" i="19"/>
  <c r="Z20" i="19" s="1"/>
  <c r="Y19" i="19"/>
  <c r="Z19" i="19" s="1"/>
  <c r="Y22" i="19"/>
  <c r="Z22" i="19" s="1"/>
  <c r="Y23" i="19"/>
  <c r="Z23" i="19" s="1"/>
  <c r="BW24" i="19"/>
  <c r="BW21" i="19"/>
  <c r="BW23" i="19"/>
  <c r="BW20" i="19"/>
  <c r="BS18" i="19"/>
  <c r="BU18" i="19"/>
  <c r="BU24" i="19"/>
  <c r="BS24" i="19"/>
  <c r="BU21" i="19"/>
  <c r="BS21" i="19"/>
  <c r="BW18" i="19"/>
  <c r="BS20" i="19"/>
  <c r="BU20" i="19"/>
  <c r="BU19" i="19"/>
  <c r="BS19" i="19"/>
  <c r="BW19" i="19"/>
  <c r="BS23" i="19"/>
  <c r="BU23" i="19"/>
  <c r="BU22" i="19"/>
  <c r="BS22" i="19"/>
  <c r="BW22" i="19"/>
  <c r="V15" i="19" a="1"/>
  <c r="V15" i="19" s="1"/>
  <c r="U15" i="19" a="1"/>
  <c r="U15" i="19" s="1"/>
  <c r="T15" i="19" a="1"/>
  <c r="T15" i="19" s="1"/>
  <c r="Q15" i="19" a="1"/>
  <c r="Q15" i="19" s="1"/>
  <c r="N15" i="19" a="1"/>
  <c r="N15" i="19" s="1"/>
  <c r="K15" i="19" a="1"/>
  <c r="K15" i="19" s="1"/>
  <c r="G16" i="19"/>
  <c r="H16" i="19" s="1"/>
  <c r="G17" i="19"/>
  <c r="H17" i="19" s="1"/>
  <c r="F16" i="19"/>
  <c r="F17" i="19"/>
  <c r="E16" i="19"/>
  <c r="E17" i="19"/>
  <c r="D16" i="19"/>
  <c r="D17" i="19"/>
  <c r="C16" i="19"/>
  <c r="C17" i="19"/>
  <c r="B16" i="19"/>
  <c r="B17" i="19"/>
  <c r="J15" i="19" a="1"/>
  <c r="I15" i="19" a="1"/>
  <c r="I15" i="19" s="1"/>
  <c r="J9" i="19" a="1"/>
  <c r="BM10" i="19" l="1"/>
  <c r="BN10" i="19" s="1"/>
  <c r="AR13" i="19"/>
  <c r="AS13" i="19" s="1"/>
  <c r="AX14" i="19"/>
  <c r="AY14" i="19" s="1"/>
  <c r="AU13" i="19"/>
  <c r="AV13" i="19" s="1"/>
  <c r="BD13" i="19"/>
  <c r="BE13" i="19" s="1"/>
  <c r="BA13" i="19"/>
  <c r="BB13" i="19" s="1"/>
  <c r="AU14" i="19"/>
  <c r="AV14" i="19" s="1"/>
  <c r="AH14" i="19"/>
  <c r="AI14" i="19" s="1"/>
  <c r="AE13" i="19"/>
  <c r="AF13" i="19" s="1"/>
  <c r="AH13" i="19"/>
  <c r="AI13" i="19" s="1"/>
  <c r="AE14" i="19"/>
  <c r="AF14" i="19" s="1"/>
  <c r="BJ11" i="19"/>
  <c r="BK11" i="19" s="1"/>
  <c r="AR11" i="19"/>
  <c r="AS11" i="19" s="1"/>
  <c r="AH11" i="19"/>
  <c r="AI11" i="19" s="1"/>
  <c r="BG12" i="19"/>
  <c r="BH12" i="19" s="1"/>
  <c r="AK14" i="19"/>
  <c r="AL14" i="19" s="1"/>
  <c r="BA11" i="19"/>
  <c r="BB11" i="19" s="1"/>
  <c r="BD12" i="19"/>
  <c r="BE12" i="19" s="1"/>
  <c r="BJ13" i="19"/>
  <c r="BK13" i="19" s="1"/>
  <c r="AE12" i="19"/>
  <c r="AF12" i="19" s="1"/>
  <c r="BM11" i="19"/>
  <c r="BN11" i="19" s="1"/>
  <c r="BM13" i="19"/>
  <c r="BN13" i="19" s="1"/>
  <c r="AX10" i="19"/>
  <c r="AY10" i="19" s="1"/>
  <c r="AK12" i="19"/>
  <c r="AL12" i="19" s="1"/>
  <c r="BJ14" i="19"/>
  <c r="BK14" i="19" s="1"/>
  <c r="AU12" i="19"/>
  <c r="AV12" i="19" s="1"/>
  <c r="BA14" i="19"/>
  <c r="BB14" i="19" s="1"/>
  <c r="AH12" i="19"/>
  <c r="AI12" i="19" s="1"/>
  <c r="AR10" i="19"/>
  <c r="AS10" i="19" s="1"/>
  <c r="BG10" i="19"/>
  <c r="BH10" i="19" s="1"/>
  <c r="AU10" i="19"/>
  <c r="AV10" i="19" s="1"/>
  <c r="AX13" i="19"/>
  <c r="AY13" i="19" s="1"/>
  <c r="BM14" i="19"/>
  <c r="BN14" i="19" s="1"/>
  <c r="AK11" i="19"/>
  <c r="AL11" i="19" s="1"/>
  <c r="BG14" i="19"/>
  <c r="BH14" i="19" s="1"/>
  <c r="AR14" i="19"/>
  <c r="AS14" i="19" s="1"/>
  <c r="BJ12" i="19"/>
  <c r="BK12" i="19" s="1"/>
  <c r="AX11" i="19"/>
  <c r="AY11" i="19" s="1"/>
  <c r="AK13" i="19"/>
  <c r="AL13" i="19" s="1"/>
  <c r="BA12" i="19"/>
  <c r="BB12" i="19" s="1"/>
  <c r="AR12" i="19"/>
  <c r="AS12" i="19" s="1"/>
  <c r="BM12" i="19"/>
  <c r="BN12" i="19" s="1"/>
  <c r="BD14" i="19"/>
  <c r="BE14" i="19" s="1"/>
  <c r="AE11" i="19"/>
  <c r="AF11" i="19" s="1"/>
  <c r="AE10" i="19"/>
  <c r="AF10" i="19" s="1"/>
  <c r="BD10" i="19"/>
  <c r="BE10" i="19" s="1"/>
  <c r="AU11" i="19"/>
  <c r="AV11" i="19" s="1"/>
  <c r="BG13" i="19"/>
  <c r="BH13" i="19" s="1"/>
  <c r="BA10" i="19"/>
  <c r="BB10" i="19" s="1"/>
  <c r="BD11" i="19"/>
  <c r="BE11" i="19" s="1"/>
  <c r="BJ10" i="19"/>
  <c r="BK10" i="19" s="1"/>
  <c r="AK10" i="19"/>
  <c r="AL10" i="19" s="1"/>
  <c r="AH10" i="19"/>
  <c r="AI10" i="19" s="1"/>
  <c r="BG11" i="19"/>
  <c r="BH11" i="19" s="1"/>
  <c r="AX12" i="19"/>
  <c r="AY12" i="19" s="1"/>
  <c r="Y18" i="19"/>
  <c r="Z18" i="19" s="1"/>
  <c r="AB18" i="19"/>
  <c r="AC18" i="19" s="1"/>
  <c r="AB16" i="19"/>
  <c r="AC16" i="19" s="1"/>
  <c r="AB17" i="19"/>
  <c r="AC17" i="19" s="1"/>
  <c r="AB10" i="19"/>
  <c r="AC10" i="19" s="1"/>
  <c r="AB11" i="19"/>
  <c r="AC11" i="19" s="1"/>
  <c r="AB12" i="19"/>
  <c r="AC12" i="19" s="1"/>
  <c r="AB13" i="19"/>
  <c r="AC13" i="19" s="1"/>
  <c r="AB14" i="19"/>
  <c r="AC14" i="19" s="1"/>
  <c r="J15" i="19"/>
  <c r="Y16" i="19"/>
  <c r="Z16" i="19" s="1"/>
  <c r="Y17" i="19"/>
  <c r="Z17" i="19" s="1"/>
  <c r="J9" i="19"/>
  <c r="Y12" i="19"/>
  <c r="Z12" i="19" s="1"/>
  <c r="Y14" i="19"/>
  <c r="Z14" i="19" s="1"/>
  <c r="Y13" i="19"/>
  <c r="Z13" i="19" s="1"/>
  <c r="Y10" i="19"/>
  <c r="Z10" i="19" s="1"/>
  <c r="Y11" i="19"/>
  <c r="Z11" i="19" s="1"/>
  <c r="BU17" i="19"/>
  <c r="BS17" i="19"/>
  <c r="BW17" i="19"/>
  <c r="BU16" i="19"/>
  <c r="BS16" i="19"/>
  <c r="BW16" i="19"/>
  <c r="G15" i="19"/>
  <c r="H15" i="19" s="1"/>
  <c r="F15" i="19"/>
  <c r="E15" i="19"/>
  <c r="D15" i="19"/>
  <c r="C15" i="19"/>
  <c r="B15" i="19"/>
  <c r="AR9" i="19" l="1"/>
  <c r="AS9" i="19" s="1"/>
  <c r="BJ9" i="19"/>
  <c r="BK9" i="19" s="1"/>
  <c r="BM9" i="19"/>
  <c r="BN9" i="19" s="1"/>
  <c r="BG9" i="19"/>
  <c r="BH9" i="19" s="1"/>
  <c r="BA9" i="19"/>
  <c r="BB9" i="19" s="1"/>
  <c r="BD9" i="19"/>
  <c r="BE9" i="19" s="1"/>
  <c r="AU9" i="19"/>
  <c r="AV9" i="19" s="1"/>
  <c r="AH9" i="19"/>
  <c r="AI9" i="19" s="1"/>
  <c r="AX9" i="19"/>
  <c r="AY9" i="19" s="1"/>
  <c r="AE9" i="19"/>
  <c r="AF9" i="19" s="1"/>
  <c r="AK9" i="19"/>
  <c r="AL9" i="19" s="1"/>
  <c r="Y15" i="19"/>
  <c r="Z15" i="19" s="1"/>
  <c r="AB15" i="19"/>
  <c r="AC15" i="19" s="1"/>
  <c r="Y9" i="19"/>
  <c r="Z9" i="19" s="1"/>
  <c r="AB9" i="19"/>
  <c r="AC9" i="19" s="1"/>
  <c r="BW15" i="19"/>
  <c r="BS15" i="19"/>
  <c r="BU15" i="19"/>
  <c r="V9" i="19" a="1"/>
  <c r="V9" i="19" s="1"/>
  <c r="U9" i="19" a="1"/>
  <c r="U9" i="19" s="1"/>
  <c r="T9" i="19" a="1"/>
  <c r="T9" i="19" s="1"/>
  <c r="Q9" i="19" a="1"/>
  <c r="Q9" i="19" s="1"/>
  <c r="N9" i="19" a="1"/>
  <c r="N9" i="19" s="1"/>
  <c r="K9" i="19" a="1"/>
  <c r="K9" i="19" s="1"/>
  <c r="G10" i="19"/>
  <c r="H10" i="19" s="1"/>
  <c r="G11" i="19"/>
  <c r="H11" i="19" s="1"/>
  <c r="G12" i="19"/>
  <c r="H12" i="19" s="1"/>
  <c r="G13" i="19"/>
  <c r="H13" i="19" s="1"/>
  <c r="G14" i="19"/>
  <c r="H14" i="19" s="1"/>
  <c r="F10" i="19"/>
  <c r="F11" i="19"/>
  <c r="F12" i="19"/>
  <c r="F13" i="19"/>
  <c r="F14" i="19"/>
  <c r="E10" i="19"/>
  <c r="E11" i="19"/>
  <c r="E12" i="19"/>
  <c r="E13" i="19"/>
  <c r="E14" i="19"/>
  <c r="D10" i="19"/>
  <c r="D11" i="19"/>
  <c r="D12" i="19"/>
  <c r="D13" i="19"/>
  <c r="D14" i="19"/>
  <c r="C10" i="19"/>
  <c r="C11" i="19"/>
  <c r="C12" i="19"/>
  <c r="C13" i="19"/>
  <c r="C14" i="19"/>
  <c r="B10" i="19"/>
  <c r="B11" i="19"/>
  <c r="B12" i="19"/>
  <c r="B13" i="19"/>
  <c r="B14" i="19"/>
  <c r="G9" i="19"/>
  <c r="H9" i="19" s="1"/>
  <c r="F9" i="19"/>
  <c r="E9" i="19"/>
  <c r="D9" i="19"/>
  <c r="C9" i="19"/>
  <c r="B9" i="19"/>
  <c r="BW11" i="19" l="1"/>
  <c r="BW9" i="19"/>
  <c r="BW13" i="19"/>
  <c r="BU14" i="19"/>
  <c r="BS14" i="19"/>
  <c r="BW10" i="19"/>
  <c r="BU13" i="19"/>
  <c r="BS13" i="19"/>
  <c r="BS12" i="19"/>
  <c r="BU12" i="19"/>
  <c r="BU11" i="19"/>
  <c r="BS11" i="19"/>
  <c r="BU9" i="19"/>
  <c r="BS9" i="19"/>
  <c r="BS10" i="19"/>
  <c r="BU10" i="19"/>
  <c r="BW14" i="19"/>
  <c r="BW12" i="19"/>
  <c r="V3" i="19" a="1"/>
  <c r="V3" i="19" s="1"/>
  <c r="U3" i="19" a="1"/>
  <c r="U3" i="19" s="1"/>
  <c r="T3" i="19" a="1"/>
  <c r="T3" i="19" s="1"/>
  <c r="Q3" i="19" a="1"/>
  <c r="Q3" i="19" s="1"/>
  <c r="N3" i="19" a="1"/>
  <c r="N3" i="19" s="1"/>
  <c r="K3" i="19" a="1"/>
  <c r="K3" i="19" s="1"/>
  <c r="L9" i="19"/>
  <c r="M9" i="19" s="1"/>
  <c r="O9" i="19"/>
  <c r="P9" i="19" s="1"/>
  <c r="R9" i="19"/>
  <c r="S9" i="19" s="1"/>
  <c r="W9" i="19"/>
  <c r="L10" i="19"/>
  <c r="M10" i="19" s="1"/>
  <c r="O10" i="19"/>
  <c r="P10" i="19" s="1"/>
  <c r="R10" i="19"/>
  <c r="S10" i="19" s="1"/>
  <c r="W10" i="19"/>
  <c r="L11" i="19"/>
  <c r="M11" i="19" s="1"/>
  <c r="O11" i="19"/>
  <c r="P11" i="19" s="1"/>
  <c r="R11" i="19"/>
  <c r="S11" i="19" s="1"/>
  <c r="W11" i="19"/>
  <c r="L12" i="19"/>
  <c r="M12" i="19" s="1"/>
  <c r="O12" i="19"/>
  <c r="P12" i="19" s="1"/>
  <c r="R12" i="19"/>
  <c r="S12" i="19" s="1"/>
  <c r="W12" i="19"/>
  <c r="L13" i="19"/>
  <c r="M13" i="19" s="1"/>
  <c r="O13" i="19"/>
  <c r="P13" i="19" s="1"/>
  <c r="R13" i="19"/>
  <c r="S13" i="19" s="1"/>
  <c r="W13" i="19"/>
  <c r="L14" i="19"/>
  <c r="M14" i="19" s="1"/>
  <c r="O14" i="19"/>
  <c r="P14" i="19" s="1"/>
  <c r="R14" i="19"/>
  <c r="S14" i="19" s="1"/>
  <c r="W14" i="19"/>
  <c r="L15" i="19"/>
  <c r="M15" i="19" s="1"/>
  <c r="O15" i="19"/>
  <c r="P15" i="19" s="1"/>
  <c r="R15" i="19"/>
  <c r="S15" i="19" s="1"/>
  <c r="W15" i="19"/>
  <c r="L16" i="19"/>
  <c r="M16" i="19" s="1"/>
  <c r="O16" i="19"/>
  <c r="P16" i="19" s="1"/>
  <c r="R16" i="19"/>
  <c r="S16" i="19" s="1"/>
  <c r="W16" i="19"/>
  <c r="L17" i="19"/>
  <c r="M17" i="19" s="1"/>
  <c r="O17" i="19"/>
  <c r="P17" i="19" s="1"/>
  <c r="R17" i="19"/>
  <c r="S17" i="19" s="1"/>
  <c r="W17" i="19"/>
  <c r="L18" i="19"/>
  <c r="M18" i="19" s="1"/>
  <c r="O18" i="19"/>
  <c r="P18" i="19" s="1"/>
  <c r="R18" i="19"/>
  <c r="S18" i="19" s="1"/>
  <c r="W18" i="19"/>
  <c r="L19" i="19"/>
  <c r="M19" i="19" s="1"/>
  <c r="O19" i="19"/>
  <c r="P19" i="19" s="1"/>
  <c r="R19" i="19"/>
  <c r="S19" i="19" s="1"/>
  <c r="W19" i="19"/>
  <c r="L20" i="19"/>
  <c r="M20" i="19" s="1"/>
  <c r="O20" i="19"/>
  <c r="P20" i="19" s="1"/>
  <c r="R20" i="19"/>
  <c r="S20" i="19" s="1"/>
  <c r="W20" i="19"/>
  <c r="L21" i="19"/>
  <c r="M21" i="19" s="1"/>
  <c r="O21" i="19"/>
  <c r="P21" i="19" s="1"/>
  <c r="R21" i="19"/>
  <c r="S21" i="19" s="1"/>
  <c r="W21" i="19"/>
  <c r="L22" i="19"/>
  <c r="M22" i="19" s="1"/>
  <c r="O22" i="19"/>
  <c r="P22" i="19" s="1"/>
  <c r="R22" i="19"/>
  <c r="S22" i="19" s="1"/>
  <c r="W22" i="19"/>
  <c r="L23" i="19"/>
  <c r="M23" i="19" s="1"/>
  <c r="O23" i="19"/>
  <c r="P23" i="19" s="1"/>
  <c r="R23" i="19"/>
  <c r="S23" i="19" s="1"/>
  <c r="W23" i="19"/>
  <c r="L24" i="19"/>
  <c r="M24" i="19" s="1"/>
  <c r="O24" i="19"/>
  <c r="P24" i="19" s="1"/>
  <c r="R24" i="19"/>
  <c r="S24" i="19" s="1"/>
  <c r="W24" i="19"/>
  <c r="L25" i="19"/>
  <c r="M25" i="19" s="1"/>
  <c r="O25" i="19"/>
  <c r="P25" i="19" s="1"/>
  <c r="R25" i="19"/>
  <c r="S25" i="19" s="1"/>
  <c r="W25" i="19"/>
  <c r="L26" i="19"/>
  <c r="M26" i="19" s="1"/>
  <c r="O26" i="19"/>
  <c r="P26" i="19" s="1"/>
  <c r="R26" i="19"/>
  <c r="S26" i="19" s="1"/>
  <c r="W26" i="19"/>
  <c r="L27" i="19"/>
  <c r="M27" i="19" s="1"/>
  <c r="O27" i="19"/>
  <c r="P27" i="19" s="1"/>
  <c r="R27" i="19"/>
  <c r="S27" i="19" s="1"/>
  <c r="W27" i="19"/>
  <c r="D4" i="19"/>
  <c r="D5" i="19"/>
  <c r="D6" i="19"/>
  <c r="D7" i="19"/>
  <c r="D8" i="19"/>
  <c r="C4" i="19"/>
  <c r="C5" i="19"/>
  <c r="C6" i="19"/>
  <c r="C7" i="19"/>
  <c r="C8" i="19"/>
  <c r="B4" i="19"/>
  <c r="B5" i="19"/>
  <c r="B6" i="19"/>
  <c r="B7" i="19"/>
  <c r="B8" i="19"/>
  <c r="G4" i="19"/>
  <c r="H4" i="19" s="1"/>
  <c r="G5" i="19"/>
  <c r="H5" i="19" s="1"/>
  <c r="G6" i="19"/>
  <c r="H6" i="19" s="1"/>
  <c r="G7" i="19"/>
  <c r="H7" i="19" s="1"/>
  <c r="G8" i="19"/>
  <c r="H8" i="19" s="1"/>
  <c r="F4" i="19"/>
  <c r="F5" i="19"/>
  <c r="F6" i="19"/>
  <c r="F7" i="19"/>
  <c r="F8" i="19"/>
  <c r="E4" i="19"/>
  <c r="E5" i="19"/>
  <c r="E6" i="19"/>
  <c r="E7" i="19"/>
  <c r="E8" i="19"/>
  <c r="I3" i="19" a="1"/>
  <c r="I3" i="19" s="1"/>
  <c r="J3" i="19" a="1"/>
  <c r="G3" i="19"/>
  <c r="H3" i="19" s="1"/>
  <c r="F3" i="19"/>
  <c r="E3" i="19"/>
  <c r="D3" i="19"/>
  <c r="C3" i="19"/>
  <c r="B3" i="19"/>
  <c r="AB4" i="19" l="1"/>
  <c r="AC4" i="19" s="1"/>
  <c r="AB5" i="19"/>
  <c r="AC5" i="19" s="1"/>
  <c r="AB7" i="19"/>
  <c r="AC7" i="19" s="1"/>
  <c r="AB6" i="19"/>
  <c r="AC6" i="19" s="1"/>
  <c r="AB8" i="19"/>
  <c r="AC8" i="19" s="1"/>
  <c r="BW4" i="19"/>
  <c r="BW3" i="19"/>
  <c r="J3" i="19"/>
  <c r="Y7" i="19"/>
  <c r="Z7" i="19" s="1"/>
  <c r="Y5" i="19"/>
  <c r="Z5" i="19" s="1"/>
  <c r="Y6" i="19"/>
  <c r="Z6" i="19" s="1"/>
  <c r="Y4" i="19"/>
  <c r="Z4" i="19" s="1"/>
  <c r="Y8" i="19"/>
  <c r="Z8" i="19" s="1"/>
  <c r="BW7" i="19"/>
  <c r="BW6" i="19"/>
  <c r="BW8" i="19"/>
  <c r="BW5" i="19"/>
  <c r="W7" i="19"/>
  <c r="BU8" i="19"/>
  <c r="BS8" i="19"/>
  <c r="W5" i="19"/>
  <c r="W3" i="19"/>
  <c r="BU3" i="19"/>
  <c r="BS3" i="19"/>
  <c r="BS7" i="19"/>
  <c r="BU7" i="19"/>
  <c r="W4" i="19"/>
  <c r="BS5" i="19"/>
  <c r="BU5" i="19"/>
  <c r="BS4" i="19"/>
  <c r="BU4" i="19"/>
  <c r="W6" i="19"/>
  <c r="BS6" i="19"/>
  <c r="BU6" i="19"/>
  <c r="W8" i="19"/>
  <c r="R7" i="19"/>
  <c r="S7" i="19" s="1"/>
  <c r="R5" i="19"/>
  <c r="S5" i="19" s="1"/>
  <c r="L4" i="19"/>
  <c r="M4" i="19" s="1"/>
  <c r="O7" i="19"/>
  <c r="P7" i="19" s="1"/>
  <c r="O5" i="19"/>
  <c r="P5" i="19" s="1"/>
  <c r="L7" i="19"/>
  <c r="M7" i="19" s="1"/>
  <c r="L5" i="19"/>
  <c r="M5" i="19" s="1"/>
  <c r="R6" i="19"/>
  <c r="S6" i="19" s="1"/>
  <c r="O8" i="19"/>
  <c r="P8" i="19" s="1"/>
  <c r="O6" i="19"/>
  <c r="P6" i="19" s="1"/>
  <c r="R4" i="19"/>
  <c r="S4" i="19" s="1"/>
  <c r="R8" i="19"/>
  <c r="S8" i="19" s="1"/>
  <c r="L8" i="19"/>
  <c r="M8" i="19" s="1"/>
  <c r="L6" i="19"/>
  <c r="M6" i="19" s="1"/>
  <c r="O4" i="19"/>
  <c r="P4" i="19" s="1"/>
  <c r="B44" i="19"/>
  <c r="C44" i="19"/>
  <c r="D44" i="19"/>
  <c r="E44" i="19"/>
  <c r="F44" i="19"/>
  <c r="G44" i="19"/>
  <c r="H44" i="19" s="1"/>
  <c r="I44" i="19"/>
  <c r="J44" i="19"/>
  <c r="K44" i="19"/>
  <c r="N44" i="19"/>
  <c r="Q44" i="19"/>
  <c r="T44" i="19"/>
  <c r="U44" i="19"/>
  <c r="V44" i="19"/>
  <c r="W44" i="19" s="1"/>
  <c r="AD44" i="19"/>
  <c r="AG44" i="19"/>
  <c r="AJ44" i="19"/>
  <c r="AM44" i="19"/>
  <c r="AN44" i="19"/>
  <c r="AO44" i="19"/>
  <c r="AP44" i="19" s="1"/>
  <c r="AQ44" i="19"/>
  <c r="AT44" i="19"/>
  <c r="AW44" i="19"/>
  <c r="AZ44" i="19"/>
  <c r="BC44" i="19"/>
  <c r="BI44" i="19" a="1"/>
  <c r="BI44" i="19" s="1"/>
  <c r="B45" i="19"/>
  <c r="C45" i="19"/>
  <c r="D45" i="19"/>
  <c r="E45" i="19"/>
  <c r="F45" i="19"/>
  <c r="G45" i="19"/>
  <c r="H45" i="19" s="1"/>
  <c r="I45" i="19"/>
  <c r="J45" i="19"/>
  <c r="K45" i="19"/>
  <c r="N45" i="19"/>
  <c r="Q45" i="19"/>
  <c r="T45" i="19"/>
  <c r="U45" i="19"/>
  <c r="V45" i="19"/>
  <c r="W45" i="19" s="1"/>
  <c r="AD45" i="19"/>
  <c r="AG45" i="19"/>
  <c r="AJ45" i="19"/>
  <c r="AM45" i="19"/>
  <c r="AN45" i="19"/>
  <c r="AO45" i="19"/>
  <c r="AP45" i="19" s="1"/>
  <c r="AQ45" i="19"/>
  <c r="AT45" i="19"/>
  <c r="AW45" i="19"/>
  <c r="AZ45" i="19"/>
  <c r="BC45" i="19"/>
  <c r="B46" i="19"/>
  <c r="C46" i="19"/>
  <c r="D46" i="19"/>
  <c r="E46" i="19"/>
  <c r="F46" i="19"/>
  <c r="G46" i="19"/>
  <c r="H46" i="19" s="1"/>
  <c r="I46" i="19"/>
  <c r="J46" i="19"/>
  <c r="K46" i="19"/>
  <c r="N46" i="19"/>
  <c r="Q46" i="19"/>
  <c r="T46" i="19"/>
  <c r="U46" i="19"/>
  <c r="V46" i="19"/>
  <c r="W46" i="19" s="1"/>
  <c r="AD46" i="19"/>
  <c r="AG46" i="19"/>
  <c r="AJ46" i="19"/>
  <c r="AM46" i="19"/>
  <c r="AN46" i="19"/>
  <c r="AO46" i="19"/>
  <c r="AP46" i="19" s="1"/>
  <c r="AQ46" i="19"/>
  <c r="AT46" i="19"/>
  <c r="AW46" i="19"/>
  <c r="AZ46" i="19"/>
  <c r="BC46" i="19"/>
  <c r="B47" i="19"/>
  <c r="C47" i="19"/>
  <c r="D47" i="19"/>
  <c r="E47" i="19"/>
  <c r="F47" i="19"/>
  <c r="G47" i="19"/>
  <c r="H47" i="19" s="1"/>
  <c r="I47" i="19"/>
  <c r="J47" i="19"/>
  <c r="K47" i="19"/>
  <c r="N47" i="19"/>
  <c r="Q47" i="19"/>
  <c r="T47" i="19"/>
  <c r="U47" i="19"/>
  <c r="V47" i="19"/>
  <c r="W47" i="19" s="1"/>
  <c r="AD47" i="19"/>
  <c r="AG47" i="19"/>
  <c r="AJ47" i="19"/>
  <c r="AM47" i="19"/>
  <c r="AN47" i="19"/>
  <c r="AO47" i="19"/>
  <c r="AP47" i="19" s="1"/>
  <c r="AQ47" i="19"/>
  <c r="AT47" i="19"/>
  <c r="AW47" i="19"/>
  <c r="AZ47" i="19"/>
  <c r="BC47" i="19"/>
  <c r="B48" i="19"/>
  <c r="C48" i="19"/>
  <c r="D48" i="19"/>
  <c r="E48" i="19"/>
  <c r="F48" i="19"/>
  <c r="G48" i="19"/>
  <c r="H48" i="19" s="1"/>
  <c r="I48" i="19"/>
  <c r="J48" i="19"/>
  <c r="K48" i="19"/>
  <c r="N48" i="19"/>
  <c r="Q48" i="19"/>
  <c r="T48" i="19"/>
  <c r="U48" i="19"/>
  <c r="V48" i="19"/>
  <c r="W48" i="19" s="1"/>
  <c r="AD48" i="19"/>
  <c r="AG48" i="19"/>
  <c r="AJ48" i="19"/>
  <c r="AM48" i="19"/>
  <c r="AN48" i="19"/>
  <c r="AO48" i="19"/>
  <c r="AP48" i="19" s="1"/>
  <c r="AQ48" i="19"/>
  <c r="AT48" i="19"/>
  <c r="AW48" i="19"/>
  <c r="AZ48" i="19"/>
  <c r="BA48" i="19" s="1"/>
  <c r="BB48" i="19" s="1"/>
  <c r="BC48" i="19"/>
  <c r="BI223" i="19" a="1"/>
  <c r="BI223" i="19" s="1"/>
  <c r="BC223" i="19" a="1"/>
  <c r="BC223" i="19" s="1"/>
  <c r="AZ223" i="19" a="1"/>
  <c r="AZ223" i="19" s="1"/>
  <c r="AW223" i="19" a="1"/>
  <c r="AW223" i="19" s="1"/>
  <c r="AT223" i="19" a="1"/>
  <c r="AT223" i="19" s="1"/>
  <c r="AQ223" i="19" a="1"/>
  <c r="AQ223" i="19" s="1"/>
  <c r="AO223" i="19" a="1"/>
  <c r="AO223" i="19" s="1"/>
  <c r="AN223" i="19" a="1"/>
  <c r="AN223" i="19" s="1"/>
  <c r="AM223" i="19" a="1"/>
  <c r="AM223" i="19" s="1"/>
  <c r="AJ223" i="19" a="1"/>
  <c r="AJ223" i="19" s="1"/>
  <c r="AG223" i="19" a="1"/>
  <c r="AG223" i="19" s="1"/>
  <c r="AD223" i="19" a="1"/>
  <c r="AD223" i="19" s="1"/>
  <c r="B224" i="19"/>
  <c r="C224" i="19"/>
  <c r="D224" i="19"/>
  <c r="E224" i="19"/>
  <c r="F224" i="19"/>
  <c r="G224" i="19"/>
  <c r="H224" i="19" s="1"/>
  <c r="B225" i="19"/>
  <c r="C225" i="19"/>
  <c r="D225" i="19"/>
  <c r="E225" i="19"/>
  <c r="F225" i="19"/>
  <c r="G225" i="19"/>
  <c r="H225" i="19" s="1"/>
  <c r="I223" i="19" a="1"/>
  <c r="I223" i="19" s="1"/>
  <c r="J223" i="19" a="1"/>
  <c r="G223" i="19"/>
  <c r="H223" i="19" s="1"/>
  <c r="F223" i="19"/>
  <c r="E223" i="19"/>
  <c r="D223" i="19"/>
  <c r="C223" i="19"/>
  <c r="B223" i="19"/>
  <c r="BM47" i="19" l="1"/>
  <c r="BN47" i="19" s="1"/>
  <c r="AB47" i="19"/>
  <c r="AC47" i="19" s="1"/>
  <c r="BM46" i="19"/>
  <c r="BN46" i="19" s="1"/>
  <c r="AB46" i="19"/>
  <c r="AC46" i="19" s="1"/>
  <c r="BM48" i="19"/>
  <c r="BN48" i="19" s="1"/>
  <c r="AB48" i="19"/>
  <c r="AC48" i="19" s="1"/>
  <c r="BM45" i="19"/>
  <c r="BN45" i="19" s="1"/>
  <c r="AB45" i="19"/>
  <c r="AC45" i="19" s="1"/>
  <c r="BM44" i="19"/>
  <c r="BN44" i="19" s="1"/>
  <c r="AB44" i="19"/>
  <c r="AC44" i="19" s="1"/>
  <c r="Y3" i="19"/>
  <c r="AB3" i="19"/>
  <c r="BM224" i="19"/>
  <c r="BN224" i="19" s="1"/>
  <c r="BM225" i="19"/>
  <c r="BN225" i="19" s="1"/>
  <c r="J223" i="19"/>
  <c r="BG224" i="19"/>
  <c r="BH224" i="19" s="1"/>
  <c r="BG225" i="19"/>
  <c r="BH225" i="19" s="1"/>
  <c r="Y46" i="19"/>
  <c r="Z46" i="19" s="1"/>
  <c r="BG46" i="19"/>
  <c r="BH46" i="19" s="1"/>
  <c r="Y44" i="19"/>
  <c r="Z44" i="19" s="1"/>
  <c r="BG44" i="19"/>
  <c r="BH44" i="19" s="1"/>
  <c r="Y45" i="19"/>
  <c r="Z45" i="19" s="1"/>
  <c r="BG45" i="19"/>
  <c r="BH45" i="19" s="1"/>
  <c r="Y48" i="19"/>
  <c r="Z48" i="19" s="1"/>
  <c r="BG48" i="19"/>
  <c r="BH48" i="19" s="1"/>
  <c r="Y47" i="19"/>
  <c r="Z47" i="19" s="1"/>
  <c r="BG47" i="19"/>
  <c r="BH47" i="19" s="1"/>
  <c r="BW224" i="19"/>
  <c r="R3" i="19"/>
  <c r="S3" i="19" s="1"/>
  <c r="O3" i="19"/>
  <c r="P3" i="19" s="1"/>
  <c r="L3" i="19"/>
  <c r="M3" i="19" s="1"/>
  <c r="Z3" i="19"/>
  <c r="AH47" i="19"/>
  <c r="AI47" i="19" s="1"/>
  <c r="BW223" i="19"/>
  <c r="AX44" i="19"/>
  <c r="AY44" i="19" s="1"/>
  <c r="BW48" i="19"/>
  <c r="BW47" i="19"/>
  <c r="BW46" i="19"/>
  <c r="AU47" i="19"/>
  <c r="AV47" i="19" s="1"/>
  <c r="BW45" i="19"/>
  <c r="BS44" i="19"/>
  <c r="BU44" i="19"/>
  <c r="BU48" i="19"/>
  <c r="BS48" i="19"/>
  <c r="BW225" i="19"/>
  <c r="BS47" i="19"/>
  <c r="BU47" i="19"/>
  <c r="BW44" i="19"/>
  <c r="BU223" i="19"/>
  <c r="BS223" i="19"/>
  <c r="BU46" i="19"/>
  <c r="BS46" i="19"/>
  <c r="BU225" i="19"/>
  <c r="BS225" i="19"/>
  <c r="BU224" i="19"/>
  <c r="BS224" i="19"/>
  <c r="BU45" i="19"/>
  <c r="BS45" i="19"/>
  <c r="BD48" i="19"/>
  <c r="BE48" i="19" s="1"/>
  <c r="BD44" i="19"/>
  <c r="BE44" i="19" s="1"/>
  <c r="BD47" i="19"/>
  <c r="BE47" i="19" s="1"/>
  <c r="L47" i="19"/>
  <c r="M47" i="19" s="1"/>
  <c r="AX47" i="19"/>
  <c r="AY47" i="19" s="1"/>
  <c r="AR47" i="19"/>
  <c r="AS47" i="19" s="1"/>
  <c r="R47" i="19"/>
  <c r="S47" i="19" s="1"/>
  <c r="AE47" i="19"/>
  <c r="AF47" i="19" s="1"/>
  <c r="AU44" i="19"/>
  <c r="AV44" i="19" s="1"/>
  <c r="AR44" i="19"/>
  <c r="AS44" i="19" s="1"/>
  <c r="BJ44" i="19"/>
  <c r="BK44" i="19" s="1"/>
  <c r="AR48" i="19"/>
  <c r="AS48" i="19" s="1"/>
  <c r="AX46" i="19"/>
  <c r="AY46" i="19" s="1"/>
  <c r="R44" i="19"/>
  <c r="S44" i="19" s="1"/>
  <c r="AH46" i="19"/>
  <c r="AI46" i="19" s="1"/>
  <c r="R45" i="19"/>
  <c r="S45" i="19" s="1"/>
  <c r="R48" i="19"/>
  <c r="S48" i="19" s="1"/>
  <c r="AK44" i="19"/>
  <c r="AL44" i="19" s="1"/>
  <c r="O44" i="19"/>
  <c r="P44" i="19" s="1"/>
  <c r="BA44" i="19"/>
  <c r="BB44" i="19" s="1"/>
  <c r="AH44" i="19"/>
  <c r="AI44" i="19" s="1"/>
  <c r="L44" i="19"/>
  <c r="M44" i="19" s="1"/>
  <c r="BD45" i="19"/>
  <c r="BE45" i="19" s="1"/>
  <c r="O48" i="19"/>
  <c r="P48" i="19" s="1"/>
  <c r="AK48" i="19"/>
  <c r="AL48" i="19" s="1"/>
  <c r="AH45" i="19"/>
  <c r="AI45" i="19" s="1"/>
  <c r="BA46" i="19"/>
  <c r="BB46" i="19" s="1"/>
  <c r="AK46" i="19"/>
  <c r="AL46" i="19" s="1"/>
  <c r="L46" i="19"/>
  <c r="M46" i="19" s="1"/>
  <c r="AU46" i="19"/>
  <c r="AV46" i="19" s="1"/>
  <c r="AE46" i="19"/>
  <c r="AF46" i="19" s="1"/>
  <c r="AX45" i="19"/>
  <c r="AY45" i="19" s="1"/>
  <c r="AE44" i="19"/>
  <c r="AF44" i="19" s="1"/>
  <c r="R46" i="19"/>
  <c r="S46" i="19" s="1"/>
  <c r="BD46" i="19"/>
  <c r="BE46" i="19" s="1"/>
  <c r="O46" i="19"/>
  <c r="P46" i="19" s="1"/>
  <c r="BA47" i="19"/>
  <c r="BB47" i="19" s="1"/>
  <c r="L45" i="19"/>
  <c r="M45" i="19" s="1"/>
  <c r="AX48" i="19"/>
  <c r="AY48" i="19" s="1"/>
  <c r="AK47" i="19"/>
  <c r="AL47" i="19" s="1"/>
  <c r="BJ46" i="19"/>
  <c r="BK46" i="19" s="1"/>
  <c r="AE45" i="19"/>
  <c r="AF45" i="19" s="1"/>
  <c r="O47" i="19"/>
  <c r="P47" i="19" s="1"/>
  <c r="AR46" i="19"/>
  <c r="AS46" i="19" s="1"/>
  <c r="BJ48" i="19"/>
  <c r="BK48" i="19" s="1"/>
  <c r="AH48" i="19"/>
  <c r="AI48" i="19" s="1"/>
  <c r="L48" i="19"/>
  <c r="M48" i="19" s="1"/>
  <c r="AR45" i="19"/>
  <c r="AS45" i="19" s="1"/>
  <c r="BA45" i="19"/>
  <c r="BB45" i="19" s="1"/>
  <c r="AK45" i="19"/>
  <c r="AL45" i="19" s="1"/>
  <c r="O45" i="19"/>
  <c r="P45" i="19" s="1"/>
  <c r="AU48" i="19"/>
  <c r="AV48" i="19" s="1"/>
  <c r="AE48" i="19"/>
  <c r="AF48" i="19" s="1"/>
  <c r="BJ47" i="19"/>
  <c r="BK47" i="19" s="1"/>
  <c r="BJ45" i="19"/>
  <c r="BK45" i="19" s="1"/>
  <c r="AU45" i="19"/>
  <c r="AV45" i="19" s="1"/>
  <c r="BI220" i="19" a="1"/>
  <c r="BI220" i="19" s="1"/>
  <c r="BC220" i="19" a="1"/>
  <c r="BC220" i="19" s="1"/>
  <c r="AZ220" i="19" a="1"/>
  <c r="AZ220" i="19" s="1"/>
  <c r="AW220" i="19" a="1"/>
  <c r="AW220" i="19" s="1"/>
  <c r="AT220" i="19" a="1"/>
  <c r="AT220" i="19" s="1"/>
  <c r="AQ220" i="19" a="1"/>
  <c r="AQ220" i="19" s="1"/>
  <c r="AO220" i="19" a="1"/>
  <c r="AO220" i="19" s="1"/>
  <c r="AN220" i="19" a="1"/>
  <c r="AN220" i="19" s="1"/>
  <c r="AM220" i="19" a="1"/>
  <c r="AM220" i="19" s="1"/>
  <c r="AJ220" i="19" a="1"/>
  <c r="AJ220" i="19" s="1"/>
  <c r="AG220" i="19" a="1"/>
  <c r="AG220" i="19" s="1"/>
  <c r="AD220" i="19" a="1"/>
  <c r="AD220" i="19" s="1"/>
  <c r="G221" i="19"/>
  <c r="H221" i="19" s="1"/>
  <c r="G222" i="19"/>
  <c r="H222" i="19" s="1"/>
  <c r="F221" i="19"/>
  <c r="F222" i="19"/>
  <c r="E221" i="19"/>
  <c r="E222" i="19"/>
  <c r="D221" i="19"/>
  <c r="D222" i="19"/>
  <c r="C221" i="19"/>
  <c r="C222" i="19"/>
  <c r="I220" i="19" a="1"/>
  <c r="I220" i="19" s="1"/>
  <c r="J220" i="19" a="1"/>
  <c r="G220" i="19"/>
  <c r="H220" i="19" s="1"/>
  <c r="F220" i="19"/>
  <c r="E220" i="19"/>
  <c r="D220" i="19"/>
  <c r="C220" i="19"/>
  <c r="B220" i="19"/>
  <c r="AC3" i="19" l="1"/>
  <c r="BG223" i="19"/>
  <c r="BH223" i="19" s="1"/>
  <c r="BM223" i="19"/>
  <c r="BN223" i="19" s="1"/>
  <c r="BM221" i="19"/>
  <c r="BN221" i="19" s="1"/>
  <c r="BM222" i="19"/>
  <c r="BN222" i="19" s="1"/>
  <c r="J220" i="19"/>
  <c r="AE220" i="19" s="1"/>
  <c r="AF220" i="19" s="1"/>
  <c r="BG221" i="19"/>
  <c r="BH221" i="19" s="1"/>
  <c r="BG222" i="19"/>
  <c r="BH222" i="19" s="1"/>
  <c r="BU220" i="19"/>
  <c r="BS220" i="19"/>
  <c r="BW220" i="19"/>
  <c r="BW221" i="19"/>
  <c r="BU221" i="19"/>
  <c r="BS221" i="19"/>
  <c r="BW222" i="19"/>
  <c r="BU222" i="19"/>
  <c r="BS222" i="19"/>
  <c r="AP220" i="19"/>
  <c r="AE221" i="19"/>
  <c r="AF221" i="19" s="1"/>
  <c r="AH221" i="19"/>
  <c r="AI221" i="19" s="1"/>
  <c r="AK221" i="19"/>
  <c r="AL221" i="19" s="1"/>
  <c r="AP221" i="19"/>
  <c r="AR221" i="19"/>
  <c r="AS221" i="19" s="1"/>
  <c r="AU221" i="19"/>
  <c r="AV221" i="19" s="1"/>
  <c r="AX221" i="19"/>
  <c r="AY221" i="19" s="1"/>
  <c r="BA221" i="19"/>
  <c r="BB221" i="19" s="1"/>
  <c r="BD221" i="19"/>
  <c r="BE221" i="19" s="1"/>
  <c r="BJ221" i="19"/>
  <c r="BK221" i="19" s="1"/>
  <c r="AE222" i="19"/>
  <c r="AF222" i="19" s="1"/>
  <c r="AH222" i="19"/>
  <c r="AI222" i="19" s="1"/>
  <c r="AK222" i="19"/>
  <c r="AL222" i="19" s="1"/>
  <c r="AP222" i="19"/>
  <c r="AR222" i="19"/>
  <c r="AS222" i="19" s="1"/>
  <c r="AU222" i="19"/>
  <c r="AV222" i="19" s="1"/>
  <c r="AX222" i="19"/>
  <c r="AY222" i="19" s="1"/>
  <c r="BA222" i="19"/>
  <c r="BB222" i="19" s="1"/>
  <c r="BD222" i="19"/>
  <c r="BE222" i="19" s="1"/>
  <c r="BJ222" i="19"/>
  <c r="BK222" i="19" s="1"/>
  <c r="AE223" i="19"/>
  <c r="AF223" i="19" s="1"/>
  <c r="AH223" i="19"/>
  <c r="AI223" i="19" s="1"/>
  <c r="AK223" i="19"/>
  <c r="AL223" i="19" s="1"/>
  <c r="AP223" i="19"/>
  <c r="AR223" i="19"/>
  <c r="AS223" i="19" s="1"/>
  <c r="AU223" i="19"/>
  <c r="AV223" i="19" s="1"/>
  <c r="AX223" i="19"/>
  <c r="AY223" i="19" s="1"/>
  <c r="BA223" i="19"/>
  <c r="BB223" i="19" s="1"/>
  <c r="BD223" i="19"/>
  <c r="BE223" i="19" s="1"/>
  <c r="BJ223" i="19"/>
  <c r="BK223" i="19" s="1"/>
  <c r="AE224" i="19"/>
  <c r="AF224" i="19" s="1"/>
  <c r="AH224" i="19"/>
  <c r="AI224" i="19" s="1"/>
  <c r="AK224" i="19"/>
  <c r="AL224" i="19" s="1"/>
  <c r="AP224" i="19"/>
  <c r="AR224" i="19"/>
  <c r="AS224" i="19" s="1"/>
  <c r="AU224" i="19"/>
  <c r="AV224" i="19" s="1"/>
  <c r="AX224" i="19"/>
  <c r="AY224" i="19" s="1"/>
  <c r="BA224" i="19"/>
  <c r="BB224" i="19" s="1"/>
  <c r="BD224" i="19"/>
  <c r="BE224" i="19" s="1"/>
  <c r="BJ224" i="19"/>
  <c r="BK224" i="19" s="1"/>
  <c r="AE225" i="19"/>
  <c r="AF225" i="19" s="1"/>
  <c r="AH225" i="19"/>
  <c r="AI225" i="19" s="1"/>
  <c r="AK225" i="19"/>
  <c r="AL225" i="19" s="1"/>
  <c r="AP225" i="19"/>
  <c r="AR225" i="19"/>
  <c r="AS225" i="19" s="1"/>
  <c r="AU225" i="19"/>
  <c r="AV225" i="19" s="1"/>
  <c r="AX225" i="19"/>
  <c r="AY225" i="19" s="1"/>
  <c r="BA225" i="19"/>
  <c r="BB225" i="19" s="1"/>
  <c r="BD225" i="19"/>
  <c r="BE225" i="19" s="1"/>
  <c r="BJ225" i="19"/>
  <c r="BK225" i="19" s="1"/>
  <c r="D216" i="19"/>
  <c r="D217" i="19"/>
  <c r="D218" i="19"/>
  <c r="D219" i="19"/>
  <c r="D215" i="19"/>
  <c r="C216" i="19"/>
  <c r="C217" i="19"/>
  <c r="C218" i="19"/>
  <c r="C219" i="19"/>
  <c r="C215" i="19"/>
  <c r="BD220" i="19" l="1"/>
  <c r="BE220" i="19" s="1"/>
  <c r="BA220" i="19"/>
  <c r="BB220" i="19" s="1"/>
  <c r="AX220" i="19"/>
  <c r="AY220" i="19" s="1"/>
  <c r="AR220" i="19"/>
  <c r="AS220" i="19" s="1"/>
  <c r="BG220" i="19"/>
  <c r="BH220" i="19" s="1"/>
  <c r="BM220" i="19"/>
  <c r="BN220" i="19" s="1"/>
  <c r="AK220" i="19"/>
  <c r="AL220" i="19" s="1"/>
  <c r="BJ220" i="19"/>
  <c r="BK220" i="19" s="1"/>
  <c r="AH220" i="19"/>
  <c r="AI220" i="19" s="1"/>
  <c r="AU220" i="19"/>
  <c r="AV220" i="19" s="1"/>
  <c r="D213" i="19"/>
  <c r="D214" i="19"/>
  <c r="D212" i="19"/>
  <c r="C213" i="19"/>
  <c r="C214" i="19"/>
  <c r="C212" i="19"/>
  <c r="D210" i="19" l="1"/>
  <c r="D211" i="19"/>
  <c r="D209" i="19"/>
  <c r="C210" i="19"/>
  <c r="C211" i="19"/>
  <c r="C209" i="19"/>
  <c r="D203" i="19" l="1"/>
  <c r="D204" i="19"/>
  <c r="D205" i="19"/>
  <c r="D206" i="19"/>
  <c r="D207" i="19"/>
  <c r="D208" i="19"/>
  <c r="D202" i="19"/>
  <c r="C203" i="19"/>
  <c r="C204" i="19"/>
  <c r="C205" i="19"/>
  <c r="C206" i="19"/>
  <c r="C207" i="19"/>
  <c r="C208" i="19"/>
  <c r="C202" i="19"/>
  <c r="D195" i="19" l="1"/>
  <c r="D196" i="19"/>
  <c r="D197" i="19"/>
  <c r="D198" i="19"/>
  <c r="D199" i="19"/>
  <c r="D200" i="19"/>
  <c r="D201" i="19"/>
  <c r="D194" i="19"/>
  <c r="C195" i="19"/>
  <c r="C196" i="19"/>
  <c r="C197" i="19"/>
  <c r="C198" i="19"/>
  <c r="C199" i="19"/>
  <c r="C200" i="19"/>
  <c r="C201" i="19"/>
  <c r="C194" i="19"/>
  <c r="D187" i="19" l="1"/>
  <c r="D188" i="19"/>
  <c r="D189" i="19"/>
  <c r="D190" i="19"/>
  <c r="D191" i="19"/>
  <c r="D192" i="19"/>
  <c r="D193" i="19"/>
  <c r="D186" i="19"/>
  <c r="C187" i="19"/>
  <c r="C188" i="19"/>
  <c r="C189" i="19"/>
  <c r="C190" i="19"/>
  <c r="C191" i="19"/>
  <c r="C192" i="19"/>
  <c r="C193" i="19"/>
  <c r="C186" i="19"/>
  <c r="D180" i="19" l="1"/>
  <c r="D181" i="19"/>
  <c r="D182" i="19"/>
  <c r="D183" i="19"/>
  <c r="D184" i="19"/>
  <c r="D185" i="19"/>
  <c r="D179" i="19"/>
  <c r="C180" i="19"/>
  <c r="C181" i="19"/>
  <c r="C182" i="19"/>
  <c r="C183" i="19"/>
  <c r="C184" i="19"/>
  <c r="C185" i="19"/>
  <c r="C179" i="19"/>
  <c r="D174" i="19" l="1"/>
  <c r="D175" i="19"/>
  <c r="D176" i="19"/>
  <c r="D177" i="19"/>
  <c r="D178" i="19"/>
  <c r="D173" i="19"/>
  <c r="C174" i="19"/>
  <c r="C175" i="19"/>
  <c r="C176" i="19"/>
  <c r="C177" i="19"/>
  <c r="C178" i="19"/>
  <c r="C173" i="19"/>
  <c r="D166" i="19" l="1"/>
  <c r="D167" i="19"/>
  <c r="D168" i="19"/>
  <c r="D169" i="19"/>
  <c r="D170" i="19"/>
  <c r="D171" i="19"/>
  <c r="D172" i="19"/>
  <c r="D165" i="19"/>
  <c r="C166" i="19"/>
  <c r="C167" i="19"/>
  <c r="C168" i="19"/>
  <c r="C169" i="19"/>
  <c r="C170" i="19"/>
  <c r="C171" i="19"/>
  <c r="C172" i="19"/>
  <c r="C165" i="19"/>
  <c r="D159" i="19" l="1"/>
  <c r="D160" i="19"/>
  <c r="D161" i="19"/>
  <c r="D162" i="19"/>
  <c r="D163" i="19"/>
  <c r="D164" i="19"/>
  <c r="D158" i="19"/>
  <c r="C159" i="19"/>
  <c r="C160" i="19"/>
  <c r="C161" i="19"/>
  <c r="C162" i="19"/>
  <c r="C163" i="19"/>
  <c r="C164" i="19"/>
  <c r="C158" i="19"/>
  <c r="D156" i="19" l="1"/>
  <c r="D157" i="19"/>
  <c r="D155" i="19"/>
  <c r="C156" i="19"/>
  <c r="C157" i="19"/>
  <c r="C155" i="19"/>
  <c r="D153" i="19" l="1"/>
  <c r="D154" i="19"/>
  <c r="D152" i="19"/>
  <c r="C153" i="19"/>
  <c r="C154" i="19"/>
  <c r="C152" i="19"/>
  <c r="D150" i="19" l="1"/>
  <c r="D151" i="19"/>
  <c r="D149" i="19"/>
  <c r="C150" i="19"/>
  <c r="C151" i="19"/>
  <c r="C149" i="19"/>
  <c r="D147" i="19" l="1"/>
  <c r="D148" i="19"/>
  <c r="D146" i="19"/>
  <c r="C147" i="19"/>
  <c r="C148" i="19"/>
  <c r="C146" i="19"/>
  <c r="D145" i="19" l="1"/>
  <c r="D144" i="19"/>
  <c r="C145" i="19"/>
  <c r="C144" i="19"/>
  <c r="D142" i="19" l="1"/>
  <c r="D143" i="19"/>
  <c r="D141" i="19"/>
  <c r="C142" i="19"/>
  <c r="C143" i="19"/>
  <c r="C141" i="19"/>
  <c r="D138" i="19" l="1"/>
  <c r="D139" i="19"/>
  <c r="D140" i="19"/>
  <c r="D137" i="19"/>
  <c r="C138" i="19"/>
  <c r="C139" i="19"/>
  <c r="C140" i="19"/>
  <c r="C137" i="19"/>
  <c r="D133" i="19" l="1"/>
  <c r="D134" i="19"/>
  <c r="D135" i="19"/>
  <c r="D136" i="19"/>
  <c r="D132" i="19"/>
  <c r="C133" i="19"/>
  <c r="C134" i="19"/>
  <c r="C135" i="19"/>
  <c r="C136" i="19"/>
  <c r="C132" i="19"/>
  <c r="D125" i="19" l="1"/>
  <c r="D126" i="19"/>
  <c r="D127" i="19"/>
  <c r="D128" i="19"/>
  <c r="D129" i="19"/>
  <c r="D130" i="19"/>
  <c r="D131" i="19"/>
  <c r="D124" i="19"/>
  <c r="C125" i="19"/>
  <c r="C126" i="19"/>
  <c r="C127" i="19"/>
  <c r="C128" i="19"/>
  <c r="C129" i="19"/>
  <c r="C130" i="19"/>
  <c r="C131" i="19"/>
  <c r="C124" i="19"/>
  <c r="D118" i="19" l="1"/>
  <c r="D119" i="19"/>
  <c r="D120" i="19"/>
  <c r="D121" i="19"/>
  <c r="D122" i="19"/>
  <c r="D123" i="19"/>
  <c r="D117" i="19"/>
  <c r="C118" i="19"/>
  <c r="C119" i="19"/>
  <c r="C120" i="19"/>
  <c r="C121" i="19"/>
  <c r="C122" i="19"/>
  <c r="C123" i="19"/>
  <c r="C117" i="19"/>
  <c r="D111" i="19" l="1"/>
  <c r="D112" i="19"/>
  <c r="D113" i="19"/>
  <c r="D114" i="19"/>
  <c r="D115" i="19"/>
  <c r="D116" i="19"/>
  <c r="D110" i="19"/>
  <c r="C111" i="19"/>
  <c r="C112" i="19"/>
  <c r="C113" i="19"/>
  <c r="C114" i="19"/>
  <c r="C115" i="19"/>
  <c r="C116" i="19"/>
  <c r="C110" i="19"/>
  <c r="D103" i="19" l="1"/>
  <c r="D104" i="19"/>
  <c r="D105" i="19"/>
  <c r="D106" i="19"/>
  <c r="D107" i="19"/>
  <c r="D108" i="19"/>
  <c r="D109" i="19"/>
  <c r="D102" i="19"/>
  <c r="C103" i="19"/>
  <c r="C104" i="19"/>
  <c r="C105" i="19"/>
  <c r="C106" i="19"/>
  <c r="C107" i="19"/>
  <c r="C108" i="19"/>
  <c r="C109" i="19"/>
  <c r="C102" i="19"/>
  <c r="D101" i="19" l="1"/>
  <c r="D100" i="19"/>
  <c r="C101" i="19"/>
  <c r="C100" i="19"/>
  <c r="D98" i="19" l="1"/>
  <c r="D99" i="19"/>
  <c r="D97" i="19"/>
  <c r="C98" i="19"/>
  <c r="C99" i="19"/>
  <c r="C97" i="19"/>
  <c r="D96" i="19" l="1"/>
  <c r="D95" i="19"/>
  <c r="C96" i="19"/>
  <c r="C95" i="19"/>
  <c r="D93" i="19" l="1"/>
  <c r="D94" i="19"/>
  <c r="D92" i="19"/>
  <c r="C93" i="19"/>
  <c r="C94" i="19"/>
  <c r="C92" i="19"/>
  <c r="D90" i="19" l="1"/>
  <c r="D91" i="19"/>
  <c r="D89" i="19"/>
  <c r="C90" i="19"/>
  <c r="C91" i="19"/>
  <c r="C89" i="19"/>
  <c r="D87" i="19" l="1"/>
  <c r="D88" i="19"/>
  <c r="D86" i="19"/>
  <c r="C87" i="19"/>
  <c r="C88" i="19"/>
  <c r="C86" i="19"/>
  <c r="D83" i="19" l="1"/>
  <c r="D84" i="19"/>
  <c r="D85" i="19"/>
  <c r="D82" i="19"/>
  <c r="C83" i="19"/>
  <c r="C84" i="19"/>
  <c r="C85" i="19"/>
  <c r="C82" i="19"/>
  <c r="D79" i="19" l="1"/>
  <c r="D80" i="19"/>
  <c r="D81" i="19"/>
  <c r="D78" i="19"/>
  <c r="C79" i="19"/>
  <c r="C80" i="19"/>
  <c r="C81" i="19"/>
  <c r="C78" i="19"/>
  <c r="D76" i="19" l="1"/>
  <c r="D77" i="19"/>
  <c r="D75" i="19"/>
  <c r="C76" i="19"/>
  <c r="C77" i="19"/>
  <c r="C75" i="19"/>
  <c r="D73" i="19" l="1"/>
  <c r="D74" i="19"/>
  <c r="D72" i="19"/>
  <c r="C73" i="19"/>
  <c r="C74" i="19"/>
  <c r="C72" i="19"/>
  <c r="D71" i="19" l="1"/>
  <c r="D70" i="19"/>
  <c r="C71" i="19"/>
  <c r="C70" i="19"/>
  <c r="D67" i="19" l="1"/>
  <c r="D68" i="19"/>
  <c r="D69" i="19"/>
  <c r="D66" i="19"/>
  <c r="C67" i="19"/>
  <c r="C68" i="19"/>
  <c r="C69" i="19"/>
  <c r="C66" i="19"/>
  <c r="D62" i="19" l="1"/>
  <c r="D63" i="19"/>
  <c r="D64" i="19"/>
  <c r="D65" i="19"/>
  <c r="D61" i="19"/>
  <c r="C62" i="19"/>
  <c r="C63" i="19"/>
  <c r="C64" i="19"/>
  <c r="C65" i="19"/>
  <c r="C61" i="19"/>
  <c r="D55" i="19" l="1"/>
  <c r="D56" i="19"/>
  <c r="D57" i="19"/>
  <c r="D58" i="19"/>
  <c r="D59" i="19"/>
  <c r="D60" i="19"/>
  <c r="D54" i="19"/>
  <c r="C55" i="19"/>
  <c r="C56" i="19"/>
  <c r="C57" i="19"/>
  <c r="C58" i="19"/>
  <c r="C59" i="19"/>
  <c r="C60" i="19"/>
  <c r="C54" i="19"/>
  <c r="D50" i="19" l="1"/>
  <c r="D51" i="19"/>
  <c r="D52" i="19"/>
  <c r="D53" i="19"/>
  <c r="D49" i="19"/>
  <c r="C50" i="19"/>
  <c r="C51" i="19"/>
  <c r="C52" i="19"/>
  <c r="C53" i="19"/>
  <c r="C49" i="19"/>
  <c r="D39" i="19" l="1"/>
  <c r="D40" i="19"/>
  <c r="D41" i="19"/>
  <c r="D42" i="19"/>
  <c r="D43" i="19"/>
  <c r="D38" i="19"/>
  <c r="C39" i="19"/>
  <c r="C40" i="19"/>
  <c r="C41" i="19"/>
  <c r="C42" i="19"/>
  <c r="C43" i="19"/>
  <c r="C38" i="19"/>
  <c r="D29" i="19" l="1"/>
  <c r="D30" i="19"/>
  <c r="D31" i="19"/>
  <c r="D32" i="19"/>
  <c r="D33" i="19"/>
  <c r="D34" i="19"/>
  <c r="D35" i="19"/>
  <c r="D36" i="19"/>
  <c r="D37" i="19"/>
  <c r="C29" i="19"/>
  <c r="C30" i="19"/>
  <c r="C31" i="19"/>
  <c r="C32" i="19"/>
  <c r="C33" i="19"/>
  <c r="C34" i="19"/>
  <c r="C35" i="19"/>
  <c r="C36" i="19"/>
  <c r="C37" i="19"/>
  <c r="C28" i="19"/>
  <c r="D28" i="19"/>
  <c r="BI215" i="19" l="1" a="1"/>
  <c r="BI215" i="19" s="1"/>
  <c r="BC215" i="19" a="1"/>
  <c r="BC215" i="19" s="1"/>
  <c r="AZ215" i="19" a="1"/>
  <c r="AZ215" i="19" s="1"/>
  <c r="AW215" i="19" a="1"/>
  <c r="AW215" i="19" s="1"/>
  <c r="AT215" i="19" a="1"/>
  <c r="AT215" i="19" s="1"/>
  <c r="AQ215" i="19" a="1"/>
  <c r="AQ215" i="19" s="1"/>
  <c r="AO215" i="19" a="1"/>
  <c r="AO215" i="19" s="1"/>
  <c r="AN215" i="19" a="1"/>
  <c r="AN215" i="19" s="1"/>
  <c r="AM215" i="19" a="1"/>
  <c r="AM215" i="19" s="1"/>
  <c r="AJ215" i="19" a="1"/>
  <c r="AJ215" i="19" s="1"/>
  <c r="AG215" i="19" a="1"/>
  <c r="AG215" i="19" s="1"/>
  <c r="AD215" i="19" a="1"/>
  <c r="AD215" i="19" s="1"/>
  <c r="B216" i="19"/>
  <c r="E216" i="19"/>
  <c r="F216" i="19"/>
  <c r="BW216" i="19" s="1"/>
  <c r="G216" i="19"/>
  <c r="H216" i="19" s="1"/>
  <c r="B217" i="19"/>
  <c r="E217" i="19"/>
  <c r="F217" i="19"/>
  <c r="BW217" i="19" s="1"/>
  <c r="G217" i="19"/>
  <c r="H217" i="19" s="1"/>
  <c r="B218" i="19"/>
  <c r="E218" i="19"/>
  <c r="F218" i="19"/>
  <c r="BW218" i="19" s="1"/>
  <c r="G218" i="19"/>
  <c r="H218" i="19" s="1"/>
  <c r="B219" i="19"/>
  <c r="E219" i="19"/>
  <c r="F219" i="19"/>
  <c r="BW219" i="19" s="1"/>
  <c r="G219" i="19"/>
  <c r="H219" i="19" s="1"/>
  <c r="I215" i="19" a="1"/>
  <c r="I215" i="19" s="1"/>
  <c r="J215" i="19" a="1"/>
  <c r="G215" i="19"/>
  <c r="H215" i="19" s="1"/>
  <c r="F215" i="19"/>
  <c r="BW215" i="19" s="1"/>
  <c r="E215" i="19"/>
  <c r="B215" i="19"/>
  <c r="BM216" i="19" l="1"/>
  <c r="BN216" i="19" s="1"/>
  <c r="BM218" i="19"/>
  <c r="BN218" i="19" s="1"/>
  <c r="BM217" i="19"/>
  <c r="BN217" i="19" s="1"/>
  <c r="BM219" i="19"/>
  <c r="BN219" i="19" s="1"/>
  <c r="J215" i="19"/>
  <c r="BG216" i="19"/>
  <c r="BH216" i="19" s="1"/>
  <c r="BG219" i="19"/>
  <c r="BH219" i="19" s="1"/>
  <c r="BG217" i="19"/>
  <c r="BH217" i="19" s="1"/>
  <c r="BG218" i="19"/>
  <c r="BH218" i="19" s="1"/>
  <c r="BS218" i="19"/>
  <c r="BU218" i="19"/>
  <c r="BU216" i="19"/>
  <c r="BS216" i="19"/>
  <c r="BU215" i="19"/>
  <c r="BS215" i="19"/>
  <c r="BU219" i="19"/>
  <c r="BS219" i="19"/>
  <c r="BU217" i="19"/>
  <c r="BS217" i="19"/>
  <c r="BI212" i="19" a="1"/>
  <c r="BI212" i="19" s="1"/>
  <c r="BC212" i="19" a="1"/>
  <c r="BC212" i="19" s="1"/>
  <c r="AZ212" i="19" a="1"/>
  <c r="AZ212" i="19" s="1"/>
  <c r="AW212" i="19" a="1"/>
  <c r="AW212" i="19" s="1"/>
  <c r="AT212" i="19" a="1"/>
  <c r="AT212" i="19" s="1"/>
  <c r="AQ212" i="19" a="1"/>
  <c r="AQ212" i="19" s="1"/>
  <c r="AO212" i="19" a="1"/>
  <c r="AO212" i="19" s="1"/>
  <c r="AN212" i="19" a="1"/>
  <c r="AN212" i="19" s="1"/>
  <c r="AM212" i="19" a="1"/>
  <c r="AM212" i="19" s="1"/>
  <c r="AJ212" i="19" a="1"/>
  <c r="AJ212" i="19" s="1"/>
  <c r="AG212" i="19" a="1"/>
  <c r="AG212" i="19" s="1"/>
  <c r="AD212" i="19" a="1"/>
  <c r="AD212" i="19" s="1"/>
  <c r="B213" i="19"/>
  <c r="E213" i="19"/>
  <c r="F213" i="19"/>
  <c r="BW213" i="19" s="1"/>
  <c r="G213" i="19"/>
  <c r="H213" i="19" s="1"/>
  <c r="B214" i="19"/>
  <c r="E214" i="19"/>
  <c r="F214" i="19"/>
  <c r="BW214" i="19" s="1"/>
  <c r="G214" i="19"/>
  <c r="H214" i="19" s="1"/>
  <c r="I212" i="19" a="1"/>
  <c r="I212" i="19" s="1"/>
  <c r="J212" i="19" a="1"/>
  <c r="G212" i="19"/>
  <c r="H212" i="19" s="1"/>
  <c r="F212" i="19"/>
  <c r="BW212" i="19" s="1"/>
  <c r="E212" i="19"/>
  <c r="B212" i="19"/>
  <c r="BG215" i="19" l="1"/>
  <c r="BH215" i="19" s="1"/>
  <c r="BM215" i="19"/>
  <c r="BN215" i="19" s="1"/>
  <c r="BM213" i="19"/>
  <c r="BN213" i="19" s="1"/>
  <c r="BM214" i="19"/>
  <c r="BN214" i="19" s="1"/>
  <c r="J212" i="19"/>
  <c r="BG213" i="19"/>
  <c r="BH213" i="19" s="1"/>
  <c r="BG214" i="19"/>
  <c r="BH214" i="19" s="1"/>
  <c r="BU213" i="19"/>
  <c r="BS213" i="19"/>
  <c r="BU214" i="19"/>
  <c r="BS214" i="19"/>
  <c r="BU212" i="19"/>
  <c r="BS212" i="19"/>
  <c r="BI209" i="19" a="1"/>
  <c r="BI209" i="19" s="1"/>
  <c r="BC209" i="19" a="1"/>
  <c r="BC209" i="19" s="1"/>
  <c r="AZ209" i="19" a="1"/>
  <c r="AZ209" i="19" s="1"/>
  <c r="AW209" i="19" a="1"/>
  <c r="AW209" i="19" s="1"/>
  <c r="AT209" i="19" a="1"/>
  <c r="AT209" i="19" s="1"/>
  <c r="AQ209" i="19" a="1"/>
  <c r="AQ209" i="19" s="1"/>
  <c r="AO209" i="19" a="1"/>
  <c r="AO209" i="19" s="1"/>
  <c r="AN209" i="19" a="1"/>
  <c r="AN209" i="19" s="1"/>
  <c r="AM209" i="19" a="1"/>
  <c r="AM209" i="19" s="1"/>
  <c r="AJ209" i="19" a="1"/>
  <c r="AJ209" i="19" s="1"/>
  <c r="AG209" i="19" a="1"/>
  <c r="AG209" i="19" s="1"/>
  <c r="AD209" i="19" a="1"/>
  <c r="AD209" i="19" s="1"/>
  <c r="B210" i="19"/>
  <c r="E210" i="19"/>
  <c r="F210" i="19"/>
  <c r="BW210" i="19" s="1"/>
  <c r="G210" i="19"/>
  <c r="H210" i="19" s="1"/>
  <c r="B211" i="19"/>
  <c r="E211" i="19"/>
  <c r="F211" i="19"/>
  <c r="BW211" i="19" s="1"/>
  <c r="G211" i="19"/>
  <c r="H211" i="19" s="1"/>
  <c r="I209" i="19" a="1"/>
  <c r="I209" i="19" s="1"/>
  <c r="J209" i="19" a="1"/>
  <c r="G209" i="19"/>
  <c r="H209" i="19" s="1"/>
  <c r="F209" i="19"/>
  <c r="BW209" i="19" s="1"/>
  <c r="E209" i="19"/>
  <c r="B209" i="19"/>
  <c r="BG212" i="19" l="1"/>
  <c r="BH212" i="19" s="1"/>
  <c r="BM212" i="19"/>
  <c r="BN212" i="19" s="1"/>
  <c r="BM210" i="19"/>
  <c r="BN210" i="19" s="1"/>
  <c r="BM211" i="19"/>
  <c r="BN211" i="19" s="1"/>
  <c r="J209" i="19"/>
  <c r="BG210" i="19"/>
  <c r="BH210" i="19" s="1"/>
  <c r="BG211" i="19"/>
  <c r="BH211" i="19" s="1"/>
  <c r="BU209" i="19"/>
  <c r="BS209" i="19"/>
  <c r="BS211" i="19"/>
  <c r="BU211" i="19"/>
  <c r="BS210" i="19"/>
  <c r="BU210" i="19"/>
  <c r="BI202" i="19" a="1"/>
  <c r="BI202" i="19" s="1"/>
  <c r="BC202" i="19" a="1"/>
  <c r="BC202" i="19" s="1"/>
  <c r="AZ202" i="19" a="1"/>
  <c r="AZ202" i="19" s="1"/>
  <c r="AW202" i="19" a="1"/>
  <c r="AW202" i="19" s="1"/>
  <c r="AT202" i="19" a="1"/>
  <c r="AT202" i="19" s="1"/>
  <c r="AQ202" i="19" a="1"/>
  <c r="AQ202" i="19" s="1"/>
  <c r="AO202" i="19" a="1"/>
  <c r="AO202" i="19" s="1"/>
  <c r="AN202" i="19" a="1"/>
  <c r="AN202" i="19" s="1"/>
  <c r="AM202" i="19" a="1"/>
  <c r="AM202" i="19" s="1"/>
  <c r="AJ202" i="19" a="1"/>
  <c r="AJ202" i="19" s="1"/>
  <c r="AG202" i="19" a="1"/>
  <c r="AG202" i="19" s="1"/>
  <c r="AD202" i="19" a="1"/>
  <c r="AD202" i="19" s="1"/>
  <c r="G203" i="19"/>
  <c r="H203" i="19" s="1"/>
  <c r="G204" i="19"/>
  <c r="H204" i="19" s="1"/>
  <c r="G205" i="19"/>
  <c r="H205" i="19" s="1"/>
  <c r="G206" i="19"/>
  <c r="H206" i="19" s="1"/>
  <c r="G207" i="19"/>
  <c r="H207" i="19" s="1"/>
  <c r="G208" i="19"/>
  <c r="H208" i="19" s="1"/>
  <c r="F203" i="19"/>
  <c r="BW203" i="19" s="1"/>
  <c r="F204" i="19"/>
  <c r="BW204" i="19" s="1"/>
  <c r="F205" i="19"/>
  <c r="BW205" i="19" s="1"/>
  <c r="F206" i="19"/>
  <c r="BW206" i="19" s="1"/>
  <c r="F207" i="19"/>
  <c r="BW207" i="19" s="1"/>
  <c r="F208" i="19"/>
  <c r="BW208" i="19" s="1"/>
  <c r="E203" i="19"/>
  <c r="E204" i="19"/>
  <c r="E205" i="19"/>
  <c r="E206" i="19"/>
  <c r="E207" i="19"/>
  <c r="E208" i="19"/>
  <c r="B203" i="19"/>
  <c r="B204" i="19"/>
  <c r="B205" i="19"/>
  <c r="B206" i="19"/>
  <c r="B207" i="19"/>
  <c r="B208" i="19"/>
  <c r="I202" i="19" a="1"/>
  <c r="I202" i="19" s="1"/>
  <c r="J202" i="19" a="1"/>
  <c r="G202" i="19"/>
  <c r="H202" i="19" s="1"/>
  <c r="F202" i="19"/>
  <c r="BW202" i="19" s="1"/>
  <c r="E202" i="19"/>
  <c r="B202" i="19"/>
  <c r="BG209" i="19" l="1"/>
  <c r="BH209" i="19" s="1"/>
  <c r="BM209" i="19"/>
  <c r="BN209" i="19" s="1"/>
  <c r="BM203" i="19"/>
  <c r="BN203" i="19" s="1"/>
  <c r="BM208" i="19"/>
  <c r="BN208" i="19" s="1"/>
  <c r="BM204" i="19"/>
  <c r="BN204" i="19" s="1"/>
  <c r="BM206" i="19"/>
  <c r="BN206" i="19" s="1"/>
  <c r="BM205" i="19"/>
  <c r="BN205" i="19" s="1"/>
  <c r="BM207" i="19"/>
  <c r="BN207" i="19" s="1"/>
  <c r="J202" i="19"/>
  <c r="BG203" i="19"/>
  <c r="BH203" i="19" s="1"/>
  <c r="BG207" i="19"/>
  <c r="BH207" i="19" s="1"/>
  <c r="BG204" i="19"/>
  <c r="BH204" i="19" s="1"/>
  <c r="BG205" i="19"/>
  <c r="BH205" i="19" s="1"/>
  <c r="BG206" i="19"/>
  <c r="BH206" i="19" s="1"/>
  <c r="BG208" i="19"/>
  <c r="BH208" i="19" s="1"/>
  <c r="BU204" i="19"/>
  <c r="BS204" i="19"/>
  <c r="BS202" i="19"/>
  <c r="BU202" i="19"/>
  <c r="BS203" i="19"/>
  <c r="BU203" i="19"/>
  <c r="BU206" i="19"/>
  <c r="BS206" i="19"/>
  <c r="BS205" i="19"/>
  <c r="BU205" i="19"/>
  <c r="BU208" i="19"/>
  <c r="BS208" i="19"/>
  <c r="BU207" i="19"/>
  <c r="BS207" i="19"/>
  <c r="AE204" i="19"/>
  <c r="AF204" i="19" s="1"/>
  <c r="AH204" i="19"/>
  <c r="AI204" i="19" s="1"/>
  <c r="AK204" i="19"/>
  <c r="AL204" i="19" s="1"/>
  <c r="AP204" i="19"/>
  <c r="AR204" i="19"/>
  <c r="AS204" i="19" s="1"/>
  <c r="AU204" i="19"/>
  <c r="AV204" i="19" s="1"/>
  <c r="AX204" i="19"/>
  <c r="AY204" i="19" s="1"/>
  <c r="BA204" i="19"/>
  <c r="BB204" i="19" s="1"/>
  <c r="BD204" i="19"/>
  <c r="BE204" i="19" s="1"/>
  <c r="BJ204" i="19"/>
  <c r="BK204" i="19" s="1"/>
  <c r="AE205" i="19"/>
  <c r="AF205" i="19" s="1"/>
  <c r="AH205" i="19"/>
  <c r="AI205" i="19" s="1"/>
  <c r="AK205" i="19"/>
  <c r="AL205" i="19" s="1"/>
  <c r="AP205" i="19"/>
  <c r="AR205" i="19"/>
  <c r="AS205" i="19" s="1"/>
  <c r="AU205" i="19"/>
  <c r="AV205" i="19" s="1"/>
  <c r="AX205" i="19"/>
  <c r="AY205" i="19" s="1"/>
  <c r="BA205" i="19"/>
  <c r="BB205" i="19" s="1"/>
  <c r="BD205" i="19"/>
  <c r="BE205" i="19" s="1"/>
  <c r="BJ205" i="19"/>
  <c r="BK205" i="19" s="1"/>
  <c r="AE206" i="19"/>
  <c r="AF206" i="19" s="1"/>
  <c r="AH206" i="19"/>
  <c r="AI206" i="19" s="1"/>
  <c r="AK206" i="19"/>
  <c r="AL206" i="19" s="1"/>
  <c r="AP206" i="19"/>
  <c r="AR206" i="19"/>
  <c r="AS206" i="19" s="1"/>
  <c r="AU206" i="19"/>
  <c r="AV206" i="19" s="1"/>
  <c r="AX206" i="19"/>
  <c r="AY206" i="19" s="1"/>
  <c r="BA206" i="19"/>
  <c r="BB206" i="19" s="1"/>
  <c r="BD206" i="19"/>
  <c r="BE206" i="19" s="1"/>
  <c r="BJ206" i="19"/>
  <c r="BK206" i="19" s="1"/>
  <c r="AE207" i="19"/>
  <c r="AF207" i="19" s="1"/>
  <c r="AH207" i="19"/>
  <c r="AI207" i="19" s="1"/>
  <c r="AK207" i="19"/>
  <c r="AL207" i="19" s="1"/>
  <c r="AP207" i="19"/>
  <c r="AR207" i="19"/>
  <c r="AS207" i="19" s="1"/>
  <c r="AU207" i="19"/>
  <c r="AV207" i="19" s="1"/>
  <c r="AX207" i="19"/>
  <c r="AY207" i="19" s="1"/>
  <c r="BA207" i="19"/>
  <c r="BB207" i="19" s="1"/>
  <c r="BD207" i="19"/>
  <c r="BE207" i="19" s="1"/>
  <c r="BJ207" i="19"/>
  <c r="BK207" i="19" s="1"/>
  <c r="AE208" i="19"/>
  <c r="AF208" i="19" s="1"/>
  <c r="AH208" i="19"/>
  <c r="AI208" i="19" s="1"/>
  <c r="AK208" i="19"/>
  <c r="AL208" i="19" s="1"/>
  <c r="AP208" i="19"/>
  <c r="AR208" i="19"/>
  <c r="AS208" i="19" s="1"/>
  <c r="AU208" i="19"/>
  <c r="AV208" i="19" s="1"/>
  <c r="AX208" i="19"/>
  <c r="AY208" i="19" s="1"/>
  <c r="BA208" i="19"/>
  <c r="BB208" i="19" s="1"/>
  <c r="BD208" i="19"/>
  <c r="BE208" i="19" s="1"/>
  <c r="BJ208" i="19"/>
  <c r="BK208" i="19" s="1"/>
  <c r="AE209" i="19"/>
  <c r="AF209" i="19" s="1"/>
  <c r="AH209" i="19"/>
  <c r="AI209" i="19" s="1"/>
  <c r="AK209" i="19"/>
  <c r="AL209" i="19" s="1"/>
  <c r="AP209" i="19"/>
  <c r="AR209" i="19"/>
  <c r="AS209" i="19" s="1"/>
  <c r="AU209" i="19"/>
  <c r="AV209" i="19" s="1"/>
  <c r="AX209" i="19"/>
  <c r="AY209" i="19" s="1"/>
  <c r="BA209" i="19"/>
  <c r="BB209" i="19" s="1"/>
  <c r="BD209" i="19"/>
  <c r="BE209" i="19" s="1"/>
  <c r="BJ209" i="19"/>
  <c r="BK209" i="19" s="1"/>
  <c r="AE210" i="19"/>
  <c r="AF210" i="19" s="1"/>
  <c r="AH210" i="19"/>
  <c r="AI210" i="19" s="1"/>
  <c r="AK210" i="19"/>
  <c r="AL210" i="19" s="1"/>
  <c r="AP210" i="19"/>
  <c r="AR210" i="19"/>
  <c r="AS210" i="19" s="1"/>
  <c r="AU210" i="19"/>
  <c r="AV210" i="19" s="1"/>
  <c r="AX210" i="19"/>
  <c r="AY210" i="19" s="1"/>
  <c r="BA210" i="19"/>
  <c r="BB210" i="19" s="1"/>
  <c r="BD210" i="19"/>
  <c r="BE210" i="19" s="1"/>
  <c r="BJ210" i="19"/>
  <c r="BK210" i="19" s="1"/>
  <c r="AE211" i="19"/>
  <c r="AF211" i="19" s="1"/>
  <c r="AH211" i="19"/>
  <c r="AI211" i="19" s="1"/>
  <c r="AK211" i="19"/>
  <c r="AL211" i="19" s="1"/>
  <c r="AP211" i="19"/>
  <c r="AR211" i="19"/>
  <c r="AS211" i="19" s="1"/>
  <c r="AU211" i="19"/>
  <c r="AV211" i="19" s="1"/>
  <c r="AX211" i="19"/>
  <c r="AY211" i="19" s="1"/>
  <c r="BA211" i="19"/>
  <c r="BB211" i="19" s="1"/>
  <c r="BD211" i="19"/>
  <c r="BE211" i="19" s="1"/>
  <c r="BJ211" i="19"/>
  <c r="BK211" i="19" s="1"/>
  <c r="AE212" i="19"/>
  <c r="AF212" i="19" s="1"/>
  <c r="AH212" i="19"/>
  <c r="AI212" i="19" s="1"/>
  <c r="AK212" i="19"/>
  <c r="AL212" i="19" s="1"/>
  <c r="AP212" i="19"/>
  <c r="AR212" i="19"/>
  <c r="AS212" i="19" s="1"/>
  <c r="AU212" i="19"/>
  <c r="AV212" i="19" s="1"/>
  <c r="AX212" i="19"/>
  <c r="AY212" i="19" s="1"/>
  <c r="BA212" i="19"/>
  <c r="BB212" i="19" s="1"/>
  <c r="BD212" i="19"/>
  <c r="BE212" i="19" s="1"/>
  <c r="BJ212" i="19"/>
  <c r="BK212" i="19" s="1"/>
  <c r="AE213" i="19"/>
  <c r="AF213" i="19" s="1"/>
  <c r="AH213" i="19"/>
  <c r="AI213" i="19" s="1"/>
  <c r="AK213" i="19"/>
  <c r="AL213" i="19" s="1"/>
  <c r="AP213" i="19"/>
  <c r="AR213" i="19"/>
  <c r="AS213" i="19" s="1"/>
  <c r="AU213" i="19"/>
  <c r="AV213" i="19" s="1"/>
  <c r="AX213" i="19"/>
  <c r="AY213" i="19" s="1"/>
  <c r="BA213" i="19"/>
  <c r="BB213" i="19" s="1"/>
  <c r="BD213" i="19"/>
  <c r="BE213" i="19" s="1"/>
  <c r="BJ213" i="19"/>
  <c r="BK213" i="19" s="1"/>
  <c r="AE214" i="19"/>
  <c r="AF214" i="19" s="1"/>
  <c r="AH214" i="19"/>
  <c r="AI214" i="19" s="1"/>
  <c r="AK214" i="19"/>
  <c r="AL214" i="19" s="1"/>
  <c r="AP214" i="19"/>
  <c r="AR214" i="19"/>
  <c r="AS214" i="19" s="1"/>
  <c r="AU214" i="19"/>
  <c r="AV214" i="19" s="1"/>
  <c r="AX214" i="19"/>
  <c r="AY214" i="19" s="1"/>
  <c r="BA214" i="19"/>
  <c r="BB214" i="19" s="1"/>
  <c r="BD214" i="19"/>
  <c r="BE214" i="19" s="1"/>
  <c r="BJ214" i="19"/>
  <c r="BK214" i="19" s="1"/>
  <c r="AE215" i="19"/>
  <c r="AF215" i="19" s="1"/>
  <c r="AH215" i="19"/>
  <c r="AI215" i="19" s="1"/>
  <c r="AK215" i="19"/>
  <c r="AL215" i="19" s="1"/>
  <c r="AP215" i="19"/>
  <c r="AR215" i="19"/>
  <c r="AS215" i="19" s="1"/>
  <c r="AU215" i="19"/>
  <c r="AV215" i="19" s="1"/>
  <c r="AX215" i="19"/>
  <c r="AY215" i="19" s="1"/>
  <c r="BA215" i="19"/>
  <c r="BB215" i="19" s="1"/>
  <c r="BD215" i="19"/>
  <c r="BE215" i="19" s="1"/>
  <c r="BJ215" i="19"/>
  <c r="BK215" i="19" s="1"/>
  <c r="AE216" i="19"/>
  <c r="AF216" i="19" s="1"/>
  <c r="AH216" i="19"/>
  <c r="AI216" i="19" s="1"/>
  <c r="AK216" i="19"/>
  <c r="AL216" i="19" s="1"/>
  <c r="AP216" i="19"/>
  <c r="AR216" i="19"/>
  <c r="AS216" i="19" s="1"/>
  <c r="AU216" i="19"/>
  <c r="AV216" i="19" s="1"/>
  <c r="AX216" i="19"/>
  <c r="AY216" i="19" s="1"/>
  <c r="BA216" i="19"/>
  <c r="BB216" i="19" s="1"/>
  <c r="BD216" i="19"/>
  <c r="BE216" i="19" s="1"/>
  <c r="BJ216" i="19"/>
  <c r="BK216" i="19" s="1"/>
  <c r="AE217" i="19"/>
  <c r="AF217" i="19" s="1"/>
  <c r="AH217" i="19"/>
  <c r="AI217" i="19" s="1"/>
  <c r="AK217" i="19"/>
  <c r="AL217" i="19" s="1"/>
  <c r="AP217" i="19"/>
  <c r="AR217" i="19"/>
  <c r="AS217" i="19" s="1"/>
  <c r="AU217" i="19"/>
  <c r="AV217" i="19" s="1"/>
  <c r="AX217" i="19"/>
  <c r="AY217" i="19" s="1"/>
  <c r="BA217" i="19"/>
  <c r="BB217" i="19" s="1"/>
  <c r="BD217" i="19"/>
  <c r="BE217" i="19" s="1"/>
  <c r="BJ217" i="19"/>
  <c r="BK217" i="19" s="1"/>
  <c r="AE218" i="19"/>
  <c r="AF218" i="19" s="1"/>
  <c r="AH218" i="19"/>
  <c r="AI218" i="19" s="1"/>
  <c r="AK218" i="19"/>
  <c r="AL218" i="19" s="1"/>
  <c r="AP218" i="19"/>
  <c r="AR218" i="19"/>
  <c r="AS218" i="19" s="1"/>
  <c r="AU218" i="19"/>
  <c r="AV218" i="19" s="1"/>
  <c r="AX218" i="19"/>
  <c r="AY218" i="19" s="1"/>
  <c r="BA218" i="19"/>
  <c r="BB218" i="19" s="1"/>
  <c r="BD218" i="19"/>
  <c r="BE218" i="19" s="1"/>
  <c r="BJ218" i="19"/>
  <c r="BK218" i="19" s="1"/>
  <c r="AE219" i="19"/>
  <c r="AF219" i="19" s="1"/>
  <c r="AH219" i="19"/>
  <c r="AI219" i="19" s="1"/>
  <c r="AK219" i="19"/>
  <c r="AL219" i="19" s="1"/>
  <c r="AP219" i="19"/>
  <c r="AR219" i="19"/>
  <c r="AS219" i="19" s="1"/>
  <c r="AU219" i="19"/>
  <c r="AV219" i="19" s="1"/>
  <c r="AX219" i="19"/>
  <c r="AY219" i="19" s="1"/>
  <c r="BA219" i="19"/>
  <c r="BB219" i="19" s="1"/>
  <c r="BD219" i="19"/>
  <c r="BE219" i="19" s="1"/>
  <c r="BJ219" i="19"/>
  <c r="BK219" i="19" s="1"/>
  <c r="BI194" i="19" a="1"/>
  <c r="BI194" i="19" s="1"/>
  <c r="BC194" i="19" a="1"/>
  <c r="BC194" i="19" s="1"/>
  <c r="AZ194" i="19" a="1"/>
  <c r="AZ194" i="19" s="1"/>
  <c r="AW194" i="19" a="1"/>
  <c r="AW194" i="19" s="1"/>
  <c r="AT194" i="19" a="1"/>
  <c r="AT194" i="19" s="1"/>
  <c r="AQ194" i="19" a="1"/>
  <c r="AQ194" i="19" s="1"/>
  <c r="AO194" i="19" a="1"/>
  <c r="AO194" i="19" s="1"/>
  <c r="AN194" i="19" a="1"/>
  <c r="AN194" i="19" s="1"/>
  <c r="AM194" i="19" a="1"/>
  <c r="AM194" i="19" s="1"/>
  <c r="AJ194" i="19" a="1"/>
  <c r="AJ194" i="19" s="1"/>
  <c r="AG194" i="19" a="1"/>
  <c r="AG194" i="19" s="1"/>
  <c r="AD194" i="19" a="1"/>
  <c r="AD194" i="19" s="1"/>
  <c r="G195" i="19"/>
  <c r="H195" i="19" s="1"/>
  <c r="G196" i="19"/>
  <c r="H196" i="19" s="1"/>
  <c r="G197" i="19"/>
  <c r="H197" i="19" s="1"/>
  <c r="G198" i="19"/>
  <c r="H198" i="19" s="1"/>
  <c r="G199" i="19"/>
  <c r="H199" i="19" s="1"/>
  <c r="G200" i="19"/>
  <c r="H200" i="19" s="1"/>
  <c r="G201" i="19"/>
  <c r="H201" i="19" s="1"/>
  <c r="F195" i="19"/>
  <c r="BW195" i="19" s="1"/>
  <c r="F196" i="19"/>
  <c r="BW196" i="19" s="1"/>
  <c r="F197" i="19"/>
  <c r="BW197" i="19" s="1"/>
  <c r="F198" i="19"/>
  <c r="BW198" i="19" s="1"/>
  <c r="F199" i="19"/>
  <c r="BW199" i="19" s="1"/>
  <c r="F200" i="19"/>
  <c r="BW200" i="19" s="1"/>
  <c r="F201" i="19"/>
  <c r="BW201" i="19" s="1"/>
  <c r="E195" i="19"/>
  <c r="E196" i="19"/>
  <c r="E197" i="19"/>
  <c r="E198" i="19"/>
  <c r="E199" i="19"/>
  <c r="E200" i="19"/>
  <c r="E201" i="19"/>
  <c r="B195" i="19"/>
  <c r="B196" i="19"/>
  <c r="B197" i="19"/>
  <c r="B198" i="19"/>
  <c r="B199" i="19"/>
  <c r="B200" i="19"/>
  <c r="B201" i="19"/>
  <c r="I194" i="19" a="1"/>
  <c r="I194" i="19" s="1"/>
  <c r="J194" i="19" a="1"/>
  <c r="G194" i="19"/>
  <c r="H194" i="19" s="1"/>
  <c r="F194" i="19"/>
  <c r="BW194" i="19" s="1"/>
  <c r="E194" i="19"/>
  <c r="B194" i="19"/>
  <c r="BG202" i="19" l="1"/>
  <c r="BH202" i="19" s="1"/>
  <c r="BM202" i="19"/>
  <c r="BN202" i="19" s="1"/>
  <c r="BM195" i="19"/>
  <c r="BN195" i="19" s="1"/>
  <c r="BM200" i="19"/>
  <c r="BN200" i="19" s="1"/>
  <c r="BM196" i="19"/>
  <c r="BN196" i="19" s="1"/>
  <c r="BM201" i="19"/>
  <c r="BN201" i="19" s="1"/>
  <c r="BM197" i="19"/>
  <c r="BN197" i="19" s="1"/>
  <c r="BM198" i="19"/>
  <c r="BN198" i="19" s="1"/>
  <c r="BM199" i="19"/>
  <c r="BN199" i="19" s="1"/>
  <c r="J194" i="19"/>
  <c r="BG195" i="19"/>
  <c r="BH195" i="19" s="1"/>
  <c r="BG201" i="19"/>
  <c r="BH201" i="19" s="1"/>
  <c r="BG196" i="19"/>
  <c r="BH196" i="19" s="1"/>
  <c r="BG200" i="19"/>
  <c r="BH200" i="19" s="1"/>
  <c r="BG197" i="19"/>
  <c r="BH197" i="19" s="1"/>
  <c r="BG198" i="19"/>
  <c r="BH198" i="19" s="1"/>
  <c r="BG199" i="19"/>
  <c r="BH199" i="19" s="1"/>
  <c r="BU196" i="19"/>
  <c r="BS196" i="19"/>
  <c r="BU201" i="19"/>
  <c r="BS201" i="19"/>
  <c r="BU195" i="19"/>
  <c r="BS195" i="19"/>
  <c r="BU200" i="19"/>
  <c r="BS200" i="19"/>
  <c r="BU197" i="19"/>
  <c r="BS197" i="19"/>
  <c r="BU194" i="19"/>
  <c r="BS194" i="19"/>
  <c r="BU199" i="19"/>
  <c r="BS199" i="19"/>
  <c r="BU198" i="19"/>
  <c r="BS198" i="19"/>
  <c r="BI186" i="19" a="1"/>
  <c r="BI186" i="19" s="1"/>
  <c r="BC186" i="19" a="1"/>
  <c r="BC186" i="19" s="1"/>
  <c r="AZ186" i="19" a="1"/>
  <c r="AZ186" i="19" s="1"/>
  <c r="AW186" i="19" a="1"/>
  <c r="AW186" i="19" s="1"/>
  <c r="AT186" i="19" a="1"/>
  <c r="AT186" i="19" s="1"/>
  <c r="AQ186" i="19" a="1"/>
  <c r="AQ186" i="19" s="1"/>
  <c r="AO186" i="19" a="1"/>
  <c r="AO186" i="19" s="1"/>
  <c r="AN186" i="19" a="1"/>
  <c r="AN186" i="19" s="1"/>
  <c r="AM186" i="19" a="1"/>
  <c r="AM186" i="19" s="1"/>
  <c r="AJ186" i="19" a="1"/>
  <c r="AJ186" i="19" s="1"/>
  <c r="AG186" i="19" a="1"/>
  <c r="AG186" i="19" s="1"/>
  <c r="AD186" i="19" a="1"/>
  <c r="AD186" i="19" s="1"/>
  <c r="G187" i="19"/>
  <c r="H187" i="19" s="1"/>
  <c r="G188" i="19"/>
  <c r="H188" i="19" s="1"/>
  <c r="G189" i="19"/>
  <c r="H189" i="19" s="1"/>
  <c r="G190" i="19"/>
  <c r="H190" i="19" s="1"/>
  <c r="G191" i="19"/>
  <c r="H191" i="19" s="1"/>
  <c r="G192" i="19"/>
  <c r="H192" i="19" s="1"/>
  <c r="G193" i="19"/>
  <c r="H193" i="19" s="1"/>
  <c r="F187" i="19"/>
  <c r="BW187" i="19" s="1"/>
  <c r="F188" i="19"/>
  <c r="BW188" i="19" s="1"/>
  <c r="F189" i="19"/>
  <c r="BW189" i="19" s="1"/>
  <c r="F190" i="19"/>
  <c r="BW190" i="19" s="1"/>
  <c r="F191" i="19"/>
  <c r="BW191" i="19" s="1"/>
  <c r="F192" i="19"/>
  <c r="BW192" i="19" s="1"/>
  <c r="F193" i="19"/>
  <c r="BW193" i="19" s="1"/>
  <c r="E187" i="19"/>
  <c r="E188" i="19"/>
  <c r="E189" i="19"/>
  <c r="E190" i="19"/>
  <c r="E191" i="19"/>
  <c r="E192" i="19"/>
  <c r="E193" i="19"/>
  <c r="B187" i="19"/>
  <c r="B188" i="19"/>
  <c r="B189" i="19"/>
  <c r="B190" i="19"/>
  <c r="B191" i="19"/>
  <c r="B192" i="19"/>
  <c r="B193" i="19"/>
  <c r="I186" i="19" a="1"/>
  <c r="I186" i="19" s="1"/>
  <c r="J186" i="19" a="1"/>
  <c r="G186" i="19"/>
  <c r="H186" i="19" s="1"/>
  <c r="F186" i="19"/>
  <c r="BW186" i="19" s="1"/>
  <c r="E186" i="19"/>
  <c r="B186" i="19"/>
  <c r="BG194" i="19" l="1"/>
  <c r="BH194" i="19" s="1"/>
  <c r="BM194" i="19"/>
  <c r="BN194" i="19" s="1"/>
  <c r="BM187" i="19"/>
  <c r="BN187" i="19" s="1"/>
  <c r="BM192" i="19"/>
  <c r="BN192" i="19" s="1"/>
  <c r="BM188" i="19"/>
  <c r="BN188" i="19" s="1"/>
  <c r="BM193" i="19"/>
  <c r="BN193" i="19" s="1"/>
  <c r="BM189" i="19"/>
  <c r="BN189" i="19" s="1"/>
  <c r="BM190" i="19"/>
  <c r="BN190" i="19" s="1"/>
  <c r="BM191" i="19"/>
  <c r="BN191" i="19" s="1"/>
  <c r="J186" i="19"/>
  <c r="BG189" i="19"/>
  <c r="BH189" i="19" s="1"/>
  <c r="BG187" i="19"/>
  <c r="BH187" i="19" s="1"/>
  <c r="BG193" i="19"/>
  <c r="BH193" i="19" s="1"/>
  <c r="BG188" i="19"/>
  <c r="BH188" i="19" s="1"/>
  <c r="BG191" i="19"/>
  <c r="BH191" i="19" s="1"/>
  <c r="BG192" i="19"/>
  <c r="BH192" i="19" s="1"/>
  <c r="BG190" i="19"/>
  <c r="BH190" i="19" s="1"/>
  <c r="BU188" i="19"/>
  <c r="BS188" i="19"/>
  <c r="BU192" i="19"/>
  <c r="BS192" i="19"/>
  <c r="BU193" i="19"/>
  <c r="BS193" i="19"/>
  <c r="BS190" i="19"/>
  <c r="BU190" i="19"/>
  <c r="BS186" i="19"/>
  <c r="BU186" i="19"/>
  <c r="BU191" i="19"/>
  <c r="BS191" i="19"/>
  <c r="BS189" i="19"/>
  <c r="BU189" i="19"/>
  <c r="BS187" i="19"/>
  <c r="BU187" i="19"/>
  <c r="BI179" i="19" a="1"/>
  <c r="BI179" i="19" s="1"/>
  <c r="BC179" i="19" a="1"/>
  <c r="BC179" i="19" s="1"/>
  <c r="AZ179" i="19" a="1"/>
  <c r="AZ179" i="19" s="1"/>
  <c r="AW179" i="19" a="1"/>
  <c r="AW179" i="19" s="1"/>
  <c r="AT179" i="19" a="1"/>
  <c r="AT179" i="19" s="1"/>
  <c r="AQ179" i="19" a="1"/>
  <c r="AQ179" i="19" s="1"/>
  <c r="AO179" i="19" a="1"/>
  <c r="AO179" i="19" s="1"/>
  <c r="AN179" i="19" a="1"/>
  <c r="AN179" i="19" s="1"/>
  <c r="AM179" i="19" a="1"/>
  <c r="AM179" i="19" s="1"/>
  <c r="AJ179" i="19" a="1"/>
  <c r="AJ179" i="19" s="1"/>
  <c r="AG179" i="19" a="1"/>
  <c r="AG179" i="19" s="1"/>
  <c r="AD179" i="19" a="1"/>
  <c r="AD179" i="19" s="1"/>
  <c r="G180" i="19"/>
  <c r="H180" i="19" s="1"/>
  <c r="G181" i="19"/>
  <c r="H181" i="19" s="1"/>
  <c r="G182" i="19"/>
  <c r="H182" i="19" s="1"/>
  <c r="G183" i="19"/>
  <c r="H183" i="19" s="1"/>
  <c r="G184" i="19"/>
  <c r="H184" i="19" s="1"/>
  <c r="G185" i="19"/>
  <c r="H185" i="19" s="1"/>
  <c r="F180" i="19"/>
  <c r="BW180" i="19" s="1"/>
  <c r="F181" i="19"/>
  <c r="BW181" i="19" s="1"/>
  <c r="F182" i="19"/>
  <c r="BW182" i="19" s="1"/>
  <c r="F183" i="19"/>
  <c r="BW183" i="19" s="1"/>
  <c r="F184" i="19"/>
  <c r="BW184" i="19" s="1"/>
  <c r="F185" i="19"/>
  <c r="BW185" i="19" s="1"/>
  <c r="E180" i="19"/>
  <c r="E181" i="19"/>
  <c r="E182" i="19"/>
  <c r="E183" i="19"/>
  <c r="E184" i="19"/>
  <c r="E185" i="19"/>
  <c r="B180" i="19"/>
  <c r="B181" i="19"/>
  <c r="B182" i="19"/>
  <c r="B183" i="19"/>
  <c r="B184" i="19"/>
  <c r="B185" i="19"/>
  <c r="I179" i="19" a="1"/>
  <c r="I179" i="19" s="1"/>
  <c r="J179" i="19" a="1"/>
  <c r="G179" i="19"/>
  <c r="H179" i="19" s="1"/>
  <c r="F179" i="19"/>
  <c r="BW179" i="19" s="1"/>
  <c r="E179" i="19"/>
  <c r="B179" i="19"/>
  <c r="BG186" i="19" l="1"/>
  <c r="BH186" i="19" s="1"/>
  <c r="BM186" i="19"/>
  <c r="BN186" i="19" s="1"/>
  <c r="BM181" i="19"/>
  <c r="BN181" i="19" s="1"/>
  <c r="BM182" i="19"/>
  <c r="BN182" i="19" s="1"/>
  <c r="BM180" i="19"/>
  <c r="BN180" i="19" s="1"/>
  <c r="BM185" i="19"/>
  <c r="BN185" i="19" s="1"/>
  <c r="BM183" i="19"/>
  <c r="BN183" i="19" s="1"/>
  <c r="BM184" i="19"/>
  <c r="BN184" i="19" s="1"/>
  <c r="J179" i="19"/>
  <c r="BG185" i="19"/>
  <c r="BH185" i="19" s="1"/>
  <c r="BG180" i="19"/>
  <c r="BH180" i="19" s="1"/>
  <c r="BG181" i="19"/>
  <c r="BH181" i="19" s="1"/>
  <c r="BG182" i="19"/>
  <c r="BH182" i="19" s="1"/>
  <c r="BG183" i="19"/>
  <c r="BH183" i="19" s="1"/>
  <c r="BG184" i="19"/>
  <c r="BH184" i="19" s="1"/>
  <c r="BU181" i="19"/>
  <c r="BS181" i="19"/>
  <c r="BU180" i="19"/>
  <c r="BS180" i="19"/>
  <c r="BU185" i="19"/>
  <c r="BS185" i="19"/>
  <c r="BU184" i="19"/>
  <c r="BS184" i="19"/>
  <c r="BS179" i="19"/>
  <c r="BU179" i="19"/>
  <c r="BU183" i="19"/>
  <c r="BS183" i="19"/>
  <c r="BU182" i="19"/>
  <c r="BS182" i="19"/>
  <c r="BI173" i="19" a="1"/>
  <c r="BI173" i="19" s="1"/>
  <c r="BC173" i="19" a="1"/>
  <c r="BC173" i="19" s="1"/>
  <c r="AZ173" i="19" a="1"/>
  <c r="AZ173" i="19" s="1"/>
  <c r="AW173" i="19" a="1"/>
  <c r="AW173" i="19" s="1"/>
  <c r="AT173" i="19" a="1"/>
  <c r="AT173" i="19" s="1"/>
  <c r="AQ173" i="19" a="1"/>
  <c r="AQ173" i="19" s="1"/>
  <c r="AO173" i="19" a="1"/>
  <c r="AO173" i="19" s="1"/>
  <c r="AN173" i="19" a="1"/>
  <c r="AN173" i="19" s="1"/>
  <c r="AM173" i="19" a="1"/>
  <c r="AM173" i="19" s="1"/>
  <c r="AJ173" i="19" a="1"/>
  <c r="AJ173" i="19" s="1"/>
  <c r="AG173" i="19" a="1"/>
  <c r="AG173" i="19" s="1"/>
  <c r="AD173" i="19" a="1"/>
  <c r="AD173" i="19" s="1"/>
  <c r="G174" i="19"/>
  <c r="H174" i="19" s="1"/>
  <c r="G175" i="19"/>
  <c r="H175" i="19" s="1"/>
  <c r="G176" i="19"/>
  <c r="H176" i="19" s="1"/>
  <c r="G177" i="19"/>
  <c r="H177" i="19" s="1"/>
  <c r="G178" i="19"/>
  <c r="H178" i="19" s="1"/>
  <c r="F174" i="19"/>
  <c r="BW174" i="19" s="1"/>
  <c r="F175" i="19"/>
  <c r="BW175" i="19" s="1"/>
  <c r="F176" i="19"/>
  <c r="BW176" i="19" s="1"/>
  <c r="F177" i="19"/>
  <c r="BW177" i="19" s="1"/>
  <c r="F178" i="19"/>
  <c r="BW178" i="19" s="1"/>
  <c r="E174" i="19"/>
  <c r="E175" i="19"/>
  <c r="E176" i="19"/>
  <c r="E177" i="19"/>
  <c r="E178" i="19"/>
  <c r="B174" i="19"/>
  <c r="B175" i="19"/>
  <c r="B176" i="19"/>
  <c r="B177" i="19"/>
  <c r="B178" i="19"/>
  <c r="I173" i="19" a="1"/>
  <c r="I173" i="19" s="1"/>
  <c r="J173" i="19" a="1"/>
  <c r="G173" i="19"/>
  <c r="H173" i="19" s="1"/>
  <c r="F173" i="19"/>
  <c r="BW173" i="19" s="1"/>
  <c r="E173" i="19"/>
  <c r="B173" i="19"/>
  <c r="AE182" i="19"/>
  <c r="AF182" i="19" s="1"/>
  <c r="AH182" i="19"/>
  <c r="AI182" i="19" s="1"/>
  <c r="AK182" i="19"/>
  <c r="AL182" i="19" s="1"/>
  <c r="AP182" i="19"/>
  <c r="AR182" i="19"/>
  <c r="AS182" i="19" s="1"/>
  <c r="AU182" i="19"/>
  <c r="AV182" i="19" s="1"/>
  <c r="AX182" i="19"/>
  <c r="AY182" i="19" s="1"/>
  <c r="BA182" i="19"/>
  <c r="BB182" i="19" s="1"/>
  <c r="BD182" i="19"/>
  <c r="BE182" i="19" s="1"/>
  <c r="BJ182" i="19"/>
  <c r="BK182" i="19" s="1"/>
  <c r="AE183" i="19"/>
  <c r="AF183" i="19" s="1"/>
  <c r="AH183" i="19"/>
  <c r="AI183" i="19" s="1"/>
  <c r="AK183" i="19"/>
  <c r="AL183" i="19" s="1"/>
  <c r="AP183" i="19"/>
  <c r="AR183" i="19"/>
  <c r="AS183" i="19" s="1"/>
  <c r="AU183" i="19"/>
  <c r="AV183" i="19" s="1"/>
  <c r="AX183" i="19"/>
  <c r="AY183" i="19" s="1"/>
  <c r="BA183" i="19"/>
  <c r="BB183" i="19" s="1"/>
  <c r="BD183" i="19"/>
  <c r="BE183" i="19" s="1"/>
  <c r="BJ183" i="19"/>
  <c r="BK183" i="19" s="1"/>
  <c r="AE184" i="19"/>
  <c r="AF184" i="19" s="1"/>
  <c r="AH184" i="19"/>
  <c r="AI184" i="19" s="1"/>
  <c r="AK184" i="19"/>
  <c r="AL184" i="19" s="1"/>
  <c r="AP184" i="19"/>
  <c r="AR184" i="19"/>
  <c r="AS184" i="19" s="1"/>
  <c r="AU184" i="19"/>
  <c r="AV184" i="19" s="1"/>
  <c r="AX184" i="19"/>
  <c r="AY184" i="19" s="1"/>
  <c r="BA184" i="19"/>
  <c r="BB184" i="19" s="1"/>
  <c r="BD184" i="19"/>
  <c r="BE184" i="19" s="1"/>
  <c r="BJ184" i="19"/>
  <c r="BK184" i="19" s="1"/>
  <c r="AE185" i="19"/>
  <c r="AF185" i="19" s="1"/>
  <c r="AH185" i="19"/>
  <c r="AI185" i="19" s="1"/>
  <c r="AK185" i="19"/>
  <c r="AL185" i="19" s="1"/>
  <c r="AP185" i="19"/>
  <c r="AR185" i="19"/>
  <c r="AS185" i="19" s="1"/>
  <c r="AU185" i="19"/>
  <c r="AV185" i="19" s="1"/>
  <c r="AX185" i="19"/>
  <c r="AY185" i="19" s="1"/>
  <c r="BA185" i="19"/>
  <c r="BB185" i="19" s="1"/>
  <c r="BD185" i="19"/>
  <c r="BE185" i="19" s="1"/>
  <c r="BJ185" i="19"/>
  <c r="BK185" i="19" s="1"/>
  <c r="AE186" i="19"/>
  <c r="AF186" i="19" s="1"/>
  <c r="AH186" i="19"/>
  <c r="AI186" i="19" s="1"/>
  <c r="AK186" i="19"/>
  <c r="AL186" i="19" s="1"/>
  <c r="AP186" i="19"/>
  <c r="AR186" i="19"/>
  <c r="AS186" i="19" s="1"/>
  <c r="AU186" i="19"/>
  <c r="AV186" i="19" s="1"/>
  <c r="AX186" i="19"/>
  <c r="AY186" i="19" s="1"/>
  <c r="BA186" i="19"/>
  <c r="BB186" i="19" s="1"/>
  <c r="BD186" i="19"/>
  <c r="BE186" i="19" s="1"/>
  <c r="BJ186" i="19"/>
  <c r="BK186" i="19" s="1"/>
  <c r="AE187" i="19"/>
  <c r="AF187" i="19" s="1"/>
  <c r="AH187" i="19"/>
  <c r="AI187" i="19" s="1"/>
  <c r="AK187" i="19"/>
  <c r="AL187" i="19" s="1"/>
  <c r="AP187" i="19"/>
  <c r="AR187" i="19"/>
  <c r="AS187" i="19" s="1"/>
  <c r="AU187" i="19"/>
  <c r="AV187" i="19" s="1"/>
  <c r="AX187" i="19"/>
  <c r="AY187" i="19" s="1"/>
  <c r="BA187" i="19"/>
  <c r="BB187" i="19" s="1"/>
  <c r="BD187" i="19"/>
  <c r="BE187" i="19" s="1"/>
  <c r="BJ187" i="19"/>
  <c r="BK187" i="19" s="1"/>
  <c r="AE188" i="19"/>
  <c r="AF188" i="19" s="1"/>
  <c r="AH188" i="19"/>
  <c r="AI188" i="19" s="1"/>
  <c r="AK188" i="19"/>
  <c r="AL188" i="19" s="1"/>
  <c r="AP188" i="19"/>
  <c r="AR188" i="19"/>
  <c r="AS188" i="19" s="1"/>
  <c r="AU188" i="19"/>
  <c r="AV188" i="19" s="1"/>
  <c r="AX188" i="19"/>
  <c r="AY188" i="19" s="1"/>
  <c r="BA188" i="19"/>
  <c r="BB188" i="19" s="1"/>
  <c r="BD188" i="19"/>
  <c r="BE188" i="19" s="1"/>
  <c r="BJ188" i="19"/>
  <c r="BK188" i="19" s="1"/>
  <c r="AE189" i="19"/>
  <c r="AF189" i="19" s="1"/>
  <c r="AH189" i="19"/>
  <c r="AI189" i="19" s="1"/>
  <c r="AK189" i="19"/>
  <c r="AL189" i="19" s="1"/>
  <c r="AP189" i="19"/>
  <c r="AR189" i="19"/>
  <c r="AS189" i="19" s="1"/>
  <c r="AU189" i="19"/>
  <c r="AV189" i="19" s="1"/>
  <c r="AX189" i="19"/>
  <c r="AY189" i="19" s="1"/>
  <c r="BA189" i="19"/>
  <c r="BB189" i="19" s="1"/>
  <c r="BD189" i="19"/>
  <c r="BE189" i="19" s="1"/>
  <c r="BJ189" i="19"/>
  <c r="BK189" i="19" s="1"/>
  <c r="AE190" i="19"/>
  <c r="AF190" i="19" s="1"/>
  <c r="AH190" i="19"/>
  <c r="AI190" i="19" s="1"/>
  <c r="AK190" i="19"/>
  <c r="AL190" i="19" s="1"/>
  <c r="AP190" i="19"/>
  <c r="AR190" i="19"/>
  <c r="AS190" i="19" s="1"/>
  <c r="AU190" i="19"/>
  <c r="AV190" i="19" s="1"/>
  <c r="AX190" i="19"/>
  <c r="AY190" i="19" s="1"/>
  <c r="BA190" i="19"/>
  <c r="BB190" i="19" s="1"/>
  <c r="BD190" i="19"/>
  <c r="BE190" i="19" s="1"/>
  <c r="BJ190" i="19"/>
  <c r="BK190" i="19" s="1"/>
  <c r="AE191" i="19"/>
  <c r="AF191" i="19" s="1"/>
  <c r="AH191" i="19"/>
  <c r="AI191" i="19" s="1"/>
  <c r="AK191" i="19"/>
  <c r="AL191" i="19" s="1"/>
  <c r="AP191" i="19"/>
  <c r="AR191" i="19"/>
  <c r="AS191" i="19" s="1"/>
  <c r="AU191" i="19"/>
  <c r="AV191" i="19" s="1"/>
  <c r="AX191" i="19"/>
  <c r="AY191" i="19" s="1"/>
  <c r="BA191" i="19"/>
  <c r="BB191" i="19" s="1"/>
  <c r="BD191" i="19"/>
  <c r="BE191" i="19" s="1"/>
  <c r="BJ191" i="19"/>
  <c r="BK191" i="19" s="1"/>
  <c r="AE192" i="19"/>
  <c r="AF192" i="19" s="1"/>
  <c r="AH192" i="19"/>
  <c r="AI192" i="19" s="1"/>
  <c r="AK192" i="19"/>
  <c r="AL192" i="19" s="1"/>
  <c r="AP192" i="19"/>
  <c r="AR192" i="19"/>
  <c r="AS192" i="19" s="1"/>
  <c r="AU192" i="19"/>
  <c r="AV192" i="19" s="1"/>
  <c r="AX192" i="19"/>
  <c r="AY192" i="19" s="1"/>
  <c r="BA192" i="19"/>
  <c r="BB192" i="19" s="1"/>
  <c r="BD192" i="19"/>
  <c r="BE192" i="19" s="1"/>
  <c r="BJ192" i="19"/>
  <c r="BK192" i="19" s="1"/>
  <c r="AE193" i="19"/>
  <c r="AF193" i="19" s="1"/>
  <c r="AH193" i="19"/>
  <c r="AI193" i="19" s="1"/>
  <c r="AK193" i="19"/>
  <c r="AL193" i="19" s="1"/>
  <c r="AP193" i="19"/>
  <c r="AR193" i="19"/>
  <c r="AS193" i="19" s="1"/>
  <c r="AU193" i="19"/>
  <c r="AV193" i="19" s="1"/>
  <c r="AX193" i="19"/>
  <c r="AY193" i="19" s="1"/>
  <c r="BA193" i="19"/>
  <c r="BB193" i="19" s="1"/>
  <c r="BD193" i="19"/>
  <c r="BE193" i="19" s="1"/>
  <c r="BJ193" i="19"/>
  <c r="BK193" i="19" s="1"/>
  <c r="AE194" i="19"/>
  <c r="AF194" i="19" s="1"/>
  <c r="AH194" i="19"/>
  <c r="AI194" i="19" s="1"/>
  <c r="AK194" i="19"/>
  <c r="AL194" i="19" s="1"/>
  <c r="AP194" i="19"/>
  <c r="AR194" i="19"/>
  <c r="AS194" i="19" s="1"/>
  <c r="AU194" i="19"/>
  <c r="AV194" i="19" s="1"/>
  <c r="AX194" i="19"/>
  <c r="AY194" i="19" s="1"/>
  <c r="BA194" i="19"/>
  <c r="BB194" i="19" s="1"/>
  <c r="BD194" i="19"/>
  <c r="BE194" i="19" s="1"/>
  <c r="BJ194" i="19"/>
  <c r="BK194" i="19" s="1"/>
  <c r="AE195" i="19"/>
  <c r="AF195" i="19" s="1"/>
  <c r="AH195" i="19"/>
  <c r="AI195" i="19" s="1"/>
  <c r="AK195" i="19"/>
  <c r="AL195" i="19" s="1"/>
  <c r="AP195" i="19"/>
  <c r="AR195" i="19"/>
  <c r="AS195" i="19" s="1"/>
  <c r="AU195" i="19"/>
  <c r="AV195" i="19" s="1"/>
  <c r="AX195" i="19"/>
  <c r="AY195" i="19" s="1"/>
  <c r="BA195" i="19"/>
  <c r="BB195" i="19" s="1"/>
  <c r="BD195" i="19"/>
  <c r="BE195" i="19" s="1"/>
  <c r="BJ195" i="19"/>
  <c r="BK195" i="19" s="1"/>
  <c r="AE196" i="19"/>
  <c r="AF196" i="19" s="1"/>
  <c r="AH196" i="19"/>
  <c r="AI196" i="19" s="1"/>
  <c r="AK196" i="19"/>
  <c r="AL196" i="19" s="1"/>
  <c r="AP196" i="19"/>
  <c r="AR196" i="19"/>
  <c r="AS196" i="19" s="1"/>
  <c r="AU196" i="19"/>
  <c r="AV196" i="19" s="1"/>
  <c r="AX196" i="19"/>
  <c r="AY196" i="19" s="1"/>
  <c r="BA196" i="19"/>
  <c r="BB196" i="19" s="1"/>
  <c r="BD196" i="19"/>
  <c r="BE196" i="19" s="1"/>
  <c r="BJ196" i="19"/>
  <c r="BK196" i="19" s="1"/>
  <c r="AE197" i="19"/>
  <c r="AF197" i="19" s="1"/>
  <c r="AH197" i="19"/>
  <c r="AI197" i="19" s="1"/>
  <c r="AK197" i="19"/>
  <c r="AL197" i="19" s="1"/>
  <c r="AP197" i="19"/>
  <c r="AR197" i="19"/>
  <c r="AS197" i="19" s="1"/>
  <c r="AU197" i="19"/>
  <c r="AV197" i="19" s="1"/>
  <c r="AX197" i="19"/>
  <c r="AY197" i="19" s="1"/>
  <c r="BA197" i="19"/>
  <c r="BB197" i="19" s="1"/>
  <c r="BD197" i="19"/>
  <c r="BE197" i="19" s="1"/>
  <c r="BJ197" i="19"/>
  <c r="BK197" i="19" s="1"/>
  <c r="AE198" i="19"/>
  <c r="AF198" i="19" s="1"/>
  <c r="AH198" i="19"/>
  <c r="AI198" i="19" s="1"/>
  <c r="AK198" i="19"/>
  <c r="AL198" i="19" s="1"/>
  <c r="AP198" i="19"/>
  <c r="AR198" i="19"/>
  <c r="AS198" i="19" s="1"/>
  <c r="AU198" i="19"/>
  <c r="AV198" i="19" s="1"/>
  <c r="AX198" i="19"/>
  <c r="AY198" i="19" s="1"/>
  <c r="BA198" i="19"/>
  <c r="BB198" i="19" s="1"/>
  <c r="BD198" i="19"/>
  <c r="BE198" i="19" s="1"/>
  <c r="BJ198" i="19"/>
  <c r="BK198" i="19" s="1"/>
  <c r="AE199" i="19"/>
  <c r="AF199" i="19" s="1"/>
  <c r="AH199" i="19"/>
  <c r="AI199" i="19" s="1"/>
  <c r="AK199" i="19"/>
  <c r="AL199" i="19" s="1"/>
  <c r="AP199" i="19"/>
  <c r="AR199" i="19"/>
  <c r="AS199" i="19" s="1"/>
  <c r="AU199" i="19"/>
  <c r="AV199" i="19" s="1"/>
  <c r="AX199" i="19"/>
  <c r="AY199" i="19" s="1"/>
  <c r="BA199" i="19"/>
  <c r="BB199" i="19" s="1"/>
  <c r="BD199" i="19"/>
  <c r="BE199" i="19" s="1"/>
  <c r="BJ199" i="19"/>
  <c r="BK199" i="19" s="1"/>
  <c r="AE200" i="19"/>
  <c r="AF200" i="19" s="1"/>
  <c r="AH200" i="19"/>
  <c r="AI200" i="19" s="1"/>
  <c r="AK200" i="19"/>
  <c r="AL200" i="19" s="1"/>
  <c r="AP200" i="19"/>
  <c r="AR200" i="19"/>
  <c r="AS200" i="19" s="1"/>
  <c r="AU200" i="19"/>
  <c r="AV200" i="19" s="1"/>
  <c r="AX200" i="19"/>
  <c r="AY200" i="19" s="1"/>
  <c r="BA200" i="19"/>
  <c r="BB200" i="19" s="1"/>
  <c r="BD200" i="19"/>
  <c r="BE200" i="19" s="1"/>
  <c r="BJ200" i="19"/>
  <c r="BK200" i="19" s="1"/>
  <c r="AE201" i="19"/>
  <c r="AF201" i="19" s="1"/>
  <c r="AH201" i="19"/>
  <c r="AI201" i="19" s="1"/>
  <c r="AK201" i="19"/>
  <c r="AL201" i="19" s="1"/>
  <c r="AP201" i="19"/>
  <c r="AR201" i="19"/>
  <c r="AS201" i="19" s="1"/>
  <c r="AU201" i="19"/>
  <c r="AV201" i="19" s="1"/>
  <c r="AX201" i="19"/>
  <c r="AY201" i="19" s="1"/>
  <c r="BA201" i="19"/>
  <c r="BB201" i="19" s="1"/>
  <c r="BD201" i="19"/>
  <c r="BE201" i="19" s="1"/>
  <c r="BJ201" i="19"/>
  <c r="BK201" i="19" s="1"/>
  <c r="AE202" i="19"/>
  <c r="AF202" i="19" s="1"/>
  <c r="AH202" i="19"/>
  <c r="AI202" i="19" s="1"/>
  <c r="AK202" i="19"/>
  <c r="AL202" i="19" s="1"/>
  <c r="AP202" i="19"/>
  <c r="AR202" i="19"/>
  <c r="AS202" i="19" s="1"/>
  <c r="AU202" i="19"/>
  <c r="AV202" i="19" s="1"/>
  <c r="AX202" i="19"/>
  <c r="AY202" i="19" s="1"/>
  <c r="BA202" i="19"/>
  <c r="BB202" i="19" s="1"/>
  <c r="BD202" i="19"/>
  <c r="BE202" i="19" s="1"/>
  <c r="BJ202" i="19"/>
  <c r="BK202" i="19" s="1"/>
  <c r="AE203" i="19"/>
  <c r="AF203" i="19" s="1"/>
  <c r="AH203" i="19"/>
  <c r="AI203" i="19" s="1"/>
  <c r="AK203" i="19"/>
  <c r="AL203" i="19" s="1"/>
  <c r="AP203" i="19"/>
  <c r="AR203" i="19"/>
  <c r="AS203" i="19" s="1"/>
  <c r="AU203" i="19"/>
  <c r="AV203" i="19" s="1"/>
  <c r="AX203" i="19"/>
  <c r="AY203" i="19" s="1"/>
  <c r="BA203" i="19"/>
  <c r="BB203" i="19" s="1"/>
  <c r="BD203" i="19"/>
  <c r="BE203" i="19" s="1"/>
  <c r="BJ203" i="19"/>
  <c r="BK203" i="19" s="1"/>
  <c r="BG179" i="19" l="1"/>
  <c r="BH179" i="19" s="1"/>
  <c r="BM179" i="19"/>
  <c r="BN179" i="19" s="1"/>
  <c r="BM174" i="19"/>
  <c r="BN174" i="19" s="1"/>
  <c r="BM175" i="19"/>
  <c r="BN175" i="19" s="1"/>
  <c r="BM177" i="19"/>
  <c r="BN177" i="19" s="1"/>
  <c r="BM178" i="19"/>
  <c r="BN178" i="19" s="1"/>
  <c r="BM176" i="19"/>
  <c r="BN176" i="19" s="1"/>
  <c r="J173" i="19"/>
  <c r="BG174" i="19"/>
  <c r="BH174" i="19" s="1"/>
  <c r="BG175" i="19"/>
  <c r="BH175" i="19" s="1"/>
  <c r="BG176" i="19"/>
  <c r="BH176" i="19" s="1"/>
  <c r="BG177" i="19"/>
  <c r="BH177" i="19" s="1"/>
  <c r="BG178" i="19"/>
  <c r="BH178" i="19" s="1"/>
  <c r="BS178" i="19"/>
  <c r="BU178" i="19"/>
  <c r="BU177" i="19"/>
  <c r="BS177" i="19"/>
  <c r="BU173" i="19"/>
  <c r="BS173" i="19"/>
  <c r="BU176" i="19"/>
  <c r="BS176" i="19"/>
  <c r="BU175" i="19"/>
  <c r="BS175" i="19"/>
  <c r="BU174" i="19"/>
  <c r="BS174" i="19"/>
  <c r="BI165" i="19" a="1"/>
  <c r="BI165" i="19" s="1"/>
  <c r="BC165" i="19" a="1"/>
  <c r="BC165" i="19" s="1"/>
  <c r="AZ165" i="19" a="1"/>
  <c r="AZ165" i="19" s="1"/>
  <c r="AW165" i="19" a="1"/>
  <c r="AW165" i="19" s="1"/>
  <c r="AT165" i="19" a="1"/>
  <c r="AT165" i="19" s="1"/>
  <c r="AQ165" i="19" a="1"/>
  <c r="AQ165" i="19" s="1"/>
  <c r="AO165" i="19" a="1"/>
  <c r="AO165" i="19" s="1"/>
  <c r="AN165" i="19" a="1"/>
  <c r="AN165" i="19" s="1"/>
  <c r="AM165" i="19" a="1"/>
  <c r="AM165" i="19" s="1"/>
  <c r="AJ165" i="19" a="1"/>
  <c r="AJ165" i="19" s="1"/>
  <c r="AG165" i="19" a="1"/>
  <c r="AG165" i="19" s="1"/>
  <c r="AD165" i="19" a="1"/>
  <c r="AD165" i="19" s="1"/>
  <c r="G166" i="19"/>
  <c r="H166" i="19" s="1"/>
  <c r="G167" i="19"/>
  <c r="H167" i="19" s="1"/>
  <c r="G168" i="19"/>
  <c r="H168" i="19" s="1"/>
  <c r="G169" i="19"/>
  <c r="H169" i="19" s="1"/>
  <c r="G170" i="19"/>
  <c r="H170" i="19" s="1"/>
  <c r="G171" i="19"/>
  <c r="H171" i="19" s="1"/>
  <c r="G172" i="19"/>
  <c r="H172" i="19" s="1"/>
  <c r="F166" i="19"/>
  <c r="BW166" i="19" s="1"/>
  <c r="F167" i="19"/>
  <c r="BW167" i="19" s="1"/>
  <c r="F168" i="19"/>
  <c r="BW168" i="19" s="1"/>
  <c r="F169" i="19"/>
  <c r="BW169" i="19" s="1"/>
  <c r="F170" i="19"/>
  <c r="BW170" i="19" s="1"/>
  <c r="F171" i="19"/>
  <c r="BW171" i="19" s="1"/>
  <c r="F172" i="19"/>
  <c r="BW172" i="19" s="1"/>
  <c r="E166" i="19"/>
  <c r="E167" i="19"/>
  <c r="E168" i="19"/>
  <c r="E169" i="19"/>
  <c r="E170" i="19"/>
  <c r="E171" i="19"/>
  <c r="E172" i="19"/>
  <c r="B166" i="19"/>
  <c r="B167" i="19"/>
  <c r="B168" i="19"/>
  <c r="B169" i="19"/>
  <c r="B170" i="19"/>
  <c r="B171" i="19"/>
  <c r="B172" i="19"/>
  <c r="I165" i="19" a="1"/>
  <c r="I165" i="19" s="1"/>
  <c r="J165" i="19" a="1"/>
  <c r="G165" i="19"/>
  <c r="H165" i="19" s="1"/>
  <c r="F165" i="19"/>
  <c r="BW165" i="19" s="1"/>
  <c r="E165" i="19"/>
  <c r="B165" i="19"/>
  <c r="BG173" i="19" l="1"/>
  <c r="BH173" i="19" s="1"/>
  <c r="BM173" i="19"/>
  <c r="BN173" i="19" s="1"/>
  <c r="BM166" i="19"/>
  <c r="BN166" i="19" s="1"/>
  <c r="BM171" i="19"/>
  <c r="BN171" i="19" s="1"/>
  <c r="BM168" i="19"/>
  <c r="BN168" i="19" s="1"/>
  <c r="BM167" i="19"/>
  <c r="BN167" i="19" s="1"/>
  <c r="BM172" i="19"/>
  <c r="BN172" i="19" s="1"/>
  <c r="BM169" i="19"/>
  <c r="BN169" i="19" s="1"/>
  <c r="BM170" i="19"/>
  <c r="BN170" i="19" s="1"/>
  <c r="J165" i="19"/>
  <c r="AK165" i="19" s="1"/>
  <c r="AL165" i="19" s="1"/>
  <c r="BG171" i="19"/>
  <c r="BH171" i="19" s="1"/>
  <c r="BG172" i="19"/>
  <c r="BH172" i="19" s="1"/>
  <c r="BG166" i="19"/>
  <c r="BH166" i="19" s="1"/>
  <c r="BG168" i="19"/>
  <c r="BH168" i="19" s="1"/>
  <c r="BG167" i="19"/>
  <c r="BH167" i="19" s="1"/>
  <c r="BG170" i="19"/>
  <c r="BH170" i="19" s="1"/>
  <c r="BG169" i="19"/>
  <c r="BH169" i="19" s="1"/>
  <c r="BU168" i="19"/>
  <c r="BS168" i="19"/>
  <c r="BU167" i="19"/>
  <c r="BS167" i="19"/>
  <c r="BS166" i="19"/>
  <c r="BU166" i="19"/>
  <c r="BU169" i="19"/>
  <c r="BS169" i="19"/>
  <c r="BU172" i="19"/>
  <c r="BS172" i="19"/>
  <c r="BU171" i="19"/>
  <c r="BS171" i="19"/>
  <c r="BS165" i="19"/>
  <c r="BU165" i="19"/>
  <c r="BU170" i="19"/>
  <c r="BS170" i="19"/>
  <c r="BI158" i="19" a="1"/>
  <c r="BI158" i="19" s="1"/>
  <c r="BC158" i="19" a="1"/>
  <c r="BC158" i="19" s="1"/>
  <c r="AZ158" i="19" a="1"/>
  <c r="AZ158" i="19" s="1"/>
  <c r="AW158" i="19" a="1"/>
  <c r="AW158" i="19" s="1"/>
  <c r="AT158" i="19" a="1"/>
  <c r="AT158" i="19" s="1"/>
  <c r="AQ158" i="19" a="1"/>
  <c r="AQ158" i="19" s="1"/>
  <c r="AO158" i="19" a="1"/>
  <c r="AO158" i="19" s="1"/>
  <c r="AP158" i="19" s="1"/>
  <c r="AN158" i="19" a="1"/>
  <c r="AN158" i="19" s="1"/>
  <c r="AM158" i="19" a="1"/>
  <c r="AM158" i="19" s="1"/>
  <c r="AJ158" i="19" a="1"/>
  <c r="AJ158" i="19" s="1"/>
  <c r="AG158" i="19" a="1"/>
  <c r="AG158" i="19" s="1"/>
  <c r="AD158" i="19" a="1"/>
  <c r="AD158" i="19" s="1"/>
  <c r="BJ166" i="19"/>
  <c r="BK166" i="19" s="1"/>
  <c r="BJ167" i="19"/>
  <c r="BK167" i="19" s="1"/>
  <c r="BJ168" i="19"/>
  <c r="BK168" i="19" s="1"/>
  <c r="BJ169" i="19"/>
  <c r="BK169" i="19" s="1"/>
  <c r="BJ170" i="19"/>
  <c r="BK170" i="19" s="1"/>
  <c r="BJ171" i="19"/>
  <c r="BK171" i="19" s="1"/>
  <c r="BJ172" i="19"/>
  <c r="BK172" i="19" s="1"/>
  <c r="BJ173" i="19"/>
  <c r="BK173" i="19" s="1"/>
  <c r="BJ174" i="19"/>
  <c r="BK174" i="19" s="1"/>
  <c r="BJ175" i="19"/>
  <c r="BK175" i="19" s="1"/>
  <c r="BJ176" i="19"/>
  <c r="BK176" i="19" s="1"/>
  <c r="BJ177" i="19"/>
  <c r="BK177" i="19" s="1"/>
  <c r="BJ178" i="19"/>
  <c r="BK178" i="19" s="1"/>
  <c r="BJ179" i="19"/>
  <c r="BK179" i="19" s="1"/>
  <c r="BJ180" i="19"/>
  <c r="BK180" i="19" s="1"/>
  <c r="BJ181" i="19"/>
  <c r="BK181" i="19" s="1"/>
  <c r="BD166" i="19"/>
  <c r="BE166" i="19" s="1"/>
  <c r="BD167" i="19"/>
  <c r="BE167" i="19" s="1"/>
  <c r="BD168" i="19"/>
  <c r="BE168" i="19" s="1"/>
  <c r="BD169" i="19"/>
  <c r="BE169" i="19" s="1"/>
  <c r="BD170" i="19"/>
  <c r="BE170" i="19" s="1"/>
  <c r="BD171" i="19"/>
  <c r="BE171" i="19" s="1"/>
  <c r="BD172" i="19"/>
  <c r="BE172" i="19" s="1"/>
  <c r="BD173" i="19"/>
  <c r="BE173" i="19" s="1"/>
  <c r="BD174" i="19"/>
  <c r="BE174" i="19" s="1"/>
  <c r="BD175" i="19"/>
  <c r="BE175" i="19" s="1"/>
  <c r="BD176" i="19"/>
  <c r="BE176" i="19" s="1"/>
  <c r="BD177" i="19"/>
  <c r="BE177" i="19" s="1"/>
  <c r="BD178" i="19"/>
  <c r="BE178" i="19" s="1"/>
  <c r="BD179" i="19"/>
  <c r="BE179" i="19" s="1"/>
  <c r="BD180" i="19"/>
  <c r="BE180" i="19" s="1"/>
  <c r="BD181" i="19"/>
  <c r="BE181" i="19" s="1"/>
  <c r="BA166" i="19"/>
  <c r="BB166" i="19" s="1"/>
  <c r="BA167" i="19"/>
  <c r="BB167" i="19" s="1"/>
  <c r="BA168" i="19"/>
  <c r="BB168" i="19" s="1"/>
  <c r="BA169" i="19"/>
  <c r="BB169" i="19" s="1"/>
  <c r="BA170" i="19"/>
  <c r="BB170" i="19" s="1"/>
  <c r="BA171" i="19"/>
  <c r="BB171" i="19" s="1"/>
  <c r="BA172" i="19"/>
  <c r="BB172" i="19" s="1"/>
  <c r="BA173" i="19"/>
  <c r="BB173" i="19" s="1"/>
  <c r="BA174" i="19"/>
  <c r="BB174" i="19" s="1"/>
  <c r="BA175" i="19"/>
  <c r="BB175" i="19" s="1"/>
  <c r="BA176" i="19"/>
  <c r="BB176" i="19" s="1"/>
  <c r="BA177" i="19"/>
  <c r="BB177" i="19" s="1"/>
  <c r="BA178" i="19"/>
  <c r="BB178" i="19" s="1"/>
  <c r="BA179" i="19"/>
  <c r="BB179" i="19" s="1"/>
  <c r="BA180" i="19"/>
  <c r="BB180" i="19" s="1"/>
  <c r="BA181" i="19"/>
  <c r="BB181" i="19" s="1"/>
  <c r="AX166" i="19"/>
  <c r="AY166" i="19" s="1"/>
  <c r="AX167" i="19"/>
  <c r="AY167" i="19" s="1"/>
  <c r="AX168" i="19"/>
  <c r="AY168" i="19" s="1"/>
  <c r="AX169" i="19"/>
  <c r="AY169" i="19" s="1"/>
  <c r="AX170" i="19"/>
  <c r="AY170" i="19" s="1"/>
  <c r="AX171" i="19"/>
  <c r="AY171" i="19" s="1"/>
  <c r="AX172" i="19"/>
  <c r="AY172" i="19" s="1"/>
  <c r="AX173" i="19"/>
  <c r="AY173" i="19" s="1"/>
  <c r="AX174" i="19"/>
  <c r="AY174" i="19" s="1"/>
  <c r="AX175" i="19"/>
  <c r="AY175" i="19" s="1"/>
  <c r="AX176" i="19"/>
  <c r="AY176" i="19" s="1"/>
  <c r="AX177" i="19"/>
  <c r="AY177" i="19" s="1"/>
  <c r="AX178" i="19"/>
  <c r="AY178" i="19" s="1"/>
  <c r="AX179" i="19"/>
  <c r="AY179" i="19" s="1"/>
  <c r="AX180" i="19"/>
  <c r="AY180" i="19" s="1"/>
  <c r="AX181" i="19"/>
  <c r="AY181" i="19" s="1"/>
  <c r="AU166" i="19"/>
  <c r="AV166" i="19" s="1"/>
  <c r="AU167" i="19"/>
  <c r="AV167" i="19" s="1"/>
  <c r="AU168" i="19"/>
  <c r="AV168" i="19" s="1"/>
  <c r="AU169" i="19"/>
  <c r="AV169" i="19" s="1"/>
  <c r="AU170" i="19"/>
  <c r="AV170" i="19" s="1"/>
  <c r="AU171" i="19"/>
  <c r="AV171" i="19" s="1"/>
  <c r="AU172" i="19"/>
  <c r="AV172" i="19" s="1"/>
  <c r="AU173" i="19"/>
  <c r="AV173" i="19" s="1"/>
  <c r="AU174" i="19"/>
  <c r="AV174" i="19" s="1"/>
  <c r="AU175" i="19"/>
  <c r="AV175" i="19" s="1"/>
  <c r="AU176" i="19"/>
  <c r="AV176" i="19" s="1"/>
  <c r="AU177" i="19"/>
  <c r="AV177" i="19" s="1"/>
  <c r="AU178" i="19"/>
  <c r="AV178" i="19" s="1"/>
  <c r="AU179" i="19"/>
  <c r="AV179" i="19" s="1"/>
  <c r="AU180" i="19"/>
  <c r="AV180" i="19" s="1"/>
  <c r="AU181" i="19"/>
  <c r="AV181" i="19" s="1"/>
  <c r="AR166" i="19"/>
  <c r="AS166" i="19" s="1"/>
  <c r="AR167" i="19"/>
  <c r="AS167" i="19" s="1"/>
  <c r="AR168" i="19"/>
  <c r="AS168" i="19" s="1"/>
  <c r="AR169" i="19"/>
  <c r="AS169" i="19" s="1"/>
  <c r="AR170" i="19"/>
  <c r="AS170" i="19" s="1"/>
  <c r="AR171" i="19"/>
  <c r="AS171" i="19" s="1"/>
  <c r="AR172" i="19"/>
  <c r="AS172" i="19" s="1"/>
  <c r="AR173" i="19"/>
  <c r="AS173" i="19" s="1"/>
  <c r="AR174" i="19"/>
  <c r="AS174" i="19" s="1"/>
  <c r="AR175" i="19"/>
  <c r="AS175" i="19" s="1"/>
  <c r="AR176" i="19"/>
  <c r="AS176" i="19" s="1"/>
  <c r="AR177" i="19"/>
  <c r="AS177" i="19" s="1"/>
  <c r="AR178" i="19"/>
  <c r="AS178" i="19" s="1"/>
  <c r="AR179" i="19"/>
  <c r="AS179" i="19" s="1"/>
  <c r="AR180" i="19"/>
  <c r="AS180" i="19" s="1"/>
  <c r="AR181" i="19"/>
  <c r="AS181" i="19" s="1"/>
  <c r="AP165" i="19"/>
  <c r="AP166" i="19"/>
  <c r="AP167" i="19"/>
  <c r="AP168" i="19"/>
  <c r="AP169" i="19"/>
  <c r="AP170" i="19"/>
  <c r="AP171" i="19"/>
  <c r="AP172" i="19"/>
  <c r="AP173" i="19"/>
  <c r="AP174" i="19"/>
  <c r="AP175" i="19"/>
  <c r="AP176" i="19"/>
  <c r="AP177" i="19"/>
  <c r="AP178" i="19"/>
  <c r="AP179" i="19"/>
  <c r="AP180" i="19"/>
  <c r="AP181" i="19"/>
  <c r="AK166" i="19"/>
  <c r="AL166" i="19" s="1"/>
  <c r="AK167" i="19"/>
  <c r="AL167" i="19" s="1"/>
  <c r="AK168" i="19"/>
  <c r="AL168" i="19" s="1"/>
  <c r="AK169" i="19"/>
  <c r="AL169" i="19" s="1"/>
  <c r="AK170" i="19"/>
  <c r="AL170" i="19" s="1"/>
  <c r="AK171" i="19"/>
  <c r="AL171" i="19" s="1"/>
  <c r="AK172" i="19"/>
  <c r="AL172" i="19" s="1"/>
  <c r="AK173" i="19"/>
  <c r="AL173" i="19" s="1"/>
  <c r="AK174" i="19"/>
  <c r="AL174" i="19" s="1"/>
  <c r="AK175" i="19"/>
  <c r="AL175" i="19" s="1"/>
  <c r="AK176" i="19"/>
  <c r="AL176" i="19" s="1"/>
  <c r="AK177" i="19"/>
  <c r="AL177" i="19" s="1"/>
  <c r="AK178" i="19"/>
  <c r="AL178" i="19" s="1"/>
  <c r="AK179" i="19"/>
  <c r="AL179" i="19" s="1"/>
  <c r="AK180" i="19"/>
  <c r="AL180" i="19" s="1"/>
  <c r="AK181" i="19"/>
  <c r="AL181" i="19" s="1"/>
  <c r="AH166" i="19"/>
  <c r="AI166" i="19" s="1"/>
  <c r="AH167" i="19"/>
  <c r="AI167" i="19" s="1"/>
  <c r="AH168" i="19"/>
  <c r="AI168" i="19" s="1"/>
  <c r="AH169" i="19"/>
  <c r="AI169" i="19" s="1"/>
  <c r="AH170" i="19"/>
  <c r="AI170" i="19" s="1"/>
  <c r="AH171" i="19"/>
  <c r="AI171" i="19" s="1"/>
  <c r="AH172" i="19"/>
  <c r="AI172" i="19" s="1"/>
  <c r="AH173" i="19"/>
  <c r="AI173" i="19" s="1"/>
  <c r="AH174" i="19"/>
  <c r="AI174" i="19" s="1"/>
  <c r="AH175" i="19"/>
  <c r="AI175" i="19" s="1"/>
  <c r="AH176" i="19"/>
  <c r="AI176" i="19" s="1"/>
  <c r="AH177" i="19"/>
  <c r="AI177" i="19" s="1"/>
  <c r="AH178" i="19"/>
  <c r="AI178" i="19" s="1"/>
  <c r="AH179" i="19"/>
  <c r="AI179" i="19" s="1"/>
  <c r="AH180" i="19"/>
  <c r="AI180" i="19" s="1"/>
  <c r="AH181" i="19"/>
  <c r="AI181" i="19" s="1"/>
  <c r="AE166" i="19"/>
  <c r="AF166" i="19" s="1"/>
  <c r="AE167" i="19"/>
  <c r="AF167" i="19" s="1"/>
  <c r="AE168" i="19"/>
  <c r="AF168" i="19" s="1"/>
  <c r="AE169" i="19"/>
  <c r="AF169" i="19" s="1"/>
  <c r="AE170" i="19"/>
  <c r="AF170" i="19" s="1"/>
  <c r="AE171" i="19"/>
  <c r="AF171" i="19" s="1"/>
  <c r="AE172" i="19"/>
  <c r="AF172" i="19" s="1"/>
  <c r="AE173" i="19"/>
  <c r="AF173" i="19" s="1"/>
  <c r="AE174" i="19"/>
  <c r="AF174" i="19" s="1"/>
  <c r="AE175" i="19"/>
  <c r="AF175" i="19" s="1"/>
  <c r="AE176" i="19"/>
  <c r="AF176" i="19" s="1"/>
  <c r="AE177" i="19"/>
  <c r="AF177" i="19" s="1"/>
  <c r="AE178" i="19"/>
  <c r="AF178" i="19" s="1"/>
  <c r="AE179" i="19"/>
  <c r="AF179" i="19" s="1"/>
  <c r="AE180" i="19"/>
  <c r="AF180" i="19" s="1"/>
  <c r="AE181" i="19"/>
  <c r="AF181" i="19" s="1"/>
  <c r="J158" i="19" a="1"/>
  <c r="I158" i="19" a="1"/>
  <c r="I158" i="19" s="1"/>
  <c r="G159" i="19"/>
  <c r="H159" i="19" s="1"/>
  <c r="G160" i="19"/>
  <c r="H160" i="19" s="1"/>
  <c r="G161" i="19"/>
  <c r="H161" i="19" s="1"/>
  <c r="G162" i="19"/>
  <c r="H162" i="19" s="1"/>
  <c r="G163" i="19"/>
  <c r="H163" i="19" s="1"/>
  <c r="G164" i="19"/>
  <c r="H164" i="19" s="1"/>
  <c r="F159" i="19"/>
  <c r="BW159" i="19" s="1"/>
  <c r="F160" i="19"/>
  <c r="BW160" i="19" s="1"/>
  <c r="F161" i="19"/>
  <c r="BW161" i="19" s="1"/>
  <c r="F162" i="19"/>
  <c r="BW162" i="19" s="1"/>
  <c r="F163" i="19"/>
  <c r="BW163" i="19" s="1"/>
  <c r="F164" i="19"/>
  <c r="BW164" i="19" s="1"/>
  <c r="E159" i="19"/>
  <c r="E160" i="19"/>
  <c r="E161" i="19"/>
  <c r="E162" i="19"/>
  <c r="E163" i="19"/>
  <c r="E164" i="19"/>
  <c r="B159" i="19"/>
  <c r="B160" i="19"/>
  <c r="B161" i="19"/>
  <c r="B162" i="19"/>
  <c r="B163" i="19"/>
  <c r="B164" i="19"/>
  <c r="G158" i="19"/>
  <c r="H158" i="19" s="1"/>
  <c r="F158" i="19"/>
  <c r="BW158" i="19" s="1"/>
  <c r="E158" i="19"/>
  <c r="B158" i="19"/>
  <c r="AU165" i="19" l="1"/>
  <c r="AV165" i="19" s="1"/>
  <c r="BA165" i="19"/>
  <c r="BB165" i="19" s="1"/>
  <c r="AE165" i="19"/>
  <c r="AF165" i="19" s="1"/>
  <c r="BD165" i="19"/>
  <c r="BE165" i="19" s="1"/>
  <c r="AX165" i="19"/>
  <c r="AY165" i="19" s="1"/>
  <c r="AH165" i="19"/>
  <c r="AI165" i="19" s="1"/>
  <c r="BJ165" i="19"/>
  <c r="BK165" i="19" s="1"/>
  <c r="BG165" i="19"/>
  <c r="BH165" i="19" s="1"/>
  <c r="BM165" i="19"/>
  <c r="BN165" i="19" s="1"/>
  <c r="AR165" i="19"/>
  <c r="AS165" i="19" s="1"/>
  <c r="BM163" i="19"/>
  <c r="BN163" i="19" s="1"/>
  <c r="BM161" i="19"/>
  <c r="BN161" i="19" s="1"/>
  <c r="BM159" i="19"/>
  <c r="BN159" i="19" s="1"/>
  <c r="BM162" i="19"/>
  <c r="BN162" i="19" s="1"/>
  <c r="BM164" i="19"/>
  <c r="BN164" i="19" s="1"/>
  <c r="BM160" i="19"/>
  <c r="BN160" i="19" s="1"/>
  <c r="J158" i="19"/>
  <c r="BD158" i="19" s="1"/>
  <c r="BE158" i="19" s="1"/>
  <c r="BG159" i="19"/>
  <c r="BH159" i="19" s="1"/>
  <c r="BG160" i="19"/>
  <c r="BH160" i="19" s="1"/>
  <c r="BG161" i="19"/>
  <c r="BH161" i="19" s="1"/>
  <c r="BG162" i="19"/>
  <c r="BH162" i="19" s="1"/>
  <c r="BG163" i="19"/>
  <c r="BH163" i="19" s="1"/>
  <c r="BG164" i="19"/>
  <c r="BH164" i="19" s="1"/>
  <c r="BU164" i="19"/>
  <c r="BS164" i="19"/>
  <c r="BS162" i="19"/>
  <c r="BU162" i="19"/>
  <c r="BS163" i="19"/>
  <c r="BU163" i="19"/>
  <c r="BU161" i="19"/>
  <c r="BS161" i="19"/>
  <c r="BU159" i="19"/>
  <c r="BS159" i="19"/>
  <c r="BU158" i="19"/>
  <c r="BS158" i="19"/>
  <c r="BU160" i="19"/>
  <c r="BS160" i="19"/>
  <c r="AP163" i="19"/>
  <c r="AP159" i="19"/>
  <c r="AP164" i="19"/>
  <c r="AP162" i="19"/>
  <c r="AP161" i="19"/>
  <c r="AP160" i="19"/>
  <c r="AK159" i="19"/>
  <c r="AL159" i="19" s="1"/>
  <c r="AR162" i="19"/>
  <c r="AS162" i="19" s="1"/>
  <c r="AU159" i="19"/>
  <c r="AV159" i="19" s="1"/>
  <c r="BA162" i="19"/>
  <c r="BB162" i="19" s="1"/>
  <c r="BD163" i="19"/>
  <c r="BE163" i="19" s="1"/>
  <c r="BJ164" i="19"/>
  <c r="BK164" i="19" s="1"/>
  <c r="AE160" i="19"/>
  <c r="AF160" i="19" s="1"/>
  <c r="AH162" i="19"/>
  <c r="AI162" i="19" s="1"/>
  <c r="AK164" i="19"/>
  <c r="AL164" i="19" s="1"/>
  <c r="AX160" i="19"/>
  <c r="AY160" i="19" s="1"/>
  <c r="BD162" i="19"/>
  <c r="BE162" i="19" s="1"/>
  <c r="BJ159" i="19"/>
  <c r="BK159" i="19" s="1"/>
  <c r="AK163" i="19"/>
  <c r="AL163" i="19" s="1"/>
  <c r="AU164" i="19"/>
  <c r="AV164" i="19" s="1"/>
  <c r="AX159" i="19"/>
  <c r="AY159" i="19" s="1"/>
  <c r="BA161" i="19"/>
  <c r="BB161" i="19" s="1"/>
  <c r="BJ163" i="19"/>
  <c r="BK163" i="19" s="1"/>
  <c r="AH161" i="19"/>
  <c r="AI161" i="19" s="1"/>
  <c r="AU163" i="19"/>
  <c r="AV163" i="19" s="1"/>
  <c r="AX164" i="19"/>
  <c r="AY164" i="19" s="1"/>
  <c r="BA160" i="19"/>
  <c r="BB160" i="19" s="1"/>
  <c r="BD161" i="19"/>
  <c r="BE161" i="19" s="1"/>
  <c r="AK162" i="19"/>
  <c r="AL162" i="19" s="1"/>
  <c r="AR164" i="19"/>
  <c r="AS164" i="19" s="1"/>
  <c r="AR160" i="19"/>
  <c r="AS160" i="19" s="1"/>
  <c r="AU162" i="19"/>
  <c r="AV162" i="19" s="1"/>
  <c r="AX163" i="19"/>
  <c r="AY163" i="19" s="1"/>
  <c r="BA159" i="19"/>
  <c r="BB159" i="19" s="1"/>
  <c r="BJ162" i="19"/>
  <c r="BK162" i="19" s="1"/>
  <c r="BD159" i="19"/>
  <c r="BE159" i="19" s="1"/>
  <c r="AE161" i="19"/>
  <c r="AF161" i="19" s="1"/>
  <c r="AE159" i="19"/>
  <c r="AF159" i="19" s="1"/>
  <c r="AR161" i="19"/>
  <c r="AS161" i="19" s="1"/>
  <c r="AE164" i="19"/>
  <c r="AF164" i="19" s="1"/>
  <c r="AH160" i="19"/>
  <c r="AI160" i="19" s="1"/>
  <c r="AK161" i="19"/>
  <c r="AL161" i="19" s="1"/>
  <c r="AX162" i="19"/>
  <c r="AY162" i="19" s="1"/>
  <c r="BD160" i="19"/>
  <c r="BE160" i="19" s="1"/>
  <c r="BJ161" i="19"/>
  <c r="BK161" i="19" s="1"/>
  <c r="AE163" i="19"/>
  <c r="AF163" i="19" s="1"/>
  <c r="AH164" i="19"/>
  <c r="AI164" i="19" s="1"/>
  <c r="AH159" i="19"/>
  <c r="AI159" i="19" s="1"/>
  <c r="AR163" i="19"/>
  <c r="AS163" i="19" s="1"/>
  <c r="AR159" i="19"/>
  <c r="AS159" i="19" s="1"/>
  <c r="AU161" i="19"/>
  <c r="AV161" i="19" s="1"/>
  <c r="BA164" i="19"/>
  <c r="BB164" i="19" s="1"/>
  <c r="AE162" i="19"/>
  <c r="AF162" i="19" s="1"/>
  <c r="AH163" i="19"/>
  <c r="AI163" i="19" s="1"/>
  <c r="AK160" i="19"/>
  <c r="AL160" i="19" s="1"/>
  <c r="AU160" i="19"/>
  <c r="AV160" i="19" s="1"/>
  <c r="AX161" i="19"/>
  <c r="AY161" i="19" s="1"/>
  <c r="BA163" i="19"/>
  <c r="BB163" i="19" s="1"/>
  <c r="BD164" i="19"/>
  <c r="BE164" i="19" s="1"/>
  <c r="BJ160" i="19"/>
  <c r="BK160" i="19" s="1"/>
  <c r="J3" i="18"/>
  <c r="G3" i="18"/>
  <c r="BI155" i="19" a="1"/>
  <c r="BI155" i="19" s="1"/>
  <c r="BA158" i="19" l="1"/>
  <c r="BB158" i="19" s="1"/>
  <c r="AU158" i="19"/>
  <c r="AV158" i="19" s="1"/>
  <c r="AK158" i="19"/>
  <c r="AL158" i="19" s="1"/>
  <c r="AE158" i="19"/>
  <c r="AF158" i="19" s="1"/>
  <c r="AH158" i="19"/>
  <c r="AI158" i="19" s="1"/>
  <c r="AX158" i="19"/>
  <c r="AY158" i="19" s="1"/>
  <c r="BG158" i="19"/>
  <c r="BH158" i="19" s="1"/>
  <c r="BM158" i="19"/>
  <c r="BN158" i="19" s="1"/>
  <c r="BJ158" i="19"/>
  <c r="BK158" i="19" s="1"/>
  <c r="AR158" i="19"/>
  <c r="AS158" i="19" s="1"/>
  <c r="BI152" i="19" a="1"/>
  <c r="BI152" i="19" s="1"/>
  <c r="BI149" i="19" l="1" a="1"/>
  <c r="BI149" i="19" s="1"/>
  <c r="BI146" i="19" l="1" a="1"/>
  <c r="BI146" i="19" s="1"/>
  <c r="BI144" i="19" l="1" a="1"/>
  <c r="BI144" i="19" s="1"/>
  <c r="BI141" i="19" l="1" a="1"/>
  <c r="BI141" i="19" s="1"/>
  <c r="BI92" i="19" l="1" a="1"/>
  <c r="BI92" i="19" s="1"/>
  <c r="BI89" i="19" l="1" a="1"/>
  <c r="BI89" i="19" s="1"/>
  <c r="BI86" i="19" l="1" a="1"/>
  <c r="BI86" i="19" s="1"/>
  <c r="BI82" i="19" l="1" a="1"/>
  <c r="BI82" i="19" s="1"/>
  <c r="BI78" i="19" l="1" a="1"/>
  <c r="BI78" i="19" s="1"/>
  <c r="BI75" i="19" l="1" a="1"/>
  <c r="BI75" i="19" s="1"/>
  <c r="BI72" i="19" l="1" a="1"/>
  <c r="BI72" i="19" s="1"/>
  <c r="BI70" i="19" l="1" a="1"/>
  <c r="BI70" i="19" s="1"/>
  <c r="BI66" i="19" l="1" a="1"/>
  <c r="BI66" i="19" s="1"/>
  <c r="BI61" i="19" l="1" a="1"/>
  <c r="BI61" i="19" s="1"/>
  <c r="BI137" i="19" l="1" a="1"/>
  <c r="BI137" i="19" s="1"/>
  <c r="BI132" i="19" l="1" a="1"/>
  <c r="BI132" i="19" s="1"/>
  <c r="BI124" i="19" l="1" a="1"/>
  <c r="BI124" i="19" s="1"/>
  <c r="BI117" i="19" l="1" a="1"/>
  <c r="BI117" i="19" s="1"/>
  <c r="BI110" i="19" l="1" a="1"/>
  <c r="BI110" i="19" s="1"/>
  <c r="BI95" i="19" l="1" a="1"/>
  <c r="BI95" i="19" s="1"/>
  <c r="BI97" i="19" l="1" a="1"/>
  <c r="BI97" i="19" s="1"/>
  <c r="BI100" i="19" l="1" a="1"/>
  <c r="BI100" i="19" s="1"/>
  <c r="BI49" i="19" l="1" a="1"/>
  <c r="BI49" i="19" s="1"/>
  <c r="BI102" i="19" l="1" a="1"/>
  <c r="BI102" i="19" s="1"/>
  <c r="BI54" i="19" l="1" a="1"/>
  <c r="BI54" i="19" s="1"/>
  <c r="BI38" i="19" l="1" a="1"/>
  <c r="BI38" i="19" s="1"/>
  <c r="BI28" i="19" l="1" a="1"/>
  <c r="BI28" i="19" s="1"/>
  <c r="F3" i="18" l="1"/>
  <c r="C3" i="18"/>
  <c r="BC155" i="19" a="1"/>
  <c r="BC155" i="19" s="1"/>
  <c r="AZ155" i="19" a="1"/>
  <c r="AZ155" i="19" s="1"/>
  <c r="AW155" i="19" a="1"/>
  <c r="AW155" i="19" s="1"/>
  <c r="AT155" i="19" a="1"/>
  <c r="AT155" i="19" s="1"/>
  <c r="AQ155" i="19" a="1"/>
  <c r="AQ155" i="19" s="1"/>
  <c r="AO155" i="19" a="1"/>
  <c r="AO155" i="19" s="1"/>
  <c r="AN155" i="19" a="1"/>
  <c r="AN155" i="19" s="1"/>
  <c r="AM155" i="19" a="1"/>
  <c r="AM155" i="19" s="1"/>
  <c r="AJ155" i="19" a="1"/>
  <c r="AJ155" i="19" s="1"/>
  <c r="AG155" i="19" a="1"/>
  <c r="AG155" i="19" s="1"/>
  <c r="AD155" i="19" a="1"/>
  <c r="AD155" i="19" s="1"/>
  <c r="B156" i="19"/>
  <c r="B157" i="19"/>
  <c r="E156" i="19"/>
  <c r="E157" i="19"/>
  <c r="F156" i="19"/>
  <c r="BW156" i="19" s="1"/>
  <c r="F157" i="19"/>
  <c r="BW157" i="19" s="1"/>
  <c r="G156" i="19"/>
  <c r="H156" i="19" s="1"/>
  <c r="G157" i="19"/>
  <c r="H157" i="19" s="1"/>
  <c r="I155" i="19" a="1"/>
  <c r="I155" i="19" s="1"/>
  <c r="J155" i="19" a="1"/>
  <c r="G155" i="19"/>
  <c r="H155" i="19" s="1"/>
  <c r="F155" i="19"/>
  <c r="BW155" i="19" s="1"/>
  <c r="E155" i="19"/>
  <c r="B155" i="19"/>
  <c r="BM156" i="19" l="1"/>
  <c r="BN156" i="19" s="1"/>
  <c r="BM157" i="19"/>
  <c r="BN157" i="19" s="1"/>
  <c r="BG156" i="19"/>
  <c r="BH156" i="19" s="1"/>
  <c r="BG157" i="19"/>
  <c r="BH157" i="19" s="1"/>
  <c r="BU156" i="19"/>
  <c r="BS156" i="19"/>
  <c r="BU157" i="19"/>
  <c r="BS157" i="19"/>
  <c r="BU155" i="19"/>
  <c r="BS155" i="19"/>
  <c r="J155" i="19"/>
  <c r="BM155" i="19" s="1"/>
  <c r="BN155" i="19" s="1"/>
  <c r="BJ157" i="19"/>
  <c r="BK157" i="19" s="1"/>
  <c r="BJ156" i="19"/>
  <c r="BK156" i="19" s="1"/>
  <c r="BC152" i="19" a="1"/>
  <c r="BC152" i="19" s="1"/>
  <c r="AZ152" i="19" a="1"/>
  <c r="AZ152" i="19" s="1"/>
  <c r="AW152" i="19" a="1"/>
  <c r="AW152" i="19" s="1"/>
  <c r="AT152" i="19" a="1"/>
  <c r="AT152" i="19" s="1"/>
  <c r="AQ152" i="19" a="1"/>
  <c r="AQ152" i="19" s="1"/>
  <c r="AO152" i="19" a="1"/>
  <c r="AO152" i="19" s="1"/>
  <c r="AN152" i="19" a="1"/>
  <c r="AN152" i="19" s="1"/>
  <c r="AM152" i="19" a="1"/>
  <c r="AM152" i="19" s="1"/>
  <c r="AJ152" i="19" a="1"/>
  <c r="AJ152" i="19" s="1"/>
  <c r="AG152" i="19" a="1"/>
  <c r="AG152" i="19" s="1"/>
  <c r="AD152" i="19" a="1"/>
  <c r="AD152" i="19" s="1"/>
  <c r="B153" i="19"/>
  <c r="B154" i="19"/>
  <c r="E153" i="19"/>
  <c r="E154" i="19"/>
  <c r="F153" i="19"/>
  <c r="BW153" i="19" s="1"/>
  <c r="F154" i="19"/>
  <c r="BW154" i="19" s="1"/>
  <c r="G153" i="19"/>
  <c r="H153" i="19" s="1"/>
  <c r="G154" i="19"/>
  <c r="H154" i="19" s="1"/>
  <c r="I152" i="19" a="1"/>
  <c r="I152" i="19" s="1"/>
  <c r="J152" i="19" a="1"/>
  <c r="G152" i="19"/>
  <c r="H152" i="19" s="1"/>
  <c r="F152" i="19"/>
  <c r="BW152" i="19" s="1"/>
  <c r="E152" i="19"/>
  <c r="B152" i="19"/>
  <c r="BM153" i="19" l="1"/>
  <c r="BN153" i="19" s="1"/>
  <c r="BM154" i="19"/>
  <c r="BN154" i="19" s="1"/>
  <c r="BJ155" i="19"/>
  <c r="BK155" i="19" s="1"/>
  <c r="BG155" i="19"/>
  <c r="BH155" i="19" s="1"/>
  <c r="BG153" i="19"/>
  <c r="BH153" i="19" s="1"/>
  <c r="BG154" i="19"/>
  <c r="BH154" i="19" s="1"/>
  <c r="BU153" i="19"/>
  <c r="BS153" i="19"/>
  <c r="BS154" i="19"/>
  <c r="BU154" i="19"/>
  <c r="BS152" i="19"/>
  <c r="BU152" i="19"/>
  <c r="J152" i="19"/>
  <c r="BM152" i="19" s="1"/>
  <c r="BN152" i="19" s="1"/>
  <c r="BJ154" i="19"/>
  <c r="BK154" i="19" s="1"/>
  <c r="BJ153" i="19"/>
  <c r="BK153" i="19" s="1"/>
  <c r="BC149" i="19" a="1"/>
  <c r="BC149" i="19" s="1"/>
  <c r="AZ149" i="19" a="1"/>
  <c r="AZ149" i="19" s="1"/>
  <c r="AW149" i="19" a="1"/>
  <c r="AW149" i="19" s="1"/>
  <c r="AT150" i="19" a="1"/>
  <c r="AT150" i="19" s="1"/>
  <c r="AQ149" i="19" a="1"/>
  <c r="AQ149" i="19" s="1"/>
  <c r="AO149" i="19" a="1"/>
  <c r="AO149" i="19" s="1"/>
  <c r="AN149" i="19" a="1"/>
  <c r="AN149" i="19" s="1"/>
  <c r="AM149" i="19" a="1"/>
  <c r="AM149" i="19" s="1"/>
  <c r="AJ149" i="19" a="1"/>
  <c r="AJ149" i="19" s="1"/>
  <c r="AG149" i="19" a="1"/>
  <c r="AG149" i="19" s="1"/>
  <c r="AD149" i="19" a="1"/>
  <c r="AD149" i="19" s="1"/>
  <c r="B150" i="19"/>
  <c r="B151" i="19"/>
  <c r="E150" i="19"/>
  <c r="E151" i="19"/>
  <c r="F150" i="19"/>
  <c r="BW150" i="19" s="1"/>
  <c r="F151" i="19"/>
  <c r="BW151" i="19" s="1"/>
  <c r="G150" i="19"/>
  <c r="H150" i="19" s="1"/>
  <c r="G151" i="19"/>
  <c r="H151" i="19" s="1"/>
  <c r="I149" i="19" a="1"/>
  <c r="I149" i="19" s="1"/>
  <c r="J149" i="19" a="1"/>
  <c r="G149" i="19"/>
  <c r="H149" i="19" s="1"/>
  <c r="F149" i="19"/>
  <c r="BW149" i="19" s="1"/>
  <c r="E149" i="19"/>
  <c r="B149" i="19"/>
  <c r="BM150" i="19" l="1"/>
  <c r="BN150" i="19" s="1"/>
  <c r="BM151" i="19"/>
  <c r="BN151" i="19" s="1"/>
  <c r="BJ152" i="19"/>
  <c r="BK152" i="19" s="1"/>
  <c r="BG152" i="19"/>
  <c r="BH152" i="19" s="1"/>
  <c r="BG150" i="19"/>
  <c r="BH150" i="19" s="1"/>
  <c r="BG151" i="19"/>
  <c r="BH151" i="19" s="1"/>
  <c r="BU150" i="19"/>
  <c r="BS150" i="19"/>
  <c r="BS151" i="19"/>
  <c r="BU151" i="19"/>
  <c r="BU149" i="19"/>
  <c r="BS149" i="19"/>
  <c r="J149" i="19"/>
  <c r="BM149" i="19" s="1"/>
  <c r="BN149" i="19" s="1"/>
  <c r="BJ151" i="19"/>
  <c r="BK151" i="19" s="1"/>
  <c r="BJ150" i="19"/>
  <c r="BK150" i="19" s="1"/>
  <c r="BC146" i="19" a="1"/>
  <c r="BC146" i="19" s="1"/>
  <c r="AZ146" i="19" a="1"/>
  <c r="AZ146" i="19" s="1"/>
  <c r="AW146" i="19" a="1"/>
  <c r="AW146" i="19" s="1"/>
  <c r="AT147" i="19" a="1"/>
  <c r="AT147" i="19" s="1"/>
  <c r="AQ146" i="19" a="1"/>
  <c r="AQ146" i="19" s="1"/>
  <c r="AO146" i="19" a="1"/>
  <c r="AO146" i="19" s="1"/>
  <c r="AN146" i="19" a="1"/>
  <c r="AN146" i="19" s="1"/>
  <c r="AM146" i="19" a="1"/>
  <c r="AM146" i="19" s="1"/>
  <c r="AJ146" i="19" a="1"/>
  <c r="AJ146" i="19" s="1"/>
  <c r="AG146" i="19" a="1"/>
  <c r="AG146" i="19" s="1"/>
  <c r="AD146" i="19" a="1"/>
  <c r="AD146" i="19" s="1"/>
  <c r="B147" i="19"/>
  <c r="B148" i="19"/>
  <c r="E147" i="19"/>
  <c r="E148" i="19"/>
  <c r="F147" i="19"/>
  <c r="BW147" i="19" s="1"/>
  <c r="F148" i="19"/>
  <c r="BW148" i="19" s="1"/>
  <c r="G147" i="19"/>
  <c r="H147" i="19" s="1"/>
  <c r="G148" i="19"/>
  <c r="H148" i="19" s="1"/>
  <c r="I146" i="19" a="1"/>
  <c r="I146" i="19" s="1"/>
  <c r="J146" i="19" a="1"/>
  <c r="G146" i="19"/>
  <c r="H146" i="19" s="1"/>
  <c r="F146" i="19"/>
  <c r="BW146" i="19" s="1"/>
  <c r="E146" i="19"/>
  <c r="B146" i="19"/>
  <c r="BM147" i="19" l="1"/>
  <c r="BN147" i="19" s="1"/>
  <c r="BM148" i="19"/>
  <c r="BN148" i="19" s="1"/>
  <c r="BJ149" i="19"/>
  <c r="BK149" i="19" s="1"/>
  <c r="BG149" i="19"/>
  <c r="BH149" i="19" s="1"/>
  <c r="BG147" i="19"/>
  <c r="BH147" i="19" s="1"/>
  <c r="BG148" i="19"/>
  <c r="BH148" i="19" s="1"/>
  <c r="BU147" i="19"/>
  <c r="BS147" i="19"/>
  <c r="BU148" i="19"/>
  <c r="BS148" i="19"/>
  <c r="BS146" i="19"/>
  <c r="BU146" i="19"/>
  <c r="J146" i="19"/>
  <c r="BM146" i="19" s="1"/>
  <c r="BN146" i="19" s="1"/>
  <c r="BJ148" i="19"/>
  <c r="BK148" i="19" s="1"/>
  <c r="BJ147" i="19"/>
  <c r="BK147" i="19" s="1"/>
  <c r="BC144" i="19" a="1"/>
  <c r="BC144" i="19" s="1"/>
  <c r="AZ144" i="19" a="1"/>
  <c r="AZ144" i="19" s="1"/>
  <c r="AW144" i="19" a="1"/>
  <c r="AW144" i="19" s="1"/>
  <c r="AQ144" i="19" a="1"/>
  <c r="AQ144" i="19" s="1"/>
  <c r="AO144" i="19" a="1"/>
  <c r="AO144" i="19" s="1"/>
  <c r="AN144" i="19" a="1"/>
  <c r="AN144" i="19" s="1"/>
  <c r="AM144" i="19" a="1"/>
  <c r="AM144" i="19" s="1"/>
  <c r="AJ144" i="19" a="1"/>
  <c r="AJ144" i="19" s="1"/>
  <c r="AG144" i="19" a="1"/>
  <c r="AG144" i="19" s="1"/>
  <c r="AD144" i="19" a="1"/>
  <c r="AD144" i="19" s="1"/>
  <c r="B145" i="19"/>
  <c r="E145" i="19"/>
  <c r="F145" i="19"/>
  <c r="BW145" i="19" s="1"/>
  <c r="G145" i="19"/>
  <c r="H145" i="19" s="1"/>
  <c r="I144" i="19" a="1"/>
  <c r="I144" i="19" s="1"/>
  <c r="J144" i="19" a="1"/>
  <c r="G144" i="19"/>
  <c r="H144" i="19" s="1"/>
  <c r="F144" i="19"/>
  <c r="BW144" i="19" s="1"/>
  <c r="E144" i="19"/>
  <c r="B144" i="19"/>
  <c r="BG145" i="19" l="1"/>
  <c r="BH145" i="19" s="1"/>
  <c r="BM145" i="19"/>
  <c r="BN145" i="19" s="1"/>
  <c r="BJ146" i="19"/>
  <c r="BK146" i="19" s="1"/>
  <c r="BG146" i="19"/>
  <c r="BH146" i="19" s="1"/>
  <c r="BU145" i="19"/>
  <c r="BS145" i="19"/>
  <c r="BU144" i="19"/>
  <c r="BS144" i="19"/>
  <c r="J144" i="19"/>
  <c r="BM144" i="19" s="1"/>
  <c r="BN144" i="19" s="1"/>
  <c r="BJ145" i="19"/>
  <c r="BK145" i="19" s="1"/>
  <c r="BD145" i="19"/>
  <c r="BE145" i="19" s="1"/>
  <c r="BD146" i="19"/>
  <c r="BE146" i="19" s="1"/>
  <c r="BD147" i="19"/>
  <c r="BE147" i="19" s="1"/>
  <c r="BD148" i="19"/>
  <c r="BE148" i="19" s="1"/>
  <c r="BD149" i="19"/>
  <c r="BE149" i="19" s="1"/>
  <c r="BD150" i="19"/>
  <c r="BE150" i="19" s="1"/>
  <c r="BD151" i="19"/>
  <c r="BE151" i="19" s="1"/>
  <c r="BD152" i="19"/>
  <c r="BE152" i="19" s="1"/>
  <c r="BD153" i="19"/>
  <c r="BE153" i="19" s="1"/>
  <c r="BD154" i="19"/>
  <c r="BE154" i="19" s="1"/>
  <c r="BD155" i="19"/>
  <c r="BE155" i="19" s="1"/>
  <c r="BD156" i="19"/>
  <c r="BE156" i="19" s="1"/>
  <c r="BD157" i="19"/>
  <c r="BE157" i="19" s="1"/>
  <c r="BA145" i="19"/>
  <c r="BB145" i="19" s="1"/>
  <c r="BA146" i="19"/>
  <c r="BB146" i="19" s="1"/>
  <c r="BA147" i="19"/>
  <c r="BB147" i="19" s="1"/>
  <c r="BA148" i="19"/>
  <c r="BB148" i="19" s="1"/>
  <c r="BA149" i="19"/>
  <c r="BB149" i="19" s="1"/>
  <c r="BA150" i="19"/>
  <c r="BB150" i="19" s="1"/>
  <c r="BA151" i="19"/>
  <c r="BB151" i="19" s="1"/>
  <c r="BA152" i="19"/>
  <c r="BB152" i="19" s="1"/>
  <c r="BA153" i="19"/>
  <c r="BB153" i="19" s="1"/>
  <c r="BA154" i="19"/>
  <c r="BB154" i="19" s="1"/>
  <c r="BA155" i="19"/>
  <c r="BB155" i="19" s="1"/>
  <c r="BA156" i="19"/>
  <c r="BB156" i="19" s="1"/>
  <c r="BA157" i="19"/>
  <c r="BB157" i="19" s="1"/>
  <c r="AX145" i="19"/>
  <c r="AY145" i="19" s="1"/>
  <c r="AX146" i="19"/>
  <c r="AY146" i="19" s="1"/>
  <c r="AX147" i="19"/>
  <c r="AY147" i="19" s="1"/>
  <c r="AX148" i="19"/>
  <c r="AY148" i="19" s="1"/>
  <c r="AX149" i="19"/>
  <c r="AY149" i="19" s="1"/>
  <c r="AX150" i="19"/>
  <c r="AY150" i="19" s="1"/>
  <c r="AX151" i="19"/>
  <c r="AY151" i="19" s="1"/>
  <c r="AX152" i="19"/>
  <c r="AY152" i="19" s="1"/>
  <c r="AX153" i="19"/>
  <c r="AY153" i="19" s="1"/>
  <c r="AX154" i="19"/>
  <c r="AY154" i="19" s="1"/>
  <c r="AX155" i="19"/>
  <c r="AY155" i="19" s="1"/>
  <c r="AX156" i="19"/>
  <c r="AY156" i="19" s="1"/>
  <c r="AX157" i="19"/>
  <c r="AY157" i="19" s="1"/>
  <c r="AU147" i="19"/>
  <c r="AV147" i="19" s="1"/>
  <c r="AU148" i="19"/>
  <c r="AV148" i="19" s="1"/>
  <c r="AU150" i="19"/>
  <c r="AV150" i="19" s="1"/>
  <c r="AU151" i="19"/>
  <c r="AV151" i="19" s="1"/>
  <c r="AU152" i="19"/>
  <c r="AV152" i="19" s="1"/>
  <c r="AU153" i="19"/>
  <c r="AV153" i="19" s="1"/>
  <c r="AU154" i="19"/>
  <c r="AV154" i="19" s="1"/>
  <c r="AU155" i="19"/>
  <c r="AV155" i="19" s="1"/>
  <c r="AU156" i="19"/>
  <c r="AV156" i="19" s="1"/>
  <c r="AU157" i="19"/>
  <c r="AV157" i="19" s="1"/>
  <c r="AR145" i="19"/>
  <c r="AS145" i="19" s="1"/>
  <c r="AR146" i="19"/>
  <c r="AS146" i="19" s="1"/>
  <c r="AR147" i="19"/>
  <c r="AS147" i="19" s="1"/>
  <c r="AR148" i="19"/>
  <c r="AS148" i="19" s="1"/>
  <c r="AR149" i="19"/>
  <c r="AS149" i="19" s="1"/>
  <c r="AR150" i="19"/>
  <c r="AS150" i="19" s="1"/>
  <c r="AR151" i="19"/>
  <c r="AS151" i="19" s="1"/>
  <c r="AR152" i="19"/>
  <c r="AS152" i="19" s="1"/>
  <c r="AR153" i="19"/>
  <c r="AS153" i="19" s="1"/>
  <c r="AR154" i="19"/>
  <c r="AS154" i="19" s="1"/>
  <c r="AR155" i="19"/>
  <c r="AS155" i="19" s="1"/>
  <c r="AR156" i="19"/>
  <c r="AS156" i="19" s="1"/>
  <c r="AR157" i="19"/>
  <c r="AS157" i="19" s="1"/>
  <c r="AP144" i="19"/>
  <c r="AP145" i="19"/>
  <c r="AP146" i="19"/>
  <c r="AP147" i="19"/>
  <c r="AP148" i="19"/>
  <c r="AP149" i="19"/>
  <c r="AP150" i="19"/>
  <c r="AP151" i="19"/>
  <c r="AP152" i="19"/>
  <c r="AP153" i="19"/>
  <c r="AP154" i="19"/>
  <c r="AP155" i="19"/>
  <c r="AP156" i="19"/>
  <c r="AP157" i="19"/>
  <c r="AK145" i="19"/>
  <c r="AL145" i="19" s="1"/>
  <c r="AK146" i="19"/>
  <c r="AL146" i="19" s="1"/>
  <c r="AK147" i="19"/>
  <c r="AL147" i="19" s="1"/>
  <c r="AK148" i="19"/>
  <c r="AL148" i="19" s="1"/>
  <c r="AK149" i="19"/>
  <c r="AL149" i="19" s="1"/>
  <c r="AK150" i="19"/>
  <c r="AL150" i="19" s="1"/>
  <c r="AK151" i="19"/>
  <c r="AL151" i="19" s="1"/>
  <c r="AK152" i="19"/>
  <c r="AL152" i="19" s="1"/>
  <c r="AK153" i="19"/>
  <c r="AL153" i="19" s="1"/>
  <c r="AK154" i="19"/>
  <c r="AL154" i="19" s="1"/>
  <c r="AK155" i="19"/>
  <c r="AL155" i="19" s="1"/>
  <c r="AK156" i="19"/>
  <c r="AL156" i="19" s="1"/>
  <c r="AK157" i="19"/>
  <c r="AL157" i="19" s="1"/>
  <c r="AH145" i="19"/>
  <c r="AI145" i="19" s="1"/>
  <c r="AH146" i="19"/>
  <c r="AI146" i="19" s="1"/>
  <c r="AH147" i="19"/>
  <c r="AI147" i="19" s="1"/>
  <c r="AH148" i="19"/>
  <c r="AI148" i="19" s="1"/>
  <c r="AH149" i="19"/>
  <c r="AI149" i="19" s="1"/>
  <c r="AH150" i="19"/>
  <c r="AI150" i="19" s="1"/>
  <c r="AH151" i="19"/>
  <c r="AI151" i="19" s="1"/>
  <c r="AH152" i="19"/>
  <c r="AI152" i="19" s="1"/>
  <c r="AH153" i="19"/>
  <c r="AI153" i="19" s="1"/>
  <c r="AH154" i="19"/>
  <c r="AI154" i="19" s="1"/>
  <c r="AH155" i="19"/>
  <c r="AI155" i="19" s="1"/>
  <c r="AH156" i="19"/>
  <c r="AI156" i="19" s="1"/>
  <c r="AH157" i="19"/>
  <c r="AI157" i="19" s="1"/>
  <c r="AE144" i="19"/>
  <c r="AF144" i="19" s="1"/>
  <c r="AE145" i="19"/>
  <c r="AF145" i="19" s="1"/>
  <c r="AE146" i="19"/>
  <c r="AF146" i="19" s="1"/>
  <c r="AE147" i="19"/>
  <c r="AF147" i="19" s="1"/>
  <c r="AE148" i="19"/>
  <c r="AF148" i="19" s="1"/>
  <c r="AE149" i="19"/>
  <c r="AF149" i="19" s="1"/>
  <c r="AE150" i="19"/>
  <c r="AF150" i="19" s="1"/>
  <c r="AE151" i="19"/>
  <c r="AF151" i="19" s="1"/>
  <c r="AE152" i="19"/>
  <c r="AF152" i="19" s="1"/>
  <c r="AE153" i="19"/>
  <c r="AF153" i="19" s="1"/>
  <c r="AE154" i="19"/>
  <c r="AF154" i="19" s="1"/>
  <c r="AE155" i="19"/>
  <c r="AF155" i="19" s="1"/>
  <c r="AE156" i="19"/>
  <c r="AF156" i="19" s="1"/>
  <c r="AE157" i="19"/>
  <c r="AF157" i="19" s="1"/>
  <c r="BC141" i="19" a="1"/>
  <c r="BC141" i="19" s="1"/>
  <c r="AZ141" i="19" a="1"/>
  <c r="AZ141" i="19" s="1"/>
  <c r="AW141" i="19" a="1"/>
  <c r="AW141" i="19" s="1"/>
  <c r="AQ141" i="19" a="1"/>
  <c r="AQ141" i="19" s="1"/>
  <c r="AO141" i="19" a="1"/>
  <c r="AO141" i="19" s="1"/>
  <c r="AP141" i="19" s="1"/>
  <c r="AN143" i="19"/>
  <c r="AN142" i="19"/>
  <c r="AN141" i="19"/>
  <c r="AM143" i="19"/>
  <c r="AM142" i="19"/>
  <c r="AM141" i="19"/>
  <c r="AJ143" i="19"/>
  <c r="AJ142" i="19"/>
  <c r="AJ141" i="19"/>
  <c r="AG143" i="19"/>
  <c r="AG142" i="19"/>
  <c r="AG141" i="19"/>
  <c r="AD143" i="19"/>
  <c r="AD142" i="19"/>
  <c r="AD141" i="19"/>
  <c r="B142" i="19"/>
  <c r="B143" i="19"/>
  <c r="E142" i="19"/>
  <c r="E143" i="19"/>
  <c r="F142" i="19"/>
  <c r="BW142" i="19" s="1"/>
  <c r="F143" i="19"/>
  <c r="BW143" i="19" s="1"/>
  <c r="G142" i="19"/>
  <c r="H142" i="19" s="1"/>
  <c r="G143" i="19"/>
  <c r="H143" i="19" s="1"/>
  <c r="I143" i="19"/>
  <c r="I142" i="19"/>
  <c r="I141" i="19"/>
  <c r="J143" i="19"/>
  <c r="BM143" i="19" s="1"/>
  <c r="BN143" i="19" s="1"/>
  <c r="J142" i="19"/>
  <c r="BM142" i="19" s="1"/>
  <c r="BN142" i="19" s="1"/>
  <c r="J141" i="19"/>
  <c r="G141" i="19"/>
  <c r="H141" i="19" s="1"/>
  <c r="F141" i="19"/>
  <c r="BW141" i="19" s="1"/>
  <c r="E141" i="19"/>
  <c r="B141" i="19"/>
  <c r="BG141" i="19" l="1"/>
  <c r="BH141" i="19" s="1"/>
  <c r="BM141" i="19"/>
  <c r="BN141" i="19" s="1"/>
  <c r="BJ144" i="19"/>
  <c r="BK144" i="19" s="1"/>
  <c r="BG144" i="19"/>
  <c r="BH144" i="19" s="1"/>
  <c r="BJ142" i="19"/>
  <c r="BK142" i="19" s="1"/>
  <c r="BG142" i="19"/>
  <c r="BH142" i="19" s="1"/>
  <c r="BJ143" i="19"/>
  <c r="BK143" i="19" s="1"/>
  <c r="BG143" i="19"/>
  <c r="BH143" i="19" s="1"/>
  <c r="BD144" i="19"/>
  <c r="BE144" i="19" s="1"/>
  <c r="AK144" i="19"/>
  <c r="AL144" i="19" s="1"/>
  <c r="AH144" i="19"/>
  <c r="AI144" i="19" s="1"/>
  <c r="AR144" i="19"/>
  <c r="AS144" i="19" s="1"/>
  <c r="BS143" i="19"/>
  <c r="BU143" i="19"/>
  <c r="BS141" i="19"/>
  <c r="BU141" i="19"/>
  <c r="BU142" i="19"/>
  <c r="BS142" i="19"/>
  <c r="BA144" i="19"/>
  <c r="BB144" i="19" s="1"/>
  <c r="AX144" i="19"/>
  <c r="AY144" i="19" s="1"/>
  <c r="BA141" i="19"/>
  <c r="BB141" i="19" s="1"/>
  <c r="BJ141" i="19"/>
  <c r="BK141" i="19" s="1"/>
  <c r="AE142" i="19"/>
  <c r="AF142" i="19" s="1"/>
  <c r="AE143" i="19"/>
  <c r="AF143" i="19" s="1"/>
  <c r="AH142" i="19"/>
  <c r="AI142" i="19" s="1"/>
  <c r="BA142" i="19"/>
  <c r="BB142" i="19" s="1"/>
  <c r="AH141" i="19"/>
  <c r="AI141" i="19" s="1"/>
  <c r="AK141" i="19"/>
  <c r="AL141" i="19" s="1"/>
  <c r="AE141" i="19"/>
  <c r="AF141" i="19" s="1"/>
  <c r="AK142" i="19"/>
  <c r="AL142" i="19" s="1"/>
  <c r="BD141" i="19"/>
  <c r="BE141" i="19" s="1"/>
  <c r="AK143" i="19"/>
  <c r="AL143" i="19" s="1"/>
  <c r="AR141" i="19"/>
  <c r="AS141" i="19" s="1"/>
  <c r="AX141" i="19"/>
  <c r="AY141" i="19" s="1"/>
  <c r="AR143" i="19"/>
  <c r="AS143" i="19" s="1"/>
  <c r="AX143" i="19"/>
  <c r="AY143" i="19" s="1"/>
  <c r="AR142" i="19"/>
  <c r="AS142" i="19" s="1"/>
  <c r="AP142" i="19"/>
  <c r="AH143" i="19"/>
  <c r="AI143" i="19" s="1"/>
  <c r="BA143" i="19"/>
  <c r="BB143" i="19" s="1"/>
  <c r="AX142" i="19"/>
  <c r="AY142" i="19" s="1"/>
  <c r="BD143" i="19"/>
  <c r="BE143" i="19" s="1"/>
  <c r="BD142" i="19"/>
  <c r="BE142" i="19" s="1"/>
  <c r="AP143" i="19"/>
  <c r="BC140" i="19"/>
  <c r="BC139" i="19"/>
  <c r="BC138" i="19"/>
  <c r="BC137" i="19"/>
  <c r="AZ140" i="19"/>
  <c r="AZ139" i="19"/>
  <c r="AZ138" i="19"/>
  <c r="AZ137" i="19"/>
  <c r="AW140" i="19"/>
  <c r="AW139" i="19"/>
  <c r="AW138" i="19"/>
  <c r="AW137" i="19"/>
  <c r="AT140" i="19"/>
  <c r="AT139" i="19"/>
  <c r="AT138" i="19"/>
  <c r="AT137" i="19"/>
  <c r="AQ140" i="19"/>
  <c r="AQ139" i="19"/>
  <c r="AQ138" i="19"/>
  <c r="AQ137" i="19"/>
  <c r="AO140" i="19"/>
  <c r="AP140" i="19" s="1"/>
  <c r="AO139" i="19"/>
  <c r="AP139" i="19" s="1"/>
  <c r="AO138" i="19"/>
  <c r="AP138" i="19" s="1"/>
  <c r="AO137" i="19"/>
  <c r="AP137" i="19" s="1"/>
  <c r="AN140" i="19"/>
  <c r="AN139" i="19"/>
  <c r="AN138" i="19"/>
  <c r="AN137" i="19"/>
  <c r="AM140" i="19"/>
  <c r="AM139" i="19"/>
  <c r="AM138" i="19"/>
  <c r="AM137" i="19"/>
  <c r="AJ140" i="19"/>
  <c r="AJ139" i="19"/>
  <c r="AJ138" i="19"/>
  <c r="AJ137" i="19"/>
  <c r="AG140" i="19"/>
  <c r="AG139" i="19"/>
  <c r="AG138" i="19"/>
  <c r="AG137" i="19"/>
  <c r="AD140" i="19"/>
  <c r="AD139" i="19"/>
  <c r="AD138" i="19"/>
  <c r="AD137" i="19"/>
  <c r="B138" i="19"/>
  <c r="B139" i="19"/>
  <c r="B140" i="19"/>
  <c r="E138" i="19"/>
  <c r="E139" i="19"/>
  <c r="E140" i="19"/>
  <c r="F138" i="19"/>
  <c r="BW138" i="19" s="1"/>
  <c r="F139" i="19"/>
  <c r="BW139" i="19" s="1"/>
  <c r="F140" i="19"/>
  <c r="BW140" i="19" s="1"/>
  <c r="G138" i="19"/>
  <c r="H138" i="19" s="1"/>
  <c r="G139" i="19"/>
  <c r="H139" i="19" s="1"/>
  <c r="G140" i="19"/>
  <c r="H140" i="19" s="1"/>
  <c r="I140" i="19"/>
  <c r="I139" i="19"/>
  <c r="I138" i="19"/>
  <c r="I137" i="19"/>
  <c r="J140" i="19"/>
  <c r="BM140" i="19" s="1"/>
  <c r="BN140" i="19" s="1"/>
  <c r="J139" i="19"/>
  <c r="BM139" i="19" s="1"/>
  <c r="BN139" i="19" s="1"/>
  <c r="J138" i="19"/>
  <c r="BM138" i="19" s="1"/>
  <c r="BN138" i="19" s="1"/>
  <c r="J137" i="19"/>
  <c r="BM137" i="19" s="1"/>
  <c r="BN137" i="19" s="1"/>
  <c r="G137" i="19"/>
  <c r="H137" i="19" s="1"/>
  <c r="F137" i="19"/>
  <c r="BW137" i="19" s="1"/>
  <c r="E137" i="19"/>
  <c r="B137" i="19"/>
  <c r="BJ140" i="19" l="1"/>
  <c r="BK140" i="19" s="1"/>
  <c r="BG140" i="19"/>
  <c r="BH140" i="19" s="1"/>
  <c r="BJ137" i="19"/>
  <c r="BK137" i="19" s="1"/>
  <c r="BG137" i="19"/>
  <c r="BH137" i="19" s="1"/>
  <c r="BJ138" i="19"/>
  <c r="BK138" i="19" s="1"/>
  <c r="BG138" i="19"/>
  <c r="BH138" i="19" s="1"/>
  <c r="BJ139" i="19"/>
  <c r="BK139" i="19" s="1"/>
  <c r="BG139" i="19"/>
  <c r="BH139" i="19" s="1"/>
  <c r="BU139" i="19"/>
  <c r="BS139" i="19"/>
  <c r="BS138" i="19"/>
  <c r="BU138" i="19"/>
  <c r="BU137" i="19"/>
  <c r="BS137" i="19"/>
  <c r="BS140" i="19"/>
  <c r="BU140" i="19"/>
  <c r="AR137" i="19"/>
  <c r="AS137" i="19" s="1"/>
  <c r="AX137" i="19"/>
  <c r="AY137" i="19" s="1"/>
  <c r="BD138" i="19"/>
  <c r="BE138" i="19" s="1"/>
  <c r="BA137" i="19"/>
  <c r="BB137" i="19" s="1"/>
  <c r="AE137" i="19"/>
  <c r="AF137" i="19" s="1"/>
  <c r="AK137" i="19"/>
  <c r="AL137" i="19" s="1"/>
  <c r="BD139" i="19"/>
  <c r="BE139" i="19" s="1"/>
  <c r="AE140" i="19"/>
  <c r="AF140" i="19" s="1"/>
  <c r="AH137" i="19"/>
  <c r="AI137" i="19" s="1"/>
  <c r="BD137" i="19"/>
  <c r="BE137" i="19" s="1"/>
  <c r="AU137" i="19"/>
  <c r="AV137" i="19" s="1"/>
  <c r="AE139" i="19"/>
  <c r="AF139" i="19" s="1"/>
  <c r="AR140" i="19"/>
  <c r="AS140" i="19" s="1"/>
  <c r="BA140" i="19"/>
  <c r="BB140" i="19" s="1"/>
  <c r="AK139" i="19"/>
  <c r="AL139" i="19" s="1"/>
  <c r="AU138" i="19"/>
  <c r="AV138" i="19" s="1"/>
  <c r="AX140" i="19"/>
  <c r="AY140" i="19" s="1"/>
  <c r="AK138" i="19"/>
  <c r="AL138" i="19" s="1"/>
  <c r="AK140" i="19"/>
  <c r="AL140" i="19" s="1"/>
  <c r="AU139" i="19"/>
  <c r="AV139" i="19" s="1"/>
  <c r="AU140" i="19"/>
  <c r="AV140" i="19" s="1"/>
  <c r="AH140" i="19"/>
  <c r="AI140" i="19" s="1"/>
  <c r="BA138" i="19"/>
  <c r="BB138" i="19" s="1"/>
  <c r="BD140" i="19"/>
  <c r="BE140" i="19" s="1"/>
  <c r="AE138" i="19"/>
  <c r="AF138" i="19" s="1"/>
  <c r="BA139" i="19"/>
  <c r="BB139" i="19" s="1"/>
  <c r="AH138" i="19"/>
  <c r="AI138" i="19" s="1"/>
  <c r="AR138" i="19"/>
  <c r="AS138" i="19" s="1"/>
  <c r="AX138" i="19"/>
  <c r="AY138" i="19" s="1"/>
  <c r="AH139" i="19"/>
  <c r="AI139" i="19" s="1"/>
  <c r="AR139" i="19"/>
  <c r="AS139" i="19" s="1"/>
  <c r="AX139" i="19"/>
  <c r="AY139" i="19" s="1"/>
  <c r="BC136" i="19"/>
  <c r="BC135" i="19"/>
  <c r="BC134" i="19"/>
  <c r="BC133" i="19"/>
  <c r="BC132" i="19"/>
  <c r="AZ136" i="19"/>
  <c r="AZ135" i="19"/>
  <c r="AZ134" i="19"/>
  <c r="AZ133" i="19"/>
  <c r="AZ132" i="19"/>
  <c r="AW136" i="19"/>
  <c r="AW135" i="19"/>
  <c r="AW134" i="19"/>
  <c r="AW133" i="19"/>
  <c r="AW132" i="19"/>
  <c r="AT136" i="19"/>
  <c r="AT135" i="19"/>
  <c r="AT134" i="19"/>
  <c r="AT133" i="19"/>
  <c r="AT132" i="19"/>
  <c r="AQ136" i="19"/>
  <c r="AQ135" i="19"/>
  <c r="AQ134" i="19"/>
  <c r="AQ133" i="19"/>
  <c r="AQ132" i="19"/>
  <c r="AO136" i="19"/>
  <c r="AP136" i="19" s="1"/>
  <c r="AO135" i="19"/>
  <c r="AP135" i="19" s="1"/>
  <c r="AO134" i="19"/>
  <c r="AP134" i="19" s="1"/>
  <c r="AO133" i="19"/>
  <c r="AP133" i="19" s="1"/>
  <c r="AO132" i="19"/>
  <c r="AP132" i="19" s="1"/>
  <c r="AN136" i="19"/>
  <c r="AN135" i="19"/>
  <c r="AN134" i="19"/>
  <c r="AN133" i="19"/>
  <c r="AN132" i="19"/>
  <c r="AM136" i="19"/>
  <c r="AM135" i="19"/>
  <c r="AM134" i="19"/>
  <c r="AM133" i="19"/>
  <c r="AM132" i="19"/>
  <c r="AJ136" i="19"/>
  <c r="AJ135" i="19"/>
  <c r="AJ134" i="19"/>
  <c r="AJ133" i="19"/>
  <c r="AJ132" i="19"/>
  <c r="AG136" i="19"/>
  <c r="AG135" i="19"/>
  <c r="AG134" i="19"/>
  <c r="AG133" i="19"/>
  <c r="AG132" i="19"/>
  <c r="AD136" i="19"/>
  <c r="AD135" i="19"/>
  <c r="AD134" i="19"/>
  <c r="AD133" i="19"/>
  <c r="AD132" i="19"/>
  <c r="B133" i="19"/>
  <c r="B134" i="19"/>
  <c r="B135" i="19"/>
  <c r="B136" i="19"/>
  <c r="E133" i="19"/>
  <c r="E134" i="19"/>
  <c r="E135" i="19"/>
  <c r="E136" i="19"/>
  <c r="F133" i="19"/>
  <c r="BW133" i="19" s="1"/>
  <c r="F134" i="19"/>
  <c r="BW134" i="19" s="1"/>
  <c r="F135" i="19"/>
  <c r="BW135" i="19" s="1"/>
  <c r="F136" i="19"/>
  <c r="BW136" i="19" s="1"/>
  <c r="G133" i="19"/>
  <c r="H133" i="19" s="1"/>
  <c r="G134" i="19"/>
  <c r="H134" i="19" s="1"/>
  <c r="G135" i="19"/>
  <c r="H135" i="19" s="1"/>
  <c r="G136" i="19"/>
  <c r="H136" i="19" s="1"/>
  <c r="I136" i="19"/>
  <c r="I135" i="19"/>
  <c r="I134" i="19"/>
  <c r="I133" i="19"/>
  <c r="I132" i="19"/>
  <c r="J136" i="19"/>
  <c r="BM136" i="19" s="1"/>
  <c r="BN136" i="19" s="1"/>
  <c r="J135" i="19"/>
  <c r="BM135" i="19" s="1"/>
  <c r="BN135" i="19" s="1"/>
  <c r="J134" i="19"/>
  <c r="BM134" i="19" s="1"/>
  <c r="BN134" i="19" s="1"/>
  <c r="J133" i="19"/>
  <c r="BM133" i="19" s="1"/>
  <c r="BN133" i="19" s="1"/>
  <c r="J132" i="19"/>
  <c r="BM132" i="19" s="1"/>
  <c r="BN132" i="19" s="1"/>
  <c r="G132" i="19"/>
  <c r="H132" i="19" s="1"/>
  <c r="F132" i="19"/>
  <c r="BW132" i="19" s="1"/>
  <c r="E132" i="19"/>
  <c r="B132" i="19"/>
  <c r="BJ133" i="19" l="1"/>
  <c r="BK133" i="19" s="1"/>
  <c r="BG133" i="19"/>
  <c r="BH133" i="19" s="1"/>
  <c r="BJ134" i="19"/>
  <c r="BK134" i="19" s="1"/>
  <c r="BG134" i="19"/>
  <c r="BH134" i="19" s="1"/>
  <c r="BJ135" i="19"/>
  <c r="BK135" i="19" s="1"/>
  <c r="BG135" i="19"/>
  <c r="BH135" i="19" s="1"/>
  <c r="BJ136" i="19"/>
  <c r="BK136" i="19" s="1"/>
  <c r="BG136" i="19"/>
  <c r="BH136" i="19" s="1"/>
  <c r="BJ132" i="19"/>
  <c r="BK132" i="19" s="1"/>
  <c r="BG132" i="19"/>
  <c r="BH132" i="19" s="1"/>
  <c r="BS132" i="19"/>
  <c r="BU132" i="19"/>
  <c r="BU136" i="19"/>
  <c r="BS136" i="19"/>
  <c r="BU133" i="19"/>
  <c r="BS133" i="19"/>
  <c r="BS135" i="19"/>
  <c r="BU135" i="19"/>
  <c r="BU134" i="19"/>
  <c r="BS134" i="19"/>
  <c r="AH134" i="19"/>
  <c r="AI134" i="19" s="1"/>
  <c r="BD132" i="19"/>
  <c r="BE132" i="19" s="1"/>
  <c r="AX134" i="19"/>
  <c r="AY134" i="19" s="1"/>
  <c r="BD136" i="19"/>
  <c r="BE136" i="19" s="1"/>
  <c r="AK134" i="19"/>
  <c r="AL134" i="19" s="1"/>
  <c r="AX136" i="19"/>
  <c r="AY136" i="19" s="1"/>
  <c r="BD133" i="19"/>
  <c r="BE133" i="19" s="1"/>
  <c r="BD134" i="19"/>
  <c r="BE134" i="19" s="1"/>
  <c r="AE135" i="19"/>
  <c r="AF135" i="19" s="1"/>
  <c r="AK132" i="19"/>
  <c r="AL132" i="19" s="1"/>
  <c r="AR136" i="19"/>
  <c r="AS136" i="19" s="1"/>
  <c r="AR135" i="19"/>
  <c r="AS135" i="19" s="1"/>
  <c r="AE136" i="19"/>
  <c r="AF136" i="19" s="1"/>
  <c r="AK135" i="19"/>
  <c r="AL135" i="19" s="1"/>
  <c r="AU135" i="19"/>
  <c r="AV135" i="19" s="1"/>
  <c r="BD135" i="19"/>
  <c r="BE135" i="19" s="1"/>
  <c r="AR133" i="19"/>
  <c r="AS133" i="19" s="1"/>
  <c r="AH132" i="19"/>
  <c r="AI132" i="19" s="1"/>
  <c r="BA134" i="19"/>
  <c r="BB134" i="19" s="1"/>
  <c r="AE132" i="19"/>
  <c r="AF132" i="19" s="1"/>
  <c r="AK136" i="19"/>
  <c r="AL136" i="19" s="1"/>
  <c r="BA135" i="19"/>
  <c r="BB135" i="19" s="1"/>
  <c r="BA132" i="19"/>
  <c r="BB132" i="19" s="1"/>
  <c r="AR134" i="19"/>
  <c r="AS134" i="19" s="1"/>
  <c r="AU136" i="19"/>
  <c r="AV136" i="19" s="1"/>
  <c r="AH135" i="19"/>
  <c r="AI135" i="19" s="1"/>
  <c r="AU132" i="19"/>
  <c r="AV132" i="19" s="1"/>
  <c r="BA136" i="19"/>
  <c r="BB136" i="19" s="1"/>
  <c r="AX132" i="19"/>
  <c r="AY132" i="19" s="1"/>
  <c r="AH136" i="19"/>
  <c r="AI136" i="19" s="1"/>
  <c r="AR132" i="19"/>
  <c r="AS132" i="19" s="1"/>
  <c r="AX135" i="19"/>
  <c r="AY135" i="19" s="1"/>
  <c r="AX133" i="19"/>
  <c r="AY133" i="19" s="1"/>
  <c r="AE133" i="19"/>
  <c r="AF133" i="19" s="1"/>
  <c r="AK133" i="19"/>
  <c r="AL133" i="19" s="1"/>
  <c r="BA133" i="19"/>
  <c r="BB133" i="19" s="1"/>
  <c r="AE134" i="19"/>
  <c r="AF134" i="19" s="1"/>
  <c r="AH133" i="19"/>
  <c r="AI133" i="19" s="1"/>
  <c r="AU134" i="19"/>
  <c r="AV134" i="19" s="1"/>
  <c r="AU133" i="19"/>
  <c r="AV133" i="19" s="1"/>
  <c r="BC131" i="19"/>
  <c r="BC130" i="19"/>
  <c r="BC129" i="19"/>
  <c r="BC128" i="19"/>
  <c r="BC127" i="19"/>
  <c r="BC126" i="19"/>
  <c r="BC125" i="19"/>
  <c r="BC124" i="19"/>
  <c r="AZ131" i="19"/>
  <c r="AZ130" i="19"/>
  <c r="AZ129" i="19"/>
  <c r="AZ128" i="19"/>
  <c r="AZ127" i="19"/>
  <c r="AZ126" i="19"/>
  <c r="AZ125" i="19"/>
  <c r="AZ124" i="19"/>
  <c r="AW131" i="19"/>
  <c r="AW130" i="19"/>
  <c r="AW129" i="19"/>
  <c r="AW128" i="19"/>
  <c r="AW127" i="19"/>
  <c r="AW126" i="19"/>
  <c r="AW125" i="19"/>
  <c r="AW124" i="19"/>
  <c r="AT131" i="19"/>
  <c r="AT130" i="19"/>
  <c r="AT129" i="19"/>
  <c r="AT128" i="19"/>
  <c r="AT127" i="19"/>
  <c r="AT126" i="19"/>
  <c r="AT125" i="19"/>
  <c r="AQ131" i="19"/>
  <c r="AQ130" i="19"/>
  <c r="AQ129" i="19"/>
  <c r="AQ128" i="19"/>
  <c r="AQ127" i="19"/>
  <c r="AQ126" i="19"/>
  <c r="AQ125" i="19"/>
  <c r="AQ124" i="19"/>
  <c r="AO131" i="19"/>
  <c r="AP131" i="19" s="1"/>
  <c r="AO130" i="19"/>
  <c r="AP130" i="19" s="1"/>
  <c r="AO129" i="19"/>
  <c r="AP129" i="19" s="1"/>
  <c r="AO128" i="19"/>
  <c r="AP128" i="19" s="1"/>
  <c r="AO127" i="19"/>
  <c r="AP127" i="19" s="1"/>
  <c r="AO126" i="19"/>
  <c r="AP126" i="19" s="1"/>
  <c r="AO125" i="19"/>
  <c r="AP125" i="19" s="1"/>
  <c r="AO124" i="19"/>
  <c r="AP124" i="19" s="1"/>
  <c r="AN131" i="19"/>
  <c r="AN130" i="19"/>
  <c r="AN129" i="19"/>
  <c r="AN128" i="19"/>
  <c r="AN127" i="19"/>
  <c r="AN126" i="19"/>
  <c r="AN125" i="19"/>
  <c r="AN124" i="19"/>
  <c r="AM131" i="19"/>
  <c r="AM130" i="19"/>
  <c r="AM129" i="19"/>
  <c r="AM128" i="19"/>
  <c r="AM127" i="19"/>
  <c r="AM126" i="19"/>
  <c r="AM125" i="19"/>
  <c r="AM124" i="19"/>
  <c r="AJ131" i="19"/>
  <c r="AJ130" i="19"/>
  <c r="AJ129" i="19"/>
  <c r="AJ128" i="19"/>
  <c r="AJ127" i="19"/>
  <c r="AJ126" i="19"/>
  <c r="AJ125" i="19"/>
  <c r="AJ124" i="19"/>
  <c r="AG131" i="19"/>
  <c r="AG130" i="19"/>
  <c r="AG129" i="19"/>
  <c r="AG128" i="19"/>
  <c r="AG127" i="19"/>
  <c r="AG126" i="19"/>
  <c r="AG125" i="19"/>
  <c r="AG124" i="19"/>
  <c r="AD131" i="19"/>
  <c r="AD130" i="19"/>
  <c r="AD129" i="19"/>
  <c r="AD128" i="19"/>
  <c r="AD127" i="19"/>
  <c r="AD126" i="19"/>
  <c r="AD125" i="19"/>
  <c r="AD124" i="19"/>
  <c r="B125" i="19"/>
  <c r="B126" i="19"/>
  <c r="B127" i="19"/>
  <c r="B128" i="19"/>
  <c r="B129" i="19"/>
  <c r="B130" i="19"/>
  <c r="B131" i="19"/>
  <c r="E125" i="19"/>
  <c r="E126" i="19"/>
  <c r="E127" i="19"/>
  <c r="E128" i="19"/>
  <c r="E129" i="19"/>
  <c r="E130" i="19"/>
  <c r="E131" i="19"/>
  <c r="F125" i="19"/>
  <c r="BW125" i="19" s="1"/>
  <c r="F126" i="19"/>
  <c r="BW126" i="19" s="1"/>
  <c r="F127" i="19"/>
  <c r="BW127" i="19" s="1"/>
  <c r="F128" i="19"/>
  <c r="BW128" i="19" s="1"/>
  <c r="F129" i="19"/>
  <c r="BW129" i="19" s="1"/>
  <c r="F130" i="19"/>
  <c r="BW130" i="19" s="1"/>
  <c r="F131" i="19"/>
  <c r="BW131" i="19" s="1"/>
  <c r="G125" i="19"/>
  <c r="H125" i="19" s="1"/>
  <c r="G126" i="19"/>
  <c r="H126" i="19" s="1"/>
  <c r="G127" i="19"/>
  <c r="H127" i="19" s="1"/>
  <c r="G128" i="19"/>
  <c r="H128" i="19" s="1"/>
  <c r="G129" i="19"/>
  <c r="H129" i="19" s="1"/>
  <c r="G130" i="19"/>
  <c r="H130" i="19" s="1"/>
  <c r="G131" i="19"/>
  <c r="H131" i="19" s="1"/>
  <c r="I131" i="19"/>
  <c r="I130" i="19"/>
  <c r="I129" i="19"/>
  <c r="I128" i="19"/>
  <c r="I127" i="19"/>
  <c r="I126" i="19"/>
  <c r="I125" i="19"/>
  <c r="I124" i="19"/>
  <c r="J131" i="19"/>
  <c r="BM131" i="19" s="1"/>
  <c r="BN131" i="19" s="1"/>
  <c r="J130" i="19"/>
  <c r="BM130" i="19" s="1"/>
  <c r="BN130" i="19" s="1"/>
  <c r="J129" i="19"/>
  <c r="BM129" i="19" s="1"/>
  <c r="BN129" i="19" s="1"/>
  <c r="J128" i="19"/>
  <c r="BM128" i="19" s="1"/>
  <c r="BN128" i="19" s="1"/>
  <c r="J127" i="19"/>
  <c r="BM127" i="19" s="1"/>
  <c r="BN127" i="19" s="1"/>
  <c r="J126" i="19"/>
  <c r="BM126" i="19" s="1"/>
  <c r="BN126" i="19" s="1"/>
  <c r="J125" i="19"/>
  <c r="BM125" i="19" s="1"/>
  <c r="BN125" i="19" s="1"/>
  <c r="J124" i="19"/>
  <c r="BM124" i="19" s="1"/>
  <c r="BN124" i="19" s="1"/>
  <c r="G124" i="19"/>
  <c r="H124" i="19" s="1"/>
  <c r="F124" i="19"/>
  <c r="BW124" i="19" s="1"/>
  <c r="E124" i="19"/>
  <c r="B124" i="19"/>
  <c r="BJ129" i="19" l="1"/>
  <c r="BK129" i="19" s="1"/>
  <c r="BG129" i="19"/>
  <c r="BH129" i="19" s="1"/>
  <c r="BJ124" i="19"/>
  <c r="BK124" i="19" s="1"/>
  <c r="BG124" i="19"/>
  <c r="BH124" i="19" s="1"/>
  <c r="BJ125" i="19"/>
  <c r="BK125" i="19" s="1"/>
  <c r="BG125" i="19"/>
  <c r="BH125" i="19" s="1"/>
  <c r="BJ130" i="19"/>
  <c r="BK130" i="19" s="1"/>
  <c r="BG130" i="19"/>
  <c r="BH130" i="19" s="1"/>
  <c r="BJ126" i="19"/>
  <c r="BK126" i="19" s="1"/>
  <c r="BG126" i="19"/>
  <c r="BH126" i="19" s="1"/>
  <c r="BJ127" i="19"/>
  <c r="BK127" i="19" s="1"/>
  <c r="BG127" i="19"/>
  <c r="BH127" i="19" s="1"/>
  <c r="BJ131" i="19"/>
  <c r="BK131" i="19" s="1"/>
  <c r="BG131" i="19"/>
  <c r="BH131" i="19" s="1"/>
  <c r="BJ128" i="19"/>
  <c r="BK128" i="19" s="1"/>
  <c r="BG128" i="19"/>
  <c r="BH128" i="19" s="1"/>
  <c r="BS130" i="19"/>
  <c r="BU130" i="19"/>
  <c r="BU129" i="19"/>
  <c r="BS129" i="19"/>
  <c r="BS128" i="19"/>
  <c r="BU128" i="19"/>
  <c r="BS127" i="19"/>
  <c r="BU127" i="19"/>
  <c r="BU131" i="19"/>
  <c r="BS131" i="19"/>
  <c r="BU126" i="19"/>
  <c r="BS126" i="19"/>
  <c r="BU125" i="19"/>
  <c r="BS125" i="19"/>
  <c r="BS124" i="19"/>
  <c r="BU124" i="19"/>
  <c r="BA129" i="19"/>
  <c r="BB129" i="19" s="1"/>
  <c r="BD131" i="19"/>
  <c r="BE131" i="19" s="1"/>
  <c r="AR126" i="19"/>
  <c r="AS126" i="19" s="1"/>
  <c r="BD127" i="19"/>
  <c r="BE127" i="19" s="1"/>
  <c r="AH131" i="19"/>
  <c r="AI131" i="19" s="1"/>
  <c r="AH124" i="19"/>
  <c r="AI124" i="19" s="1"/>
  <c r="AK124" i="19"/>
  <c r="AL124" i="19" s="1"/>
  <c r="AR124" i="19"/>
  <c r="AS124" i="19" s="1"/>
  <c r="AE125" i="19"/>
  <c r="AF125" i="19" s="1"/>
  <c r="AH125" i="19"/>
  <c r="AI125" i="19" s="1"/>
  <c r="AK125" i="19"/>
  <c r="AL125" i="19" s="1"/>
  <c r="AR125" i="19"/>
  <c r="AS125" i="19" s="1"/>
  <c r="BD126" i="19"/>
  <c r="BE126" i="19" s="1"/>
  <c r="AE124" i="19"/>
  <c r="AF124" i="19" s="1"/>
  <c r="AE126" i="19"/>
  <c r="AF126" i="19" s="1"/>
  <c r="AH126" i="19"/>
  <c r="AI126" i="19" s="1"/>
  <c r="AK126" i="19"/>
  <c r="AL126" i="19" s="1"/>
  <c r="AU125" i="19"/>
  <c r="AV125" i="19" s="1"/>
  <c r="AX128" i="19"/>
  <c r="AY128" i="19" s="1"/>
  <c r="AK128" i="19"/>
  <c r="AL128" i="19" s="1"/>
  <c r="AU129" i="19"/>
  <c r="AV129" i="19" s="1"/>
  <c r="AX130" i="19"/>
  <c r="AY130" i="19" s="1"/>
  <c r="BA130" i="19"/>
  <c r="BB130" i="19" s="1"/>
  <c r="BD130" i="19"/>
  <c r="BE130" i="19" s="1"/>
  <c r="AR130" i="19"/>
  <c r="AS130" i="19" s="1"/>
  <c r="AH130" i="19"/>
  <c r="AI130" i="19" s="1"/>
  <c r="AK127" i="19"/>
  <c r="AL127" i="19" s="1"/>
  <c r="AR129" i="19"/>
  <c r="AS129" i="19" s="1"/>
  <c r="AU128" i="19"/>
  <c r="AV128" i="19" s="1"/>
  <c r="AX127" i="19"/>
  <c r="AY127" i="19" s="1"/>
  <c r="BA126" i="19"/>
  <c r="BB126" i="19" s="1"/>
  <c r="BD125" i="19"/>
  <c r="BE125" i="19" s="1"/>
  <c r="AE127" i="19"/>
  <c r="AF127" i="19" s="1"/>
  <c r="AK129" i="19"/>
  <c r="AL129" i="19" s="1"/>
  <c r="AR131" i="19"/>
  <c r="AS131" i="19" s="1"/>
  <c r="AU130" i="19"/>
  <c r="AV130" i="19" s="1"/>
  <c r="BA128" i="19"/>
  <c r="BB128" i="19" s="1"/>
  <c r="AE128" i="19"/>
  <c r="AF128" i="19" s="1"/>
  <c r="AK130" i="19"/>
  <c r="AL130" i="19" s="1"/>
  <c r="AU131" i="19"/>
  <c r="AV131" i="19" s="1"/>
  <c r="BD128" i="19"/>
  <c r="BE128" i="19" s="1"/>
  <c r="AE129" i="19"/>
  <c r="AF129" i="19" s="1"/>
  <c r="AK131" i="19"/>
  <c r="AL131" i="19" s="1"/>
  <c r="AE130" i="19"/>
  <c r="AF130" i="19" s="1"/>
  <c r="AH127" i="19"/>
  <c r="AI127" i="19" s="1"/>
  <c r="AX124" i="19"/>
  <c r="AY124" i="19" s="1"/>
  <c r="AE131" i="19"/>
  <c r="AF131" i="19" s="1"/>
  <c r="AH128" i="19"/>
  <c r="AI128" i="19" s="1"/>
  <c r="AR127" i="19"/>
  <c r="AS127" i="19" s="1"/>
  <c r="AU126" i="19"/>
  <c r="AV126" i="19" s="1"/>
  <c r="AX125" i="19"/>
  <c r="AY125" i="19" s="1"/>
  <c r="BA124" i="19"/>
  <c r="BB124" i="19" s="1"/>
  <c r="AH129" i="19"/>
  <c r="AI129" i="19" s="1"/>
  <c r="AR128" i="19"/>
  <c r="AS128" i="19" s="1"/>
  <c r="AU127" i="19"/>
  <c r="AV127" i="19" s="1"/>
  <c r="AX126" i="19"/>
  <c r="AY126" i="19" s="1"/>
  <c r="BA125" i="19"/>
  <c r="BB125" i="19" s="1"/>
  <c r="BD124" i="19"/>
  <c r="BE124" i="19" s="1"/>
  <c r="AX131" i="19"/>
  <c r="AY131" i="19" s="1"/>
  <c r="BA131" i="19"/>
  <c r="BB131" i="19" s="1"/>
  <c r="AX129" i="19"/>
  <c r="AY129" i="19" s="1"/>
  <c r="BD129" i="19"/>
  <c r="BE129" i="19" s="1"/>
  <c r="BA127" i="19"/>
  <c r="BB127" i="19" s="1"/>
  <c r="BC123" i="19" l="1"/>
  <c r="BC122" i="19"/>
  <c r="BC121" i="19"/>
  <c r="BC120" i="19"/>
  <c r="BC119" i="19"/>
  <c r="BC118" i="19"/>
  <c r="BC117" i="19"/>
  <c r="AZ123" i="19"/>
  <c r="AZ122" i="19"/>
  <c r="AZ121" i="19"/>
  <c r="AZ120" i="19"/>
  <c r="AZ119" i="19"/>
  <c r="AZ118" i="19"/>
  <c r="AZ117" i="19"/>
  <c r="AW123" i="19"/>
  <c r="AW122" i="19"/>
  <c r="AW121" i="19"/>
  <c r="AW120" i="19"/>
  <c r="AW119" i="19"/>
  <c r="AW118" i="19"/>
  <c r="AW117" i="19"/>
  <c r="AT123" i="19"/>
  <c r="AT122" i="19"/>
  <c r="AT121" i="19"/>
  <c r="AT120" i="19"/>
  <c r="AT119" i="19"/>
  <c r="AT118" i="19"/>
  <c r="AT117" i="19"/>
  <c r="AQ123" i="19"/>
  <c r="AQ122" i="19"/>
  <c r="AQ121" i="19"/>
  <c r="AQ120" i="19"/>
  <c r="AQ119" i="19"/>
  <c r="AQ118" i="19"/>
  <c r="AQ117" i="19"/>
  <c r="AO123" i="19"/>
  <c r="AP123" i="19" s="1"/>
  <c r="AO122" i="19"/>
  <c r="AP122" i="19" s="1"/>
  <c r="AO121" i="19"/>
  <c r="AP121" i="19" s="1"/>
  <c r="AO120" i="19"/>
  <c r="AP120" i="19" s="1"/>
  <c r="AO119" i="19"/>
  <c r="AP119" i="19" s="1"/>
  <c r="AO118" i="19"/>
  <c r="AP118" i="19" s="1"/>
  <c r="AO117" i="19"/>
  <c r="AP117" i="19" s="1"/>
  <c r="AN123" i="19"/>
  <c r="AN122" i="19"/>
  <c r="AN121" i="19"/>
  <c r="AN120" i="19"/>
  <c r="AN119" i="19"/>
  <c r="AN118" i="19"/>
  <c r="AN117" i="19"/>
  <c r="AM123" i="19"/>
  <c r="AM122" i="19"/>
  <c r="AM121" i="19"/>
  <c r="AM120" i="19"/>
  <c r="AM119" i="19"/>
  <c r="AM118" i="19"/>
  <c r="AM117" i="19"/>
  <c r="AJ123" i="19"/>
  <c r="AJ122" i="19"/>
  <c r="AJ121" i="19"/>
  <c r="AJ120" i="19"/>
  <c r="AJ119" i="19"/>
  <c r="AJ118" i="19"/>
  <c r="AJ117" i="19"/>
  <c r="AG123" i="19"/>
  <c r="AG122" i="19"/>
  <c r="AG121" i="19"/>
  <c r="AG120" i="19"/>
  <c r="AG119" i="19"/>
  <c r="AG118" i="19"/>
  <c r="AG117" i="19"/>
  <c r="AD123" i="19"/>
  <c r="AD122" i="19"/>
  <c r="AD121" i="19"/>
  <c r="AD120" i="19"/>
  <c r="AD119" i="19"/>
  <c r="AD118" i="19"/>
  <c r="AD117" i="19"/>
  <c r="B118" i="19"/>
  <c r="B119" i="19"/>
  <c r="B120" i="19"/>
  <c r="B121" i="19"/>
  <c r="B122" i="19"/>
  <c r="B123" i="19"/>
  <c r="E118" i="19"/>
  <c r="E119" i="19"/>
  <c r="E120" i="19"/>
  <c r="E121" i="19"/>
  <c r="E122" i="19"/>
  <c r="E123" i="19"/>
  <c r="F118" i="19"/>
  <c r="BW118" i="19" s="1"/>
  <c r="F119" i="19"/>
  <c r="BW119" i="19" s="1"/>
  <c r="F120" i="19"/>
  <c r="BW120" i="19" s="1"/>
  <c r="F121" i="19"/>
  <c r="BW121" i="19" s="1"/>
  <c r="F122" i="19"/>
  <c r="BW122" i="19" s="1"/>
  <c r="F123" i="19"/>
  <c r="BW123" i="19" s="1"/>
  <c r="G118" i="19"/>
  <c r="H118" i="19" s="1"/>
  <c r="G119" i="19"/>
  <c r="H119" i="19" s="1"/>
  <c r="G120" i="19"/>
  <c r="H120" i="19" s="1"/>
  <c r="G121" i="19"/>
  <c r="H121" i="19" s="1"/>
  <c r="G122" i="19"/>
  <c r="H122" i="19" s="1"/>
  <c r="G123" i="19"/>
  <c r="H123" i="19" s="1"/>
  <c r="I123" i="19"/>
  <c r="I122" i="19"/>
  <c r="I121" i="19"/>
  <c r="I120" i="19"/>
  <c r="I119" i="19"/>
  <c r="I118" i="19"/>
  <c r="I117" i="19"/>
  <c r="J123" i="19"/>
  <c r="BM123" i="19" s="1"/>
  <c r="BN123" i="19" s="1"/>
  <c r="J122" i="19"/>
  <c r="BM122" i="19" s="1"/>
  <c r="BN122" i="19" s="1"/>
  <c r="J121" i="19"/>
  <c r="BM121" i="19" s="1"/>
  <c r="BN121" i="19" s="1"/>
  <c r="J120" i="19"/>
  <c r="BM120" i="19" s="1"/>
  <c r="BN120" i="19" s="1"/>
  <c r="J119" i="19"/>
  <c r="J118" i="19"/>
  <c r="BM118" i="19" s="1"/>
  <c r="BN118" i="19" s="1"/>
  <c r="J117" i="19"/>
  <c r="G117" i="19"/>
  <c r="H117" i="19" s="1"/>
  <c r="F117" i="19"/>
  <c r="BW117" i="19" s="1"/>
  <c r="E117" i="19"/>
  <c r="B117" i="19"/>
  <c r="BG117" i="19" l="1"/>
  <c r="BH117" i="19" s="1"/>
  <c r="BM117" i="19"/>
  <c r="BN117" i="19" s="1"/>
  <c r="BG119" i="19"/>
  <c r="BH119" i="19" s="1"/>
  <c r="BM119" i="19"/>
  <c r="BN119" i="19" s="1"/>
  <c r="BJ120" i="19"/>
  <c r="BK120" i="19" s="1"/>
  <c r="BG120" i="19"/>
  <c r="BH120" i="19" s="1"/>
  <c r="BJ121" i="19"/>
  <c r="BK121" i="19" s="1"/>
  <c r="BG121" i="19"/>
  <c r="BH121" i="19" s="1"/>
  <c r="BJ122" i="19"/>
  <c r="BK122" i="19" s="1"/>
  <c r="BG122" i="19"/>
  <c r="BH122" i="19" s="1"/>
  <c r="BJ123" i="19"/>
  <c r="BK123" i="19" s="1"/>
  <c r="BG123" i="19"/>
  <c r="BH123" i="19" s="1"/>
  <c r="BJ118" i="19"/>
  <c r="BK118" i="19" s="1"/>
  <c r="BG118" i="19"/>
  <c r="BH118" i="19" s="1"/>
  <c r="BS119" i="19"/>
  <c r="BU119" i="19"/>
  <c r="BU118" i="19"/>
  <c r="BS118" i="19"/>
  <c r="BU117" i="19"/>
  <c r="BS117" i="19"/>
  <c r="BU120" i="19"/>
  <c r="BS120" i="19"/>
  <c r="BU123" i="19"/>
  <c r="BS123" i="19"/>
  <c r="BS122" i="19"/>
  <c r="BU122" i="19"/>
  <c r="BU121" i="19"/>
  <c r="BS121" i="19"/>
  <c r="AR117" i="19"/>
  <c r="AS117" i="19" s="1"/>
  <c r="BJ117" i="19"/>
  <c r="BK117" i="19" s="1"/>
  <c r="AR119" i="19"/>
  <c r="AS119" i="19" s="1"/>
  <c r="BJ119" i="19"/>
  <c r="BK119" i="19" s="1"/>
  <c r="AE117" i="19"/>
  <c r="AF117" i="19" s="1"/>
  <c r="BD121" i="19"/>
  <c r="BE121" i="19" s="1"/>
  <c r="AX118" i="19"/>
  <c r="AY118" i="19" s="1"/>
  <c r="AR118" i="19"/>
  <c r="AS118" i="19" s="1"/>
  <c r="BA121" i="19"/>
  <c r="BB121" i="19" s="1"/>
  <c r="AE121" i="19"/>
  <c r="AF121" i="19" s="1"/>
  <c r="AK123" i="19"/>
  <c r="AL123" i="19" s="1"/>
  <c r="BA120" i="19"/>
  <c r="BB120" i="19" s="1"/>
  <c r="AK121" i="19"/>
  <c r="AL121" i="19" s="1"/>
  <c r="AR121" i="19"/>
  <c r="AS121" i="19" s="1"/>
  <c r="AE122" i="19"/>
  <c r="AF122" i="19" s="1"/>
  <c r="AH123" i="19"/>
  <c r="AI123" i="19" s="1"/>
  <c r="AU120" i="19"/>
  <c r="AV120" i="19" s="1"/>
  <c r="BD122" i="19"/>
  <c r="BE122" i="19" s="1"/>
  <c r="AE123" i="19"/>
  <c r="AF123" i="19" s="1"/>
  <c r="AK117" i="19"/>
  <c r="AL117" i="19" s="1"/>
  <c r="AU121" i="19"/>
  <c r="AV121" i="19" s="1"/>
  <c r="AU122" i="19"/>
  <c r="AV122" i="19" s="1"/>
  <c r="AR122" i="19"/>
  <c r="AS122" i="19" s="1"/>
  <c r="BA117" i="19"/>
  <c r="BB117" i="19" s="1"/>
  <c r="AE120" i="19"/>
  <c r="AF120" i="19" s="1"/>
  <c r="BD120" i="19"/>
  <c r="BE120" i="19" s="1"/>
  <c r="AH122" i="19"/>
  <c r="AI122" i="19" s="1"/>
  <c r="AK122" i="19"/>
  <c r="AL122" i="19" s="1"/>
  <c r="AR120" i="19"/>
  <c r="AS120" i="19" s="1"/>
  <c r="AX123" i="19"/>
  <c r="AY123" i="19" s="1"/>
  <c r="BA123" i="19"/>
  <c r="BB123" i="19" s="1"/>
  <c r="AH120" i="19"/>
  <c r="AI120" i="19" s="1"/>
  <c r="AR123" i="19"/>
  <c r="AS123" i="19" s="1"/>
  <c r="BA118" i="19"/>
  <c r="BB118" i="19" s="1"/>
  <c r="BD123" i="19"/>
  <c r="BE123" i="19" s="1"/>
  <c r="AK118" i="19"/>
  <c r="AL118" i="19" s="1"/>
  <c r="AU123" i="19"/>
  <c r="AV123" i="19" s="1"/>
  <c r="AX119" i="19"/>
  <c r="AY119" i="19" s="1"/>
  <c r="BA119" i="19"/>
  <c r="BB119" i="19" s="1"/>
  <c r="BD117" i="19"/>
  <c r="BE117" i="19" s="1"/>
  <c r="AH119" i="19"/>
  <c r="AI119" i="19" s="1"/>
  <c r="AK119" i="19"/>
  <c r="AL119" i="19" s="1"/>
  <c r="AU117" i="19"/>
  <c r="AV117" i="19" s="1"/>
  <c r="BD118" i="19"/>
  <c r="BE118" i="19" s="1"/>
  <c r="AE118" i="19"/>
  <c r="AF118" i="19" s="1"/>
  <c r="AU118" i="19"/>
  <c r="AV118" i="19" s="1"/>
  <c r="AX121" i="19"/>
  <c r="AY121" i="19" s="1"/>
  <c r="BD119" i="19"/>
  <c r="BE119" i="19" s="1"/>
  <c r="AX120" i="19"/>
  <c r="AY120" i="19" s="1"/>
  <c r="AE119" i="19"/>
  <c r="AF119" i="19" s="1"/>
  <c r="AH121" i="19"/>
  <c r="AI121" i="19" s="1"/>
  <c r="AU119" i="19"/>
  <c r="AV119" i="19" s="1"/>
  <c r="AX122" i="19"/>
  <c r="AY122" i="19" s="1"/>
  <c r="BA122" i="19"/>
  <c r="BB122" i="19" s="1"/>
  <c r="AH118" i="19"/>
  <c r="AI118" i="19" s="1"/>
  <c r="AK120" i="19"/>
  <c r="AL120" i="19" s="1"/>
  <c r="AH117" i="19"/>
  <c r="AI117" i="19" s="1"/>
  <c r="AX117" i="19"/>
  <c r="AY117" i="19" s="1"/>
  <c r="BC116" i="19"/>
  <c r="BC115" i="19"/>
  <c r="BC114" i="19"/>
  <c r="BC113" i="19"/>
  <c r="BC112" i="19"/>
  <c r="BC111" i="19"/>
  <c r="BC110" i="19"/>
  <c r="AZ116" i="19"/>
  <c r="AZ115" i="19"/>
  <c r="AZ114" i="19"/>
  <c r="AZ113" i="19"/>
  <c r="AZ112" i="19"/>
  <c r="AZ111" i="19"/>
  <c r="AZ110" i="19"/>
  <c r="AW116" i="19"/>
  <c r="AW115" i="19"/>
  <c r="AW114" i="19"/>
  <c r="AW113" i="19"/>
  <c r="AW112" i="19"/>
  <c r="AW111" i="19"/>
  <c r="AW110" i="19"/>
  <c r="AT116" i="19"/>
  <c r="AT115" i="19"/>
  <c r="AT114" i="19"/>
  <c r="AT113" i="19"/>
  <c r="AT112" i="19"/>
  <c r="AT111" i="19"/>
  <c r="AT110" i="19"/>
  <c r="AQ116" i="19"/>
  <c r="AQ115" i="19"/>
  <c r="AQ114" i="19"/>
  <c r="AQ113" i="19"/>
  <c r="AQ112" i="19"/>
  <c r="AQ111" i="19"/>
  <c r="AQ110" i="19"/>
  <c r="AO116" i="19"/>
  <c r="AP116" i="19" s="1"/>
  <c r="AO115" i="19"/>
  <c r="AP115" i="19" s="1"/>
  <c r="AO114" i="19"/>
  <c r="AP114" i="19" s="1"/>
  <c r="AO113" i="19"/>
  <c r="AP113" i="19" s="1"/>
  <c r="AO112" i="19"/>
  <c r="AP112" i="19" s="1"/>
  <c r="AO111" i="19"/>
  <c r="AP111" i="19" s="1"/>
  <c r="AO110" i="19"/>
  <c r="AP110" i="19" s="1"/>
  <c r="AN116" i="19"/>
  <c r="AN115" i="19"/>
  <c r="AN114" i="19"/>
  <c r="AN113" i="19"/>
  <c r="AN112" i="19"/>
  <c r="AN111" i="19"/>
  <c r="AN110" i="19"/>
  <c r="AM116" i="19"/>
  <c r="AM115" i="19"/>
  <c r="AM114" i="19"/>
  <c r="AM113" i="19"/>
  <c r="AM112" i="19"/>
  <c r="AM111" i="19"/>
  <c r="AM110" i="19"/>
  <c r="AJ116" i="19"/>
  <c r="AJ115" i="19"/>
  <c r="AJ114" i="19"/>
  <c r="AJ113" i="19"/>
  <c r="AJ112" i="19"/>
  <c r="AJ111" i="19"/>
  <c r="AJ110" i="19"/>
  <c r="AG116" i="19"/>
  <c r="AG115" i="19"/>
  <c r="AG114" i="19"/>
  <c r="AG113" i="19"/>
  <c r="AG112" i="19"/>
  <c r="AG111" i="19"/>
  <c r="AG110" i="19"/>
  <c r="AD116" i="19"/>
  <c r="AD115" i="19"/>
  <c r="AD114" i="19"/>
  <c r="AD113" i="19"/>
  <c r="AD112" i="19"/>
  <c r="AD111" i="19"/>
  <c r="AD110" i="19"/>
  <c r="B111" i="19"/>
  <c r="B112" i="19"/>
  <c r="B113" i="19"/>
  <c r="B114" i="19"/>
  <c r="B115" i="19"/>
  <c r="B116" i="19"/>
  <c r="E111" i="19"/>
  <c r="E112" i="19"/>
  <c r="E113" i="19"/>
  <c r="E114" i="19"/>
  <c r="E115" i="19"/>
  <c r="E116" i="19"/>
  <c r="F111" i="19"/>
  <c r="BW111" i="19" s="1"/>
  <c r="F112" i="19"/>
  <c r="BW112" i="19" s="1"/>
  <c r="F113" i="19"/>
  <c r="BW113" i="19" s="1"/>
  <c r="F114" i="19"/>
  <c r="BW114" i="19" s="1"/>
  <c r="F115" i="19"/>
  <c r="BW115" i="19" s="1"/>
  <c r="F116" i="19"/>
  <c r="BW116" i="19" s="1"/>
  <c r="G111" i="19"/>
  <c r="H111" i="19" s="1"/>
  <c r="G112" i="19"/>
  <c r="H112" i="19" s="1"/>
  <c r="G113" i="19"/>
  <c r="H113" i="19" s="1"/>
  <c r="G114" i="19"/>
  <c r="H114" i="19" s="1"/>
  <c r="G115" i="19"/>
  <c r="H115" i="19" s="1"/>
  <c r="G116" i="19"/>
  <c r="H116" i="19" s="1"/>
  <c r="I116" i="19"/>
  <c r="I115" i="19"/>
  <c r="I114" i="19"/>
  <c r="I113" i="19"/>
  <c r="I112" i="19"/>
  <c r="I111" i="19"/>
  <c r="I110" i="19"/>
  <c r="J116" i="19"/>
  <c r="BM116" i="19" s="1"/>
  <c r="BN116" i="19" s="1"/>
  <c r="J115" i="19"/>
  <c r="BM115" i="19" s="1"/>
  <c r="BN115" i="19" s="1"/>
  <c r="J114" i="19"/>
  <c r="J113" i="19"/>
  <c r="BM113" i="19" s="1"/>
  <c r="BN113" i="19" s="1"/>
  <c r="J112" i="19"/>
  <c r="BM112" i="19" s="1"/>
  <c r="BN112" i="19" s="1"/>
  <c r="J111" i="19"/>
  <c r="BM111" i="19" s="1"/>
  <c r="BN111" i="19" s="1"/>
  <c r="J110" i="19"/>
  <c r="BM110" i="19" s="1"/>
  <c r="BN110" i="19" s="1"/>
  <c r="G110" i="19"/>
  <c r="H110" i="19" s="1"/>
  <c r="F110" i="19"/>
  <c r="BW110" i="19" s="1"/>
  <c r="E110" i="19"/>
  <c r="B110" i="19"/>
  <c r="BG114" i="19" l="1"/>
  <c r="BH114" i="19" s="1"/>
  <c r="BM114" i="19"/>
  <c r="BN114" i="19" s="1"/>
  <c r="BJ115" i="19"/>
  <c r="BK115" i="19" s="1"/>
  <c r="BG115" i="19"/>
  <c r="BH115" i="19" s="1"/>
  <c r="BJ116" i="19"/>
  <c r="BK116" i="19" s="1"/>
  <c r="BG116" i="19"/>
  <c r="BH116" i="19" s="1"/>
  <c r="BJ111" i="19"/>
  <c r="BK111" i="19" s="1"/>
  <c r="BG111" i="19"/>
  <c r="BH111" i="19" s="1"/>
  <c r="BJ113" i="19"/>
  <c r="BK113" i="19" s="1"/>
  <c r="BG113" i="19"/>
  <c r="BH113" i="19" s="1"/>
  <c r="BJ110" i="19"/>
  <c r="BK110" i="19" s="1"/>
  <c r="BG110" i="19"/>
  <c r="BH110" i="19" s="1"/>
  <c r="BJ112" i="19"/>
  <c r="BK112" i="19" s="1"/>
  <c r="BG112" i="19"/>
  <c r="BH112" i="19" s="1"/>
  <c r="BU110" i="19"/>
  <c r="BS110" i="19"/>
  <c r="BU112" i="19"/>
  <c r="BS112" i="19"/>
  <c r="BU113" i="19"/>
  <c r="BS113" i="19"/>
  <c r="BS111" i="19"/>
  <c r="BU111" i="19"/>
  <c r="BS116" i="19"/>
  <c r="BU116" i="19"/>
  <c r="BS115" i="19"/>
  <c r="BU115" i="19"/>
  <c r="BS114" i="19"/>
  <c r="BU114" i="19"/>
  <c r="AU114" i="19"/>
  <c r="AV114" i="19" s="1"/>
  <c r="BJ114" i="19"/>
  <c r="BK114" i="19" s="1"/>
  <c r="AU113" i="19"/>
  <c r="AV113" i="19" s="1"/>
  <c r="AE114" i="19"/>
  <c r="AF114" i="19" s="1"/>
  <c r="AX112" i="19"/>
  <c r="AY112" i="19" s="1"/>
  <c r="AU115" i="19"/>
  <c r="AV115" i="19" s="1"/>
  <c r="AR111" i="19"/>
  <c r="AS111" i="19" s="1"/>
  <c r="AX116" i="19"/>
  <c r="AY116" i="19" s="1"/>
  <c r="AH112" i="19"/>
  <c r="AI112" i="19" s="1"/>
  <c r="BD110" i="19"/>
  <c r="BE110" i="19" s="1"/>
  <c r="AX111" i="19"/>
  <c r="AY111" i="19" s="1"/>
  <c r="AK115" i="19"/>
  <c r="AL115" i="19" s="1"/>
  <c r="AX115" i="19"/>
  <c r="AY115" i="19" s="1"/>
  <c r="BA116" i="19"/>
  <c r="BB116" i="19" s="1"/>
  <c r="AX110" i="19"/>
  <c r="AY110" i="19" s="1"/>
  <c r="AE115" i="19"/>
  <c r="AF115" i="19" s="1"/>
  <c r="BD113" i="19"/>
  <c r="BE113" i="19" s="1"/>
  <c r="AK114" i="19"/>
  <c r="AL114" i="19" s="1"/>
  <c r="AE116" i="19"/>
  <c r="AF116" i="19" s="1"/>
  <c r="AK110" i="19"/>
  <c r="AL110" i="19" s="1"/>
  <c r="BD114" i="19"/>
  <c r="BE114" i="19" s="1"/>
  <c r="AU111" i="19"/>
  <c r="AV111" i="19" s="1"/>
  <c r="AH110" i="19"/>
  <c r="AI110" i="19" s="1"/>
  <c r="AK111" i="19"/>
  <c r="AL111" i="19" s="1"/>
  <c r="AR110" i="19"/>
  <c r="AS110" i="19" s="1"/>
  <c r="AU110" i="19"/>
  <c r="AV110" i="19" s="1"/>
  <c r="BA115" i="19"/>
  <c r="BB115" i="19" s="1"/>
  <c r="BD112" i="19"/>
  <c r="BE112" i="19" s="1"/>
  <c r="AH114" i="19"/>
  <c r="AI114" i="19" s="1"/>
  <c r="AH115" i="19"/>
  <c r="AI115" i="19" s="1"/>
  <c r="AR113" i="19"/>
  <c r="AS113" i="19" s="1"/>
  <c r="BD116" i="19"/>
  <c r="BE116" i="19" s="1"/>
  <c r="AK113" i="19"/>
  <c r="AL113" i="19" s="1"/>
  <c r="AU112" i="19"/>
  <c r="AV112" i="19" s="1"/>
  <c r="AE110" i="19"/>
  <c r="AF110" i="19" s="1"/>
  <c r="AH116" i="19"/>
  <c r="AI116" i="19" s="1"/>
  <c r="BA110" i="19"/>
  <c r="BB110" i="19" s="1"/>
  <c r="AH113" i="19"/>
  <c r="AI113" i="19" s="1"/>
  <c r="AR112" i="19"/>
  <c r="AS112" i="19" s="1"/>
  <c r="AE111" i="19"/>
  <c r="AF111" i="19" s="1"/>
  <c r="AK116" i="19"/>
  <c r="AL116" i="19" s="1"/>
  <c r="AR115" i="19"/>
  <c r="AS115" i="19" s="1"/>
  <c r="AX113" i="19"/>
  <c r="AY113" i="19" s="1"/>
  <c r="BA111" i="19"/>
  <c r="BB111" i="19" s="1"/>
  <c r="AK112" i="19"/>
  <c r="AL112" i="19" s="1"/>
  <c r="BD115" i="19"/>
  <c r="BE115" i="19" s="1"/>
  <c r="AE112" i="19"/>
  <c r="AF112" i="19" s="1"/>
  <c r="AR116" i="19"/>
  <c r="AS116" i="19" s="1"/>
  <c r="AU116" i="19"/>
  <c r="AV116" i="19" s="1"/>
  <c r="AX114" i="19"/>
  <c r="AY114" i="19" s="1"/>
  <c r="BA112" i="19"/>
  <c r="BB112" i="19" s="1"/>
  <c r="BD111" i="19"/>
  <c r="BE111" i="19" s="1"/>
  <c r="AE113" i="19"/>
  <c r="AF113" i="19" s="1"/>
  <c r="BA114" i="19"/>
  <c r="BB114" i="19" s="1"/>
  <c r="AR114" i="19"/>
  <c r="AS114" i="19" s="1"/>
  <c r="BA113" i="19"/>
  <c r="BB113" i="19" s="1"/>
  <c r="AH111" i="19"/>
  <c r="AI111" i="19" s="1"/>
  <c r="BC109" i="19"/>
  <c r="BC108" i="19"/>
  <c r="BC107" i="19"/>
  <c r="BC106" i="19"/>
  <c r="BC105" i="19"/>
  <c r="BC104" i="19"/>
  <c r="BC103" i="19"/>
  <c r="BC102" i="19"/>
  <c r="AZ109" i="19"/>
  <c r="AZ108" i="19"/>
  <c r="AZ107" i="19"/>
  <c r="AZ106" i="19"/>
  <c r="AZ105" i="19"/>
  <c r="AZ104" i="19"/>
  <c r="AZ103" i="19"/>
  <c r="AZ102" i="19"/>
  <c r="AW109" i="19"/>
  <c r="AW108" i="19"/>
  <c r="AW107" i="19"/>
  <c r="AW106" i="19"/>
  <c r="AW105" i="19"/>
  <c r="AW104" i="19"/>
  <c r="AW103" i="19"/>
  <c r="AW102" i="19"/>
  <c r="AT109" i="19"/>
  <c r="AT108" i="19"/>
  <c r="AT107" i="19"/>
  <c r="AT106" i="19"/>
  <c r="AT105" i="19"/>
  <c r="AT104" i="19"/>
  <c r="AT103" i="19"/>
  <c r="AQ109" i="19"/>
  <c r="AQ108" i="19"/>
  <c r="AQ107" i="19"/>
  <c r="AQ106" i="19"/>
  <c r="AQ105" i="19"/>
  <c r="AQ104" i="19"/>
  <c r="AQ103" i="19"/>
  <c r="AQ102" i="19"/>
  <c r="AO109" i="19"/>
  <c r="AP109" i="19" s="1"/>
  <c r="AO108" i="19"/>
  <c r="AP108" i="19" s="1"/>
  <c r="AO107" i="19"/>
  <c r="AP107" i="19" s="1"/>
  <c r="AO106" i="19"/>
  <c r="AP106" i="19" s="1"/>
  <c r="AO105" i="19"/>
  <c r="AP105" i="19" s="1"/>
  <c r="AO104" i="19"/>
  <c r="AP104" i="19" s="1"/>
  <c r="AO103" i="19"/>
  <c r="AP103" i="19" s="1"/>
  <c r="AO102" i="19"/>
  <c r="AP102" i="19" s="1"/>
  <c r="AN109" i="19"/>
  <c r="AN108" i="19"/>
  <c r="AN107" i="19"/>
  <c r="AN106" i="19"/>
  <c r="AN105" i="19"/>
  <c r="AN104" i="19"/>
  <c r="AN103" i="19"/>
  <c r="AN102" i="19"/>
  <c r="AM109" i="19"/>
  <c r="AM108" i="19"/>
  <c r="AM107" i="19"/>
  <c r="AM106" i="19"/>
  <c r="AM105" i="19"/>
  <c r="AM104" i="19"/>
  <c r="AM103" i="19"/>
  <c r="AM102" i="19"/>
  <c r="AJ109" i="19"/>
  <c r="AJ108" i="19"/>
  <c r="AJ107" i="19"/>
  <c r="AJ106" i="19"/>
  <c r="AJ105" i="19"/>
  <c r="AJ104" i="19"/>
  <c r="AJ103" i="19"/>
  <c r="AJ102" i="19"/>
  <c r="AG109" i="19"/>
  <c r="AG108" i="19"/>
  <c r="AG107" i="19"/>
  <c r="AG106" i="19"/>
  <c r="AG105" i="19"/>
  <c r="AG104" i="19"/>
  <c r="AG103" i="19"/>
  <c r="AG102" i="19"/>
  <c r="AD109" i="19"/>
  <c r="AD108" i="19"/>
  <c r="AD107" i="19"/>
  <c r="AD106" i="19"/>
  <c r="AD105" i="19"/>
  <c r="AD104" i="19"/>
  <c r="AD103" i="19"/>
  <c r="AD102" i="19"/>
  <c r="B103" i="19"/>
  <c r="B104" i="19"/>
  <c r="B105" i="19"/>
  <c r="B106" i="19"/>
  <c r="B107" i="19"/>
  <c r="B108" i="19"/>
  <c r="B109" i="19"/>
  <c r="E103" i="19"/>
  <c r="E104" i="19"/>
  <c r="E105" i="19"/>
  <c r="E106" i="19"/>
  <c r="E107" i="19"/>
  <c r="E108" i="19"/>
  <c r="E109" i="19"/>
  <c r="F103" i="19"/>
  <c r="BW103" i="19" s="1"/>
  <c r="F104" i="19"/>
  <c r="BW104" i="19" s="1"/>
  <c r="F105" i="19"/>
  <c r="BW105" i="19" s="1"/>
  <c r="F106" i="19"/>
  <c r="BW106" i="19" s="1"/>
  <c r="F107" i="19"/>
  <c r="BW107" i="19" s="1"/>
  <c r="F108" i="19"/>
  <c r="BW108" i="19" s="1"/>
  <c r="F109" i="19"/>
  <c r="BW109" i="19" s="1"/>
  <c r="G103" i="19"/>
  <c r="H103" i="19" s="1"/>
  <c r="G104" i="19"/>
  <c r="H104" i="19" s="1"/>
  <c r="G105" i="19"/>
  <c r="H105" i="19" s="1"/>
  <c r="G106" i="19"/>
  <c r="H106" i="19" s="1"/>
  <c r="G107" i="19"/>
  <c r="H107" i="19" s="1"/>
  <c r="G108" i="19"/>
  <c r="H108" i="19" s="1"/>
  <c r="G109" i="19"/>
  <c r="H109" i="19" s="1"/>
  <c r="J109" i="19"/>
  <c r="BM109" i="19" s="1"/>
  <c r="BN109" i="19" s="1"/>
  <c r="J108" i="19"/>
  <c r="BM108" i="19" s="1"/>
  <c r="BN108" i="19" s="1"/>
  <c r="J107" i="19"/>
  <c r="BM107" i="19" s="1"/>
  <c r="BN107" i="19" s="1"/>
  <c r="J106" i="19"/>
  <c r="BM106" i="19" s="1"/>
  <c r="BN106" i="19" s="1"/>
  <c r="J105" i="19"/>
  <c r="BM105" i="19" s="1"/>
  <c r="BN105" i="19" s="1"/>
  <c r="J104" i="19"/>
  <c r="BM104" i="19" s="1"/>
  <c r="BN104" i="19" s="1"/>
  <c r="J103" i="19"/>
  <c r="J102" i="19"/>
  <c r="BM102" i="19" s="1"/>
  <c r="BN102" i="19" s="1"/>
  <c r="I109" i="19"/>
  <c r="I108" i="19"/>
  <c r="I107" i="19"/>
  <c r="I106" i="19"/>
  <c r="I105" i="19"/>
  <c r="I104" i="19"/>
  <c r="I103" i="19"/>
  <c r="I102" i="19"/>
  <c r="G102" i="19"/>
  <c r="H102" i="19" s="1"/>
  <c r="F102" i="19"/>
  <c r="BW102" i="19" s="1"/>
  <c r="E102" i="19"/>
  <c r="B102" i="19"/>
  <c r="BG103" i="19" l="1"/>
  <c r="BH103" i="19" s="1"/>
  <c r="BM103" i="19"/>
  <c r="BN103" i="19" s="1"/>
  <c r="BJ106" i="19"/>
  <c r="BK106" i="19" s="1"/>
  <c r="BG106" i="19"/>
  <c r="BH106" i="19" s="1"/>
  <c r="BJ107" i="19"/>
  <c r="BK107" i="19" s="1"/>
  <c r="BG107" i="19"/>
  <c r="BH107" i="19" s="1"/>
  <c r="BJ108" i="19"/>
  <c r="BK108" i="19" s="1"/>
  <c r="BG108" i="19"/>
  <c r="BH108" i="19" s="1"/>
  <c r="BJ105" i="19"/>
  <c r="BK105" i="19" s="1"/>
  <c r="BG105" i="19"/>
  <c r="BH105" i="19" s="1"/>
  <c r="BJ109" i="19"/>
  <c r="BK109" i="19" s="1"/>
  <c r="BG109" i="19"/>
  <c r="BH109" i="19" s="1"/>
  <c r="BJ102" i="19"/>
  <c r="BK102" i="19" s="1"/>
  <c r="BG102" i="19"/>
  <c r="BH102" i="19" s="1"/>
  <c r="BJ104" i="19"/>
  <c r="BK104" i="19" s="1"/>
  <c r="BG104" i="19"/>
  <c r="BH104" i="19" s="1"/>
  <c r="BS103" i="19"/>
  <c r="BU103" i="19"/>
  <c r="BS102" i="19"/>
  <c r="BU102" i="19"/>
  <c r="BU109" i="19"/>
  <c r="BS109" i="19"/>
  <c r="BU107" i="19"/>
  <c r="BS107" i="19"/>
  <c r="BS106" i="19"/>
  <c r="BU106" i="19"/>
  <c r="BU104" i="19"/>
  <c r="BS104" i="19"/>
  <c r="BS108" i="19"/>
  <c r="BU108" i="19"/>
  <c r="BU105" i="19"/>
  <c r="BS105" i="19"/>
  <c r="AU103" i="19"/>
  <c r="AV103" i="19" s="1"/>
  <c r="BJ103" i="19"/>
  <c r="BK103" i="19" s="1"/>
  <c r="BA102" i="19"/>
  <c r="BB102" i="19" s="1"/>
  <c r="AR108" i="19"/>
  <c r="AS108" i="19" s="1"/>
  <c r="AE107" i="19"/>
  <c r="AF107" i="19" s="1"/>
  <c r="AE103" i="19"/>
  <c r="AF103" i="19" s="1"/>
  <c r="AE104" i="19"/>
  <c r="AF104" i="19" s="1"/>
  <c r="AR104" i="19"/>
  <c r="AS104" i="19" s="1"/>
  <c r="AU105" i="19"/>
  <c r="AV105" i="19" s="1"/>
  <c r="BD105" i="19"/>
  <c r="BE105" i="19" s="1"/>
  <c r="AX106" i="19"/>
  <c r="AY106" i="19" s="1"/>
  <c r="AK104" i="19"/>
  <c r="AL104" i="19" s="1"/>
  <c r="AX102" i="19"/>
  <c r="AY102" i="19" s="1"/>
  <c r="AE102" i="19"/>
  <c r="AF102" i="19" s="1"/>
  <c r="AH102" i="19"/>
  <c r="AI102" i="19" s="1"/>
  <c r="AK106" i="19"/>
  <c r="AL106" i="19" s="1"/>
  <c r="AR106" i="19"/>
  <c r="AS106" i="19" s="1"/>
  <c r="AX107" i="19"/>
  <c r="AY107" i="19" s="1"/>
  <c r="AU109" i="19"/>
  <c r="AV109" i="19" s="1"/>
  <c r="AE105" i="19"/>
  <c r="AF105" i="19" s="1"/>
  <c r="AR107" i="19"/>
  <c r="AS107" i="19" s="1"/>
  <c r="BA106" i="19"/>
  <c r="BB106" i="19" s="1"/>
  <c r="BD106" i="19"/>
  <c r="BE106" i="19" s="1"/>
  <c r="AH104" i="19"/>
  <c r="AI104" i="19" s="1"/>
  <c r="AK103" i="19"/>
  <c r="AL103" i="19" s="1"/>
  <c r="AK102" i="19"/>
  <c r="AL102" i="19" s="1"/>
  <c r="BA107" i="19"/>
  <c r="BB107" i="19" s="1"/>
  <c r="AH105" i="19"/>
  <c r="AI105" i="19" s="1"/>
  <c r="AR102" i="19"/>
  <c r="AS102" i="19" s="1"/>
  <c r="AE106" i="19"/>
  <c r="AF106" i="19" s="1"/>
  <c r="BD107" i="19"/>
  <c r="BE107" i="19" s="1"/>
  <c r="AR105" i="19"/>
  <c r="AS105" i="19" s="1"/>
  <c r="AK105" i="19"/>
  <c r="AL105" i="19" s="1"/>
  <c r="AU104" i="19"/>
  <c r="AV104" i="19" s="1"/>
  <c r="BD102" i="19"/>
  <c r="BE102" i="19" s="1"/>
  <c r="AH107" i="19"/>
  <c r="AI107" i="19" s="1"/>
  <c r="BD104" i="19"/>
  <c r="BE104" i="19" s="1"/>
  <c r="AH109" i="19"/>
  <c r="AI109" i="19" s="1"/>
  <c r="AK107" i="19"/>
  <c r="AL107" i="19" s="1"/>
  <c r="AU106" i="19"/>
  <c r="AV106" i="19" s="1"/>
  <c r="AX105" i="19"/>
  <c r="AY105" i="19" s="1"/>
  <c r="BA108" i="19"/>
  <c r="BB108" i="19" s="1"/>
  <c r="AX104" i="19"/>
  <c r="AY104" i="19" s="1"/>
  <c r="BA109" i="19"/>
  <c r="BB109" i="19" s="1"/>
  <c r="AH103" i="19"/>
  <c r="AI103" i="19" s="1"/>
  <c r="AR109" i="19"/>
  <c r="AS109" i="19" s="1"/>
  <c r="AU107" i="19"/>
  <c r="AV107" i="19" s="1"/>
  <c r="BD108" i="19"/>
  <c r="BE108" i="19" s="1"/>
  <c r="AU108" i="19"/>
  <c r="AV108" i="19" s="1"/>
  <c r="BA104" i="19"/>
  <c r="BB104" i="19" s="1"/>
  <c r="BD109" i="19"/>
  <c r="BE109" i="19" s="1"/>
  <c r="AE108" i="19"/>
  <c r="AF108" i="19" s="1"/>
  <c r="AK109" i="19"/>
  <c r="AL109" i="19" s="1"/>
  <c r="AE109" i="19"/>
  <c r="AF109" i="19" s="1"/>
  <c r="AR103" i="19"/>
  <c r="AS103" i="19" s="1"/>
  <c r="AX108" i="19"/>
  <c r="AY108" i="19" s="1"/>
  <c r="BA105" i="19"/>
  <c r="BB105" i="19" s="1"/>
  <c r="AH106" i="19"/>
  <c r="AI106" i="19" s="1"/>
  <c r="AX109" i="19"/>
  <c r="AY109" i="19" s="1"/>
  <c r="AH108" i="19"/>
  <c r="AI108" i="19" s="1"/>
  <c r="AK108" i="19"/>
  <c r="AL108" i="19" s="1"/>
  <c r="AX103" i="19"/>
  <c r="AY103" i="19" s="1"/>
  <c r="BA103" i="19"/>
  <c r="BB103" i="19" s="1"/>
  <c r="BD103" i="19"/>
  <c r="BE103" i="19" s="1"/>
  <c r="B101" i="19" l="1"/>
  <c r="E101" i="19"/>
  <c r="F101" i="19"/>
  <c r="BW101" i="19" s="1"/>
  <c r="G101" i="19"/>
  <c r="H101" i="19" s="1"/>
  <c r="B98" i="19"/>
  <c r="E98" i="19"/>
  <c r="F98" i="19"/>
  <c r="BW98" i="19" s="1"/>
  <c r="G98" i="19"/>
  <c r="H98" i="19" s="1"/>
  <c r="B99" i="19"/>
  <c r="E99" i="19"/>
  <c r="F99" i="19"/>
  <c r="BW99" i="19" s="1"/>
  <c r="G99" i="19"/>
  <c r="H99" i="19" s="1"/>
  <c r="B96" i="19"/>
  <c r="E96" i="19"/>
  <c r="F96" i="19"/>
  <c r="BW96" i="19" s="1"/>
  <c r="G96" i="19"/>
  <c r="H96" i="19" s="1"/>
  <c r="B93" i="19"/>
  <c r="E93" i="19"/>
  <c r="F93" i="19"/>
  <c r="BW93" i="19" s="1"/>
  <c r="G93" i="19"/>
  <c r="H93" i="19" s="1"/>
  <c r="B94" i="19"/>
  <c r="E94" i="19"/>
  <c r="F94" i="19"/>
  <c r="BW94" i="19" s="1"/>
  <c r="G94" i="19"/>
  <c r="H94" i="19" s="1"/>
  <c r="B90" i="19"/>
  <c r="E90" i="19"/>
  <c r="F90" i="19"/>
  <c r="BW90" i="19" s="1"/>
  <c r="G90" i="19"/>
  <c r="H90" i="19" s="1"/>
  <c r="B91" i="19"/>
  <c r="E91" i="19"/>
  <c r="F91" i="19"/>
  <c r="BW91" i="19" s="1"/>
  <c r="G91" i="19"/>
  <c r="H91" i="19" s="1"/>
  <c r="B87" i="19"/>
  <c r="E87" i="19"/>
  <c r="F87" i="19"/>
  <c r="BW87" i="19" s="1"/>
  <c r="G87" i="19"/>
  <c r="H87" i="19" s="1"/>
  <c r="B88" i="19"/>
  <c r="E88" i="19"/>
  <c r="F88" i="19"/>
  <c r="BW88" i="19" s="1"/>
  <c r="G88" i="19"/>
  <c r="H88" i="19" s="1"/>
  <c r="B83" i="19"/>
  <c r="E83" i="19"/>
  <c r="F83" i="19"/>
  <c r="BW83" i="19" s="1"/>
  <c r="G83" i="19"/>
  <c r="H83" i="19" s="1"/>
  <c r="B84" i="19"/>
  <c r="E84" i="19"/>
  <c r="F84" i="19"/>
  <c r="BW84" i="19" s="1"/>
  <c r="G84" i="19"/>
  <c r="H84" i="19" s="1"/>
  <c r="B85" i="19"/>
  <c r="E85" i="19"/>
  <c r="F85" i="19"/>
  <c r="BW85" i="19" s="1"/>
  <c r="G85" i="19"/>
  <c r="H85" i="19" s="1"/>
  <c r="B79" i="19"/>
  <c r="E79" i="19"/>
  <c r="F79" i="19"/>
  <c r="BW79" i="19" s="1"/>
  <c r="G79" i="19"/>
  <c r="H79" i="19" s="1"/>
  <c r="B80" i="19"/>
  <c r="E80" i="19"/>
  <c r="F80" i="19"/>
  <c r="BW80" i="19" s="1"/>
  <c r="G80" i="19"/>
  <c r="H80" i="19" s="1"/>
  <c r="B81" i="19"/>
  <c r="E81" i="19"/>
  <c r="F81" i="19"/>
  <c r="BW81" i="19" s="1"/>
  <c r="G81" i="19"/>
  <c r="H81" i="19" s="1"/>
  <c r="B76" i="19"/>
  <c r="E76" i="19"/>
  <c r="F76" i="19"/>
  <c r="BW76" i="19" s="1"/>
  <c r="G76" i="19"/>
  <c r="H76" i="19" s="1"/>
  <c r="B77" i="19"/>
  <c r="E77" i="19"/>
  <c r="F77" i="19"/>
  <c r="BW77" i="19" s="1"/>
  <c r="G77" i="19"/>
  <c r="H77" i="19" s="1"/>
  <c r="B73" i="19"/>
  <c r="E73" i="19"/>
  <c r="F73" i="19"/>
  <c r="BW73" i="19" s="1"/>
  <c r="G73" i="19"/>
  <c r="H73" i="19" s="1"/>
  <c r="B74" i="19"/>
  <c r="E74" i="19"/>
  <c r="F74" i="19"/>
  <c r="BW74" i="19" s="1"/>
  <c r="G74" i="19"/>
  <c r="H74" i="19" s="1"/>
  <c r="B71" i="19"/>
  <c r="E71" i="19"/>
  <c r="F71" i="19"/>
  <c r="BW71" i="19" s="1"/>
  <c r="G71" i="19"/>
  <c r="H71" i="19" s="1"/>
  <c r="B67" i="19"/>
  <c r="E67" i="19"/>
  <c r="F67" i="19"/>
  <c r="BW67" i="19" s="1"/>
  <c r="G67" i="19"/>
  <c r="H67" i="19" s="1"/>
  <c r="B68" i="19"/>
  <c r="E68" i="19"/>
  <c r="F68" i="19"/>
  <c r="BW68" i="19" s="1"/>
  <c r="G68" i="19"/>
  <c r="H68" i="19" s="1"/>
  <c r="B69" i="19"/>
  <c r="E69" i="19"/>
  <c r="F69" i="19"/>
  <c r="BW69" i="19" s="1"/>
  <c r="G69" i="19"/>
  <c r="H69" i="19" s="1"/>
  <c r="B62" i="19"/>
  <c r="E62" i="19"/>
  <c r="F62" i="19"/>
  <c r="BW62" i="19" s="1"/>
  <c r="G62" i="19"/>
  <c r="H62" i="19" s="1"/>
  <c r="B63" i="19"/>
  <c r="E63" i="19"/>
  <c r="F63" i="19"/>
  <c r="BW63" i="19" s="1"/>
  <c r="G63" i="19"/>
  <c r="H63" i="19" s="1"/>
  <c r="B64" i="19"/>
  <c r="E64" i="19"/>
  <c r="F64" i="19"/>
  <c r="BW64" i="19" s="1"/>
  <c r="G64" i="19"/>
  <c r="H64" i="19" s="1"/>
  <c r="B65" i="19"/>
  <c r="E65" i="19"/>
  <c r="F65" i="19"/>
  <c r="BW65" i="19" s="1"/>
  <c r="G65" i="19"/>
  <c r="H65" i="19" s="1"/>
  <c r="B55" i="19"/>
  <c r="E55" i="19"/>
  <c r="F55" i="19"/>
  <c r="BW55" i="19" s="1"/>
  <c r="G55" i="19"/>
  <c r="H55" i="19" s="1"/>
  <c r="B56" i="19"/>
  <c r="E56" i="19"/>
  <c r="F56" i="19"/>
  <c r="BW56" i="19" s="1"/>
  <c r="G56" i="19"/>
  <c r="H56" i="19" s="1"/>
  <c r="B57" i="19"/>
  <c r="E57" i="19"/>
  <c r="F57" i="19"/>
  <c r="BW57" i="19" s="1"/>
  <c r="G57" i="19"/>
  <c r="H57" i="19" s="1"/>
  <c r="B58" i="19"/>
  <c r="E58" i="19"/>
  <c r="F58" i="19"/>
  <c r="BW58" i="19" s="1"/>
  <c r="G58" i="19"/>
  <c r="H58" i="19" s="1"/>
  <c r="B59" i="19"/>
  <c r="E59" i="19"/>
  <c r="F59" i="19"/>
  <c r="BW59" i="19" s="1"/>
  <c r="G59" i="19"/>
  <c r="H59" i="19" s="1"/>
  <c r="B60" i="19"/>
  <c r="E60" i="19"/>
  <c r="F60" i="19"/>
  <c r="BW60" i="19" s="1"/>
  <c r="G60" i="19"/>
  <c r="H60" i="19" s="1"/>
  <c r="B50" i="19"/>
  <c r="E50" i="19"/>
  <c r="F50" i="19"/>
  <c r="BW50" i="19" s="1"/>
  <c r="G50" i="19"/>
  <c r="H50" i="19" s="1"/>
  <c r="B51" i="19"/>
  <c r="E51" i="19"/>
  <c r="F51" i="19"/>
  <c r="BW51" i="19" s="1"/>
  <c r="G51" i="19"/>
  <c r="H51" i="19" s="1"/>
  <c r="B52" i="19"/>
  <c r="E52" i="19"/>
  <c r="F52" i="19"/>
  <c r="BW52" i="19" s="1"/>
  <c r="G52" i="19"/>
  <c r="H52" i="19" s="1"/>
  <c r="B53" i="19"/>
  <c r="E53" i="19"/>
  <c r="F53" i="19"/>
  <c r="BW53" i="19" s="1"/>
  <c r="G53" i="19"/>
  <c r="H53" i="19" s="1"/>
  <c r="B39" i="19"/>
  <c r="E39" i="19"/>
  <c r="F39" i="19"/>
  <c r="BW39" i="19" s="1"/>
  <c r="G39" i="19"/>
  <c r="H39" i="19" s="1"/>
  <c r="B40" i="19"/>
  <c r="E40" i="19"/>
  <c r="F40" i="19"/>
  <c r="BW40" i="19" s="1"/>
  <c r="G40" i="19"/>
  <c r="H40" i="19" s="1"/>
  <c r="B41" i="19"/>
  <c r="E41" i="19"/>
  <c r="F41" i="19"/>
  <c r="BW41" i="19" s="1"/>
  <c r="G41" i="19"/>
  <c r="H41" i="19" s="1"/>
  <c r="B42" i="19"/>
  <c r="E42" i="19"/>
  <c r="F42" i="19"/>
  <c r="BW42" i="19" s="1"/>
  <c r="G42" i="19"/>
  <c r="H42" i="19" s="1"/>
  <c r="B43" i="19"/>
  <c r="E43" i="19"/>
  <c r="F43" i="19"/>
  <c r="BW43" i="19" s="1"/>
  <c r="G43" i="19"/>
  <c r="H43" i="19" s="1"/>
  <c r="E29" i="19"/>
  <c r="F29" i="19"/>
  <c r="BW29" i="19" s="1"/>
  <c r="G29" i="19"/>
  <c r="H29" i="19" s="1"/>
  <c r="E30" i="19"/>
  <c r="F30" i="19"/>
  <c r="BW30" i="19" s="1"/>
  <c r="G30" i="19"/>
  <c r="H30" i="19" s="1"/>
  <c r="B31" i="19"/>
  <c r="E31" i="19"/>
  <c r="F31" i="19"/>
  <c r="BW31" i="19" s="1"/>
  <c r="G31" i="19"/>
  <c r="H31" i="19" s="1"/>
  <c r="B32" i="19"/>
  <c r="E32" i="19"/>
  <c r="F32" i="19"/>
  <c r="BW32" i="19" s="1"/>
  <c r="G32" i="19"/>
  <c r="H32" i="19" s="1"/>
  <c r="B33" i="19"/>
  <c r="E33" i="19"/>
  <c r="F33" i="19"/>
  <c r="BW33" i="19" s="1"/>
  <c r="G33" i="19"/>
  <c r="H33" i="19" s="1"/>
  <c r="B34" i="19"/>
  <c r="E34" i="19"/>
  <c r="F34" i="19"/>
  <c r="BW34" i="19" s="1"/>
  <c r="G34" i="19"/>
  <c r="H34" i="19" s="1"/>
  <c r="B35" i="19"/>
  <c r="E35" i="19"/>
  <c r="F35" i="19"/>
  <c r="BW35" i="19" s="1"/>
  <c r="G35" i="19"/>
  <c r="H35" i="19" s="1"/>
  <c r="B36" i="19"/>
  <c r="E36" i="19"/>
  <c r="F36" i="19"/>
  <c r="BW36" i="19" s="1"/>
  <c r="G36" i="19"/>
  <c r="H36" i="19" s="1"/>
  <c r="B37" i="19"/>
  <c r="E37" i="19"/>
  <c r="F37" i="19"/>
  <c r="BW37" i="19" s="1"/>
  <c r="G37" i="19"/>
  <c r="H37" i="19" s="1"/>
  <c r="BC101" i="19"/>
  <c r="BC100" i="19"/>
  <c r="AZ101" i="19"/>
  <c r="AZ100" i="19"/>
  <c r="AW101" i="19"/>
  <c r="AW100" i="19"/>
  <c r="AT101" i="19"/>
  <c r="AT100" i="19"/>
  <c r="AQ101" i="19"/>
  <c r="AQ100" i="19"/>
  <c r="AO101" i="19"/>
  <c r="AP101" i="19" s="1"/>
  <c r="AO100" i="19"/>
  <c r="AP100" i="19" s="1"/>
  <c r="AN101" i="19"/>
  <c r="AN100" i="19"/>
  <c r="AM101" i="19"/>
  <c r="AM100" i="19"/>
  <c r="AJ101" i="19"/>
  <c r="AJ100" i="19"/>
  <c r="AG101" i="19"/>
  <c r="AG100" i="19"/>
  <c r="AD101" i="19"/>
  <c r="AD100" i="19"/>
  <c r="J101" i="19"/>
  <c r="BM101" i="19" s="1"/>
  <c r="BN101" i="19" s="1"/>
  <c r="J100" i="19"/>
  <c r="BM100" i="19" s="1"/>
  <c r="BN100" i="19" s="1"/>
  <c r="I101" i="19"/>
  <c r="I100" i="19"/>
  <c r="G100" i="19"/>
  <c r="H100" i="19" s="1"/>
  <c r="F100" i="19"/>
  <c r="BW100" i="19" s="1"/>
  <c r="E100" i="19"/>
  <c r="B100" i="19"/>
  <c r="B30" i="19" l="1"/>
  <c r="B29" i="19"/>
  <c r="BJ100" i="19"/>
  <c r="BK100" i="19" s="1"/>
  <c r="BG100" i="19"/>
  <c r="BH100" i="19" s="1"/>
  <c r="BJ101" i="19"/>
  <c r="BK101" i="19" s="1"/>
  <c r="BG101" i="19"/>
  <c r="BH101" i="19" s="1"/>
  <c r="BS100" i="19"/>
  <c r="BU100" i="19"/>
  <c r="BU37" i="19"/>
  <c r="BS37" i="19"/>
  <c r="BU35" i="19"/>
  <c r="BS35" i="19"/>
  <c r="BU33" i="19"/>
  <c r="BS33" i="19"/>
  <c r="BS31" i="19"/>
  <c r="BU31" i="19"/>
  <c r="BU29" i="19"/>
  <c r="BS29" i="19"/>
  <c r="BS42" i="19"/>
  <c r="BU42" i="19"/>
  <c r="BU40" i="19"/>
  <c r="BS40" i="19"/>
  <c r="BU53" i="19"/>
  <c r="BS53" i="19"/>
  <c r="BS51" i="19"/>
  <c r="BU51" i="19"/>
  <c r="BS60" i="19"/>
  <c r="BU60" i="19"/>
  <c r="BS58" i="19"/>
  <c r="BU58" i="19"/>
  <c r="BU56" i="19"/>
  <c r="BS56" i="19"/>
  <c r="BU65" i="19"/>
  <c r="BS65" i="19"/>
  <c r="BS63" i="19"/>
  <c r="BU63" i="19"/>
  <c r="BU69" i="19"/>
  <c r="BS69" i="19"/>
  <c r="BU67" i="19"/>
  <c r="BS67" i="19"/>
  <c r="BS74" i="19"/>
  <c r="BU74" i="19"/>
  <c r="BS77" i="19"/>
  <c r="BU77" i="19"/>
  <c r="BU81" i="19"/>
  <c r="BS81" i="19"/>
  <c r="BS79" i="19"/>
  <c r="BU79" i="19"/>
  <c r="BS84" i="19"/>
  <c r="BU84" i="19"/>
  <c r="BU88" i="19"/>
  <c r="BS88" i="19"/>
  <c r="BU91" i="19"/>
  <c r="BS91" i="19"/>
  <c r="BU94" i="19"/>
  <c r="BS94" i="19"/>
  <c r="BU96" i="19"/>
  <c r="BS96" i="19"/>
  <c r="BS98" i="19"/>
  <c r="BU98" i="19"/>
  <c r="BS36" i="19"/>
  <c r="BU36" i="19"/>
  <c r="BS34" i="19"/>
  <c r="BU34" i="19"/>
  <c r="BU32" i="19"/>
  <c r="BS32" i="19"/>
  <c r="BU30" i="19"/>
  <c r="BS30" i="19"/>
  <c r="BU43" i="19"/>
  <c r="BS43" i="19"/>
  <c r="BU41" i="19"/>
  <c r="BS41" i="19"/>
  <c r="BS39" i="19"/>
  <c r="BU39" i="19"/>
  <c r="BS52" i="19"/>
  <c r="BU52" i="19"/>
  <c r="BS50" i="19"/>
  <c r="BU50" i="19"/>
  <c r="BU59" i="19"/>
  <c r="BS59" i="19"/>
  <c r="BU57" i="19"/>
  <c r="BS57" i="19"/>
  <c r="BS55" i="19"/>
  <c r="BU55" i="19"/>
  <c r="BS64" i="19"/>
  <c r="BU64" i="19"/>
  <c r="BU62" i="19"/>
  <c r="BS62" i="19"/>
  <c r="BS68" i="19"/>
  <c r="BU68" i="19"/>
  <c r="BS71" i="19"/>
  <c r="BU71" i="19"/>
  <c r="BU73" i="19"/>
  <c r="BS73" i="19"/>
  <c r="BS76" i="19"/>
  <c r="BU76" i="19"/>
  <c r="BU80" i="19"/>
  <c r="BS80" i="19"/>
  <c r="BU85" i="19"/>
  <c r="BS85" i="19"/>
  <c r="BU83" i="19"/>
  <c r="BS83" i="19"/>
  <c r="BS87" i="19"/>
  <c r="BU87" i="19"/>
  <c r="BS90" i="19"/>
  <c r="BU90" i="19"/>
  <c r="BU93" i="19"/>
  <c r="BS93" i="19"/>
  <c r="BU99" i="19"/>
  <c r="BS99" i="19"/>
  <c r="BU101" i="19"/>
  <c r="BS101" i="19"/>
  <c r="AE100" i="19"/>
  <c r="AF100" i="19" s="1"/>
  <c r="AU100" i="19"/>
  <c r="AV100" i="19" s="1"/>
  <c r="BD101" i="19"/>
  <c r="BE101" i="19" s="1"/>
  <c r="AE101" i="19"/>
  <c r="AF101" i="19" s="1"/>
  <c r="AX101" i="19"/>
  <c r="AY101" i="19" s="1"/>
  <c r="AR101" i="19"/>
  <c r="AS101" i="19" s="1"/>
  <c r="AU101" i="19"/>
  <c r="AV101" i="19" s="1"/>
  <c r="AX100" i="19"/>
  <c r="AY100" i="19" s="1"/>
  <c r="AR100" i="19"/>
  <c r="AS100" i="19" s="1"/>
  <c r="BD100" i="19"/>
  <c r="BE100" i="19" s="1"/>
  <c r="AH100" i="19"/>
  <c r="AI100" i="19" s="1"/>
  <c r="AH101" i="19"/>
  <c r="AI101" i="19" s="1"/>
  <c r="AK100" i="19"/>
  <c r="AL100" i="19" s="1"/>
  <c r="AK101" i="19"/>
  <c r="AL101" i="19" s="1"/>
  <c r="BA100" i="19"/>
  <c r="BB100" i="19" s="1"/>
  <c r="BA101" i="19"/>
  <c r="BB101" i="19" s="1"/>
  <c r="BC99" i="19"/>
  <c r="BC98" i="19"/>
  <c r="BC97" i="19"/>
  <c r="AZ99" i="19"/>
  <c r="AZ98" i="19"/>
  <c r="AZ97" i="19"/>
  <c r="AW99" i="19"/>
  <c r="AW98" i="19"/>
  <c r="AW97" i="19"/>
  <c r="AT99" i="19"/>
  <c r="AT98" i="19"/>
  <c r="AT97" i="19"/>
  <c r="AQ99" i="19"/>
  <c r="AQ98" i="19"/>
  <c r="AQ97" i="19"/>
  <c r="AO99" i="19"/>
  <c r="AP99" i="19" s="1"/>
  <c r="AO98" i="19"/>
  <c r="AP98" i="19" s="1"/>
  <c r="AO97" i="19"/>
  <c r="AP97" i="19" s="1"/>
  <c r="AN99" i="19"/>
  <c r="AN98" i="19"/>
  <c r="AN97" i="19"/>
  <c r="AM99" i="19"/>
  <c r="AM98" i="19"/>
  <c r="AM97" i="19"/>
  <c r="AJ99" i="19"/>
  <c r="AJ98" i="19"/>
  <c r="AJ97" i="19"/>
  <c r="AG99" i="19"/>
  <c r="AG98" i="19"/>
  <c r="AG97" i="19"/>
  <c r="AD99" i="19"/>
  <c r="AD98" i="19"/>
  <c r="AD97" i="19"/>
  <c r="J99" i="19"/>
  <c r="J98" i="19"/>
  <c r="BM98" i="19" s="1"/>
  <c r="BN98" i="19" s="1"/>
  <c r="J97" i="19"/>
  <c r="BM97" i="19" s="1"/>
  <c r="BN97" i="19" s="1"/>
  <c r="I99" i="19"/>
  <c r="I98" i="19"/>
  <c r="I97" i="19"/>
  <c r="G97" i="19"/>
  <c r="H97" i="19" s="1"/>
  <c r="F97" i="19"/>
  <c r="BW97" i="19" s="1"/>
  <c r="E97" i="19"/>
  <c r="B97" i="19"/>
  <c r="BG99" i="19" l="1"/>
  <c r="BH99" i="19" s="1"/>
  <c r="BM99" i="19"/>
  <c r="BN99" i="19" s="1"/>
  <c r="BJ98" i="19"/>
  <c r="BK98" i="19" s="1"/>
  <c r="BG98" i="19"/>
  <c r="BH98" i="19" s="1"/>
  <c r="BJ97" i="19"/>
  <c r="BK97" i="19" s="1"/>
  <c r="BG97" i="19"/>
  <c r="BH97" i="19" s="1"/>
  <c r="BU97" i="19"/>
  <c r="BS97" i="19"/>
  <c r="AU99" i="19"/>
  <c r="AV99" i="19" s="1"/>
  <c r="BJ99" i="19"/>
  <c r="BK99" i="19" s="1"/>
  <c r="AH99" i="19"/>
  <c r="AI99" i="19" s="1"/>
  <c r="AX98" i="19"/>
  <c r="AY98" i="19" s="1"/>
  <c r="BA97" i="19"/>
  <c r="BB97" i="19" s="1"/>
  <c r="AR97" i="19"/>
  <c r="AS97" i="19" s="1"/>
  <c r="AX99" i="19"/>
  <c r="AY99" i="19" s="1"/>
  <c r="AX97" i="19"/>
  <c r="AY97" i="19" s="1"/>
  <c r="AR98" i="19"/>
  <c r="AS98" i="19" s="1"/>
  <c r="BA99" i="19"/>
  <c r="BB99" i="19" s="1"/>
  <c r="BD97" i="19"/>
  <c r="BE97" i="19" s="1"/>
  <c r="AE98" i="19"/>
  <c r="AF98" i="19" s="1"/>
  <c r="AU98" i="19"/>
  <c r="AV98" i="19" s="1"/>
  <c r="AH97" i="19"/>
  <c r="AI97" i="19" s="1"/>
  <c r="BA98" i="19"/>
  <c r="BB98" i="19" s="1"/>
  <c r="AH98" i="19"/>
  <c r="AI98" i="19" s="1"/>
  <c r="BD98" i="19"/>
  <c r="BE98" i="19" s="1"/>
  <c r="AR99" i="19"/>
  <c r="AS99" i="19" s="1"/>
  <c r="AE99" i="19"/>
  <c r="AF99" i="19" s="1"/>
  <c r="AK98" i="19"/>
  <c r="AL98" i="19" s="1"/>
  <c r="BD99" i="19"/>
  <c r="BE99" i="19" s="1"/>
  <c r="AK99" i="19"/>
  <c r="AL99" i="19" s="1"/>
  <c r="AE97" i="19"/>
  <c r="AF97" i="19" s="1"/>
  <c r="AU97" i="19"/>
  <c r="AV97" i="19" s="1"/>
  <c r="AK97" i="19"/>
  <c r="AL97" i="19" s="1"/>
  <c r="BC96" i="19"/>
  <c r="BC95" i="19"/>
  <c r="AZ96" i="19"/>
  <c r="AZ95" i="19"/>
  <c r="AW96" i="19"/>
  <c r="AW95" i="19"/>
  <c r="AT96" i="19"/>
  <c r="AT95" i="19"/>
  <c r="AQ96" i="19"/>
  <c r="AQ95" i="19"/>
  <c r="AO96" i="19"/>
  <c r="AP96" i="19" s="1"/>
  <c r="AO95" i="19"/>
  <c r="AP95" i="19" s="1"/>
  <c r="AN96" i="19"/>
  <c r="AN95" i="19"/>
  <c r="AM96" i="19"/>
  <c r="AM95" i="19"/>
  <c r="AJ96" i="19"/>
  <c r="AJ95" i="19"/>
  <c r="AG96" i="19"/>
  <c r="AG95" i="19"/>
  <c r="AD96" i="19"/>
  <c r="AD95" i="19"/>
  <c r="J96" i="19"/>
  <c r="BM96" i="19" s="1"/>
  <c r="BN96" i="19" s="1"/>
  <c r="J95" i="19"/>
  <c r="BM95" i="19" s="1"/>
  <c r="BN95" i="19" s="1"/>
  <c r="I96" i="19"/>
  <c r="I95" i="19"/>
  <c r="G95" i="19"/>
  <c r="H95" i="19" s="1"/>
  <c r="F95" i="19"/>
  <c r="BW95" i="19" s="1"/>
  <c r="E95" i="19"/>
  <c r="B95" i="19"/>
  <c r="BJ95" i="19" l="1"/>
  <c r="BK95" i="19" s="1"/>
  <c r="BG95" i="19"/>
  <c r="BH95" i="19" s="1"/>
  <c r="BJ96" i="19"/>
  <c r="BK96" i="19" s="1"/>
  <c r="BG96" i="19"/>
  <c r="BH96" i="19" s="1"/>
  <c r="BS95" i="19"/>
  <c r="BU95" i="19"/>
  <c r="AU96" i="19"/>
  <c r="AV96" i="19" s="1"/>
  <c r="AE95" i="19"/>
  <c r="AF95" i="19" s="1"/>
  <c r="AK95" i="19"/>
  <c r="AL95" i="19" s="1"/>
  <c r="AR95" i="19"/>
  <c r="AS95" i="19" s="1"/>
  <c r="AU95" i="19"/>
  <c r="AV95" i="19" s="1"/>
  <c r="AK96" i="19"/>
  <c r="AL96" i="19" s="1"/>
  <c r="AR96" i="19"/>
  <c r="AS96" i="19" s="1"/>
  <c r="BD95" i="19"/>
  <c r="BE95" i="19" s="1"/>
  <c r="AE96" i="19"/>
  <c r="AF96" i="19" s="1"/>
  <c r="AX95" i="19"/>
  <c r="AY95" i="19" s="1"/>
  <c r="BD96" i="19"/>
  <c r="BE96" i="19" s="1"/>
  <c r="AH95" i="19"/>
  <c r="AI95" i="19" s="1"/>
  <c r="AX96" i="19"/>
  <c r="AY96" i="19" s="1"/>
  <c r="AH96" i="19"/>
  <c r="AI96" i="19" s="1"/>
  <c r="BA95" i="19"/>
  <c r="BB95" i="19" s="1"/>
  <c r="BA96" i="19"/>
  <c r="BB96" i="19" s="1"/>
  <c r="I94" i="19"/>
  <c r="I93" i="19"/>
  <c r="I92" i="19"/>
  <c r="G92" i="19"/>
  <c r="H92" i="19" s="1"/>
  <c r="F92" i="19"/>
  <c r="BW92" i="19" s="1"/>
  <c r="E92" i="19"/>
  <c r="B92" i="19"/>
  <c r="BS92" i="19" l="1"/>
  <c r="BU92" i="19"/>
  <c r="I91" i="19"/>
  <c r="I90" i="19"/>
  <c r="I89" i="19"/>
  <c r="G89" i="19"/>
  <c r="H89" i="19" s="1"/>
  <c r="F89" i="19"/>
  <c r="BW89" i="19" s="1"/>
  <c r="E89" i="19"/>
  <c r="B89" i="19"/>
  <c r="BU89" i="19" l="1"/>
  <c r="BS89" i="19"/>
  <c r="I88" i="19"/>
  <c r="I87" i="19"/>
  <c r="I86" i="19"/>
  <c r="G86" i="19"/>
  <c r="H86" i="19" s="1"/>
  <c r="F86" i="19"/>
  <c r="BW86" i="19" s="1"/>
  <c r="E86" i="19"/>
  <c r="B86" i="19"/>
  <c r="BU86" i="19" l="1"/>
  <c r="BS86" i="19"/>
  <c r="I85" i="19"/>
  <c r="I84" i="19"/>
  <c r="I83" i="19"/>
  <c r="I82" i="19"/>
  <c r="G82" i="19"/>
  <c r="H82" i="19" s="1"/>
  <c r="F82" i="19"/>
  <c r="BW82" i="19" s="1"/>
  <c r="E82" i="19"/>
  <c r="B82" i="19"/>
  <c r="BS82" i="19" l="1"/>
  <c r="BU82" i="19"/>
  <c r="I81" i="19"/>
  <c r="I80" i="19"/>
  <c r="I79" i="19"/>
  <c r="I78" i="19"/>
  <c r="G78" i="19"/>
  <c r="H78" i="19" s="1"/>
  <c r="F78" i="19"/>
  <c r="BW78" i="19" s="1"/>
  <c r="E78" i="19"/>
  <c r="B78" i="19"/>
  <c r="BU78" i="19" l="1"/>
  <c r="BS78" i="19"/>
  <c r="I77" i="19"/>
  <c r="I76" i="19"/>
  <c r="I75" i="19"/>
  <c r="G75" i="19"/>
  <c r="H75" i="19" s="1"/>
  <c r="F75" i="19"/>
  <c r="BW75" i="19" s="1"/>
  <c r="E75" i="19"/>
  <c r="B75" i="19"/>
  <c r="BU75" i="19" l="1"/>
  <c r="BS75" i="19"/>
  <c r="I74" i="19"/>
  <c r="I73" i="19"/>
  <c r="I72" i="19"/>
  <c r="G72" i="19"/>
  <c r="H72" i="19" s="1"/>
  <c r="F72" i="19"/>
  <c r="BW72" i="19" s="1"/>
  <c r="E72" i="19"/>
  <c r="B72" i="19"/>
  <c r="BU72" i="19" l="1"/>
  <c r="BS72" i="19"/>
  <c r="I71" i="19"/>
  <c r="I70" i="19"/>
  <c r="G70" i="19"/>
  <c r="H70" i="19" s="1"/>
  <c r="F70" i="19"/>
  <c r="BW70" i="19" s="1"/>
  <c r="E70" i="19"/>
  <c r="B70" i="19"/>
  <c r="BU70" i="19" l="1"/>
  <c r="BS70" i="19"/>
  <c r="I69" i="19"/>
  <c r="I68" i="19"/>
  <c r="I67" i="19"/>
  <c r="I66" i="19"/>
  <c r="G66" i="19"/>
  <c r="H66" i="19" s="1"/>
  <c r="F66" i="19"/>
  <c r="BW66" i="19" s="1"/>
  <c r="E66" i="19"/>
  <c r="B66" i="19"/>
  <c r="BS66" i="19" l="1"/>
  <c r="BU66" i="19"/>
  <c r="I65" i="19"/>
  <c r="I64" i="19"/>
  <c r="I63" i="19"/>
  <c r="I62" i="19"/>
  <c r="I61" i="19"/>
  <c r="G61" i="19"/>
  <c r="H61" i="19" s="1"/>
  <c r="F61" i="19"/>
  <c r="BW61" i="19" s="1"/>
  <c r="E61" i="19"/>
  <c r="B61" i="19"/>
  <c r="BU61" i="19" l="1"/>
  <c r="BS61" i="19"/>
  <c r="I60" i="19"/>
  <c r="I59" i="19"/>
  <c r="I58" i="19"/>
  <c r="I57" i="19"/>
  <c r="I56" i="19"/>
  <c r="I55" i="19"/>
  <c r="I54" i="19"/>
  <c r="G54" i="19"/>
  <c r="H54" i="19" s="1"/>
  <c r="F54" i="19"/>
  <c r="BW54" i="19" s="1"/>
  <c r="E54" i="19"/>
  <c r="B54" i="19"/>
  <c r="BU54" i="19" l="1"/>
  <c r="BS54" i="19"/>
  <c r="I53" i="19"/>
  <c r="I52" i="19"/>
  <c r="I51" i="19"/>
  <c r="I50" i="19"/>
  <c r="I49" i="19"/>
  <c r="G49" i="19"/>
  <c r="H49" i="19" s="1"/>
  <c r="F49" i="19"/>
  <c r="BW49" i="19" s="1"/>
  <c r="E49" i="19"/>
  <c r="B49" i="19"/>
  <c r="BU49" i="19" l="1"/>
  <c r="BS49" i="19"/>
  <c r="I43" i="19"/>
  <c r="I42" i="19"/>
  <c r="I41" i="19"/>
  <c r="I40" i="19"/>
  <c r="I39" i="19"/>
  <c r="I38" i="19"/>
  <c r="G38" i="19"/>
  <c r="H38" i="19" s="1"/>
  <c r="F38" i="19"/>
  <c r="BW38" i="19" s="1"/>
  <c r="E38" i="19"/>
  <c r="B38" i="19"/>
  <c r="BS38" i="19" l="1"/>
  <c r="BU38" i="19"/>
  <c r="I37" i="19"/>
  <c r="I36" i="19"/>
  <c r="I35" i="19"/>
  <c r="I34" i="19"/>
  <c r="I33" i="19"/>
  <c r="I32" i="19"/>
  <c r="I31" i="19"/>
  <c r="I30" i="19"/>
  <c r="I29" i="19"/>
  <c r="I28" i="19"/>
  <c r="G28" i="19"/>
  <c r="H28" i="19" s="1"/>
  <c r="F28" i="19"/>
  <c r="BW28" i="19" s="1"/>
  <c r="E28" i="19"/>
  <c r="B28" i="19"/>
  <c r="BS28" i="19" l="1"/>
  <c r="BU28" i="19"/>
  <c r="BW310" i="19"/>
  <c r="BC43" i="19"/>
  <c r="BC42" i="19"/>
  <c r="BC41" i="19"/>
  <c r="BC40" i="19"/>
  <c r="BC39" i="19"/>
  <c r="BC38" i="19"/>
  <c r="AZ43" i="19"/>
  <c r="AZ42" i="19"/>
  <c r="AZ41" i="19"/>
  <c r="AZ40" i="19"/>
  <c r="AZ39" i="19"/>
  <c r="AZ38" i="19"/>
  <c r="AW43" i="19"/>
  <c r="AW42" i="19"/>
  <c r="AW41" i="19"/>
  <c r="AW40" i="19"/>
  <c r="AW39" i="19"/>
  <c r="AW38" i="19"/>
  <c r="AT43" i="19"/>
  <c r="AT42" i="19"/>
  <c r="AT41" i="19"/>
  <c r="AT40" i="19"/>
  <c r="AT39" i="19"/>
  <c r="AT38" i="19"/>
  <c r="AQ43" i="19"/>
  <c r="AQ42" i="19"/>
  <c r="AQ41" i="19"/>
  <c r="AQ40" i="19"/>
  <c r="AQ39" i="19"/>
  <c r="AQ38" i="19"/>
  <c r="Z332" i="19" l="1" a="1"/>
  <c r="Z332" i="19" s="1"/>
  <c r="Y332" i="19" a="1"/>
  <c r="Y332" i="19" s="1"/>
  <c r="Z331" i="19"/>
  <c r="Y331" i="19"/>
  <c r="P332" i="19" a="1"/>
  <c r="P332" i="19" s="1"/>
  <c r="V331" i="19"/>
  <c r="L332" i="19" a="1"/>
  <c r="L332" i="19" s="1"/>
  <c r="O331" i="19"/>
  <c r="W331" i="19"/>
  <c r="P331" i="19"/>
  <c r="R332" i="19" a="1"/>
  <c r="R332" i="19" s="1"/>
  <c r="S331" i="19"/>
  <c r="S332" i="19" a="1"/>
  <c r="S332" i="19" s="1"/>
  <c r="R331" i="19"/>
  <c r="M331" i="19"/>
  <c r="M332" i="19" a="1"/>
  <c r="M332" i="19" s="1"/>
  <c r="BU310" i="19"/>
  <c r="L331" i="19"/>
  <c r="W332" i="19" a="1"/>
  <c r="W332" i="19" s="1"/>
  <c r="O332" i="19" a="1"/>
  <c r="O332" i="19" s="1"/>
  <c r="V332" i="19" a="1"/>
  <c r="V332" i="19" s="1"/>
  <c r="BS310" i="19"/>
  <c r="BC37" i="19"/>
  <c r="BC36" i="19"/>
  <c r="BC35" i="19"/>
  <c r="BC34" i="19"/>
  <c r="BC33" i="19"/>
  <c r="BC32" i="19"/>
  <c r="BC31" i="19"/>
  <c r="BC30" i="19"/>
  <c r="BC29" i="19"/>
  <c r="BC28" i="19"/>
  <c r="AZ37" i="19"/>
  <c r="AZ36" i="19"/>
  <c r="AZ35" i="19"/>
  <c r="AZ34" i="19"/>
  <c r="AZ33" i="19"/>
  <c r="AZ32" i="19"/>
  <c r="AZ31" i="19"/>
  <c r="AZ30" i="19"/>
  <c r="AZ29" i="19"/>
  <c r="AZ28" i="19"/>
  <c r="AW37" i="19"/>
  <c r="AW36" i="19"/>
  <c r="AW35" i="19"/>
  <c r="AW34" i="19"/>
  <c r="AW33" i="19"/>
  <c r="AW32" i="19"/>
  <c r="AW31" i="19"/>
  <c r="AW30" i="19"/>
  <c r="AW29" i="19"/>
  <c r="AW28" i="19"/>
  <c r="AT37" i="19"/>
  <c r="AT36" i="19"/>
  <c r="AT35" i="19"/>
  <c r="AT34" i="19"/>
  <c r="AT33" i="19"/>
  <c r="AT32" i="19"/>
  <c r="AT31" i="19"/>
  <c r="AT30" i="19"/>
  <c r="AT29" i="19"/>
  <c r="AT28" i="19"/>
  <c r="AQ37" i="19"/>
  <c r="AQ36" i="19"/>
  <c r="AQ35" i="19"/>
  <c r="AQ34" i="19"/>
  <c r="AQ33" i="19"/>
  <c r="AQ32" i="19"/>
  <c r="AQ31" i="19"/>
  <c r="AQ30" i="19"/>
  <c r="AQ29" i="19"/>
  <c r="AQ28" i="19"/>
  <c r="Z335" i="19" l="1"/>
  <c r="Z337" i="19" s="1"/>
  <c r="Y333" i="19"/>
  <c r="O333" i="19"/>
  <c r="S335" i="19"/>
  <c r="S337" i="19" s="1"/>
  <c r="R333" i="19"/>
  <c r="V333" i="19"/>
  <c r="L333" i="19"/>
  <c r="P335" i="19"/>
  <c r="P337" i="19" s="1"/>
  <c r="W335" i="19"/>
  <c r="W337" i="19" s="1"/>
  <c r="M335" i="19"/>
  <c r="M337" i="19" s="1"/>
  <c r="BC94" i="19"/>
  <c r="BC93" i="19"/>
  <c r="BC92" i="19"/>
  <c r="AZ94" i="19"/>
  <c r="AZ93" i="19"/>
  <c r="AZ92" i="19"/>
  <c r="AW94" i="19"/>
  <c r="AW93" i="19"/>
  <c r="AW92" i="19"/>
  <c r="AT94" i="19"/>
  <c r="AT93" i="19"/>
  <c r="AQ94" i="19"/>
  <c r="AQ93" i="19"/>
  <c r="AQ92" i="19"/>
  <c r="AO94" i="19"/>
  <c r="AP94" i="19" s="1"/>
  <c r="AO93" i="19"/>
  <c r="AP93" i="19" s="1"/>
  <c r="AO92" i="19"/>
  <c r="AP92" i="19" s="1"/>
  <c r="AN94" i="19"/>
  <c r="AN93" i="19"/>
  <c r="AN92" i="19"/>
  <c r="AM93" i="19"/>
  <c r="AM94" i="19"/>
  <c r="AM92" i="19"/>
  <c r="AJ94" i="19"/>
  <c r="AJ93" i="19"/>
  <c r="AJ92" i="19"/>
  <c r="AG94" i="19"/>
  <c r="AG93" i="19"/>
  <c r="AG92" i="19"/>
  <c r="AD94" i="19"/>
  <c r="AD93" i="19"/>
  <c r="AD92" i="19"/>
  <c r="J94" i="19"/>
  <c r="BM94" i="19" s="1"/>
  <c r="BN94" i="19" s="1"/>
  <c r="J93" i="19"/>
  <c r="BM93" i="19" s="1"/>
  <c r="BN93" i="19" s="1"/>
  <c r="J92" i="19"/>
  <c r="BM92" i="19" s="1"/>
  <c r="BN92" i="19" s="1"/>
  <c r="BJ92" i="19" l="1"/>
  <c r="BK92" i="19" s="1"/>
  <c r="BG92" i="19"/>
  <c r="BH92" i="19" s="1"/>
  <c r="BJ93" i="19"/>
  <c r="BK93" i="19" s="1"/>
  <c r="BG93" i="19"/>
  <c r="BH93" i="19" s="1"/>
  <c r="BJ94" i="19"/>
  <c r="BK94" i="19" s="1"/>
  <c r="BG94" i="19"/>
  <c r="BH94" i="19" s="1"/>
  <c r="AU94" i="19"/>
  <c r="AV94" i="19" s="1"/>
  <c r="AH94" i="19"/>
  <c r="AI94" i="19" s="1"/>
  <c r="AE93" i="19"/>
  <c r="AF93" i="19" s="1"/>
  <c r="AE94" i="19"/>
  <c r="AF94" i="19" s="1"/>
  <c r="AR93" i="19"/>
  <c r="AS93" i="19" s="1"/>
  <c r="AH92" i="19"/>
  <c r="AI92" i="19" s="1"/>
  <c r="AH93" i="19"/>
  <c r="AI93" i="19" s="1"/>
  <c r="AR94" i="19"/>
  <c r="AS94" i="19" s="1"/>
  <c r="AK93" i="19"/>
  <c r="AL93" i="19" s="1"/>
  <c r="BA94" i="19"/>
  <c r="BB94" i="19" s="1"/>
  <c r="AK94" i="19"/>
  <c r="AL94" i="19" s="1"/>
  <c r="BD93" i="19"/>
  <c r="BE93" i="19" s="1"/>
  <c r="BD92" i="19"/>
  <c r="BE92" i="19" s="1"/>
  <c r="AR92" i="19"/>
  <c r="AS92" i="19" s="1"/>
  <c r="AX92" i="19"/>
  <c r="AY92" i="19" s="1"/>
  <c r="BD94" i="19"/>
  <c r="BE94" i="19" s="1"/>
  <c r="AX93" i="19"/>
  <c r="AY93" i="19" s="1"/>
  <c r="AU93" i="19"/>
  <c r="AV93" i="19" s="1"/>
  <c r="AX94" i="19"/>
  <c r="AY94" i="19" s="1"/>
  <c r="BA92" i="19"/>
  <c r="BB92" i="19" s="1"/>
  <c r="AE92" i="19"/>
  <c r="AF92" i="19" s="1"/>
  <c r="AK92" i="19"/>
  <c r="AL92" i="19" s="1"/>
  <c r="BA93" i="19"/>
  <c r="BB93" i="19" s="1"/>
  <c r="BC91" i="19"/>
  <c r="BC90" i="19"/>
  <c r="BC89" i="19"/>
  <c r="AZ91" i="19"/>
  <c r="AZ90" i="19"/>
  <c r="AZ89" i="19"/>
  <c r="AW91" i="19"/>
  <c r="AW90" i="19"/>
  <c r="AW89" i="19"/>
  <c r="AT91" i="19"/>
  <c r="AT90" i="19"/>
  <c r="AQ91" i="19"/>
  <c r="AQ90" i="19"/>
  <c r="AQ89" i="19"/>
  <c r="AO91" i="19"/>
  <c r="AP91" i="19" s="1"/>
  <c r="AO90" i="19"/>
  <c r="AP90" i="19" s="1"/>
  <c r="AO89" i="19"/>
  <c r="AP89" i="19" s="1"/>
  <c r="AN91" i="19"/>
  <c r="AN90" i="19"/>
  <c r="AN89" i="19"/>
  <c r="AM91" i="19"/>
  <c r="AM90" i="19"/>
  <c r="AM89" i="19"/>
  <c r="AJ91" i="19"/>
  <c r="AJ90" i="19"/>
  <c r="AJ89" i="19"/>
  <c r="AG91" i="19"/>
  <c r="AG90" i="19"/>
  <c r="AG89" i="19"/>
  <c r="AD91" i="19"/>
  <c r="AD90" i="19"/>
  <c r="AD89" i="19"/>
  <c r="J91" i="19"/>
  <c r="BM91" i="19" s="1"/>
  <c r="BN91" i="19" s="1"/>
  <c r="J90" i="19"/>
  <c r="BM90" i="19" s="1"/>
  <c r="BN90" i="19" s="1"/>
  <c r="J89" i="19"/>
  <c r="BM89" i="19" s="1"/>
  <c r="BN89" i="19" s="1"/>
  <c r="BJ91" i="19" l="1"/>
  <c r="BK91" i="19" s="1"/>
  <c r="BG91" i="19"/>
  <c r="BH91" i="19" s="1"/>
  <c r="BJ89" i="19"/>
  <c r="BK89" i="19" s="1"/>
  <c r="BG89" i="19"/>
  <c r="BH89" i="19" s="1"/>
  <c r="BJ90" i="19"/>
  <c r="BK90" i="19" s="1"/>
  <c r="BG90" i="19"/>
  <c r="BH90" i="19" s="1"/>
  <c r="BD91" i="19"/>
  <c r="BE91" i="19" s="1"/>
  <c r="AH90" i="19"/>
  <c r="AI90" i="19" s="1"/>
  <c r="AH89" i="19"/>
  <c r="AI89" i="19" s="1"/>
  <c r="AH91" i="19"/>
  <c r="AI91" i="19" s="1"/>
  <c r="BA89" i="19"/>
  <c r="BB89" i="19" s="1"/>
  <c r="AE91" i="19"/>
  <c r="AF91" i="19" s="1"/>
  <c r="AE90" i="19"/>
  <c r="AF90" i="19" s="1"/>
  <c r="AR90" i="19"/>
  <c r="AS90" i="19" s="1"/>
  <c r="AR91" i="19"/>
  <c r="AS91" i="19" s="1"/>
  <c r="AK89" i="19"/>
  <c r="AL89" i="19" s="1"/>
  <c r="BA90" i="19"/>
  <c r="BB90" i="19" s="1"/>
  <c r="AE89" i="19"/>
  <c r="AF89" i="19" s="1"/>
  <c r="AU90" i="19"/>
  <c r="AV90" i="19" s="1"/>
  <c r="BA91" i="19"/>
  <c r="BB91" i="19" s="1"/>
  <c r="AX91" i="19"/>
  <c r="AY91" i="19" s="1"/>
  <c r="AK91" i="19"/>
  <c r="AL91" i="19" s="1"/>
  <c r="AU91" i="19"/>
  <c r="AV91" i="19" s="1"/>
  <c r="BD89" i="19"/>
  <c r="BE89" i="19" s="1"/>
  <c r="BD90" i="19"/>
  <c r="BE90" i="19" s="1"/>
  <c r="AR89" i="19"/>
  <c r="AS89" i="19" s="1"/>
  <c r="AX89" i="19"/>
  <c r="AY89" i="19" s="1"/>
  <c r="AK90" i="19"/>
  <c r="AL90" i="19" s="1"/>
  <c r="AX90" i="19"/>
  <c r="AY90" i="19" s="1"/>
  <c r="BC88" i="19"/>
  <c r="BC87" i="19"/>
  <c r="BC86" i="19"/>
  <c r="AZ88" i="19"/>
  <c r="AZ87" i="19"/>
  <c r="AZ86" i="19"/>
  <c r="AW88" i="19"/>
  <c r="AW87" i="19"/>
  <c r="AW86" i="19"/>
  <c r="AT88" i="19"/>
  <c r="AT87" i="19"/>
  <c r="AQ88" i="19"/>
  <c r="AQ87" i="19"/>
  <c r="AQ86" i="19"/>
  <c r="AO88" i="19"/>
  <c r="AP88" i="19" s="1"/>
  <c r="AO87" i="19"/>
  <c r="AP87" i="19" s="1"/>
  <c r="AO86" i="19"/>
  <c r="AP86" i="19" s="1"/>
  <c r="AN88" i="19"/>
  <c r="AN87" i="19"/>
  <c r="AN86" i="19"/>
  <c r="AM88" i="19"/>
  <c r="AM87" i="19"/>
  <c r="AM86" i="19"/>
  <c r="AJ88" i="19"/>
  <c r="AJ87" i="19"/>
  <c r="AJ86" i="19"/>
  <c r="AG88" i="19"/>
  <c r="AG87" i="19"/>
  <c r="AG86" i="19"/>
  <c r="AD88" i="19"/>
  <c r="AD87" i="19"/>
  <c r="AD86" i="19"/>
  <c r="J88" i="19"/>
  <c r="BM88" i="19" s="1"/>
  <c r="BN88" i="19" s="1"/>
  <c r="J87" i="19"/>
  <c r="BM87" i="19" s="1"/>
  <c r="BN87" i="19" s="1"/>
  <c r="J86" i="19"/>
  <c r="BM86" i="19" s="1"/>
  <c r="BN86" i="19" s="1"/>
  <c r="BJ88" i="19" l="1"/>
  <c r="BK88" i="19" s="1"/>
  <c r="BG88" i="19"/>
  <c r="BH88" i="19" s="1"/>
  <c r="BJ86" i="19"/>
  <c r="BK86" i="19" s="1"/>
  <c r="BG86" i="19"/>
  <c r="BH86" i="19" s="1"/>
  <c r="BJ87" i="19"/>
  <c r="BK87" i="19" s="1"/>
  <c r="BG87" i="19"/>
  <c r="BH87" i="19" s="1"/>
  <c r="AH86" i="19"/>
  <c r="AI86" i="19" s="1"/>
  <c r="AH87" i="19"/>
  <c r="AI87" i="19" s="1"/>
  <c r="AH88" i="19"/>
  <c r="AI88" i="19" s="1"/>
  <c r="BD86" i="19"/>
  <c r="BE86" i="19" s="1"/>
  <c r="BD87" i="19"/>
  <c r="BE87" i="19" s="1"/>
  <c r="BD88" i="19"/>
  <c r="BE88" i="19" s="1"/>
  <c r="AE87" i="19"/>
  <c r="AF87" i="19" s="1"/>
  <c r="AX87" i="19"/>
  <c r="AY87" i="19" s="1"/>
  <c r="AX88" i="19"/>
  <c r="AY88" i="19" s="1"/>
  <c r="AR87" i="19"/>
  <c r="AS87" i="19" s="1"/>
  <c r="AU87" i="19"/>
  <c r="AV87" i="19" s="1"/>
  <c r="AE88" i="19"/>
  <c r="AF88" i="19" s="1"/>
  <c r="AK87" i="19"/>
  <c r="AL87" i="19" s="1"/>
  <c r="AU88" i="19"/>
  <c r="AV88" i="19" s="1"/>
  <c r="BA87" i="19"/>
  <c r="BB87" i="19" s="1"/>
  <c r="AR86" i="19"/>
  <c r="AS86" i="19" s="1"/>
  <c r="AR88" i="19"/>
  <c r="AS88" i="19" s="1"/>
  <c r="AX86" i="19"/>
  <c r="AY86" i="19" s="1"/>
  <c r="AK86" i="19"/>
  <c r="AL86" i="19" s="1"/>
  <c r="BA86" i="19"/>
  <c r="BB86" i="19" s="1"/>
  <c r="AK88" i="19"/>
  <c r="AL88" i="19" s="1"/>
  <c r="BA88" i="19"/>
  <c r="BB88" i="19" s="1"/>
  <c r="AE86" i="19"/>
  <c r="AF86" i="19" s="1"/>
  <c r="BC85" i="19"/>
  <c r="BC84" i="19"/>
  <c r="BC83" i="19"/>
  <c r="BC82" i="19"/>
  <c r="AZ85" i="19"/>
  <c r="AZ84" i="19"/>
  <c r="AZ83" i="19"/>
  <c r="AZ82" i="19"/>
  <c r="AW85" i="19"/>
  <c r="AW84" i="19"/>
  <c r="AW83" i="19"/>
  <c r="AW82" i="19"/>
  <c r="AT85" i="19"/>
  <c r="AT84" i="19"/>
  <c r="AT83" i="19"/>
  <c r="AT82" i="19"/>
  <c r="AQ85" i="19"/>
  <c r="AQ84" i="19"/>
  <c r="AQ83" i="19"/>
  <c r="AQ82" i="19"/>
  <c r="AO85" i="19"/>
  <c r="AP85" i="19" s="1"/>
  <c r="AO84" i="19"/>
  <c r="AP84" i="19" s="1"/>
  <c r="AO83" i="19"/>
  <c r="AP83" i="19" s="1"/>
  <c r="AO82" i="19"/>
  <c r="AP82" i="19" s="1"/>
  <c r="AN85" i="19"/>
  <c r="AN84" i="19"/>
  <c r="AN83" i="19"/>
  <c r="AN82" i="19"/>
  <c r="AM85" i="19"/>
  <c r="AM84" i="19"/>
  <c r="AM83" i="19"/>
  <c r="AM82" i="19"/>
  <c r="AJ85" i="19"/>
  <c r="AJ84" i="19"/>
  <c r="AJ83" i="19"/>
  <c r="AJ82" i="19"/>
  <c r="AG85" i="19"/>
  <c r="AG84" i="19"/>
  <c r="AG83" i="19"/>
  <c r="AG82" i="19"/>
  <c r="AD85" i="19"/>
  <c r="AD84" i="19"/>
  <c r="AD83" i="19"/>
  <c r="AD82" i="19"/>
  <c r="J85" i="19"/>
  <c r="BM85" i="19" s="1"/>
  <c r="BN85" i="19" s="1"/>
  <c r="J84" i="19"/>
  <c r="BM84" i="19" s="1"/>
  <c r="BN84" i="19" s="1"/>
  <c r="J83" i="19"/>
  <c r="BM83" i="19" s="1"/>
  <c r="BN83" i="19" s="1"/>
  <c r="J82" i="19"/>
  <c r="BM82" i="19" s="1"/>
  <c r="BN82" i="19" s="1"/>
  <c r="BJ83" i="19" l="1"/>
  <c r="BK83" i="19" s="1"/>
  <c r="BG83" i="19"/>
  <c r="BH83" i="19" s="1"/>
  <c r="BJ82" i="19"/>
  <c r="BK82" i="19" s="1"/>
  <c r="BG82" i="19"/>
  <c r="BH82" i="19" s="1"/>
  <c r="BJ85" i="19"/>
  <c r="BK85" i="19" s="1"/>
  <c r="BG85" i="19"/>
  <c r="BH85" i="19" s="1"/>
  <c r="BJ84" i="19"/>
  <c r="BK84" i="19" s="1"/>
  <c r="BG84" i="19"/>
  <c r="BH84" i="19" s="1"/>
  <c r="AH85" i="19"/>
  <c r="AI85" i="19" s="1"/>
  <c r="AH82" i="19"/>
  <c r="AI82" i="19" s="1"/>
  <c r="AH84" i="19"/>
  <c r="AI84" i="19" s="1"/>
  <c r="AH83" i="19"/>
  <c r="AI83" i="19" s="1"/>
  <c r="AK84" i="19"/>
  <c r="AL84" i="19" s="1"/>
  <c r="AK83" i="19"/>
  <c r="AL83" i="19" s="1"/>
  <c r="AX82" i="19"/>
  <c r="AY82" i="19" s="1"/>
  <c r="BA85" i="19"/>
  <c r="BB85" i="19" s="1"/>
  <c r="AR85" i="19"/>
  <c r="AS85" i="19" s="1"/>
  <c r="AR82" i="19"/>
  <c r="AS82" i="19" s="1"/>
  <c r="AE85" i="19"/>
  <c r="AF85" i="19" s="1"/>
  <c r="BA82" i="19"/>
  <c r="BB82" i="19" s="1"/>
  <c r="AR84" i="19"/>
  <c r="AS84" i="19" s="1"/>
  <c r="BA84" i="19"/>
  <c r="BB84" i="19" s="1"/>
  <c r="AU82" i="19"/>
  <c r="AV82" i="19" s="1"/>
  <c r="AK85" i="19"/>
  <c r="AL85" i="19" s="1"/>
  <c r="AU83" i="19"/>
  <c r="AV83" i="19" s="1"/>
  <c r="AX85" i="19"/>
  <c r="AY85" i="19" s="1"/>
  <c r="BD85" i="19"/>
  <c r="BE85" i="19" s="1"/>
  <c r="AX84" i="19"/>
  <c r="AY84" i="19" s="1"/>
  <c r="AE83" i="19"/>
  <c r="AF83" i="19" s="1"/>
  <c r="AU84" i="19"/>
  <c r="AV84" i="19" s="1"/>
  <c r="AE82" i="19"/>
  <c r="AF82" i="19" s="1"/>
  <c r="BD84" i="19"/>
  <c r="BE84" i="19" s="1"/>
  <c r="AE84" i="19"/>
  <c r="AF84" i="19" s="1"/>
  <c r="AU85" i="19"/>
  <c r="AV85" i="19" s="1"/>
  <c r="AX83" i="19"/>
  <c r="AY83" i="19" s="1"/>
  <c r="AK82" i="19"/>
  <c r="AL82" i="19" s="1"/>
  <c r="AR83" i="19"/>
  <c r="AS83" i="19" s="1"/>
  <c r="BD83" i="19"/>
  <c r="BE83" i="19" s="1"/>
  <c r="BD82" i="19"/>
  <c r="BE82" i="19" s="1"/>
  <c r="BA83" i="19"/>
  <c r="BB83" i="19" s="1"/>
  <c r="BC81" i="19"/>
  <c r="BC80" i="19"/>
  <c r="BC79" i="19"/>
  <c r="BC78" i="19"/>
  <c r="AZ81" i="19"/>
  <c r="AZ80" i="19"/>
  <c r="AZ79" i="19"/>
  <c r="AZ78" i="19"/>
  <c r="AW81" i="19"/>
  <c r="AW80" i="19"/>
  <c r="AW79" i="19"/>
  <c r="AW78" i="19"/>
  <c r="AT81" i="19"/>
  <c r="AT80" i="19"/>
  <c r="AT79" i="19"/>
  <c r="AT78" i="19"/>
  <c r="AQ81" i="19"/>
  <c r="AQ80" i="19"/>
  <c r="AQ79" i="19"/>
  <c r="AQ78" i="19"/>
  <c r="AO81" i="19"/>
  <c r="AP81" i="19" s="1"/>
  <c r="AO80" i="19"/>
  <c r="AP80" i="19" s="1"/>
  <c r="AO79" i="19"/>
  <c r="AP79" i="19" s="1"/>
  <c r="AO78" i="19"/>
  <c r="AP78" i="19" s="1"/>
  <c r="AN81" i="19"/>
  <c r="AN80" i="19"/>
  <c r="AN79" i="19"/>
  <c r="AN78" i="19"/>
  <c r="AM81" i="19"/>
  <c r="AM80" i="19"/>
  <c r="AM79" i="19"/>
  <c r="AM78" i="19"/>
  <c r="AJ81" i="19"/>
  <c r="AJ80" i="19"/>
  <c r="AJ79" i="19"/>
  <c r="AJ78" i="19"/>
  <c r="AG81" i="19"/>
  <c r="AG80" i="19"/>
  <c r="AG79" i="19"/>
  <c r="AG78" i="19"/>
  <c r="AD81" i="19"/>
  <c r="AD80" i="19"/>
  <c r="AD79" i="19"/>
  <c r="AD78" i="19"/>
  <c r="J81" i="19"/>
  <c r="BM81" i="19" s="1"/>
  <c r="BN81" i="19" s="1"/>
  <c r="J80" i="19"/>
  <c r="BM80" i="19" s="1"/>
  <c r="BN80" i="19" s="1"/>
  <c r="J79" i="19"/>
  <c r="BM79" i="19" s="1"/>
  <c r="BN79" i="19" s="1"/>
  <c r="J78" i="19"/>
  <c r="BM78" i="19" s="1"/>
  <c r="BN78" i="19" s="1"/>
  <c r="BJ78" i="19" l="1"/>
  <c r="BK78" i="19" s="1"/>
  <c r="BG78" i="19"/>
  <c r="BH78" i="19" s="1"/>
  <c r="BJ81" i="19"/>
  <c r="BK81" i="19" s="1"/>
  <c r="BG81" i="19"/>
  <c r="BH81" i="19" s="1"/>
  <c r="BJ79" i="19"/>
  <c r="BK79" i="19" s="1"/>
  <c r="BG79" i="19"/>
  <c r="BH79" i="19" s="1"/>
  <c r="BJ80" i="19"/>
  <c r="BK80" i="19" s="1"/>
  <c r="BG80" i="19"/>
  <c r="BH80" i="19" s="1"/>
  <c r="AX79" i="19"/>
  <c r="AY79" i="19" s="1"/>
  <c r="AH78" i="19"/>
  <c r="AI78" i="19" s="1"/>
  <c r="AH80" i="19"/>
  <c r="AI80" i="19" s="1"/>
  <c r="AH81" i="19"/>
  <c r="AI81" i="19" s="1"/>
  <c r="AH79" i="19"/>
  <c r="AI79" i="19" s="1"/>
  <c r="AR79" i="19"/>
  <c r="AS79" i="19" s="1"/>
  <c r="BA80" i="19"/>
  <c r="BB80" i="19" s="1"/>
  <c r="AE78" i="19"/>
  <c r="AF78" i="19" s="1"/>
  <c r="AX78" i="19"/>
  <c r="AY78" i="19" s="1"/>
  <c r="AR78" i="19"/>
  <c r="AS78" i="19" s="1"/>
  <c r="AE79" i="19"/>
  <c r="AF79" i="19" s="1"/>
  <c r="AK79" i="19"/>
  <c r="AL79" i="19" s="1"/>
  <c r="AU78" i="19"/>
  <c r="AV78" i="19" s="1"/>
  <c r="AX81" i="19"/>
  <c r="AY81" i="19" s="1"/>
  <c r="AU79" i="19"/>
  <c r="AV79" i="19" s="1"/>
  <c r="AK81" i="19"/>
  <c r="AL81" i="19" s="1"/>
  <c r="AU80" i="19"/>
  <c r="AV80" i="19" s="1"/>
  <c r="AE81" i="19"/>
  <c r="AF81" i="19" s="1"/>
  <c r="AR80" i="19"/>
  <c r="AS80" i="19" s="1"/>
  <c r="BD78" i="19"/>
  <c r="BE78" i="19" s="1"/>
  <c r="BA78" i="19"/>
  <c r="BB78" i="19" s="1"/>
  <c r="AR81" i="19"/>
  <c r="AS81" i="19" s="1"/>
  <c r="BD79" i="19"/>
  <c r="BE79" i="19" s="1"/>
  <c r="BA81" i="19"/>
  <c r="BB81" i="19" s="1"/>
  <c r="AU81" i="19"/>
  <c r="AV81" i="19" s="1"/>
  <c r="AK78" i="19"/>
  <c r="AL78" i="19" s="1"/>
  <c r="BD80" i="19"/>
  <c r="BE80" i="19" s="1"/>
  <c r="BD81" i="19"/>
  <c r="BE81" i="19" s="1"/>
  <c r="AK80" i="19"/>
  <c r="AL80" i="19" s="1"/>
  <c r="BA79" i="19"/>
  <c r="BB79" i="19" s="1"/>
  <c r="AX80" i="19"/>
  <c r="AY80" i="19" s="1"/>
  <c r="AE80" i="19"/>
  <c r="AF80" i="19" s="1"/>
  <c r="BC77" i="19"/>
  <c r="BC76" i="19"/>
  <c r="BC75" i="19"/>
  <c r="AZ77" i="19"/>
  <c r="AZ76" i="19"/>
  <c r="AZ75" i="19"/>
  <c r="AW77" i="19"/>
  <c r="AW76" i="19"/>
  <c r="AW75" i="19"/>
  <c r="AT77" i="19"/>
  <c r="AT76" i="19"/>
  <c r="AQ77" i="19"/>
  <c r="AQ76" i="19"/>
  <c r="AQ75" i="19"/>
  <c r="AO77" i="19"/>
  <c r="AP77" i="19" s="1"/>
  <c r="AO76" i="19"/>
  <c r="AP76" i="19" s="1"/>
  <c r="AO75" i="19"/>
  <c r="AP75" i="19" s="1"/>
  <c r="AN77" i="19"/>
  <c r="AN76" i="19"/>
  <c r="AN75" i="19"/>
  <c r="AM77" i="19"/>
  <c r="AM76" i="19"/>
  <c r="AM75" i="19"/>
  <c r="AJ77" i="19"/>
  <c r="AJ76" i="19"/>
  <c r="AJ75" i="19"/>
  <c r="AG77" i="19"/>
  <c r="AG76" i="19"/>
  <c r="AG75" i="19"/>
  <c r="AD77" i="19"/>
  <c r="AD76" i="19"/>
  <c r="AD75" i="19"/>
  <c r="J77" i="19"/>
  <c r="BM77" i="19" s="1"/>
  <c r="BN77" i="19" s="1"/>
  <c r="J76" i="19"/>
  <c r="BM76" i="19" s="1"/>
  <c r="BN76" i="19" s="1"/>
  <c r="J75" i="19"/>
  <c r="BM75" i="19" s="1"/>
  <c r="BN75" i="19" s="1"/>
  <c r="BJ75" i="19" l="1"/>
  <c r="BK75" i="19" s="1"/>
  <c r="BG75" i="19"/>
  <c r="BH75" i="19" s="1"/>
  <c r="BJ76" i="19"/>
  <c r="BK76" i="19" s="1"/>
  <c r="BG76" i="19"/>
  <c r="BH76" i="19" s="1"/>
  <c r="BJ77" i="19"/>
  <c r="BK77" i="19" s="1"/>
  <c r="BG77" i="19"/>
  <c r="BH77" i="19" s="1"/>
  <c r="AH75" i="19"/>
  <c r="AI75" i="19" s="1"/>
  <c r="AH76" i="19"/>
  <c r="AI76" i="19" s="1"/>
  <c r="AH77" i="19"/>
  <c r="AI77" i="19" s="1"/>
  <c r="AX75" i="19"/>
  <c r="AY75" i="19" s="1"/>
  <c r="AK75" i="19"/>
  <c r="AL75" i="19" s="1"/>
  <c r="AU76" i="19"/>
  <c r="AV76" i="19" s="1"/>
  <c r="AK76" i="19"/>
  <c r="AL76" i="19" s="1"/>
  <c r="BA77" i="19"/>
  <c r="BB77" i="19" s="1"/>
  <c r="BA76" i="19"/>
  <c r="BB76" i="19" s="1"/>
  <c r="AK77" i="19"/>
  <c r="AL77" i="19" s="1"/>
  <c r="AU77" i="19"/>
  <c r="AV77" i="19" s="1"/>
  <c r="AX76" i="19"/>
  <c r="AY76" i="19" s="1"/>
  <c r="BD77" i="19"/>
  <c r="BE77" i="19" s="1"/>
  <c r="AE76" i="19"/>
  <c r="AF76" i="19" s="1"/>
  <c r="AX77" i="19"/>
  <c r="AY77" i="19" s="1"/>
  <c r="AE77" i="19"/>
  <c r="AF77" i="19" s="1"/>
  <c r="BA75" i="19"/>
  <c r="BB75" i="19" s="1"/>
  <c r="AE75" i="19"/>
  <c r="AF75" i="19" s="1"/>
  <c r="AR75" i="19"/>
  <c r="AS75" i="19" s="1"/>
  <c r="AR76" i="19"/>
  <c r="AS76" i="19" s="1"/>
  <c r="BD75" i="19"/>
  <c r="BE75" i="19" s="1"/>
  <c r="AR77" i="19"/>
  <c r="AS77" i="19" s="1"/>
  <c r="BD76" i="19"/>
  <c r="BE76" i="19" s="1"/>
  <c r="BC74" i="19"/>
  <c r="BC73" i="19"/>
  <c r="BC72" i="19"/>
  <c r="AZ74" i="19"/>
  <c r="AZ73" i="19"/>
  <c r="AZ72" i="19"/>
  <c r="AW74" i="19"/>
  <c r="AW73" i="19"/>
  <c r="AW72" i="19"/>
  <c r="AT74" i="19"/>
  <c r="AT73" i="19"/>
  <c r="AQ74" i="19"/>
  <c r="AQ73" i="19"/>
  <c r="AQ72" i="19"/>
  <c r="AO74" i="19"/>
  <c r="AP74" i="19" s="1"/>
  <c r="AO73" i="19"/>
  <c r="AP73" i="19" s="1"/>
  <c r="AO72" i="19"/>
  <c r="AP72" i="19" s="1"/>
  <c r="AN74" i="19"/>
  <c r="AN73" i="19"/>
  <c r="AN72" i="19"/>
  <c r="AM74" i="19"/>
  <c r="AM73" i="19"/>
  <c r="AM72" i="19"/>
  <c r="AJ74" i="19"/>
  <c r="AJ73" i="19"/>
  <c r="AJ72" i="19"/>
  <c r="AG74" i="19"/>
  <c r="AG73" i="19"/>
  <c r="AG72" i="19"/>
  <c r="AD74" i="19"/>
  <c r="AD73" i="19"/>
  <c r="AD72" i="19"/>
  <c r="J74" i="19"/>
  <c r="BM74" i="19" s="1"/>
  <c r="BN74" i="19" s="1"/>
  <c r="J73" i="19"/>
  <c r="BM73" i="19" s="1"/>
  <c r="BN73" i="19" s="1"/>
  <c r="J72" i="19"/>
  <c r="BM72" i="19" s="1"/>
  <c r="BN72" i="19" s="1"/>
  <c r="BJ74" i="19" l="1"/>
  <c r="BK74" i="19" s="1"/>
  <c r="BG74" i="19"/>
  <c r="BH74" i="19" s="1"/>
  <c r="BJ72" i="19"/>
  <c r="BK72" i="19" s="1"/>
  <c r="BG72" i="19"/>
  <c r="BH72" i="19" s="1"/>
  <c r="BJ73" i="19"/>
  <c r="BK73" i="19" s="1"/>
  <c r="BG73" i="19"/>
  <c r="BH73" i="19" s="1"/>
  <c r="AH72" i="19"/>
  <c r="AI72" i="19" s="1"/>
  <c r="AH74" i="19"/>
  <c r="AI74" i="19" s="1"/>
  <c r="AH73" i="19"/>
  <c r="AI73" i="19" s="1"/>
  <c r="AE73" i="19"/>
  <c r="AF73" i="19" s="1"/>
  <c r="AX73" i="19"/>
  <c r="AY73" i="19" s="1"/>
  <c r="AX72" i="19"/>
  <c r="AY72" i="19" s="1"/>
  <c r="BA72" i="19"/>
  <c r="BB72" i="19" s="1"/>
  <c r="AK72" i="19"/>
  <c r="AL72" i="19" s="1"/>
  <c r="AU73" i="19"/>
  <c r="AV73" i="19" s="1"/>
  <c r="AK73" i="19"/>
  <c r="AL73" i="19" s="1"/>
  <c r="AK74" i="19"/>
  <c r="AL74" i="19" s="1"/>
  <c r="BA74" i="19"/>
  <c r="BB74" i="19" s="1"/>
  <c r="AX74" i="19"/>
  <c r="AY74" i="19" s="1"/>
  <c r="AU74" i="19"/>
  <c r="AV74" i="19" s="1"/>
  <c r="AE74" i="19"/>
  <c r="AF74" i="19" s="1"/>
  <c r="BA73" i="19"/>
  <c r="BB73" i="19" s="1"/>
  <c r="AE72" i="19"/>
  <c r="AF72" i="19" s="1"/>
  <c r="AR72" i="19"/>
  <c r="AS72" i="19" s="1"/>
  <c r="BD72" i="19"/>
  <c r="BE72" i="19" s="1"/>
  <c r="AR73" i="19"/>
  <c r="AS73" i="19" s="1"/>
  <c r="BD73" i="19"/>
  <c r="BE73" i="19" s="1"/>
  <c r="AR74" i="19"/>
  <c r="AS74" i="19" s="1"/>
  <c r="BD74" i="19"/>
  <c r="BE74" i="19" s="1"/>
  <c r="BC71" i="19"/>
  <c r="BC70" i="19"/>
  <c r="AZ71" i="19"/>
  <c r="AZ70" i="19"/>
  <c r="AW71" i="19"/>
  <c r="AW70" i="19"/>
  <c r="AT71" i="19"/>
  <c r="AT70" i="19"/>
  <c r="AQ71" i="19"/>
  <c r="AQ70" i="19"/>
  <c r="AO71" i="19"/>
  <c r="AP71" i="19" s="1"/>
  <c r="AO70" i="19"/>
  <c r="AP70" i="19" s="1"/>
  <c r="AN71" i="19"/>
  <c r="AN70" i="19"/>
  <c r="AM71" i="19"/>
  <c r="AM70" i="19"/>
  <c r="AJ71" i="19"/>
  <c r="AJ70" i="19"/>
  <c r="AG71" i="19"/>
  <c r="AG70" i="19"/>
  <c r="AD71" i="19"/>
  <c r="AD70" i="19"/>
  <c r="J71" i="19"/>
  <c r="BM71" i="19" s="1"/>
  <c r="BN71" i="19" s="1"/>
  <c r="J70" i="19"/>
  <c r="BM70" i="19" s="1"/>
  <c r="BN70" i="19" s="1"/>
  <c r="BJ70" i="19" l="1"/>
  <c r="BK70" i="19" s="1"/>
  <c r="BG70" i="19"/>
  <c r="BH70" i="19" s="1"/>
  <c r="BJ71" i="19"/>
  <c r="BK71" i="19" s="1"/>
  <c r="BG71" i="19"/>
  <c r="BH71" i="19" s="1"/>
  <c r="AH70" i="19"/>
  <c r="AI70" i="19" s="1"/>
  <c r="AH71" i="19"/>
  <c r="AI71" i="19" s="1"/>
  <c r="AE70" i="19"/>
  <c r="AF70" i="19" s="1"/>
  <c r="BA71" i="19"/>
  <c r="BB71" i="19" s="1"/>
  <c r="AE71" i="19"/>
  <c r="AF71" i="19" s="1"/>
  <c r="BA70" i="19"/>
  <c r="BB70" i="19" s="1"/>
  <c r="AX71" i="19"/>
  <c r="AY71" i="19" s="1"/>
  <c r="AK70" i="19"/>
  <c r="AL70" i="19" s="1"/>
  <c r="AU71" i="19"/>
  <c r="AV71" i="19" s="1"/>
  <c r="AX70" i="19"/>
  <c r="AY70" i="19" s="1"/>
  <c r="BD70" i="19"/>
  <c r="BE70" i="19" s="1"/>
  <c r="AK71" i="19"/>
  <c r="AL71" i="19" s="1"/>
  <c r="AR71" i="19"/>
  <c r="AS71" i="19" s="1"/>
  <c r="BD71" i="19"/>
  <c r="BE71" i="19" s="1"/>
  <c r="AR70" i="19"/>
  <c r="AS70" i="19" s="1"/>
  <c r="AU70" i="19"/>
  <c r="AV70" i="19" s="1"/>
  <c r="BC69" i="19"/>
  <c r="BC68" i="19"/>
  <c r="BC67" i="19"/>
  <c r="BC66" i="19"/>
  <c r="AZ69" i="19"/>
  <c r="AZ68" i="19"/>
  <c r="AZ67" i="19"/>
  <c r="AZ66" i="19"/>
  <c r="AW69" i="19"/>
  <c r="AW68" i="19"/>
  <c r="AW67" i="19"/>
  <c r="AW66" i="19"/>
  <c r="AT69" i="19"/>
  <c r="AT68" i="19"/>
  <c r="AT67" i="19"/>
  <c r="AT66" i="19"/>
  <c r="AQ69" i="19"/>
  <c r="AQ68" i="19"/>
  <c r="AQ67" i="19"/>
  <c r="AQ66" i="19"/>
  <c r="AO69" i="19"/>
  <c r="AP69" i="19" s="1"/>
  <c r="AO68" i="19"/>
  <c r="AP68" i="19" s="1"/>
  <c r="AO67" i="19"/>
  <c r="AP67" i="19" s="1"/>
  <c r="AO66" i="19"/>
  <c r="AP66" i="19" s="1"/>
  <c r="AN69" i="19"/>
  <c r="AN68" i="19"/>
  <c r="AN67" i="19"/>
  <c r="AN66" i="19"/>
  <c r="AM69" i="19"/>
  <c r="AM68" i="19"/>
  <c r="AM67" i="19"/>
  <c r="AM66" i="19"/>
  <c r="AJ69" i="19"/>
  <c r="AJ68" i="19"/>
  <c r="AJ67" i="19"/>
  <c r="AJ66" i="19"/>
  <c r="AG69" i="19"/>
  <c r="AG68" i="19"/>
  <c r="AG67" i="19"/>
  <c r="AG66" i="19"/>
  <c r="AD69" i="19"/>
  <c r="AD68" i="19"/>
  <c r="AD67" i="19"/>
  <c r="AD66" i="19"/>
  <c r="J69" i="19"/>
  <c r="BM69" i="19" s="1"/>
  <c r="BN69" i="19" s="1"/>
  <c r="J68" i="19"/>
  <c r="BM68" i="19" s="1"/>
  <c r="BN68" i="19" s="1"/>
  <c r="J67" i="19"/>
  <c r="BM67" i="19" s="1"/>
  <c r="BN67" i="19" s="1"/>
  <c r="J66" i="19"/>
  <c r="BM66" i="19" s="1"/>
  <c r="BN66" i="19" s="1"/>
  <c r="BJ66" i="19" l="1"/>
  <c r="BK66" i="19" s="1"/>
  <c r="BG66" i="19"/>
  <c r="BH66" i="19" s="1"/>
  <c r="BJ67" i="19"/>
  <c r="BK67" i="19" s="1"/>
  <c r="BG67" i="19"/>
  <c r="BH67" i="19" s="1"/>
  <c r="BJ68" i="19"/>
  <c r="BK68" i="19" s="1"/>
  <c r="BG68" i="19"/>
  <c r="BH68" i="19" s="1"/>
  <c r="BJ69" i="19"/>
  <c r="BK69" i="19" s="1"/>
  <c r="BG69" i="19"/>
  <c r="BH69" i="19" s="1"/>
  <c r="AH66" i="19"/>
  <c r="AI66" i="19" s="1"/>
  <c r="AH68" i="19"/>
  <c r="AI68" i="19" s="1"/>
  <c r="AH67" i="19"/>
  <c r="AI67" i="19" s="1"/>
  <c r="AH69" i="19"/>
  <c r="AI69" i="19" s="1"/>
  <c r="AE68" i="19"/>
  <c r="AF68" i="19" s="1"/>
  <c r="AK66" i="19"/>
  <c r="AL66" i="19" s="1"/>
  <c r="AX67" i="19"/>
  <c r="AY67" i="19" s="1"/>
  <c r="AK68" i="19"/>
  <c r="AL68" i="19" s="1"/>
  <c r="AE69" i="19"/>
  <c r="AF69" i="19" s="1"/>
  <c r="AX66" i="19"/>
  <c r="AY66" i="19" s="1"/>
  <c r="AR66" i="19"/>
  <c r="AS66" i="19" s="1"/>
  <c r="BA66" i="19"/>
  <c r="BB66" i="19" s="1"/>
  <c r="AX68" i="19"/>
  <c r="AY68" i="19" s="1"/>
  <c r="BD67" i="19"/>
  <c r="BE67" i="19" s="1"/>
  <c r="AR69" i="19"/>
  <c r="AS69" i="19" s="1"/>
  <c r="AX69" i="19"/>
  <c r="AY69" i="19" s="1"/>
  <c r="AK67" i="19"/>
  <c r="AL67" i="19" s="1"/>
  <c r="AU66" i="19"/>
  <c r="AV66" i="19" s="1"/>
  <c r="BD66" i="19"/>
  <c r="BE66" i="19" s="1"/>
  <c r="AE66" i="19"/>
  <c r="AF66" i="19" s="1"/>
  <c r="AU67" i="19"/>
  <c r="AV67" i="19" s="1"/>
  <c r="BD68" i="19"/>
  <c r="BE68" i="19" s="1"/>
  <c r="AU68" i="19"/>
  <c r="AV68" i="19" s="1"/>
  <c r="BD69" i="19"/>
  <c r="BE69" i="19" s="1"/>
  <c r="AU69" i="19"/>
  <c r="AV69" i="19" s="1"/>
  <c r="BA67" i="19"/>
  <c r="BB67" i="19" s="1"/>
  <c r="AK69" i="19"/>
  <c r="AL69" i="19" s="1"/>
  <c r="AR67" i="19"/>
  <c r="AS67" i="19" s="1"/>
  <c r="BA68" i="19"/>
  <c r="BB68" i="19" s="1"/>
  <c r="AR68" i="19"/>
  <c r="AS68" i="19" s="1"/>
  <c r="BA69" i="19"/>
  <c r="BB69" i="19" s="1"/>
  <c r="AE67" i="19"/>
  <c r="AF67" i="19" s="1"/>
  <c r="BC65" i="19"/>
  <c r="BC64" i="19"/>
  <c r="BC63" i="19"/>
  <c r="BC62" i="19"/>
  <c r="BC61" i="19"/>
  <c r="AZ65" i="19"/>
  <c r="AZ64" i="19"/>
  <c r="AZ63" i="19"/>
  <c r="AZ62" i="19"/>
  <c r="AZ61" i="19"/>
  <c r="AW65" i="19"/>
  <c r="AW64" i="19"/>
  <c r="AW63" i="19"/>
  <c r="AW62" i="19"/>
  <c r="AW61" i="19"/>
  <c r="AT65" i="19"/>
  <c r="AT64" i="19"/>
  <c r="AT63" i="19"/>
  <c r="AT62" i="19"/>
  <c r="AT61" i="19"/>
  <c r="AQ65" i="19"/>
  <c r="AQ64" i="19"/>
  <c r="AQ63" i="19"/>
  <c r="AQ62" i="19"/>
  <c r="AQ61" i="19"/>
  <c r="AO65" i="19"/>
  <c r="AP65" i="19" s="1"/>
  <c r="AO64" i="19"/>
  <c r="AP64" i="19" s="1"/>
  <c r="AO63" i="19"/>
  <c r="AP63" i="19" s="1"/>
  <c r="AO62" i="19"/>
  <c r="AP62" i="19" s="1"/>
  <c r="AO61" i="19"/>
  <c r="AP61" i="19" s="1"/>
  <c r="AN65" i="19"/>
  <c r="AN64" i="19"/>
  <c r="AN63" i="19"/>
  <c r="AN62" i="19"/>
  <c r="AN61" i="19"/>
  <c r="AM65" i="19"/>
  <c r="AM64" i="19"/>
  <c r="AM63" i="19"/>
  <c r="AM62" i="19"/>
  <c r="AM61" i="19"/>
  <c r="AJ65" i="19"/>
  <c r="AJ64" i="19"/>
  <c r="AJ63" i="19"/>
  <c r="AJ62" i="19"/>
  <c r="AJ61" i="19"/>
  <c r="AG65" i="19"/>
  <c r="AG64" i="19"/>
  <c r="AG63" i="19"/>
  <c r="AG62" i="19"/>
  <c r="AG61" i="19"/>
  <c r="AD65" i="19"/>
  <c r="AD64" i="19"/>
  <c r="AD63" i="19"/>
  <c r="AD62" i="19"/>
  <c r="AD61" i="19"/>
  <c r="J65" i="19"/>
  <c r="BM65" i="19" s="1"/>
  <c r="BN65" i="19" s="1"/>
  <c r="J64" i="19"/>
  <c r="BM64" i="19" s="1"/>
  <c r="BN64" i="19" s="1"/>
  <c r="J63" i="19"/>
  <c r="BM63" i="19" s="1"/>
  <c r="BN63" i="19" s="1"/>
  <c r="J62" i="19"/>
  <c r="BM62" i="19" s="1"/>
  <c r="BN62" i="19" s="1"/>
  <c r="J61" i="19"/>
  <c r="BM61" i="19" s="1"/>
  <c r="BN61" i="19" s="1"/>
  <c r="BJ61" i="19" l="1"/>
  <c r="BK61" i="19" s="1"/>
  <c r="BG61" i="19"/>
  <c r="BH61" i="19" s="1"/>
  <c r="BJ65" i="19"/>
  <c r="BK65" i="19" s="1"/>
  <c r="BG65" i="19"/>
  <c r="BH65" i="19" s="1"/>
  <c r="BJ62" i="19"/>
  <c r="BK62" i="19" s="1"/>
  <c r="BG62" i="19"/>
  <c r="BH62" i="19" s="1"/>
  <c r="BJ63" i="19"/>
  <c r="BK63" i="19" s="1"/>
  <c r="BG63" i="19"/>
  <c r="BH63" i="19" s="1"/>
  <c r="BJ64" i="19"/>
  <c r="BK64" i="19" s="1"/>
  <c r="BG64" i="19"/>
  <c r="BH64" i="19" s="1"/>
  <c r="AH65" i="19"/>
  <c r="AI65" i="19" s="1"/>
  <c r="AH61" i="19"/>
  <c r="AI61" i="19" s="1"/>
  <c r="AH62" i="19"/>
  <c r="AI62" i="19" s="1"/>
  <c r="AH63" i="19"/>
  <c r="AI63" i="19" s="1"/>
  <c r="AH64" i="19"/>
  <c r="AI64" i="19" s="1"/>
  <c r="BD65" i="19"/>
  <c r="BE65" i="19" s="1"/>
  <c r="AR64" i="19"/>
  <c r="AS64" i="19" s="1"/>
  <c r="AX64" i="19"/>
  <c r="AY64" i="19" s="1"/>
  <c r="AK64" i="19"/>
  <c r="AL64" i="19" s="1"/>
  <c r="BA63" i="19"/>
  <c r="BB63" i="19" s="1"/>
  <c r="BA65" i="19"/>
  <c r="BB65" i="19" s="1"/>
  <c r="AX61" i="19"/>
  <c r="AY61" i="19" s="1"/>
  <c r="AR62" i="19"/>
  <c r="AS62" i="19" s="1"/>
  <c r="AE65" i="19"/>
  <c r="AF65" i="19" s="1"/>
  <c r="AK63" i="19"/>
  <c r="AL63" i="19" s="1"/>
  <c r="AU62" i="19"/>
  <c r="AV62" i="19" s="1"/>
  <c r="AU61" i="19"/>
  <c r="AV61" i="19" s="1"/>
  <c r="AX63" i="19"/>
  <c r="AY63" i="19" s="1"/>
  <c r="BA64" i="19"/>
  <c r="BB64" i="19" s="1"/>
  <c r="AU63" i="19"/>
  <c r="AV63" i="19" s="1"/>
  <c r="AX65" i="19"/>
  <c r="AY65" i="19" s="1"/>
  <c r="AE61" i="19"/>
  <c r="AF61" i="19" s="1"/>
  <c r="AR61" i="19"/>
  <c r="AS61" i="19" s="1"/>
  <c r="AU64" i="19"/>
  <c r="AV64" i="19" s="1"/>
  <c r="BD61" i="19"/>
  <c r="BE61" i="19" s="1"/>
  <c r="AE62" i="19"/>
  <c r="AF62" i="19" s="1"/>
  <c r="AU65" i="19"/>
  <c r="AV65" i="19" s="1"/>
  <c r="BD62" i="19"/>
  <c r="BE62" i="19" s="1"/>
  <c r="AE63" i="19"/>
  <c r="AF63" i="19" s="1"/>
  <c r="AR63" i="19"/>
  <c r="AS63" i="19" s="1"/>
  <c r="BA61" i="19"/>
  <c r="BB61" i="19" s="1"/>
  <c r="BD63" i="19"/>
  <c r="BE63" i="19" s="1"/>
  <c r="AE64" i="19"/>
  <c r="AF64" i="19" s="1"/>
  <c r="AK61" i="19"/>
  <c r="AL61" i="19" s="1"/>
  <c r="BA62" i="19"/>
  <c r="BB62" i="19" s="1"/>
  <c r="BD64" i="19"/>
  <c r="BE64" i="19" s="1"/>
  <c r="AX62" i="19"/>
  <c r="AY62" i="19" s="1"/>
  <c r="AK65" i="19"/>
  <c r="AL65" i="19" s="1"/>
  <c r="AR65" i="19"/>
  <c r="AS65" i="19" s="1"/>
  <c r="AK62" i="19"/>
  <c r="AL62" i="19" s="1"/>
  <c r="BC60" i="19"/>
  <c r="BC59" i="19"/>
  <c r="BC58" i="19"/>
  <c r="BC57" i="19"/>
  <c r="BC56" i="19"/>
  <c r="BC55" i="19"/>
  <c r="BC54" i="19"/>
  <c r="AZ60" i="19"/>
  <c r="AZ59" i="19"/>
  <c r="AZ58" i="19"/>
  <c r="AZ57" i="19"/>
  <c r="AZ56" i="19"/>
  <c r="AZ55" i="19"/>
  <c r="AZ54" i="19"/>
  <c r="AW60" i="19"/>
  <c r="AW59" i="19"/>
  <c r="AW58" i="19"/>
  <c r="AW57" i="19"/>
  <c r="AW56" i="19"/>
  <c r="AW55" i="19"/>
  <c r="AW54" i="19"/>
  <c r="AT60" i="19"/>
  <c r="AT59" i="19"/>
  <c r="AT58" i="19"/>
  <c r="AT57" i="19"/>
  <c r="AT56" i="19"/>
  <c r="AT55" i="19"/>
  <c r="AT54" i="19"/>
  <c r="AQ60" i="19"/>
  <c r="AQ59" i="19"/>
  <c r="AQ58" i="19"/>
  <c r="AQ57" i="19"/>
  <c r="AQ56" i="19"/>
  <c r="AQ55" i="19"/>
  <c r="AQ54" i="19"/>
  <c r="AO60" i="19"/>
  <c r="AP60" i="19" s="1"/>
  <c r="AO59" i="19"/>
  <c r="AP59" i="19" s="1"/>
  <c r="AO58" i="19"/>
  <c r="AP58" i="19" s="1"/>
  <c r="AO57" i="19"/>
  <c r="AP57" i="19" s="1"/>
  <c r="AO56" i="19"/>
  <c r="AP56" i="19" s="1"/>
  <c r="AO55" i="19"/>
  <c r="AP55" i="19" s="1"/>
  <c r="AO54" i="19"/>
  <c r="AN60" i="19"/>
  <c r="AN59" i="19"/>
  <c r="AN58" i="19"/>
  <c r="AN57" i="19"/>
  <c r="AN56" i="19"/>
  <c r="AN55" i="19"/>
  <c r="AN54" i="19"/>
  <c r="AM60" i="19"/>
  <c r="AM59" i="19"/>
  <c r="AM58" i="19"/>
  <c r="AM57" i="19"/>
  <c r="AM56" i="19"/>
  <c r="AM55" i="19"/>
  <c r="AM54" i="19"/>
  <c r="AJ60" i="19"/>
  <c r="AJ59" i="19"/>
  <c r="AJ58" i="19"/>
  <c r="AJ57" i="19"/>
  <c r="AJ56" i="19"/>
  <c r="AJ55" i="19"/>
  <c r="AJ54" i="19"/>
  <c r="AG60" i="19"/>
  <c r="AG59" i="19"/>
  <c r="AG58" i="19"/>
  <c r="AG57" i="19"/>
  <c r="AG56" i="19"/>
  <c r="AG55" i="19"/>
  <c r="AG54" i="19"/>
  <c r="AD60" i="19"/>
  <c r="AD59" i="19"/>
  <c r="AD58" i="19"/>
  <c r="AD57" i="19"/>
  <c r="AD56" i="19"/>
  <c r="AD55" i="19"/>
  <c r="AD54" i="19"/>
  <c r="J60" i="19"/>
  <c r="BM60" i="19" s="1"/>
  <c r="BN60" i="19" s="1"/>
  <c r="J59" i="19"/>
  <c r="BM59" i="19" s="1"/>
  <c r="BN59" i="19" s="1"/>
  <c r="J58" i="19"/>
  <c r="BM58" i="19" s="1"/>
  <c r="BN58" i="19" s="1"/>
  <c r="J57" i="19"/>
  <c r="BM57" i="19" s="1"/>
  <c r="BN57" i="19" s="1"/>
  <c r="J56" i="19"/>
  <c r="BM56" i="19" s="1"/>
  <c r="BN56" i="19" s="1"/>
  <c r="J55" i="19"/>
  <c r="BM55" i="19" s="1"/>
  <c r="BN55" i="19" s="1"/>
  <c r="J54" i="19"/>
  <c r="BM54" i="19" s="1"/>
  <c r="BN54" i="19" l="1"/>
  <c r="BM332" i="19" a="1"/>
  <c r="BM332" i="19" s="1"/>
  <c r="BM331" i="19"/>
  <c r="BJ58" i="19"/>
  <c r="BK58" i="19" s="1"/>
  <c r="BG58" i="19"/>
  <c r="BH58" i="19" s="1"/>
  <c r="BJ60" i="19"/>
  <c r="BK60" i="19" s="1"/>
  <c r="BG60" i="19"/>
  <c r="BH60" i="19" s="1"/>
  <c r="BJ54" i="19"/>
  <c r="BK54" i="19" s="1"/>
  <c r="BG54" i="19"/>
  <c r="BJ55" i="19"/>
  <c r="BK55" i="19" s="1"/>
  <c r="BG55" i="19"/>
  <c r="BH55" i="19" s="1"/>
  <c r="BJ59" i="19"/>
  <c r="BK59" i="19" s="1"/>
  <c r="BG59" i="19"/>
  <c r="BH59" i="19" s="1"/>
  <c r="BJ56" i="19"/>
  <c r="BK56" i="19" s="1"/>
  <c r="BG56" i="19"/>
  <c r="BH56" i="19" s="1"/>
  <c r="BJ57" i="19"/>
  <c r="BK57" i="19" s="1"/>
  <c r="BG57" i="19"/>
  <c r="BH57" i="19" s="1"/>
  <c r="BJ332" i="19" a="1"/>
  <c r="BJ332" i="19" s="1"/>
  <c r="AP54" i="19"/>
  <c r="AP332" i="19" s="1" a="1"/>
  <c r="AP332" i="19" s="1"/>
  <c r="AO332" i="19" a="1"/>
  <c r="AO332" i="19" s="1"/>
  <c r="AH60" i="19"/>
  <c r="AI60" i="19" s="1"/>
  <c r="AH55" i="19"/>
  <c r="AI55" i="19" s="1"/>
  <c r="AH59" i="19"/>
  <c r="AI59" i="19" s="1"/>
  <c r="AH56" i="19"/>
  <c r="AI56" i="19" s="1"/>
  <c r="AH54" i="19"/>
  <c r="AH57" i="19"/>
  <c r="AI57" i="19" s="1"/>
  <c r="AH58" i="19"/>
  <c r="AI58" i="19" s="1"/>
  <c r="BA60" i="19"/>
  <c r="BB60" i="19" s="1"/>
  <c r="BA56" i="19"/>
  <c r="BB56" i="19" s="1"/>
  <c r="AX56" i="19"/>
  <c r="AY56" i="19" s="1"/>
  <c r="AR56" i="19"/>
  <c r="AS56" i="19" s="1"/>
  <c r="AE57" i="19"/>
  <c r="AF57" i="19" s="1"/>
  <c r="AE54" i="19"/>
  <c r="AX57" i="19"/>
  <c r="AY57" i="19" s="1"/>
  <c r="BA58" i="19"/>
  <c r="BB58" i="19" s="1"/>
  <c r="AX58" i="19"/>
  <c r="AY58" i="19" s="1"/>
  <c r="BA59" i="19"/>
  <c r="BB59" i="19" s="1"/>
  <c r="AU58" i="19"/>
  <c r="AV58" i="19" s="1"/>
  <c r="AX59" i="19"/>
  <c r="AY59" i="19" s="1"/>
  <c r="BD57" i="19"/>
  <c r="BE57" i="19" s="1"/>
  <c r="BD58" i="19"/>
  <c r="BE58" i="19" s="1"/>
  <c r="AU57" i="19"/>
  <c r="AV57" i="19" s="1"/>
  <c r="AU59" i="19"/>
  <c r="AV59" i="19" s="1"/>
  <c r="BA57" i="19"/>
  <c r="BB57" i="19" s="1"/>
  <c r="BD59" i="19"/>
  <c r="BE59" i="19" s="1"/>
  <c r="AK56" i="19"/>
  <c r="AL56" i="19" s="1"/>
  <c r="AR59" i="19"/>
  <c r="AS59" i="19" s="1"/>
  <c r="BA54" i="19"/>
  <c r="AK57" i="19"/>
  <c r="AL57" i="19" s="1"/>
  <c r="AR60" i="19"/>
  <c r="AS60" i="19" s="1"/>
  <c r="BD56" i="19"/>
  <c r="BE56" i="19" s="1"/>
  <c r="AU56" i="19"/>
  <c r="AV56" i="19" s="1"/>
  <c r="AR58" i="19"/>
  <c r="AS58" i="19" s="1"/>
  <c r="AK59" i="19"/>
  <c r="AL59" i="19" s="1"/>
  <c r="AR54" i="19"/>
  <c r="AU54" i="19"/>
  <c r="BD54" i="19"/>
  <c r="AK54" i="19"/>
  <c r="AE56" i="19"/>
  <c r="AF56" i="19" s="1"/>
  <c r="AU60" i="19"/>
  <c r="AV60" i="19" s="1"/>
  <c r="AK60" i="19"/>
  <c r="AL60" i="19" s="1"/>
  <c r="AR55" i="19"/>
  <c r="AS55" i="19" s="1"/>
  <c r="AU55" i="19"/>
  <c r="AV55" i="19" s="1"/>
  <c r="AX55" i="19"/>
  <c r="AY55" i="19" s="1"/>
  <c r="BA55" i="19"/>
  <c r="BB55" i="19" s="1"/>
  <c r="BD55" i="19"/>
  <c r="BE55" i="19" s="1"/>
  <c r="AX60" i="19"/>
  <c r="AY60" i="19" s="1"/>
  <c r="AK55" i="19"/>
  <c r="AL55" i="19" s="1"/>
  <c r="AK58" i="19"/>
  <c r="AL58" i="19" s="1"/>
  <c r="BD60" i="19"/>
  <c r="BE60" i="19" s="1"/>
  <c r="AE55" i="19"/>
  <c r="AF55" i="19" s="1"/>
  <c r="AE60" i="19"/>
  <c r="AF60" i="19" s="1"/>
  <c r="AX54" i="19"/>
  <c r="AR57" i="19"/>
  <c r="AS57" i="19" s="1"/>
  <c r="AE58" i="19"/>
  <c r="AF58" i="19" s="1"/>
  <c r="AE59" i="19"/>
  <c r="AF59" i="19" s="1"/>
  <c r="BC53" i="19"/>
  <c r="BC52" i="19"/>
  <c r="BC51" i="19"/>
  <c r="BC50" i="19"/>
  <c r="BC49" i="19"/>
  <c r="AZ53" i="19"/>
  <c r="AZ52" i="19"/>
  <c r="AZ51" i="19"/>
  <c r="AZ50" i="19"/>
  <c r="AZ49" i="19"/>
  <c r="AW53" i="19"/>
  <c r="AW52" i="19"/>
  <c r="AW51" i="19"/>
  <c r="AW50" i="19"/>
  <c r="AW49" i="19"/>
  <c r="AT53" i="19"/>
  <c r="AT52" i="19"/>
  <c r="AT51" i="19"/>
  <c r="AT50" i="19"/>
  <c r="AT49" i="19"/>
  <c r="AQ53" i="19"/>
  <c r="AQ52" i="19"/>
  <c r="AQ51" i="19"/>
  <c r="AQ50" i="19"/>
  <c r="AQ49" i="19"/>
  <c r="AO53" i="19"/>
  <c r="AP53" i="19" s="1"/>
  <c r="AO52" i="19"/>
  <c r="AP52" i="19" s="1"/>
  <c r="AO51" i="19"/>
  <c r="AP51" i="19" s="1"/>
  <c r="AO50" i="19"/>
  <c r="AP50" i="19" s="1"/>
  <c r="AO49" i="19"/>
  <c r="AP49" i="19" s="1"/>
  <c r="AN53" i="19"/>
  <c r="AN52" i="19"/>
  <c r="AN51" i="19"/>
  <c r="AN50" i="19"/>
  <c r="AN49" i="19"/>
  <c r="AM53" i="19"/>
  <c r="AM52" i="19"/>
  <c r="AM51" i="19"/>
  <c r="AM50" i="19"/>
  <c r="AM49" i="19"/>
  <c r="AJ53" i="19"/>
  <c r="AJ52" i="19"/>
  <c r="AJ51" i="19"/>
  <c r="AJ50" i="19"/>
  <c r="AJ49" i="19"/>
  <c r="AG53" i="19"/>
  <c r="AG52" i="19"/>
  <c r="AG51" i="19"/>
  <c r="AG50" i="19"/>
  <c r="AG49" i="19"/>
  <c r="AD53" i="19"/>
  <c r="AD52" i="19"/>
  <c r="AD51" i="19"/>
  <c r="AD50" i="19"/>
  <c r="AD49" i="19"/>
  <c r="J53" i="19"/>
  <c r="BM53" i="19" s="1"/>
  <c r="BN53" i="19" s="1"/>
  <c r="J52" i="19"/>
  <c r="BM52" i="19" s="1"/>
  <c r="BN52" i="19" s="1"/>
  <c r="J51" i="19"/>
  <c r="BM51" i="19" s="1"/>
  <c r="BN51" i="19" s="1"/>
  <c r="J50" i="19"/>
  <c r="BM50" i="19" s="1"/>
  <c r="BN50" i="19" s="1"/>
  <c r="J49" i="19"/>
  <c r="BM49" i="19" s="1"/>
  <c r="BN49" i="19" s="1"/>
  <c r="BK332" i="19" l="1" a="1"/>
  <c r="BK332" i="19" s="1"/>
  <c r="BM333" i="19"/>
  <c r="BN331" i="19"/>
  <c r="BN332" i="19" a="1"/>
  <c r="BN332" i="19" s="1"/>
  <c r="BN335" i="19" s="1"/>
  <c r="BN337" i="19" s="1"/>
  <c r="BH54" i="19"/>
  <c r="BG331" i="19"/>
  <c r="BG332" i="19" a="1"/>
  <c r="BG332" i="19" s="1"/>
  <c r="BJ49" i="19"/>
  <c r="BK49" i="19" s="1"/>
  <c r="BG49" i="19"/>
  <c r="BH49" i="19" s="1"/>
  <c r="BJ50" i="19"/>
  <c r="BK50" i="19" s="1"/>
  <c r="BG50" i="19"/>
  <c r="BH50" i="19" s="1"/>
  <c r="BJ51" i="19"/>
  <c r="BK51" i="19" s="1"/>
  <c r="BG51" i="19"/>
  <c r="BH51" i="19" s="1"/>
  <c r="BJ52" i="19"/>
  <c r="BK52" i="19" s="1"/>
  <c r="BG52" i="19"/>
  <c r="BH52" i="19" s="1"/>
  <c r="BJ53" i="19"/>
  <c r="BK53" i="19" s="1"/>
  <c r="BG53" i="19"/>
  <c r="BH53" i="19" s="1"/>
  <c r="AY54" i="19"/>
  <c r="AY332" i="19" s="1" a="1"/>
  <c r="AY332" i="19" s="1"/>
  <c r="AX332" i="19" a="1"/>
  <c r="AX332" i="19" s="1"/>
  <c r="BE54" i="19"/>
  <c r="BE332" i="19" s="1" a="1"/>
  <c r="BE332" i="19" s="1"/>
  <c r="BD332" i="19" a="1"/>
  <c r="BD332" i="19" s="1"/>
  <c r="AF54" i="19"/>
  <c r="AF332" i="19" s="1" a="1"/>
  <c r="AF332" i="19" s="1"/>
  <c r="AE332" i="19" a="1"/>
  <c r="AE332" i="19" s="1"/>
  <c r="AV54" i="19"/>
  <c r="AV332" i="19" s="1" a="1"/>
  <c r="AV332" i="19" s="1"/>
  <c r="AU332" i="19" a="1"/>
  <c r="AU332" i="19" s="1"/>
  <c r="BB54" i="19"/>
  <c r="BB332" i="19" s="1" a="1"/>
  <c r="BB332" i="19" s="1"/>
  <c r="BA332" i="19" a="1"/>
  <c r="BA332" i="19" s="1"/>
  <c r="AI54" i="19"/>
  <c r="AI332" i="19" s="1" a="1"/>
  <c r="AI332" i="19" s="1"/>
  <c r="AH332" i="19" a="1"/>
  <c r="AH332" i="19" s="1"/>
  <c r="AS54" i="19"/>
  <c r="AS332" i="19" s="1" a="1"/>
  <c r="AS332" i="19" s="1"/>
  <c r="AR332" i="19" a="1"/>
  <c r="AR332" i="19" s="1"/>
  <c r="AL54" i="19"/>
  <c r="AL332" i="19" s="1" a="1"/>
  <c r="AL332" i="19" s="1"/>
  <c r="AK332" i="19" a="1"/>
  <c r="AK332" i="19" s="1"/>
  <c r="AH51" i="19"/>
  <c r="AI51" i="19" s="1"/>
  <c r="AH50" i="19"/>
  <c r="AI50" i="19" s="1"/>
  <c r="AH49" i="19"/>
  <c r="AI49" i="19" s="1"/>
  <c r="AH53" i="19"/>
  <c r="AI53" i="19" s="1"/>
  <c r="AH52" i="19"/>
  <c r="AI52" i="19" s="1"/>
  <c r="AR50" i="19"/>
  <c r="AS50" i="19" s="1"/>
  <c r="AX51" i="19"/>
  <c r="AY51" i="19" s="1"/>
  <c r="BA52" i="19"/>
  <c r="BB52" i="19" s="1"/>
  <c r="AE52" i="19"/>
  <c r="AF52" i="19" s="1"/>
  <c r="BD53" i="19"/>
  <c r="BE53" i="19" s="1"/>
  <c r="AX53" i="19"/>
  <c r="AY53" i="19" s="1"/>
  <c r="AU50" i="19"/>
  <c r="AV50" i="19" s="1"/>
  <c r="BD49" i="19"/>
  <c r="BE49" i="19" s="1"/>
  <c r="AK49" i="19"/>
  <c r="AL49" i="19" s="1"/>
  <c r="AU53" i="19"/>
  <c r="AV53" i="19" s="1"/>
  <c r="AU51" i="19"/>
  <c r="AV51" i="19" s="1"/>
  <c r="AK52" i="19"/>
  <c r="AL52" i="19" s="1"/>
  <c r="AE49" i="19"/>
  <c r="AF49" i="19" s="1"/>
  <c r="AK50" i="19"/>
  <c r="AL50" i="19" s="1"/>
  <c r="AR49" i="19"/>
  <c r="AS49" i="19" s="1"/>
  <c r="BA53" i="19"/>
  <c r="BB53" i="19" s="1"/>
  <c r="AE50" i="19"/>
  <c r="AF50" i="19" s="1"/>
  <c r="AE51" i="19"/>
  <c r="AF51" i="19" s="1"/>
  <c r="AK51" i="19"/>
  <c r="AL51" i="19" s="1"/>
  <c r="AU52" i="19"/>
  <c r="AV52" i="19" s="1"/>
  <c r="AX52" i="19"/>
  <c r="AY52" i="19" s="1"/>
  <c r="AE53" i="19"/>
  <c r="AF53" i="19" s="1"/>
  <c r="AK53" i="19"/>
  <c r="AL53" i="19" s="1"/>
  <c r="AR52" i="19"/>
  <c r="AS52" i="19" s="1"/>
  <c r="BD50" i="19"/>
  <c r="BE50" i="19" s="1"/>
  <c r="AR53" i="19"/>
  <c r="AS53" i="19" s="1"/>
  <c r="BA49" i="19"/>
  <c r="BB49" i="19" s="1"/>
  <c r="BD51" i="19"/>
  <c r="BE51" i="19" s="1"/>
  <c r="BA50" i="19"/>
  <c r="BB50" i="19" s="1"/>
  <c r="BD52" i="19"/>
  <c r="BE52" i="19" s="1"/>
  <c r="AU49" i="19"/>
  <c r="AV49" i="19" s="1"/>
  <c r="AX49" i="19"/>
  <c r="AY49" i="19" s="1"/>
  <c r="BA51" i="19"/>
  <c r="BB51" i="19" s="1"/>
  <c r="AR51" i="19"/>
  <c r="AS51" i="19" s="1"/>
  <c r="AX50" i="19"/>
  <c r="AY50" i="19" s="1"/>
  <c r="BG333" i="19" l="1"/>
  <c r="BH331" i="19"/>
  <c r="BH332" i="19" a="1"/>
  <c r="BH332" i="19" s="1"/>
  <c r="BK331" i="19"/>
  <c r="BJ331" i="19"/>
  <c r="AP331" i="19"/>
  <c r="AO331" i="19"/>
  <c r="AO38" i="19"/>
  <c r="AP38" i="19" s="1"/>
  <c r="AO43" i="19"/>
  <c r="AP43" i="19" s="1"/>
  <c r="AO42" i="19"/>
  <c r="AP42" i="19" s="1"/>
  <c r="AO41" i="19"/>
  <c r="AP41" i="19" s="1"/>
  <c r="AO40" i="19"/>
  <c r="AP40" i="19" s="1"/>
  <c r="AO39" i="19"/>
  <c r="AN43" i="19"/>
  <c r="AN42" i="19"/>
  <c r="AN41" i="19"/>
  <c r="AN40" i="19"/>
  <c r="AN39" i="19"/>
  <c r="AN38" i="19"/>
  <c r="AM43" i="19"/>
  <c r="AM42" i="19"/>
  <c r="AM41" i="19"/>
  <c r="AM40" i="19"/>
  <c r="AM39" i="19"/>
  <c r="AM38" i="19"/>
  <c r="V43" i="19"/>
  <c r="W43" i="19" s="1"/>
  <c r="V42" i="19"/>
  <c r="W42" i="19" s="1"/>
  <c r="V41" i="19"/>
  <c r="W41" i="19" s="1"/>
  <c r="V40" i="19"/>
  <c r="W40" i="19" s="1"/>
  <c r="V39" i="19"/>
  <c r="W39" i="19" s="1"/>
  <c r="V38" i="19"/>
  <c r="W38" i="19" s="1"/>
  <c r="U43" i="19"/>
  <c r="U42" i="19"/>
  <c r="U41" i="19"/>
  <c r="U40" i="19"/>
  <c r="U39" i="19"/>
  <c r="U38" i="19"/>
  <c r="T43" i="19"/>
  <c r="T42" i="19"/>
  <c r="T41" i="19"/>
  <c r="T40" i="19"/>
  <c r="T39" i="19"/>
  <c r="T38" i="19"/>
  <c r="AJ43" i="19"/>
  <c r="AJ42" i="19"/>
  <c r="AJ41" i="19"/>
  <c r="AJ40" i="19"/>
  <c r="AJ39" i="19"/>
  <c r="AJ38" i="19"/>
  <c r="Q43" i="19"/>
  <c r="Q42" i="19"/>
  <c r="Q41" i="19"/>
  <c r="Q40" i="19"/>
  <c r="Q39" i="19"/>
  <c r="Q38" i="19"/>
  <c r="AG43" i="19"/>
  <c r="AG42" i="19"/>
  <c r="AG41" i="19"/>
  <c r="AG40" i="19"/>
  <c r="AG39" i="19"/>
  <c r="AG38" i="19"/>
  <c r="N43" i="19"/>
  <c r="N42" i="19"/>
  <c r="N41" i="19"/>
  <c r="N40" i="19"/>
  <c r="N39" i="19"/>
  <c r="N38" i="19"/>
  <c r="AD43" i="19"/>
  <c r="AD42" i="19"/>
  <c r="AD41" i="19"/>
  <c r="AD40" i="19"/>
  <c r="AD39" i="19"/>
  <c r="AD38" i="19"/>
  <c r="J43" i="19"/>
  <c r="AB43" i="19" s="1"/>
  <c r="AC43" i="19" s="1"/>
  <c r="K43" i="19"/>
  <c r="K42" i="19"/>
  <c r="K41" i="19"/>
  <c r="K40" i="19"/>
  <c r="K39" i="19"/>
  <c r="K38" i="19"/>
  <c r="J42" i="19"/>
  <c r="AB42" i="19" s="1"/>
  <c r="AC42" i="19" s="1"/>
  <c r="J41" i="19"/>
  <c r="AB41" i="19" s="1"/>
  <c r="AC41" i="19" s="1"/>
  <c r="J40" i="19"/>
  <c r="AB40" i="19" s="1"/>
  <c r="AC40" i="19" s="1"/>
  <c r="J39" i="19"/>
  <c r="AB39" i="19" s="1"/>
  <c r="AC39" i="19" s="1"/>
  <c r="J38" i="19"/>
  <c r="AB38" i="19" s="1"/>
  <c r="AC38" i="19" s="1"/>
  <c r="BG43" i="19" l="1"/>
  <c r="BH43" i="19" s="1"/>
  <c r="BM43" i="19"/>
  <c r="BN43" i="19" s="1"/>
  <c r="BG38" i="19"/>
  <c r="BH38" i="19" s="1"/>
  <c r="BM38" i="19"/>
  <c r="BG39" i="19"/>
  <c r="BH39" i="19" s="1"/>
  <c r="BM39" i="19"/>
  <c r="BG40" i="19"/>
  <c r="BH40" i="19" s="1"/>
  <c r="BM40" i="19"/>
  <c r="BN40" i="19" s="1"/>
  <c r="BG41" i="19"/>
  <c r="BH41" i="19" s="1"/>
  <c r="BM41" i="19"/>
  <c r="BN41" i="19" s="1"/>
  <c r="BG42" i="19"/>
  <c r="BH42" i="19" s="1"/>
  <c r="BM42" i="19"/>
  <c r="BN42" i="19" s="1"/>
  <c r="BH335" i="19"/>
  <c r="BH337" i="19" s="1"/>
  <c r="BJ39" i="19"/>
  <c r="BK39" i="19" s="1"/>
  <c r="Y39" i="19"/>
  <c r="Z39" i="19" s="1"/>
  <c r="BJ40" i="19"/>
  <c r="BK40" i="19" s="1"/>
  <c r="Y40" i="19"/>
  <c r="Z40" i="19" s="1"/>
  <c r="BJ43" i="19"/>
  <c r="BK43" i="19" s="1"/>
  <c r="Y43" i="19"/>
  <c r="Z43" i="19" s="1"/>
  <c r="BJ38" i="19"/>
  <c r="BK38" i="19" s="1"/>
  <c r="Y38" i="19"/>
  <c r="Z38" i="19" s="1"/>
  <c r="BJ41" i="19"/>
  <c r="BK41" i="19" s="1"/>
  <c r="Y41" i="19"/>
  <c r="Z41" i="19" s="1"/>
  <c r="BJ42" i="19"/>
  <c r="BK42" i="19" s="1"/>
  <c r="Y42" i="19"/>
  <c r="Z42" i="19" s="1"/>
  <c r="AO343" i="19" a="1"/>
  <c r="AO343" i="19" s="1"/>
  <c r="AP39" i="19"/>
  <c r="AP343" i="19" s="1" a="1"/>
  <c r="AP343" i="19" s="1"/>
  <c r="AO342" i="19"/>
  <c r="AV331" i="19"/>
  <c r="AU331" i="19"/>
  <c r="AS331" i="19"/>
  <c r="AR331" i="19"/>
  <c r="BB331" i="19"/>
  <c r="BA331" i="19"/>
  <c r="AL331" i="19"/>
  <c r="AK331" i="19"/>
  <c r="BE331" i="19"/>
  <c r="BD331" i="19"/>
  <c r="AY331" i="19"/>
  <c r="AX331" i="19"/>
  <c r="AI331" i="19"/>
  <c r="AH331" i="19"/>
  <c r="AF331" i="19"/>
  <c r="AE331" i="19"/>
  <c r="L41" i="19"/>
  <c r="M41" i="19" s="1"/>
  <c r="L39" i="19"/>
  <c r="M39" i="19" s="1"/>
  <c r="L43" i="19"/>
  <c r="M43" i="19" s="1"/>
  <c r="L38" i="19"/>
  <c r="M38" i="19" s="1"/>
  <c r="L40" i="19"/>
  <c r="M40" i="19" s="1"/>
  <c r="L42" i="19"/>
  <c r="M42" i="19" s="1"/>
  <c r="AH41" i="19"/>
  <c r="AI41" i="19" s="1"/>
  <c r="AH38" i="19"/>
  <c r="AI38" i="19" s="1"/>
  <c r="AH39" i="19"/>
  <c r="AH40" i="19"/>
  <c r="AI40" i="19" s="1"/>
  <c r="AH42" i="19"/>
  <c r="AI42" i="19" s="1"/>
  <c r="AH43" i="19"/>
  <c r="AI43" i="19" s="1"/>
  <c r="R38" i="19"/>
  <c r="S38" i="19" s="1"/>
  <c r="O40" i="19"/>
  <c r="P40" i="19" s="1"/>
  <c r="AK38" i="19"/>
  <c r="AL38" i="19" s="1"/>
  <c r="AU38" i="19"/>
  <c r="AV38" i="19" s="1"/>
  <c r="AX40" i="19"/>
  <c r="AY40" i="19" s="1"/>
  <c r="BA42" i="19"/>
  <c r="BB42" i="19" s="1"/>
  <c r="AK39" i="19"/>
  <c r="AU39" i="19"/>
  <c r="AX41" i="19"/>
  <c r="AY41" i="19" s="1"/>
  <c r="BA43" i="19"/>
  <c r="BB43" i="19" s="1"/>
  <c r="O42" i="19"/>
  <c r="P42" i="19" s="1"/>
  <c r="AK40" i="19"/>
  <c r="AL40" i="19" s="1"/>
  <c r="AR38" i="19"/>
  <c r="AS38" i="19" s="1"/>
  <c r="AU40" i="19"/>
  <c r="AV40" i="19" s="1"/>
  <c r="AX42" i="19"/>
  <c r="AY42" i="19" s="1"/>
  <c r="BD38" i="19"/>
  <c r="BE38" i="19" s="1"/>
  <c r="O43" i="19"/>
  <c r="P43" i="19" s="1"/>
  <c r="R39" i="19"/>
  <c r="S39" i="19" s="1"/>
  <c r="AK41" i="19"/>
  <c r="AL41" i="19" s="1"/>
  <c r="AR39" i="19"/>
  <c r="AX43" i="19"/>
  <c r="AY43" i="19" s="1"/>
  <c r="BD39" i="19"/>
  <c r="R40" i="19"/>
  <c r="S40" i="19" s="1"/>
  <c r="AK42" i="19"/>
  <c r="AL42" i="19" s="1"/>
  <c r="AR40" i="19"/>
  <c r="AS40" i="19" s="1"/>
  <c r="AU42" i="19"/>
  <c r="AV42" i="19" s="1"/>
  <c r="BA38" i="19"/>
  <c r="BB38" i="19" s="1"/>
  <c r="BD40" i="19"/>
  <c r="BE40" i="19" s="1"/>
  <c r="AK43" i="19"/>
  <c r="AL43" i="19" s="1"/>
  <c r="AR41" i="19"/>
  <c r="AS41" i="19" s="1"/>
  <c r="AU43" i="19"/>
  <c r="AV43" i="19" s="1"/>
  <c r="BA39" i="19"/>
  <c r="BD41" i="19"/>
  <c r="BE41" i="19" s="1"/>
  <c r="O38" i="19"/>
  <c r="P38" i="19" s="1"/>
  <c r="R42" i="19"/>
  <c r="S42" i="19" s="1"/>
  <c r="AR42" i="19"/>
  <c r="AS42" i="19" s="1"/>
  <c r="AX38" i="19"/>
  <c r="AY38" i="19" s="1"/>
  <c r="BA40" i="19"/>
  <c r="BB40" i="19" s="1"/>
  <c r="BD42" i="19"/>
  <c r="BE42" i="19" s="1"/>
  <c r="O39" i="19"/>
  <c r="P39" i="19" s="1"/>
  <c r="R43" i="19"/>
  <c r="S43" i="19" s="1"/>
  <c r="AR43" i="19"/>
  <c r="AS43" i="19" s="1"/>
  <c r="AX39" i="19"/>
  <c r="BD43" i="19"/>
  <c r="BE43" i="19" s="1"/>
  <c r="AU41" i="19"/>
  <c r="AV41" i="19" s="1"/>
  <c r="R41" i="19"/>
  <c r="S41" i="19" s="1"/>
  <c r="O41" i="19"/>
  <c r="P41" i="19" s="1"/>
  <c r="BA41" i="19"/>
  <c r="BB41" i="19" s="1"/>
  <c r="AE38" i="19"/>
  <c r="AF38" i="19" s="1"/>
  <c r="AE40" i="19"/>
  <c r="AF40" i="19" s="1"/>
  <c r="AE39" i="19"/>
  <c r="AE41" i="19"/>
  <c r="AF41" i="19" s="1"/>
  <c r="AE42" i="19"/>
  <c r="AF42" i="19" s="1"/>
  <c r="AE43" i="19"/>
  <c r="AF43" i="19" s="1"/>
  <c r="BG342" i="19" l="1"/>
  <c r="BG343" i="19" a="1"/>
  <c r="BG343" i="19" s="1"/>
  <c r="BG344" i="19" s="1"/>
  <c r="BN39" i="19"/>
  <c r="BM342" i="19"/>
  <c r="BM343" i="19" a="1"/>
  <c r="BM343" i="19" s="1"/>
  <c r="BN38" i="19"/>
  <c r="BH342" i="19"/>
  <c r="BH343" i="19" a="1"/>
  <c r="BH343" i="19" s="1"/>
  <c r="AU343" i="19" a="1"/>
  <c r="AU343" i="19" s="1"/>
  <c r="BJ342" i="19"/>
  <c r="BK343" i="19" a="1"/>
  <c r="BK343" i="19" s="1"/>
  <c r="BJ343" i="19" a="1"/>
  <c r="BJ343" i="19" s="1"/>
  <c r="AX343" i="19" a="1"/>
  <c r="AX343" i="19" s="1"/>
  <c r="AE343" i="19" a="1"/>
  <c r="AE343" i="19" s="1"/>
  <c r="BA343" i="19" a="1"/>
  <c r="BA343" i="19" s="1"/>
  <c r="AR343" i="19" a="1"/>
  <c r="AR343" i="19" s="1"/>
  <c r="AK343" i="19" a="1"/>
  <c r="AK343" i="19" s="1"/>
  <c r="BD343" i="19" a="1"/>
  <c r="BD343" i="19" s="1"/>
  <c r="AH343" i="19" a="1"/>
  <c r="AH343" i="19" s="1"/>
  <c r="AE342" i="19"/>
  <c r="BK342" i="19"/>
  <c r="AS39" i="19"/>
  <c r="AS343" i="19" s="1" a="1"/>
  <c r="AS343" i="19" s="1"/>
  <c r="AR342" i="19"/>
  <c r="AL39" i="19"/>
  <c r="AL343" i="19" s="1" a="1"/>
  <c r="AL343" i="19" s="1"/>
  <c r="AK342" i="19"/>
  <c r="BE39" i="19"/>
  <c r="BE343" i="19" s="1" a="1"/>
  <c r="BE343" i="19" s="1"/>
  <c r="BD342" i="19"/>
  <c r="BB39" i="19"/>
  <c r="BB343" i="19" s="1" a="1"/>
  <c r="BB343" i="19" s="1"/>
  <c r="BA342" i="19"/>
  <c r="AV39" i="19"/>
  <c r="AV343" i="19" s="1" a="1"/>
  <c r="AV343" i="19" s="1"/>
  <c r="AU342" i="19"/>
  <c r="AI39" i="19"/>
  <c r="AI343" i="19" s="1" a="1"/>
  <c r="AI343" i="19" s="1"/>
  <c r="AH342" i="19"/>
  <c r="AF39" i="19"/>
  <c r="AF343" i="19" s="1" a="1"/>
  <c r="AF343" i="19" s="1"/>
  <c r="AY39" i="19"/>
  <c r="AY343" i="19" s="1" a="1"/>
  <c r="AY343" i="19" s="1"/>
  <c r="AX342" i="19"/>
  <c r="AP342" i="19"/>
  <c r="AO37" i="19"/>
  <c r="AP37" i="19" s="1"/>
  <c r="AO36" i="19"/>
  <c r="AP36" i="19" s="1"/>
  <c r="AO35" i="19"/>
  <c r="AP35" i="19" s="1"/>
  <c r="AO34" i="19"/>
  <c r="AP34" i="19" s="1"/>
  <c r="AO33" i="19"/>
  <c r="AP33" i="19" s="1"/>
  <c r="AO32" i="19"/>
  <c r="AP32" i="19" s="1"/>
  <c r="AO31" i="19"/>
  <c r="AP31" i="19" s="1"/>
  <c r="AO30" i="19"/>
  <c r="AP30" i="19" s="1"/>
  <c r="AO29" i="19"/>
  <c r="AP29" i="19" s="1"/>
  <c r="AO28" i="19"/>
  <c r="AN37" i="19"/>
  <c r="AN36" i="19"/>
  <c r="AN35" i="19"/>
  <c r="AN34" i="19"/>
  <c r="AN33" i="19"/>
  <c r="AN32" i="19"/>
  <c r="AN31" i="19"/>
  <c r="AN30" i="19"/>
  <c r="AN29" i="19"/>
  <c r="AN28" i="19"/>
  <c r="AM37" i="19"/>
  <c r="AM36" i="19"/>
  <c r="AM35" i="19"/>
  <c r="AM34" i="19"/>
  <c r="AM33" i="19"/>
  <c r="AM32" i="19"/>
  <c r="AM31" i="19"/>
  <c r="AM30" i="19"/>
  <c r="AM29" i="19"/>
  <c r="AM28" i="19"/>
  <c r="V32" i="19"/>
  <c r="W32" i="19" s="1"/>
  <c r="V31" i="19"/>
  <c r="W31" i="19" s="1"/>
  <c r="V30" i="19"/>
  <c r="W30" i="19" s="1"/>
  <c r="V29" i="19"/>
  <c r="W29" i="19" s="1"/>
  <c r="V28" i="19"/>
  <c r="U32" i="19"/>
  <c r="U31" i="19"/>
  <c r="U30" i="19"/>
  <c r="U29" i="19"/>
  <c r="U28" i="19"/>
  <c r="T32" i="19"/>
  <c r="T31" i="19"/>
  <c r="T30" i="19"/>
  <c r="T29" i="19"/>
  <c r="T28" i="19"/>
  <c r="AJ37" i="19"/>
  <c r="AJ36" i="19"/>
  <c r="AJ35" i="19"/>
  <c r="AJ34" i="19"/>
  <c r="AJ33" i="19"/>
  <c r="AJ32" i="19"/>
  <c r="AJ31" i="19"/>
  <c r="AJ30" i="19"/>
  <c r="AJ29" i="19"/>
  <c r="AJ28" i="19"/>
  <c r="Q32" i="19"/>
  <c r="Q31" i="19"/>
  <c r="Q30" i="19"/>
  <c r="Q29" i="19"/>
  <c r="Q28" i="19"/>
  <c r="AG37" i="19"/>
  <c r="AG36" i="19"/>
  <c r="AG35" i="19"/>
  <c r="AG34" i="19"/>
  <c r="AG33" i="19"/>
  <c r="AG32" i="19"/>
  <c r="AG31" i="19"/>
  <c r="AG30" i="19"/>
  <c r="AG29" i="19"/>
  <c r="AG28" i="19"/>
  <c r="N32" i="19"/>
  <c r="N31" i="19"/>
  <c r="N30" i="19"/>
  <c r="N29" i="19"/>
  <c r="N28" i="19"/>
  <c r="AD37" i="19"/>
  <c r="AD36" i="19"/>
  <c r="AD35" i="19"/>
  <c r="AD34" i="19"/>
  <c r="AD33" i="19"/>
  <c r="AD32" i="19"/>
  <c r="AD31" i="19"/>
  <c r="AD30" i="19"/>
  <c r="AD29" i="19"/>
  <c r="AD28" i="19"/>
  <c r="K32" i="19"/>
  <c r="K31" i="19"/>
  <c r="K30" i="19"/>
  <c r="K29" i="19"/>
  <c r="K28" i="19"/>
  <c r="J37" i="19"/>
  <c r="BM37" i="19" s="1"/>
  <c r="BN37" i="19" s="1"/>
  <c r="J36" i="19"/>
  <c r="BM36" i="19" s="1"/>
  <c r="BN36" i="19" s="1"/>
  <c r="J35" i="19"/>
  <c r="BM35" i="19" s="1"/>
  <c r="BN35" i="19" s="1"/>
  <c r="J34" i="19"/>
  <c r="BM34" i="19" s="1"/>
  <c r="BN34" i="19" s="1"/>
  <c r="J33" i="19"/>
  <c r="BM33" i="19" s="1"/>
  <c r="BN33" i="19" s="1"/>
  <c r="J32" i="19"/>
  <c r="AB32" i="19" s="1"/>
  <c r="AC32" i="19" s="1"/>
  <c r="J31" i="19"/>
  <c r="AB31" i="19" s="1"/>
  <c r="AC31" i="19" s="1"/>
  <c r="J30" i="19"/>
  <c r="AB30" i="19" s="1"/>
  <c r="AC30" i="19" s="1"/>
  <c r="J29" i="19"/>
  <c r="AB29" i="19" s="1"/>
  <c r="AC29" i="19" s="1"/>
  <c r="J28" i="19"/>
  <c r="AB28" i="19" s="1"/>
  <c r="AC28" i="19" l="1"/>
  <c r="AB311" i="19"/>
  <c r="AB310" i="19"/>
  <c r="BG32" i="19"/>
  <c r="BH32" i="19" s="1"/>
  <c r="BM32" i="19"/>
  <c r="BN32" i="19" s="1"/>
  <c r="BG28" i="19"/>
  <c r="BH28" i="19" s="1"/>
  <c r="BM28" i="19"/>
  <c r="BG29" i="19"/>
  <c r="BH29" i="19" s="1"/>
  <c r="BM29" i="19"/>
  <c r="BN29" i="19" s="1"/>
  <c r="BG30" i="19"/>
  <c r="BH30" i="19" s="1"/>
  <c r="BM30" i="19"/>
  <c r="BN30" i="19" s="1"/>
  <c r="BG31" i="19"/>
  <c r="BH31" i="19" s="1"/>
  <c r="BM31" i="19"/>
  <c r="BN31" i="19" s="1"/>
  <c r="BM344" i="19"/>
  <c r="BN342" i="19"/>
  <c r="BN343" i="19" a="1"/>
  <c r="BN343" i="19" s="1"/>
  <c r="BH346" i="19"/>
  <c r="BH348" i="19" s="1"/>
  <c r="BJ33" i="19"/>
  <c r="BK33" i="19" s="1"/>
  <c r="BG33" i="19"/>
  <c r="BH33" i="19" s="1"/>
  <c r="BJ34" i="19"/>
  <c r="BK34" i="19" s="1"/>
  <c r="BG34" i="19"/>
  <c r="BH34" i="19" s="1"/>
  <c r="BJ37" i="19"/>
  <c r="BK37" i="19" s="1"/>
  <c r="BG37" i="19"/>
  <c r="BH37" i="19" s="1"/>
  <c r="BJ35" i="19"/>
  <c r="BK35" i="19" s="1"/>
  <c r="BG35" i="19"/>
  <c r="BH35" i="19" s="1"/>
  <c r="BJ36" i="19"/>
  <c r="BK36" i="19" s="1"/>
  <c r="BG36" i="19"/>
  <c r="BH36" i="19" s="1"/>
  <c r="BJ28" i="19"/>
  <c r="BK28" i="19" s="1"/>
  <c r="Y28" i="19"/>
  <c r="BJ29" i="19"/>
  <c r="BK29" i="19" s="1"/>
  <c r="Y29" i="19"/>
  <c r="Z29" i="19" s="1"/>
  <c r="BJ30" i="19"/>
  <c r="BK30" i="19" s="1"/>
  <c r="Y30" i="19"/>
  <c r="Z30" i="19" s="1"/>
  <c r="BJ31" i="19"/>
  <c r="BK31" i="19" s="1"/>
  <c r="Y31" i="19"/>
  <c r="Z31" i="19" s="1"/>
  <c r="BJ32" i="19"/>
  <c r="BK32" i="19" s="1"/>
  <c r="Y32" i="19"/>
  <c r="Z32" i="19" s="1"/>
  <c r="AO321" i="19" a="1"/>
  <c r="AO321" i="19" s="1"/>
  <c r="W28" i="19"/>
  <c r="V311" i="19"/>
  <c r="V310" i="19"/>
  <c r="V343" i="19" a="1"/>
  <c r="V343" i="19" s="1"/>
  <c r="V342" i="19"/>
  <c r="V321" i="19" a="1"/>
  <c r="V321" i="19" s="1"/>
  <c r="V320" i="19"/>
  <c r="BJ333" i="19"/>
  <c r="BE342" i="19"/>
  <c r="AY342" i="19"/>
  <c r="AV342" i="19"/>
  <c r="AL342" i="19"/>
  <c r="AI342" i="19"/>
  <c r="AF342" i="19"/>
  <c r="BB342" i="19"/>
  <c r="AS342" i="19"/>
  <c r="AP28" i="19"/>
  <c r="AO333" i="19"/>
  <c r="AO320" i="19"/>
  <c r="BA35" i="19"/>
  <c r="BB35" i="19" s="1"/>
  <c r="AX35" i="19"/>
  <c r="AY35" i="19" s="1"/>
  <c r="AR35" i="19"/>
  <c r="AS35" i="19" s="1"/>
  <c r="AU35" i="19"/>
  <c r="AV35" i="19" s="1"/>
  <c r="BD35" i="19"/>
  <c r="BE35" i="19" s="1"/>
  <c r="AR32" i="19"/>
  <c r="AS32" i="19" s="1"/>
  <c r="BD32" i="19"/>
  <c r="BE32" i="19" s="1"/>
  <c r="AU32" i="19"/>
  <c r="AV32" i="19" s="1"/>
  <c r="BA32" i="19"/>
  <c r="BB32" i="19" s="1"/>
  <c r="AX32" i="19"/>
  <c r="AY32" i="19" s="1"/>
  <c r="BA29" i="19"/>
  <c r="BB29" i="19" s="1"/>
  <c r="AR29" i="19"/>
  <c r="AS29" i="19" s="1"/>
  <c r="AX29" i="19"/>
  <c r="AY29" i="19" s="1"/>
  <c r="BD29" i="19"/>
  <c r="BE29" i="19" s="1"/>
  <c r="AU29" i="19"/>
  <c r="AV29" i="19" s="1"/>
  <c r="BD37" i="19"/>
  <c r="BE37" i="19" s="1"/>
  <c r="AX37" i="19"/>
  <c r="AY37" i="19" s="1"/>
  <c r="AR37" i="19"/>
  <c r="AS37" i="19" s="1"/>
  <c r="AU37" i="19"/>
  <c r="AV37" i="19" s="1"/>
  <c r="BA37" i="19"/>
  <c r="BB37" i="19" s="1"/>
  <c r="AU33" i="19"/>
  <c r="AV33" i="19" s="1"/>
  <c r="AR33" i="19"/>
  <c r="AS33" i="19" s="1"/>
  <c r="BA33" i="19"/>
  <c r="BB33" i="19" s="1"/>
  <c r="BD33" i="19"/>
  <c r="BE33" i="19" s="1"/>
  <c r="AX33" i="19"/>
  <c r="AY33" i="19" s="1"/>
  <c r="AX36" i="19"/>
  <c r="AY36" i="19" s="1"/>
  <c r="BD36" i="19"/>
  <c r="BE36" i="19" s="1"/>
  <c r="AU36" i="19"/>
  <c r="AV36" i="19" s="1"/>
  <c r="BA36" i="19"/>
  <c r="BB36" i="19" s="1"/>
  <c r="AR36" i="19"/>
  <c r="AS36" i="19" s="1"/>
  <c r="AU30" i="19"/>
  <c r="AV30" i="19" s="1"/>
  <c r="AR30" i="19"/>
  <c r="AS30" i="19" s="1"/>
  <c r="BD30" i="19"/>
  <c r="BE30" i="19" s="1"/>
  <c r="AX30" i="19"/>
  <c r="AY30" i="19" s="1"/>
  <c r="BA30" i="19"/>
  <c r="BB30" i="19" s="1"/>
  <c r="AR34" i="19"/>
  <c r="AS34" i="19" s="1"/>
  <c r="BD34" i="19"/>
  <c r="BE34" i="19" s="1"/>
  <c r="BA34" i="19"/>
  <c r="BB34" i="19" s="1"/>
  <c r="AU34" i="19"/>
  <c r="AV34" i="19" s="1"/>
  <c r="AX34" i="19"/>
  <c r="AY34" i="19" s="1"/>
  <c r="BA31" i="19"/>
  <c r="BB31" i="19" s="1"/>
  <c r="BD31" i="19"/>
  <c r="BE31" i="19" s="1"/>
  <c r="AU31" i="19"/>
  <c r="AV31" i="19" s="1"/>
  <c r="AR31" i="19"/>
  <c r="AS31" i="19" s="1"/>
  <c r="AX31" i="19"/>
  <c r="AY31" i="19" s="1"/>
  <c r="AH35" i="19"/>
  <c r="AI35" i="19" s="1"/>
  <c r="AH28" i="19"/>
  <c r="AH36" i="19"/>
  <c r="AI36" i="19" s="1"/>
  <c r="L31" i="19"/>
  <c r="M31" i="19" s="1"/>
  <c r="L32" i="19"/>
  <c r="M32" i="19" s="1"/>
  <c r="AH29" i="19"/>
  <c r="AI29" i="19" s="1"/>
  <c r="AH37" i="19"/>
  <c r="AI37" i="19" s="1"/>
  <c r="L28" i="19"/>
  <c r="AH32" i="19"/>
  <c r="AI32" i="19" s="1"/>
  <c r="L29" i="19"/>
  <c r="M29" i="19" s="1"/>
  <c r="L30" i="19"/>
  <c r="M30" i="19" s="1"/>
  <c r="AH30" i="19"/>
  <c r="AI30" i="19" s="1"/>
  <c r="AH31" i="19"/>
  <c r="AI31" i="19" s="1"/>
  <c r="AH33" i="19"/>
  <c r="AI33" i="19" s="1"/>
  <c r="AH34" i="19"/>
  <c r="AI34" i="19" s="1"/>
  <c r="AO310" i="19"/>
  <c r="AX28" i="19"/>
  <c r="BD28" i="19"/>
  <c r="AR28" i="19"/>
  <c r="BA28" i="19"/>
  <c r="AU28" i="19"/>
  <c r="AO311" i="19"/>
  <c r="AK35" i="19"/>
  <c r="AL35" i="19" s="1"/>
  <c r="O30" i="19"/>
  <c r="P30" i="19" s="1"/>
  <c r="AK34" i="19"/>
  <c r="AL34" i="19" s="1"/>
  <c r="AK32" i="19"/>
  <c r="AL32" i="19" s="1"/>
  <c r="AK30" i="19"/>
  <c r="AL30" i="19" s="1"/>
  <c r="AK31" i="19"/>
  <c r="AL31" i="19" s="1"/>
  <c r="AK33" i="19"/>
  <c r="AL33" i="19" s="1"/>
  <c r="AK28" i="19"/>
  <c r="AK36" i="19"/>
  <c r="AL36" i="19" s="1"/>
  <c r="AK29" i="19"/>
  <c r="AL29" i="19" s="1"/>
  <c r="AK37" i="19"/>
  <c r="AL37" i="19" s="1"/>
  <c r="R30" i="19"/>
  <c r="S30" i="19" s="1"/>
  <c r="R29" i="19"/>
  <c r="S29" i="19" s="1"/>
  <c r="R31" i="19"/>
  <c r="S31" i="19" s="1"/>
  <c r="R28" i="19"/>
  <c r="AE28" i="19"/>
  <c r="AE36" i="19"/>
  <c r="AF36" i="19" s="1"/>
  <c r="R32" i="19"/>
  <c r="S32" i="19" s="1"/>
  <c r="O31" i="19"/>
  <c r="P31" i="19" s="1"/>
  <c r="O32" i="19"/>
  <c r="P32" i="19" s="1"/>
  <c r="AE29" i="19"/>
  <c r="AF29" i="19" s="1"/>
  <c r="AE37" i="19"/>
  <c r="AF37" i="19" s="1"/>
  <c r="AE35" i="19"/>
  <c r="AF35" i="19" s="1"/>
  <c r="O28" i="19"/>
  <c r="AE32" i="19"/>
  <c r="AF32" i="19" s="1"/>
  <c r="O29" i="19"/>
  <c r="P29" i="19" s="1"/>
  <c r="AE33" i="19"/>
  <c r="AF33" i="19" s="1"/>
  <c r="AE31" i="19"/>
  <c r="AF31" i="19" s="1"/>
  <c r="AE34" i="19"/>
  <c r="AF34" i="19" s="1"/>
  <c r="AE30" i="19"/>
  <c r="AF30" i="19" s="1"/>
  <c r="AB312" i="19" l="1"/>
  <c r="AC311" i="19"/>
  <c r="AC310" i="19"/>
  <c r="BN28" i="19"/>
  <c r="BM310" i="19"/>
  <c r="BM311" i="19"/>
  <c r="BM320" i="19"/>
  <c r="BM321" i="19" a="1"/>
  <c r="BM321" i="19" s="1"/>
  <c r="BM322" i="19" s="1"/>
  <c r="BN346" i="19"/>
  <c r="BN348" i="19" s="1"/>
  <c r="BG320" i="19"/>
  <c r="BG321" i="19" a="1"/>
  <c r="BG321" i="19" s="1"/>
  <c r="BG311" i="19"/>
  <c r="BG310" i="19"/>
  <c r="BH310" i="19"/>
  <c r="BH311" i="19"/>
  <c r="BH321" i="19" a="1"/>
  <c r="BH321" i="19" s="1"/>
  <c r="BH320" i="19"/>
  <c r="BJ310" i="19"/>
  <c r="BJ320" i="19"/>
  <c r="BK321" i="19" a="1"/>
  <c r="BK321" i="19" s="1"/>
  <c r="BJ321" i="19" a="1"/>
  <c r="BJ321" i="19" s="1"/>
  <c r="AR321" i="19" a="1"/>
  <c r="AR321" i="19" s="1"/>
  <c r="BJ311" i="19"/>
  <c r="Z28" i="19"/>
  <c r="Y310" i="19"/>
  <c r="Y311" i="19"/>
  <c r="Y343" i="19" a="1"/>
  <c r="Y343" i="19" s="1"/>
  <c r="Y342" i="19"/>
  <c r="Y321" i="19" a="1"/>
  <c r="Y321" i="19" s="1"/>
  <c r="Y320" i="19"/>
  <c r="BD321" i="19" a="1"/>
  <c r="BD321" i="19" s="1"/>
  <c r="V322" i="19"/>
  <c r="V344" i="19"/>
  <c r="AH321" i="19" a="1"/>
  <c r="AH321" i="19" s="1"/>
  <c r="M28" i="19"/>
  <c r="L311" i="19"/>
  <c r="L310" i="19"/>
  <c r="L342" i="19"/>
  <c r="L343" i="19" a="1"/>
  <c r="L343" i="19" s="1"/>
  <c r="L321" i="19" a="1"/>
  <c r="L321" i="19" s="1"/>
  <c r="L320" i="19"/>
  <c r="AX321" i="19" a="1"/>
  <c r="AX321" i="19" s="1"/>
  <c r="AP311" i="19"/>
  <c r="AP321" i="19" a="1"/>
  <c r="AP321" i="19" s="1"/>
  <c r="AE321" i="19" a="1"/>
  <c r="AE321" i="19" s="1"/>
  <c r="AK321" i="19" a="1"/>
  <c r="AK321" i="19" s="1"/>
  <c r="AU321" i="19" a="1"/>
  <c r="AU321" i="19" s="1"/>
  <c r="P28" i="19"/>
  <c r="O311" i="19"/>
  <c r="O310" i="19"/>
  <c r="O343" i="19" a="1"/>
  <c r="O343" i="19" s="1"/>
  <c r="O342" i="19"/>
  <c r="O321" i="19" a="1"/>
  <c r="O321" i="19" s="1"/>
  <c r="O320" i="19"/>
  <c r="S28" i="19"/>
  <c r="R310" i="19"/>
  <c r="R311" i="19"/>
  <c r="R342" i="19"/>
  <c r="R343" i="19" a="1"/>
  <c r="R343" i="19" s="1"/>
  <c r="R320" i="19"/>
  <c r="R321" i="19" a="1"/>
  <c r="R321" i="19" s="1"/>
  <c r="BA321" i="19" a="1"/>
  <c r="BA321" i="19" s="1"/>
  <c r="W310" i="19"/>
  <c r="W311" i="19"/>
  <c r="W343" i="19" a="1"/>
  <c r="W343" i="19" s="1"/>
  <c r="W342" i="19"/>
  <c r="W320" i="19"/>
  <c r="W321" i="19" a="1"/>
  <c r="W321" i="19" s="1"/>
  <c r="AO322" i="19"/>
  <c r="BK310" i="19"/>
  <c r="BK311" i="19"/>
  <c r="BK320" i="19"/>
  <c r="BK335" i="19"/>
  <c r="BK337" i="19" s="1"/>
  <c r="AP310" i="19"/>
  <c r="BE28" i="19"/>
  <c r="BD320" i="19"/>
  <c r="BD333" i="19"/>
  <c r="AY28" i="19"/>
  <c r="AX320" i="19"/>
  <c r="AX333" i="19"/>
  <c r="AV28" i="19"/>
  <c r="AU320" i="19"/>
  <c r="AU333" i="19"/>
  <c r="AS28" i="19"/>
  <c r="AR333" i="19"/>
  <c r="AR320" i="19"/>
  <c r="AF28" i="19"/>
  <c r="AF310" i="19" s="1"/>
  <c r="AE333" i="19"/>
  <c r="AE320" i="19"/>
  <c r="AL28" i="19"/>
  <c r="AK320" i="19"/>
  <c r="AK333" i="19"/>
  <c r="AI28" i="19"/>
  <c r="AH333" i="19"/>
  <c r="AH320" i="19"/>
  <c r="BB28" i="19"/>
  <c r="BA320" i="19"/>
  <c r="BA333" i="19"/>
  <c r="AP335" i="19"/>
  <c r="AP337" i="19" s="1"/>
  <c r="AP320" i="19"/>
  <c r="AO312" i="19"/>
  <c r="AO344" i="19" s="1"/>
  <c r="V312" i="19"/>
  <c r="AU311" i="19"/>
  <c r="AX310" i="19"/>
  <c r="BA311" i="19"/>
  <c r="AR311" i="19"/>
  <c r="AR310" i="19"/>
  <c r="AX311" i="19"/>
  <c r="BD311" i="19"/>
  <c r="BD310" i="19"/>
  <c r="BA310" i="19"/>
  <c r="AU310" i="19"/>
  <c r="AK311" i="19"/>
  <c r="AK310" i="19"/>
  <c r="AH310" i="19"/>
  <c r="AH311" i="19"/>
  <c r="AE310" i="19"/>
  <c r="AE311" i="19"/>
  <c r="BM312" i="19" l="1"/>
  <c r="AC314" i="19"/>
  <c r="AC316" i="19" s="1"/>
  <c r="BN320" i="19"/>
  <c r="BN311" i="19"/>
  <c r="BN310" i="19"/>
  <c r="BN321" i="19" a="1"/>
  <c r="BN321" i="19" s="1"/>
  <c r="BG322" i="19"/>
  <c r="BH314" i="19"/>
  <c r="BH316" i="19" s="1"/>
  <c r="BG312" i="19"/>
  <c r="BH324" i="19"/>
  <c r="BH326" i="19" s="1"/>
  <c r="BJ312" i="19"/>
  <c r="BJ344" i="19" s="1"/>
  <c r="BJ322" i="19"/>
  <c r="AP314" i="19"/>
  <c r="AP316" i="19" s="1"/>
  <c r="Y312" i="19"/>
  <c r="Y322" i="19"/>
  <c r="Y344" i="19"/>
  <c r="Z311" i="19"/>
  <c r="Z310" i="19"/>
  <c r="Z343" i="19" a="1"/>
  <c r="Z343" i="19" s="1"/>
  <c r="Z342" i="19"/>
  <c r="Z321" i="19" a="1"/>
  <c r="Z321" i="19" s="1"/>
  <c r="Z320" i="19"/>
  <c r="R322" i="19"/>
  <c r="W346" i="19"/>
  <c r="W348" i="19" s="1"/>
  <c r="W314" i="19"/>
  <c r="W316" i="19" s="1"/>
  <c r="L344" i="19"/>
  <c r="AY310" i="19"/>
  <c r="AY321" i="19" a="1"/>
  <c r="AY321" i="19" s="1"/>
  <c r="P311" i="19"/>
  <c r="P310" i="19"/>
  <c r="P342" i="19"/>
  <c r="P343" i="19" a="1"/>
  <c r="P343" i="19" s="1"/>
  <c r="P320" i="19"/>
  <c r="P321" i="19" a="1"/>
  <c r="P321" i="19" s="1"/>
  <c r="L322" i="19"/>
  <c r="AI311" i="19"/>
  <c r="AI321" i="19" a="1"/>
  <c r="AI321" i="19" s="1"/>
  <c r="S310" i="19"/>
  <c r="S311" i="19"/>
  <c r="S343" i="19" a="1"/>
  <c r="S343" i="19" s="1"/>
  <c r="S342" i="19"/>
  <c r="S320" i="19"/>
  <c r="S321" i="19" a="1"/>
  <c r="S321" i="19" s="1"/>
  <c r="BB311" i="19"/>
  <c r="BB321" i="19" a="1"/>
  <c r="BB321" i="19" s="1"/>
  <c r="AF311" i="19"/>
  <c r="AF314" i="19" s="1"/>
  <c r="AF316" i="19" s="1"/>
  <c r="AF321" i="19" a="1"/>
  <c r="AF321" i="19" s="1"/>
  <c r="BE310" i="19"/>
  <c r="BE321" i="19" a="1"/>
  <c r="BE321" i="19" s="1"/>
  <c r="O322" i="19"/>
  <c r="AS311" i="19"/>
  <c r="AS321" i="19" a="1"/>
  <c r="AS321" i="19" s="1"/>
  <c r="AL310" i="19"/>
  <c r="AL321" i="19" a="1"/>
  <c r="AL321" i="19" s="1"/>
  <c r="AV310" i="19"/>
  <c r="AV321" i="19" a="1"/>
  <c r="AV321" i="19" s="1"/>
  <c r="W324" i="19"/>
  <c r="W326" i="19" s="1"/>
  <c r="R344" i="19"/>
  <c r="O344" i="19"/>
  <c r="M311" i="19"/>
  <c r="M310" i="19"/>
  <c r="M343" i="19" a="1"/>
  <c r="M343" i="19" s="1"/>
  <c r="M342" i="19"/>
  <c r="M320" i="19"/>
  <c r="M321" i="19" a="1"/>
  <c r="M321" i="19" s="1"/>
  <c r="AS310" i="19"/>
  <c r="BE311" i="19"/>
  <c r="AV311" i="19"/>
  <c r="AU322" i="19"/>
  <c r="BD322" i="19"/>
  <c r="BK324" i="19"/>
  <c r="BK326" i="19" s="1"/>
  <c r="BK314" i="19"/>
  <c r="BK316" i="19" s="1"/>
  <c r="AP346" i="19"/>
  <c r="AP348" i="19" s="1"/>
  <c r="AY311" i="19"/>
  <c r="AL311" i="19"/>
  <c r="AI310" i="19"/>
  <c r="AE322" i="19"/>
  <c r="AP324" i="19"/>
  <c r="AP326" i="19" s="1"/>
  <c r="BB310" i="19"/>
  <c r="AH322" i="19"/>
  <c r="BA322" i="19"/>
  <c r="AX322" i="19"/>
  <c r="AK322" i="19"/>
  <c r="AR322" i="19"/>
  <c r="BB335" i="19"/>
  <c r="BB337" i="19" s="1"/>
  <c r="BB320" i="19"/>
  <c r="AL320" i="19"/>
  <c r="AL335" i="19"/>
  <c r="AL337" i="19" s="1"/>
  <c r="AS335" i="19"/>
  <c r="AS337" i="19" s="1"/>
  <c r="AS320" i="19"/>
  <c r="AY335" i="19"/>
  <c r="AY337" i="19" s="1"/>
  <c r="AY320" i="19"/>
  <c r="AI335" i="19"/>
  <c r="AI337" i="19" s="1"/>
  <c r="AI320" i="19"/>
  <c r="AF335" i="19"/>
  <c r="AF337" i="19" s="1"/>
  <c r="AF320" i="19"/>
  <c r="AV335" i="19"/>
  <c r="AV337" i="19" s="1"/>
  <c r="AV320" i="19"/>
  <c r="BE335" i="19"/>
  <c r="BE337" i="19" s="1"/>
  <c r="BE320" i="19"/>
  <c r="AE312" i="19"/>
  <c r="BD312" i="19"/>
  <c r="BD344" i="19" s="1"/>
  <c r="AX312" i="19"/>
  <c r="AX344" i="19" s="1"/>
  <c r="AR312" i="19"/>
  <c r="AR344" i="19" s="1"/>
  <c r="AK312" i="19"/>
  <c r="AK344" i="19" s="1"/>
  <c r="AH312" i="19"/>
  <c r="AH344" i="19" s="1"/>
  <c r="O312" i="19"/>
  <c r="R312" i="19"/>
  <c r="L312" i="19"/>
  <c r="BA312" i="19"/>
  <c r="BA344" i="19" s="1"/>
  <c r="AU312" i="19"/>
  <c r="AU344" i="19" s="1"/>
  <c r="BN314" i="19" l="1"/>
  <c r="BN316" i="19" s="1"/>
  <c r="BN324" i="19"/>
  <c r="BN326" i="19" s="1"/>
  <c r="Z314" i="19"/>
  <c r="Z316" i="19" s="1"/>
  <c r="P314" i="19"/>
  <c r="P316" i="19" s="1"/>
  <c r="Z324" i="19"/>
  <c r="Z326" i="19" s="1"/>
  <c r="Z346" i="19"/>
  <c r="Z348" i="19" s="1"/>
  <c r="AY314" i="19"/>
  <c r="AY316" i="19" s="1"/>
  <c r="M314" i="19"/>
  <c r="M316" i="19" s="1"/>
  <c r="S314" i="19"/>
  <c r="S316" i="19" s="1"/>
  <c r="S346" i="19"/>
  <c r="S348" i="19" s="1"/>
  <c r="AV314" i="19"/>
  <c r="AV316" i="19" s="1"/>
  <c r="AS314" i="19"/>
  <c r="AS316" i="19" s="1"/>
  <c r="S324" i="19"/>
  <c r="S326" i="19" s="1"/>
  <c r="P324" i="19"/>
  <c r="P326" i="19" s="1"/>
  <c r="M324" i="19"/>
  <c r="M326" i="19" s="1"/>
  <c r="M346" i="19"/>
  <c r="M348" i="19" s="1"/>
  <c r="P346" i="19"/>
  <c r="P348" i="19" s="1"/>
  <c r="AL314" i="19"/>
  <c r="AL316" i="19" s="1"/>
  <c r="BE314" i="19"/>
  <c r="BE316" i="19" s="1"/>
  <c r="AE344" i="19"/>
  <c r="BK346" i="19"/>
  <c r="BK348" i="19" s="1"/>
  <c r="BE346" i="19"/>
  <c r="BE348" i="19" s="1"/>
  <c r="AV346" i="19"/>
  <c r="AV348" i="19" s="1"/>
  <c r="BB314" i="19"/>
  <c r="BB316" i="19" s="1"/>
  <c r="AY346" i="19"/>
  <c r="AY348" i="19" s="1"/>
  <c r="AL346" i="19"/>
  <c r="AL348" i="19" s="1"/>
  <c r="AF346" i="19"/>
  <c r="AF348" i="19" s="1"/>
  <c r="AS346" i="19"/>
  <c r="AS348" i="19" s="1"/>
  <c r="AI314" i="19"/>
  <c r="AI316" i="19" s="1"/>
  <c r="AF324" i="19"/>
  <c r="AF326" i="19" s="1"/>
  <c r="AY324" i="19"/>
  <c r="AY326" i="19" s="1"/>
  <c r="BE324" i="19"/>
  <c r="BE326" i="19" s="1"/>
  <c r="BB324" i="19"/>
  <c r="BB326" i="19" s="1"/>
  <c r="AV324" i="19"/>
  <c r="AV326" i="19" s="1"/>
  <c r="AL324" i="19"/>
  <c r="AL326" i="19" s="1"/>
  <c r="AS324" i="19"/>
  <c r="AS326" i="19" s="1"/>
  <c r="AI324" i="19"/>
  <c r="AI326" i="19" s="1"/>
  <c r="BB346" i="19" l="1"/>
  <c r="BB348" i="19" s="1"/>
  <c r="AI346" i="19"/>
  <c r="AI348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Lima Araujo</author>
    <author>tc={E472DBAE-0A94-4A86-9F66-34B138E798B1}</author>
    <author>tc={2582184B-879D-4E6A-B109-6D52B54436DF}</author>
    <author>tc={95F761DD-9748-40B1-9011-F8293D5BB53B}</author>
  </authors>
  <commentList>
    <comment ref="K1" authorId="0" shapeId="0" xr:uid="{1B1A95F9-B9E9-4B49-AA20-9A2A414A2951}">
      <text>
        <r>
          <rPr>
            <b/>
            <sz val="10"/>
            <color indexed="81"/>
            <rFont val="Segoe UI"/>
            <family val="2"/>
          </rPr>
          <t>Daniel Lima Araujo:</t>
        </r>
        <r>
          <rPr>
            <sz val="10"/>
            <color indexed="81"/>
            <rFont val="Segoe UI"/>
            <family val="2"/>
          </rPr>
          <t xml:space="preserve">
Valores calculados a partir da tensão experimental na armadura</t>
        </r>
      </text>
    </comment>
    <comment ref="AD1" authorId="0" shapeId="0" xr:uid="{F0F598F6-9DA0-4462-A367-B327988B6433}">
      <text>
        <r>
          <rPr>
            <b/>
            <sz val="10"/>
            <color indexed="81"/>
            <rFont val="Segoe UI"/>
            <family val="2"/>
          </rPr>
          <t>Daniel Lima Araujo:</t>
        </r>
        <r>
          <rPr>
            <sz val="10"/>
            <color indexed="81"/>
            <rFont val="Segoe UI"/>
            <family val="2"/>
          </rPr>
          <t xml:space="preserve">
Valores calculados com a tensão teórica na armadura</t>
        </r>
      </text>
    </comment>
    <comment ref="AQ1" authorId="0" shapeId="0" xr:uid="{F1E91DCC-9ACE-4DEA-8B30-851DA421C246}">
      <text>
        <r>
          <rPr>
            <b/>
            <sz val="10"/>
            <color indexed="81"/>
            <rFont val="Segoe UI"/>
            <family val="2"/>
          </rPr>
          <t>Daniel Lima Araujo:</t>
        </r>
        <r>
          <rPr>
            <sz val="10"/>
            <color indexed="81"/>
            <rFont val="Segoe UI"/>
            <family val="2"/>
          </rPr>
          <t xml:space="preserve">
Valores calculados com a tensão real na armadura. Quando não for informada no ensaio, foi usada a tensão teórica na armadura</t>
        </r>
      </text>
    </comment>
    <comment ref="H2" authorId="1" shapeId="0" xr:uid="{E472DBAE-0A94-4A86-9F66-34B138E798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conforme sugestão de  Holmberg and Lindgren (1970). Holmberg Å, Lindgren S. Crack spacing and crack widths due to normal
force or bending moment. Stockholm: National Swedish Council for Building
Research, 1970;
Acef = b*2*d'</t>
      </text>
    </comment>
    <comment ref="I2" authorId="2" shapeId="0" xr:uid="{2582184B-879D-4E6A-B109-6D52B54436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calculado analiticamente no estádio II</t>
      </text>
    </comment>
    <comment ref="J2" authorId="3" shapeId="0" xr:uid="{95F761DD-9748-40B1-9011-F8293D5BB5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entre 0,15-0,2 mm e 0,8 mm para considerar apenas a fissuração estabilizada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Lima Araujo</author>
    <author>tc={B91A47BF-5AD0-4BED-832E-20A0590E2103}</author>
    <author>tc={C0F1711B-0348-4CF9-A596-37D134BBAD4F}</author>
    <author>tc={3EC07765-3642-43AE-BCC5-EAB55673308A}</author>
  </authors>
  <commentList>
    <comment ref="K1" authorId="0" shapeId="0" xr:uid="{FA5D794B-D2D9-4EA8-84C3-7D9CEA7A0AD3}">
      <text>
        <r>
          <rPr>
            <b/>
            <sz val="10"/>
            <color indexed="81"/>
            <rFont val="Segoe UI"/>
            <family val="2"/>
          </rPr>
          <t>Daniel Lima Araujo:</t>
        </r>
        <r>
          <rPr>
            <sz val="10"/>
            <color indexed="81"/>
            <rFont val="Segoe UI"/>
            <family val="2"/>
          </rPr>
          <t xml:space="preserve">
Valores calculados com a tensão teórica na armadura</t>
        </r>
      </text>
    </comment>
    <comment ref="X1" authorId="0" shapeId="0" xr:uid="{18F270D7-DC8A-465E-900A-6AAF927810BE}">
      <text>
        <r>
          <rPr>
            <b/>
            <sz val="10"/>
            <color indexed="81"/>
            <rFont val="Segoe UI"/>
            <family val="2"/>
          </rPr>
          <t>Daniel Lima Araujo:</t>
        </r>
        <r>
          <rPr>
            <sz val="10"/>
            <color indexed="81"/>
            <rFont val="Segoe UI"/>
            <family val="2"/>
          </rPr>
          <t xml:space="preserve">
Valores calculados com a tensão real na armadura. Quando não for informada no ensaio, foi usada a tensão teórica na armadura</t>
        </r>
      </text>
    </comment>
    <comment ref="H2" authorId="1" shapeId="0" xr:uid="{B91A47BF-5AD0-4BED-832E-20A0590E21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conforme sugestão de  Holmberg and Lindgren (1970). Holmberg Å, Lindgren S. Crack spacing and crack widths due to normal
force or bending moment. Stockholm: National Swedish Council for Building
Research, 1970;
Acef = b*2*d'</t>
      </text>
    </comment>
    <comment ref="I2" authorId="2" shapeId="0" xr:uid="{C0F1711B-0348-4CF9-A596-37D134BBAD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calculado analiticamente no estádio II</t>
      </text>
    </comment>
    <comment ref="J2" authorId="3" shapeId="0" xr:uid="{3EC07765-3642-43AE-BCC5-EAB5567330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entre 0,15-0,2 mm e 0,8 mm para considerar apenas a fissuração estabilizada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tc={EC3DE151-3C8A-4BFB-BEAE-6AA7A8464D04}</author>
    <author>tc={095AEC1E-703F-45A6-93CF-A03070E60CE8}</author>
    <author>tc={E3986AF4-CE31-4DEA-957E-0E06AF483370}</author>
  </authors>
  <commentList>
    <comment ref="H2" authorId="0" shapeId="0" xr:uid="{EC3DE151-3C8A-4BFB-BEAE-6AA7A8464D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conforme sugestão de  Holmberg and Lindgren (1970). Holmberg Å, Lindgren S. Crack spacing and crack widths due to normal
force or bending moment. Stockholm: National Swedish Council for Building
Research, 1970;
Acef = b*2*d'</t>
      </text>
    </comment>
    <comment ref="I2" authorId="1" shapeId="0" xr:uid="{095AEC1E-703F-45A6-93CF-A03070E60C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calculado analiticamente no estádio II</t>
      </text>
    </comment>
    <comment ref="J2" authorId="2" shapeId="0" xr:uid="{E3986AF4-CE31-4DEA-957E-0E06AF4833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entre 0,15-0,2 mm e 0,8 mm para considerar apenas a fissuração estabilizada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<sst xmlns="http://schemas.openxmlformats.org/spreadsheetml/2006/main" count="415" uniqueCount="126">
  <si>
    <t>Média</t>
  </si>
  <si>
    <t>CoV</t>
  </si>
  <si>
    <t>fib Model Code 2010</t>
  </si>
  <si>
    <t>fib Model Code 2020</t>
  </si>
  <si>
    <t>Eurocode 2</t>
  </si>
  <si>
    <t>Clark (1956)</t>
  </si>
  <si>
    <t>Leonhardt (1977)</t>
  </si>
  <si>
    <t>Oh; Kang (1987)</t>
  </si>
  <si>
    <t>Caldas (1997)</t>
  </si>
  <si>
    <t>Viga V1 - Oliveira (2007)</t>
  </si>
  <si>
    <r>
      <t>w</t>
    </r>
    <r>
      <rPr>
        <vertAlign val="subscript"/>
        <sz val="10"/>
        <rFont val="Arial"/>
        <family val="2"/>
      </rPr>
      <t>exp</t>
    </r>
    <r>
      <rPr>
        <sz val="10"/>
        <rFont val="Arial"/>
        <family val="2"/>
      </rPr>
      <t xml:space="preserve"> (mm)</t>
    </r>
  </si>
  <si>
    <t>Desayi;Ganesan (1985)</t>
  </si>
  <si>
    <t>Desvio Padrão</t>
  </si>
  <si>
    <r>
      <t>w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>/w</t>
    </r>
    <r>
      <rPr>
        <vertAlign val="subscript"/>
        <sz val="10"/>
        <rFont val="Arial"/>
        <family val="2"/>
      </rPr>
      <t>exp</t>
    </r>
  </si>
  <si>
    <r>
      <t>w</t>
    </r>
    <r>
      <rPr>
        <vertAlign val="subscript"/>
        <sz val="10"/>
        <rFont val="Arial"/>
        <family val="2"/>
      </rPr>
      <t>k</t>
    </r>
    <r>
      <rPr>
        <sz val="10"/>
        <rFont val="Arial"/>
        <family val="2"/>
      </rPr>
      <t>/w</t>
    </r>
    <r>
      <rPr>
        <vertAlign val="subscript"/>
        <sz val="10"/>
        <rFont val="Arial"/>
        <family val="2"/>
      </rPr>
      <t>exp</t>
    </r>
  </si>
  <si>
    <t>Autor</t>
  </si>
  <si>
    <t>Viga V2 - Oliveira (2007)</t>
  </si>
  <si>
    <r>
      <t>NBR 6118 - w</t>
    </r>
    <r>
      <rPr>
        <vertAlign val="subscript"/>
        <sz val="10"/>
        <rFont val="Arial"/>
        <family val="2"/>
      </rPr>
      <t>k1</t>
    </r>
    <r>
      <rPr>
        <sz val="10"/>
        <rFont val="Arial"/>
        <family val="2"/>
      </rPr>
      <t xml:space="preserve"> - fissuração estabilizada</t>
    </r>
  </si>
  <si>
    <r>
      <t>NBR 6118 - w</t>
    </r>
    <r>
      <rPr>
        <vertAlign val="subscript"/>
        <sz val="10"/>
        <rFont val="Arial"/>
        <family val="2"/>
      </rPr>
      <t>k2</t>
    </r>
    <r>
      <rPr>
        <sz val="10"/>
        <rFont val="Arial"/>
        <family val="2"/>
      </rPr>
      <t xml:space="preserve"> - fissuração não estabilizada</t>
    </r>
  </si>
  <si>
    <t>Viga T1F000 - Silva Neto (2017)</t>
  </si>
  <si>
    <t>Viga 12-20-00 - Caldentey et al (2013)</t>
  </si>
  <si>
    <r>
      <t>Modelos normativos - w</t>
    </r>
    <r>
      <rPr>
        <vertAlign val="subscript"/>
        <sz val="10"/>
        <rFont val="Arial"/>
        <family val="2"/>
      </rPr>
      <t>max</t>
    </r>
    <r>
      <rPr>
        <sz val="10"/>
        <rFont val="Arial"/>
        <family val="2"/>
      </rPr>
      <t xml:space="preserve"> (mm)</t>
    </r>
  </si>
  <si>
    <r>
      <t>Modelos empíricos - w</t>
    </r>
    <r>
      <rPr>
        <vertAlign val="subscript"/>
        <sz val="10"/>
        <rFont val="Arial"/>
        <family val="2"/>
      </rPr>
      <t>max</t>
    </r>
    <r>
      <rPr>
        <sz val="10"/>
        <rFont val="Arial"/>
        <family val="2"/>
      </rPr>
      <t xml:space="preserve"> (mm)</t>
    </r>
  </si>
  <si>
    <t>Viga 25-20-00 - Caldentey et al (2013)</t>
  </si>
  <si>
    <r>
      <t>Comparação das equações de normas com w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 xml:space="preserve"> - Apenas aberturas entre 0,15 e 0,8 mm</t>
    </r>
  </si>
  <si>
    <r>
      <t>Comparação das equações de normas com w</t>
    </r>
    <r>
      <rPr>
        <vertAlign val="subscript"/>
        <sz val="10"/>
        <rFont val="Arial"/>
        <family val="2"/>
      </rPr>
      <t>k</t>
    </r>
    <r>
      <rPr>
        <sz val="10"/>
        <rFont val="Arial"/>
        <family val="2"/>
      </rPr>
      <t xml:space="preserve"> - Apenas abertura entre 0,15 e 0,8 mm</t>
    </r>
  </si>
  <si>
    <r>
      <t>Comparação das equações empíricas com w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>- Apenas aberturas entre 0,15 e 0,8 mm</t>
    </r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</si>
  <si>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</si>
  <si>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</si>
  <si>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</si>
  <si>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</si>
  <si>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</si>
  <si>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</si>
  <si>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</si>
  <si>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</si>
  <si>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</si>
  <si>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</si>
  <si>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r>
      <t>LN(w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>/w</t>
    </r>
    <r>
      <rPr>
        <vertAlign val="subscript"/>
        <sz val="10"/>
        <rFont val="Arial"/>
        <family val="2"/>
      </rPr>
      <t>exp</t>
    </r>
    <r>
      <rPr>
        <sz val="10"/>
        <rFont val="Arial"/>
        <family val="2"/>
      </rPr>
      <t>)</t>
    </r>
  </si>
  <si>
    <r>
      <t>Valor característico com P</t>
    </r>
    <r>
      <rPr>
        <vertAlign val="subscript"/>
        <sz val="10"/>
        <rFont val="Arial"/>
        <family val="2"/>
      </rPr>
      <t>f</t>
    </r>
    <r>
      <rPr>
        <sz val="10"/>
        <rFont val="Arial"/>
        <family val="2"/>
      </rPr>
      <t xml:space="preserve"> = 25% e distribuição lognormal (a média deve ser maior que 1,0)</t>
    </r>
  </si>
  <si>
    <r>
      <t>Valor a multiplicar a abertura de fissurada calculada para garantir P</t>
    </r>
    <r>
      <rPr>
        <vertAlign val="subscript"/>
        <sz val="10"/>
        <rFont val="Arial"/>
        <family val="2"/>
      </rPr>
      <t>f</t>
    </r>
    <r>
      <rPr>
        <sz val="10"/>
        <rFont val="Arial"/>
        <family val="2"/>
      </rPr>
      <t xml:space="preserve"> &lt; 25%</t>
    </r>
  </si>
  <si>
    <r>
      <t>LN(w</t>
    </r>
    <r>
      <rPr>
        <vertAlign val="subscript"/>
        <sz val="10"/>
        <rFont val="Arial"/>
        <family val="2"/>
      </rPr>
      <t>k</t>
    </r>
    <r>
      <rPr>
        <sz val="10"/>
        <rFont val="Arial"/>
        <family val="2"/>
      </rPr>
      <t>/w</t>
    </r>
    <r>
      <rPr>
        <vertAlign val="subscript"/>
        <sz val="10"/>
        <rFont val="Arial"/>
        <family val="2"/>
      </rPr>
      <t>exp</t>
    </r>
    <r>
      <rPr>
        <sz val="10"/>
        <rFont val="Arial"/>
        <family val="2"/>
      </rPr>
      <t>)</t>
    </r>
  </si>
  <si>
    <r>
      <t>Modelos normativos - w</t>
    </r>
    <r>
      <rPr>
        <vertAlign val="subscript"/>
        <sz val="10"/>
        <rFont val="Arial"/>
        <family val="2"/>
      </rPr>
      <t>max</t>
    </r>
    <r>
      <rPr>
        <sz val="10"/>
        <rFont val="Arial"/>
        <family val="2"/>
      </rPr>
      <t xml:space="preserve"> (mm) - utilizando a tensão na armadura medida no ensaio</t>
    </r>
  </si>
  <si>
    <t>Output</t>
  </si>
  <si>
    <t>Inputs</t>
  </si>
  <si>
    <r>
      <t xml:space="preserve">Diâmetro da armadura </t>
    </r>
    <r>
      <rPr>
        <sz val="10"/>
        <rFont val="Symbol"/>
        <family val="1"/>
        <charset val="2"/>
      </rPr>
      <t>f</t>
    </r>
    <r>
      <rPr>
        <sz val="12"/>
        <rFont val="Arial"/>
        <family val="2"/>
      </rPr>
      <t xml:space="preserve"> (mm)</t>
    </r>
  </si>
  <si>
    <t>Cobrimento c (mm)</t>
  </si>
  <si>
    <t>Tensão na armadura (MPa)</t>
  </si>
  <si>
    <r>
      <t xml:space="preserve">Taxa de armadura </t>
    </r>
    <r>
      <rPr>
        <sz val="10"/>
        <rFont val="Symbol"/>
        <family val="1"/>
        <charset val="2"/>
      </rPr>
      <t>r</t>
    </r>
  </si>
  <si>
    <r>
      <t>Resistência à tração do concreto f</t>
    </r>
    <r>
      <rPr>
        <vertAlign val="subscript"/>
        <sz val="10"/>
        <rFont val="Arial"/>
        <family val="2"/>
      </rPr>
      <t>ctm</t>
    </r>
    <r>
      <rPr>
        <sz val="10"/>
        <rFont val="Arial"/>
        <family val="2"/>
      </rPr>
      <t xml:space="preserve"> (MPa)</t>
    </r>
  </si>
  <si>
    <t>Viga RS1 - Harajlí e Naamam (1985)</t>
  </si>
  <si>
    <t>Viga RS2 - Harajlí e Naamam (1985)</t>
  </si>
  <si>
    <t>Viga RS3 - Harajlí e Naamam (1985)</t>
  </si>
  <si>
    <r>
      <t xml:space="preserve">Barras com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 xml:space="preserve">12,7 mm e c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45 mm</t>
    </r>
  </si>
  <si>
    <t>Auxiliar 1</t>
  </si>
  <si>
    <r>
      <t xml:space="preserve">Barras com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 xml:space="preserve"> &gt;</t>
    </r>
    <r>
      <rPr>
        <sz val="10"/>
        <rFont val="Symbol"/>
        <family val="1"/>
        <charset val="2"/>
      </rPr>
      <t xml:space="preserve"> </t>
    </r>
    <r>
      <rPr>
        <sz val="10"/>
        <rFont val="Arial"/>
        <family val="2"/>
      </rPr>
      <t xml:space="preserve">12,7 mm e c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45 mm</t>
    </r>
  </si>
  <si>
    <t>Auxiliar 2</t>
  </si>
  <si>
    <t>Total</t>
  </si>
  <si>
    <t>Distância ao centro de gravidade da armadura d' (mm)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</si>
  <si>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</si>
  <si>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</si>
  <si>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</si>
  <si>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</si>
  <si>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</si>
  <si>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</si>
  <si>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</si>
  <si>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</si>
  <si>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</si>
  <si>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</si>
  <si>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</si>
  <si>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</si>
  <si>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Auxiliar 3</t>
  </si>
  <si>
    <t>Sugestão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</si>
  <si>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</si>
  <si>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</si>
  <si>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</si>
  <si>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</si>
  <si>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</si>
  <si>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</si>
  <si>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</si>
  <si>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</si>
  <si>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</si>
  <si>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</si>
  <si>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Número de barras em uma camada</t>
  </si>
  <si>
    <t>Espaçamento entre as barras (mm)</t>
  </si>
  <si>
    <r>
      <t xml:space="preserve">Todas as barras com c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45 mm e pelo menos duas barras por camada</t>
    </r>
  </si>
  <si>
    <t>Viga G2 - Makhlouf e Malhas (1996)</t>
  </si>
  <si>
    <t>Viga G3 - Makhlouf e Malhas (1996)</t>
  </si>
  <si>
    <t>Viga S200-0.32-10 - Sokolov et al  (2021)</t>
  </si>
  <si>
    <t>Viga S200-1.76-20 - Sokolov et al  (2021)</t>
  </si>
  <si>
    <t>Viga S200-1.98-10 - Sokolov et al  (2021)</t>
  </si>
  <si>
    <t>Viga S600-0.36-20 - Sokolov et al  (2021)</t>
  </si>
  <si>
    <t>Viga S600-0.37-10 - Sokolov et al  (2021)</t>
  </si>
  <si>
    <r>
      <rPr>
        <sz val="10"/>
        <rFont val="Symbol"/>
        <family val="1"/>
        <charset val="2"/>
      </rPr>
      <t xml:space="preserve"> b</t>
    </r>
    <r>
      <rPr>
        <sz val="10"/>
        <rFont val="Arial"/>
        <family val="2"/>
      </rPr>
      <t xml:space="preserve">  variável e &lt; 0,6</t>
    </r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</si>
  <si>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</si>
  <si>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</si>
  <si>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</si>
  <si>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</si>
  <si>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</si>
  <si>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</si>
  <si>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</si>
  <si>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Gergely e Lutz (1968)</t>
  </si>
  <si>
    <t>fib Model Code 2020 modificado</t>
  </si>
  <si>
    <t>slip de Yuan et al. (2025)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</si>
  <si>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</si>
  <si>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</si>
  <si>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</si>
  <si>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</si>
  <si>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Observação</t>
  </si>
  <si>
    <t>As barras desse estudo tem nervuras perpendiculares e não oblíquas como as das normas europeias e brasileira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</si>
  <si>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</si>
  <si>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</si>
  <si>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</si>
  <si>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</si>
  <si>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F30-2D19-20 - Hong et al (2013)</t>
  </si>
  <si>
    <t>Viga F30-2D19-10 -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</si>
  <si>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</si>
  <si>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</si>
  <si>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</si>
  <si>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</si>
  <si>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Representatividade do banco de dados</t>
  </si>
  <si>
    <t>BIAS</t>
  </si>
  <si>
    <r>
      <t xml:space="preserve">Outliers por Grubbs com </t>
    </r>
    <r>
      <rPr>
        <sz val="10"/>
        <rFont val="Symbol"/>
        <family val="1"/>
        <charset val="2"/>
      </rPr>
      <t>a</t>
    </r>
    <r>
      <rPr>
        <sz val="12"/>
        <rFont val="Arial"/>
        <family val="2"/>
      </rPr>
      <t xml:space="preserve"> = 0,05</t>
    </r>
  </si>
  <si>
    <t>Mínimo</t>
  </si>
  <si>
    <t>Máximo</t>
  </si>
  <si>
    <t>Histogramas das variávies de entrada</t>
  </si>
  <si>
    <t>Gráficos de Pareto das variávies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</si>
</sst>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0"/>
      <name val="Arial"/>
    </font>
    <font>
      <sz val="10"/>
      <name val="Arial"/>
      <family val="2"/>
    </font>
    <font>
      <vertAlign val="subscript"/>
      <sz val="10"/>
      <name val="Arial"/>
      <family val="2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0"/>
      <name val="Symbol"/>
      <family val="1"/>
      <charset val="2"/>
    </font>
    <font>
      <sz val="12"/>
      <name val="Arial"/>
      <family val="2"/>
    </font>
    <font>
      <sz val="10"/>
      <name val="Arial"/>
      <family val="1"/>
      <charset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1" fillId="3" borderId="0" xfId="0" applyFont="1" applyFill="1" applyAlignment="1">
      <alignment wrapText="1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/>
    <xf numFmtId="0" fontId="0" fillId="7" borderId="1" xfId="0" applyFill="1" applyBorder="1"/>
    <xf numFmtId="0" fontId="1" fillId="9" borderId="0" xfId="0" applyFont="1" applyFill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2" fontId="1" fillId="7" borderId="2" xfId="0" applyNumberFormat="1" applyFont="1" applyFill="1" applyBorder="1" applyAlignment="1">
      <alignment horizontal="center" vertical="center" wrapText="1"/>
    </xf>
    <xf numFmtId="164" fontId="1" fillId="7" borderId="2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2" fontId="0" fillId="2" borderId="1" xfId="0" applyNumberFormat="1" applyFill="1" applyBorder="1"/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" fillId="10" borderId="0" xfId="0" applyFont="1" applyFill="1" applyAlignment="1">
      <alignment wrapText="1"/>
    </xf>
    <xf numFmtId="9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2" fontId="0" fillId="10" borderId="0" xfId="0" applyNumberFormat="1" applyFill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7" fillId="7" borderId="1" xfId="0" applyNumberFormat="1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9" fontId="0" fillId="3" borderId="0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/>
    </xf>
    <xf numFmtId="0" fontId="0" fillId="0" borderId="0" xfId="0" applyFill="1"/>
    <xf numFmtId="0" fontId="1" fillId="3" borderId="0" xfId="0" applyFont="1" applyFill="1" applyBorder="1" applyAlignment="1">
      <alignment vertical="center" wrapText="1"/>
    </xf>
    <xf numFmtId="1" fontId="0" fillId="3" borderId="0" xfId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 vertical="center"/>
    </xf>
    <xf numFmtId="1" fontId="1" fillId="0" borderId="0" xfId="0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FFFF"/>
      <color rgb="FFFF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7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microsoft.com/office/2017/10/relationships/person" Target="persons/perso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theme" Target="theme/theme1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sheetMetadata" Target="metadata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2"/>
          <c:order val="0"/>
          <c:tx>
            <c:strRef>
              <c:f>'Dados gerais'!$N$2</c:f>
              <c:strCache>
                <c:ptCount val="1"/>
                <c:pt idx="0">
                  <c:v>fib Model Code 2020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gerais'!$N$28:$N$309</c:f>
              <c:numCache>
                <c:formatCode>0.00</c:formatCode>
                <c:ptCount val="282"/>
                <c:pt idx="0">
                  <c:v>9.3253931667024989E-2</c:v>
                </c:pt>
                <c:pt idx="1">
                  <c:v>0.14388949762363262</c:v>
                </c:pt>
                <c:pt idx="2">
                  <c:v>0.19276688420674695</c:v>
                </c:pt>
                <c:pt idx="3">
                  <c:v>0.2286337434260107</c:v>
                </c:pt>
                <c:pt idx="4">
                  <c:v>0.23883118379227194</c:v>
                </c:pt>
                <c:pt idx="10">
                  <c:v>0.16925116501167611</c:v>
                </c:pt>
                <c:pt idx="11">
                  <c:v>0.27076151016075245</c:v>
                </c:pt>
                <c:pt idx="12">
                  <c:v>0.29439070334368261</c:v>
                </c:pt>
                <c:pt idx="13">
                  <c:v>0.31705919706394858</c:v>
                </c:pt>
                <c:pt idx="14">
                  <c:v>0.34008214135142972</c:v>
                </c:pt>
                <c:pt idx="15">
                  <c:v>0.41971220364321704</c:v>
                </c:pt>
                <c:pt idx="16">
                  <c:v>4.7218905272675429E-2</c:v>
                </c:pt>
                <c:pt idx="17">
                  <c:v>9.4587669794330878E-2</c:v>
                </c:pt>
                <c:pt idx="18">
                  <c:v>0.11103174866972422</c:v>
                </c:pt>
                <c:pt idx="19">
                  <c:v>0.16662255262907633</c:v>
                </c:pt>
                <c:pt idx="20">
                  <c:v>0.2444251347708627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28-4AF4-9CC8-77E960FA505C}"/>
            </c:ext>
          </c:extLst>
        </c:ser>
        <c:ser>
          <c:idx val="3"/>
          <c:order val="1"/>
          <c:tx>
            <c:strRef>
              <c:f>'Dados gerais'!$Q$2</c:f>
              <c:strCache>
                <c:ptCount val="1"/>
                <c:pt idx="0">
                  <c:v>Eurocode 2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gerais'!$Q$28:$Q$309</c:f>
              <c:numCache>
                <c:formatCode>0.00</c:formatCode>
                <c:ptCount val="282"/>
                <c:pt idx="0">
                  <c:v>0.120309</c:v>
                </c:pt>
                <c:pt idx="1">
                  <c:v>0.15183674522292995</c:v>
                </c:pt>
                <c:pt idx="2">
                  <c:v>0.19570835672846768</c:v>
                </c:pt>
                <c:pt idx="3">
                  <c:v>0.23292861150553779</c:v>
                </c:pt>
                <c:pt idx="4">
                  <c:v>0.24351084080490085</c:v>
                </c:pt>
                <c:pt idx="10">
                  <c:v>0.17126581148890535</c:v>
                </c:pt>
                <c:pt idx="11">
                  <c:v>0.27659686506976372</c:v>
                </c:pt>
                <c:pt idx="12">
                  <c:v>0.30114259749942857</c:v>
                </c:pt>
                <c:pt idx="13">
                  <c:v>0.3246903664449694</c:v>
                </c:pt>
                <c:pt idx="14">
                  <c:v>0.34860633453785528</c:v>
                </c:pt>
                <c:pt idx="15">
                  <c:v>0.43132512172792148</c:v>
                </c:pt>
                <c:pt idx="16">
                  <c:v>4.8247002117823221E-2</c:v>
                </c:pt>
                <c:pt idx="17">
                  <c:v>8.3403873058063779E-2</c:v>
                </c:pt>
                <c:pt idx="18">
                  <c:v>9.5608589912965961E-2</c:v>
                </c:pt>
                <c:pt idx="19">
                  <c:v>0.13686781928065758</c:v>
                </c:pt>
                <c:pt idx="20">
                  <c:v>0.19461252440012006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28-4AF4-9CC8-77E960FA505C}"/>
            </c:ext>
          </c:extLst>
        </c:ser>
        <c:ser>
          <c:idx val="4"/>
          <c:order val="2"/>
          <c:tx>
            <c:strRef>
              <c:f>'Dados gerais'!$T$2</c:f>
              <c:strCache>
                <c:ptCount val="1"/>
                <c:pt idx="0">
                  <c:v>NBR 6118 - wk1 - fissuração estabilizada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gerais'!$T$28:$T$309</c:f>
              <c:numCache>
                <c:formatCode>0.00</c:formatCode>
                <c:ptCount val="282"/>
                <c:pt idx="0">
                  <c:v>0.14505628287401748</c:v>
                </c:pt>
                <c:pt idx="1">
                  <c:v>0.1830692123259893</c:v>
                </c:pt>
                <c:pt idx="2">
                  <c:v>0.21976224839421207</c:v>
                </c:pt>
                <c:pt idx="3">
                  <c:v>0.24668807342269211</c:v>
                </c:pt>
                <c:pt idx="4">
                  <c:v>0.25434345504843647</c:v>
                </c:pt>
                <c:pt idx="10">
                  <c:v>0.20649479255901723</c:v>
                </c:pt>
                <c:pt idx="11">
                  <c:v>0.28277767322380504</c:v>
                </c:pt>
                <c:pt idx="12">
                  <c:v>0.30053451289498884</c:v>
                </c:pt>
                <c:pt idx="13">
                  <c:v>0.31756940720821414</c:v>
                </c:pt>
                <c:pt idx="14">
                  <c:v>0.3348706636373473</c:v>
                </c:pt>
                <c:pt idx="15">
                  <c:v>0.39471097380685027</c:v>
                </c:pt>
                <c:pt idx="16">
                  <c:v>4.7470443812921731E-2</c:v>
                </c:pt>
                <c:pt idx="17">
                  <c:v>7.3461353475032062E-2</c:v>
                </c:pt>
                <c:pt idx="18">
                  <c:v>8.2484104497629954E-2</c:v>
                </c:pt>
                <c:pt idx="19">
                  <c:v>0.11298638967103922</c:v>
                </c:pt>
                <c:pt idx="20">
                  <c:v>0.15567612212124116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28-4AF4-9CC8-77E960FA505C}"/>
            </c:ext>
          </c:extLst>
        </c:ser>
        <c:ser>
          <c:idx val="6"/>
          <c:order val="3"/>
          <c:tx>
            <c:strRef>
              <c:f>'Dados gerais'!$K$2</c:f>
              <c:strCache>
                <c:ptCount val="1"/>
                <c:pt idx="0">
                  <c:v>fib Model Code 2010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6"/>
          </c:marke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gerais'!$K$28:$K$309</c:f>
              <c:numCache>
                <c:formatCode>0.00</c:formatCode>
                <c:ptCount val="282"/>
                <c:pt idx="0">
                  <c:v>0.10601036739201174</c:v>
                </c:pt>
                <c:pt idx="1">
                  <c:v>0.16627024000347668</c:v>
                </c:pt>
                <c:pt idx="2">
                  <c:v>0.22443775592704357</c:v>
                </c:pt>
                <c:pt idx="3">
                  <c:v>0.26712183236016462</c:v>
                </c:pt>
                <c:pt idx="4">
                  <c:v>0.27925750114997355</c:v>
                </c:pt>
                <c:pt idx="10">
                  <c:v>0.19627326631154038</c:v>
                </c:pt>
                <c:pt idx="11">
                  <c:v>0.31720045444376804</c:v>
                </c:pt>
                <c:pt idx="12">
                  <c:v>0.34534942670121238</c:v>
                </c:pt>
                <c:pt idx="13">
                  <c:v>0.37235393743121814</c:v>
                </c:pt>
                <c:pt idx="14">
                  <c:v>0.39978069783796638</c:v>
                </c:pt>
                <c:pt idx="15">
                  <c:v>0.49464235464347078</c:v>
                </c:pt>
                <c:pt idx="16">
                  <c:v>4.1165901693089819E-2</c:v>
                </c:pt>
                <c:pt idx="17">
                  <c:v>7.1162880353613608E-2</c:v>
                </c:pt>
                <c:pt idx="18">
                  <c:v>8.1576339266852468E-2</c:v>
                </c:pt>
                <c:pt idx="19">
                  <c:v>0.11678004738399565</c:v>
                </c:pt>
                <c:pt idx="20">
                  <c:v>0.16604969627200622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7-4504-9424-71899388308C}"/>
            </c:ext>
          </c:extLst>
        </c:ser>
        <c:ser>
          <c:idx val="0"/>
          <c:order val="4"/>
          <c:spPr>
            <a:ln w="19050">
              <a:noFill/>
            </a:ln>
          </c:spP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1767-4504-9424-71899388308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1905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767-4504-9424-71899388308C}"/>
              </c:ext>
            </c:extLst>
          </c:dPt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7-4504-9424-71899388308C}"/>
            </c:ext>
          </c:extLst>
        </c:ser>
        <c:ser>
          <c:idx val="1"/>
          <c:order val="5"/>
          <c:tx>
            <c:strRef>
              <c:f>'Dados gerais'!$U$2</c:f>
              <c:strCache>
                <c:ptCount val="1"/>
                <c:pt idx="0">
                  <c:v>NBR 6118 - wk2 - fissuração não estabilizada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gerais'!$J$28:$J$43</c:f>
              <c:numCache>
                <c:formatCode>0.00</c:formatCode>
                <c:ptCount val="16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</c:numCache>
            </c:numRef>
          </c:xVal>
          <c:yVal>
            <c:numRef>
              <c:f>'Dados gerais'!$U$28:$U$309</c:f>
              <c:numCache>
                <c:formatCode>0.00</c:formatCode>
                <c:ptCount val="282"/>
                <c:pt idx="0">
                  <c:v>8.2939124463519295E-2</c:v>
                </c:pt>
                <c:pt idx="1">
                  <c:v>0.13210430901287551</c:v>
                </c:pt>
                <c:pt idx="2">
                  <c:v>0.19036738197424891</c:v>
                </c:pt>
                <c:pt idx="3">
                  <c:v>0.23987371673819741</c:v>
                </c:pt>
                <c:pt idx="4">
                  <c:v>0.25499254935622317</c:v>
                </c:pt>
                <c:pt idx="10">
                  <c:v>0.15602233219784434</c:v>
                </c:pt>
                <c:pt idx="11">
                  <c:v>0.29258953635709389</c:v>
                </c:pt>
                <c:pt idx="12">
                  <c:v>0.33048919342577127</c:v>
                </c:pt>
                <c:pt idx="13">
                  <c:v>0.36901657541675875</c:v>
                </c:pt>
                <c:pt idx="14">
                  <c:v>0.41032007275004712</c:v>
                </c:pt>
                <c:pt idx="15">
                  <c:v>0.57006838857721054</c:v>
                </c:pt>
                <c:pt idx="16">
                  <c:v>4.0432978303747535E-2</c:v>
                </c:pt>
                <c:pt idx="17">
                  <c:v>9.6829346307253997E-2</c:v>
                </c:pt>
                <c:pt idx="18">
                  <c:v>0.12207582730659658</c:v>
                </c:pt>
                <c:pt idx="19">
                  <c:v>0.22905586254657026</c:v>
                </c:pt>
                <c:pt idx="20">
                  <c:v>0.43484367582730649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67-4504-9424-71899388308C}"/>
            </c:ext>
          </c:extLst>
        </c:ser>
        <c:ser>
          <c:idx val="5"/>
          <c:order val="6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A7-4C8A-8298-2EBD4724EC65}"/>
            </c:ext>
          </c:extLst>
        </c:ser>
        <c:ser>
          <c:idx val="7"/>
          <c:order val="7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A7-4C8A-8298-2EBD4724E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371279853607929"/>
          <c:y val="0.58783363973840796"/>
          <c:w val="0.15065029241969052"/>
          <c:h val="0.16324409587684546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'Dados gerais'!$AG$2</c:f>
              <c:strCache>
                <c:ptCount val="1"/>
                <c:pt idx="0">
                  <c:v>fib Model Code 2020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gerais'!$AG$28:$AG$309</c:f>
              <c:numCache>
                <c:formatCode>0.00</c:formatCode>
                <c:ptCount val="282"/>
                <c:pt idx="0">
                  <c:v>0.13868029025440845</c:v>
                </c:pt>
                <c:pt idx="1">
                  <c:v>0.17212891101716857</c:v>
                </c:pt>
                <c:pt idx="2">
                  <c:v>0.2078324949774181</c:v>
                </c:pt>
                <c:pt idx="3">
                  <c:v>0.24391190613724908</c:v>
                </c:pt>
                <c:pt idx="4">
                  <c:v>0.26721319251130676</c:v>
                </c:pt>
                <c:pt idx="5">
                  <c:v>0.31719821005565602</c:v>
                </c:pt>
                <c:pt idx="6">
                  <c:v>0.32095648205147187</c:v>
                </c:pt>
                <c:pt idx="7">
                  <c:v>0.35102265801799776</c:v>
                </c:pt>
                <c:pt idx="8">
                  <c:v>0.42580937402192115</c:v>
                </c:pt>
                <c:pt idx="9">
                  <c:v>0.42580937402192115</c:v>
                </c:pt>
                <c:pt idx="10">
                  <c:v>0.16333872081928372</c:v>
                </c:pt>
                <c:pt idx="11">
                  <c:v>0.19321340015703939</c:v>
                </c:pt>
                <c:pt idx="12">
                  <c:v>0.20441640490869767</c:v>
                </c:pt>
                <c:pt idx="13">
                  <c:v>0.22308807949479487</c:v>
                </c:pt>
                <c:pt idx="14">
                  <c:v>0.24922842391533095</c:v>
                </c:pt>
                <c:pt idx="15">
                  <c:v>0.30524344767362266</c:v>
                </c:pt>
                <c:pt idx="16">
                  <c:v>4.3068885937083114E-2</c:v>
                </c:pt>
                <c:pt idx="17">
                  <c:v>7.927348825357626E-2</c:v>
                </c:pt>
                <c:pt idx="18">
                  <c:v>0.10416415234616534</c:v>
                </c:pt>
                <c:pt idx="19">
                  <c:v>0.14534688748117627</c:v>
                </c:pt>
                <c:pt idx="20">
                  <c:v>0.20553703883234614</c:v>
                </c:pt>
                <c:pt idx="21">
                  <c:v>0.26271820049061689</c:v>
                </c:pt>
                <c:pt idx="22">
                  <c:v>0.39776006136079389</c:v>
                </c:pt>
                <c:pt idx="23">
                  <c:v>0.57668065163185067</c:v>
                </c:pt>
                <c:pt idx="24">
                  <c:v>0.57668065163185067</c:v>
                </c:pt>
                <c:pt idx="25">
                  <c:v>0.57668065163185067</c:v>
                </c:pt>
                <c:pt idx="26">
                  <c:v>4.1078708915824935E-2</c:v>
                </c:pt>
                <c:pt idx="27">
                  <c:v>6.128577010593881E-2</c:v>
                </c:pt>
                <c:pt idx="28">
                  <c:v>0.16398254239550109</c:v>
                </c:pt>
                <c:pt idx="29">
                  <c:v>0.2666793146850634</c:v>
                </c:pt>
                <c:pt idx="30">
                  <c:v>0.36937608697462571</c:v>
                </c:pt>
                <c:pt idx="31">
                  <c:v>0.44639866619179752</c:v>
                </c:pt>
                <c:pt idx="32">
                  <c:v>0.53552378622876884</c:v>
                </c:pt>
                <c:pt idx="33">
                  <c:v>0.13504186087017703</c:v>
                </c:pt>
                <c:pt idx="34">
                  <c:v>0.19519727005552842</c:v>
                </c:pt>
                <c:pt idx="35">
                  <c:v>0.26271820049061689</c:v>
                </c:pt>
                <c:pt idx="36">
                  <c:v>0.39776006136079389</c:v>
                </c:pt>
                <c:pt idx="37">
                  <c:v>0.57668065163185067</c:v>
                </c:pt>
                <c:pt idx="38">
                  <c:v>0.13504186087017703</c:v>
                </c:pt>
                <c:pt idx="39">
                  <c:v>0.26271820049061689</c:v>
                </c:pt>
                <c:pt idx="40">
                  <c:v>0.39776006136079389</c:v>
                </c:pt>
                <c:pt idx="41">
                  <c:v>0.57668065163185067</c:v>
                </c:pt>
                <c:pt idx="42">
                  <c:v>0.28097015142574805</c:v>
                </c:pt>
                <c:pt idx="43">
                  <c:v>0.38177508410215444</c:v>
                </c:pt>
                <c:pt idx="44">
                  <c:v>0.22477612114059844</c:v>
                </c:pt>
                <c:pt idx="45">
                  <c:v>0.28097015142574805</c:v>
                </c:pt>
                <c:pt idx="46">
                  <c:v>0.38177508410215444</c:v>
                </c:pt>
                <c:pt idx="47">
                  <c:v>0.22477612114059844</c:v>
                </c:pt>
                <c:pt idx="48">
                  <c:v>0.28097015142574805</c:v>
                </c:pt>
                <c:pt idx="49">
                  <c:v>0.38177508410215444</c:v>
                </c:pt>
                <c:pt idx="50">
                  <c:v>0.18965673546789175</c:v>
                </c:pt>
                <c:pt idx="51">
                  <c:v>0.31802770082984461</c:v>
                </c:pt>
                <c:pt idx="52">
                  <c:v>0.44639866619179752</c:v>
                </c:pt>
                <c:pt idx="53">
                  <c:v>0.53552378622876884</c:v>
                </c:pt>
                <c:pt idx="54">
                  <c:v>0.18965673546789175</c:v>
                </c:pt>
                <c:pt idx="55">
                  <c:v>0.31802770082984461</c:v>
                </c:pt>
                <c:pt idx="56">
                  <c:v>0.44639866619179752</c:v>
                </c:pt>
                <c:pt idx="57">
                  <c:v>0.53552378622876884</c:v>
                </c:pt>
                <c:pt idx="58">
                  <c:v>7.2012387274581896E-2</c:v>
                </c:pt>
                <c:pt idx="59">
                  <c:v>0.12002064545763651</c:v>
                </c:pt>
                <c:pt idx="60">
                  <c:v>0.41855958413210198</c:v>
                </c:pt>
                <c:pt idx="61">
                  <c:v>7.2012387274581896E-2</c:v>
                </c:pt>
                <c:pt idx="62">
                  <c:v>0.12002064545763651</c:v>
                </c:pt>
                <c:pt idx="63">
                  <c:v>0.41855958413210198</c:v>
                </c:pt>
                <c:pt idx="64">
                  <c:v>7.2012387274581896E-2</c:v>
                </c:pt>
                <c:pt idx="65">
                  <c:v>0.12002064545763651</c:v>
                </c:pt>
                <c:pt idx="66">
                  <c:v>0.41855958413210198</c:v>
                </c:pt>
                <c:pt idx="67">
                  <c:v>0.12366214399887077</c:v>
                </c:pt>
                <c:pt idx="68">
                  <c:v>0.1537022961834705</c:v>
                </c:pt>
                <c:pt idx="69">
                  <c:v>0.12257101888901509</c:v>
                </c:pt>
                <c:pt idx="70">
                  <c:v>0.1465765794133671</c:v>
                </c:pt>
                <c:pt idx="71">
                  <c:v>0.18064898789954423</c:v>
                </c:pt>
                <c:pt idx="72">
                  <c:v>0.11125206827518069</c:v>
                </c:pt>
                <c:pt idx="73">
                  <c:v>0.1537594628733715</c:v>
                </c:pt>
                <c:pt idx="74">
                  <c:v>0.12206155113118464</c:v>
                </c:pt>
                <c:pt idx="75">
                  <c:v>0.13951599429000236</c:v>
                </c:pt>
                <c:pt idx="76">
                  <c:v>0.15697043744882017</c:v>
                </c:pt>
                <c:pt idx="77">
                  <c:v>0.17439499286250298</c:v>
                </c:pt>
                <c:pt idx="78">
                  <c:v>0.19711643896364461</c:v>
                </c:pt>
                <c:pt idx="79">
                  <c:v>0.24075254686068898</c:v>
                </c:pt>
                <c:pt idx="80">
                  <c:v>0.28438865475773345</c:v>
                </c:pt>
                <c:pt idx="81">
                  <c:v>0.32787532392910324</c:v>
                </c:pt>
                <c:pt idx="82">
                  <c:v>0.13951599429000236</c:v>
                </c:pt>
                <c:pt idx="83">
                  <c:v>0.15697043744882017</c:v>
                </c:pt>
                <c:pt idx="84">
                  <c:v>0.17439499286250298</c:v>
                </c:pt>
                <c:pt idx="85">
                  <c:v>0.19711643896364461</c:v>
                </c:pt>
                <c:pt idx="86">
                  <c:v>0.24075254686068898</c:v>
                </c:pt>
                <c:pt idx="87">
                  <c:v>0.28438865475773345</c:v>
                </c:pt>
                <c:pt idx="88">
                  <c:v>0.32787532392910324</c:v>
                </c:pt>
                <c:pt idx="89">
                  <c:v>9.9274752045339976E-2</c:v>
                </c:pt>
                <c:pt idx="90">
                  <c:v>0.11617858999591686</c:v>
                </c:pt>
                <c:pt idx="91">
                  <c:v>0.14717536615403232</c:v>
                </c:pt>
                <c:pt idx="92">
                  <c:v>0.17817214231214781</c:v>
                </c:pt>
                <c:pt idx="93">
                  <c:v>0.20922208618236979</c:v>
                </c:pt>
                <c:pt idx="94">
                  <c:v>0.24027203005259176</c:v>
                </c:pt>
                <c:pt idx="95">
                  <c:v>0.27121563849860081</c:v>
                </c:pt>
                <c:pt idx="96">
                  <c:v>8.685477449725118E-2</c:v>
                </c:pt>
                <c:pt idx="97">
                  <c:v>9.9274752045339976E-2</c:v>
                </c:pt>
                <c:pt idx="98">
                  <c:v>0.11617858999591686</c:v>
                </c:pt>
                <c:pt idx="99">
                  <c:v>0.14717536615403232</c:v>
                </c:pt>
                <c:pt idx="100">
                  <c:v>0.17817214231214781</c:v>
                </c:pt>
                <c:pt idx="101">
                  <c:v>0.20922208618236979</c:v>
                </c:pt>
                <c:pt idx="102">
                  <c:v>0.24027203005259176</c:v>
                </c:pt>
                <c:pt idx="103">
                  <c:v>0.27121563849860081</c:v>
                </c:pt>
                <c:pt idx="104">
                  <c:v>0.12226734357024087</c:v>
                </c:pt>
                <c:pt idx="105">
                  <c:v>0.13958286394040598</c:v>
                </c:pt>
                <c:pt idx="106">
                  <c:v>0.15695788781699774</c:v>
                </c:pt>
                <c:pt idx="107">
                  <c:v>0.1743329116935895</c:v>
                </c:pt>
                <c:pt idx="108">
                  <c:v>0.19170793557018131</c:v>
                </c:pt>
                <c:pt idx="109">
                  <c:v>0.13958286394040598</c:v>
                </c:pt>
                <c:pt idx="110">
                  <c:v>0.15695788781699774</c:v>
                </c:pt>
                <c:pt idx="111">
                  <c:v>0.1743329116935895</c:v>
                </c:pt>
                <c:pt idx="112">
                  <c:v>0.19170793557018131</c:v>
                </c:pt>
                <c:pt idx="113">
                  <c:v>7.2148609668635899E-2</c:v>
                </c:pt>
                <c:pt idx="114">
                  <c:v>9.9185026568017642E-2</c:v>
                </c:pt>
                <c:pt idx="115">
                  <c:v>0.12948602837323961</c:v>
                </c:pt>
                <c:pt idx="116">
                  <c:v>9.9185026568017642E-2</c:v>
                </c:pt>
                <c:pt idx="117">
                  <c:v>0.12948602837323961</c:v>
                </c:pt>
                <c:pt idx="118">
                  <c:v>8.6147565717616184E-2</c:v>
                </c:pt>
                <c:pt idx="119">
                  <c:v>0.10460022667304195</c:v>
                </c:pt>
                <c:pt idx="120">
                  <c:v>0.12305288762846765</c:v>
                </c:pt>
                <c:pt idx="121">
                  <c:v>8.6147565717616184E-2</c:v>
                </c:pt>
                <c:pt idx="122">
                  <c:v>0.10460022667304195</c:v>
                </c:pt>
                <c:pt idx="123">
                  <c:v>0.12305288762846765</c:v>
                </c:pt>
                <c:pt idx="124">
                  <c:v>9.2384993595776857E-2</c:v>
                </c:pt>
                <c:pt idx="125">
                  <c:v>0.10623878440919669</c:v>
                </c:pt>
                <c:pt idx="126">
                  <c:v>0.12009257522261656</c:v>
                </c:pt>
                <c:pt idx="127">
                  <c:v>9.2384993595776857E-2</c:v>
                </c:pt>
                <c:pt idx="128">
                  <c:v>0.10623878440919669</c:v>
                </c:pt>
                <c:pt idx="129">
                  <c:v>0.12009257522261656</c:v>
                </c:pt>
                <c:pt idx="130">
                  <c:v>0.16285127956433496</c:v>
                </c:pt>
                <c:pt idx="131">
                  <c:v>0.17476722684953019</c:v>
                </c:pt>
                <c:pt idx="132">
                  <c:v>0.18827196710608479</c:v>
                </c:pt>
                <c:pt idx="133">
                  <c:v>0.20018791439128003</c:v>
                </c:pt>
                <c:pt idx="134">
                  <c:v>0.21372760574098071</c:v>
                </c:pt>
                <c:pt idx="135">
                  <c:v>0.24351747395396883</c:v>
                </c:pt>
                <c:pt idx="136">
                  <c:v>0.2792653158095546</c:v>
                </c:pt>
                <c:pt idx="137">
                  <c:v>0.14934653930778033</c:v>
                </c:pt>
                <c:pt idx="138">
                  <c:v>0.16285127956433496</c:v>
                </c:pt>
                <c:pt idx="139">
                  <c:v>0.17556162333520986</c:v>
                </c:pt>
                <c:pt idx="140">
                  <c:v>0.18708037237756528</c:v>
                </c:pt>
                <c:pt idx="141">
                  <c:v>0.20018791439128003</c:v>
                </c:pt>
                <c:pt idx="142">
                  <c:v>0.21329545640499481</c:v>
                </c:pt>
                <c:pt idx="143">
                  <c:v>0.24053848713267006</c:v>
                </c:pt>
                <c:pt idx="144">
                  <c:v>0.26734936852435925</c:v>
                </c:pt>
                <c:pt idx="145">
                  <c:v>0.12448001593101213</c:v>
                </c:pt>
                <c:pt idx="146">
                  <c:v>0.16319147975293574</c:v>
                </c:pt>
                <c:pt idx="147">
                  <c:v>0.20066086452174944</c:v>
                </c:pt>
                <c:pt idx="148">
                  <c:v>0.23792323611504487</c:v>
                </c:pt>
                <c:pt idx="149">
                  <c:v>0.27477158135730378</c:v>
                </c:pt>
                <c:pt idx="150">
                  <c:v>0.312654992477154</c:v>
                </c:pt>
                <c:pt idx="151">
                  <c:v>8.84597233908265E-2</c:v>
                </c:pt>
                <c:pt idx="152">
                  <c:v>0.12510105545756706</c:v>
                </c:pt>
                <c:pt idx="153">
                  <c:v>0.16257044022638076</c:v>
                </c:pt>
                <c:pt idx="154">
                  <c:v>0.19962579864415791</c:v>
                </c:pt>
                <c:pt idx="155">
                  <c:v>0.23813024929056317</c:v>
                </c:pt>
                <c:pt idx="156">
                  <c:v>0.27477158135730378</c:v>
                </c:pt>
                <c:pt idx="157">
                  <c:v>0.29257471445187816</c:v>
                </c:pt>
                <c:pt idx="158">
                  <c:v>0.18861841261242762</c:v>
                </c:pt>
                <c:pt idx="159">
                  <c:v>0.20076122887503028</c:v>
                </c:pt>
                <c:pt idx="160">
                  <c:v>0.20318979212755081</c:v>
                </c:pt>
                <c:pt idx="161">
                  <c:v>0.21344372586041524</c:v>
                </c:pt>
                <c:pt idx="162">
                  <c:v>0.22319790578213533</c:v>
                </c:pt>
                <c:pt idx="163">
                  <c:v>0.24276133198299524</c:v>
                </c:pt>
                <c:pt idx="164">
                  <c:v>0.26030095547342114</c:v>
                </c:pt>
                <c:pt idx="165">
                  <c:v>0.28121358348123665</c:v>
                </c:pt>
                <c:pt idx="166">
                  <c:v>0.18780889152825411</c:v>
                </c:pt>
                <c:pt idx="167">
                  <c:v>0.19590410236998923</c:v>
                </c:pt>
                <c:pt idx="168">
                  <c:v>0.203459632488942</c:v>
                </c:pt>
                <c:pt idx="169">
                  <c:v>0.2112850029692859</c:v>
                </c:pt>
                <c:pt idx="170">
                  <c:v>0.22117410307170166</c:v>
                </c:pt>
                <c:pt idx="171">
                  <c:v>0.24276133198299524</c:v>
                </c:pt>
                <c:pt idx="172">
                  <c:v>0.26232475818385492</c:v>
                </c:pt>
                <c:pt idx="173">
                  <c:v>0.2798643816742809</c:v>
                </c:pt>
                <c:pt idx="174">
                  <c:v>0.19671362345416274</c:v>
                </c:pt>
                <c:pt idx="175">
                  <c:v>0.20453899393450664</c:v>
                </c:pt>
                <c:pt idx="176">
                  <c:v>0.21560244875154463</c:v>
                </c:pt>
                <c:pt idx="177">
                  <c:v>0.22724551120300288</c:v>
                </c:pt>
                <c:pt idx="178">
                  <c:v>0.24276133198299524</c:v>
                </c:pt>
                <c:pt idx="179">
                  <c:v>0.25962635456994337</c:v>
                </c:pt>
                <c:pt idx="180">
                  <c:v>0.28188818438471486</c:v>
                </c:pt>
                <c:pt idx="181">
                  <c:v>0.16250526374056309</c:v>
                </c:pt>
                <c:pt idx="182">
                  <c:v>0.20529664584009563</c:v>
                </c:pt>
                <c:pt idx="183">
                  <c:v>0.24794297240708743</c:v>
                </c:pt>
                <c:pt idx="184">
                  <c:v>0.16250526374056309</c:v>
                </c:pt>
                <c:pt idx="185">
                  <c:v>0.20471642370993251</c:v>
                </c:pt>
                <c:pt idx="186">
                  <c:v>0.2472176947443834</c:v>
                </c:pt>
                <c:pt idx="187">
                  <c:v>7.6052166346253336E-2</c:v>
                </c:pt>
                <c:pt idx="188">
                  <c:v>0.12014904823865298</c:v>
                </c:pt>
                <c:pt idx="189">
                  <c:v>0.16177998607785915</c:v>
                </c:pt>
                <c:pt idx="190">
                  <c:v>0.2035559794496061</c:v>
                </c:pt>
                <c:pt idx="191">
                  <c:v>0.26259358119370696</c:v>
                </c:pt>
                <c:pt idx="192">
                  <c:v>0.11112967472357412</c:v>
                </c:pt>
                <c:pt idx="193">
                  <c:v>0.15812571226520117</c:v>
                </c:pt>
                <c:pt idx="194">
                  <c:v>0.22825608951794205</c:v>
                </c:pt>
                <c:pt idx="195">
                  <c:v>0.11794821671353553</c:v>
                </c:pt>
                <c:pt idx="196">
                  <c:v>0.17512939694084201</c:v>
                </c:pt>
                <c:pt idx="197">
                  <c:v>0.23231057716814843</c:v>
                </c:pt>
                <c:pt idx="198">
                  <c:v>0.1175277819493063</c:v>
                </c:pt>
                <c:pt idx="199">
                  <c:v>0.18941639586178169</c:v>
                </c:pt>
                <c:pt idx="200">
                  <c:v>0.23254956420926687</c:v>
                </c:pt>
                <c:pt idx="201">
                  <c:v>0.26849387116550444</c:v>
                </c:pt>
                <c:pt idx="202">
                  <c:v>0.32600476229548475</c:v>
                </c:pt>
                <c:pt idx="203">
                  <c:v>0.37632679203421759</c:v>
                </c:pt>
                <c:pt idx="204">
                  <c:v>0.15128120300738629</c:v>
                </c:pt>
                <c:pt idx="205">
                  <c:v>0.17990644867800365</c:v>
                </c:pt>
                <c:pt idx="206">
                  <c:v>0.21671033596879763</c:v>
                </c:pt>
                <c:pt idx="207">
                  <c:v>0.2330676192091504</c:v>
                </c:pt>
                <c:pt idx="208">
                  <c:v>0.26987150649994435</c:v>
                </c:pt>
                <c:pt idx="209">
                  <c:v>0.34756860189162025</c:v>
                </c:pt>
                <c:pt idx="210">
                  <c:v>0.12703849644400417</c:v>
                </c:pt>
                <c:pt idx="211">
                  <c:v>0.15099627778839889</c:v>
                </c:pt>
                <c:pt idx="212">
                  <c:v>0.17255828099835413</c:v>
                </c:pt>
                <c:pt idx="213">
                  <c:v>0.19891184047718827</c:v>
                </c:pt>
                <c:pt idx="214">
                  <c:v>0.22526539995602249</c:v>
                </c:pt>
                <c:pt idx="215">
                  <c:v>0.24922318130041712</c:v>
                </c:pt>
                <c:pt idx="216">
                  <c:v>0.27318096264481179</c:v>
                </c:pt>
                <c:pt idx="217">
                  <c:v>0.294742965854767</c:v>
                </c:pt>
                <c:pt idx="218">
                  <c:v>0.2505652204437212</c:v>
                </c:pt>
                <c:pt idx="219">
                  <c:v>0.31490001064532835</c:v>
                </c:pt>
                <c:pt idx="220">
                  <c:v>0.38638311086933647</c:v>
                </c:pt>
                <c:pt idx="221">
                  <c:v>0.15414349743096403</c:v>
                </c:pt>
                <c:pt idx="222">
                  <c:v>0.18259499046456978</c:v>
                </c:pt>
                <c:pt idx="223">
                  <c:v>0.21917548150777719</c:v>
                </c:pt>
                <c:pt idx="224">
                  <c:v>0.23543347752698049</c:v>
                </c:pt>
                <c:pt idx="225">
                  <c:v>0.25982047155578547</c:v>
                </c:pt>
                <c:pt idx="226">
                  <c:v>0.27607846757498877</c:v>
                </c:pt>
                <c:pt idx="227">
                  <c:v>0.31591055782203681</c:v>
                </c:pt>
                <c:pt idx="228">
                  <c:v>0.3557426480690849</c:v>
                </c:pt>
                <c:pt idx="229">
                  <c:v>0.16920059472353005</c:v>
                </c:pt>
                <c:pt idx="230">
                  <c:v>0.17871200070263188</c:v>
                </c:pt>
                <c:pt idx="231">
                  <c:v>0.20249051565038667</c:v>
                </c:pt>
                <c:pt idx="232">
                  <c:v>0.22864688209291692</c:v>
                </c:pt>
                <c:pt idx="233">
                  <c:v>0.25242539704067157</c:v>
                </c:pt>
                <c:pt idx="234">
                  <c:v>0.27382606049365088</c:v>
                </c:pt>
                <c:pt idx="235">
                  <c:v>0.29998242693618105</c:v>
                </c:pt>
                <c:pt idx="236">
                  <c:v>3.8596968092179766E-2</c:v>
                </c:pt>
                <c:pt idx="237">
                  <c:v>6.7647653042968173E-2</c:v>
                </c:pt>
                <c:pt idx="238">
                  <c:v>0.10459254586081865</c:v>
                </c:pt>
                <c:pt idx="239">
                  <c:v>0.12574902294454501</c:v>
                </c:pt>
                <c:pt idx="240">
                  <c:v>0.15006318317509615</c:v>
                </c:pt>
                <c:pt idx="241">
                  <c:v>0.18795538093699407</c:v>
                </c:pt>
                <c:pt idx="242">
                  <c:v>0.20721724813262554</c:v>
                </c:pt>
                <c:pt idx="243">
                  <c:v>0.23532062813936647</c:v>
                </c:pt>
                <c:pt idx="244">
                  <c:v>0.26728929873091839</c:v>
                </c:pt>
                <c:pt idx="245">
                  <c:v>0.29702172941567545</c:v>
                </c:pt>
                <c:pt idx="246">
                  <c:v>0.26858474698417545</c:v>
                </c:pt>
                <c:pt idx="247">
                  <c:v>0.29702172941567545</c:v>
                </c:pt>
                <c:pt idx="248">
                  <c:v>0.26858474698417545</c:v>
                </c:pt>
                <c:pt idx="249">
                  <c:v>0.29702172941567545</c:v>
                </c:pt>
                <c:pt idx="250">
                  <c:v>0.26988019523743262</c:v>
                </c:pt>
                <c:pt idx="251">
                  <c:v>0.29702172941567545</c:v>
                </c:pt>
                <c:pt idx="252">
                  <c:v>0.21302068526037121</c:v>
                </c:pt>
                <c:pt idx="253">
                  <c:v>0.2922790774211681</c:v>
                </c:pt>
                <c:pt idx="254">
                  <c:v>0.21516317296122117</c:v>
                </c:pt>
                <c:pt idx="255">
                  <c:v>0.2922790774211681</c:v>
                </c:pt>
                <c:pt idx="256">
                  <c:v>0.16593842049260554</c:v>
                </c:pt>
                <c:pt idx="257">
                  <c:v>0.26816066312683373</c:v>
                </c:pt>
                <c:pt idx="258">
                  <c:v>0.2942883592014458</c:v>
                </c:pt>
                <c:pt idx="259">
                  <c:v>0.16723237293101356</c:v>
                </c:pt>
                <c:pt idx="260">
                  <c:v>0.26945461556524175</c:v>
                </c:pt>
                <c:pt idx="261">
                  <c:v>0.10247434514056784</c:v>
                </c:pt>
                <c:pt idx="262">
                  <c:v>0.16913510332806375</c:v>
                </c:pt>
                <c:pt idx="263">
                  <c:v>0.23665048662052759</c:v>
                </c:pt>
                <c:pt idx="264">
                  <c:v>0.28726286639158216</c:v>
                </c:pt>
                <c:pt idx="265">
                  <c:v>0.10161972003559995</c:v>
                </c:pt>
                <c:pt idx="266">
                  <c:v>0.16742585311812797</c:v>
                </c:pt>
                <c:pt idx="267">
                  <c:v>0.23408661130562394</c:v>
                </c:pt>
                <c:pt idx="268">
                  <c:v>0.2559318537568821</c:v>
                </c:pt>
                <c:pt idx="269">
                  <c:v>0.28192769917035537</c:v>
                </c:pt>
                <c:pt idx="270">
                  <c:v>0.2559318537568821</c:v>
                </c:pt>
                <c:pt idx="271">
                  <c:v>0.28192769917035537</c:v>
                </c:pt>
                <c:pt idx="272">
                  <c:v>0.12418568445184547</c:v>
                </c:pt>
                <c:pt idx="273">
                  <c:v>0.15819691921097215</c:v>
                </c:pt>
                <c:pt idx="274">
                  <c:v>0.19135787310112068</c:v>
                </c:pt>
                <c:pt idx="275">
                  <c:v>0.22536910786024728</c:v>
                </c:pt>
                <c:pt idx="276">
                  <c:v>0.25767978088141763</c:v>
                </c:pt>
                <c:pt idx="277">
                  <c:v>0.27791169117888265</c:v>
                </c:pt>
                <c:pt idx="278">
                  <c:v>0.19135787310112068</c:v>
                </c:pt>
                <c:pt idx="279">
                  <c:v>0.22366854612229098</c:v>
                </c:pt>
                <c:pt idx="280">
                  <c:v>0.25767978088141763</c:v>
                </c:pt>
                <c:pt idx="281">
                  <c:v>0.27791169117888265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4-4761-AD43-01BED76A9FC4}"/>
            </c:ext>
          </c:extLst>
        </c:ser>
        <c:ser>
          <c:idx val="1"/>
          <c:order val="1"/>
          <c:tx>
            <c:strRef>
              <c:f>'Dados gerais'!$AN$2</c:f>
              <c:strCache>
                <c:ptCount val="1"/>
                <c:pt idx="0">
                  <c:v>NBR 6118 - wk2 - fissuração não estabilizada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gerais'!$AN$28:$AN$309</c:f>
              <c:numCache>
                <c:formatCode>0.00</c:formatCode>
                <c:ptCount val="282"/>
                <c:pt idx="0">
                  <c:v>0.13403771715746998</c:v>
                </c:pt>
                <c:pt idx="1">
                  <c:v>0.17424354747035525</c:v>
                </c:pt>
                <c:pt idx="2">
                  <c:v>0.22297048347265605</c:v>
                </c:pt>
                <c:pt idx="3">
                  <c:v>0.27830548142392658</c:v>
                </c:pt>
                <c:pt idx="4">
                  <c:v>0.31729899713708887</c:v>
                </c:pt>
                <c:pt idx="5">
                  <c:v>0.4095675399831824</c:v>
                </c:pt>
                <c:pt idx="6">
                  <c:v>0.4169803767185325</c:v>
                </c:pt>
                <c:pt idx="7">
                  <c:v>0.47867645286566257</c:v>
                </c:pt>
                <c:pt idx="8">
                  <c:v>0.61410800657888331</c:v>
                </c:pt>
                <c:pt idx="9">
                  <c:v>0.61410800657888331</c:v>
                </c:pt>
                <c:pt idx="10">
                  <c:v>0.15996566082219832</c:v>
                </c:pt>
                <c:pt idx="11">
                  <c:v>0.1974884701508621</c:v>
                </c:pt>
                <c:pt idx="12">
                  <c:v>0.21257782357332636</c:v>
                </c:pt>
                <c:pt idx="13">
                  <c:v>0.23896104888254321</c:v>
                </c:pt>
                <c:pt idx="14">
                  <c:v>0.27848960048617671</c:v>
                </c:pt>
                <c:pt idx="15">
                  <c:v>0.37337663887897365</c:v>
                </c:pt>
                <c:pt idx="16">
                  <c:v>4.2063309858943153E-2</c:v>
                </c:pt>
                <c:pt idx="17">
                  <c:v>8.7169238073822417E-2</c:v>
                </c:pt>
                <c:pt idx="18">
                  <c:v>0.12760837895228047</c:v>
                </c:pt>
                <c:pt idx="19">
                  <c:v>0.21138832303946115</c:v>
                </c:pt>
                <c:pt idx="20">
                  <c:v>0.37166802296900547</c:v>
                </c:pt>
                <c:pt idx="21">
                  <c:v>0.22693428965131127</c:v>
                </c:pt>
                <c:pt idx="22">
                  <c:v>0.37513627472971839</c:v>
                </c:pt>
                <c:pt idx="23">
                  <c:v>0.59406031512087509</c:v>
                </c:pt>
                <c:pt idx="24">
                  <c:v>0.59406031512087509</c:v>
                </c:pt>
                <c:pt idx="25">
                  <c:v>0.59406031512087509</c:v>
                </c:pt>
                <c:pt idx="26">
                  <c:v>3.9488243261364124E-2</c:v>
                </c:pt>
                <c:pt idx="27">
                  <c:v>6.1700380095881441E-2</c:v>
                </c:pt>
                <c:pt idx="28">
                  <c:v>0.19990923151065582</c:v>
                </c:pt>
                <c:pt idx="29">
                  <c:v>0.41709456944815854</c:v>
                </c:pt>
                <c:pt idx="30">
                  <c:v>0.71325639390838957</c:v>
                </c:pt>
                <c:pt idx="31">
                  <c:v>0.98720608153410305</c:v>
                </c:pt>
                <c:pt idx="32">
                  <c:v>1.2376256565018231</c:v>
                </c:pt>
                <c:pt idx="33">
                  <c:v>0.11578280084250574</c:v>
                </c:pt>
                <c:pt idx="34">
                  <c:v>0.16672723321320823</c:v>
                </c:pt>
                <c:pt idx="35">
                  <c:v>0.22693428965131127</c:v>
                </c:pt>
                <c:pt idx="36">
                  <c:v>0.37513627472971839</c:v>
                </c:pt>
                <c:pt idx="37">
                  <c:v>0.59406031512087509</c:v>
                </c:pt>
                <c:pt idx="38">
                  <c:v>0.11578280084250574</c:v>
                </c:pt>
                <c:pt idx="39">
                  <c:v>0.22693428965131127</c:v>
                </c:pt>
                <c:pt idx="40">
                  <c:v>0.37513627472971839</c:v>
                </c:pt>
                <c:pt idx="41">
                  <c:v>0.59406031512087509</c:v>
                </c:pt>
                <c:pt idx="42">
                  <c:v>0.15160704695540023</c:v>
                </c:pt>
                <c:pt idx="43">
                  <c:v>0.21831414761577628</c:v>
                </c:pt>
                <c:pt idx="44">
                  <c:v>9.7028510051456116E-2</c:v>
                </c:pt>
                <c:pt idx="45">
                  <c:v>0.15160704695540023</c:v>
                </c:pt>
                <c:pt idx="46">
                  <c:v>0.21831414761577628</c:v>
                </c:pt>
                <c:pt idx="47">
                  <c:v>9.7028510051456116E-2</c:v>
                </c:pt>
                <c:pt idx="48">
                  <c:v>0.15160704695540023</c:v>
                </c:pt>
                <c:pt idx="49">
                  <c:v>0.21831414761577628</c:v>
                </c:pt>
                <c:pt idx="50">
                  <c:v>0.24680152038352576</c:v>
                </c:pt>
                <c:pt idx="51">
                  <c:v>0.55530342086293294</c:v>
                </c:pt>
                <c:pt idx="52">
                  <c:v>0.98720608153410305</c:v>
                </c:pt>
                <c:pt idx="53">
                  <c:v>1.2376256565018231</c:v>
                </c:pt>
                <c:pt idx="54">
                  <c:v>0.24680152038352576</c:v>
                </c:pt>
                <c:pt idx="55">
                  <c:v>0.55530342086293294</c:v>
                </c:pt>
                <c:pt idx="56">
                  <c:v>0.98720608153410305</c:v>
                </c:pt>
                <c:pt idx="57">
                  <c:v>1.2376256565018231</c:v>
                </c:pt>
                <c:pt idx="58">
                  <c:v>2.9399600977995204E-2</c:v>
                </c:pt>
                <c:pt idx="59">
                  <c:v>8.1665558272208852E-2</c:v>
                </c:pt>
                <c:pt idx="60">
                  <c:v>0.32666223308883541</c:v>
                </c:pt>
                <c:pt idx="61">
                  <c:v>2.9399600977995204E-2</c:v>
                </c:pt>
                <c:pt idx="62">
                  <c:v>8.1665558272208852E-2</c:v>
                </c:pt>
                <c:pt idx="63">
                  <c:v>0.32666223308883541</c:v>
                </c:pt>
                <c:pt idx="64">
                  <c:v>2.9399600977995204E-2</c:v>
                </c:pt>
                <c:pt idx="65">
                  <c:v>8.1665558272208852E-2</c:v>
                </c:pt>
                <c:pt idx="66">
                  <c:v>0.32666223308883541</c:v>
                </c:pt>
                <c:pt idx="67">
                  <c:v>0.13684830482913171</c:v>
                </c:pt>
                <c:pt idx="68">
                  <c:v>0.18534931298386784</c:v>
                </c:pt>
                <c:pt idx="69">
                  <c:v>0.17649154312756957</c:v>
                </c:pt>
                <c:pt idx="70">
                  <c:v>0.23216124372145697</c:v>
                </c:pt>
                <c:pt idx="71">
                  <c:v>0.32082566870426454</c:v>
                </c:pt>
                <c:pt idx="72">
                  <c:v>0.20413587615404677</c:v>
                </c:pt>
                <c:pt idx="73">
                  <c:v>0.35110712372639064</c:v>
                </c:pt>
                <c:pt idx="74">
                  <c:v>9.5278931346240325E-2</c:v>
                </c:pt>
                <c:pt idx="75">
                  <c:v>0.12447642459592428</c:v>
                </c:pt>
                <c:pt idx="76">
                  <c:v>0.15757047544565747</c:v>
                </c:pt>
                <c:pt idx="77">
                  <c:v>0.19449441343113166</c:v>
                </c:pt>
                <c:pt idx="78">
                  <c:v>0.23530157606629135</c:v>
                </c:pt>
                <c:pt idx="79">
                  <c:v>0.28007195534082957</c:v>
                </c:pt>
                <c:pt idx="80">
                  <c:v>0.32873889221541702</c:v>
                </c:pt>
                <c:pt idx="81">
                  <c:v>0.3811157253849613</c:v>
                </c:pt>
                <c:pt idx="82">
                  <c:v>0.12447642459592428</c:v>
                </c:pt>
                <c:pt idx="83">
                  <c:v>0.15757047544565747</c:v>
                </c:pt>
                <c:pt idx="84">
                  <c:v>0.19449441343113166</c:v>
                </c:pt>
                <c:pt idx="85">
                  <c:v>0.23530157606629135</c:v>
                </c:pt>
                <c:pt idx="86">
                  <c:v>0.28007195534082957</c:v>
                </c:pt>
                <c:pt idx="87">
                  <c:v>0.32873889221541702</c:v>
                </c:pt>
                <c:pt idx="88">
                  <c:v>0.3811157253849613</c:v>
                </c:pt>
                <c:pt idx="89">
                  <c:v>0.12447642459592426</c:v>
                </c:pt>
                <c:pt idx="90">
                  <c:v>0.15757047544565744</c:v>
                </c:pt>
                <c:pt idx="91">
                  <c:v>0.19449441343113166</c:v>
                </c:pt>
                <c:pt idx="92">
                  <c:v>0.23530157606629135</c:v>
                </c:pt>
                <c:pt idx="93">
                  <c:v>0.28007195534082957</c:v>
                </c:pt>
                <c:pt idx="94">
                  <c:v>0.32873889221541713</c:v>
                </c:pt>
                <c:pt idx="95">
                  <c:v>0.38111572538496119</c:v>
                </c:pt>
                <c:pt idx="96">
                  <c:v>9.5278931346240298E-2</c:v>
                </c:pt>
                <c:pt idx="97">
                  <c:v>0.12447642459592426</c:v>
                </c:pt>
                <c:pt idx="98">
                  <c:v>0.15757047544565744</c:v>
                </c:pt>
                <c:pt idx="99">
                  <c:v>0.19449441343113166</c:v>
                </c:pt>
                <c:pt idx="100">
                  <c:v>0.23530157606629135</c:v>
                </c:pt>
                <c:pt idx="101">
                  <c:v>0.28007195534082957</c:v>
                </c:pt>
                <c:pt idx="102">
                  <c:v>0.32873889221541713</c:v>
                </c:pt>
                <c:pt idx="103">
                  <c:v>0.38111572538496119</c:v>
                </c:pt>
                <c:pt idx="104">
                  <c:v>0.15248177687827655</c:v>
                </c:pt>
                <c:pt idx="105">
                  <c:v>0.17677617215084976</c:v>
                </c:pt>
                <c:pt idx="106">
                  <c:v>0.20295833219561998</c:v>
                </c:pt>
                <c:pt idx="107">
                  <c:v>0.23094786593615235</c:v>
                </c:pt>
                <c:pt idx="108">
                  <c:v>0.26074477337244656</c:v>
                </c:pt>
                <c:pt idx="109">
                  <c:v>0.17677617215084976</c:v>
                </c:pt>
                <c:pt idx="110">
                  <c:v>0.20295833219561998</c:v>
                </c:pt>
                <c:pt idx="111">
                  <c:v>0.23094786593615235</c:v>
                </c:pt>
                <c:pt idx="112">
                  <c:v>0.26074477337244656</c:v>
                </c:pt>
                <c:pt idx="113">
                  <c:v>6.4368016399245206E-2</c:v>
                </c:pt>
                <c:pt idx="114">
                  <c:v>0.12164840551874925</c:v>
                </c:pt>
                <c:pt idx="115">
                  <c:v>0.19700646478417433</c:v>
                </c:pt>
                <c:pt idx="116">
                  <c:v>0.12164840551874925</c:v>
                </c:pt>
                <c:pt idx="117">
                  <c:v>0.19700646478417433</c:v>
                </c:pt>
                <c:pt idx="118">
                  <c:v>9.1097171658443665E-2</c:v>
                </c:pt>
                <c:pt idx="119">
                  <c:v>0.13430250855204315</c:v>
                </c:pt>
                <c:pt idx="120">
                  <c:v>0.18586708696734508</c:v>
                </c:pt>
                <c:pt idx="121">
                  <c:v>9.1097171658443665E-2</c:v>
                </c:pt>
                <c:pt idx="122">
                  <c:v>0.13430250855204315</c:v>
                </c:pt>
                <c:pt idx="123">
                  <c:v>0.18586708696734508</c:v>
                </c:pt>
                <c:pt idx="124">
                  <c:v>0.10788433067807927</c:v>
                </c:pt>
                <c:pt idx="125">
                  <c:v>0.14266639624471333</c:v>
                </c:pt>
                <c:pt idx="126">
                  <c:v>0.18230048371183444</c:v>
                </c:pt>
                <c:pt idx="127">
                  <c:v>0.10788433067807927</c:v>
                </c:pt>
                <c:pt idx="128">
                  <c:v>0.14266639624471333</c:v>
                </c:pt>
                <c:pt idx="129">
                  <c:v>0.18230048371183444</c:v>
                </c:pt>
                <c:pt idx="130">
                  <c:v>0.1349186115491853</c:v>
                </c:pt>
                <c:pt idx="131">
                  <c:v>0.15538514691208971</c:v>
                </c:pt>
                <c:pt idx="132">
                  <c:v>0.18032703134101588</c:v>
                </c:pt>
                <c:pt idx="133">
                  <c:v>0.20387558614680465</c:v>
                </c:pt>
                <c:pt idx="134">
                  <c:v>0.23231042594433315</c:v>
                </c:pt>
                <c:pt idx="135">
                  <c:v>0.25894100019300625</c:v>
                </c:pt>
                <c:pt idx="136">
                  <c:v>0.29280468882169908</c:v>
                </c:pt>
                <c:pt idx="137">
                  <c:v>0.11346968248886155</c:v>
                </c:pt>
                <c:pt idx="138">
                  <c:v>0.1349186115491853</c:v>
                </c:pt>
                <c:pt idx="139">
                  <c:v>0.15680094959366475</c:v>
                </c:pt>
                <c:pt idx="140">
                  <c:v>0.17805163417419886</c:v>
                </c:pt>
                <c:pt idx="141">
                  <c:v>0.20387558614680465</c:v>
                </c:pt>
                <c:pt idx="142">
                  <c:v>0.23144762102217148</c:v>
                </c:pt>
                <c:pt idx="143">
                  <c:v>0.25621293142051577</c:v>
                </c:pt>
                <c:pt idx="144">
                  <c:v>0.28128564115391846</c:v>
                </c:pt>
                <c:pt idx="145">
                  <c:v>0.15478528012645698</c:v>
                </c:pt>
                <c:pt idx="146">
                  <c:v>0.211386169121142</c:v>
                </c:pt>
                <c:pt idx="147">
                  <c:v>0.27455386120201025</c:v>
                </c:pt>
                <c:pt idx="148">
                  <c:v>0.34555054480386854</c:v>
                </c:pt>
                <c:pt idx="149">
                  <c:v>0.42377828820333779</c:v>
                </c:pt>
                <c:pt idx="150">
                  <c:v>0.51251772415842989</c:v>
                </c:pt>
                <c:pt idx="151">
                  <c:v>0.11002459711025039</c:v>
                </c:pt>
                <c:pt idx="152">
                  <c:v>0.15562384444404753</c:v>
                </c:pt>
                <c:pt idx="153">
                  <c:v>0.21040866213409018</c:v>
                </c:pt>
                <c:pt idx="154">
                  <c:v>0.27269814592917929</c:v>
                </c:pt>
                <c:pt idx="155">
                  <c:v>0.34596775037385386</c:v>
                </c:pt>
                <c:pt idx="156">
                  <c:v>0.42377828820333779</c:v>
                </c:pt>
                <c:pt idx="157">
                  <c:v>0.46443110099199603</c:v>
                </c:pt>
                <c:pt idx="158">
                  <c:v>0.17150293522078491</c:v>
                </c:pt>
                <c:pt idx="159">
                  <c:v>0.19429564972313279</c:v>
                </c:pt>
                <c:pt idx="160">
                  <c:v>0.19902478258661369</c:v>
                </c:pt>
                <c:pt idx="161">
                  <c:v>0.21961913301830313</c:v>
                </c:pt>
                <c:pt idx="162">
                  <c:v>0.2342940819351301</c:v>
                </c:pt>
                <c:pt idx="163">
                  <c:v>0.25122215219469318</c:v>
                </c:pt>
                <c:pt idx="164">
                  <c:v>0.26690098443294497</c:v>
                </c:pt>
                <c:pt idx="165">
                  <c:v>0.28621520812574058</c:v>
                </c:pt>
                <c:pt idx="166">
                  <c:v>0.17003396609485399</c:v>
                </c:pt>
                <c:pt idx="167">
                  <c:v>0.18500797395918225</c:v>
                </c:pt>
                <c:pt idx="168">
                  <c:v>0.19955375187521049</c:v>
                </c:pt>
                <c:pt idx="169">
                  <c:v>0.2151992383387995</c:v>
                </c:pt>
                <c:pt idx="170">
                  <c:v>0.23257659903592331</c:v>
                </c:pt>
                <c:pt idx="171">
                  <c:v>0.25122215219469318</c:v>
                </c:pt>
                <c:pt idx="172">
                  <c:v>0.26874061816986333</c:v>
                </c:pt>
                <c:pt idx="173">
                  <c:v>0.28494877070486641</c:v>
                </c:pt>
                <c:pt idx="174">
                  <c:v>0.1865401245528952</c:v>
                </c:pt>
                <c:pt idx="175">
                  <c:v>0.20167664919268491</c:v>
                </c:pt>
                <c:pt idx="176">
                  <c:v>0.22408395674156276</c:v>
                </c:pt>
                <c:pt idx="177">
                  <c:v>0.23774800217387809</c:v>
                </c:pt>
                <c:pt idx="178">
                  <c:v>0.25122215219469318</c:v>
                </c:pt>
                <c:pt idx="179">
                  <c:v>0.26628917721992273</c:v>
                </c:pt>
                <c:pt idx="180">
                  <c:v>0.28684947986064074</c:v>
                </c:pt>
                <c:pt idx="181">
                  <c:v>0.19142813392713337</c:v>
                </c:pt>
                <c:pt idx="182">
                  <c:v>0.25555866628532853</c:v>
                </c:pt>
                <c:pt idx="183">
                  <c:v>0.32867367449457463</c:v>
                </c:pt>
                <c:pt idx="184">
                  <c:v>0.19142813392713337</c:v>
                </c:pt>
                <c:pt idx="185">
                  <c:v>0.25462724595282982</c:v>
                </c:pt>
                <c:pt idx="186">
                  <c:v>0.32735343612391454</c:v>
                </c:pt>
                <c:pt idx="187">
                  <c:v>9.0081439601391769E-2</c:v>
                </c:pt>
                <c:pt idx="188">
                  <c:v>0.13705801304842097</c:v>
                </c:pt>
                <c:pt idx="189">
                  <c:v>0.19042088424647874</c:v>
                </c:pt>
                <c:pt idx="190">
                  <c:v>0.25276950663150632</c:v>
                </c:pt>
                <c:pt idx="191">
                  <c:v>0.35591139567956681</c:v>
                </c:pt>
                <c:pt idx="192">
                  <c:v>0.1026441456405006</c:v>
                </c:pt>
                <c:pt idx="193">
                  <c:v>0.16100492295254692</c:v>
                </c:pt>
                <c:pt idx="194">
                  <c:v>0.2324465641448796</c:v>
                </c:pt>
                <c:pt idx="195">
                  <c:v>0.10035281057140449</c:v>
                </c:pt>
                <c:pt idx="196">
                  <c:v>0.15638060603253504</c:v>
                </c:pt>
                <c:pt idx="197">
                  <c:v>0.22478469064030332</c:v>
                </c:pt>
                <c:pt idx="198">
                  <c:v>0.15021092609657113</c:v>
                </c:pt>
                <c:pt idx="199">
                  <c:v>0.27166565825551103</c:v>
                </c:pt>
                <c:pt idx="200">
                  <c:v>0.36168504797331352</c:v>
                </c:pt>
                <c:pt idx="201">
                  <c:v>0.44652475058433772</c:v>
                </c:pt>
                <c:pt idx="202">
                  <c:v>0.60084370438628454</c:v>
                </c:pt>
                <c:pt idx="203">
                  <c:v>0.69560140350877198</c:v>
                </c:pt>
                <c:pt idx="204">
                  <c:v>0.25252771133111879</c:v>
                </c:pt>
                <c:pt idx="205">
                  <c:v>0.32660639020295401</c:v>
                </c:pt>
                <c:pt idx="206">
                  <c:v>0.43583117884098121</c:v>
                </c:pt>
                <c:pt idx="207">
                  <c:v>0.48942414179937288</c:v>
                </c:pt>
                <c:pt idx="208">
                  <c:v>0.62136768647410989</c:v>
                </c:pt>
                <c:pt idx="209">
                  <c:v>0.86950175438596489</c:v>
                </c:pt>
                <c:pt idx="210">
                  <c:v>0.21127454925494149</c:v>
                </c:pt>
                <c:pt idx="211">
                  <c:v>0.27798320883803285</c:v>
                </c:pt>
                <c:pt idx="212">
                  <c:v>0.34583413998932788</c:v>
                </c:pt>
                <c:pt idx="213">
                  <c:v>0.43881504564110252</c:v>
                </c:pt>
                <c:pt idx="214">
                  <c:v>0.54285314007308849</c:v>
                </c:pt>
                <c:pt idx="215">
                  <c:v>0.64702830709325831</c:v>
                </c:pt>
                <c:pt idx="216">
                  <c:v>0.76034164665905757</c:v>
                </c:pt>
                <c:pt idx="217">
                  <c:v>0.86950175438596489</c:v>
                </c:pt>
                <c:pt idx="218">
                  <c:v>0.4337415561139179</c:v>
                </c:pt>
                <c:pt idx="219">
                  <c:v>0.62007004123090814</c:v>
                </c:pt>
                <c:pt idx="220">
                  <c:v>0.79830765100671142</c:v>
                </c:pt>
                <c:pt idx="221">
                  <c:v>0.27855986364060603</c:v>
                </c:pt>
                <c:pt idx="222">
                  <c:v>0.36201639878733166</c:v>
                </c:pt>
                <c:pt idx="223">
                  <c:v>0.48536270640739188</c:v>
                </c:pt>
                <c:pt idx="224">
                  <c:v>0.54597733273558791</c:v>
                </c:pt>
                <c:pt idx="225">
                  <c:v>0.64358470895525621</c:v>
                </c:pt>
                <c:pt idx="226">
                  <c:v>0.71311325091995159</c:v>
                </c:pt>
                <c:pt idx="227">
                  <c:v>0.89852715311695708</c:v>
                </c:pt>
                <c:pt idx="228">
                  <c:v>0.9978845637583893</c:v>
                </c:pt>
                <c:pt idx="229">
                  <c:v>0.36999663347029554</c:v>
                </c:pt>
                <c:pt idx="230">
                  <c:v>0.40607340272023357</c:v>
                </c:pt>
                <c:pt idx="231">
                  <c:v>0.50360652889012436</c:v>
                </c:pt>
                <c:pt idx="232">
                  <c:v>0.62300595270132975</c:v>
                </c:pt>
                <c:pt idx="233">
                  <c:v>0.74256268800635683</c:v>
                </c:pt>
                <c:pt idx="234">
                  <c:v>0.85913050492875898</c:v>
                </c:pt>
                <c:pt idx="235">
                  <c:v>0.9978845637583893</c:v>
                </c:pt>
                <c:pt idx="236">
                  <c:v>0</c:v>
                </c:pt>
                <c:pt idx="237">
                  <c:v>7.3361377368608163E-2</c:v>
                </c:pt>
                <c:pt idx="238">
                  <c:v>0.13060660758320314</c:v>
                </c:pt>
                <c:pt idx="239">
                  <c:v>0.17077091367283942</c:v>
                </c:pt>
                <c:pt idx="240">
                  <c:v>0.22357014498470335</c:v>
                </c:pt>
                <c:pt idx="241">
                  <c:v>0.32001190997605566</c:v>
                </c:pt>
                <c:pt idx="242">
                  <c:v>0.3756485797040216</c:v>
                </c:pt>
                <c:pt idx="243">
                  <c:v>0.45009793258907616</c:v>
                </c:pt>
                <c:pt idx="244">
                  <c:v>0.43113366848373058</c:v>
                </c:pt>
                <c:pt idx="245">
                  <c:v>0.46182682241819578</c:v>
                </c:pt>
                <c:pt idx="246">
                  <c:v>0.43432133725167588</c:v>
                </c:pt>
                <c:pt idx="247">
                  <c:v>0.46182682241819578</c:v>
                </c:pt>
                <c:pt idx="248">
                  <c:v>0.43432133725167588</c:v>
                </c:pt>
                <c:pt idx="249">
                  <c:v>0.46182682241819578</c:v>
                </c:pt>
                <c:pt idx="250">
                  <c:v>0.4375207469727258</c:v>
                </c:pt>
                <c:pt idx="251">
                  <c:v>0.46182682241819578</c:v>
                </c:pt>
                <c:pt idx="252">
                  <c:v>0.2533316241930651</c:v>
                </c:pt>
                <c:pt idx="253">
                  <c:v>0.35688308472413011</c:v>
                </c:pt>
                <c:pt idx="254">
                  <c:v>0.25658987527674482</c:v>
                </c:pt>
                <c:pt idx="255">
                  <c:v>0.35688308472413011</c:v>
                </c:pt>
                <c:pt idx="256">
                  <c:v>0.2159647123648005</c:v>
                </c:pt>
                <c:pt idx="257">
                  <c:v>0.42639754754765979</c:v>
                </c:pt>
                <c:pt idx="258">
                  <c:v>0.4468063816624937</c:v>
                </c:pt>
                <c:pt idx="259">
                  <c:v>0.21818541460108287</c:v>
                </c:pt>
                <c:pt idx="260">
                  <c:v>0.42951561795103321</c:v>
                </c:pt>
                <c:pt idx="261">
                  <c:v>0.1355080739737812</c:v>
                </c:pt>
                <c:pt idx="262">
                  <c:v>0.2640572571894973</c:v>
                </c:pt>
                <c:pt idx="263">
                  <c:v>0.43756164286888011</c:v>
                </c:pt>
                <c:pt idx="264">
                  <c:v>0.5367296786008573</c:v>
                </c:pt>
                <c:pt idx="265">
                  <c:v>0.13413584915294852</c:v>
                </c:pt>
                <c:pt idx="266">
                  <c:v>0.26023039102249323</c:v>
                </c:pt>
                <c:pt idx="267">
                  <c:v>0.43017676883310102</c:v>
                </c:pt>
                <c:pt idx="268">
                  <c:v>0.37406287588439796</c:v>
                </c:pt>
                <c:pt idx="269">
                  <c:v>0.38912131038557102</c:v>
                </c:pt>
                <c:pt idx="270">
                  <c:v>0.37406287588439796</c:v>
                </c:pt>
                <c:pt idx="271">
                  <c:v>0.38912131038557102</c:v>
                </c:pt>
                <c:pt idx="272">
                  <c:v>0.16650607497088082</c:v>
                </c:pt>
                <c:pt idx="273">
                  <c:v>0.228296626570857</c:v>
                </c:pt>
                <c:pt idx="274">
                  <c:v>0.2979113459497082</c:v>
                </c:pt>
                <c:pt idx="275">
                  <c:v>0.37892021871660619</c:v>
                </c:pt>
                <c:pt idx="276">
                  <c:v>0.46489179720255736</c:v>
                </c:pt>
                <c:pt idx="277">
                  <c:v>0.46743503323046587</c:v>
                </c:pt>
                <c:pt idx="278">
                  <c:v>0.2979113459497082</c:v>
                </c:pt>
                <c:pt idx="279">
                  <c:v>0.37463866868448187</c:v>
                </c:pt>
                <c:pt idx="280">
                  <c:v>0.46489179720255736</c:v>
                </c:pt>
                <c:pt idx="281">
                  <c:v>0.46743503323046587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4-4761-AD43-01BED76A9FC4}"/>
            </c:ext>
          </c:extLst>
        </c:ser>
        <c:ser>
          <c:idx val="2"/>
          <c:order val="2"/>
          <c:tx>
            <c:strRef>
              <c:f>'Dados gerais'!$AD$2</c:f>
              <c:strCache>
                <c:ptCount val="1"/>
                <c:pt idx="0">
                  <c:v>fib Model Code 2010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gerais'!$AD$28:$AD$309</c:f>
              <c:numCache>
                <c:formatCode>0.00</c:formatCode>
                <c:ptCount val="282"/>
                <c:pt idx="0">
                  <c:v>0.16007091811290758</c:v>
                </c:pt>
                <c:pt idx="1">
                  <c:v>0.19987712128481272</c:v>
                </c:pt>
                <c:pt idx="2">
                  <c:v>0.24236688871549797</c:v>
                </c:pt>
                <c:pt idx="3">
                  <c:v>0.28530391685597978</c:v>
                </c:pt>
                <c:pt idx="4">
                  <c:v>0.31303408086337448</c:v>
                </c:pt>
                <c:pt idx="5">
                  <c:v>0.37251975526633363</c:v>
                </c:pt>
                <c:pt idx="6">
                  <c:v>0.37699236236430061</c:v>
                </c:pt>
                <c:pt idx="7">
                  <c:v>0.41277321914803544</c:v>
                </c:pt>
                <c:pt idx="8">
                  <c:v>0.50177465310629754</c:v>
                </c:pt>
                <c:pt idx="9">
                  <c:v>0.50177465310629754</c:v>
                </c:pt>
                <c:pt idx="10">
                  <c:v>0.18922989304623691</c:v>
                </c:pt>
                <c:pt idx="11">
                  <c:v>0.2248189846147983</c:v>
                </c:pt>
                <c:pt idx="12">
                  <c:v>0.23816489395300877</c:v>
                </c:pt>
                <c:pt idx="13">
                  <c:v>0.26040807618335954</c:v>
                </c:pt>
                <c:pt idx="14">
                  <c:v>0.29154853130585062</c:v>
                </c:pt>
                <c:pt idx="15">
                  <c:v>0.35827807799690314</c:v>
                </c:pt>
                <c:pt idx="16">
                  <c:v>3.8537839874132902E-2</c:v>
                </c:pt>
                <c:pt idx="17">
                  <c:v>6.1464945828186207E-2</c:v>
                </c:pt>
                <c:pt idx="18">
                  <c:v>7.7227331171597871E-2</c:v>
                </c:pt>
                <c:pt idx="19">
                  <c:v>0.10330691419433347</c:v>
                </c:pt>
                <c:pt idx="20">
                  <c:v>0.14142322784294711</c:v>
                </c:pt>
                <c:pt idx="21">
                  <c:v>0.26398215376277612</c:v>
                </c:pt>
                <c:pt idx="22">
                  <c:v>0.39669046774087013</c:v>
                </c:pt>
                <c:pt idx="23">
                  <c:v>0.57251927902823763</c:v>
                </c:pt>
                <c:pt idx="24">
                  <c:v>0.57251927902823763</c:v>
                </c:pt>
                <c:pt idx="25">
                  <c:v>0.57251927902823763</c:v>
                </c:pt>
                <c:pt idx="26">
                  <c:v>4.2830419555331803E-2</c:v>
                </c:pt>
                <c:pt idx="27">
                  <c:v>6.3227388513615201E-2</c:v>
                </c:pt>
                <c:pt idx="28">
                  <c:v>0.14481526434674882</c:v>
                </c:pt>
                <c:pt idx="29">
                  <c:v>0.22640314017988247</c:v>
                </c:pt>
                <c:pt idx="30">
                  <c:v>0.30799101601301604</c:v>
                </c:pt>
                <c:pt idx="31">
                  <c:v>0.36918192288786633</c:v>
                </c:pt>
                <c:pt idx="32">
                  <c:v>0.43998774341245744</c:v>
                </c:pt>
                <c:pt idx="33">
                  <c:v>0.13127383978468207</c:v>
                </c:pt>
                <c:pt idx="34">
                  <c:v>0.19762799677372914</c:v>
                </c:pt>
                <c:pt idx="35">
                  <c:v>0.26398215376277612</c:v>
                </c:pt>
                <c:pt idx="36">
                  <c:v>0.39669046774087013</c:v>
                </c:pt>
                <c:pt idx="37">
                  <c:v>0.57251927902823763</c:v>
                </c:pt>
                <c:pt idx="38">
                  <c:v>0.13127383978468207</c:v>
                </c:pt>
                <c:pt idx="39">
                  <c:v>0.26398215376277612</c:v>
                </c:pt>
                <c:pt idx="40">
                  <c:v>0.39669046774087013</c:v>
                </c:pt>
                <c:pt idx="41">
                  <c:v>0.57251927902823763</c:v>
                </c:pt>
                <c:pt idx="42">
                  <c:v>0.18691065801267578</c:v>
                </c:pt>
                <c:pt idx="43">
                  <c:v>0.30709427182839427</c:v>
                </c:pt>
                <c:pt idx="44">
                  <c:v>6.672704419695745E-2</c:v>
                </c:pt>
                <c:pt idx="45">
                  <c:v>0.18691065801267578</c:v>
                </c:pt>
                <c:pt idx="46">
                  <c:v>0.30709427182839427</c:v>
                </c:pt>
                <c:pt idx="47">
                  <c:v>6.672704419695745E-2</c:v>
                </c:pt>
                <c:pt idx="48">
                  <c:v>0.18691065801267578</c:v>
                </c:pt>
                <c:pt idx="49">
                  <c:v>0.30709427182839427</c:v>
                </c:pt>
                <c:pt idx="50">
                  <c:v>0.16521223330503229</c:v>
                </c:pt>
                <c:pt idx="51">
                  <c:v>0.26719707809644927</c:v>
                </c:pt>
                <c:pt idx="52">
                  <c:v>0.36918192288786633</c:v>
                </c:pt>
                <c:pt idx="53">
                  <c:v>0.43998774341245744</c:v>
                </c:pt>
                <c:pt idx="54">
                  <c:v>0.16521223330503229</c:v>
                </c:pt>
                <c:pt idx="55">
                  <c:v>0.26719707809644927</c:v>
                </c:pt>
                <c:pt idx="56">
                  <c:v>0.36918192288786633</c:v>
                </c:pt>
                <c:pt idx="57">
                  <c:v>0.43998774341245744</c:v>
                </c:pt>
                <c:pt idx="58">
                  <c:v>4.7185627719411878E-2</c:v>
                </c:pt>
                <c:pt idx="59">
                  <c:v>0.11960450596181522</c:v>
                </c:pt>
                <c:pt idx="60">
                  <c:v>0.30065170156782367</c:v>
                </c:pt>
                <c:pt idx="61">
                  <c:v>4.7185627719411878E-2</c:v>
                </c:pt>
                <c:pt idx="62">
                  <c:v>0.11960450596181522</c:v>
                </c:pt>
                <c:pt idx="63">
                  <c:v>0.30065170156782367</c:v>
                </c:pt>
                <c:pt idx="64">
                  <c:v>4.7185627719411878E-2</c:v>
                </c:pt>
                <c:pt idx="65">
                  <c:v>0.11960450596181522</c:v>
                </c:pt>
                <c:pt idx="66">
                  <c:v>0.30065170156782367</c:v>
                </c:pt>
                <c:pt idx="67">
                  <c:v>0.13329381492770445</c:v>
                </c:pt>
                <c:pt idx="68">
                  <c:v>0.1630033372764875</c:v>
                </c:pt>
                <c:pt idx="69">
                  <c:v>0.11767813019457772</c:v>
                </c:pt>
                <c:pt idx="70">
                  <c:v>0.13840455251524975</c:v>
                </c:pt>
                <c:pt idx="71">
                  <c:v>0.16782270032523594</c:v>
                </c:pt>
                <c:pt idx="72">
                  <c:v>9.633661918313291E-2</c:v>
                </c:pt>
                <c:pt idx="73">
                  <c:v>0.13048666289426775</c:v>
                </c:pt>
                <c:pt idx="74">
                  <c:v>9.7763317902372596E-2</c:v>
                </c:pt>
                <c:pt idx="75">
                  <c:v>0.14204371000539809</c:v>
                </c:pt>
                <c:pt idx="76">
                  <c:v>0.18632410210842379</c:v>
                </c:pt>
                <c:pt idx="77">
                  <c:v>0.2305286716222319</c:v>
                </c:pt>
                <c:pt idx="78">
                  <c:v>0.27473324113604009</c:v>
                </c:pt>
                <c:pt idx="79">
                  <c:v>0.31901363323906562</c:v>
                </c:pt>
                <c:pt idx="80">
                  <c:v>0.36329402534209126</c:v>
                </c:pt>
                <c:pt idx="81">
                  <c:v>0.407422772266682</c:v>
                </c:pt>
                <c:pt idx="82">
                  <c:v>0.14204371000539809</c:v>
                </c:pt>
                <c:pt idx="83">
                  <c:v>0.18632410210842379</c:v>
                </c:pt>
                <c:pt idx="84">
                  <c:v>0.2305286716222319</c:v>
                </c:pt>
                <c:pt idx="85">
                  <c:v>0.27473324113604009</c:v>
                </c:pt>
                <c:pt idx="86">
                  <c:v>0.31901363323906562</c:v>
                </c:pt>
                <c:pt idx="87">
                  <c:v>0.36329402534209126</c:v>
                </c:pt>
                <c:pt idx="88">
                  <c:v>0.407422772266682</c:v>
                </c:pt>
                <c:pt idx="89">
                  <c:v>0.13409248123173162</c:v>
                </c:pt>
                <c:pt idx="90">
                  <c:v>0.1710731766375258</c:v>
                </c:pt>
                <c:pt idx="91">
                  <c:v>0.20799054893474836</c:v>
                </c:pt>
                <c:pt idx="92">
                  <c:v>0.24490792123197097</c:v>
                </c:pt>
                <c:pt idx="93">
                  <c:v>0.28188861663776515</c:v>
                </c:pt>
                <c:pt idx="94">
                  <c:v>0.31886931204355928</c:v>
                </c:pt>
                <c:pt idx="95">
                  <c:v>0.35572336123221043</c:v>
                </c:pt>
                <c:pt idx="96">
                  <c:v>9.7111785825937463E-2</c:v>
                </c:pt>
                <c:pt idx="97">
                  <c:v>0.13409248123173162</c:v>
                </c:pt>
                <c:pt idx="98">
                  <c:v>0.1710731766375258</c:v>
                </c:pt>
                <c:pt idx="99">
                  <c:v>0.20799054893474836</c:v>
                </c:pt>
                <c:pt idx="100">
                  <c:v>0.24490792123197097</c:v>
                </c:pt>
                <c:pt idx="101">
                  <c:v>0.28188861663776515</c:v>
                </c:pt>
                <c:pt idx="102">
                  <c:v>0.31886931204355928</c:v>
                </c:pt>
                <c:pt idx="103">
                  <c:v>0.35572336123221043</c:v>
                </c:pt>
                <c:pt idx="104">
                  <c:v>0.1531062354497946</c:v>
                </c:pt>
                <c:pt idx="105">
                  <c:v>0.17116484293996007</c:v>
                </c:pt>
                <c:pt idx="106">
                  <c:v>0.18928550750053849</c:v>
                </c:pt>
                <c:pt idx="107">
                  <c:v>0.20740617206111689</c:v>
                </c:pt>
                <c:pt idx="108">
                  <c:v>0.2255268366216954</c:v>
                </c:pt>
                <c:pt idx="109">
                  <c:v>0.17116484293996007</c:v>
                </c:pt>
                <c:pt idx="110">
                  <c:v>0.18928550750053849</c:v>
                </c:pt>
                <c:pt idx="111">
                  <c:v>0.20740617206111689</c:v>
                </c:pt>
                <c:pt idx="112">
                  <c:v>0.2255268366216954</c:v>
                </c:pt>
                <c:pt idx="113">
                  <c:v>7.1690562907373032E-3</c:v>
                </c:pt>
                <c:pt idx="114">
                  <c:v>0.11192516701366445</c:v>
                </c:pt>
                <c:pt idx="115">
                  <c:v>0.21668127773659174</c:v>
                </c:pt>
                <c:pt idx="116">
                  <c:v>0.11192516701366445</c:v>
                </c:pt>
                <c:pt idx="117">
                  <c:v>0.21668127773659174</c:v>
                </c:pt>
                <c:pt idx="118">
                  <c:v>0.10347446244459625</c:v>
                </c:pt>
                <c:pt idx="119">
                  <c:v>0.15282389384059317</c:v>
                </c:pt>
                <c:pt idx="120">
                  <c:v>0.20217332523658993</c:v>
                </c:pt>
                <c:pt idx="121">
                  <c:v>0.10347446244459625</c:v>
                </c:pt>
                <c:pt idx="122">
                  <c:v>0.15282389384059317</c:v>
                </c:pt>
                <c:pt idx="123">
                  <c:v>0.20217332523658993</c:v>
                </c:pt>
                <c:pt idx="124">
                  <c:v>0.12079077595334915</c:v>
                </c:pt>
                <c:pt idx="125">
                  <c:v>0.1502667898333386</c:v>
                </c:pt>
                <c:pt idx="126">
                  <c:v>0.17974280371332815</c:v>
                </c:pt>
                <c:pt idx="127">
                  <c:v>0.12079077595334915</c:v>
                </c:pt>
                <c:pt idx="128">
                  <c:v>0.1502667898333386</c:v>
                </c:pt>
                <c:pt idx="129">
                  <c:v>0.17974280371332815</c:v>
                </c:pt>
                <c:pt idx="130">
                  <c:v>0.16512721124267726</c:v>
                </c:pt>
                <c:pt idx="131">
                  <c:v>0.19410888513240512</c:v>
                </c:pt>
                <c:pt idx="132">
                  <c:v>0.22695478220742998</c:v>
                </c:pt>
                <c:pt idx="133">
                  <c:v>0.25593645609715776</c:v>
                </c:pt>
                <c:pt idx="134">
                  <c:v>0.28878235317218248</c:v>
                </c:pt>
                <c:pt idx="135">
                  <c:v>0.31776402706191037</c:v>
                </c:pt>
                <c:pt idx="136">
                  <c:v>0.35254203572958381</c:v>
                </c:pt>
                <c:pt idx="137">
                  <c:v>0.13228131416765246</c:v>
                </c:pt>
                <c:pt idx="138">
                  <c:v>0.16512721124267726</c:v>
                </c:pt>
                <c:pt idx="139">
                  <c:v>0.19604099672505357</c:v>
                </c:pt>
                <c:pt idx="140">
                  <c:v>0.22405661481845726</c:v>
                </c:pt>
                <c:pt idx="141">
                  <c:v>0.25593645609715776</c:v>
                </c:pt>
                <c:pt idx="142">
                  <c:v>0.28781629737585829</c:v>
                </c:pt>
                <c:pt idx="143">
                  <c:v>0.31486585967293762</c:v>
                </c:pt>
                <c:pt idx="144">
                  <c:v>0.34094936617369254</c:v>
                </c:pt>
                <c:pt idx="145">
                  <c:v>0.13248092114240001</c:v>
                </c:pt>
                <c:pt idx="146">
                  <c:v>0.1609239791113681</c:v>
                </c:pt>
                <c:pt idx="147">
                  <c:v>0.18845442559470083</c:v>
                </c:pt>
                <c:pt idx="148">
                  <c:v>0.21583277016376104</c:v>
                </c:pt>
                <c:pt idx="149">
                  <c:v>0.24290691090427621</c:v>
                </c:pt>
                <c:pt idx="150">
                  <c:v>0.27074156121615395</c:v>
                </c:pt>
                <c:pt idx="151">
                  <c:v>0.10601518805897511</c:v>
                </c:pt>
                <c:pt idx="152">
                  <c:v>0.13293722688521767</c:v>
                </c:pt>
                <c:pt idx="153">
                  <c:v>0.16046767336855042</c:v>
                </c:pt>
                <c:pt idx="154">
                  <c:v>0.18769391602333804</c:v>
                </c:pt>
                <c:pt idx="155">
                  <c:v>0.21598487207803357</c:v>
                </c:pt>
                <c:pt idx="156">
                  <c:v>0.24290691090427621</c:v>
                </c:pt>
                <c:pt idx="157">
                  <c:v>0.25598767553171597</c:v>
                </c:pt>
                <c:pt idx="158">
                  <c:v>0.16612686256381681</c:v>
                </c:pt>
                <c:pt idx="159">
                  <c:v>0.20438424701114277</c:v>
                </c:pt>
                <c:pt idx="160">
                  <c:v>0.21203572390060799</c:v>
                </c:pt>
                <c:pt idx="161">
                  <c:v>0.24434195965612746</c:v>
                </c:pt>
                <c:pt idx="162">
                  <c:v>0.26644622622569353</c:v>
                </c:pt>
                <c:pt idx="163">
                  <c:v>0.29110098509174809</c:v>
                </c:pt>
                <c:pt idx="164">
                  <c:v>0.31320525166131397</c:v>
                </c:pt>
                <c:pt idx="165">
                  <c:v>0.33956033872502711</c:v>
                </c:pt>
                <c:pt idx="166">
                  <c:v>0.16357637026732849</c:v>
                </c:pt>
                <c:pt idx="167">
                  <c:v>0.1890812932322124</c:v>
                </c:pt>
                <c:pt idx="168">
                  <c:v>0.21288588799943745</c:v>
                </c:pt>
                <c:pt idx="169">
                  <c:v>0.23754064686549181</c:v>
                </c:pt>
                <c:pt idx="170">
                  <c:v>0.26389573392920529</c:v>
                </c:pt>
                <c:pt idx="171">
                  <c:v>0.29110098509174809</c:v>
                </c:pt>
                <c:pt idx="172">
                  <c:v>0.31575574395780237</c:v>
                </c:pt>
                <c:pt idx="173">
                  <c:v>0.33786001052736836</c:v>
                </c:pt>
                <c:pt idx="174">
                  <c:v>0.19163178552870083</c:v>
                </c:pt>
                <c:pt idx="175">
                  <c:v>0.21628654439475523</c:v>
                </c:pt>
                <c:pt idx="176">
                  <c:v>0.25114327244676327</c:v>
                </c:pt>
                <c:pt idx="177">
                  <c:v>0.27154721081867028</c:v>
                </c:pt>
                <c:pt idx="178">
                  <c:v>0.29110098509174809</c:v>
                </c:pt>
                <c:pt idx="179">
                  <c:v>0.31235508756248465</c:v>
                </c:pt>
                <c:pt idx="180">
                  <c:v>0.34041050282385693</c:v>
                </c:pt>
                <c:pt idx="181">
                  <c:v>0.17621750604544575</c:v>
                </c:pt>
                <c:pt idx="182">
                  <c:v>0.2129582212234726</c:v>
                </c:pt>
                <c:pt idx="183">
                  <c:v>0.24957439160428585</c:v>
                </c:pt>
                <c:pt idx="184">
                  <c:v>0.17621750604544575</c:v>
                </c:pt>
                <c:pt idx="185">
                  <c:v>0.21246004203461805</c:v>
                </c:pt>
                <c:pt idx="186">
                  <c:v>0.24895166761821755</c:v>
                </c:pt>
                <c:pt idx="187">
                  <c:v>0.10198880690611019</c:v>
                </c:pt>
                <c:pt idx="188">
                  <c:v>0.13985042525905989</c:v>
                </c:pt>
                <c:pt idx="189">
                  <c:v>0.17559478205937751</c:v>
                </c:pt>
                <c:pt idx="190">
                  <c:v>0.21146368365690876</c:v>
                </c:pt>
                <c:pt idx="191">
                  <c:v>0.26215341612286447</c:v>
                </c:pt>
                <c:pt idx="192">
                  <c:v>0.13165888294921016</c:v>
                </c:pt>
                <c:pt idx="193">
                  <c:v>0.19201766444682036</c:v>
                </c:pt>
                <c:pt idx="194">
                  <c:v>0.25237644594443065</c:v>
                </c:pt>
                <c:pt idx="195">
                  <c:v>0.12272095972411494</c:v>
                </c:pt>
                <c:pt idx="196">
                  <c:v>0.16718299484634599</c:v>
                </c:pt>
                <c:pt idx="197">
                  <c:v>0.21164502996857701</c:v>
                </c:pt>
                <c:pt idx="198">
                  <c:v>0.12947798925127468</c:v>
                </c:pt>
                <c:pt idx="199">
                  <c:v>0.18827950796327195</c:v>
                </c:pt>
                <c:pt idx="200">
                  <c:v>0.22356041919047023</c:v>
                </c:pt>
                <c:pt idx="201">
                  <c:v>0.25296117854646882</c:v>
                </c:pt>
                <c:pt idx="202">
                  <c:v>0.30000239351606656</c:v>
                </c:pt>
                <c:pt idx="203">
                  <c:v>0.34116345661446468</c:v>
                </c:pt>
                <c:pt idx="204">
                  <c:v>0.13588199007541207</c:v>
                </c:pt>
                <c:pt idx="205">
                  <c:v>0.15768903676554977</c:v>
                </c:pt>
                <c:pt idx="206">
                  <c:v>0.18572666822429837</c:v>
                </c:pt>
                <c:pt idx="207">
                  <c:v>0.19818783776151991</c:v>
                </c:pt>
                <c:pt idx="208">
                  <c:v>0.22622546922026851</c:v>
                </c:pt>
                <c:pt idx="209">
                  <c:v>0.28541602452207099</c:v>
                </c:pt>
                <c:pt idx="210">
                  <c:v>9.9001541127222883E-2</c:v>
                </c:pt>
                <c:pt idx="211">
                  <c:v>0.11553739220709007</c:v>
                </c:pt>
                <c:pt idx="212">
                  <c:v>0.13041965817897053</c:v>
                </c:pt>
                <c:pt idx="213">
                  <c:v>0.1486090943668244</c:v>
                </c:pt>
                <c:pt idx="214">
                  <c:v>0.16679853055467833</c:v>
                </c:pt>
                <c:pt idx="215">
                  <c:v>0.18333438163454549</c:v>
                </c:pt>
                <c:pt idx="216">
                  <c:v>0.19987023271441262</c:v>
                </c:pt>
                <c:pt idx="217">
                  <c:v>0.21475249868629306</c:v>
                </c:pt>
                <c:pt idx="218">
                  <c:v>0.23593566188489304</c:v>
                </c:pt>
                <c:pt idx="219">
                  <c:v>0.28908411538548223</c:v>
                </c:pt>
                <c:pt idx="220">
                  <c:v>0.34813795260835928</c:v>
                </c:pt>
                <c:pt idx="221">
                  <c:v>0.13662419439598317</c:v>
                </c:pt>
                <c:pt idx="222">
                  <c:v>0.15853100890336841</c:v>
                </c:pt>
                <c:pt idx="223">
                  <c:v>0.18669691327000662</c:v>
                </c:pt>
                <c:pt idx="224">
                  <c:v>0.1992150929885125</c:v>
                </c:pt>
                <c:pt idx="225">
                  <c:v>0.21799236256627133</c:v>
                </c:pt>
                <c:pt idx="226">
                  <c:v>0.23051054228477727</c:v>
                </c:pt>
                <c:pt idx="227">
                  <c:v>0.2611800825951166</c:v>
                </c:pt>
                <c:pt idx="228">
                  <c:v>0.29184962290545596</c:v>
                </c:pt>
                <c:pt idx="229">
                  <c:v>0.12789012791537674</c:v>
                </c:pt>
                <c:pt idx="230">
                  <c:v>0.13452667868681525</c:v>
                </c:pt>
                <c:pt idx="231">
                  <c:v>0.15111805561541164</c:v>
                </c:pt>
                <c:pt idx="232">
                  <c:v>0.16936857023686763</c:v>
                </c:pt>
                <c:pt idx="233">
                  <c:v>0.18595994716546396</c:v>
                </c:pt>
                <c:pt idx="234">
                  <c:v>0.20089218640120066</c:v>
                </c:pt>
                <c:pt idx="235">
                  <c:v>0.21914270102265665</c:v>
                </c:pt>
                <c:pt idx="236">
                  <c:v>3.7198868887620064E-2</c:v>
                </c:pt>
                <c:pt idx="237">
                  <c:v>5.6084396803587552E-2</c:v>
                </c:pt>
                <c:pt idx="238">
                  <c:v>8.0101861653241874E-2</c:v>
                </c:pt>
                <c:pt idx="239">
                  <c:v>9.3855452635522557E-2</c:v>
                </c:pt>
                <c:pt idx="240">
                  <c:v>0.10966181839127793</c:v>
                </c:pt>
                <c:pt idx="241">
                  <c:v>0.13429511567297467</c:v>
                </c:pt>
                <c:pt idx="242">
                  <c:v>0.14681704179117055</c:v>
                </c:pt>
                <c:pt idx="243">
                  <c:v>0.1650867372750956</c:v>
                </c:pt>
                <c:pt idx="244">
                  <c:v>0.24981880799060688</c:v>
                </c:pt>
                <c:pt idx="245">
                  <c:v>0.27432948922960282</c:v>
                </c:pt>
                <c:pt idx="246">
                  <c:v>0.25088674352315238</c:v>
                </c:pt>
                <c:pt idx="247">
                  <c:v>0.27432948922960282</c:v>
                </c:pt>
                <c:pt idx="248">
                  <c:v>0.25088674352315238</c:v>
                </c:pt>
                <c:pt idx="249">
                  <c:v>0.27432948922960282</c:v>
                </c:pt>
                <c:pt idx="250">
                  <c:v>0.25195467905569791</c:v>
                </c:pt>
                <c:pt idx="251">
                  <c:v>0.27432948922960282</c:v>
                </c:pt>
                <c:pt idx="252">
                  <c:v>0.23181080280759936</c:v>
                </c:pt>
                <c:pt idx="253">
                  <c:v>0.30460035377229411</c:v>
                </c:pt>
                <c:pt idx="254">
                  <c:v>0.23377842684639971</c:v>
                </c:pt>
                <c:pt idx="255">
                  <c:v>0.30460035377229411</c:v>
                </c:pt>
                <c:pt idx="256">
                  <c:v>0.1674919062651099</c:v>
                </c:pt>
                <c:pt idx="257">
                  <c:v>0.251925495788488</c:v>
                </c:pt>
                <c:pt idx="258">
                  <c:v>0.27350646592479266</c:v>
                </c:pt>
                <c:pt idx="259">
                  <c:v>0.16856068587932993</c:v>
                </c:pt>
                <c:pt idx="260">
                  <c:v>0.25299427540270802</c:v>
                </c:pt>
                <c:pt idx="261">
                  <c:v>0.10386548783744019</c:v>
                </c:pt>
                <c:pt idx="262">
                  <c:v>0.15521803357180655</c:v>
                </c:pt>
                <c:pt idx="263">
                  <c:v>0.20722894527712638</c:v>
                </c:pt>
                <c:pt idx="264">
                  <c:v>0.24621851901716416</c:v>
                </c:pt>
                <c:pt idx="265">
                  <c:v>0.1032071218664868</c:v>
                </c:pt>
                <c:pt idx="266">
                  <c:v>0.15390130162989973</c:v>
                </c:pt>
                <c:pt idx="267">
                  <c:v>0.20525384736426619</c:v>
                </c:pt>
                <c:pt idx="268">
                  <c:v>0.24787609391279472</c:v>
                </c:pt>
                <c:pt idx="269">
                  <c:v>0.26952078089345077</c:v>
                </c:pt>
                <c:pt idx="270">
                  <c:v>0.24787609391279472</c:v>
                </c:pt>
                <c:pt idx="271">
                  <c:v>0.26952078089345077</c:v>
                </c:pt>
                <c:pt idx="272">
                  <c:v>0.1250242104051538</c:v>
                </c:pt>
                <c:pt idx="273">
                  <c:v>0.15144280284122463</c:v>
                </c:pt>
                <c:pt idx="274">
                  <c:v>0.17720093046639374</c:v>
                </c:pt>
                <c:pt idx="275">
                  <c:v>0.20361952290246452</c:v>
                </c:pt>
                <c:pt idx="276">
                  <c:v>0.22871718571673189</c:v>
                </c:pt>
                <c:pt idx="277">
                  <c:v>0.24443253966189971</c:v>
                </c:pt>
                <c:pt idx="278">
                  <c:v>0.17720093046639374</c:v>
                </c:pt>
                <c:pt idx="279">
                  <c:v>0.20229859328066102</c:v>
                </c:pt>
                <c:pt idx="280">
                  <c:v>0.22871718571673189</c:v>
                </c:pt>
                <c:pt idx="281">
                  <c:v>0.24443253966189971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E4-4761-AD43-01BED76A9FC4}"/>
            </c:ext>
          </c:extLst>
        </c:ser>
        <c:ser>
          <c:idx val="3"/>
          <c:order val="3"/>
          <c:tx>
            <c:strRef>
              <c:f>'Dados gerais'!$AJ$2</c:f>
              <c:strCache>
                <c:ptCount val="1"/>
                <c:pt idx="0">
                  <c:v>Eurocode 2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gerais'!$AJ$28:$AJ$309</c:f>
              <c:numCache>
                <c:formatCode>0.00</c:formatCode>
                <c:ptCount val="282"/>
                <c:pt idx="0">
                  <c:v>0.1485932826557089</c:v>
                </c:pt>
                <c:pt idx="1">
                  <c:v>0.17429163285246455</c:v>
                </c:pt>
                <c:pt idx="2">
                  <c:v>0.21134245136241825</c:v>
                </c:pt>
                <c:pt idx="3">
                  <c:v>0.24878327848826612</c:v>
                </c:pt>
                <c:pt idx="4">
                  <c:v>0.27296381267370967</c:v>
                </c:pt>
                <c:pt idx="5">
                  <c:v>0.32483495858764466</c:v>
                </c:pt>
                <c:pt idx="6">
                  <c:v>0.32873504474658727</c:v>
                </c:pt>
                <c:pt idx="7">
                  <c:v>0.35993573401812712</c:v>
                </c:pt>
                <c:pt idx="8">
                  <c:v>0.43754444256407587</c:v>
                </c:pt>
                <c:pt idx="9">
                  <c:v>0.43754444256407587</c:v>
                </c:pt>
                <c:pt idx="10">
                  <c:v>0.16758074432571601</c:v>
                </c:pt>
                <c:pt idx="11">
                  <c:v>0.19604078582316281</c:v>
                </c:pt>
                <c:pt idx="12">
                  <c:v>0.20767833751244857</c:v>
                </c:pt>
                <c:pt idx="13">
                  <c:v>0.22707425699459161</c:v>
                </c:pt>
                <c:pt idx="14">
                  <c:v>0.25422854426959185</c:v>
                </c:pt>
                <c:pt idx="15">
                  <c:v>0.31241630271602105</c:v>
                </c:pt>
                <c:pt idx="16">
                  <c:v>4.5166877574692683E-2</c:v>
                </c:pt>
                <c:pt idx="17">
                  <c:v>7.2037760612011156E-2</c:v>
                </c:pt>
                <c:pt idx="18">
                  <c:v>9.0511492700167645E-2</c:v>
                </c:pt>
                <c:pt idx="19">
                  <c:v>0.12107712215511736</c:v>
                </c:pt>
                <c:pt idx="20">
                  <c:v>0.16574996520465934</c:v>
                </c:pt>
                <c:pt idx="21">
                  <c:v>0.23331596795328791</c:v>
                </c:pt>
                <c:pt idx="22">
                  <c:v>0.3321075898906467</c:v>
                </c:pt>
                <c:pt idx="23">
                  <c:v>0.47931073062285534</c:v>
                </c:pt>
                <c:pt idx="24">
                  <c:v>0.47931073062285534</c:v>
                </c:pt>
                <c:pt idx="25">
                  <c:v>0.47931073062285534</c:v>
                </c:pt>
                <c:pt idx="26">
                  <c:v>4.7759122106798169E-2</c:v>
                </c:pt>
                <c:pt idx="27">
                  <c:v>6.1685729194447148E-2</c:v>
                </c:pt>
                <c:pt idx="28">
                  <c:v>0.14128426603911076</c:v>
                </c:pt>
                <c:pt idx="29">
                  <c:v>0.22088280288377435</c:v>
                </c:pt>
                <c:pt idx="30">
                  <c:v>0.30048133972843794</c:v>
                </c:pt>
                <c:pt idx="31">
                  <c:v>0.36018024236193569</c:v>
                </c:pt>
                <c:pt idx="32">
                  <c:v>0.42925962034905629</c:v>
                </c:pt>
                <c:pt idx="33">
                  <c:v>0.16665426282377707</c:v>
                </c:pt>
                <c:pt idx="34">
                  <c:v>0.1999851153885325</c:v>
                </c:pt>
                <c:pt idx="35">
                  <c:v>0.23331596795328791</c:v>
                </c:pt>
                <c:pt idx="36">
                  <c:v>0.3321075898906467</c:v>
                </c:pt>
                <c:pt idx="37">
                  <c:v>0.47931073062285534</c:v>
                </c:pt>
                <c:pt idx="38">
                  <c:v>0.16665426282377707</c:v>
                </c:pt>
                <c:pt idx="39">
                  <c:v>0.23331596795328791</c:v>
                </c:pt>
                <c:pt idx="40">
                  <c:v>0.3321075898906467</c:v>
                </c:pt>
                <c:pt idx="41">
                  <c:v>0.47931073062285534</c:v>
                </c:pt>
                <c:pt idx="42">
                  <c:v>0.35190889482744719</c:v>
                </c:pt>
                <c:pt idx="43">
                  <c:v>0.42229067379293672</c:v>
                </c:pt>
                <c:pt idx="44">
                  <c:v>0.28152711586195778</c:v>
                </c:pt>
                <c:pt idx="45">
                  <c:v>0.35190889482744719</c:v>
                </c:pt>
                <c:pt idx="46">
                  <c:v>0.42229067379293672</c:v>
                </c:pt>
                <c:pt idx="47">
                  <c:v>0.28152711586195778</c:v>
                </c:pt>
                <c:pt idx="48">
                  <c:v>0.35190889482744719</c:v>
                </c:pt>
                <c:pt idx="49">
                  <c:v>0.42229067379293672</c:v>
                </c:pt>
                <c:pt idx="50">
                  <c:v>0.16118390025027668</c:v>
                </c:pt>
                <c:pt idx="51">
                  <c:v>0.26068207130610616</c:v>
                </c:pt>
                <c:pt idx="52">
                  <c:v>0.36018024236193569</c:v>
                </c:pt>
                <c:pt idx="53">
                  <c:v>0.42925962034905629</c:v>
                </c:pt>
                <c:pt idx="54">
                  <c:v>0.16118390025027668</c:v>
                </c:pt>
                <c:pt idx="55">
                  <c:v>0.26068207130610616</c:v>
                </c:pt>
                <c:pt idx="56">
                  <c:v>0.36018024236193569</c:v>
                </c:pt>
                <c:pt idx="57">
                  <c:v>0.42925962034905629</c:v>
                </c:pt>
                <c:pt idx="58">
                  <c:v>7.9181431687268183E-2</c:v>
                </c:pt>
                <c:pt idx="59">
                  <c:v>0.14530367170291708</c:v>
                </c:pt>
                <c:pt idx="60">
                  <c:v>0.36525209305643985</c:v>
                </c:pt>
                <c:pt idx="61">
                  <c:v>7.9181431687268183E-2</c:v>
                </c:pt>
                <c:pt idx="62">
                  <c:v>0.14530367170291708</c:v>
                </c:pt>
                <c:pt idx="63">
                  <c:v>0.36525209305643985</c:v>
                </c:pt>
                <c:pt idx="64">
                  <c:v>7.9181431687268183E-2</c:v>
                </c:pt>
                <c:pt idx="65">
                  <c:v>0.14530367170291708</c:v>
                </c:pt>
                <c:pt idx="66">
                  <c:v>0.36525209305643985</c:v>
                </c:pt>
                <c:pt idx="67">
                  <c:v>0.13033571952634693</c:v>
                </c:pt>
                <c:pt idx="68">
                  <c:v>0.15938591944907343</c:v>
                </c:pt>
                <c:pt idx="69">
                  <c:v>0.12444951194564861</c:v>
                </c:pt>
                <c:pt idx="70">
                  <c:v>0.14636856468656209</c:v>
                </c:pt>
                <c:pt idx="71">
                  <c:v>0.17747947825431035</c:v>
                </c:pt>
                <c:pt idx="72">
                  <c:v>0.10731930169564004</c:v>
                </c:pt>
                <c:pt idx="73">
                  <c:v>0.14536255954536384</c:v>
                </c:pt>
                <c:pt idx="74">
                  <c:v>0.16208568924502412</c:v>
                </c:pt>
                <c:pt idx="75">
                  <c:v>0.18526346655136439</c:v>
                </c:pt>
                <c:pt idx="76">
                  <c:v>0.20844124385770482</c:v>
                </c:pt>
                <c:pt idx="77">
                  <c:v>0.23157933318920554</c:v>
                </c:pt>
                <c:pt idx="78">
                  <c:v>0.25471742252070634</c:v>
                </c:pt>
                <c:pt idx="79">
                  <c:v>0.27830327743026689</c:v>
                </c:pt>
                <c:pt idx="80">
                  <c:v>0.31693290627416754</c:v>
                </c:pt>
                <c:pt idx="81">
                  <c:v>0.35543024186860289</c:v>
                </c:pt>
                <c:pt idx="82">
                  <c:v>0.18526346655136439</c:v>
                </c:pt>
                <c:pt idx="83">
                  <c:v>0.20844124385770482</c:v>
                </c:pt>
                <c:pt idx="84">
                  <c:v>0.23157933318920554</c:v>
                </c:pt>
                <c:pt idx="85">
                  <c:v>0.25471742252070634</c:v>
                </c:pt>
                <c:pt idx="86">
                  <c:v>0.27830327743026689</c:v>
                </c:pt>
                <c:pt idx="87">
                  <c:v>0.31693290627416754</c:v>
                </c:pt>
                <c:pt idx="88">
                  <c:v>0.35543024186860289</c:v>
                </c:pt>
                <c:pt idx="89">
                  <c:v>0.14310195367254047</c:v>
                </c:pt>
                <c:pt idx="90">
                  <c:v>0.16100502585436646</c:v>
                </c:pt>
                <c:pt idx="91">
                  <c:v>0.1788774420906756</c:v>
                </c:pt>
                <c:pt idx="92">
                  <c:v>0.19760779435522915</c:v>
                </c:pt>
                <c:pt idx="93">
                  <c:v>0.22744624799160579</c:v>
                </c:pt>
                <c:pt idx="94">
                  <c:v>0.25728470162798234</c:v>
                </c:pt>
                <c:pt idx="95">
                  <c:v>0.28702096877930294</c:v>
                </c:pt>
                <c:pt idx="96">
                  <c:v>0.12519888149071451</c:v>
                </c:pt>
                <c:pt idx="97">
                  <c:v>0.14310195367254047</c:v>
                </c:pt>
                <c:pt idx="98">
                  <c:v>0.16100502585436646</c:v>
                </c:pt>
                <c:pt idx="99">
                  <c:v>0.1788774420906756</c:v>
                </c:pt>
                <c:pt idx="100">
                  <c:v>0.19760779435522915</c:v>
                </c:pt>
                <c:pt idx="101">
                  <c:v>0.22744624799160579</c:v>
                </c:pt>
                <c:pt idx="102">
                  <c:v>0.25728470162798234</c:v>
                </c:pt>
                <c:pt idx="103">
                  <c:v>0.28702096877930294</c:v>
                </c:pt>
                <c:pt idx="104">
                  <c:v>0.13497830291539226</c:v>
                </c:pt>
                <c:pt idx="105">
                  <c:v>0.15089875308436673</c:v>
                </c:pt>
                <c:pt idx="106">
                  <c:v>0.16687391270409369</c:v>
                </c:pt>
                <c:pt idx="107">
                  <c:v>0.18284907232382061</c:v>
                </c:pt>
                <c:pt idx="108">
                  <c:v>0.19882423194354767</c:v>
                </c:pt>
                <c:pt idx="109">
                  <c:v>0.15089875308436673</c:v>
                </c:pt>
                <c:pt idx="110">
                  <c:v>0.16687391270409369</c:v>
                </c:pt>
                <c:pt idx="111">
                  <c:v>0.18284907232382061</c:v>
                </c:pt>
                <c:pt idx="112">
                  <c:v>0.19882423194354767</c:v>
                </c:pt>
                <c:pt idx="113">
                  <c:v>0.13142035655526946</c:v>
                </c:pt>
                <c:pt idx="114">
                  <c:v>0.18066781350852884</c:v>
                </c:pt>
                <c:pt idx="115">
                  <c:v>0.22991527046178831</c:v>
                </c:pt>
                <c:pt idx="116">
                  <c:v>0.18066781350852884</c:v>
                </c:pt>
                <c:pt idx="117">
                  <c:v>0.22991527046178831</c:v>
                </c:pt>
                <c:pt idx="118">
                  <c:v>0.11867255549449668</c:v>
                </c:pt>
                <c:pt idx="119">
                  <c:v>0.14409201352575365</c:v>
                </c:pt>
                <c:pt idx="120">
                  <c:v>0.17356283583266158</c:v>
                </c:pt>
                <c:pt idx="121">
                  <c:v>0.11867255549449668</c:v>
                </c:pt>
                <c:pt idx="122">
                  <c:v>0.14409201352575365</c:v>
                </c:pt>
                <c:pt idx="123">
                  <c:v>0.17356283583266158</c:v>
                </c:pt>
                <c:pt idx="124">
                  <c:v>0.11177549980360031</c:v>
                </c:pt>
                <c:pt idx="125">
                  <c:v>0.1390515575791223</c:v>
                </c:pt>
                <c:pt idx="126">
                  <c:v>0.16632761535464433</c:v>
                </c:pt>
                <c:pt idx="127">
                  <c:v>0.11177549980360031</c:v>
                </c:pt>
                <c:pt idx="128">
                  <c:v>0.1390515575791223</c:v>
                </c:pt>
                <c:pt idx="129">
                  <c:v>0.16632761535464433</c:v>
                </c:pt>
                <c:pt idx="130">
                  <c:v>0.20935626192980678</c:v>
                </c:pt>
                <c:pt idx="131">
                  <c:v>0.22467501280271945</c:v>
                </c:pt>
                <c:pt idx="132">
                  <c:v>0.24203626379202053</c:v>
                </c:pt>
                <c:pt idx="133">
                  <c:v>0.25735501466493321</c:v>
                </c:pt>
                <c:pt idx="134">
                  <c:v>0.27471626565423424</c:v>
                </c:pt>
                <c:pt idx="135">
                  <c:v>0.29003501652714692</c:v>
                </c:pt>
                <c:pt idx="136">
                  <c:v>0.31057003114677012</c:v>
                </c:pt>
                <c:pt idx="137">
                  <c:v>0.19199501094050575</c:v>
                </c:pt>
                <c:pt idx="138">
                  <c:v>0.20935626192980678</c:v>
                </c:pt>
                <c:pt idx="139">
                  <c:v>0.22569626286091363</c:v>
                </c:pt>
                <c:pt idx="140">
                  <c:v>0.24050438870472929</c:v>
                </c:pt>
                <c:pt idx="141">
                  <c:v>0.25735501466493321</c:v>
                </c:pt>
                <c:pt idx="142">
                  <c:v>0.27420564062513714</c:v>
                </c:pt>
                <c:pt idx="143">
                  <c:v>0.28850314143985567</c:v>
                </c:pt>
                <c:pt idx="144">
                  <c:v>0.30229001722547705</c:v>
                </c:pt>
                <c:pt idx="145">
                  <c:v>0.14421239382681603</c:v>
                </c:pt>
                <c:pt idx="146">
                  <c:v>0.17517414622172003</c:v>
                </c:pt>
                <c:pt idx="147">
                  <c:v>0.20514247340609224</c:v>
                </c:pt>
                <c:pt idx="148">
                  <c:v>0.23494522972204257</c:v>
                </c:pt>
                <c:pt idx="149">
                  <c:v>0.26441684430114909</c:v>
                </c:pt>
                <c:pt idx="150">
                  <c:v>0.29471631322236513</c:v>
                </c:pt>
                <c:pt idx="151">
                  <c:v>0.11540306272139735</c:v>
                </c:pt>
                <c:pt idx="152">
                  <c:v>0.14470910643208187</c:v>
                </c:pt>
                <c:pt idx="153">
                  <c:v>0.17467743361645416</c:v>
                </c:pt>
                <c:pt idx="154">
                  <c:v>0.20431461906398254</c:v>
                </c:pt>
                <c:pt idx="155">
                  <c:v>0.23511080059046452</c:v>
                </c:pt>
                <c:pt idx="156">
                  <c:v>0.26441684430114909</c:v>
                </c:pt>
                <c:pt idx="157">
                  <c:v>0.27865593898543639</c:v>
                </c:pt>
                <c:pt idx="158">
                  <c:v>0.29056052556803114</c:v>
                </c:pt>
                <c:pt idx="159">
                  <c:v>0.30926613880202458</c:v>
                </c:pt>
                <c:pt idx="160">
                  <c:v>0.31300726144882329</c:v>
                </c:pt>
                <c:pt idx="161">
                  <c:v>0.32880311262419548</c:v>
                </c:pt>
                <c:pt idx="162">
                  <c:v>0.33961080027050283</c:v>
                </c:pt>
                <c:pt idx="163">
                  <c:v>0.35166552879907637</c:v>
                </c:pt>
                <c:pt idx="164">
                  <c:v>0.36247321644538366</c:v>
                </c:pt>
                <c:pt idx="165">
                  <c:v>0.37535930556213459</c:v>
                </c:pt>
                <c:pt idx="166">
                  <c:v>0.28931348468576495</c:v>
                </c:pt>
                <c:pt idx="167">
                  <c:v>0.30178389350842721</c:v>
                </c:pt>
                <c:pt idx="168">
                  <c:v>0.31342294174291202</c:v>
                </c:pt>
                <c:pt idx="169">
                  <c:v>0.32547767027148555</c:v>
                </c:pt>
                <c:pt idx="170">
                  <c:v>0.33836375938823665</c:v>
                </c:pt>
                <c:pt idx="171">
                  <c:v>0.35166552879907637</c:v>
                </c:pt>
                <c:pt idx="172">
                  <c:v>0.36372025732764984</c:v>
                </c:pt>
                <c:pt idx="173">
                  <c:v>0.37452794497395714</c:v>
                </c:pt>
                <c:pt idx="174">
                  <c:v>0.30303093439069345</c:v>
                </c:pt>
                <c:pt idx="175">
                  <c:v>0.31508566291926698</c:v>
                </c:pt>
                <c:pt idx="176">
                  <c:v>0.33212855497690541</c:v>
                </c:pt>
                <c:pt idx="177">
                  <c:v>0.34210488203503525</c:v>
                </c:pt>
                <c:pt idx="178">
                  <c:v>0.35166552879907637</c:v>
                </c:pt>
                <c:pt idx="179">
                  <c:v>0.36205753615129493</c:v>
                </c:pt>
                <c:pt idx="180">
                  <c:v>0.37577498585622349</c:v>
                </c:pt>
                <c:pt idx="181">
                  <c:v>0.17479495534935269</c:v>
                </c:pt>
                <c:pt idx="182">
                  <c:v>0.21123907383205465</c:v>
                </c:pt>
                <c:pt idx="183">
                  <c:v>0.24755965293006962</c:v>
                </c:pt>
                <c:pt idx="184">
                  <c:v>0.17479495534935269</c:v>
                </c:pt>
                <c:pt idx="185">
                  <c:v>0.21074491629330622</c:v>
                </c:pt>
                <c:pt idx="186">
                  <c:v>0.24694195600663396</c:v>
                </c:pt>
                <c:pt idx="187">
                  <c:v>0.10116548207582587</c:v>
                </c:pt>
                <c:pt idx="188">
                  <c:v>0.13872145502071204</c:v>
                </c:pt>
                <c:pt idx="189">
                  <c:v>0.17417725842591705</c:v>
                </c:pt>
                <c:pt idx="190">
                  <c:v>0.20975660121580914</c:v>
                </c:pt>
                <c:pt idx="191">
                  <c:v>0.26003713078346924</c:v>
                </c:pt>
                <c:pt idx="192">
                  <c:v>0.14372200877992905</c:v>
                </c:pt>
                <c:pt idx="193">
                  <c:v>0.19235738777105407</c:v>
                </c:pt>
                <c:pt idx="194">
                  <c:v>0.25282295780791741</c:v>
                </c:pt>
                <c:pt idx="195">
                  <c:v>0.13790150792584993</c:v>
                </c:pt>
                <c:pt idx="196">
                  <c:v>0.18786348428743904</c:v>
                </c:pt>
                <c:pt idx="197">
                  <c:v>0.23782546064902813</c:v>
                </c:pt>
                <c:pt idx="198">
                  <c:v>0.13159532895532036</c:v>
                </c:pt>
                <c:pt idx="199">
                  <c:v>0.19135842261103625</c:v>
                </c:pt>
                <c:pt idx="200">
                  <c:v>0.22721627880446577</c:v>
                </c:pt>
                <c:pt idx="201">
                  <c:v>0.25709782563232364</c:v>
                </c:pt>
                <c:pt idx="202">
                  <c:v>0.30490830055689627</c:v>
                </c:pt>
                <c:pt idx="203">
                  <c:v>0.34674246611589749</c:v>
                </c:pt>
                <c:pt idx="204">
                  <c:v>0.14617173010832946</c:v>
                </c:pt>
                <c:pt idx="205">
                  <c:v>0.16963012765962743</c:v>
                </c:pt>
                <c:pt idx="206">
                  <c:v>0.19979092451129646</c:v>
                </c:pt>
                <c:pt idx="207">
                  <c:v>0.21319572311203822</c:v>
                </c:pt>
                <c:pt idx="208">
                  <c:v>0.24335651996370719</c:v>
                </c:pt>
                <c:pt idx="209">
                  <c:v>0.30702931331723049</c:v>
                </c:pt>
                <c:pt idx="210">
                  <c:v>0.11972263952840977</c:v>
                </c:pt>
                <c:pt idx="211">
                  <c:v>0.13971945690710444</c:v>
                </c:pt>
                <c:pt idx="212">
                  <c:v>0.15771659254792961</c:v>
                </c:pt>
                <c:pt idx="213">
                  <c:v>0.1797130916644937</c:v>
                </c:pt>
                <c:pt idx="214">
                  <c:v>0.20170959078105782</c:v>
                </c:pt>
                <c:pt idx="215">
                  <c:v>0.22170640815975243</c:v>
                </c:pt>
                <c:pt idx="216">
                  <c:v>0.24170322553844709</c:v>
                </c:pt>
                <c:pt idx="217">
                  <c:v>0.2597003611792722</c:v>
                </c:pt>
                <c:pt idx="218">
                  <c:v>0.23898546695454101</c:v>
                </c:pt>
                <c:pt idx="219">
                  <c:v>0.2928209400503668</c:v>
                </c:pt>
                <c:pt idx="220">
                  <c:v>0.35263813237906227</c:v>
                </c:pt>
                <c:pt idx="221">
                  <c:v>0.14637788590728448</c:v>
                </c:pt>
                <c:pt idx="222">
                  <c:v>0.16984864237710898</c:v>
                </c:pt>
                <c:pt idx="223">
                  <c:v>0.20002532926688341</c:v>
                </c:pt>
                <c:pt idx="224">
                  <c:v>0.21343719010678314</c:v>
                </c:pt>
                <c:pt idx="225">
                  <c:v>0.23355498136663277</c:v>
                </c:pt>
                <c:pt idx="226">
                  <c:v>0.24696684220653253</c:v>
                </c:pt>
                <c:pt idx="227">
                  <c:v>0.27982590126428686</c:v>
                </c:pt>
                <c:pt idx="228">
                  <c:v>0.31268496032204124</c:v>
                </c:pt>
                <c:pt idx="229">
                  <c:v>0.15399797461207157</c:v>
                </c:pt>
                <c:pt idx="230">
                  <c:v>0.16198932933092808</c:v>
                </c:pt>
                <c:pt idx="231">
                  <c:v>0.18196771612806956</c:v>
                </c:pt>
                <c:pt idx="232">
                  <c:v>0.20394394160492516</c:v>
                </c:pt>
                <c:pt idx="233">
                  <c:v>0.22392232840206655</c:v>
                </c:pt>
                <c:pt idx="234">
                  <c:v>0.24190287651949383</c:v>
                </c:pt>
                <c:pt idx="235">
                  <c:v>0.2638791019963494</c:v>
                </c:pt>
                <c:pt idx="236">
                  <c:v>4.8312819683654099E-2</c:v>
                </c:pt>
                <c:pt idx="237">
                  <c:v>7.28407994883951E-2</c:v>
                </c:pt>
                <c:pt idx="238">
                  <c:v>0.10403399119659834</c:v>
                </c:pt>
                <c:pt idx="239">
                  <c:v>0.12189675909787713</c:v>
                </c:pt>
                <c:pt idx="240">
                  <c:v>0.14242561176054078</c:v>
                </c:pt>
                <c:pt idx="241">
                  <c:v>0.17441862889715948</c:v>
                </c:pt>
                <c:pt idx="242">
                  <c:v>0.19068174594160736</c:v>
                </c:pt>
                <c:pt idx="243">
                  <c:v>0.21440990031793289</c:v>
                </c:pt>
                <c:pt idx="244">
                  <c:v>0.25478881615385329</c:v>
                </c:pt>
                <c:pt idx="245">
                  <c:v>0.27978712395237204</c:v>
                </c:pt>
                <c:pt idx="246">
                  <c:v>0.25587799767807279</c:v>
                </c:pt>
                <c:pt idx="247">
                  <c:v>0.27978712395237204</c:v>
                </c:pt>
                <c:pt idx="248">
                  <c:v>0.25587799767807279</c:v>
                </c:pt>
                <c:pt idx="249">
                  <c:v>0.27978712395237204</c:v>
                </c:pt>
                <c:pt idx="250">
                  <c:v>0.25696717920229234</c:v>
                </c:pt>
                <c:pt idx="251">
                  <c:v>0.27978712395237204</c:v>
                </c:pt>
                <c:pt idx="252">
                  <c:v>0.22003405864266853</c:v>
                </c:pt>
                <c:pt idx="253">
                  <c:v>0.28912566322518846</c:v>
                </c:pt>
                <c:pt idx="254">
                  <c:v>0.22190172096856739</c:v>
                </c:pt>
                <c:pt idx="255">
                  <c:v>0.28912566322518846</c:v>
                </c:pt>
                <c:pt idx="256">
                  <c:v>0.17071425757771175</c:v>
                </c:pt>
                <c:pt idx="257">
                  <c:v>0.25677225208933863</c:v>
                </c:pt>
                <c:pt idx="258">
                  <c:v>0.27876841522807938</c:v>
                </c:pt>
                <c:pt idx="259">
                  <c:v>0.17180359928039066</c:v>
                </c:pt>
                <c:pt idx="260">
                  <c:v>0.25786159379201756</c:v>
                </c:pt>
                <c:pt idx="261">
                  <c:v>0.11245220647895145</c:v>
                </c:pt>
                <c:pt idx="262">
                  <c:v>0.16805014566331994</c:v>
                </c:pt>
                <c:pt idx="263">
                  <c:v>0.22436087893979573</c:v>
                </c:pt>
                <c:pt idx="264">
                  <c:v>0.26657378033783419</c:v>
                </c:pt>
                <c:pt idx="265">
                  <c:v>0.11173941238684416</c:v>
                </c:pt>
                <c:pt idx="266">
                  <c:v>0.16662455747910535</c:v>
                </c:pt>
                <c:pt idx="267">
                  <c:v>0.22222249666347391</c:v>
                </c:pt>
                <c:pt idx="268">
                  <c:v>0.25197930642052585</c:v>
                </c:pt>
                <c:pt idx="269">
                  <c:v>0.27398228834178312</c:v>
                </c:pt>
                <c:pt idx="270">
                  <c:v>0.25197930642052585</c:v>
                </c:pt>
                <c:pt idx="271">
                  <c:v>0.27398228834178312</c:v>
                </c:pt>
                <c:pt idx="272">
                  <c:v>0.13495075566019682</c:v>
                </c:pt>
                <c:pt idx="273">
                  <c:v>0.16346690466184294</c:v>
                </c:pt>
                <c:pt idx="274">
                  <c:v>0.19127014993844793</c:v>
                </c:pt>
                <c:pt idx="275">
                  <c:v>0.21978629894009402</c:v>
                </c:pt>
                <c:pt idx="276">
                  <c:v>0.24687664049165789</c:v>
                </c:pt>
                <c:pt idx="277">
                  <c:v>0.26383974614531641</c:v>
                </c:pt>
                <c:pt idx="278">
                  <c:v>0.19127014993844793</c:v>
                </c:pt>
                <c:pt idx="279">
                  <c:v>0.21836049149001174</c:v>
                </c:pt>
                <c:pt idx="280">
                  <c:v>0.24687664049165789</c:v>
                </c:pt>
                <c:pt idx="281">
                  <c:v>0.26383974614531641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E4-4761-AD43-01BED76A9FC4}"/>
            </c:ext>
          </c:extLst>
        </c:ser>
        <c:ser>
          <c:idx val="4"/>
          <c:order val="4"/>
          <c:tx>
            <c:strRef>
              <c:f>'Dados gerais'!$AM$2</c:f>
              <c:strCache>
                <c:ptCount val="1"/>
                <c:pt idx="0">
                  <c:v>NBR 6118 - wk1 - fissuração estabilizada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gerais'!$AM$28:$AM$309</c:f>
              <c:numCache>
                <c:formatCode>0.00</c:formatCode>
                <c:ptCount val="282"/>
                <c:pt idx="0">
                  <c:v>0.18440399789461248</c:v>
                </c:pt>
                <c:pt idx="1">
                  <c:v>0.21024959759952672</c:v>
                </c:pt>
                <c:pt idx="2">
                  <c:v>0.23783759728454748</c:v>
                </c:pt>
                <c:pt idx="3">
                  <c:v>0.26571599696625259</c:v>
                </c:pt>
                <c:pt idx="4">
                  <c:v>0.28372079676068723</c:v>
                </c:pt>
                <c:pt idx="5">
                  <c:v>0.32234399631971627</c:v>
                </c:pt>
                <c:pt idx="6">
                  <c:v>0.32524799628656048</c:v>
                </c:pt>
                <c:pt idx="7">
                  <c:v>0.34847999602131496</c:v>
                </c:pt>
                <c:pt idx="8">
                  <c:v>0.39471097380685027</c:v>
                </c:pt>
                <c:pt idx="9">
                  <c:v>0.39471097380685027</c:v>
                </c:pt>
                <c:pt idx="10">
                  <c:v>0.20908799761278896</c:v>
                </c:pt>
                <c:pt idx="11">
                  <c:v>0.23231999734754327</c:v>
                </c:pt>
                <c:pt idx="12">
                  <c:v>0.24103199724807614</c:v>
                </c:pt>
                <c:pt idx="13">
                  <c:v>0.25555199708229764</c:v>
                </c:pt>
                <c:pt idx="14">
                  <c:v>0.27587999685020764</c:v>
                </c:pt>
                <c:pt idx="15">
                  <c:v>0.31943999635287207</c:v>
                </c:pt>
                <c:pt idx="16">
                  <c:v>4.8418033582336178E-2</c:v>
                </c:pt>
                <c:pt idx="17">
                  <c:v>6.9700685706440002E-2</c:v>
                </c:pt>
                <c:pt idx="18">
                  <c:v>8.4332509041761372E-2</c:v>
                </c:pt>
                <c:pt idx="19">
                  <c:v>0.10854152583292943</c:v>
                </c:pt>
                <c:pt idx="20">
                  <c:v>0.14392393498925204</c:v>
                </c:pt>
                <c:pt idx="21">
                  <c:v>0.27932606045708902</c:v>
                </c:pt>
                <c:pt idx="22">
                  <c:v>0.35913350630197144</c:v>
                </c:pt>
                <c:pt idx="23">
                  <c:v>0.45193571713743219</c:v>
                </c:pt>
                <c:pt idx="24">
                  <c:v>0.45193571713743219</c:v>
                </c:pt>
                <c:pt idx="25">
                  <c:v>0.45193571713743219</c:v>
                </c:pt>
                <c:pt idx="26">
                  <c:v>8.3899400744937097E-2</c:v>
                </c:pt>
                <c:pt idx="27">
                  <c:v>0.10487425093117136</c:v>
                </c:pt>
                <c:pt idx="28">
                  <c:v>0.18877365167610849</c:v>
                </c:pt>
                <c:pt idx="29">
                  <c:v>0.27267305242104556</c:v>
                </c:pt>
                <c:pt idx="30">
                  <c:v>0.35657245316598268</c:v>
                </c:pt>
                <c:pt idx="31">
                  <c:v>0.41949700372468546</c:v>
                </c:pt>
                <c:pt idx="32">
                  <c:v>0.46969896597778604</c:v>
                </c:pt>
                <c:pt idx="33">
                  <c:v>0.19951861461220641</c:v>
                </c:pt>
                <c:pt idx="34">
                  <c:v>0.23942233753464767</c:v>
                </c:pt>
                <c:pt idx="35">
                  <c:v>0.27932606045708902</c:v>
                </c:pt>
                <c:pt idx="36">
                  <c:v>0.35913350630197144</c:v>
                </c:pt>
                <c:pt idx="37">
                  <c:v>0.45193571713743219</c:v>
                </c:pt>
                <c:pt idx="38">
                  <c:v>0.19951861461220641</c:v>
                </c:pt>
                <c:pt idx="39">
                  <c:v>0.27932606045708902</c:v>
                </c:pt>
                <c:pt idx="40">
                  <c:v>0.35913350630197144</c:v>
                </c:pt>
                <c:pt idx="41">
                  <c:v>0.45193571713743219</c:v>
                </c:pt>
                <c:pt idx="42">
                  <c:v>0.42115359778442191</c:v>
                </c:pt>
                <c:pt idx="43">
                  <c:v>0.50538431734130629</c:v>
                </c:pt>
                <c:pt idx="44">
                  <c:v>0.33692287822753753</c:v>
                </c:pt>
                <c:pt idx="45">
                  <c:v>0.42115359778442191</c:v>
                </c:pt>
                <c:pt idx="46">
                  <c:v>0.50538431734130629</c:v>
                </c:pt>
                <c:pt idx="47">
                  <c:v>0.33692287822753753</c:v>
                </c:pt>
                <c:pt idx="48">
                  <c:v>0.42115359778442191</c:v>
                </c:pt>
                <c:pt idx="49">
                  <c:v>0.50538431734130629</c:v>
                </c:pt>
                <c:pt idx="50">
                  <c:v>0.20974850186234273</c:v>
                </c:pt>
                <c:pt idx="51">
                  <c:v>0.31462275279351415</c:v>
                </c:pt>
                <c:pt idx="52">
                  <c:v>0.41949700372468546</c:v>
                </c:pt>
                <c:pt idx="53">
                  <c:v>0.46969896597778604</c:v>
                </c:pt>
                <c:pt idx="54">
                  <c:v>0.20974850186234273</c:v>
                </c:pt>
                <c:pt idx="55">
                  <c:v>0.31462275279351415</c:v>
                </c:pt>
                <c:pt idx="56">
                  <c:v>0.41949700372468546</c:v>
                </c:pt>
                <c:pt idx="57">
                  <c:v>0.46969896597778604</c:v>
                </c:pt>
                <c:pt idx="58">
                  <c:v>0.10855043654205788</c:v>
                </c:pt>
                <c:pt idx="59">
                  <c:v>0.18091739423676312</c:v>
                </c:pt>
                <c:pt idx="60">
                  <c:v>0.36183478847352624</c:v>
                </c:pt>
                <c:pt idx="61">
                  <c:v>0.10855043654205788</c:v>
                </c:pt>
                <c:pt idx="62">
                  <c:v>0.18091739423676312</c:v>
                </c:pt>
                <c:pt idx="63">
                  <c:v>0.36183478847352624</c:v>
                </c:pt>
                <c:pt idx="64">
                  <c:v>0.10855043654205788</c:v>
                </c:pt>
                <c:pt idx="65">
                  <c:v>0.18091739423676312</c:v>
                </c:pt>
                <c:pt idx="66">
                  <c:v>0.36183478847352624</c:v>
                </c:pt>
                <c:pt idx="67">
                  <c:v>0.14133750002718667</c:v>
                </c:pt>
                <c:pt idx="68">
                  <c:v>0.16448760779026034</c:v>
                </c:pt>
                <c:pt idx="69">
                  <c:v>0.14698610892576175</c:v>
                </c:pt>
                <c:pt idx="70">
                  <c:v>0.16858122445513909</c:v>
                </c:pt>
                <c:pt idx="71">
                  <c:v>0.19817501382220473</c:v>
                </c:pt>
                <c:pt idx="72">
                  <c:v>0.14464187891341146</c:v>
                </c:pt>
                <c:pt idx="73">
                  <c:v>0.18969426742742493</c:v>
                </c:pt>
                <c:pt idx="74">
                  <c:v>0.25148969879103655</c:v>
                </c:pt>
                <c:pt idx="75">
                  <c:v>0.28745198676703199</c:v>
                </c:pt>
                <c:pt idx="76">
                  <c:v>0.32341427474302747</c:v>
                </c:pt>
                <c:pt idx="77">
                  <c:v>0.35931498345878993</c:v>
                </c:pt>
                <c:pt idx="78">
                  <c:v>0.39521569217455249</c:v>
                </c:pt>
                <c:pt idx="79">
                  <c:v>0.43117798015054798</c:v>
                </c:pt>
                <c:pt idx="80">
                  <c:v>0.46714026812654336</c:v>
                </c:pt>
                <c:pt idx="81">
                  <c:v>0.50297939758207311</c:v>
                </c:pt>
                <c:pt idx="82">
                  <c:v>0.28745198676703199</c:v>
                </c:pt>
                <c:pt idx="83">
                  <c:v>0.32341427474302747</c:v>
                </c:pt>
                <c:pt idx="84">
                  <c:v>0.35931498345878993</c:v>
                </c:pt>
                <c:pt idx="85">
                  <c:v>0.39521569217455249</c:v>
                </c:pt>
                <c:pt idx="86">
                  <c:v>0.43117798015054798</c:v>
                </c:pt>
                <c:pt idx="87">
                  <c:v>0.46714026812654336</c:v>
                </c:pt>
                <c:pt idx="88">
                  <c:v>0.50297939758207311</c:v>
                </c:pt>
                <c:pt idx="89">
                  <c:v>0.2642822803837333</c:v>
                </c:pt>
                <c:pt idx="90">
                  <c:v>0.29734587330234952</c:v>
                </c:pt>
                <c:pt idx="91">
                  <c:v>0.33035285047966667</c:v>
                </c:pt>
                <c:pt idx="92">
                  <c:v>0.36335982765698382</c:v>
                </c:pt>
                <c:pt idx="93">
                  <c:v>0.39642342057560004</c:v>
                </c:pt>
                <c:pt idx="94">
                  <c:v>0.42948701349421625</c:v>
                </c:pt>
                <c:pt idx="95">
                  <c:v>0.46243737493023435</c:v>
                </c:pt>
                <c:pt idx="96">
                  <c:v>0.23121868746511717</c:v>
                </c:pt>
                <c:pt idx="97">
                  <c:v>0.2642822803837333</c:v>
                </c:pt>
                <c:pt idx="98">
                  <c:v>0.29734587330234952</c:v>
                </c:pt>
                <c:pt idx="99">
                  <c:v>0.33035285047966667</c:v>
                </c:pt>
                <c:pt idx="100">
                  <c:v>0.36335982765698382</c:v>
                </c:pt>
                <c:pt idx="101">
                  <c:v>0.39642342057560004</c:v>
                </c:pt>
                <c:pt idx="102">
                  <c:v>0.42948701349421625</c:v>
                </c:pt>
                <c:pt idx="103">
                  <c:v>0.46243737493023435</c:v>
                </c:pt>
                <c:pt idx="104">
                  <c:v>0.19624775636841521</c:v>
                </c:pt>
                <c:pt idx="105">
                  <c:v>0.21130393804603426</c:v>
                </c:pt>
                <c:pt idx="106">
                  <c:v>0.22641185917959003</c:v>
                </c:pt>
                <c:pt idx="107">
                  <c:v>0.24151978031314592</c:v>
                </c:pt>
                <c:pt idx="108">
                  <c:v>0.25662770144670172</c:v>
                </c:pt>
                <c:pt idx="109">
                  <c:v>0.21130393804603426</c:v>
                </c:pt>
                <c:pt idx="110">
                  <c:v>0.22641185917959003</c:v>
                </c:pt>
                <c:pt idx="111">
                  <c:v>0.24151978031314592</c:v>
                </c:pt>
                <c:pt idx="112">
                  <c:v>0.25662770144670172</c:v>
                </c:pt>
                <c:pt idx="113">
                  <c:v>0.24254206377240639</c:v>
                </c:pt>
                <c:pt idx="114">
                  <c:v>0.33343041743444302</c:v>
                </c:pt>
                <c:pt idx="115">
                  <c:v>0.42431877109647964</c:v>
                </c:pt>
                <c:pt idx="116">
                  <c:v>0.33343041743444302</c:v>
                </c:pt>
                <c:pt idx="117">
                  <c:v>0.42431877109647964</c:v>
                </c:pt>
                <c:pt idx="118">
                  <c:v>0.26293747900386055</c:v>
                </c:pt>
                <c:pt idx="119">
                  <c:v>0.319258236440428</c:v>
                </c:pt>
                <c:pt idx="120">
                  <c:v>0.3755789938769955</c:v>
                </c:pt>
                <c:pt idx="121">
                  <c:v>0.26293747900386055</c:v>
                </c:pt>
                <c:pt idx="122">
                  <c:v>0.319258236440428</c:v>
                </c:pt>
                <c:pt idx="123">
                  <c:v>0.3755789938769955</c:v>
                </c:pt>
                <c:pt idx="124">
                  <c:v>0.23113702289701121</c:v>
                </c:pt>
                <c:pt idx="125">
                  <c:v>0.26579767328859388</c:v>
                </c:pt>
                <c:pt idx="126">
                  <c:v>0.30045832368017661</c:v>
                </c:pt>
                <c:pt idx="127">
                  <c:v>0.23113702289701121</c:v>
                </c:pt>
                <c:pt idx="128">
                  <c:v>0.26579767328859388</c:v>
                </c:pt>
                <c:pt idx="129">
                  <c:v>0.30045832368017661</c:v>
                </c:pt>
                <c:pt idx="130">
                  <c:v>0.23187521693293625</c:v>
                </c:pt>
                <c:pt idx="131">
                  <c:v>0.24884169622071209</c:v>
                </c:pt>
                <c:pt idx="132">
                  <c:v>0.26807037274685808</c:v>
                </c:pt>
                <c:pt idx="133">
                  <c:v>0.28503685203463386</c:v>
                </c:pt>
                <c:pt idx="134">
                  <c:v>0.30426552856077982</c:v>
                </c:pt>
                <c:pt idx="135">
                  <c:v>0.32123200784855555</c:v>
                </c:pt>
                <c:pt idx="136">
                  <c:v>0.34159178299388665</c:v>
                </c:pt>
                <c:pt idx="137">
                  <c:v>0.21264654040679032</c:v>
                </c:pt>
                <c:pt idx="138">
                  <c:v>0.23187521693293625</c:v>
                </c:pt>
                <c:pt idx="139">
                  <c:v>0.24997279483989715</c:v>
                </c:pt>
                <c:pt idx="140">
                  <c:v>0.26637372481808047</c:v>
                </c:pt>
                <c:pt idx="141">
                  <c:v>0.28503685203463386</c:v>
                </c:pt>
                <c:pt idx="142">
                  <c:v>0.30369997925118725</c:v>
                </c:pt>
                <c:pt idx="143">
                  <c:v>0.31953535991977811</c:v>
                </c:pt>
                <c:pt idx="144">
                  <c:v>0.33480519127877628</c:v>
                </c:pt>
                <c:pt idx="145">
                  <c:v>0.17073851136246324</c:v>
                </c:pt>
                <c:pt idx="146">
                  <c:v>0.19952850381041692</c:v>
                </c:pt>
                <c:pt idx="147">
                  <c:v>0.22739475318517421</c:v>
                </c:pt>
                <c:pt idx="148">
                  <c:v>0.25510704538106549</c:v>
                </c:pt>
                <c:pt idx="149">
                  <c:v>0.28251142321922457</c:v>
                </c:pt>
                <c:pt idx="150">
                  <c:v>0.31068558695171394</c:v>
                </c:pt>
                <c:pt idx="151">
                  <c:v>0.14394996223976839</c:v>
                </c:pt>
                <c:pt idx="152">
                  <c:v>0.17120038289906145</c:v>
                </c:pt>
                <c:pt idx="153">
                  <c:v>0.19906663227381871</c:v>
                </c:pt>
                <c:pt idx="154">
                  <c:v>0.22662496729084392</c:v>
                </c:pt>
                <c:pt idx="155">
                  <c:v>0.25526100255993156</c:v>
                </c:pt>
                <c:pt idx="156">
                  <c:v>0.28251142321922457</c:v>
                </c:pt>
                <c:pt idx="157">
                  <c:v>0.295751740601706</c:v>
                </c:pt>
                <c:pt idx="158">
                  <c:v>0.26142925199470496</c:v>
                </c:pt>
                <c:pt idx="159">
                  <c:v>0.27825946135058727</c:v>
                </c:pt>
                <c:pt idx="160">
                  <c:v>0.28162550322176372</c:v>
                </c:pt>
                <c:pt idx="161">
                  <c:v>0.2958376800111755</c:v>
                </c:pt>
                <c:pt idx="162">
                  <c:v>0.30556180097235186</c:v>
                </c:pt>
                <c:pt idx="163">
                  <c:v>0.31640793589058713</c:v>
                </c:pt>
                <c:pt idx="164">
                  <c:v>0.32613205685176361</c:v>
                </c:pt>
                <c:pt idx="165">
                  <c:v>0.33772620107470475</c:v>
                </c:pt>
                <c:pt idx="166">
                  <c:v>0.26030723803764622</c:v>
                </c:pt>
                <c:pt idx="167">
                  <c:v>0.27152737760823437</c:v>
                </c:pt>
                <c:pt idx="168">
                  <c:v>0.28199950787411665</c:v>
                </c:pt>
                <c:pt idx="169">
                  <c:v>0.29284564279235192</c:v>
                </c:pt>
                <c:pt idx="170">
                  <c:v>0.30443978701529306</c:v>
                </c:pt>
                <c:pt idx="171">
                  <c:v>0.31640793589058713</c:v>
                </c:pt>
                <c:pt idx="172">
                  <c:v>0.32725407080882235</c:v>
                </c:pt>
                <c:pt idx="173">
                  <c:v>0.33697819176999888</c:v>
                </c:pt>
                <c:pt idx="174">
                  <c:v>0.27264939156529311</c:v>
                </c:pt>
                <c:pt idx="175">
                  <c:v>0.28349552648352838</c:v>
                </c:pt>
                <c:pt idx="176">
                  <c:v>0.29882971722999896</c:v>
                </c:pt>
                <c:pt idx="177">
                  <c:v>0.30780582888646951</c:v>
                </c:pt>
                <c:pt idx="178">
                  <c:v>0.31640793589058713</c:v>
                </c:pt>
                <c:pt idx="179">
                  <c:v>0.32575805219941062</c:v>
                </c:pt>
                <c:pt idx="180">
                  <c:v>0.33810020572705757</c:v>
                </c:pt>
                <c:pt idx="181">
                  <c:v>0.1898757685393937</c:v>
                </c:pt>
                <c:pt idx="182">
                  <c:v>0.21938754499836161</c:v>
                </c:pt>
                <c:pt idx="183">
                  <c:v>0.24879928153712966</c:v>
                </c:pt>
                <c:pt idx="184">
                  <c:v>0.1898757685393937</c:v>
                </c:pt>
                <c:pt idx="185">
                  <c:v>0.21898738531756209</c:v>
                </c:pt>
                <c:pt idx="186">
                  <c:v>0.24829908193613023</c:v>
                </c:pt>
                <c:pt idx="187">
                  <c:v>0.13025197610025843</c:v>
                </c:pt>
                <c:pt idx="188">
                  <c:v>0.16066411184102541</c:v>
                </c:pt>
                <c:pt idx="189">
                  <c:v>0.18937556893839419</c:v>
                </c:pt>
                <c:pt idx="190">
                  <c:v>0.21818706595596291</c:v>
                </c:pt>
                <c:pt idx="191">
                  <c:v>0.25890331347731865</c:v>
                </c:pt>
                <c:pt idx="192">
                  <c:v>0.18553423573636568</c:v>
                </c:pt>
                <c:pt idx="193">
                  <c:v>0.23236812048535119</c:v>
                </c:pt>
                <c:pt idx="194">
                  <c:v>0.27920200523433669</c:v>
                </c:pt>
                <c:pt idx="195">
                  <c:v>0.15058108016807392</c:v>
                </c:pt>
                <c:pt idx="196">
                  <c:v>0.18797369739101846</c:v>
                </c:pt>
                <c:pt idx="197">
                  <c:v>0.22536631461396298</c:v>
                </c:pt>
                <c:pt idx="198">
                  <c:v>0.17990147855742625</c:v>
                </c:pt>
                <c:pt idx="199">
                  <c:v>0.24193647116343533</c:v>
                </c:pt>
                <c:pt idx="200">
                  <c:v>0.27915746672704078</c:v>
                </c:pt>
                <c:pt idx="201">
                  <c:v>0.31017496303004533</c:v>
                </c:pt>
                <c:pt idx="202">
                  <c:v>0.3598029571148525</c:v>
                </c:pt>
                <c:pt idx="203">
                  <c:v>0.38713656797945217</c:v>
                </c:pt>
                <c:pt idx="204">
                  <c:v>0.20519523255216443</c:v>
                </c:pt>
                <c:pt idx="205">
                  <c:v>0.23335928407893206</c:v>
                </c:pt>
                <c:pt idx="206">
                  <c:v>0.26957020747049049</c:v>
                </c:pt>
                <c:pt idx="207">
                  <c:v>0.28566395120007193</c:v>
                </c:pt>
                <c:pt idx="208">
                  <c:v>0.32187487459163039</c:v>
                </c:pt>
                <c:pt idx="209">
                  <c:v>0.38075707004060283</c:v>
                </c:pt>
                <c:pt idx="210">
                  <c:v>0.15281153215677173</c:v>
                </c:pt>
                <c:pt idx="211">
                  <c:v>0.17528381629747347</c:v>
                </c:pt>
                <c:pt idx="212">
                  <c:v>0.19550887202410502</c:v>
                </c:pt>
                <c:pt idx="213">
                  <c:v>0.22022838457887689</c:v>
                </c:pt>
                <c:pt idx="214">
                  <c:v>0.2449478971336489</c:v>
                </c:pt>
                <c:pt idx="215">
                  <c:v>0.26742018127435052</c:v>
                </c:pt>
                <c:pt idx="216">
                  <c:v>0.28989246541505231</c:v>
                </c:pt>
                <c:pt idx="217">
                  <c:v>0.3100043368965783</c:v>
                </c:pt>
                <c:pt idx="218">
                  <c:v>0.28536096598764171</c:v>
                </c:pt>
                <c:pt idx="219">
                  <c:v>0.34119245933304981</c:v>
                </c:pt>
                <c:pt idx="220">
                  <c:v>0.38713656797945217</c:v>
                </c:pt>
                <c:pt idx="221">
                  <c:v>0.20117179661976903</c:v>
                </c:pt>
                <c:pt idx="222">
                  <c:v>0.22933584814653671</c:v>
                </c:pt>
                <c:pt idx="223">
                  <c:v>0.26554677153809503</c:v>
                </c:pt>
                <c:pt idx="224">
                  <c:v>0.28164051526767664</c:v>
                </c:pt>
                <c:pt idx="225">
                  <c:v>0.30578113086204883</c:v>
                </c:pt>
                <c:pt idx="226">
                  <c:v>0.32187487459163039</c:v>
                </c:pt>
                <c:pt idx="227">
                  <c:v>0.36130454672910511</c:v>
                </c:pt>
                <c:pt idx="228">
                  <c:v>0.38075707004060283</c:v>
                </c:pt>
                <c:pt idx="229">
                  <c:v>0.18876718678189455</c:v>
                </c:pt>
                <c:pt idx="230">
                  <c:v>0.19775610043817518</c:v>
                </c:pt>
                <c:pt idx="231">
                  <c:v>0.22022838457887689</c:v>
                </c:pt>
                <c:pt idx="232">
                  <c:v>0.2449478971336489</c:v>
                </c:pt>
                <c:pt idx="233">
                  <c:v>0.26742018127435052</c:v>
                </c:pt>
                <c:pt idx="234">
                  <c:v>0.28764523700098216</c:v>
                </c:pt>
                <c:pt idx="235">
                  <c:v>0.3100043368965783</c:v>
                </c:pt>
                <c:pt idx="236">
                  <c:v>0</c:v>
                </c:pt>
                <c:pt idx="237">
                  <c:v>0.11044982359729417</c:v>
                </c:pt>
                <c:pt idx="238">
                  <c:v>0.14737162177124677</c:v>
                </c:pt>
                <c:pt idx="239">
                  <c:v>0.16851487371701451</c:v>
                </c:pt>
                <c:pt idx="240">
                  <c:v>0.19281383490841922</c:v>
                </c:pt>
                <c:pt idx="241">
                  <c:v>0.23068234585606295</c:v>
                </c:pt>
                <c:pt idx="242">
                  <c:v>0.24993217225444855</c:v>
                </c:pt>
                <c:pt idx="243">
                  <c:v>0.27358028479302049</c:v>
                </c:pt>
                <c:pt idx="244">
                  <c:v>0.28199361842550319</c:v>
                </c:pt>
                <c:pt idx="245">
                  <c:v>0.29185886340253192</c:v>
                </c:pt>
                <c:pt idx="246">
                  <c:v>0.28303418528316193</c:v>
                </c:pt>
                <c:pt idx="247">
                  <c:v>0.29185886340253192</c:v>
                </c:pt>
                <c:pt idx="248">
                  <c:v>0.28303418528316193</c:v>
                </c:pt>
                <c:pt idx="249">
                  <c:v>0.29185886340253192</c:v>
                </c:pt>
                <c:pt idx="250">
                  <c:v>0.28407475214082062</c:v>
                </c:pt>
                <c:pt idx="251">
                  <c:v>0.29185886340253192</c:v>
                </c:pt>
                <c:pt idx="252">
                  <c:v>0.24661873508292353</c:v>
                </c:pt>
                <c:pt idx="253">
                  <c:v>0.29271457269954582</c:v>
                </c:pt>
                <c:pt idx="254">
                  <c:v>0.24819962441037818</c:v>
                </c:pt>
                <c:pt idx="255">
                  <c:v>0.29271457269954582</c:v>
                </c:pt>
                <c:pt idx="256">
                  <c:v>0.20291053724344324</c:v>
                </c:pt>
                <c:pt idx="257">
                  <c:v>0.28511531899847925</c:v>
                </c:pt>
                <c:pt idx="258">
                  <c:v>0.29185886340253192</c:v>
                </c:pt>
                <c:pt idx="259">
                  <c:v>0.20395110410110193</c:v>
                </c:pt>
                <c:pt idx="260">
                  <c:v>0.28615588585613794</c:v>
                </c:pt>
                <c:pt idx="261">
                  <c:v>0.14814917423039506</c:v>
                </c:pt>
                <c:pt idx="262">
                  <c:v>0.20680722291045003</c:v>
                </c:pt>
                <c:pt idx="263">
                  <c:v>0.26621729785563381</c:v>
                </c:pt>
                <c:pt idx="264">
                  <c:v>0.29484546616440754</c:v>
                </c:pt>
                <c:pt idx="265">
                  <c:v>0.14739714796526618</c:v>
                </c:pt>
                <c:pt idx="266">
                  <c:v>0.20530317038019216</c:v>
                </c:pt>
                <c:pt idx="267">
                  <c:v>0.26396121906024711</c:v>
                </c:pt>
                <c:pt idx="268">
                  <c:v>0.28615588585613794</c:v>
                </c:pt>
                <c:pt idx="269">
                  <c:v>0.29185886340253192</c:v>
                </c:pt>
                <c:pt idx="270">
                  <c:v>0.28615588585613794</c:v>
                </c:pt>
                <c:pt idx="271">
                  <c:v>0.29185886340253192</c:v>
                </c:pt>
                <c:pt idx="272">
                  <c:v>0.17597414604016473</c:v>
                </c:pt>
                <c:pt idx="273">
                  <c:v>0.20605519664532107</c:v>
                </c:pt>
                <c:pt idx="274">
                  <c:v>0.23538422098534853</c:v>
                </c:pt>
                <c:pt idx="275">
                  <c:v>0.26546527159050493</c:v>
                </c:pt>
                <c:pt idx="276">
                  <c:v>0.29404226966540348</c:v>
                </c:pt>
                <c:pt idx="277">
                  <c:v>0.29484546616440754</c:v>
                </c:pt>
                <c:pt idx="278">
                  <c:v>0.23538422098534853</c:v>
                </c:pt>
                <c:pt idx="279">
                  <c:v>0.26396121906024711</c:v>
                </c:pt>
                <c:pt idx="280">
                  <c:v>0.29404226966540348</c:v>
                </c:pt>
                <c:pt idx="281">
                  <c:v>0.29484546616440754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E4-4761-AD43-01BED76A9FC4}"/>
            </c:ext>
          </c:extLst>
        </c:ser>
        <c:ser>
          <c:idx val="5"/>
          <c:order val="5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E4-4761-AD43-01BED76A9FC4}"/>
            </c:ext>
          </c:extLst>
        </c:ser>
        <c:ser>
          <c:idx val="6"/>
          <c:order val="6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1D-4BAF-BF43-C48705F042BB}"/>
            </c:ext>
          </c:extLst>
        </c:ser>
        <c:ser>
          <c:idx val="7"/>
          <c:order val="7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1D-4BAF-BF43-C48705F0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6360065825652106"/>
          <c:y val="4.4610799807164939E-2"/>
          <c:w val="0.31593712904997073"/>
          <c:h val="0.43363231275014458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5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2E-43D9-BB6D-5CD83ED1B7E2}"/>
            </c:ext>
          </c:extLst>
        </c:ser>
        <c:ser>
          <c:idx val="6"/>
          <c:order val="1"/>
          <c:tx>
            <c:strRef>
              <c:f>'Dados gerais'!$AZ$2</c:f>
              <c:strCache>
                <c:ptCount val="1"/>
                <c:pt idx="0">
                  <c:v>Oh; Kang (1987)</c:v>
                </c:pt>
              </c:strCache>
            </c:strRef>
          </c:tx>
          <c:spPr>
            <a:ln w="19050">
              <a:noFill/>
            </a:ln>
          </c:spPr>
          <c:marker>
            <c:symbol val="star"/>
            <c:size val="6"/>
            <c:spPr>
              <a:ln>
                <a:solidFill>
                  <a:schemeClr val="accent5"/>
                </a:solidFill>
              </a:ln>
            </c:spPr>
          </c:marke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gerais'!$AZ$28:$AZ$309</c:f>
              <c:numCache>
                <c:formatCode>0.00</c:formatCode>
                <c:ptCount val="282"/>
                <c:pt idx="0">
                  <c:v>0.11084938491756892</c:v>
                </c:pt>
                <c:pt idx="1">
                  <c:v>0.1290705233242212</c:v>
                </c:pt>
                <c:pt idx="2">
                  <c:v>0.14852005308413091</c:v>
                </c:pt>
                <c:pt idx="3">
                  <c:v>0.16817431473625016</c:v>
                </c:pt>
                <c:pt idx="4">
                  <c:v>0.18086769205324393</c:v>
                </c:pt>
                <c:pt idx="5">
                  <c:v>0.20809703371711741</c:v>
                </c:pt>
                <c:pt idx="6">
                  <c:v>0.21014435263921324</c:v>
                </c:pt>
                <c:pt idx="7">
                  <c:v>0.2265229040159793</c:v>
                </c:pt>
                <c:pt idx="8">
                  <c:v>0.26726297258118725</c:v>
                </c:pt>
                <c:pt idx="9">
                  <c:v>0.26726297258118725</c:v>
                </c:pt>
                <c:pt idx="10">
                  <c:v>0.12790720519573359</c:v>
                </c:pt>
                <c:pt idx="11">
                  <c:v>0.14425493211719229</c:v>
                </c:pt>
                <c:pt idx="12">
                  <c:v>0.15038532971273924</c:v>
                </c:pt>
                <c:pt idx="13">
                  <c:v>0.1606026590386509</c:v>
                </c:pt>
                <c:pt idx="14">
                  <c:v>0.17490692009492717</c:v>
                </c:pt>
                <c:pt idx="15">
                  <c:v>0.20555890807266211</c:v>
                </c:pt>
                <c:pt idx="16">
                  <c:v>5.3755393196897358E-2</c:v>
                </c:pt>
                <c:pt idx="17">
                  <c:v>8.7413694740726702E-2</c:v>
                </c:pt>
                <c:pt idx="18">
                  <c:v>0.11055377705210942</c:v>
                </c:pt>
                <c:pt idx="19">
                  <c:v>0.14884009505821524</c:v>
                </c:pt>
                <c:pt idx="20">
                  <c:v>0.20479702137483155</c:v>
                </c:pt>
                <c:pt idx="21">
                  <c:v>0.15276891917136376</c:v>
                </c:pt>
                <c:pt idx="22">
                  <c:v>0.20312113558454717</c:v>
                </c:pt>
                <c:pt idx="23">
                  <c:v>0.26983414015994794</c:v>
                </c:pt>
                <c:pt idx="24">
                  <c:v>0.26983414015994794</c:v>
                </c:pt>
                <c:pt idx="25">
                  <c:v>0.26983414015994794</c:v>
                </c:pt>
                <c:pt idx="26">
                  <c:v>3.4441476106329125E-2</c:v>
                </c:pt>
                <c:pt idx="27">
                  <c:v>5.0669934384026352E-2</c:v>
                </c:pt>
                <c:pt idx="28">
                  <c:v>0.11558376749481522</c:v>
                </c:pt>
                <c:pt idx="29">
                  <c:v>0.18049760060560405</c:v>
                </c:pt>
                <c:pt idx="30">
                  <c:v>0.24541143371639296</c:v>
                </c:pt>
                <c:pt idx="31">
                  <c:v>0.29409680854948467</c:v>
                </c:pt>
                <c:pt idx="32">
                  <c:v>0.35043210555128729</c:v>
                </c:pt>
                <c:pt idx="33">
                  <c:v>0.10241670275818041</c:v>
                </c:pt>
                <c:pt idx="34">
                  <c:v>0.1275928109647721</c:v>
                </c:pt>
                <c:pt idx="35">
                  <c:v>0.15276891917136376</c:v>
                </c:pt>
                <c:pt idx="36">
                  <c:v>0.20312113558454717</c:v>
                </c:pt>
                <c:pt idx="37">
                  <c:v>0.26983414015994794</c:v>
                </c:pt>
                <c:pt idx="38">
                  <c:v>0.10241670275818041</c:v>
                </c:pt>
                <c:pt idx="39">
                  <c:v>0.15276891917136376</c:v>
                </c:pt>
                <c:pt idx="40">
                  <c:v>0.20312113558454717</c:v>
                </c:pt>
                <c:pt idx="41">
                  <c:v>0.26983414015994794</c:v>
                </c:pt>
                <c:pt idx="42">
                  <c:v>0.15711776961185428</c:v>
                </c:pt>
                <c:pt idx="43">
                  <c:v>0.19466692875272593</c:v>
                </c:pt>
                <c:pt idx="44">
                  <c:v>0.11956861047098272</c:v>
                </c:pt>
                <c:pt idx="45">
                  <c:v>0.15711776961185428</c:v>
                </c:pt>
                <c:pt idx="46">
                  <c:v>0.19466692875272593</c:v>
                </c:pt>
                <c:pt idx="47">
                  <c:v>0.11956861047098272</c:v>
                </c:pt>
                <c:pt idx="48">
                  <c:v>0.15711776961185428</c:v>
                </c:pt>
                <c:pt idx="49">
                  <c:v>0.19466692875272593</c:v>
                </c:pt>
                <c:pt idx="50">
                  <c:v>0.13181222577251248</c:v>
                </c:pt>
                <c:pt idx="51">
                  <c:v>0.21295451716099853</c:v>
                </c:pt>
                <c:pt idx="52">
                  <c:v>0.29409680854948467</c:v>
                </c:pt>
                <c:pt idx="53">
                  <c:v>0.35043210555128729</c:v>
                </c:pt>
                <c:pt idx="54">
                  <c:v>0.13181222577251248</c:v>
                </c:pt>
                <c:pt idx="55">
                  <c:v>0.21295451716099853</c:v>
                </c:pt>
                <c:pt idx="56">
                  <c:v>0.29409680854948467</c:v>
                </c:pt>
                <c:pt idx="57">
                  <c:v>0.35043210555128729</c:v>
                </c:pt>
                <c:pt idx="58">
                  <c:v>3.564409320642116E-2</c:v>
                </c:pt>
                <c:pt idx="59">
                  <c:v>8.7861380667245123E-2</c:v>
                </c:pt>
                <c:pt idx="60">
                  <c:v>0.218404599319305</c:v>
                </c:pt>
                <c:pt idx="61">
                  <c:v>3.564409320642116E-2</c:v>
                </c:pt>
                <c:pt idx="62">
                  <c:v>8.7861380667245123E-2</c:v>
                </c:pt>
                <c:pt idx="63">
                  <c:v>0.218404599319305</c:v>
                </c:pt>
                <c:pt idx="64">
                  <c:v>3.564409320642116E-2</c:v>
                </c:pt>
                <c:pt idx="65">
                  <c:v>8.7861380667245123E-2</c:v>
                </c:pt>
                <c:pt idx="66">
                  <c:v>0.218404599319305</c:v>
                </c:pt>
                <c:pt idx="67">
                  <c:v>9.7608122271360079E-2</c:v>
                </c:pt>
                <c:pt idx="68">
                  <c:v>0.11609888852796953</c:v>
                </c:pt>
                <c:pt idx="69">
                  <c:v>0.1096602547768438</c:v>
                </c:pt>
                <c:pt idx="70">
                  <c:v>0.12821946998055819</c:v>
                </c:pt>
                <c:pt idx="71">
                  <c:v>0.15456158188260449</c:v>
                </c:pt>
                <c:pt idx="72">
                  <c:v>0.11256531755015997</c:v>
                </c:pt>
                <c:pt idx="73">
                  <c:v>0.15324241295874669</c:v>
                </c:pt>
                <c:pt idx="74">
                  <c:v>0.13855918503325088</c:v>
                </c:pt>
                <c:pt idx="75">
                  <c:v>0.16382824232957854</c:v>
                </c:pt>
                <c:pt idx="76">
                  <c:v>0.1890972996259063</c:v>
                </c:pt>
                <c:pt idx="77">
                  <c:v>0.21432308798850738</c:v>
                </c:pt>
                <c:pt idx="78">
                  <c:v>0.23954887635110861</c:v>
                </c:pt>
                <c:pt idx="79">
                  <c:v>0.26481793364743622</c:v>
                </c:pt>
                <c:pt idx="80">
                  <c:v>0.290086990943764</c:v>
                </c:pt>
                <c:pt idx="81">
                  <c:v>0.31526951037263856</c:v>
                </c:pt>
                <c:pt idx="82">
                  <c:v>0.16382824232957854</c:v>
                </c:pt>
                <c:pt idx="83">
                  <c:v>0.1890972996259063</c:v>
                </c:pt>
                <c:pt idx="84">
                  <c:v>0.21432308798850738</c:v>
                </c:pt>
                <c:pt idx="85">
                  <c:v>0.23954887635110861</c:v>
                </c:pt>
                <c:pt idx="86">
                  <c:v>0.26481793364743622</c:v>
                </c:pt>
                <c:pt idx="87">
                  <c:v>0.290086990943764</c:v>
                </c:pt>
                <c:pt idx="88">
                  <c:v>0.31526951037263856</c:v>
                </c:pt>
                <c:pt idx="89">
                  <c:v>0.14641282095142341</c:v>
                </c:pt>
                <c:pt idx="90">
                  <c:v>0.16899570354193333</c:v>
                </c:pt>
                <c:pt idx="91">
                  <c:v>0.19153991681293903</c:v>
                </c:pt>
                <c:pt idx="92">
                  <c:v>0.2140841300839447</c:v>
                </c:pt>
                <c:pt idx="93">
                  <c:v>0.23666701267445472</c:v>
                </c:pt>
                <c:pt idx="94">
                  <c:v>0.25924989526496467</c:v>
                </c:pt>
                <c:pt idx="95">
                  <c:v>0.28175543921646612</c:v>
                </c:pt>
                <c:pt idx="96">
                  <c:v>0.12382993836091344</c:v>
                </c:pt>
                <c:pt idx="97">
                  <c:v>0.14641282095142341</c:v>
                </c:pt>
                <c:pt idx="98">
                  <c:v>0.16899570354193333</c:v>
                </c:pt>
                <c:pt idx="99">
                  <c:v>0.19153991681293903</c:v>
                </c:pt>
                <c:pt idx="100">
                  <c:v>0.2140841300839447</c:v>
                </c:pt>
                <c:pt idx="101">
                  <c:v>0.23666701267445472</c:v>
                </c:pt>
                <c:pt idx="102">
                  <c:v>0.25924989526496467</c:v>
                </c:pt>
                <c:pt idx="103">
                  <c:v>0.28175543921646612</c:v>
                </c:pt>
                <c:pt idx="104">
                  <c:v>0.12518000924236972</c:v>
                </c:pt>
                <c:pt idx="105">
                  <c:v>0.13677115061920933</c:v>
                </c:pt>
                <c:pt idx="106">
                  <c:v>0.14840212409700027</c:v>
                </c:pt>
                <c:pt idx="107">
                  <c:v>0.16003309757479117</c:v>
                </c:pt>
                <c:pt idx="108">
                  <c:v>0.17166407105258216</c:v>
                </c:pt>
                <c:pt idx="109">
                  <c:v>0.13677115061920933</c:v>
                </c:pt>
                <c:pt idx="110">
                  <c:v>0.14840212409700027</c:v>
                </c:pt>
                <c:pt idx="111">
                  <c:v>0.16003309757479117</c:v>
                </c:pt>
                <c:pt idx="112">
                  <c:v>0.17166407105258216</c:v>
                </c:pt>
                <c:pt idx="113">
                  <c:v>0.12362610885562696</c:v>
                </c:pt>
                <c:pt idx="114">
                  <c:v>0.18354969846414795</c:v>
                </c:pt>
                <c:pt idx="115">
                  <c:v>0.24347328807266899</c:v>
                </c:pt>
                <c:pt idx="116">
                  <c:v>0.18354969846414795</c:v>
                </c:pt>
                <c:pt idx="117">
                  <c:v>0.24347328807266899</c:v>
                </c:pt>
                <c:pt idx="118">
                  <c:v>0.11780538590963713</c:v>
                </c:pt>
                <c:pt idx="119">
                  <c:v>0.14901936805850263</c:v>
                </c:pt>
                <c:pt idx="120">
                  <c:v>0.18023335020736803</c:v>
                </c:pt>
                <c:pt idx="121">
                  <c:v>0.11780538590963713</c:v>
                </c:pt>
                <c:pt idx="122">
                  <c:v>0.14901936805850263</c:v>
                </c:pt>
                <c:pt idx="123">
                  <c:v>0.18023335020736803</c:v>
                </c:pt>
                <c:pt idx="124">
                  <c:v>0.10827669467392349</c:v>
                </c:pt>
                <c:pt idx="125">
                  <c:v>0.12799683213992302</c:v>
                </c:pt>
                <c:pt idx="126">
                  <c:v>0.14771696960592259</c:v>
                </c:pt>
                <c:pt idx="127">
                  <c:v>0.10827669467392349</c:v>
                </c:pt>
                <c:pt idx="128">
                  <c:v>0.12799683213992302</c:v>
                </c:pt>
                <c:pt idx="129">
                  <c:v>0.14771696960592259</c:v>
                </c:pt>
                <c:pt idx="130">
                  <c:v>0.19391653196718392</c:v>
                </c:pt>
                <c:pt idx="131">
                  <c:v>0.21087722952129095</c:v>
                </c:pt>
                <c:pt idx="132">
                  <c:v>0.23009935341594556</c:v>
                </c:pt>
                <c:pt idx="133">
                  <c:v>0.24706005097005254</c:v>
                </c:pt>
                <c:pt idx="134">
                  <c:v>0.26628217486470712</c:v>
                </c:pt>
                <c:pt idx="135">
                  <c:v>0.28324287241881418</c:v>
                </c:pt>
                <c:pt idx="136">
                  <c:v>0.30359570948374259</c:v>
                </c:pt>
                <c:pt idx="137">
                  <c:v>0.17469440807252934</c:v>
                </c:pt>
                <c:pt idx="138">
                  <c:v>0.19391653196718392</c:v>
                </c:pt>
                <c:pt idx="139">
                  <c:v>0.2120079426915647</c:v>
                </c:pt>
                <c:pt idx="140">
                  <c:v>0.22840328366053489</c:v>
                </c:pt>
                <c:pt idx="141">
                  <c:v>0.24706005097005254</c:v>
                </c:pt>
                <c:pt idx="142">
                  <c:v>0.26571681827957028</c:v>
                </c:pt>
                <c:pt idx="143">
                  <c:v>0.28154680266340348</c:v>
                </c:pt>
                <c:pt idx="144">
                  <c:v>0.29681143046209973</c:v>
                </c:pt>
                <c:pt idx="145">
                  <c:v>0.19009102703898831</c:v>
                </c:pt>
                <c:pt idx="146">
                  <c:v>0.23100430406477596</c:v>
                </c:pt>
                <c:pt idx="147">
                  <c:v>0.27060485562449543</c:v>
                </c:pt>
                <c:pt idx="148">
                  <c:v>0.30998661960653695</c:v>
                </c:pt>
                <c:pt idx="149">
                  <c:v>0.34893080843322255</c:v>
                </c:pt>
                <c:pt idx="150">
                  <c:v>0.388968935148298</c:v>
                </c:pt>
                <c:pt idx="151">
                  <c:v>0.15202198852301477</c:v>
                </c:pt>
                <c:pt idx="152">
                  <c:v>0.1907473897720223</c:v>
                </c:pt>
                <c:pt idx="153">
                  <c:v>0.2303479413317418</c:v>
                </c:pt>
                <c:pt idx="154">
                  <c:v>0.26951091773610536</c:v>
                </c:pt>
                <c:pt idx="155">
                  <c:v>0.31020540718421497</c:v>
                </c:pt>
                <c:pt idx="156">
                  <c:v>0.34893080843322255</c:v>
                </c:pt>
                <c:pt idx="157">
                  <c:v>0.36774654011353114</c:v>
                </c:pt>
                <c:pt idx="158">
                  <c:v>0.2211828295376089</c:v>
                </c:pt>
                <c:pt idx="159">
                  <c:v>0.23782468212703708</c:v>
                </c:pt>
                <c:pt idx="160">
                  <c:v>0.24115305264492271</c:v>
                </c:pt>
                <c:pt idx="161">
                  <c:v>0.25520617260932865</c:v>
                </c:pt>
                <c:pt idx="162">
                  <c:v>0.26482146521655381</c:v>
                </c:pt>
                <c:pt idx="163">
                  <c:v>0.27554621466307422</c:v>
                </c:pt>
                <c:pt idx="164">
                  <c:v>0.28516150727029932</c:v>
                </c:pt>
                <c:pt idx="165">
                  <c:v>0.29662589460968308</c:v>
                </c:pt>
                <c:pt idx="166">
                  <c:v>0.22007337269831376</c:v>
                </c:pt>
                <c:pt idx="167">
                  <c:v>0.23116794109126582</c:v>
                </c:pt>
                <c:pt idx="168">
                  <c:v>0.24152287159135447</c:v>
                </c:pt>
                <c:pt idx="169">
                  <c:v>0.25224762103787479</c:v>
                </c:pt>
                <c:pt idx="170">
                  <c:v>0.26371200837725867</c:v>
                </c:pt>
                <c:pt idx="171">
                  <c:v>0.27554621466307422</c:v>
                </c:pt>
                <c:pt idx="172">
                  <c:v>0.28627096410959446</c:v>
                </c:pt>
                <c:pt idx="173">
                  <c:v>0.29588625671681962</c:v>
                </c:pt>
                <c:pt idx="174">
                  <c:v>0.23227739793056107</c:v>
                </c:pt>
                <c:pt idx="175">
                  <c:v>0.24300214737708142</c:v>
                </c:pt>
                <c:pt idx="176">
                  <c:v>0.25816472418078257</c:v>
                </c:pt>
                <c:pt idx="177">
                  <c:v>0.2670403788951442</c:v>
                </c:pt>
                <c:pt idx="178">
                  <c:v>0.27554621466307422</c:v>
                </c:pt>
                <c:pt idx="179">
                  <c:v>0.28479168832386764</c:v>
                </c:pt>
                <c:pt idx="180">
                  <c:v>0.29699571355611493</c:v>
                </c:pt>
                <c:pt idx="181">
                  <c:v>0.20327420345519723</c:v>
                </c:pt>
                <c:pt idx="182">
                  <c:v>0.24246488217982529</c:v>
                </c:pt>
                <c:pt idx="183">
                  <c:v>0.28152271114606486</c:v>
                </c:pt>
                <c:pt idx="184">
                  <c:v>0.20327420345519723</c:v>
                </c:pt>
                <c:pt idx="185">
                  <c:v>0.24193348314627106</c:v>
                </c:pt>
                <c:pt idx="186">
                  <c:v>0.28085846235412198</c:v>
                </c:pt>
                <c:pt idx="187">
                  <c:v>0.12409574745560968</c:v>
                </c:pt>
                <c:pt idx="188">
                  <c:v>0.16448207400573495</c:v>
                </c:pt>
                <c:pt idx="189">
                  <c:v>0.20260995466325438</c:v>
                </c:pt>
                <c:pt idx="190">
                  <c:v>0.2408706850791624</c:v>
                </c:pt>
                <c:pt idx="191">
                  <c:v>0.29494053674331033</c:v>
                </c:pt>
                <c:pt idx="192">
                  <c:v>9.6590039935230895E-2</c:v>
                </c:pt>
                <c:pt idx="193">
                  <c:v>0.12839861103259623</c:v>
                </c:pt>
                <c:pt idx="194">
                  <c:v>0.16020718212996152</c:v>
                </c:pt>
                <c:pt idx="195">
                  <c:v>7.26410069353427E-2</c:v>
                </c:pt>
                <c:pt idx="196">
                  <c:v>9.6297992222281054E-2</c:v>
                </c:pt>
                <c:pt idx="197">
                  <c:v>0.11995497750921939</c:v>
                </c:pt>
                <c:pt idx="198">
                  <c:v>0.14254973575964078</c:v>
                </c:pt>
                <c:pt idx="199">
                  <c:v>0.20180228813769377</c:v>
                </c:pt>
                <c:pt idx="200">
                  <c:v>0.23735381956452556</c:v>
                </c:pt>
                <c:pt idx="201">
                  <c:v>0.26698009575355197</c:v>
                </c:pt>
                <c:pt idx="202">
                  <c:v>0.31438213765599438</c:v>
                </c:pt>
                <c:pt idx="203">
                  <c:v>0.35585892432063149</c:v>
                </c:pt>
                <c:pt idx="204">
                  <c:v>0.18418728728989281</c:v>
                </c:pt>
                <c:pt idx="205">
                  <c:v>0.2138479522577981</c:v>
                </c:pt>
                <c:pt idx="206">
                  <c:v>0.25198309293081939</c:v>
                </c:pt>
                <c:pt idx="207">
                  <c:v>0.26893204434105095</c:v>
                </c:pt>
                <c:pt idx="208">
                  <c:v>0.30706718501407221</c:v>
                </c:pt>
                <c:pt idx="209">
                  <c:v>0.38757470421267243</c:v>
                </c:pt>
                <c:pt idx="210">
                  <c:v>0.12820922460159795</c:v>
                </c:pt>
                <c:pt idx="211">
                  <c:v>0.15070823979931375</c:v>
                </c:pt>
                <c:pt idx="212">
                  <c:v>0.17095735347725799</c:v>
                </c:pt>
                <c:pt idx="213">
                  <c:v>0.19570627019474529</c:v>
                </c:pt>
                <c:pt idx="214">
                  <c:v>0.22045518691223273</c:v>
                </c:pt>
                <c:pt idx="215">
                  <c:v>0.2429542021099485</c:v>
                </c:pt>
                <c:pt idx="216">
                  <c:v>0.26545321730766425</c:v>
                </c:pt>
                <c:pt idx="217">
                  <c:v>0.28570233098560849</c:v>
                </c:pt>
                <c:pt idx="218">
                  <c:v>0.24176316091598563</c:v>
                </c:pt>
                <c:pt idx="219">
                  <c:v>0.29478520842838585</c:v>
                </c:pt>
                <c:pt idx="220">
                  <c:v>0.35369859455327513</c:v>
                </c:pt>
                <c:pt idx="221">
                  <c:v>0.17846102513414572</c:v>
                </c:pt>
                <c:pt idx="222">
                  <c:v>0.20790152246295171</c:v>
                </c:pt>
                <c:pt idx="223">
                  <c:v>0.24575359045713094</c:v>
                </c:pt>
                <c:pt idx="224">
                  <c:v>0.26257673178787727</c:v>
                </c:pt>
                <c:pt idx="225">
                  <c:v>0.28781144378399676</c:v>
                </c:pt>
                <c:pt idx="226">
                  <c:v>0.30463458511474312</c:v>
                </c:pt>
                <c:pt idx="227">
                  <c:v>0.34585128137507148</c:v>
                </c:pt>
                <c:pt idx="228">
                  <c:v>0.38706797763540002</c:v>
                </c:pt>
                <c:pt idx="229">
                  <c:v>0.16251339397692882</c:v>
                </c:pt>
                <c:pt idx="230">
                  <c:v>0.17142732179790401</c:v>
                </c:pt>
                <c:pt idx="231">
                  <c:v>0.19371214135034218</c:v>
                </c:pt>
                <c:pt idx="232">
                  <c:v>0.21822544285802417</c:v>
                </c:pt>
                <c:pt idx="233">
                  <c:v>0.24051026241046222</c:v>
                </c:pt>
                <c:pt idx="234">
                  <c:v>0.26056660000765652</c:v>
                </c:pt>
                <c:pt idx="235">
                  <c:v>0.28507990151533846</c:v>
                </c:pt>
                <c:pt idx="236">
                  <c:v>4.9169776475293893E-2</c:v>
                </c:pt>
                <c:pt idx="237">
                  <c:v>7.6520963953813206E-2</c:v>
                </c:pt>
                <c:pt idx="238">
                  <c:v>0.11130453933410413</c:v>
                </c:pt>
                <c:pt idx="239">
                  <c:v>0.13122333891085189</c:v>
                </c:pt>
                <c:pt idx="240">
                  <c:v>0.15411509364830822</c:v>
                </c:pt>
                <c:pt idx="241">
                  <c:v>0.18979055557681171</c:v>
                </c:pt>
                <c:pt idx="242">
                  <c:v>0.20792558205713438</c:v>
                </c:pt>
                <c:pt idx="243">
                  <c:v>0.23438488298744109</c:v>
                </c:pt>
                <c:pt idx="244">
                  <c:v>0.24138283874457872</c:v>
                </c:pt>
                <c:pt idx="245">
                  <c:v>0.26436809953043394</c:v>
                </c:pt>
                <c:pt idx="246">
                  <c:v>0.24238431138741112</c:v>
                </c:pt>
                <c:pt idx="247">
                  <c:v>0.26436809953043394</c:v>
                </c:pt>
                <c:pt idx="248">
                  <c:v>0.24238431138741112</c:v>
                </c:pt>
                <c:pt idx="249">
                  <c:v>0.26436809953043394</c:v>
                </c:pt>
                <c:pt idx="250">
                  <c:v>0.24338578403024358</c:v>
                </c:pt>
                <c:pt idx="251">
                  <c:v>0.26436809953043394</c:v>
                </c:pt>
                <c:pt idx="252">
                  <c:v>0.18866261416535396</c:v>
                </c:pt>
                <c:pt idx="253">
                  <c:v>0.23985994890838896</c:v>
                </c:pt>
                <c:pt idx="254">
                  <c:v>0.19004656426846372</c:v>
                </c:pt>
                <c:pt idx="255">
                  <c:v>0.23985994890838896</c:v>
                </c:pt>
                <c:pt idx="256">
                  <c:v>0.16506313820449167</c:v>
                </c:pt>
                <c:pt idx="257">
                  <c:v>0.24409176428260956</c:v>
                </c:pt>
                <c:pt idx="258">
                  <c:v>0.26429124210811206</c:v>
                </c:pt>
                <c:pt idx="259">
                  <c:v>0.16606350055991093</c:v>
                </c:pt>
                <c:pt idx="260">
                  <c:v>0.24509212663802887</c:v>
                </c:pt>
                <c:pt idx="261">
                  <c:v>0.12045195342623187</c:v>
                </c:pt>
                <c:pt idx="262">
                  <c:v>0.18111863395839592</c:v>
                </c:pt>
                <c:pt idx="263">
                  <c:v>0.24256309244610058</c:v>
                </c:pt>
                <c:pt idx="264">
                  <c:v>0.28862445085289834</c:v>
                </c:pt>
                <c:pt idx="265">
                  <c:v>0.1196741754706913</c:v>
                </c:pt>
                <c:pt idx="266">
                  <c:v>0.17956307804731475</c:v>
                </c:pt>
                <c:pt idx="267">
                  <c:v>0.24022975857947892</c:v>
                </c:pt>
                <c:pt idx="268">
                  <c:v>0.24388415917646628</c:v>
                </c:pt>
                <c:pt idx="269">
                  <c:v>0.26398647726050195</c:v>
                </c:pt>
                <c:pt idx="270">
                  <c:v>0.24388415917646628</c:v>
                </c:pt>
                <c:pt idx="271">
                  <c:v>0.26398647726050195</c:v>
                </c:pt>
                <c:pt idx="272">
                  <c:v>0.14823245470779992</c:v>
                </c:pt>
                <c:pt idx="273">
                  <c:v>0.17916151019160051</c:v>
                </c:pt>
                <c:pt idx="274">
                  <c:v>0.20931733928830606</c:v>
                </c:pt>
                <c:pt idx="275">
                  <c:v>0.2402463947721066</c:v>
                </c:pt>
                <c:pt idx="276">
                  <c:v>0.26962899748171715</c:v>
                </c:pt>
                <c:pt idx="277">
                  <c:v>0.28802744377645673</c:v>
                </c:pt>
                <c:pt idx="278">
                  <c:v>0.20931733928830606</c:v>
                </c:pt>
                <c:pt idx="279">
                  <c:v>0.23869994199791661</c:v>
                </c:pt>
                <c:pt idx="280">
                  <c:v>0.26962899748171715</c:v>
                </c:pt>
                <c:pt idx="281">
                  <c:v>0.28802744377645673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2E-43D9-BB6D-5CD83ED1B7E2}"/>
            </c:ext>
          </c:extLst>
        </c:ser>
        <c:ser>
          <c:idx val="2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2E-43D9-BB6D-5CD83ED1B7E2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2E-43D9-BB6D-5CD83ED1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660118360058458"/>
          <c:y val="5.9882129284184002E-2"/>
          <c:w val="0.19878745021412991"/>
          <c:h val="5.8445131510973004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'Dados gerais'!$AG$2</c:f>
              <c:strCache>
                <c:ptCount val="1"/>
                <c:pt idx="0">
                  <c:v>fib Model Code 2020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gerais'!$AG$28:$AG$309</c:f>
              <c:numCache>
                <c:formatCode>0.00</c:formatCode>
                <c:ptCount val="282"/>
                <c:pt idx="0">
                  <c:v>0.13868029025440845</c:v>
                </c:pt>
                <c:pt idx="1">
                  <c:v>0.17212891101716857</c:v>
                </c:pt>
                <c:pt idx="2">
                  <c:v>0.2078324949774181</c:v>
                </c:pt>
                <c:pt idx="3">
                  <c:v>0.24391190613724908</c:v>
                </c:pt>
                <c:pt idx="4">
                  <c:v>0.26721319251130676</c:v>
                </c:pt>
                <c:pt idx="5">
                  <c:v>0.31719821005565602</c:v>
                </c:pt>
                <c:pt idx="6">
                  <c:v>0.32095648205147187</c:v>
                </c:pt>
                <c:pt idx="7">
                  <c:v>0.35102265801799776</c:v>
                </c:pt>
                <c:pt idx="8">
                  <c:v>0.42580937402192115</c:v>
                </c:pt>
                <c:pt idx="9">
                  <c:v>0.42580937402192115</c:v>
                </c:pt>
                <c:pt idx="10">
                  <c:v>0.16333872081928372</c:v>
                </c:pt>
                <c:pt idx="11">
                  <c:v>0.19321340015703939</c:v>
                </c:pt>
                <c:pt idx="12">
                  <c:v>0.20441640490869767</c:v>
                </c:pt>
                <c:pt idx="13">
                  <c:v>0.22308807949479487</c:v>
                </c:pt>
                <c:pt idx="14">
                  <c:v>0.24922842391533095</c:v>
                </c:pt>
                <c:pt idx="15">
                  <c:v>0.30524344767362266</c:v>
                </c:pt>
                <c:pt idx="16">
                  <c:v>4.3068885937083114E-2</c:v>
                </c:pt>
                <c:pt idx="17">
                  <c:v>7.927348825357626E-2</c:v>
                </c:pt>
                <c:pt idx="18">
                  <c:v>0.10416415234616534</c:v>
                </c:pt>
                <c:pt idx="19">
                  <c:v>0.14534688748117627</c:v>
                </c:pt>
                <c:pt idx="20">
                  <c:v>0.20553703883234614</c:v>
                </c:pt>
                <c:pt idx="21">
                  <c:v>0.26271820049061689</c:v>
                </c:pt>
                <c:pt idx="22">
                  <c:v>0.39776006136079389</c:v>
                </c:pt>
                <c:pt idx="23">
                  <c:v>0.57668065163185067</c:v>
                </c:pt>
                <c:pt idx="24">
                  <c:v>0.57668065163185067</c:v>
                </c:pt>
                <c:pt idx="25">
                  <c:v>0.57668065163185067</c:v>
                </c:pt>
                <c:pt idx="26">
                  <c:v>4.1078708915824935E-2</c:v>
                </c:pt>
                <c:pt idx="27">
                  <c:v>6.128577010593881E-2</c:v>
                </c:pt>
                <c:pt idx="28">
                  <c:v>0.16398254239550109</c:v>
                </c:pt>
                <c:pt idx="29">
                  <c:v>0.2666793146850634</c:v>
                </c:pt>
                <c:pt idx="30">
                  <c:v>0.36937608697462571</c:v>
                </c:pt>
                <c:pt idx="31">
                  <c:v>0.44639866619179752</c:v>
                </c:pt>
                <c:pt idx="32">
                  <c:v>0.53552378622876884</c:v>
                </c:pt>
                <c:pt idx="33">
                  <c:v>0.13504186087017703</c:v>
                </c:pt>
                <c:pt idx="34">
                  <c:v>0.19519727005552842</c:v>
                </c:pt>
                <c:pt idx="35">
                  <c:v>0.26271820049061689</c:v>
                </c:pt>
                <c:pt idx="36">
                  <c:v>0.39776006136079389</c:v>
                </c:pt>
                <c:pt idx="37">
                  <c:v>0.57668065163185067</c:v>
                </c:pt>
                <c:pt idx="38">
                  <c:v>0.13504186087017703</c:v>
                </c:pt>
                <c:pt idx="39">
                  <c:v>0.26271820049061689</c:v>
                </c:pt>
                <c:pt idx="40">
                  <c:v>0.39776006136079389</c:v>
                </c:pt>
                <c:pt idx="41">
                  <c:v>0.57668065163185067</c:v>
                </c:pt>
                <c:pt idx="42">
                  <c:v>0.28097015142574805</c:v>
                </c:pt>
                <c:pt idx="43">
                  <c:v>0.38177508410215444</c:v>
                </c:pt>
                <c:pt idx="44">
                  <c:v>0.22477612114059844</c:v>
                </c:pt>
                <c:pt idx="45">
                  <c:v>0.28097015142574805</c:v>
                </c:pt>
                <c:pt idx="46">
                  <c:v>0.38177508410215444</c:v>
                </c:pt>
                <c:pt idx="47">
                  <c:v>0.22477612114059844</c:v>
                </c:pt>
                <c:pt idx="48">
                  <c:v>0.28097015142574805</c:v>
                </c:pt>
                <c:pt idx="49">
                  <c:v>0.38177508410215444</c:v>
                </c:pt>
                <c:pt idx="50">
                  <c:v>0.18965673546789175</c:v>
                </c:pt>
                <c:pt idx="51">
                  <c:v>0.31802770082984461</c:v>
                </c:pt>
                <c:pt idx="52">
                  <c:v>0.44639866619179752</c:v>
                </c:pt>
                <c:pt idx="53">
                  <c:v>0.53552378622876884</c:v>
                </c:pt>
                <c:pt idx="54">
                  <c:v>0.18965673546789175</c:v>
                </c:pt>
                <c:pt idx="55">
                  <c:v>0.31802770082984461</c:v>
                </c:pt>
                <c:pt idx="56">
                  <c:v>0.44639866619179752</c:v>
                </c:pt>
                <c:pt idx="57">
                  <c:v>0.53552378622876884</c:v>
                </c:pt>
                <c:pt idx="58">
                  <c:v>7.2012387274581896E-2</c:v>
                </c:pt>
                <c:pt idx="59">
                  <c:v>0.12002064545763651</c:v>
                </c:pt>
                <c:pt idx="60">
                  <c:v>0.41855958413210198</c:v>
                </c:pt>
                <c:pt idx="61">
                  <c:v>7.2012387274581896E-2</c:v>
                </c:pt>
                <c:pt idx="62">
                  <c:v>0.12002064545763651</c:v>
                </c:pt>
                <c:pt idx="63">
                  <c:v>0.41855958413210198</c:v>
                </c:pt>
                <c:pt idx="64">
                  <c:v>7.2012387274581896E-2</c:v>
                </c:pt>
                <c:pt idx="65">
                  <c:v>0.12002064545763651</c:v>
                </c:pt>
                <c:pt idx="66">
                  <c:v>0.41855958413210198</c:v>
                </c:pt>
                <c:pt idx="67">
                  <c:v>0.12366214399887077</c:v>
                </c:pt>
                <c:pt idx="68">
                  <c:v>0.1537022961834705</c:v>
                </c:pt>
                <c:pt idx="69">
                  <c:v>0.12257101888901509</c:v>
                </c:pt>
                <c:pt idx="70">
                  <c:v>0.1465765794133671</c:v>
                </c:pt>
                <c:pt idx="71">
                  <c:v>0.18064898789954423</c:v>
                </c:pt>
                <c:pt idx="72">
                  <c:v>0.11125206827518069</c:v>
                </c:pt>
                <c:pt idx="73">
                  <c:v>0.1537594628733715</c:v>
                </c:pt>
                <c:pt idx="74">
                  <c:v>0.12206155113118464</c:v>
                </c:pt>
                <c:pt idx="75">
                  <c:v>0.13951599429000236</c:v>
                </c:pt>
                <c:pt idx="76">
                  <c:v>0.15697043744882017</c:v>
                </c:pt>
                <c:pt idx="77">
                  <c:v>0.17439499286250298</c:v>
                </c:pt>
                <c:pt idx="78">
                  <c:v>0.19711643896364461</c:v>
                </c:pt>
                <c:pt idx="79">
                  <c:v>0.24075254686068898</c:v>
                </c:pt>
                <c:pt idx="80">
                  <c:v>0.28438865475773345</c:v>
                </c:pt>
                <c:pt idx="81">
                  <c:v>0.32787532392910324</c:v>
                </c:pt>
                <c:pt idx="82">
                  <c:v>0.13951599429000236</c:v>
                </c:pt>
                <c:pt idx="83">
                  <c:v>0.15697043744882017</c:v>
                </c:pt>
                <c:pt idx="84">
                  <c:v>0.17439499286250298</c:v>
                </c:pt>
                <c:pt idx="85">
                  <c:v>0.19711643896364461</c:v>
                </c:pt>
                <c:pt idx="86">
                  <c:v>0.24075254686068898</c:v>
                </c:pt>
                <c:pt idx="87">
                  <c:v>0.28438865475773345</c:v>
                </c:pt>
                <c:pt idx="88">
                  <c:v>0.32787532392910324</c:v>
                </c:pt>
                <c:pt idx="89">
                  <c:v>9.9274752045339976E-2</c:v>
                </c:pt>
                <c:pt idx="90">
                  <c:v>0.11617858999591686</c:v>
                </c:pt>
                <c:pt idx="91">
                  <c:v>0.14717536615403232</c:v>
                </c:pt>
                <c:pt idx="92">
                  <c:v>0.17817214231214781</c:v>
                </c:pt>
                <c:pt idx="93">
                  <c:v>0.20922208618236979</c:v>
                </c:pt>
                <c:pt idx="94">
                  <c:v>0.24027203005259176</c:v>
                </c:pt>
                <c:pt idx="95">
                  <c:v>0.27121563849860081</c:v>
                </c:pt>
                <c:pt idx="96">
                  <c:v>8.685477449725118E-2</c:v>
                </c:pt>
                <c:pt idx="97">
                  <c:v>9.9274752045339976E-2</c:v>
                </c:pt>
                <c:pt idx="98">
                  <c:v>0.11617858999591686</c:v>
                </c:pt>
                <c:pt idx="99">
                  <c:v>0.14717536615403232</c:v>
                </c:pt>
                <c:pt idx="100">
                  <c:v>0.17817214231214781</c:v>
                </c:pt>
                <c:pt idx="101">
                  <c:v>0.20922208618236979</c:v>
                </c:pt>
                <c:pt idx="102">
                  <c:v>0.24027203005259176</c:v>
                </c:pt>
                <c:pt idx="103">
                  <c:v>0.27121563849860081</c:v>
                </c:pt>
                <c:pt idx="104">
                  <c:v>0.12226734357024087</c:v>
                </c:pt>
                <c:pt idx="105">
                  <c:v>0.13958286394040598</c:v>
                </c:pt>
                <c:pt idx="106">
                  <c:v>0.15695788781699774</c:v>
                </c:pt>
                <c:pt idx="107">
                  <c:v>0.1743329116935895</c:v>
                </c:pt>
                <c:pt idx="108">
                  <c:v>0.19170793557018131</c:v>
                </c:pt>
                <c:pt idx="109">
                  <c:v>0.13958286394040598</c:v>
                </c:pt>
                <c:pt idx="110">
                  <c:v>0.15695788781699774</c:v>
                </c:pt>
                <c:pt idx="111">
                  <c:v>0.1743329116935895</c:v>
                </c:pt>
                <c:pt idx="112">
                  <c:v>0.19170793557018131</c:v>
                </c:pt>
                <c:pt idx="113">
                  <c:v>7.2148609668635899E-2</c:v>
                </c:pt>
                <c:pt idx="114">
                  <c:v>9.9185026568017642E-2</c:v>
                </c:pt>
                <c:pt idx="115">
                  <c:v>0.12948602837323961</c:v>
                </c:pt>
                <c:pt idx="116">
                  <c:v>9.9185026568017642E-2</c:v>
                </c:pt>
                <c:pt idx="117">
                  <c:v>0.12948602837323961</c:v>
                </c:pt>
                <c:pt idx="118">
                  <c:v>8.6147565717616184E-2</c:v>
                </c:pt>
                <c:pt idx="119">
                  <c:v>0.10460022667304195</c:v>
                </c:pt>
                <c:pt idx="120">
                  <c:v>0.12305288762846765</c:v>
                </c:pt>
                <c:pt idx="121">
                  <c:v>8.6147565717616184E-2</c:v>
                </c:pt>
                <c:pt idx="122">
                  <c:v>0.10460022667304195</c:v>
                </c:pt>
                <c:pt idx="123">
                  <c:v>0.12305288762846765</c:v>
                </c:pt>
                <c:pt idx="124">
                  <c:v>9.2384993595776857E-2</c:v>
                </c:pt>
                <c:pt idx="125">
                  <c:v>0.10623878440919669</c:v>
                </c:pt>
                <c:pt idx="126">
                  <c:v>0.12009257522261656</c:v>
                </c:pt>
                <c:pt idx="127">
                  <c:v>9.2384993595776857E-2</c:v>
                </c:pt>
                <c:pt idx="128">
                  <c:v>0.10623878440919669</c:v>
                </c:pt>
                <c:pt idx="129">
                  <c:v>0.12009257522261656</c:v>
                </c:pt>
                <c:pt idx="130">
                  <c:v>0.16285127956433496</c:v>
                </c:pt>
                <c:pt idx="131">
                  <c:v>0.17476722684953019</c:v>
                </c:pt>
                <c:pt idx="132">
                  <c:v>0.18827196710608479</c:v>
                </c:pt>
                <c:pt idx="133">
                  <c:v>0.20018791439128003</c:v>
                </c:pt>
                <c:pt idx="134">
                  <c:v>0.21372760574098071</c:v>
                </c:pt>
                <c:pt idx="135">
                  <c:v>0.24351747395396883</c:v>
                </c:pt>
                <c:pt idx="136">
                  <c:v>0.2792653158095546</c:v>
                </c:pt>
                <c:pt idx="137">
                  <c:v>0.14934653930778033</c:v>
                </c:pt>
                <c:pt idx="138">
                  <c:v>0.16285127956433496</c:v>
                </c:pt>
                <c:pt idx="139">
                  <c:v>0.17556162333520986</c:v>
                </c:pt>
                <c:pt idx="140">
                  <c:v>0.18708037237756528</c:v>
                </c:pt>
                <c:pt idx="141">
                  <c:v>0.20018791439128003</c:v>
                </c:pt>
                <c:pt idx="142">
                  <c:v>0.21329545640499481</c:v>
                </c:pt>
                <c:pt idx="143">
                  <c:v>0.24053848713267006</c:v>
                </c:pt>
                <c:pt idx="144">
                  <c:v>0.26734936852435925</c:v>
                </c:pt>
                <c:pt idx="145">
                  <c:v>0.12448001593101213</c:v>
                </c:pt>
                <c:pt idx="146">
                  <c:v>0.16319147975293574</c:v>
                </c:pt>
                <c:pt idx="147">
                  <c:v>0.20066086452174944</c:v>
                </c:pt>
                <c:pt idx="148">
                  <c:v>0.23792323611504487</c:v>
                </c:pt>
                <c:pt idx="149">
                  <c:v>0.27477158135730378</c:v>
                </c:pt>
                <c:pt idx="150">
                  <c:v>0.312654992477154</c:v>
                </c:pt>
                <c:pt idx="151">
                  <c:v>8.84597233908265E-2</c:v>
                </c:pt>
                <c:pt idx="152">
                  <c:v>0.12510105545756706</c:v>
                </c:pt>
                <c:pt idx="153">
                  <c:v>0.16257044022638076</c:v>
                </c:pt>
                <c:pt idx="154">
                  <c:v>0.19962579864415791</c:v>
                </c:pt>
                <c:pt idx="155">
                  <c:v>0.23813024929056317</c:v>
                </c:pt>
                <c:pt idx="156">
                  <c:v>0.27477158135730378</c:v>
                </c:pt>
                <c:pt idx="157">
                  <c:v>0.29257471445187816</c:v>
                </c:pt>
                <c:pt idx="158">
                  <c:v>0.18861841261242762</c:v>
                </c:pt>
                <c:pt idx="159">
                  <c:v>0.20076122887503028</c:v>
                </c:pt>
                <c:pt idx="160">
                  <c:v>0.20318979212755081</c:v>
                </c:pt>
                <c:pt idx="161">
                  <c:v>0.21344372586041524</c:v>
                </c:pt>
                <c:pt idx="162">
                  <c:v>0.22319790578213533</c:v>
                </c:pt>
                <c:pt idx="163">
                  <c:v>0.24276133198299524</c:v>
                </c:pt>
                <c:pt idx="164">
                  <c:v>0.26030095547342114</c:v>
                </c:pt>
                <c:pt idx="165">
                  <c:v>0.28121358348123665</c:v>
                </c:pt>
                <c:pt idx="166">
                  <c:v>0.18780889152825411</c:v>
                </c:pt>
                <c:pt idx="167">
                  <c:v>0.19590410236998923</c:v>
                </c:pt>
                <c:pt idx="168">
                  <c:v>0.203459632488942</c:v>
                </c:pt>
                <c:pt idx="169">
                  <c:v>0.2112850029692859</c:v>
                </c:pt>
                <c:pt idx="170">
                  <c:v>0.22117410307170166</c:v>
                </c:pt>
                <c:pt idx="171">
                  <c:v>0.24276133198299524</c:v>
                </c:pt>
                <c:pt idx="172">
                  <c:v>0.26232475818385492</c:v>
                </c:pt>
                <c:pt idx="173">
                  <c:v>0.2798643816742809</c:v>
                </c:pt>
                <c:pt idx="174">
                  <c:v>0.19671362345416274</c:v>
                </c:pt>
                <c:pt idx="175">
                  <c:v>0.20453899393450664</c:v>
                </c:pt>
                <c:pt idx="176">
                  <c:v>0.21560244875154463</c:v>
                </c:pt>
                <c:pt idx="177">
                  <c:v>0.22724551120300288</c:v>
                </c:pt>
                <c:pt idx="178">
                  <c:v>0.24276133198299524</c:v>
                </c:pt>
                <c:pt idx="179">
                  <c:v>0.25962635456994337</c:v>
                </c:pt>
                <c:pt idx="180">
                  <c:v>0.28188818438471486</c:v>
                </c:pt>
                <c:pt idx="181">
                  <c:v>0.16250526374056309</c:v>
                </c:pt>
                <c:pt idx="182">
                  <c:v>0.20529664584009563</c:v>
                </c:pt>
                <c:pt idx="183">
                  <c:v>0.24794297240708743</c:v>
                </c:pt>
                <c:pt idx="184">
                  <c:v>0.16250526374056309</c:v>
                </c:pt>
                <c:pt idx="185">
                  <c:v>0.20471642370993251</c:v>
                </c:pt>
                <c:pt idx="186">
                  <c:v>0.2472176947443834</c:v>
                </c:pt>
                <c:pt idx="187">
                  <c:v>7.6052166346253336E-2</c:v>
                </c:pt>
                <c:pt idx="188">
                  <c:v>0.12014904823865298</c:v>
                </c:pt>
                <c:pt idx="189">
                  <c:v>0.16177998607785915</c:v>
                </c:pt>
                <c:pt idx="190">
                  <c:v>0.2035559794496061</c:v>
                </c:pt>
                <c:pt idx="191">
                  <c:v>0.26259358119370696</c:v>
                </c:pt>
                <c:pt idx="192">
                  <c:v>0.11112967472357412</c:v>
                </c:pt>
                <c:pt idx="193">
                  <c:v>0.15812571226520117</c:v>
                </c:pt>
                <c:pt idx="194">
                  <c:v>0.22825608951794205</c:v>
                </c:pt>
                <c:pt idx="195">
                  <c:v>0.11794821671353553</c:v>
                </c:pt>
                <c:pt idx="196">
                  <c:v>0.17512939694084201</c:v>
                </c:pt>
                <c:pt idx="197">
                  <c:v>0.23231057716814843</c:v>
                </c:pt>
                <c:pt idx="198">
                  <c:v>0.1175277819493063</c:v>
                </c:pt>
                <c:pt idx="199">
                  <c:v>0.18941639586178169</c:v>
                </c:pt>
                <c:pt idx="200">
                  <c:v>0.23254956420926687</c:v>
                </c:pt>
                <c:pt idx="201">
                  <c:v>0.26849387116550444</c:v>
                </c:pt>
                <c:pt idx="202">
                  <c:v>0.32600476229548475</c:v>
                </c:pt>
                <c:pt idx="203">
                  <c:v>0.37632679203421759</c:v>
                </c:pt>
                <c:pt idx="204">
                  <c:v>0.15128120300738629</c:v>
                </c:pt>
                <c:pt idx="205">
                  <c:v>0.17990644867800365</c:v>
                </c:pt>
                <c:pt idx="206">
                  <c:v>0.21671033596879763</c:v>
                </c:pt>
                <c:pt idx="207">
                  <c:v>0.2330676192091504</c:v>
                </c:pt>
                <c:pt idx="208">
                  <c:v>0.26987150649994435</c:v>
                </c:pt>
                <c:pt idx="209">
                  <c:v>0.34756860189162025</c:v>
                </c:pt>
                <c:pt idx="210">
                  <c:v>0.12703849644400417</c:v>
                </c:pt>
                <c:pt idx="211">
                  <c:v>0.15099627778839889</c:v>
                </c:pt>
                <c:pt idx="212">
                  <c:v>0.17255828099835413</c:v>
                </c:pt>
                <c:pt idx="213">
                  <c:v>0.19891184047718827</c:v>
                </c:pt>
                <c:pt idx="214">
                  <c:v>0.22526539995602249</c:v>
                </c:pt>
                <c:pt idx="215">
                  <c:v>0.24922318130041712</c:v>
                </c:pt>
                <c:pt idx="216">
                  <c:v>0.27318096264481179</c:v>
                </c:pt>
                <c:pt idx="217">
                  <c:v>0.294742965854767</c:v>
                </c:pt>
                <c:pt idx="218">
                  <c:v>0.2505652204437212</c:v>
                </c:pt>
                <c:pt idx="219">
                  <c:v>0.31490001064532835</c:v>
                </c:pt>
                <c:pt idx="220">
                  <c:v>0.38638311086933647</c:v>
                </c:pt>
                <c:pt idx="221">
                  <c:v>0.15414349743096403</c:v>
                </c:pt>
                <c:pt idx="222">
                  <c:v>0.18259499046456978</c:v>
                </c:pt>
                <c:pt idx="223">
                  <c:v>0.21917548150777719</c:v>
                </c:pt>
                <c:pt idx="224">
                  <c:v>0.23543347752698049</c:v>
                </c:pt>
                <c:pt idx="225">
                  <c:v>0.25982047155578547</c:v>
                </c:pt>
                <c:pt idx="226">
                  <c:v>0.27607846757498877</c:v>
                </c:pt>
                <c:pt idx="227">
                  <c:v>0.31591055782203681</c:v>
                </c:pt>
                <c:pt idx="228">
                  <c:v>0.3557426480690849</c:v>
                </c:pt>
                <c:pt idx="229">
                  <c:v>0.16920059472353005</c:v>
                </c:pt>
                <c:pt idx="230">
                  <c:v>0.17871200070263188</c:v>
                </c:pt>
                <c:pt idx="231">
                  <c:v>0.20249051565038667</c:v>
                </c:pt>
                <c:pt idx="232">
                  <c:v>0.22864688209291692</c:v>
                </c:pt>
                <c:pt idx="233">
                  <c:v>0.25242539704067157</c:v>
                </c:pt>
                <c:pt idx="234">
                  <c:v>0.27382606049365088</c:v>
                </c:pt>
                <c:pt idx="235">
                  <c:v>0.29998242693618105</c:v>
                </c:pt>
                <c:pt idx="236">
                  <c:v>3.8596968092179766E-2</c:v>
                </c:pt>
                <c:pt idx="237">
                  <c:v>6.7647653042968173E-2</c:v>
                </c:pt>
                <c:pt idx="238">
                  <c:v>0.10459254586081865</c:v>
                </c:pt>
                <c:pt idx="239">
                  <c:v>0.12574902294454501</c:v>
                </c:pt>
                <c:pt idx="240">
                  <c:v>0.15006318317509615</c:v>
                </c:pt>
                <c:pt idx="241">
                  <c:v>0.18795538093699407</c:v>
                </c:pt>
                <c:pt idx="242">
                  <c:v>0.20721724813262554</c:v>
                </c:pt>
                <c:pt idx="243">
                  <c:v>0.23532062813936647</c:v>
                </c:pt>
                <c:pt idx="244">
                  <c:v>0.26728929873091839</c:v>
                </c:pt>
                <c:pt idx="245">
                  <c:v>0.29702172941567545</c:v>
                </c:pt>
                <c:pt idx="246">
                  <c:v>0.26858474698417545</c:v>
                </c:pt>
                <c:pt idx="247">
                  <c:v>0.29702172941567545</c:v>
                </c:pt>
                <c:pt idx="248">
                  <c:v>0.26858474698417545</c:v>
                </c:pt>
                <c:pt idx="249">
                  <c:v>0.29702172941567545</c:v>
                </c:pt>
                <c:pt idx="250">
                  <c:v>0.26988019523743262</c:v>
                </c:pt>
                <c:pt idx="251">
                  <c:v>0.29702172941567545</c:v>
                </c:pt>
                <c:pt idx="252">
                  <c:v>0.21302068526037121</c:v>
                </c:pt>
                <c:pt idx="253">
                  <c:v>0.2922790774211681</c:v>
                </c:pt>
                <c:pt idx="254">
                  <c:v>0.21516317296122117</c:v>
                </c:pt>
                <c:pt idx="255">
                  <c:v>0.2922790774211681</c:v>
                </c:pt>
                <c:pt idx="256">
                  <c:v>0.16593842049260554</c:v>
                </c:pt>
                <c:pt idx="257">
                  <c:v>0.26816066312683373</c:v>
                </c:pt>
                <c:pt idx="258">
                  <c:v>0.2942883592014458</c:v>
                </c:pt>
                <c:pt idx="259">
                  <c:v>0.16723237293101356</c:v>
                </c:pt>
                <c:pt idx="260">
                  <c:v>0.26945461556524175</c:v>
                </c:pt>
                <c:pt idx="261">
                  <c:v>0.10247434514056784</c:v>
                </c:pt>
                <c:pt idx="262">
                  <c:v>0.16913510332806375</c:v>
                </c:pt>
                <c:pt idx="263">
                  <c:v>0.23665048662052759</c:v>
                </c:pt>
                <c:pt idx="264">
                  <c:v>0.28726286639158216</c:v>
                </c:pt>
                <c:pt idx="265">
                  <c:v>0.10161972003559995</c:v>
                </c:pt>
                <c:pt idx="266">
                  <c:v>0.16742585311812797</c:v>
                </c:pt>
                <c:pt idx="267">
                  <c:v>0.23408661130562394</c:v>
                </c:pt>
                <c:pt idx="268">
                  <c:v>0.2559318537568821</c:v>
                </c:pt>
                <c:pt idx="269">
                  <c:v>0.28192769917035537</c:v>
                </c:pt>
                <c:pt idx="270">
                  <c:v>0.2559318537568821</c:v>
                </c:pt>
                <c:pt idx="271">
                  <c:v>0.28192769917035537</c:v>
                </c:pt>
                <c:pt idx="272">
                  <c:v>0.12418568445184547</c:v>
                </c:pt>
                <c:pt idx="273">
                  <c:v>0.15819691921097215</c:v>
                </c:pt>
                <c:pt idx="274">
                  <c:v>0.19135787310112068</c:v>
                </c:pt>
                <c:pt idx="275">
                  <c:v>0.22536910786024728</c:v>
                </c:pt>
                <c:pt idx="276">
                  <c:v>0.25767978088141763</c:v>
                </c:pt>
                <c:pt idx="277">
                  <c:v>0.27791169117888265</c:v>
                </c:pt>
                <c:pt idx="278">
                  <c:v>0.19135787310112068</c:v>
                </c:pt>
                <c:pt idx="279">
                  <c:v>0.22366854612229098</c:v>
                </c:pt>
                <c:pt idx="280">
                  <c:v>0.25767978088141763</c:v>
                </c:pt>
                <c:pt idx="281">
                  <c:v>0.27791169117888265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4-4D9E-AED9-278220EBBF22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54-4D9E-AED9-278220EBBF22}"/>
            </c:ext>
          </c:extLst>
        </c:ser>
        <c:ser>
          <c:idx val="6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54-4D9E-AED9-278220EBBF22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54-4D9E-AED9-278220EBB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6360065825652106"/>
          <c:y val="4.4610799807164939E-2"/>
          <c:w val="0.23013366177915157"/>
          <c:h val="0.12419122693332513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2"/>
          <c:order val="0"/>
          <c:tx>
            <c:strRef>
              <c:f>'Dados gerais'!$AD$2</c:f>
              <c:strCache>
                <c:ptCount val="1"/>
                <c:pt idx="0">
                  <c:v>fib Model Code 2010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gerais'!$AD$28:$AD$309</c:f>
              <c:numCache>
                <c:formatCode>0.00</c:formatCode>
                <c:ptCount val="282"/>
                <c:pt idx="0">
                  <c:v>0.16007091811290758</c:v>
                </c:pt>
                <c:pt idx="1">
                  <c:v>0.19987712128481272</c:v>
                </c:pt>
                <c:pt idx="2">
                  <c:v>0.24236688871549797</c:v>
                </c:pt>
                <c:pt idx="3">
                  <c:v>0.28530391685597978</c:v>
                </c:pt>
                <c:pt idx="4">
                  <c:v>0.31303408086337448</c:v>
                </c:pt>
                <c:pt idx="5">
                  <c:v>0.37251975526633363</c:v>
                </c:pt>
                <c:pt idx="6">
                  <c:v>0.37699236236430061</c:v>
                </c:pt>
                <c:pt idx="7">
                  <c:v>0.41277321914803544</c:v>
                </c:pt>
                <c:pt idx="8">
                  <c:v>0.50177465310629754</c:v>
                </c:pt>
                <c:pt idx="9">
                  <c:v>0.50177465310629754</c:v>
                </c:pt>
                <c:pt idx="10">
                  <c:v>0.18922989304623691</c:v>
                </c:pt>
                <c:pt idx="11">
                  <c:v>0.2248189846147983</c:v>
                </c:pt>
                <c:pt idx="12">
                  <c:v>0.23816489395300877</c:v>
                </c:pt>
                <c:pt idx="13">
                  <c:v>0.26040807618335954</c:v>
                </c:pt>
                <c:pt idx="14">
                  <c:v>0.29154853130585062</c:v>
                </c:pt>
                <c:pt idx="15">
                  <c:v>0.35827807799690314</c:v>
                </c:pt>
                <c:pt idx="16">
                  <c:v>3.8537839874132902E-2</c:v>
                </c:pt>
                <c:pt idx="17">
                  <c:v>6.1464945828186207E-2</c:v>
                </c:pt>
                <c:pt idx="18">
                  <c:v>7.7227331171597871E-2</c:v>
                </c:pt>
                <c:pt idx="19">
                  <c:v>0.10330691419433347</c:v>
                </c:pt>
                <c:pt idx="20">
                  <c:v>0.14142322784294711</c:v>
                </c:pt>
                <c:pt idx="21">
                  <c:v>0.26398215376277612</c:v>
                </c:pt>
                <c:pt idx="22">
                  <c:v>0.39669046774087013</c:v>
                </c:pt>
                <c:pt idx="23">
                  <c:v>0.57251927902823763</c:v>
                </c:pt>
                <c:pt idx="24">
                  <c:v>0.57251927902823763</c:v>
                </c:pt>
                <c:pt idx="25">
                  <c:v>0.57251927902823763</c:v>
                </c:pt>
                <c:pt idx="26">
                  <c:v>4.2830419555331803E-2</c:v>
                </c:pt>
                <c:pt idx="27">
                  <c:v>6.3227388513615201E-2</c:v>
                </c:pt>
                <c:pt idx="28">
                  <c:v>0.14481526434674882</c:v>
                </c:pt>
                <c:pt idx="29">
                  <c:v>0.22640314017988247</c:v>
                </c:pt>
                <c:pt idx="30">
                  <c:v>0.30799101601301604</c:v>
                </c:pt>
                <c:pt idx="31">
                  <c:v>0.36918192288786633</c:v>
                </c:pt>
                <c:pt idx="32">
                  <c:v>0.43998774341245744</c:v>
                </c:pt>
                <c:pt idx="33">
                  <c:v>0.13127383978468207</c:v>
                </c:pt>
                <c:pt idx="34">
                  <c:v>0.19762799677372914</c:v>
                </c:pt>
                <c:pt idx="35">
                  <c:v>0.26398215376277612</c:v>
                </c:pt>
                <c:pt idx="36">
                  <c:v>0.39669046774087013</c:v>
                </c:pt>
                <c:pt idx="37">
                  <c:v>0.57251927902823763</c:v>
                </c:pt>
                <c:pt idx="38">
                  <c:v>0.13127383978468207</c:v>
                </c:pt>
                <c:pt idx="39">
                  <c:v>0.26398215376277612</c:v>
                </c:pt>
                <c:pt idx="40">
                  <c:v>0.39669046774087013</c:v>
                </c:pt>
                <c:pt idx="41">
                  <c:v>0.57251927902823763</c:v>
                </c:pt>
                <c:pt idx="42">
                  <c:v>0.18691065801267578</c:v>
                </c:pt>
                <c:pt idx="43">
                  <c:v>0.30709427182839427</c:v>
                </c:pt>
                <c:pt idx="44">
                  <c:v>6.672704419695745E-2</c:v>
                </c:pt>
                <c:pt idx="45">
                  <c:v>0.18691065801267578</c:v>
                </c:pt>
                <c:pt idx="46">
                  <c:v>0.30709427182839427</c:v>
                </c:pt>
                <c:pt idx="47">
                  <c:v>6.672704419695745E-2</c:v>
                </c:pt>
                <c:pt idx="48">
                  <c:v>0.18691065801267578</c:v>
                </c:pt>
                <c:pt idx="49">
                  <c:v>0.30709427182839427</c:v>
                </c:pt>
                <c:pt idx="50">
                  <c:v>0.16521223330503229</c:v>
                </c:pt>
                <c:pt idx="51">
                  <c:v>0.26719707809644927</c:v>
                </c:pt>
                <c:pt idx="52">
                  <c:v>0.36918192288786633</c:v>
                </c:pt>
                <c:pt idx="53">
                  <c:v>0.43998774341245744</c:v>
                </c:pt>
                <c:pt idx="54">
                  <c:v>0.16521223330503229</c:v>
                </c:pt>
                <c:pt idx="55">
                  <c:v>0.26719707809644927</c:v>
                </c:pt>
                <c:pt idx="56">
                  <c:v>0.36918192288786633</c:v>
                </c:pt>
                <c:pt idx="57">
                  <c:v>0.43998774341245744</c:v>
                </c:pt>
                <c:pt idx="58">
                  <c:v>4.7185627719411878E-2</c:v>
                </c:pt>
                <c:pt idx="59">
                  <c:v>0.11960450596181522</c:v>
                </c:pt>
                <c:pt idx="60">
                  <c:v>0.30065170156782367</c:v>
                </c:pt>
                <c:pt idx="61">
                  <c:v>4.7185627719411878E-2</c:v>
                </c:pt>
                <c:pt idx="62">
                  <c:v>0.11960450596181522</c:v>
                </c:pt>
                <c:pt idx="63">
                  <c:v>0.30065170156782367</c:v>
                </c:pt>
                <c:pt idx="64">
                  <c:v>4.7185627719411878E-2</c:v>
                </c:pt>
                <c:pt idx="65">
                  <c:v>0.11960450596181522</c:v>
                </c:pt>
                <c:pt idx="66">
                  <c:v>0.30065170156782367</c:v>
                </c:pt>
                <c:pt idx="67">
                  <c:v>0.13329381492770445</c:v>
                </c:pt>
                <c:pt idx="68">
                  <c:v>0.1630033372764875</c:v>
                </c:pt>
                <c:pt idx="69">
                  <c:v>0.11767813019457772</c:v>
                </c:pt>
                <c:pt idx="70">
                  <c:v>0.13840455251524975</c:v>
                </c:pt>
                <c:pt idx="71">
                  <c:v>0.16782270032523594</c:v>
                </c:pt>
                <c:pt idx="72">
                  <c:v>9.633661918313291E-2</c:v>
                </c:pt>
                <c:pt idx="73">
                  <c:v>0.13048666289426775</c:v>
                </c:pt>
                <c:pt idx="74">
                  <c:v>9.7763317902372596E-2</c:v>
                </c:pt>
                <c:pt idx="75">
                  <c:v>0.14204371000539809</c:v>
                </c:pt>
                <c:pt idx="76">
                  <c:v>0.18632410210842379</c:v>
                </c:pt>
                <c:pt idx="77">
                  <c:v>0.2305286716222319</c:v>
                </c:pt>
                <c:pt idx="78">
                  <c:v>0.27473324113604009</c:v>
                </c:pt>
                <c:pt idx="79">
                  <c:v>0.31901363323906562</c:v>
                </c:pt>
                <c:pt idx="80">
                  <c:v>0.36329402534209126</c:v>
                </c:pt>
                <c:pt idx="81">
                  <c:v>0.407422772266682</c:v>
                </c:pt>
                <c:pt idx="82">
                  <c:v>0.14204371000539809</c:v>
                </c:pt>
                <c:pt idx="83">
                  <c:v>0.18632410210842379</c:v>
                </c:pt>
                <c:pt idx="84">
                  <c:v>0.2305286716222319</c:v>
                </c:pt>
                <c:pt idx="85">
                  <c:v>0.27473324113604009</c:v>
                </c:pt>
                <c:pt idx="86">
                  <c:v>0.31901363323906562</c:v>
                </c:pt>
                <c:pt idx="87">
                  <c:v>0.36329402534209126</c:v>
                </c:pt>
                <c:pt idx="88">
                  <c:v>0.407422772266682</c:v>
                </c:pt>
                <c:pt idx="89">
                  <c:v>0.13409248123173162</c:v>
                </c:pt>
                <c:pt idx="90">
                  <c:v>0.1710731766375258</c:v>
                </c:pt>
                <c:pt idx="91">
                  <c:v>0.20799054893474836</c:v>
                </c:pt>
                <c:pt idx="92">
                  <c:v>0.24490792123197097</c:v>
                </c:pt>
                <c:pt idx="93">
                  <c:v>0.28188861663776515</c:v>
                </c:pt>
                <c:pt idx="94">
                  <c:v>0.31886931204355928</c:v>
                </c:pt>
                <c:pt idx="95">
                  <c:v>0.35572336123221043</c:v>
                </c:pt>
                <c:pt idx="96">
                  <c:v>9.7111785825937463E-2</c:v>
                </c:pt>
                <c:pt idx="97">
                  <c:v>0.13409248123173162</c:v>
                </c:pt>
                <c:pt idx="98">
                  <c:v>0.1710731766375258</c:v>
                </c:pt>
                <c:pt idx="99">
                  <c:v>0.20799054893474836</c:v>
                </c:pt>
                <c:pt idx="100">
                  <c:v>0.24490792123197097</c:v>
                </c:pt>
                <c:pt idx="101">
                  <c:v>0.28188861663776515</c:v>
                </c:pt>
                <c:pt idx="102">
                  <c:v>0.31886931204355928</c:v>
                </c:pt>
                <c:pt idx="103">
                  <c:v>0.35572336123221043</c:v>
                </c:pt>
                <c:pt idx="104">
                  <c:v>0.1531062354497946</c:v>
                </c:pt>
                <c:pt idx="105">
                  <c:v>0.17116484293996007</c:v>
                </c:pt>
                <c:pt idx="106">
                  <c:v>0.18928550750053849</c:v>
                </c:pt>
                <c:pt idx="107">
                  <c:v>0.20740617206111689</c:v>
                </c:pt>
                <c:pt idx="108">
                  <c:v>0.2255268366216954</c:v>
                </c:pt>
                <c:pt idx="109">
                  <c:v>0.17116484293996007</c:v>
                </c:pt>
                <c:pt idx="110">
                  <c:v>0.18928550750053849</c:v>
                </c:pt>
                <c:pt idx="111">
                  <c:v>0.20740617206111689</c:v>
                </c:pt>
                <c:pt idx="112">
                  <c:v>0.2255268366216954</c:v>
                </c:pt>
                <c:pt idx="113">
                  <c:v>7.1690562907373032E-3</c:v>
                </c:pt>
                <c:pt idx="114">
                  <c:v>0.11192516701366445</c:v>
                </c:pt>
                <c:pt idx="115">
                  <c:v>0.21668127773659174</c:v>
                </c:pt>
                <c:pt idx="116">
                  <c:v>0.11192516701366445</c:v>
                </c:pt>
                <c:pt idx="117">
                  <c:v>0.21668127773659174</c:v>
                </c:pt>
                <c:pt idx="118">
                  <c:v>0.10347446244459625</c:v>
                </c:pt>
                <c:pt idx="119">
                  <c:v>0.15282389384059317</c:v>
                </c:pt>
                <c:pt idx="120">
                  <c:v>0.20217332523658993</c:v>
                </c:pt>
                <c:pt idx="121">
                  <c:v>0.10347446244459625</c:v>
                </c:pt>
                <c:pt idx="122">
                  <c:v>0.15282389384059317</c:v>
                </c:pt>
                <c:pt idx="123">
                  <c:v>0.20217332523658993</c:v>
                </c:pt>
                <c:pt idx="124">
                  <c:v>0.12079077595334915</c:v>
                </c:pt>
                <c:pt idx="125">
                  <c:v>0.1502667898333386</c:v>
                </c:pt>
                <c:pt idx="126">
                  <c:v>0.17974280371332815</c:v>
                </c:pt>
                <c:pt idx="127">
                  <c:v>0.12079077595334915</c:v>
                </c:pt>
                <c:pt idx="128">
                  <c:v>0.1502667898333386</c:v>
                </c:pt>
                <c:pt idx="129">
                  <c:v>0.17974280371332815</c:v>
                </c:pt>
                <c:pt idx="130">
                  <c:v>0.16512721124267726</c:v>
                </c:pt>
                <c:pt idx="131">
                  <c:v>0.19410888513240512</c:v>
                </c:pt>
                <c:pt idx="132">
                  <c:v>0.22695478220742998</c:v>
                </c:pt>
                <c:pt idx="133">
                  <c:v>0.25593645609715776</c:v>
                </c:pt>
                <c:pt idx="134">
                  <c:v>0.28878235317218248</c:v>
                </c:pt>
                <c:pt idx="135">
                  <c:v>0.31776402706191037</c:v>
                </c:pt>
                <c:pt idx="136">
                  <c:v>0.35254203572958381</c:v>
                </c:pt>
                <c:pt idx="137">
                  <c:v>0.13228131416765246</c:v>
                </c:pt>
                <c:pt idx="138">
                  <c:v>0.16512721124267726</c:v>
                </c:pt>
                <c:pt idx="139">
                  <c:v>0.19604099672505357</c:v>
                </c:pt>
                <c:pt idx="140">
                  <c:v>0.22405661481845726</c:v>
                </c:pt>
                <c:pt idx="141">
                  <c:v>0.25593645609715776</c:v>
                </c:pt>
                <c:pt idx="142">
                  <c:v>0.28781629737585829</c:v>
                </c:pt>
                <c:pt idx="143">
                  <c:v>0.31486585967293762</c:v>
                </c:pt>
                <c:pt idx="144">
                  <c:v>0.34094936617369254</c:v>
                </c:pt>
                <c:pt idx="145">
                  <c:v>0.13248092114240001</c:v>
                </c:pt>
                <c:pt idx="146">
                  <c:v>0.1609239791113681</c:v>
                </c:pt>
                <c:pt idx="147">
                  <c:v>0.18845442559470083</c:v>
                </c:pt>
                <c:pt idx="148">
                  <c:v>0.21583277016376104</c:v>
                </c:pt>
                <c:pt idx="149">
                  <c:v>0.24290691090427621</c:v>
                </c:pt>
                <c:pt idx="150">
                  <c:v>0.27074156121615395</c:v>
                </c:pt>
                <c:pt idx="151">
                  <c:v>0.10601518805897511</c:v>
                </c:pt>
                <c:pt idx="152">
                  <c:v>0.13293722688521767</c:v>
                </c:pt>
                <c:pt idx="153">
                  <c:v>0.16046767336855042</c:v>
                </c:pt>
                <c:pt idx="154">
                  <c:v>0.18769391602333804</c:v>
                </c:pt>
                <c:pt idx="155">
                  <c:v>0.21598487207803357</c:v>
                </c:pt>
                <c:pt idx="156">
                  <c:v>0.24290691090427621</c:v>
                </c:pt>
                <c:pt idx="157">
                  <c:v>0.25598767553171597</c:v>
                </c:pt>
                <c:pt idx="158">
                  <c:v>0.16612686256381681</c:v>
                </c:pt>
                <c:pt idx="159">
                  <c:v>0.20438424701114277</c:v>
                </c:pt>
                <c:pt idx="160">
                  <c:v>0.21203572390060799</c:v>
                </c:pt>
                <c:pt idx="161">
                  <c:v>0.24434195965612746</c:v>
                </c:pt>
                <c:pt idx="162">
                  <c:v>0.26644622622569353</c:v>
                </c:pt>
                <c:pt idx="163">
                  <c:v>0.29110098509174809</c:v>
                </c:pt>
                <c:pt idx="164">
                  <c:v>0.31320525166131397</c:v>
                </c:pt>
                <c:pt idx="165">
                  <c:v>0.33956033872502711</c:v>
                </c:pt>
                <c:pt idx="166">
                  <c:v>0.16357637026732849</c:v>
                </c:pt>
                <c:pt idx="167">
                  <c:v>0.1890812932322124</c:v>
                </c:pt>
                <c:pt idx="168">
                  <c:v>0.21288588799943745</c:v>
                </c:pt>
                <c:pt idx="169">
                  <c:v>0.23754064686549181</c:v>
                </c:pt>
                <c:pt idx="170">
                  <c:v>0.26389573392920529</c:v>
                </c:pt>
                <c:pt idx="171">
                  <c:v>0.29110098509174809</c:v>
                </c:pt>
                <c:pt idx="172">
                  <c:v>0.31575574395780237</c:v>
                </c:pt>
                <c:pt idx="173">
                  <c:v>0.33786001052736836</c:v>
                </c:pt>
                <c:pt idx="174">
                  <c:v>0.19163178552870083</c:v>
                </c:pt>
                <c:pt idx="175">
                  <c:v>0.21628654439475523</c:v>
                </c:pt>
                <c:pt idx="176">
                  <c:v>0.25114327244676327</c:v>
                </c:pt>
                <c:pt idx="177">
                  <c:v>0.27154721081867028</c:v>
                </c:pt>
                <c:pt idx="178">
                  <c:v>0.29110098509174809</c:v>
                </c:pt>
                <c:pt idx="179">
                  <c:v>0.31235508756248465</c:v>
                </c:pt>
                <c:pt idx="180">
                  <c:v>0.34041050282385693</c:v>
                </c:pt>
                <c:pt idx="181">
                  <c:v>0.17621750604544575</c:v>
                </c:pt>
                <c:pt idx="182">
                  <c:v>0.2129582212234726</c:v>
                </c:pt>
                <c:pt idx="183">
                  <c:v>0.24957439160428585</c:v>
                </c:pt>
                <c:pt idx="184">
                  <c:v>0.17621750604544575</c:v>
                </c:pt>
                <c:pt idx="185">
                  <c:v>0.21246004203461805</c:v>
                </c:pt>
                <c:pt idx="186">
                  <c:v>0.24895166761821755</c:v>
                </c:pt>
                <c:pt idx="187">
                  <c:v>0.10198880690611019</c:v>
                </c:pt>
                <c:pt idx="188">
                  <c:v>0.13985042525905989</c:v>
                </c:pt>
                <c:pt idx="189">
                  <c:v>0.17559478205937751</c:v>
                </c:pt>
                <c:pt idx="190">
                  <c:v>0.21146368365690876</c:v>
                </c:pt>
                <c:pt idx="191">
                  <c:v>0.26215341612286447</c:v>
                </c:pt>
                <c:pt idx="192">
                  <c:v>0.13165888294921016</c:v>
                </c:pt>
                <c:pt idx="193">
                  <c:v>0.19201766444682036</c:v>
                </c:pt>
                <c:pt idx="194">
                  <c:v>0.25237644594443065</c:v>
                </c:pt>
                <c:pt idx="195">
                  <c:v>0.12272095972411494</c:v>
                </c:pt>
                <c:pt idx="196">
                  <c:v>0.16718299484634599</c:v>
                </c:pt>
                <c:pt idx="197">
                  <c:v>0.21164502996857701</c:v>
                </c:pt>
                <c:pt idx="198">
                  <c:v>0.12947798925127468</c:v>
                </c:pt>
                <c:pt idx="199">
                  <c:v>0.18827950796327195</c:v>
                </c:pt>
                <c:pt idx="200">
                  <c:v>0.22356041919047023</c:v>
                </c:pt>
                <c:pt idx="201">
                  <c:v>0.25296117854646882</c:v>
                </c:pt>
                <c:pt idx="202">
                  <c:v>0.30000239351606656</c:v>
                </c:pt>
                <c:pt idx="203">
                  <c:v>0.34116345661446468</c:v>
                </c:pt>
                <c:pt idx="204">
                  <c:v>0.13588199007541207</c:v>
                </c:pt>
                <c:pt idx="205">
                  <c:v>0.15768903676554977</c:v>
                </c:pt>
                <c:pt idx="206">
                  <c:v>0.18572666822429837</c:v>
                </c:pt>
                <c:pt idx="207">
                  <c:v>0.19818783776151991</c:v>
                </c:pt>
                <c:pt idx="208">
                  <c:v>0.22622546922026851</c:v>
                </c:pt>
                <c:pt idx="209">
                  <c:v>0.28541602452207099</c:v>
                </c:pt>
                <c:pt idx="210">
                  <c:v>9.9001541127222883E-2</c:v>
                </c:pt>
                <c:pt idx="211">
                  <c:v>0.11553739220709007</c:v>
                </c:pt>
                <c:pt idx="212">
                  <c:v>0.13041965817897053</c:v>
                </c:pt>
                <c:pt idx="213">
                  <c:v>0.1486090943668244</c:v>
                </c:pt>
                <c:pt idx="214">
                  <c:v>0.16679853055467833</c:v>
                </c:pt>
                <c:pt idx="215">
                  <c:v>0.18333438163454549</c:v>
                </c:pt>
                <c:pt idx="216">
                  <c:v>0.19987023271441262</c:v>
                </c:pt>
                <c:pt idx="217">
                  <c:v>0.21475249868629306</c:v>
                </c:pt>
                <c:pt idx="218">
                  <c:v>0.23593566188489304</c:v>
                </c:pt>
                <c:pt idx="219">
                  <c:v>0.28908411538548223</c:v>
                </c:pt>
                <c:pt idx="220">
                  <c:v>0.34813795260835928</c:v>
                </c:pt>
                <c:pt idx="221">
                  <c:v>0.13662419439598317</c:v>
                </c:pt>
                <c:pt idx="222">
                  <c:v>0.15853100890336841</c:v>
                </c:pt>
                <c:pt idx="223">
                  <c:v>0.18669691327000662</c:v>
                </c:pt>
                <c:pt idx="224">
                  <c:v>0.1992150929885125</c:v>
                </c:pt>
                <c:pt idx="225">
                  <c:v>0.21799236256627133</c:v>
                </c:pt>
                <c:pt idx="226">
                  <c:v>0.23051054228477727</c:v>
                </c:pt>
                <c:pt idx="227">
                  <c:v>0.2611800825951166</c:v>
                </c:pt>
                <c:pt idx="228">
                  <c:v>0.29184962290545596</c:v>
                </c:pt>
                <c:pt idx="229">
                  <c:v>0.12789012791537674</c:v>
                </c:pt>
                <c:pt idx="230">
                  <c:v>0.13452667868681525</c:v>
                </c:pt>
                <c:pt idx="231">
                  <c:v>0.15111805561541164</c:v>
                </c:pt>
                <c:pt idx="232">
                  <c:v>0.16936857023686763</c:v>
                </c:pt>
                <c:pt idx="233">
                  <c:v>0.18595994716546396</c:v>
                </c:pt>
                <c:pt idx="234">
                  <c:v>0.20089218640120066</c:v>
                </c:pt>
                <c:pt idx="235">
                  <c:v>0.21914270102265665</c:v>
                </c:pt>
                <c:pt idx="236">
                  <c:v>3.7198868887620064E-2</c:v>
                </c:pt>
                <c:pt idx="237">
                  <c:v>5.6084396803587552E-2</c:v>
                </c:pt>
                <c:pt idx="238">
                  <c:v>8.0101861653241874E-2</c:v>
                </c:pt>
                <c:pt idx="239">
                  <c:v>9.3855452635522557E-2</c:v>
                </c:pt>
                <c:pt idx="240">
                  <c:v>0.10966181839127793</c:v>
                </c:pt>
                <c:pt idx="241">
                  <c:v>0.13429511567297467</c:v>
                </c:pt>
                <c:pt idx="242">
                  <c:v>0.14681704179117055</c:v>
                </c:pt>
                <c:pt idx="243">
                  <c:v>0.1650867372750956</c:v>
                </c:pt>
                <c:pt idx="244">
                  <c:v>0.24981880799060688</c:v>
                </c:pt>
                <c:pt idx="245">
                  <c:v>0.27432948922960282</c:v>
                </c:pt>
                <c:pt idx="246">
                  <c:v>0.25088674352315238</c:v>
                </c:pt>
                <c:pt idx="247">
                  <c:v>0.27432948922960282</c:v>
                </c:pt>
                <c:pt idx="248">
                  <c:v>0.25088674352315238</c:v>
                </c:pt>
                <c:pt idx="249">
                  <c:v>0.27432948922960282</c:v>
                </c:pt>
                <c:pt idx="250">
                  <c:v>0.25195467905569791</c:v>
                </c:pt>
                <c:pt idx="251">
                  <c:v>0.27432948922960282</c:v>
                </c:pt>
                <c:pt idx="252">
                  <c:v>0.23181080280759936</c:v>
                </c:pt>
                <c:pt idx="253">
                  <c:v>0.30460035377229411</c:v>
                </c:pt>
                <c:pt idx="254">
                  <c:v>0.23377842684639971</c:v>
                </c:pt>
                <c:pt idx="255">
                  <c:v>0.30460035377229411</c:v>
                </c:pt>
                <c:pt idx="256">
                  <c:v>0.1674919062651099</c:v>
                </c:pt>
                <c:pt idx="257">
                  <c:v>0.251925495788488</c:v>
                </c:pt>
                <c:pt idx="258">
                  <c:v>0.27350646592479266</c:v>
                </c:pt>
                <c:pt idx="259">
                  <c:v>0.16856068587932993</c:v>
                </c:pt>
                <c:pt idx="260">
                  <c:v>0.25299427540270802</c:v>
                </c:pt>
                <c:pt idx="261">
                  <c:v>0.10386548783744019</c:v>
                </c:pt>
                <c:pt idx="262">
                  <c:v>0.15521803357180655</c:v>
                </c:pt>
                <c:pt idx="263">
                  <c:v>0.20722894527712638</c:v>
                </c:pt>
                <c:pt idx="264">
                  <c:v>0.24621851901716416</c:v>
                </c:pt>
                <c:pt idx="265">
                  <c:v>0.1032071218664868</c:v>
                </c:pt>
                <c:pt idx="266">
                  <c:v>0.15390130162989973</c:v>
                </c:pt>
                <c:pt idx="267">
                  <c:v>0.20525384736426619</c:v>
                </c:pt>
                <c:pt idx="268">
                  <c:v>0.24787609391279472</c:v>
                </c:pt>
                <c:pt idx="269">
                  <c:v>0.26952078089345077</c:v>
                </c:pt>
                <c:pt idx="270">
                  <c:v>0.24787609391279472</c:v>
                </c:pt>
                <c:pt idx="271">
                  <c:v>0.26952078089345077</c:v>
                </c:pt>
                <c:pt idx="272">
                  <c:v>0.1250242104051538</c:v>
                </c:pt>
                <c:pt idx="273">
                  <c:v>0.15144280284122463</c:v>
                </c:pt>
                <c:pt idx="274">
                  <c:v>0.17720093046639374</c:v>
                </c:pt>
                <c:pt idx="275">
                  <c:v>0.20361952290246452</c:v>
                </c:pt>
                <c:pt idx="276">
                  <c:v>0.22871718571673189</c:v>
                </c:pt>
                <c:pt idx="277">
                  <c:v>0.24443253966189971</c:v>
                </c:pt>
                <c:pt idx="278">
                  <c:v>0.17720093046639374</c:v>
                </c:pt>
                <c:pt idx="279">
                  <c:v>0.20229859328066102</c:v>
                </c:pt>
                <c:pt idx="280">
                  <c:v>0.22871718571673189</c:v>
                </c:pt>
                <c:pt idx="281">
                  <c:v>0.24443253966189971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0C-4219-B890-203C83CA387B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0C-4219-B890-203C83CA387B}"/>
            </c:ext>
          </c:extLst>
        </c:ser>
        <c:ser>
          <c:idx val="6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0C-4219-B890-203C83CA387B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0C-4219-B890-203C83CA3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6360065825652106"/>
          <c:y val="4.4610799807164939E-2"/>
          <c:w val="0.27693555301778022"/>
          <c:h val="9.10368248815230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3"/>
          <c:order val="0"/>
          <c:tx>
            <c:strRef>
              <c:f>'Dados gerais'!$AJ$2</c:f>
              <c:strCache>
                <c:ptCount val="1"/>
                <c:pt idx="0">
                  <c:v>Eurocode 2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gerais'!$AJ$28:$AJ$309</c:f>
              <c:numCache>
                <c:formatCode>0.00</c:formatCode>
                <c:ptCount val="282"/>
                <c:pt idx="0">
                  <c:v>0.1485932826557089</c:v>
                </c:pt>
                <c:pt idx="1">
                  <c:v>0.17429163285246455</c:v>
                </c:pt>
                <c:pt idx="2">
                  <c:v>0.21134245136241825</c:v>
                </c:pt>
                <c:pt idx="3">
                  <c:v>0.24878327848826612</c:v>
                </c:pt>
                <c:pt idx="4">
                  <c:v>0.27296381267370967</c:v>
                </c:pt>
                <c:pt idx="5">
                  <c:v>0.32483495858764466</c:v>
                </c:pt>
                <c:pt idx="6">
                  <c:v>0.32873504474658727</c:v>
                </c:pt>
                <c:pt idx="7">
                  <c:v>0.35993573401812712</c:v>
                </c:pt>
                <c:pt idx="8">
                  <c:v>0.43754444256407587</c:v>
                </c:pt>
                <c:pt idx="9">
                  <c:v>0.43754444256407587</c:v>
                </c:pt>
                <c:pt idx="10">
                  <c:v>0.16758074432571601</c:v>
                </c:pt>
                <c:pt idx="11">
                  <c:v>0.19604078582316281</c:v>
                </c:pt>
                <c:pt idx="12">
                  <c:v>0.20767833751244857</c:v>
                </c:pt>
                <c:pt idx="13">
                  <c:v>0.22707425699459161</c:v>
                </c:pt>
                <c:pt idx="14">
                  <c:v>0.25422854426959185</c:v>
                </c:pt>
                <c:pt idx="15">
                  <c:v>0.31241630271602105</c:v>
                </c:pt>
                <c:pt idx="16">
                  <c:v>4.5166877574692683E-2</c:v>
                </c:pt>
                <c:pt idx="17">
                  <c:v>7.2037760612011156E-2</c:v>
                </c:pt>
                <c:pt idx="18">
                  <c:v>9.0511492700167645E-2</c:v>
                </c:pt>
                <c:pt idx="19">
                  <c:v>0.12107712215511736</c:v>
                </c:pt>
                <c:pt idx="20">
                  <c:v>0.16574996520465934</c:v>
                </c:pt>
                <c:pt idx="21">
                  <c:v>0.23331596795328791</c:v>
                </c:pt>
                <c:pt idx="22">
                  <c:v>0.3321075898906467</c:v>
                </c:pt>
                <c:pt idx="23">
                  <c:v>0.47931073062285534</c:v>
                </c:pt>
                <c:pt idx="24">
                  <c:v>0.47931073062285534</c:v>
                </c:pt>
                <c:pt idx="25">
                  <c:v>0.47931073062285534</c:v>
                </c:pt>
                <c:pt idx="26">
                  <c:v>4.7759122106798169E-2</c:v>
                </c:pt>
                <c:pt idx="27">
                  <c:v>6.1685729194447148E-2</c:v>
                </c:pt>
                <c:pt idx="28">
                  <c:v>0.14128426603911076</c:v>
                </c:pt>
                <c:pt idx="29">
                  <c:v>0.22088280288377435</c:v>
                </c:pt>
                <c:pt idx="30">
                  <c:v>0.30048133972843794</c:v>
                </c:pt>
                <c:pt idx="31">
                  <c:v>0.36018024236193569</c:v>
                </c:pt>
                <c:pt idx="32">
                  <c:v>0.42925962034905629</c:v>
                </c:pt>
                <c:pt idx="33">
                  <c:v>0.16665426282377707</c:v>
                </c:pt>
                <c:pt idx="34">
                  <c:v>0.1999851153885325</c:v>
                </c:pt>
                <c:pt idx="35">
                  <c:v>0.23331596795328791</c:v>
                </c:pt>
                <c:pt idx="36">
                  <c:v>0.3321075898906467</c:v>
                </c:pt>
                <c:pt idx="37">
                  <c:v>0.47931073062285534</c:v>
                </c:pt>
                <c:pt idx="38">
                  <c:v>0.16665426282377707</c:v>
                </c:pt>
                <c:pt idx="39">
                  <c:v>0.23331596795328791</c:v>
                </c:pt>
                <c:pt idx="40">
                  <c:v>0.3321075898906467</c:v>
                </c:pt>
                <c:pt idx="41">
                  <c:v>0.47931073062285534</c:v>
                </c:pt>
                <c:pt idx="42">
                  <c:v>0.35190889482744719</c:v>
                </c:pt>
                <c:pt idx="43">
                  <c:v>0.42229067379293672</c:v>
                </c:pt>
                <c:pt idx="44">
                  <c:v>0.28152711586195778</c:v>
                </c:pt>
                <c:pt idx="45">
                  <c:v>0.35190889482744719</c:v>
                </c:pt>
                <c:pt idx="46">
                  <c:v>0.42229067379293672</c:v>
                </c:pt>
                <c:pt idx="47">
                  <c:v>0.28152711586195778</c:v>
                </c:pt>
                <c:pt idx="48">
                  <c:v>0.35190889482744719</c:v>
                </c:pt>
                <c:pt idx="49">
                  <c:v>0.42229067379293672</c:v>
                </c:pt>
                <c:pt idx="50">
                  <c:v>0.16118390025027668</c:v>
                </c:pt>
                <c:pt idx="51">
                  <c:v>0.26068207130610616</c:v>
                </c:pt>
                <c:pt idx="52">
                  <c:v>0.36018024236193569</c:v>
                </c:pt>
                <c:pt idx="53">
                  <c:v>0.42925962034905629</c:v>
                </c:pt>
                <c:pt idx="54">
                  <c:v>0.16118390025027668</c:v>
                </c:pt>
                <c:pt idx="55">
                  <c:v>0.26068207130610616</c:v>
                </c:pt>
                <c:pt idx="56">
                  <c:v>0.36018024236193569</c:v>
                </c:pt>
                <c:pt idx="57">
                  <c:v>0.42925962034905629</c:v>
                </c:pt>
                <c:pt idx="58">
                  <c:v>7.9181431687268183E-2</c:v>
                </c:pt>
                <c:pt idx="59">
                  <c:v>0.14530367170291708</c:v>
                </c:pt>
                <c:pt idx="60">
                  <c:v>0.36525209305643985</c:v>
                </c:pt>
                <c:pt idx="61">
                  <c:v>7.9181431687268183E-2</c:v>
                </c:pt>
                <c:pt idx="62">
                  <c:v>0.14530367170291708</c:v>
                </c:pt>
                <c:pt idx="63">
                  <c:v>0.36525209305643985</c:v>
                </c:pt>
                <c:pt idx="64">
                  <c:v>7.9181431687268183E-2</c:v>
                </c:pt>
                <c:pt idx="65">
                  <c:v>0.14530367170291708</c:v>
                </c:pt>
                <c:pt idx="66">
                  <c:v>0.36525209305643985</c:v>
                </c:pt>
                <c:pt idx="67">
                  <c:v>0.13033571952634693</c:v>
                </c:pt>
                <c:pt idx="68">
                  <c:v>0.15938591944907343</c:v>
                </c:pt>
                <c:pt idx="69">
                  <c:v>0.12444951194564861</c:v>
                </c:pt>
                <c:pt idx="70">
                  <c:v>0.14636856468656209</c:v>
                </c:pt>
                <c:pt idx="71">
                  <c:v>0.17747947825431035</c:v>
                </c:pt>
                <c:pt idx="72">
                  <c:v>0.10731930169564004</c:v>
                </c:pt>
                <c:pt idx="73">
                  <c:v>0.14536255954536384</c:v>
                </c:pt>
                <c:pt idx="74">
                  <c:v>0.16208568924502412</c:v>
                </c:pt>
                <c:pt idx="75">
                  <c:v>0.18526346655136439</c:v>
                </c:pt>
                <c:pt idx="76">
                  <c:v>0.20844124385770482</c:v>
                </c:pt>
                <c:pt idx="77">
                  <c:v>0.23157933318920554</c:v>
                </c:pt>
                <c:pt idx="78">
                  <c:v>0.25471742252070634</c:v>
                </c:pt>
                <c:pt idx="79">
                  <c:v>0.27830327743026689</c:v>
                </c:pt>
                <c:pt idx="80">
                  <c:v>0.31693290627416754</c:v>
                </c:pt>
                <c:pt idx="81">
                  <c:v>0.35543024186860289</c:v>
                </c:pt>
                <c:pt idx="82">
                  <c:v>0.18526346655136439</c:v>
                </c:pt>
                <c:pt idx="83">
                  <c:v>0.20844124385770482</c:v>
                </c:pt>
                <c:pt idx="84">
                  <c:v>0.23157933318920554</c:v>
                </c:pt>
                <c:pt idx="85">
                  <c:v>0.25471742252070634</c:v>
                </c:pt>
                <c:pt idx="86">
                  <c:v>0.27830327743026689</c:v>
                </c:pt>
                <c:pt idx="87">
                  <c:v>0.31693290627416754</c:v>
                </c:pt>
                <c:pt idx="88">
                  <c:v>0.35543024186860289</c:v>
                </c:pt>
                <c:pt idx="89">
                  <c:v>0.14310195367254047</c:v>
                </c:pt>
                <c:pt idx="90">
                  <c:v>0.16100502585436646</c:v>
                </c:pt>
                <c:pt idx="91">
                  <c:v>0.1788774420906756</c:v>
                </c:pt>
                <c:pt idx="92">
                  <c:v>0.19760779435522915</c:v>
                </c:pt>
                <c:pt idx="93">
                  <c:v>0.22744624799160579</c:v>
                </c:pt>
                <c:pt idx="94">
                  <c:v>0.25728470162798234</c:v>
                </c:pt>
                <c:pt idx="95">
                  <c:v>0.28702096877930294</c:v>
                </c:pt>
                <c:pt idx="96">
                  <c:v>0.12519888149071451</c:v>
                </c:pt>
                <c:pt idx="97">
                  <c:v>0.14310195367254047</c:v>
                </c:pt>
                <c:pt idx="98">
                  <c:v>0.16100502585436646</c:v>
                </c:pt>
                <c:pt idx="99">
                  <c:v>0.1788774420906756</c:v>
                </c:pt>
                <c:pt idx="100">
                  <c:v>0.19760779435522915</c:v>
                </c:pt>
                <c:pt idx="101">
                  <c:v>0.22744624799160579</c:v>
                </c:pt>
                <c:pt idx="102">
                  <c:v>0.25728470162798234</c:v>
                </c:pt>
                <c:pt idx="103">
                  <c:v>0.28702096877930294</c:v>
                </c:pt>
                <c:pt idx="104">
                  <c:v>0.13497830291539226</c:v>
                </c:pt>
                <c:pt idx="105">
                  <c:v>0.15089875308436673</c:v>
                </c:pt>
                <c:pt idx="106">
                  <c:v>0.16687391270409369</c:v>
                </c:pt>
                <c:pt idx="107">
                  <c:v>0.18284907232382061</c:v>
                </c:pt>
                <c:pt idx="108">
                  <c:v>0.19882423194354767</c:v>
                </c:pt>
                <c:pt idx="109">
                  <c:v>0.15089875308436673</c:v>
                </c:pt>
                <c:pt idx="110">
                  <c:v>0.16687391270409369</c:v>
                </c:pt>
                <c:pt idx="111">
                  <c:v>0.18284907232382061</c:v>
                </c:pt>
                <c:pt idx="112">
                  <c:v>0.19882423194354767</c:v>
                </c:pt>
                <c:pt idx="113">
                  <c:v>0.13142035655526946</c:v>
                </c:pt>
                <c:pt idx="114">
                  <c:v>0.18066781350852884</c:v>
                </c:pt>
                <c:pt idx="115">
                  <c:v>0.22991527046178831</c:v>
                </c:pt>
                <c:pt idx="116">
                  <c:v>0.18066781350852884</c:v>
                </c:pt>
                <c:pt idx="117">
                  <c:v>0.22991527046178831</c:v>
                </c:pt>
                <c:pt idx="118">
                  <c:v>0.11867255549449668</c:v>
                </c:pt>
                <c:pt idx="119">
                  <c:v>0.14409201352575365</c:v>
                </c:pt>
                <c:pt idx="120">
                  <c:v>0.17356283583266158</c:v>
                </c:pt>
                <c:pt idx="121">
                  <c:v>0.11867255549449668</c:v>
                </c:pt>
                <c:pt idx="122">
                  <c:v>0.14409201352575365</c:v>
                </c:pt>
                <c:pt idx="123">
                  <c:v>0.17356283583266158</c:v>
                </c:pt>
                <c:pt idx="124">
                  <c:v>0.11177549980360031</c:v>
                </c:pt>
                <c:pt idx="125">
                  <c:v>0.1390515575791223</c:v>
                </c:pt>
                <c:pt idx="126">
                  <c:v>0.16632761535464433</c:v>
                </c:pt>
                <c:pt idx="127">
                  <c:v>0.11177549980360031</c:v>
                </c:pt>
                <c:pt idx="128">
                  <c:v>0.1390515575791223</c:v>
                </c:pt>
                <c:pt idx="129">
                  <c:v>0.16632761535464433</c:v>
                </c:pt>
                <c:pt idx="130">
                  <c:v>0.20935626192980678</c:v>
                </c:pt>
                <c:pt idx="131">
                  <c:v>0.22467501280271945</c:v>
                </c:pt>
                <c:pt idx="132">
                  <c:v>0.24203626379202053</c:v>
                </c:pt>
                <c:pt idx="133">
                  <c:v>0.25735501466493321</c:v>
                </c:pt>
                <c:pt idx="134">
                  <c:v>0.27471626565423424</c:v>
                </c:pt>
                <c:pt idx="135">
                  <c:v>0.29003501652714692</c:v>
                </c:pt>
                <c:pt idx="136">
                  <c:v>0.31057003114677012</c:v>
                </c:pt>
                <c:pt idx="137">
                  <c:v>0.19199501094050575</c:v>
                </c:pt>
                <c:pt idx="138">
                  <c:v>0.20935626192980678</c:v>
                </c:pt>
                <c:pt idx="139">
                  <c:v>0.22569626286091363</c:v>
                </c:pt>
                <c:pt idx="140">
                  <c:v>0.24050438870472929</c:v>
                </c:pt>
                <c:pt idx="141">
                  <c:v>0.25735501466493321</c:v>
                </c:pt>
                <c:pt idx="142">
                  <c:v>0.27420564062513714</c:v>
                </c:pt>
                <c:pt idx="143">
                  <c:v>0.28850314143985567</c:v>
                </c:pt>
                <c:pt idx="144">
                  <c:v>0.30229001722547705</c:v>
                </c:pt>
                <c:pt idx="145">
                  <c:v>0.14421239382681603</c:v>
                </c:pt>
                <c:pt idx="146">
                  <c:v>0.17517414622172003</c:v>
                </c:pt>
                <c:pt idx="147">
                  <c:v>0.20514247340609224</c:v>
                </c:pt>
                <c:pt idx="148">
                  <c:v>0.23494522972204257</c:v>
                </c:pt>
                <c:pt idx="149">
                  <c:v>0.26441684430114909</c:v>
                </c:pt>
                <c:pt idx="150">
                  <c:v>0.29471631322236513</c:v>
                </c:pt>
                <c:pt idx="151">
                  <c:v>0.11540306272139735</c:v>
                </c:pt>
                <c:pt idx="152">
                  <c:v>0.14470910643208187</c:v>
                </c:pt>
                <c:pt idx="153">
                  <c:v>0.17467743361645416</c:v>
                </c:pt>
                <c:pt idx="154">
                  <c:v>0.20431461906398254</c:v>
                </c:pt>
                <c:pt idx="155">
                  <c:v>0.23511080059046452</c:v>
                </c:pt>
                <c:pt idx="156">
                  <c:v>0.26441684430114909</c:v>
                </c:pt>
                <c:pt idx="157">
                  <c:v>0.27865593898543639</c:v>
                </c:pt>
                <c:pt idx="158">
                  <c:v>0.29056052556803114</c:v>
                </c:pt>
                <c:pt idx="159">
                  <c:v>0.30926613880202458</c:v>
                </c:pt>
                <c:pt idx="160">
                  <c:v>0.31300726144882329</c:v>
                </c:pt>
                <c:pt idx="161">
                  <c:v>0.32880311262419548</c:v>
                </c:pt>
                <c:pt idx="162">
                  <c:v>0.33961080027050283</c:v>
                </c:pt>
                <c:pt idx="163">
                  <c:v>0.35166552879907637</c:v>
                </c:pt>
                <c:pt idx="164">
                  <c:v>0.36247321644538366</c:v>
                </c:pt>
                <c:pt idx="165">
                  <c:v>0.37535930556213459</c:v>
                </c:pt>
                <c:pt idx="166">
                  <c:v>0.28931348468576495</c:v>
                </c:pt>
                <c:pt idx="167">
                  <c:v>0.30178389350842721</c:v>
                </c:pt>
                <c:pt idx="168">
                  <c:v>0.31342294174291202</c:v>
                </c:pt>
                <c:pt idx="169">
                  <c:v>0.32547767027148555</c:v>
                </c:pt>
                <c:pt idx="170">
                  <c:v>0.33836375938823665</c:v>
                </c:pt>
                <c:pt idx="171">
                  <c:v>0.35166552879907637</c:v>
                </c:pt>
                <c:pt idx="172">
                  <c:v>0.36372025732764984</c:v>
                </c:pt>
                <c:pt idx="173">
                  <c:v>0.37452794497395714</c:v>
                </c:pt>
                <c:pt idx="174">
                  <c:v>0.30303093439069345</c:v>
                </c:pt>
                <c:pt idx="175">
                  <c:v>0.31508566291926698</c:v>
                </c:pt>
                <c:pt idx="176">
                  <c:v>0.33212855497690541</c:v>
                </c:pt>
                <c:pt idx="177">
                  <c:v>0.34210488203503525</c:v>
                </c:pt>
                <c:pt idx="178">
                  <c:v>0.35166552879907637</c:v>
                </c:pt>
                <c:pt idx="179">
                  <c:v>0.36205753615129493</c:v>
                </c:pt>
                <c:pt idx="180">
                  <c:v>0.37577498585622349</c:v>
                </c:pt>
                <c:pt idx="181">
                  <c:v>0.17479495534935269</c:v>
                </c:pt>
                <c:pt idx="182">
                  <c:v>0.21123907383205465</c:v>
                </c:pt>
                <c:pt idx="183">
                  <c:v>0.24755965293006962</c:v>
                </c:pt>
                <c:pt idx="184">
                  <c:v>0.17479495534935269</c:v>
                </c:pt>
                <c:pt idx="185">
                  <c:v>0.21074491629330622</c:v>
                </c:pt>
                <c:pt idx="186">
                  <c:v>0.24694195600663396</c:v>
                </c:pt>
                <c:pt idx="187">
                  <c:v>0.10116548207582587</c:v>
                </c:pt>
                <c:pt idx="188">
                  <c:v>0.13872145502071204</c:v>
                </c:pt>
                <c:pt idx="189">
                  <c:v>0.17417725842591705</c:v>
                </c:pt>
                <c:pt idx="190">
                  <c:v>0.20975660121580914</c:v>
                </c:pt>
                <c:pt idx="191">
                  <c:v>0.26003713078346924</c:v>
                </c:pt>
                <c:pt idx="192">
                  <c:v>0.14372200877992905</c:v>
                </c:pt>
                <c:pt idx="193">
                  <c:v>0.19235738777105407</c:v>
                </c:pt>
                <c:pt idx="194">
                  <c:v>0.25282295780791741</c:v>
                </c:pt>
                <c:pt idx="195">
                  <c:v>0.13790150792584993</c:v>
                </c:pt>
                <c:pt idx="196">
                  <c:v>0.18786348428743904</c:v>
                </c:pt>
                <c:pt idx="197">
                  <c:v>0.23782546064902813</c:v>
                </c:pt>
                <c:pt idx="198">
                  <c:v>0.13159532895532036</c:v>
                </c:pt>
                <c:pt idx="199">
                  <c:v>0.19135842261103625</c:v>
                </c:pt>
                <c:pt idx="200">
                  <c:v>0.22721627880446577</c:v>
                </c:pt>
                <c:pt idx="201">
                  <c:v>0.25709782563232364</c:v>
                </c:pt>
                <c:pt idx="202">
                  <c:v>0.30490830055689627</c:v>
                </c:pt>
                <c:pt idx="203">
                  <c:v>0.34674246611589749</c:v>
                </c:pt>
                <c:pt idx="204">
                  <c:v>0.14617173010832946</c:v>
                </c:pt>
                <c:pt idx="205">
                  <c:v>0.16963012765962743</c:v>
                </c:pt>
                <c:pt idx="206">
                  <c:v>0.19979092451129646</c:v>
                </c:pt>
                <c:pt idx="207">
                  <c:v>0.21319572311203822</c:v>
                </c:pt>
                <c:pt idx="208">
                  <c:v>0.24335651996370719</c:v>
                </c:pt>
                <c:pt idx="209">
                  <c:v>0.30702931331723049</c:v>
                </c:pt>
                <c:pt idx="210">
                  <c:v>0.11972263952840977</c:v>
                </c:pt>
                <c:pt idx="211">
                  <c:v>0.13971945690710444</c:v>
                </c:pt>
                <c:pt idx="212">
                  <c:v>0.15771659254792961</c:v>
                </c:pt>
                <c:pt idx="213">
                  <c:v>0.1797130916644937</c:v>
                </c:pt>
                <c:pt idx="214">
                  <c:v>0.20170959078105782</c:v>
                </c:pt>
                <c:pt idx="215">
                  <c:v>0.22170640815975243</c:v>
                </c:pt>
                <c:pt idx="216">
                  <c:v>0.24170322553844709</c:v>
                </c:pt>
                <c:pt idx="217">
                  <c:v>0.2597003611792722</c:v>
                </c:pt>
                <c:pt idx="218">
                  <c:v>0.23898546695454101</c:v>
                </c:pt>
                <c:pt idx="219">
                  <c:v>0.2928209400503668</c:v>
                </c:pt>
                <c:pt idx="220">
                  <c:v>0.35263813237906227</c:v>
                </c:pt>
                <c:pt idx="221">
                  <c:v>0.14637788590728448</c:v>
                </c:pt>
                <c:pt idx="222">
                  <c:v>0.16984864237710898</c:v>
                </c:pt>
                <c:pt idx="223">
                  <c:v>0.20002532926688341</c:v>
                </c:pt>
                <c:pt idx="224">
                  <c:v>0.21343719010678314</c:v>
                </c:pt>
                <c:pt idx="225">
                  <c:v>0.23355498136663277</c:v>
                </c:pt>
                <c:pt idx="226">
                  <c:v>0.24696684220653253</c:v>
                </c:pt>
                <c:pt idx="227">
                  <c:v>0.27982590126428686</c:v>
                </c:pt>
                <c:pt idx="228">
                  <c:v>0.31268496032204124</c:v>
                </c:pt>
                <c:pt idx="229">
                  <c:v>0.15399797461207157</c:v>
                </c:pt>
                <c:pt idx="230">
                  <c:v>0.16198932933092808</c:v>
                </c:pt>
                <c:pt idx="231">
                  <c:v>0.18196771612806956</c:v>
                </c:pt>
                <c:pt idx="232">
                  <c:v>0.20394394160492516</c:v>
                </c:pt>
                <c:pt idx="233">
                  <c:v>0.22392232840206655</c:v>
                </c:pt>
                <c:pt idx="234">
                  <c:v>0.24190287651949383</c:v>
                </c:pt>
                <c:pt idx="235">
                  <c:v>0.2638791019963494</c:v>
                </c:pt>
                <c:pt idx="236">
                  <c:v>4.8312819683654099E-2</c:v>
                </c:pt>
                <c:pt idx="237">
                  <c:v>7.28407994883951E-2</c:v>
                </c:pt>
                <c:pt idx="238">
                  <c:v>0.10403399119659834</c:v>
                </c:pt>
                <c:pt idx="239">
                  <c:v>0.12189675909787713</c:v>
                </c:pt>
                <c:pt idx="240">
                  <c:v>0.14242561176054078</c:v>
                </c:pt>
                <c:pt idx="241">
                  <c:v>0.17441862889715948</c:v>
                </c:pt>
                <c:pt idx="242">
                  <c:v>0.19068174594160736</c:v>
                </c:pt>
                <c:pt idx="243">
                  <c:v>0.21440990031793289</c:v>
                </c:pt>
                <c:pt idx="244">
                  <c:v>0.25478881615385329</c:v>
                </c:pt>
                <c:pt idx="245">
                  <c:v>0.27978712395237204</c:v>
                </c:pt>
                <c:pt idx="246">
                  <c:v>0.25587799767807279</c:v>
                </c:pt>
                <c:pt idx="247">
                  <c:v>0.27978712395237204</c:v>
                </c:pt>
                <c:pt idx="248">
                  <c:v>0.25587799767807279</c:v>
                </c:pt>
                <c:pt idx="249">
                  <c:v>0.27978712395237204</c:v>
                </c:pt>
                <c:pt idx="250">
                  <c:v>0.25696717920229234</c:v>
                </c:pt>
                <c:pt idx="251">
                  <c:v>0.27978712395237204</c:v>
                </c:pt>
                <c:pt idx="252">
                  <c:v>0.22003405864266853</c:v>
                </c:pt>
                <c:pt idx="253">
                  <c:v>0.28912566322518846</c:v>
                </c:pt>
                <c:pt idx="254">
                  <c:v>0.22190172096856739</c:v>
                </c:pt>
                <c:pt idx="255">
                  <c:v>0.28912566322518846</c:v>
                </c:pt>
                <c:pt idx="256">
                  <c:v>0.17071425757771175</c:v>
                </c:pt>
                <c:pt idx="257">
                  <c:v>0.25677225208933863</c:v>
                </c:pt>
                <c:pt idx="258">
                  <c:v>0.27876841522807938</c:v>
                </c:pt>
                <c:pt idx="259">
                  <c:v>0.17180359928039066</c:v>
                </c:pt>
                <c:pt idx="260">
                  <c:v>0.25786159379201756</c:v>
                </c:pt>
                <c:pt idx="261">
                  <c:v>0.11245220647895145</c:v>
                </c:pt>
                <c:pt idx="262">
                  <c:v>0.16805014566331994</c:v>
                </c:pt>
                <c:pt idx="263">
                  <c:v>0.22436087893979573</c:v>
                </c:pt>
                <c:pt idx="264">
                  <c:v>0.26657378033783419</c:v>
                </c:pt>
                <c:pt idx="265">
                  <c:v>0.11173941238684416</c:v>
                </c:pt>
                <c:pt idx="266">
                  <c:v>0.16662455747910535</c:v>
                </c:pt>
                <c:pt idx="267">
                  <c:v>0.22222249666347391</c:v>
                </c:pt>
                <c:pt idx="268">
                  <c:v>0.25197930642052585</c:v>
                </c:pt>
                <c:pt idx="269">
                  <c:v>0.27398228834178312</c:v>
                </c:pt>
                <c:pt idx="270">
                  <c:v>0.25197930642052585</c:v>
                </c:pt>
                <c:pt idx="271">
                  <c:v>0.27398228834178312</c:v>
                </c:pt>
                <c:pt idx="272">
                  <c:v>0.13495075566019682</c:v>
                </c:pt>
                <c:pt idx="273">
                  <c:v>0.16346690466184294</c:v>
                </c:pt>
                <c:pt idx="274">
                  <c:v>0.19127014993844793</c:v>
                </c:pt>
                <c:pt idx="275">
                  <c:v>0.21978629894009402</c:v>
                </c:pt>
                <c:pt idx="276">
                  <c:v>0.24687664049165789</c:v>
                </c:pt>
                <c:pt idx="277">
                  <c:v>0.26383974614531641</c:v>
                </c:pt>
                <c:pt idx="278">
                  <c:v>0.19127014993844793</c:v>
                </c:pt>
                <c:pt idx="279">
                  <c:v>0.21836049149001174</c:v>
                </c:pt>
                <c:pt idx="280">
                  <c:v>0.24687664049165789</c:v>
                </c:pt>
                <c:pt idx="281">
                  <c:v>0.26383974614531641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88-47D1-8CDA-B3458A31AE7F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88-47D1-8CDA-B3458A31AE7F}"/>
            </c:ext>
          </c:extLst>
        </c:ser>
        <c:ser>
          <c:idx val="6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88-47D1-8CDA-B3458A31AE7F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88-47D1-8CDA-B3458A31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6360065825652106"/>
          <c:y val="4.4610799807164939E-2"/>
          <c:w val="0.26393502767371674"/>
          <c:h val="0.1352426942839258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1"/>
          <c:order val="0"/>
          <c:tx>
            <c:strRef>
              <c:f>'Dados gerais'!$AN$2</c:f>
              <c:strCache>
                <c:ptCount val="1"/>
                <c:pt idx="0">
                  <c:v>NBR 6118 - wk2 - fissuração não estabilizada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gerais'!$AN$28:$AN$309</c:f>
              <c:numCache>
                <c:formatCode>0.00</c:formatCode>
                <c:ptCount val="282"/>
                <c:pt idx="0">
                  <c:v>0.13403771715746998</c:v>
                </c:pt>
                <c:pt idx="1">
                  <c:v>0.17424354747035525</c:v>
                </c:pt>
                <c:pt idx="2">
                  <c:v>0.22297048347265605</c:v>
                </c:pt>
                <c:pt idx="3">
                  <c:v>0.27830548142392658</c:v>
                </c:pt>
                <c:pt idx="4">
                  <c:v>0.31729899713708887</c:v>
                </c:pt>
                <c:pt idx="5">
                  <c:v>0.4095675399831824</c:v>
                </c:pt>
                <c:pt idx="6">
                  <c:v>0.4169803767185325</c:v>
                </c:pt>
                <c:pt idx="7">
                  <c:v>0.47867645286566257</c:v>
                </c:pt>
                <c:pt idx="8">
                  <c:v>0.61410800657888331</c:v>
                </c:pt>
                <c:pt idx="9">
                  <c:v>0.61410800657888331</c:v>
                </c:pt>
                <c:pt idx="10">
                  <c:v>0.15996566082219832</c:v>
                </c:pt>
                <c:pt idx="11">
                  <c:v>0.1974884701508621</c:v>
                </c:pt>
                <c:pt idx="12">
                  <c:v>0.21257782357332636</c:v>
                </c:pt>
                <c:pt idx="13">
                  <c:v>0.23896104888254321</c:v>
                </c:pt>
                <c:pt idx="14">
                  <c:v>0.27848960048617671</c:v>
                </c:pt>
                <c:pt idx="15">
                  <c:v>0.37337663887897365</c:v>
                </c:pt>
                <c:pt idx="16">
                  <c:v>4.2063309858943153E-2</c:v>
                </c:pt>
                <c:pt idx="17">
                  <c:v>8.7169238073822417E-2</c:v>
                </c:pt>
                <c:pt idx="18">
                  <c:v>0.12760837895228047</c:v>
                </c:pt>
                <c:pt idx="19">
                  <c:v>0.21138832303946115</c:v>
                </c:pt>
                <c:pt idx="20">
                  <c:v>0.37166802296900547</c:v>
                </c:pt>
                <c:pt idx="21">
                  <c:v>0.22693428965131127</c:v>
                </c:pt>
                <c:pt idx="22">
                  <c:v>0.37513627472971839</c:v>
                </c:pt>
                <c:pt idx="23">
                  <c:v>0.59406031512087509</c:v>
                </c:pt>
                <c:pt idx="24">
                  <c:v>0.59406031512087509</c:v>
                </c:pt>
                <c:pt idx="25">
                  <c:v>0.59406031512087509</c:v>
                </c:pt>
                <c:pt idx="26">
                  <c:v>3.9488243261364124E-2</c:v>
                </c:pt>
                <c:pt idx="27">
                  <c:v>6.1700380095881441E-2</c:v>
                </c:pt>
                <c:pt idx="28">
                  <c:v>0.19990923151065582</c:v>
                </c:pt>
                <c:pt idx="29">
                  <c:v>0.41709456944815854</c:v>
                </c:pt>
                <c:pt idx="30">
                  <c:v>0.71325639390838957</c:v>
                </c:pt>
                <c:pt idx="31">
                  <c:v>0.98720608153410305</c:v>
                </c:pt>
                <c:pt idx="32">
                  <c:v>1.2376256565018231</c:v>
                </c:pt>
                <c:pt idx="33">
                  <c:v>0.11578280084250574</c:v>
                </c:pt>
                <c:pt idx="34">
                  <c:v>0.16672723321320823</c:v>
                </c:pt>
                <c:pt idx="35">
                  <c:v>0.22693428965131127</c:v>
                </c:pt>
                <c:pt idx="36">
                  <c:v>0.37513627472971839</c:v>
                </c:pt>
                <c:pt idx="37">
                  <c:v>0.59406031512087509</c:v>
                </c:pt>
                <c:pt idx="38">
                  <c:v>0.11578280084250574</c:v>
                </c:pt>
                <c:pt idx="39">
                  <c:v>0.22693428965131127</c:v>
                </c:pt>
                <c:pt idx="40">
                  <c:v>0.37513627472971839</c:v>
                </c:pt>
                <c:pt idx="41">
                  <c:v>0.59406031512087509</c:v>
                </c:pt>
                <c:pt idx="42">
                  <c:v>0.15160704695540023</c:v>
                </c:pt>
                <c:pt idx="43">
                  <c:v>0.21831414761577628</c:v>
                </c:pt>
                <c:pt idx="44">
                  <c:v>9.7028510051456116E-2</c:v>
                </c:pt>
                <c:pt idx="45">
                  <c:v>0.15160704695540023</c:v>
                </c:pt>
                <c:pt idx="46">
                  <c:v>0.21831414761577628</c:v>
                </c:pt>
                <c:pt idx="47">
                  <c:v>9.7028510051456116E-2</c:v>
                </c:pt>
                <c:pt idx="48">
                  <c:v>0.15160704695540023</c:v>
                </c:pt>
                <c:pt idx="49">
                  <c:v>0.21831414761577628</c:v>
                </c:pt>
                <c:pt idx="50">
                  <c:v>0.24680152038352576</c:v>
                </c:pt>
                <c:pt idx="51">
                  <c:v>0.55530342086293294</c:v>
                </c:pt>
                <c:pt idx="52">
                  <c:v>0.98720608153410305</c:v>
                </c:pt>
                <c:pt idx="53">
                  <c:v>1.2376256565018231</c:v>
                </c:pt>
                <c:pt idx="54">
                  <c:v>0.24680152038352576</c:v>
                </c:pt>
                <c:pt idx="55">
                  <c:v>0.55530342086293294</c:v>
                </c:pt>
                <c:pt idx="56">
                  <c:v>0.98720608153410305</c:v>
                </c:pt>
                <c:pt idx="57">
                  <c:v>1.2376256565018231</c:v>
                </c:pt>
                <c:pt idx="58">
                  <c:v>2.9399600977995204E-2</c:v>
                </c:pt>
                <c:pt idx="59">
                  <c:v>8.1665558272208852E-2</c:v>
                </c:pt>
                <c:pt idx="60">
                  <c:v>0.32666223308883541</c:v>
                </c:pt>
                <c:pt idx="61">
                  <c:v>2.9399600977995204E-2</c:v>
                </c:pt>
                <c:pt idx="62">
                  <c:v>8.1665558272208852E-2</c:v>
                </c:pt>
                <c:pt idx="63">
                  <c:v>0.32666223308883541</c:v>
                </c:pt>
                <c:pt idx="64">
                  <c:v>2.9399600977995204E-2</c:v>
                </c:pt>
                <c:pt idx="65">
                  <c:v>8.1665558272208852E-2</c:v>
                </c:pt>
                <c:pt idx="66">
                  <c:v>0.32666223308883541</c:v>
                </c:pt>
                <c:pt idx="67">
                  <c:v>0.13684830482913171</c:v>
                </c:pt>
                <c:pt idx="68">
                  <c:v>0.18534931298386784</c:v>
                </c:pt>
                <c:pt idx="69">
                  <c:v>0.17649154312756957</c:v>
                </c:pt>
                <c:pt idx="70">
                  <c:v>0.23216124372145697</c:v>
                </c:pt>
                <c:pt idx="71">
                  <c:v>0.32082566870426454</c:v>
                </c:pt>
                <c:pt idx="72">
                  <c:v>0.20413587615404677</c:v>
                </c:pt>
                <c:pt idx="73">
                  <c:v>0.35110712372639064</c:v>
                </c:pt>
                <c:pt idx="74">
                  <c:v>9.5278931346240325E-2</c:v>
                </c:pt>
                <c:pt idx="75">
                  <c:v>0.12447642459592428</c:v>
                </c:pt>
                <c:pt idx="76">
                  <c:v>0.15757047544565747</c:v>
                </c:pt>
                <c:pt idx="77">
                  <c:v>0.19449441343113166</c:v>
                </c:pt>
                <c:pt idx="78">
                  <c:v>0.23530157606629135</c:v>
                </c:pt>
                <c:pt idx="79">
                  <c:v>0.28007195534082957</c:v>
                </c:pt>
                <c:pt idx="80">
                  <c:v>0.32873889221541702</c:v>
                </c:pt>
                <c:pt idx="81">
                  <c:v>0.3811157253849613</c:v>
                </c:pt>
                <c:pt idx="82">
                  <c:v>0.12447642459592428</c:v>
                </c:pt>
                <c:pt idx="83">
                  <c:v>0.15757047544565747</c:v>
                </c:pt>
                <c:pt idx="84">
                  <c:v>0.19449441343113166</c:v>
                </c:pt>
                <c:pt idx="85">
                  <c:v>0.23530157606629135</c:v>
                </c:pt>
                <c:pt idx="86">
                  <c:v>0.28007195534082957</c:v>
                </c:pt>
                <c:pt idx="87">
                  <c:v>0.32873889221541702</c:v>
                </c:pt>
                <c:pt idx="88">
                  <c:v>0.3811157253849613</c:v>
                </c:pt>
                <c:pt idx="89">
                  <c:v>0.12447642459592426</c:v>
                </c:pt>
                <c:pt idx="90">
                  <c:v>0.15757047544565744</c:v>
                </c:pt>
                <c:pt idx="91">
                  <c:v>0.19449441343113166</c:v>
                </c:pt>
                <c:pt idx="92">
                  <c:v>0.23530157606629135</c:v>
                </c:pt>
                <c:pt idx="93">
                  <c:v>0.28007195534082957</c:v>
                </c:pt>
                <c:pt idx="94">
                  <c:v>0.32873889221541713</c:v>
                </c:pt>
                <c:pt idx="95">
                  <c:v>0.38111572538496119</c:v>
                </c:pt>
                <c:pt idx="96">
                  <c:v>9.5278931346240298E-2</c:v>
                </c:pt>
                <c:pt idx="97">
                  <c:v>0.12447642459592426</c:v>
                </c:pt>
                <c:pt idx="98">
                  <c:v>0.15757047544565744</c:v>
                </c:pt>
                <c:pt idx="99">
                  <c:v>0.19449441343113166</c:v>
                </c:pt>
                <c:pt idx="100">
                  <c:v>0.23530157606629135</c:v>
                </c:pt>
                <c:pt idx="101">
                  <c:v>0.28007195534082957</c:v>
                </c:pt>
                <c:pt idx="102">
                  <c:v>0.32873889221541713</c:v>
                </c:pt>
                <c:pt idx="103">
                  <c:v>0.38111572538496119</c:v>
                </c:pt>
                <c:pt idx="104">
                  <c:v>0.15248177687827655</c:v>
                </c:pt>
                <c:pt idx="105">
                  <c:v>0.17677617215084976</c:v>
                </c:pt>
                <c:pt idx="106">
                  <c:v>0.20295833219561998</c:v>
                </c:pt>
                <c:pt idx="107">
                  <c:v>0.23094786593615235</c:v>
                </c:pt>
                <c:pt idx="108">
                  <c:v>0.26074477337244656</c:v>
                </c:pt>
                <c:pt idx="109">
                  <c:v>0.17677617215084976</c:v>
                </c:pt>
                <c:pt idx="110">
                  <c:v>0.20295833219561998</c:v>
                </c:pt>
                <c:pt idx="111">
                  <c:v>0.23094786593615235</c:v>
                </c:pt>
                <c:pt idx="112">
                  <c:v>0.26074477337244656</c:v>
                </c:pt>
                <c:pt idx="113">
                  <c:v>6.4368016399245206E-2</c:v>
                </c:pt>
                <c:pt idx="114">
                  <c:v>0.12164840551874925</c:v>
                </c:pt>
                <c:pt idx="115">
                  <c:v>0.19700646478417433</c:v>
                </c:pt>
                <c:pt idx="116">
                  <c:v>0.12164840551874925</c:v>
                </c:pt>
                <c:pt idx="117">
                  <c:v>0.19700646478417433</c:v>
                </c:pt>
                <c:pt idx="118">
                  <c:v>9.1097171658443665E-2</c:v>
                </c:pt>
                <c:pt idx="119">
                  <c:v>0.13430250855204315</c:v>
                </c:pt>
                <c:pt idx="120">
                  <c:v>0.18586708696734508</c:v>
                </c:pt>
                <c:pt idx="121">
                  <c:v>9.1097171658443665E-2</c:v>
                </c:pt>
                <c:pt idx="122">
                  <c:v>0.13430250855204315</c:v>
                </c:pt>
                <c:pt idx="123">
                  <c:v>0.18586708696734508</c:v>
                </c:pt>
                <c:pt idx="124">
                  <c:v>0.10788433067807927</c:v>
                </c:pt>
                <c:pt idx="125">
                  <c:v>0.14266639624471333</c:v>
                </c:pt>
                <c:pt idx="126">
                  <c:v>0.18230048371183444</c:v>
                </c:pt>
                <c:pt idx="127">
                  <c:v>0.10788433067807927</c:v>
                </c:pt>
                <c:pt idx="128">
                  <c:v>0.14266639624471333</c:v>
                </c:pt>
                <c:pt idx="129">
                  <c:v>0.18230048371183444</c:v>
                </c:pt>
                <c:pt idx="130">
                  <c:v>0.1349186115491853</c:v>
                </c:pt>
                <c:pt idx="131">
                  <c:v>0.15538514691208971</c:v>
                </c:pt>
                <c:pt idx="132">
                  <c:v>0.18032703134101588</c:v>
                </c:pt>
                <c:pt idx="133">
                  <c:v>0.20387558614680465</c:v>
                </c:pt>
                <c:pt idx="134">
                  <c:v>0.23231042594433315</c:v>
                </c:pt>
                <c:pt idx="135">
                  <c:v>0.25894100019300625</c:v>
                </c:pt>
                <c:pt idx="136">
                  <c:v>0.29280468882169908</c:v>
                </c:pt>
                <c:pt idx="137">
                  <c:v>0.11346968248886155</c:v>
                </c:pt>
                <c:pt idx="138">
                  <c:v>0.1349186115491853</c:v>
                </c:pt>
                <c:pt idx="139">
                  <c:v>0.15680094959366475</c:v>
                </c:pt>
                <c:pt idx="140">
                  <c:v>0.17805163417419886</c:v>
                </c:pt>
                <c:pt idx="141">
                  <c:v>0.20387558614680465</c:v>
                </c:pt>
                <c:pt idx="142">
                  <c:v>0.23144762102217148</c:v>
                </c:pt>
                <c:pt idx="143">
                  <c:v>0.25621293142051577</c:v>
                </c:pt>
                <c:pt idx="144">
                  <c:v>0.28128564115391846</c:v>
                </c:pt>
                <c:pt idx="145">
                  <c:v>0.15478528012645698</c:v>
                </c:pt>
                <c:pt idx="146">
                  <c:v>0.211386169121142</c:v>
                </c:pt>
                <c:pt idx="147">
                  <c:v>0.27455386120201025</c:v>
                </c:pt>
                <c:pt idx="148">
                  <c:v>0.34555054480386854</c:v>
                </c:pt>
                <c:pt idx="149">
                  <c:v>0.42377828820333779</c:v>
                </c:pt>
                <c:pt idx="150">
                  <c:v>0.51251772415842989</c:v>
                </c:pt>
                <c:pt idx="151">
                  <c:v>0.11002459711025039</c:v>
                </c:pt>
                <c:pt idx="152">
                  <c:v>0.15562384444404753</c:v>
                </c:pt>
                <c:pt idx="153">
                  <c:v>0.21040866213409018</c:v>
                </c:pt>
                <c:pt idx="154">
                  <c:v>0.27269814592917929</c:v>
                </c:pt>
                <c:pt idx="155">
                  <c:v>0.34596775037385386</c:v>
                </c:pt>
                <c:pt idx="156">
                  <c:v>0.42377828820333779</c:v>
                </c:pt>
                <c:pt idx="157">
                  <c:v>0.46443110099199603</c:v>
                </c:pt>
                <c:pt idx="158">
                  <c:v>0.17150293522078491</c:v>
                </c:pt>
                <c:pt idx="159">
                  <c:v>0.19429564972313279</c:v>
                </c:pt>
                <c:pt idx="160">
                  <c:v>0.19902478258661369</c:v>
                </c:pt>
                <c:pt idx="161">
                  <c:v>0.21961913301830313</c:v>
                </c:pt>
                <c:pt idx="162">
                  <c:v>0.2342940819351301</c:v>
                </c:pt>
                <c:pt idx="163">
                  <c:v>0.25122215219469318</c:v>
                </c:pt>
                <c:pt idx="164">
                  <c:v>0.26690098443294497</c:v>
                </c:pt>
                <c:pt idx="165">
                  <c:v>0.28621520812574058</c:v>
                </c:pt>
                <c:pt idx="166">
                  <c:v>0.17003396609485399</c:v>
                </c:pt>
                <c:pt idx="167">
                  <c:v>0.18500797395918225</c:v>
                </c:pt>
                <c:pt idx="168">
                  <c:v>0.19955375187521049</c:v>
                </c:pt>
                <c:pt idx="169">
                  <c:v>0.2151992383387995</c:v>
                </c:pt>
                <c:pt idx="170">
                  <c:v>0.23257659903592331</c:v>
                </c:pt>
                <c:pt idx="171">
                  <c:v>0.25122215219469318</c:v>
                </c:pt>
                <c:pt idx="172">
                  <c:v>0.26874061816986333</c:v>
                </c:pt>
                <c:pt idx="173">
                  <c:v>0.28494877070486641</c:v>
                </c:pt>
                <c:pt idx="174">
                  <c:v>0.1865401245528952</c:v>
                </c:pt>
                <c:pt idx="175">
                  <c:v>0.20167664919268491</c:v>
                </c:pt>
                <c:pt idx="176">
                  <c:v>0.22408395674156276</c:v>
                </c:pt>
                <c:pt idx="177">
                  <c:v>0.23774800217387809</c:v>
                </c:pt>
                <c:pt idx="178">
                  <c:v>0.25122215219469318</c:v>
                </c:pt>
                <c:pt idx="179">
                  <c:v>0.26628917721992273</c:v>
                </c:pt>
                <c:pt idx="180">
                  <c:v>0.28684947986064074</c:v>
                </c:pt>
                <c:pt idx="181">
                  <c:v>0.19142813392713337</c:v>
                </c:pt>
                <c:pt idx="182">
                  <c:v>0.25555866628532853</c:v>
                </c:pt>
                <c:pt idx="183">
                  <c:v>0.32867367449457463</c:v>
                </c:pt>
                <c:pt idx="184">
                  <c:v>0.19142813392713337</c:v>
                </c:pt>
                <c:pt idx="185">
                  <c:v>0.25462724595282982</c:v>
                </c:pt>
                <c:pt idx="186">
                  <c:v>0.32735343612391454</c:v>
                </c:pt>
                <c:pt idx="187">
                  <c:v>9.0081439601391769E-2</c:v>
                </c:pt>
                <c:pt idx="188">
                  <c:v>0.13705801304842097</c:v>
                </c:pt>
                <c:pt idx="189">
                  <c:v>0.19042088424647874</c:v>
                </c:pt>
                <c:pt idx="190">
                  <c:v>0.25276950663150632</c:v>
                </c:pt>
                <c:pt idx="191">
                  <c:v>0.35591139567956681</c:v>
                </c:pt>
                <c:pt idx="192">
                  <c:v>0.1026441456405006</c:v>
                </c:pt>
                <c:pt idx="193">
                  <c:v>0.16100492295254692</c:v>
                </c:pt>
                <c:pt idx="194">
                  <c:v>0.2324465641448796</c:v>
                </c:pt>
                <c:pt idx="195">
                  <c:v>0.10035281057140449</c:v>
                </c:pt>
                <c:pt idx="196">
                  <c:v>0.15638060603253504</c:v>
                </c:pt>
                <c:pt idx="197">
                  <c:v>0.22478469064030332</c:v>
                </c:pt>
                <c:pt idx="198">
                  <c:v>0.15021092609657113</c:v>
                </c:pt>
                <c:pt idx="199">
                  <c:v>0.27166565825551103</c:v>
                </c:pt>
                <c:pt idx="200">
                  <c:v>0.36168504797331352</c:v>
                </c:pt>
                <c:pt idx="201">
                  <c:v>0.44652475058433772</c:v>
                </c:pt>
                <c:pt idx="202">
                  <c:v>0.60084370438628454</c:v>
                </c:pt>
                <c:pt idx="203">
                  <c:v>0.69560140350877198</c:v>
                </c:pt>
                <c:pt idx="204">
                  <c:v>0.25252771133111879</c:v>
                </c:pt>
                <c:pt idx="205">
                  <c:v>0.32660639020295401</c:v>
                </c:pt>
                <c:pt idx="206">
                  <c:v>0.43583117884098121</c:v>
                </c:pt>
                <c:pt idx="207">
                  <c:v>0.48942414179937288</c:v>
                </c:pt>
                <c:pt idx="208">
                  <c:v>0.62136768647410989</c:v>
                </c:pt>
                <c:pt idx="209">
                  <c:v>0.86950175438596489</c:v>
                </c:pt>
                <c:pt idx="210">
                  <c:v>0.21127454925494149</c:v>
                </c:pt>
                <c:pt idx="211">
                  <c:v>0.27798320883803285</c:v>
                </c:pt>
                <c:pt idx="212">
                  <c:v>0.34583413998932788</c:v>
                </c:pt>
                <c:pt idx="213">
                  <c:v>0.43881504564110252</c:v>
                </c:pt>
                <c:pt idx="214">
                  <c:v>0.54285314007308849</c:v>
                </c:pt>
                <c:pt idx="215">
                  <c:v>0.64702830709325831</c:v>
                </c:pt>
                <c:pt idx="216">
                  <c:v>0.76034164665905757</c:v>
                </c:pt>
                <c:pt idx="217">
                  <c:v>0.86950175438596489</c:v>
                </c:pt>
                <c:pt idx="218">
                  <c:v>0.4337415561139179</c:v>
                </c:pt>
                <c:pt idx="219">
                  <c:v>0.62007004123090814</c:v>
                </c:pt>
                <c:pt idx="220">
                  <c:v>0.79830765100671142</c:v>
                </c:pt>
                <c:pt idx="221">
                  <c:v>0.27855986364060603</c:v>
                </c:pt>
                <c:pt idx="222">
                  <c:v>0.36201639878733166</c:v>
                </c:pt>
                <c:pt idx="223">
                  <c:v>0.48536270640739188</c:v>
                </c:pt>
                <c:pt idx="224">
                  <c:v>0.54597733273558791</c:v>
                </c:pt>
                <c:pt idx="225">
                  <c:v>0.64358470895525621</c:v>
                </c:pt>
                <c:pt idx="226">
                  <c:v>0.71311325091995159</c:v>
                </c:pt>
                <c:pt idx="227">
                  <c:v>0.89852715311695708</c:v>
                </c:pt>
                <c:pt idx="228">
                  <c:v>0.9978845637583893</c:v>
                </c:pt>
                <c:pt idx="229">
                  <c:v>0.36999663347029554</c:v>
                </c:pt>
                <c:pt idx="230">
                  <c:v>0.40607340272023357</c:v>
                </c:pt>
                <c:pt idx="231">
                  <c:v>0.50360652889012436</c:v>
                </c:pt>
                <c:pt idx="232">
                  <c:v>0.62300595270132975</c:v>
                </c:pt>
                <c:pt idx="233">
                  <c:v>0.74256268800635683</c:v>
                </c:pt>
                <c:pt idx="234">
                  <c:v>0.85913050492875898</c:v>
                </c:pt>
                <c:pt idx="235">
                  <c:v>0.9978845637583893</c:v>
                </c:pt>
                <c:pt idx="236">
                  <c:v>0</c:v>
                </c:pt>
                <c:pt idx="237">
                  <c:v>7.3361377368608163E-2</c:v>
                </c:pt>
                <c:pt idx="238">
                  <c:v>0.13060660758320314</c:v>
                </c:pt>
                <c:pt idx="239">
                  <c:v>0.17077091367283942</c:v>
                </c:pt>
                <c:pt idx="240">
                  <c:v>0.22357014498470335</c:v>
                </c:pt>
                <c:pt idx="241">
                  <c:v>0.32001190997605566</c:v>
                </c:pt>
                <c:pt idx="242">
                  <c:v>0.3756485797040216</c:v>
                </c:pt>
                <c:pt idx="243">
                  <c:v>0.45009793258907616</c:v>
                </c:pt>
                <c:pt idx="244">
                  <c:v>0.43113366848373058</c:v>
                </c:pt>
                <c:pt idx="245">
                  <c:v>0.46182682241819578</c:v>
                </c:pt>
                <c:pt idx="246">
                  <c:v>0.43432133725167588</c:v>
                </c:pt>
                <c:pt idx="247">
                  <c:v>0.46182682241819578</c:v>
                </c:pt>
                <c:pt idx="248">
                  <c:v>0.43432133725167588</c:v>
                </c:pt>
                <c:pt idx="249">
                  <c:v>0.46182682241819578</c:v>
                </c:pt>
                <c:pt idx="250">
                  <c:v>0.4375207469727258</c:v>
                </c:pt>
                <c:pt idx="251">
                  <c:v>0.46182682241819578</c:v>
                </c:pt>
                <c:pt idx="252">
                  <c:v>0.2533316241930651</c:v>
                </c:pt>
                <c:pt idx="253">
                  <c:v>0.35688308472413011</c:v>
                </c:pt>
                <c:pt idx="254">
                  <c:v>0.25658987527674482</c:v>
                </c:pt>
                <c:pt idx="255">
                  <c:v>0.35688308472413011</c:v>
                </c:pt>
                <c:pt idx="256">
                  <c:v>0.2159647123648005</c:v>
                </c:pt>
                <c:pt idx="257">
                  <c:v>0.42639754754765979</c:v>
                </c:pt>
                <c:pt idx="258">
                  <c:v>0.4468063816624937</c:v>
                </c:pt>
                <c:pt idx="259">
                  <c:v>0.21818541460108287</c:v>
                </c:pt>
                <c:pt idx="260">
                  <c:v>0.42951561795103321</c:v>
                </c:pt>
                <c:pt idx="261">
                  <c:v>0.1355080739737812</c:v>
                </c:pt>
                <c:pt idx="262">
                  <c:v>0.2640572571894973</c:v>
                </c:pt>
                <c:pt idx="263">
                  <c:v>0.43756164286888011</c:v>
                </c:pt>
                <c:pt idx="264">
                  <c:v>0.5367296786008573</c:v>
                </c:pt>
                <c:pt idx="265">
                  <c:v>0.13413584915294852</c:v>
                </c:pt>
                <c:pt idx="266">
                  <c:v>0.26023039102249323</c:v>
                </c:pt>
                <c:pt idx="267">
                  <c:v>0.43017676883310102</c:v>
                </c:pt>
                <c:pt idx="268">
                  <c:v>0.37406287588439796</c:v>
                </c:pt>
                <c:pt idx="269">
                  <c:v>0.38912131038557102</c:v>
                </c:pt>
                <c:pt idx="270">
                  <c:v>0.37406287588439796</c:v>
                </c:pt>
                <c:pt idx="271">
                  <c:v>0.38912131038557102</c:v>
                </c:pt>
                <c:pt idx="272">
                  <c:v>0.16650607497088082</c:v>
                </c:pt>
                <c:pt idx="273">
                  <c:v>0.228296626570857</c:v>
                </c:pt>
                <c:pt idx="274">
                  <c:v>0.2979113459497082</c:v>
                </c:pt>
                <c:pt idx="275">
                  <c:v>0.37892021871660619</c:v>
                </c:pt>
                <c:pt idx="276">
                  <c:v>0.46489179720255736</c:v>
                </c:pt>
                <c:pt idx="277">
                  <c:v>0.46743503323046587</c:v>
                </c:pt>
                <c:pt idx="278">
                  <c:v>0.2979113459497082</c:v>
                </c:pt>
                <c:pt idx="279">
                  <c:v>0.37463866868448187</c:v>
                </c:pt>
                <c:pt idx="280">
                  <c:v>0.46489179720255736</c:v>
                </c:pt>
                <c:pt idx="281">
                  <c:v>0.46743503323046587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42-4F8C-9CA2-0651F51D93DE}"/>
            </c:ext>
          </c:extLst>
        </c:ser>
        <c:ser>
          <c:idx val="4"/>
          <c:order val="1"/>
          <c:tx>
            <c:strRef>
              <c:f>'Dados gerais'!$AM$2</c:f>
              <c:strCache>
                <c:ptCount val="1"/>
                <c:pt idx="0">
                  <c:v>NBR 6118 - wk1 - fissuração estabilizada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gerais'!$AM$28:$AM$309</c:f>
              <c:numCache>
                <c:formatCode>0.00</c:formatCode>
                <c:ptCount val="282"/>
                <c:pt idx="0">
                  <c:v>0.18440399789461248</c:v>
                </c:pt>
                <c:pt idx="1">
                  <c:v>0.21024959759952672</c:v>
                </c:pt>
                <c:pt idx="2">
                  <c:v>0.23783759728454748</c:v>
                </c:pt>
                <c:pt idx="3">
                  <c:v>0.26571599696625259</c:v>
                </c:pt>
                <c:pt idx="4">
                  <c:v>0.28372079676068723</c:v>
                </c:pt>
                <c:pt idx="5">
                  <c:v>0.32234399631971627</c:v>
                </c:pt>
                <c:pt idx="6">
                  <c:v>0.32524799628656048</c:v>
                </c:pt>
                <c:pt idx="7">
                  <c:v>0.34847999602131496</c:v>
                </c:pt>
                <c:pt idx="8">
                  <c:v>0.39471097380685027</c:v>
                </c:pt>
                <c:pt idx="9">
                  <c:v>0.39471097380685027</c:v>
                </c:pt>
                <c:pt idx="10">
                  <c:v>0.20908799761278896</c:v>
                </c:pt>
                <c:pt idx="11">
                  <c:v>0.23231999734754327</c:v>
                </c:pt>
                <c:pt idx="12">
                  <c:v>0.24103199724807614</c:v>
                </c:pt>
                <c:pt idx="13">
                  <c:v>0.25555199708229764</c:v>
                </c:pt>
                <c:pt idx="14">
                  <c:v>0.27587999685020764</c:v>
                </c:pt>
                <c:pt idx="15">
                  <c:v>0.31943999635287207</c:v>
                </c:pt>
                <c:pt idx="16">
                  <c:v>4.8418033582336178E-2</c:v>
                </c:pt>
                <c:pt idx="17">
                  <c:v>6.9700685706440002E-2</c:v>
                </c:pt>
                <c:pt idx="18">
                  <c:v>8.4332509041761372E-2</c:v>
                </c:pt>
                <c:pt idx="19">
                  <c:v>0.10854152583292943</c:v>
                </c:pt>
                <c:pt idx="20">
                  <c:v>0.14392393498925204</c:v>
                </c:pt>
                <c:pt idx="21">
                  <c:v>0.27932606045708902</c:v>
                </c:pt>
                <c:pt idx="22">
                  <c:v>0.35913350630197144</c:v>
                </c:pt>
                <c:pt idx="23">
                  <c:v>0.45193571713743219</c:v>
                </c:pt>
                <c:pt idx="24">
                  <c:v>0.45193571713743219</c:v>
                </c:pt>
                <c:pt idx="25">
                  <c:v>0.45193571713743219</c:v>
                </c:pt>
                <c:pt idx="26">
                  <c:v>8.3899400744937097E-2</c:v>
                </c:pt>
                <c:pt idx="27">
                  <c:v>0.10487425093117136</c:v>
                </c:pt>
                <c:pt idx="28">
                  <c:v>0.18877365167610849</c:v>
                </c:pt>
                <c:pt idx="29">
                  <c:v>0.27267305242104556</c:v>
                </c:pt>
                <c:pt idx="30">
                  <c:v>0.35657245316598268</c:v>
                </c:pt>
                <c:pt idx="31">
                  <c:v>0.41949700372468546</c:v>
                </c:pt>
                <c:pt idx="32">
                  <c:v>0.46969896597778604</c:v>
                </c:pt>
                <c:pt idx="33">
                  <c:v>0.19951861461220641</c:v>
                </c:pt>
                <c:pt idx="34">
                  <c:v>0.23942233753464767</c:v>
                </c:pt>
                <c:pt idx="35">
                  <c:v>0.27932606045708902</c:v>
                </c:pt>
                <c:pt idx="36">
                  <c:v>0.35913350630197144</c:v>
                </c:pt>
                <c:pt idx="37">
                  <c:v>0.45193571713743219</c:v>
                </c:pt>
                <c:pt idx="38">
                  <c:v>0.19951861461220641</c:v>
                </c:pt>
                <c:pt idx="39">
                  <c:v>0.27932606045708902</c:v>
                </c:pt>
                <c:pt idx="40">
                  <c:v>0.35913350630197144</c:v>
                </c:pt>
                <c:pt idx="41">
                  <c:v>0.45193571713743219</c:v>
                </c:pt>
                <c:pt idx="42">
                  <c:v>0.42115359778442191</c:v>
                </c:pt>
                <c:pt idx="43">
                  <c:v>0.50538431734130629</c:v>
                </c:pt>
                <c:pt idx="44">
                  <c:v>0.33692287822753753</c:v>
                </c:pt>
                <c:pt idx="45">
                  <c:v>0.42115359778442191</c:v>
                </c:pt>
                <c:pt idx="46">
                  <c:v>0.50538431734130629</c:v>
                </c:pt>
                <c:pt idx="47">
                  <c:v>0.33692287822753753</c:v>
                </c:pt>
                <c:pt idx="48">
                  <c:v>0.42115359778442191</c:v>
                </c:pt>
                <c:pt idx="49">
                  <c:v>0.50538431734130629</c:v>
                </c:pt>
                <c:pt idx="50">
                  <c:v>0.20974850186234273</c:v>
                </c:pt>
                <c:pt idx="51">
                  <c:v>0.31462275279351415</c:v>
                </c:pt>
                <c:pt idx="52">
                  <c:v>0.41949700372468546</c:v>
                </c:pt>
                <c:pt idx="53">
                  <c:v>0.46969896597778604</c:v>
                </c:pt>
                <c:pt idx="54">
                  <c:v>0.20974850186234273</c:v>
                </c:pt>
                <c:pt idx="55">
                  <c:v>0.31462275279351415</c:v>
                </c:pt>
                <c:pt idx="56">
                  <c:v>0.41949700372468546</c:v>
                </c:pt>
                <c:pt idx="57">
                  <c:v>0.46969896597778604</c:v>
                </c:pt>
                <c:pt idx="58">
                  <c:v>0.10855043654205788</c:v>
                </c:pt>
                <c:pt idx="59">
                  <c:v>0.18091739423676312</c:v>
                </c:pt>
                <c:pt idx="60">
                  <c:v>0.36183478847352624</c:v>
                </c:pt>
                <c:pt idx="61">
                  <c:v>0.10855043654205788</c:v>
                </c:pt>
                <c:pt idx="62">
                  <c:v>0.18091739423676312</c:v>
                </c:pt>
                <c:pt idx="63">
                  <c:v>0.36183478847352624</c:v>
                </c:pt>
                <c:pt idx="64">
                  <c:v>0.10855043654205788</c:v>
                </c:pt>
                <c:pt idx="65">
                  <c:v>0.18091739423676312</c:v>
                </c:pt>
                <c:pt idx="66">
                  <c:v>0.36183478847352624</c:v>
                </c:pt>
                <c:pt idx="67">
                  <c:v>0.14133750002718667</c:v>
                </c:pt>
                <c:pt idx="68">
                  <c:v>0.16448760779026034</c:v>
                </c:pt>
                <c:pt idx="69">
                  <c:v>0.14698610892576175</c:v>
                </c:pt>
                <c:pt idx="70">
                  <c:v>0.16858122445513909</c:v>
                </c:pt>
                <c:pt idx="71">
                  <c:v>0.19817501382220473</c:v>
                </c:pt>
                <c:pt idx="72">
                  <c:v>0.14464187891341146</c:v>
                </c:pt>
                <c:pt idx="73">
                  <c:v>0.18969426742742493</c:v>
                </c:pt>
                <c:pt idx="74">
                  <c:v>0.25148969879103655</c:v>
                </c:pt>
                <c:pt idx="75">
                  <c:v>0.28745198676703199</c:v>
                </c:pt>
                <c:pt idx="76">
                  <c:v>0.32341427474302747</c:v>
                </c:pt>
                <c:pt idx="77">
                  <c:v>0.35931498345878993</c:v>
                </c:pt>
                <c:pt idx="78">
                  <c:v>0.39521569217455249</c:v>
                </c:pt>
                <c:pt idx="79">
                  <c:v>0.43117798015054798</c:v>
                </c:pt>
                <c:pt idx="80">
                  <c:v>0.46714026812654336</c:v>
                </c:pt>
                <c:pt idx="81">
                  <c:v>0.50297939758207311</c:v>
                </c:pt>
                <c:pt idx="82">
                  <c:v>0.28745198676703199</c:v>
                </c:pt>
                <c:pt idx="83">
                  <c:v>0.32341427474302747</c:v>
                </c:pt>
                <c:pt idx="84">
                  <c:v>0.35931498345878993</c:v>
                </c:pt>
                <c:pt idx="85">
                  <c:v>0.39521569217455249</c:v>
                </c:pt>
                <c:pt idx="86">
                  <c:v>0.43117798015054798</c:v>
                </c:pt>
                <c:pt idx="87">
                  <c:v>0.46714026812654336</c:v>
                </c:pt>
                <c:pt idx="88">
                  <c:v>0.50297939758207311</c:v>
                </c:pt>
                <c:pt idx="89">
                  <c:v>0.2642822803837333</c:v>
                </c:pt>
                <c:pt idx="90">
                  <c:v>0.29734587330234952</c:v>
                </c:pt>
                <c:pt idx="91">
                  <c:v>0.33035285047966667</c:v>
                </c:pt>
                <c:pt idx="92">
                  <c:v>0.36335982765698382</c:v>
                </c:pt>
                <c:pt idx="93">
                  <c:v>0.39642342057560004</c:v>
                </c:pt>
                <c:pt idx="94">
                  <c:v>0.42948701349421625</c:v>
                </c:pt>
                <c:pt idx="95">
                  <c:v>0.46243737493023435</c:v>
                </c:pt>
                <c:pt idx="96">
                  <c:v>0.23121868746511717</c:v>
                </c:pt>
                <c:pt idx="97">
                  <c:v>0.2642822803837333</c:v>
                </c:pt>
                <c:pt idx="98">
                  <c:v>0.29734587330234952</c:v>
                </c:pt>
                <c:pt idx="99">
                  <c:v>0.33035285047966667</c:v>
                </c:pt>
                <c:pt idx="100">
                  <c:v>0.36335982765698382</c:v>
                </c:pt>
                <c:pt idx="101">
                  <c:v>0.39642342057560004</c:v>
                </c:pt>
                <c:pt idx="102">
                  <c:v>0.42948701349421625</c:v>
                </c:pt>
                <c:pt idx="103">
                  <c:v>0.46243737493023435</c:v>
                </c:pt>
                <c:pt idx="104">
                  <c:v>0.19624775636841521</c:v>
                </c:pt>
                <c:pt idx="105">
                  <c:v>0.21130393804603426</c:v>
                </c:pt>
                <c:pt idx="106">
                  <c:v>0.22641185917959003</c:v>
                </c:pt>
                <c:pt idx="107">
                  <c:v>0.24151978031314592</c:v>
                </c:pt>
                <c:pt idx="108">
                  <c:v>0.25662770144670172</c:v>
                </c:pt>
                <c:pt idx="109">
                  <c:v>0.21130393804603426</c:v>
                </c:pt>
                <c:pt idx="110">
                  <c:v>0.22641185917959003</c:v>
                </c:pt>
                <c:pt idx="111">
                  <c:v>0.24151978031314592</c:v>
                </c:pt>
                <c:pt idx="112">
                  <c:v>0.25662770144670172</c:v>
                </c:pt>
                <c:pt idx="113">
                  <c:v>0.24254206377240639</c:v>
                </c:pt>
                <c:pt idx="114">
                  <c:v>0.33343041743444302</c:v>
                </c:pt>
                <c:pt idx="115">
                  <c:v>0.42431877109647964</c:v>
                </c:pt>
                <c:pt idx="116">
                  <c:v>0.33343041743444302</c:v>
                </c:pt>
                <c:pt idx="117">
                  <c:v>0.42431877109647964</c:v>
                </c:pt>
                <c:pt idx="118">
                  <c:v>0.26293747900386055</c:v>
                </c:pt>
                <c:pt idx="119">
                  <c:v>0.319258236440428</c:v>
                </c:pt>
                <c:pt idx="120">
                  <c:v>0.3755789938769955</c:v>
                </c:pt>
                <c:pt idx="121">
                  <c:v>0.26293747900386055</c:v>
                </c:pt>
                <c:pt idx="122">
                  <c:v>0.319258236440428</c:v>
                </c:pt>
                <c:pt idx="123">
                  <c:v>0.3755789938769955</c:v>
                </c:pt>
                <c:pt idx="124">
                  <c:v>0.23113702289701121</c:v>
                </c:pt>
                <c:pt idx="125">
                  <c:v>0.26579767328859388</c:v>
                </c:pt>
                <c:pt idx="126">
                  <c:v>0.30045832368017661</c:v>
                </c:pt>
                <c:pt idx="127">
                  <c:v>0.23113702289701121</c:v>
                </c:pt>
                <c:pt idx="128">
                  <c:v>0.26579767328859388</c:v>
                </c:pt>
                <c:pt idx="129">
                  <c:v>0.30045832368017661</c:v>
                </c:pt>
                <c:pt idx="130">
                  <c:v>0.23187521693293625</c:v>
                </c:pt>
                <c:pt idx="131">
                  <c:v>0.24884169622071209</c:v>
                </c:pt>
                <c:pt idx="132">
                  <c:v>0.26807037274685808</c:v>
                </c:pt>
                <c:pt idx="133">
                  <c:v>0.28503685203463386</c:v>
                </c:pt>
                <c:pt idx="134">
                  <c:v>0.30426552856077982</c:v>
                </c:pt>
                <c:pt idx="135">
                  <c:v>0.32123200784855555</c:v>
                </c:pt>
                <c:pt idx="136">
                  <c:v>0.34159178299388665</c:v>
                </c:pt>
                <c:pt idx="137">
                  <c:v>0.21264654040679032</c:v>
                </c:pt>
                <c:pt idx="138">
                  <c:v>0.23187521693293625</c:v>
                </c:pt>
                <c:pt idx="139">
                  <c:v>0.24997279483989715</c:v>
                </c:pt>
                <c:pt idx="140">
                  <c:v>0.26637372481808047</c:v>
                </c:pt>
                <c:pt idx="141">
                  <c:v>0.28503685203463386</c:v>
                </c:pt>
                <c:pt idx="142">
                  <c:v>0.30369997925118725</c:v>
                </c:pt>
                <c:pt idx="143">
                  <c:v>0.31953535991977811</c:v>
                </c:pt>
                <c:pt idx="144">
                  <c:v>0.33480519127877628</c:v>
                </c:pt>
                <c:pt idx="145">
                  <c:v>0.17073851136246324</c:v>
                </c:pt>
                <c:pt idx="146">
                  <c:v>0.19952850381041692</c:v>
                </c:pt>
                <c:pt idx="147">
                  <c:v>0.22739475318517421</c:v>
                </c:pt>
                <c:pt idx="148">
                  <c:v>0.25510704538106549</c:v>
                </c:pt>
                <c:pt idx="149">
                  <c:v>0.28251142321922457</c:v>
                </c:pt>
                <c:pt idx="150">
                  <c:v>0.31068558695171394</c:v>
                </c:pt>
                <c:pt idx="151">
                  <c:v>0.14394996223976839</c:v>
                </c:pt>
                <c:pt idx="152">
                  <c:v>0.17120038289906145</c:v>
                </c:pt>
                <c:pt idx="153">
                  <c:v>0.19906663227381871</c:v>
                </c:pt>
                <c:pt idx="154">
                  <c:v>0.22662496729084392</c:v>
                </c:pt>
                <c:pt idx="155">
                  <c:v>0.25526100255993156</c:v>
                </c:pt>
                <c:pt idx="156">
                  <c:v>0.28251142321922457</c:v>
                </c:pt>
                <c:pt idx="157">
                  <c:v>0.295751740601706</c:v>
                </c:pt>
                <c:pt idx="158">
                  <c:v>0.26142925199470496</c:v>
                </c:pt>
                <c:pt idx="159">
                  <c:v>0.27825946135058727</c:v>
                </c:pt>
                <c:pt idx="160">
                  <c:v>0.28162550322176372</c:v>
                </c:pt>
                <c:pt idx="161">
                  <c:v>0.2958376800111755</c:v>
                </c:pt>
                <c:pt idx="162">
                  <c:v>0.30556180097235186</c:v>
                </c:pt>
                <c:pt idx="163">
                  <c:v>0.31640793589058713</c:v>
                </c:pt>
                <c:pt idx="164">
                  <c:v>0.32613205685176361</c:v>
                </c:pt>
                <c:pt idx="165">
                  <c:v>0.33772620107470475</c:v>
                </c:pt>
                <c:pt idx="166">
                  <c:v>0.26030723803764622</c:v>
                </c:pt>
                <c:pt idx="167">
                  <c:v>0.27152737760823437</c:v>
                </c:pt>
                <c:pt idx="168">
                  <c:v>0.28199950787411665</c:v>
                </c:pt>
                <c:pt idx="169">
                  <c:v>0.29284564279235192</c:v>
                </c:pt>
                <c:pt idx="170">
                  <c:v>0.30443978701529306</c:v>
                </c:pt>
                <c:pt idx="171">
                  <c:v>0.31640793589058713</c:v>
                </c:pt>
                <c:pt idx="172">
                  <c:v>0.32725407080882235</c:v>
                </c:pt>
                <c:pt idx="173">
                  <c:v>0.33697819176999888</c:v>
                </c:pt>
                <c:pt idx="174">
                  <c:v>0.27264939156529311</c:v>
                </c:pt>
                <c:pt idx="175">
                  <c:v>0.28349552648352838</c:v>
                </c:pt>
                <c:pt idx="176">
                  <c:v>0.29882971722999896</c:v>
                </c:pt>
                <c:pt idx="177">
                  <c:v>0.30780582888646951</c:v>
                </c:pt>
                <c:pt idx="178">
                  <c:v>0.31640793589058713</c:v>
                </c:pt>
                <c:pt idx="179">
                  <c:v>0.32575805219941062</c:v>
                </c:pt>
                <c:pt idx="180">
                  <c:v>0.33810020572705757</c:v>
                </c:pt>
                <c:pt idx="181">
                  <c:v>0.1898757685393937</c:v>
                </c:pt>
                <c:pt idx="182">
                  <c:v>0.21938754499836161</c:v>
                </c:pt>
                <c:pt idx="183">
                  <c:v>0.24879928153712966</c:v>
                </c:pt>
                <c:pt idx="184">
                  <c:v>0.1898757685393937</c:v>
                </c:pt>
                <c:pt idx="185">
                  <c:v>0.21898738531756209</c:v>
                </c:pt>
                <c:pt idx="186">
                  <c:v>0.24829908193613023</c:v>
                </c:pt>
                <c:pt idx="187">
                  <c:v>0.13025197610025843</c:v>
                </c:pt>
                <c:pt idx="188">
                  <c:v>0.16066411184102541</c:v>
                </c:pt>
                <c:pt idx="189">
                  <c:v>0.18937556893839419</c:v>
                </c:pt>
                <c:pt idx="190">
                  <c:v>0.21818706595596291</c:v>
                </c:pt>
                <c:pt idx="191">
                  <c:v>0.25890331347731865</c:v>
                </c:pt>
                <c:pt idx="192">
                  <c:v>0.18553423573636568</c:v>
                </c:pt>
                <c:pt idx="193">
                  <c:v>0.23236812048535119</c:v>
                </c:pt>
                <c:pt idx="194">
                  <c:v>0.27920200523433669</c:v>
                </c:pt>
                <c:pt idx="195">
                  <c:v>0.15058108016807392</c:v>
                </c:pt>
                <c:pt idx="196">
                  <c:v>0.18797369739101846</c:v>
                </c:pt>
                <c:pt idx="197">
                  <c:v>0.22536631461396298</c:v>
                </c:pt>
                <c:pt idx="198">
                  <c:v>0.17990147855742625</c:v>
                </c:pt>
                <c:pt idx="199">
                  <c:v>0.24193647116343533</c:v>
                </c:pt>
                <c:pt idx="200">
                  <c:v>0.27915746672704078</c:v>
                </c:pt>
                <c:pt idx="201">
                  <c:v>0.31017496303004533</c:v>
                </c:pt>
                <c:pt idx="202">
                  <c:v>0.3598029571148525</c:v>
                </c:pt>
                <c:pt idx="203">
                  <c:v>0.38713656797945217</c:v>
                </c:pt>
                <c:pt idx="204">
                  <c:v>0.20519523255216443</c:v>
                </c:pt>
                <c:pt idx="205">
                  <c:v>0.23335928407893206</c:v>
                </c:pt>
                <c:pt idx="206">
                  <c:v>0.26957020747049049</c:v>
                </c:pt>
                <c:pt idx="207">
                  <c:v>0.28566395120007193</c:v>
                </c:pt>
                <c:pt idx="208">
                  <c:v>0.32187487459163039</c:v>
                </c:pt>
                <c:pt idx="209">
                  <c:v>0.38075707004060283</c:v>
                </c:pt>
                <c:pt idx="210">
                  <c:v>0.15281153215677173</c:v>
                </c:pt>
                <c:pt idx="211">
                  <c:v>0.17528381629747347</c:v>
                </c:pt>
                <c:pt idx="212">
                  <c:v>0.19550887202410502</c:v>
                </c:pt>
                <c:pt idx="213">
                  <c:v>0.22022838457887689</c:v>
                </c:pt>
                <c:pt idx="214">
                  <c:v>0.2449478971336489</c:v>
                </c:pt>
                <c:pt idx="215">
                  <c:v>0.26742018127435052</c:v>
                </c:pt>
                <c:pt idx="216">
                  <c:v>0.28989246541505231</c:v>
                </c:pt>
                <c:pt idx="217">
                  <c:v>0.3100043368965783</c:v>
                </c:pt>
                <c:pt idx="218">
                  <c:v>0.28536096598764171</c:v>
                </c:pt>
                <c:pt idx="219">
                  <c:v>0.34119245933304981</c:v>
                </c:pt>
                <c:pt idx="220">
                  <c:v>0.38713656797945217</c:v>
                </c:pt>
                <c:pt idx="221">
                  <c:v>0.20117179661976903</c:v>
                </c:pt>
                <c:pt idx="222">
                  <c:v>0.22933584814653671</c:v>
                </c:pt>
                <c:pt idx="223">
                  <c:v>0.26554677153809503</c:v>
                </c:pt>
                <c:pt idx="224">
                  <c:v>0.28164051526767664</c:v>
                </c:pt>
                <c:pt idx="225">
                  <c:v>0.30578113086204883</c:v>
                </c:pt>
                <c:pt idx="226">
                  <c:v>0.32187487459163039</c:v>
                </c:pt>
                <c:pt idx="227">
                  <c:v>0.36130454672910511</c:v>
                </c:pt>
                <c:pt idx="228">
                  <c:v>0.38075707004060283</c:v>
                </c:pt>
                <c:pt idx="229">
                  <c:v>0.18876718678189455</c:v>
                </c:pt>
                <c:pt idx="230">
                  <c:v>0.19775610043817518</c:v>
                </c:pt>
                <c:pt idx="231">
                  <c:v>0.22022838457887689</c:v>
                </c:pt>
                <c:pt idx="232">
                  <c:v>0.2449478971336489</c:v>
                </c:pt>
                <c:pt idx="233">
                  <c:v>0.26742018127435052</c:v>
                </c:pt>
                <c:pt idx="234">
                  <c:v>0.28764523700098216</c:v>
                </c:pt>
                <c:pt idx="235">
                  <c:v>0.3100043368965783</c:v>
                </c:pt>
                <c:pt idx="236">
                  <c:v>0</c:v>
                </c:pt>
                <c:pt idx="237">
                  <c:v>0.11044982359729417</c:v>
                </c:pt>
                <c:pt idx="238">
                  <c:v>0.14737162177124677</c:v>
                </c:pt>
                <c:pt idx="239">
                  <c:v>0.16851487371701451</c:v>
                </c:pt>
                <c:pt idx="240">
                  <c:v>0.19281383490841922</c:v>
                </c:pt>
                <c:pt idx="241">
                  <c:v>0.23068234585606295</c:v>
                </c:pt>
                <c:pt idx="242">
                  <c:v>0.24993217225444855</c:v>
                </c:pt>
                <c:pt idx="243">
                  <c:v>0.27358028479302049</c:v>
                </c:pt>
                <c:pt idx="244">
                  <c:v>0.28199361842550319</c:v>
                </c:pt>
                <c:pt idx="245">
                  <c:v>0.29185886340253192</c:v>
                </c:pt>
                <c:pt idx="246">
                  <c:v>0.28303418528316193</c:v>
                </c:pt>
                <c:pt idx="247">
                  <c:v>0.29185886340253192</c:v>
                </c:pt>
                <c:pt idx="248">
                  <c:v>0.28303418528316193</c:v>
                </c:pt>
                <c:pt idx="249">
                  <c:v>0.29185886340253192</c:v>
                </c:pt>
                <c:pt idx="250">
                  <c:v>0.28407475214082062</c:v>
                </c:pt>
                <c:pt idx="251">
                  <c:v>0.29185886340253192</c:v>
                </c:pt>
                <c:pt idx="252">
                  <c:v>0.24661873508292353</c:v>
                </c:pt>
                <c:pt idx="253">
                  <c:v>0.29271457269954582</c:v>
                </c:pt>
                <c:pt idx="254">
                  <c:v>0.24819962441037818</c:v>
                </c:pt>
                <c:pt idx="255">
                  <c:v>0.29271457269954582</c:v>
                </c:pt>
                <c:pt idx="256">
                  <c:v>0.20291053724344324</c:v>
                </c:pt>
                <c:pt idx="257">
                  <c:v>0.28511531899847925</c:v>
                </c:pt>
                <c:pt idx="258">
                  <c:v>0.29185886340253192</c:v>
                </c:pt>
                <c:pt idx="259">
                  <c:v>0.20395110410110193</c:v>
                </c:pt>
                <c:pt idx="260">
                  <c:v>0.28615588585613794</c:v>
                </c:pt>
                <c:pt idx="261">
                  <c:v>0.14814917423039506</c:v>
                </c:pt>
                <c:pt idx="262">
                  <c:v>0.20680722291045003</c:v>
                </c:pt>
                <c:pt idx="263">
                  <c:v>0.26621729785563381</c:v>
                </c:pt>
                <c:pt idx="264">
                  <c:v>0.29484546616440754</c:v>
                </c:pt>
                <c:pt idx="265">
                  <c:v>0.14739714796526618</c:v>
                </c:pt>
                <c:pt idx="266">
                  <c:v>0.20530317038019216</c:v>
                </c:pt>
                <c:pt idx="267">
                  <c:v>0.26396121906024711</c:v>
                </c:pt>
                <c:pt idx="268">
                  <c:v>0.28615588585613794</c:v>
                </c:pt>
                <c:pt idx="269">
                  <c:v>0.29185886340253192</c:v>
                </c:pt>
                <c:pt idx="270">
                  <c:v>0.28615588585613794</c:v>
                </c:pt>
                <c:pt idx="271">
                  <c:v>0.29185886340253192</c:v>
                </c:pt>
                <c:pt idx="272">
                  <c:v>0.17597414604016473</c:v>
                </c:pt>
                <c:pt idx="273">
                  <c:v>0.20605519664532107</c:v>
                </c:pt>
                <c:pt idx="274">
                  <c:v>0.23538422098534853</c:v>
                </c:pt>
                <c:pt idx="275">
                  <c:v>0.26546527159050493</c:v>
                </c:pt>
                <c:pt idx="276">
                  <c:v>0.29404226966540348</c:v>
                </c:pt>
                <c:pt idx="277">
                  <c:v>0.29484546616440754</c:v>
                </c:pt>
                <c:pt idx="278">
                  <c:v>0.23538422098534853</c:v>
                </c:pt>
                <c:pt idx="279">
                  <c:v>0.26396121906024711</c:v>
                </c:pt>
                <c:pt idx="280">
                  <c:v>0.29404226966540348</c:v>
                </c:pt>
                <c:pt idx="281">
                  <c:v>0.29484546616440754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42-4F8C-9CA2-0651F51D93DE}"/>
            </c:ext>
          </c:extLst>
        </c:ser>
        <c:ser>
          <c:idx val="5"/>
          <c:order val="2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42-4F8C-9CA2-0651F51D93DE}"/>
            </c:ext>
          </c:extLst>
        </c:ser>
        <c:ser>
          <c:idx val="6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42-4F8C-9CA2-0651F51D93DE}"/>
            </c:ext>
          </c:extLst>
        </c:ser>
        <c:ser>
          <c:idx val="7"/>
          <c:order val="4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42-4F8C-9CA2-0651F51D9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6360065825652106"/>
          <c:y val="4.4610799807164939E-2"/>
          <c:w val="0.32893765439403427"/>
          <c:h val="0.1683970963357279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'Dados gerais'!$AQ$2</c:f>
              <c:strCache>
                <c:ptCount val="1"/>
                <c:pt idx="0">
                  <c:v>Clark (1956)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gerais'!$AQ$28:$AQ$309</c:f>
              <c:numCache>
                <c:formatCode>0.00</c:formatCode>
                <c:ptCount val="282"/>
                <c:pt idx="0">
                  <c:v>0.1060172840918551</c:v>
                </c:pt>
                <c:pt idx="1">
                  <c:v>0.1358817516989633</c:v>
                </c:pt>
                <c:pt idx="2">
                  <c:v>0.16775955420093275</c:v>
                </c:pt>
                <c:pt idx="3">
                  <c:v>0.1999729125187123</c:v>
                </c:pt>
                <c:pt idx="4">
                  <c:v>0.22077737309894505</c:v>
                </c:pt>
                <c:pt idx="5">
                  <c:v>0.26540629660170212</c:v>
                </c:pt>
                <c:pt idx="6">
                  <c:v>0.26876185475980424</c:v>
                </c:pt>
                <c:pt idx="7">
                  <c:v>0.29560632002462056</c:v>
                </c:pt>
                <c:pt idx="8">
                  <c:v>0.36237934105237524</c:v>
                </c:pt>
                <c:pt idx="9">
                  <c:v>0.36237934105237524</c:v>
                </c:pt>
                <c:pt idx="10">
                  <c:v>0.13324468767213826</c:v>
                </c:pt>
                <c:pt idx="11">
                  <c:v>0.15994528174100089</c:v>
                </c:pt>
                <c:pt idx="12">
                  <c:v>0.1699580045168243</c:v>
                </c:pt>
                <c:pt idx="13">
                  <c:v>0.18664587580986336</c:v>
                </c:pt>
                <c:pt idx="14">
                  <c:v>0.21000889562011807</c:v>
                </c:pt>
                <c:pt idx="15">
                  <c:v>0.26007250949923538</c:v>
                </c:pt>
                <c:pt idx="16">
                  <c:v>5.3334062616951713E-2</c:v>
                </c:pt>
                <c:pt idx="17">
                  <c:v>7.9691697338688736E-2</c:v>
                </c:pt>
                <c:pt idx="18">
                  <c:v>9.7812571209882959E-2</c:v>
                </c:pt>
                <c:pt idx="19">
                  <c:v>0.12779438070585877</c:v>
                </c:pt>
                <c:pt idx="20">
                  <c:v>0.17161394843074659</c:v>
                </c:pt>
                <c:pt idx="21">
                  <c:v>0.19901621546256626</c:v>
                </c:pt>
                <c:pt idx="22">
                  <c:v>0.29782409498510426</c:v>
                </c:pt>
                <c:pt idx="23">
                  <c:v>0.42873730970005475</c:v>
                </c:pt>
                <c:pt idx="24">
                  <c:v>0.42873730970005475</c:v>
                </c:pt>
                <c:pt idx="25">
                  <c:v>0.42873730970005475</c:v>
                </c:pt>
                <c:pt idx="26">
                  <c:v>3.4841196424858105E-2</c:v>
                </c:pt>
                <c:pt idx="27">
                  <c:v>4.8609340041895432E-2</c:v>
                </c:pt>
                <c:pt idx="28">
                  <c:v>0.10368191451004474</c:v>
                </c:pt>
                <c:pt idx="29">
                  <c:v>0.15875448897819405</c:v>
                </c:pt>
                <c:pt idx="30">
                  <c:v>0.21382706344634334</c:v>
                </c:pt>
                <c:pt idx="31">
                  <c:v>0.25513149429745535</c:v>
                </c:pt>
                <c:pt idx="32">
                  <c:v>0.30292608122351122</c:v>
                </c:pt>
                <c:pt idx="33">
                  <c:v>0.1002083359400282</c:v>
                </c:pt>
                <c:pt idx="34">
                  <c:v>0.14961227570129726</c:v>
                </c:pt>
                <c:pt idx="35">
                  <c:v>0.19901621546256626</c:v>
                </c:pt>
                <c:pt idx="36">
                  <c:v>0.29782409498510426</c:v>
                </c:pt>
                <c:pt idx="37">
                  <c:v>0.42873730970005475</c:v>
                </c:pt>
                <c:pt idx="38">
                  <c:v>0.1002083359400282</c:v>
                </c:pt>
                <c:pt idx="39">
                  <c:v>0.19901621546256626</c:v>
                </c:pt>
                <c:pt idx="40">
                  <c:v>0.29782409498510426</c:v>
                </c:pt>
                <c:pt idx="41">
                  <c:v>0.42873730970005475</c:v>
                </c:pt>
                <c:pt idx="42">
                  <c:v>0.35388215107782112</c:v>
                </c:pt>
                <c:pt idx="43">
                  <c:v>0.48460524761713825</c:v>
                </c:pt>
                <c:pt idx="44">
                  <c:v>0.22315905453850413</c:v>
                </c:pt>
                <c:pt idx="45">
                  <c:v>0.35388215107782112</c:v>
                </c:pt>
                <c:pt idx="46">
                  <c:v>0.48460524761713825</c:v>
                </c:pt>
                <c:pt idx="47">
                  <c:v>0.22315905453850413</c:v>
                </c:pt>
                <c:pt idx="48">
                  <c:v>0.35388215107782112</c:v>
                </c:pt>
                <c:pt idx="49">
                  <c:v>0.48460524761713825</c:v>
                </c:pt>
                <c:pt idx="50">
                  <c:v>0.11745005812708208</c:v>
                </c:pt>
                <c:pt idx="51">
                  <c:v>0.18629077621226869</c:v>
                </c:pt>
                <c:pt idx="52">
                  <c:v>0.25513149429745535</c:v>
                </c:pt>
                <c:pt idx="53">
                  <c:v>0.30292608122351122</c:v>
                </c:pt>
                <c:pt idx="54">
                  <c:v>0.11745005812708208</c:v>
                </c:pt>
                <c:pt idx="55">
                  <c:v>0.18629077621226869</c:v>
                </c:pt>
                <c:pt idx="56">
                  <c:v>0.25513149429745535</c:v>
                </c:pt>
                <c:pt idx="57">
                  <c:v>0.30292608122351122</c:v>
                </c:pt>
                <c:pt idx="58">
                  <c:v>6.2554745306432749E-2</c:v>
                </c:pt>
                <c:pt idx="59">
                  <c:v>0.12972038637164129</c:v>
                </c:pt>
                <c:pt idx="60">
                  <c:v>0.29763448903466261</c:v>
                </c:pt>
                <c:pt idx="61">
                  <c:v>6.2554745306432749E-2</c:v>
                </c:pt>
                <c:pt idx="62">
                  <c:v>0.12972038637164129</c:v>
                </c:pt>
                <c:pt idx="63">
                  <c:v>0.29763448903466261</c:v>
                </c:pt>
                <c:pt idx="64">
                  <c:v>6.2554745306432749E-2</c:v>
                </c:pt>
                <c:pt idx="65">
                  <c:v>0.12972038637164129</c:v>
                </c:pt>
                <c:pt idx="66">
                  <c:v>0.29763448903466261</c:v>
                </c:pt>
                <c:pt idx="67">
                  <c:v>0.10572052130096984</c:v>
                </c:pt>
                <c:pt idx="68">
                  <c:v>0.12620235173470354</c:v>
                </c:pt>
                <c:pt idx="69">
                  <c:v>8.5929874012790203E-2</c:v>
                </c:pt>
                <c:pt idx="70">
                  <c:v>9.9764479324658137E-2</c:v>
                </c:pt>
                <c:pt idx="71">
                  <c:v>0.11940069331569654</c:v>
                </c:pt>
                <c:pt idx="72">
                  <c:v>6.8099250668552158E-2</c:v>
                </c:pt>
                <c:pt idx="73">
                  <c:v>9.0733600949242044E-2</c:v>
                </c:pt>
                <c:pt idx="74">
                  <c:v>0.17060852360291542</c:v>
                </c:pt>
                <c:pt idx="75">
                  <c:v>0.21206575978511477</c:v>
                </c:pt>
                <c:pt idx="76">
                  <c:v>0.25352299596731431</c:v>
                </c:pt>
                <c:pt idx="77">
                  <c:v>0.29490924373139349</c:v>
                </c:pt>
                <c:pt idx="78">
                  <c:v>0.33629549149547283</c:v>
                </c:pt>
                <c:pt idx="79">
                  <c:v>0.37775272767767221</c:v>
                </c:pt>
                <c:pt idx="80">
                  <c:v>0.41920996385987175</c:v>
                </c:pt>
                <c:pt idx="81">
                  <c:v>0.46052522320583089</c:v>
                </c:pt>
                <c:pt idx="82">
                  <c:v>0.21206575978511477</c:v>
                </c:pt>
                <c:pt idx="83">
                  <c:v>0.25352299596731431</c:v>
                </c:pt>
                <c:pt idx="84">
                  <c:v>0.29490924373139349</c:v>
                </c:pt>
                <c:pt idx="85">
                  <c:v>0.33629549149547283</c:v>
                </c:pt>
                <c:pt idx="86">
                  <c:v>0.33629549149547283</c:v>
                </c:pt>
                <c:pt idx="87">
                  <c:v>0.41920996385987175</c:v>
                </c:pt>
                <c:pt idx="88">
                  <c:v>0.46052522320583089</c:v>
                </c:pt>
                <c:pt idx="89">
                  <c:v>0.14579520985226643</c:v>
                </c:pt>
                <c:pt idx="90">
                  <c:v>0.17429705972752854</c:v>
                </c:pt>
                <c:pt idx="91">
                  <c:v>0.20275010506533303</c:v>
                </c:pt>
                <c:pt idx="92">
                  <c:v>0.23120315040313752</c:v>
                </c:pt>
                <c:pt idx="93">
                  <c:v>0.25970500027839966</c:v>
                </c:pt>
                <c:pt idx="94">
                  <c:v>0.28820685015366176</c:v>
                </c:pt>
                <c:pt idx="95">
                  <c:v>0.31661109095400869</c:v>
                </c:pt>
                <c:pt idx="96">
                  <c:v>0.11729335997700432</c:v>
                </c:pt>
                <c:pt idx="97">
                  <c:v>0.14579520985226643</c:v>
                </c:pt>
                <c:pt idx="98">
                  <c:v>0.17429705972752854</c:v>
                </c:pt>
                <c:pt idx="99">
                  <c:v>0.20275010506533303</c:v>
                </c:pt>
                <c:pt idx="100">
                  <c:v>0.23120315040313752</c:v>
                </c:pt>
                <c:pt idx="101">
                  <c:v>0.25970500027839966</c:v>
                </c:pt>
                <c:pt idx="102">
                  <c:v>0.28820685015366176</c:v>
                </c:pt>
                <c:pt idx="103">
                  <c:v>0.31661109095400869</c:v>
                </c:pt>
                <c:pt idx="104">
                  <c:v>0.13012496114856792</c:v>
                </c:pt>
                <c:pt idx="105">
                  <c:v>0.14296226734899856</c:v>
                </c:pt>
                <c:pt idx="106">
                  <c:v>0.15584368800372614</c:v>
                </c:pt>
                <c:pt idx="107">
                  <c:v>0.16872510865845375</c:v>
                </c:pt>
                <c:pt idx="108">
                  <c:v>0.18160652931318141</c:v>
                </c:pt>
                <c:pt idx="109">
                  <c:v>0.14296226734899856</c:v>
                </c:pt>
                <c:pt idx="110">
                  <c:v>0.15584368800372614</c:v>
                </c:pt>
                <c:pt idx="111">
                  <c:v>0.16872510865845375</c:v>
                </c:pt>
                <c:pt idx="112">
                  <c:v>0.18160652931318141</c:v>
                </c:pt>
                <c:pt idx="113">
                  <c:v>0.17856608619280925</c:v>
                </c:pt>
                <c:pt idx="114">
                  <c:v>0.3242250679390129</c:v>
                </c:pt>
                <c:pt idx="115">
                  <c:v>0.4698840496852168</c:v>
                </c:pt>
                <c:pt idx="116">
                  <c:v>0.3242250679390129</c:v>
                </c:pt>
                <c:pt idx="117">
                  <c:v>0.4698840496852168</c:v>
                </c:pt>
                <c:pt idx="118">
                  <c:v>0.21197639111186425</c:v>
                </c:pt>
                <c:pt idx="119">
                  <c:v>0.27771355063919906</c:v>
                </c:pt>
                <c:pt idx="120">
                  <c:v>0.34345071016653367</c:v>
                </c:pt>
                <c:pt idx="121">
                  <c:v>0.21197639111186425</c:v>
                </c:pt>
                <c:pt idx="122">
                  <c:v>0.27771355063919906</c:v>
                </c:pt>
                <c:pt idx="123">
                  <c:v>0.34345071016653367</c:v>
                </c:pt>
                <c:pt idx="124">
                  <c:v>0.19540710997826596</c:v>
                </c:pt>
                <c:pt idx="125">
                  <c:v>0.2328455325563944</c:v>
                </c:pt>
                <c:pt idx="126">
                  <c:v>0.27028395513452297</c:v>
                </c:pt>
                <c:pt idx="127">
                  <c:v>0.19540710997826596</c:v>
                </c:pt>
                <c:pt idx="128">
                  <c:v>0.2328455325563944</c:v>
                </c:pt>
                <c:pt idx="129">
                  <c:v>0.27028395513452297</c:v>
                </c:pt>
                <c:pt idx="130">
                  <c:v>0.31615531622056936</c:v>
                </c:pt>
                <c:pt idx="131">
                  <c:v>0.35364191324925454</c:v>
                </c:pt>
                <c:pt idx="132">
                  <c:v>0.39612672321509768</c:v>
                </c:pt>
                <c:pt idx="133">
                  <c:v>0.43361332024378274</c:v>
                </c:pt>
                <c:pt idx="134">
                  <c:v>0.47609813020962577</c:v>
                </c:pt>
                <c:pt idx="135">
                  <c:v>0.51358472723831095</c:v>
                </c:pt>
                <c:pt idx="136">
                  <c:v>0.55856864367273318</c:v>
                </c:pt>
                <c:pt idx="137">
                  <c:v>0.27367050625472622</c:v>
                </c:pt>
                <c:pt idx="138">
                  <c:v>0.31615531622056936</c:v>
                </c:pt>
                <c:pt idx="139">
                  <c:v>0.35614101971783346</c:v>
                </c:pt>
                <c:pt idx="140">
                  <c:v>0.3923780635122292</c:v>
                </c:pt>
                <c:pt idx="141">
                  <c:v>0.43361332024378274</c:v>
                </c:pt>
                <c:pt idx="142">
                  <c:v>0.47484857697533639</c:v>
                </c:pt>
                <c:pt idx="143">
                  <c:v>0.50983606753544253</c:v>
                </c:pt>
                <c:pt idx="144">
                  <c:v>0.54357400486125895</c:v>
                </c:pt>
                <c:pt idx="145">
                  <c:v>0.17950779201610131</c:v>
                </c:pt>
                <c:pt idx="146">
                  <c:v>0.21464209910472309</c:v>
                </c:pt>
                <c:pt idx="147">
                  <c:v>0.2486491022225869</c:v>
                </c:pt>
                <c:pt idx="148">
                  <c:v>0.28246822134532446</c:v>
                </c:pt>
                <c:pt idx="149">
                  <c:v>0.31591157247780943</c:v>
                </c:pt>
                <c:pt idx="150">
                  <c:v>0.35029434358592576</c:v>
                </c:pt>
                <c:pt idx="151">
                  <c:v>0.14681597686412165</c:v>
                </c:pt>
                <c:pt idx="152">
                  <c:v>0.18007144400148026</c:v>
                </c:pt>
                <c:pt idx="153">
                  <c:v>0.2140784471193441</c:v>
                </c:pt>
                <c:pt idx="154">
                  <c:v>0.24770968224695533</c:v>
                </c:pt>
                <c:pt idx="155">
                  <c:v>0.28265610534045077</c:v>
                </c:pt>
                <c:pt idx="156">
                  <c:v>0.31591157247780943</c:v>
                </c:pt>
                <c:pt idx="157">
                  <c:v>0.33206959605867276</c:v>
                </c:pt>
                <c:pt idx="158">
                  <c:v>0.2908980476731724</c:v>
                </c:pt>
                <c:pt idx="159">
                  <c:v>0.32823091625474282</c:v>
                </c:pt>
                <c:pt idx="160">
                  <c:v>0.33569748997105692</c:v>
                </c:pt>
                <c:pt idx="161">
                  <c:v>0.3672230234399384</c:v>
                </c:pt>
                <c:pt idx="162">
                  <c:v>0.38879312528706789</c:v>
                </c:pt>
                <c:pt idx="163">
                  <c:v>0.41285208503963555</c:v>
                </c:pt>
                <c:pt idx="164">
                  <c:v>0.43442218688676498</c:v>
                </c:pt>
                <c:pt idx="165">
                  <c:v>0.46014038524295764</c:v>
                </c:pt>
                <c:pt idx="166">
                  <c:v>0.28840918976773444</c:v>
                </c:pt>
                <c:pt idx="167">
                  <c:v>0.31329776882211469</c:v>
                </c:pt>
                <c:pt idx="168">
                  <c:v>0.33652710927286961</c:v>
                </c:pt>
                <c:pt idx="169">
                  <c:v>0.36058606902543705</c:v>
                </c:pt>
                <c:pt idx="170">
                  <c:v>0.38630426738163004</c:v>
                </c:pt>
                <c:pt idx="171">
                  <c:v>0.41285208503963555</c:v>
                </c:pt>
                <c:pt idx="172">
                  <c:v>0.43691104479220294</c:v>
                </c:pt>
                <c:pt idx="173">
                  <c:v>0.45848114663933243</c:v>
                </c:pt>
                <c:pt idx="174">
                  <c:v>0.31578662672755275</c:v>
                </c:pt>
                <c:pt idx="175">
                  <c:v>0.3398455864801202</c:v>
                </c:pt>
                <c:pt idx="176">
                  <c:v>0.37385997785443986</c:v>
                </c:pt>
                <c:pt idx="177">
                  <c:v>0.39377084109794397</c:v>
                </c:pt>
                <c:pt idx="178">
                  <c:v>0.41285208503963555</c:v>
                </c:pt>
                <c:pt idx="179">
                  <c:v>0.4335925675849524</c:v>
                </c:pt>
                <c:pt idx="180">
                  <c:v>0.46097000454477061</c:v>
                </c:pt>
                <c:pt idx="181">
                  <c:v>0.19112255277280865</c:v>
                </c:pt>
                <c:pt idx="182">
                  <c:v>0.22730456924435233</c:v>
                </c:pt>
                <c:pt idx="183">
                  <c:v>0.26336393481260267</c:v>
                </c:pt>
                <c:pt idx="184">
                  <c:v>0.19112255277280865</c:v>
                </c:pt>
                <c:pt idx="185">
                  <c:v>0.22681396563117887</c:v>
                </c:pt>
                <c:pt idx="186">
                  <c:v>0.2627506802961358</c:v>
                </c:pt>
                <c:pt idx="187">
                  <c:v>0.1180226144099611</c:v>
                </c:pt>
                <c:pt idx="188">
                  <c:v>0.15530848901114511</c:v>
                </c:pt>
                <c:pt idx="189">
                  <c:v>0.1905092982563418</c:v>
                </c:pt>
                <c:pt idx="190">
                  <c:v>0.22583275840483186</c:v>
                </c:pt>
                <c:pt idx="191">
                  <c:v>0.27575167604523287</c:v>
                </c:pt>
                <c:pt idx="192">
                  <c:v>0.1794510728837965</c:v>
                </c:pt>
                <c:pt idx="193">
                  <c:v>0.2397953842270677</c:v>
                </c:pt>
                <c:pt idx="194">
                  <c:v>0.30013969557033893</c:v>
                </c:pt>
                <c:pt idx="195">
                  <c:v>0.12925750125388741</c:v>
                </c:pt>
                <c:pt idx="196">
                  <c:v>0.16816215707854121</c:v>
                </c:pt>
                <c:pt idx="197">
                  <c:v>0.20706681290319492</c:v>
                </c:pt>
                <c:pt idx="198">
                  <c:v>0.13794033861054511</c:v>
                </c:pt>
                <c:pt idx="199">
                  <c:v>0.19307532494670304</c:v>
                </c:pt>
                <c:pt idx="200">
                  <c:v>0.22615631674839778</c:v>
                </c:pt>
                <c:pt idx="201">
                  <c:v>0.25372380991647669</c:v>
                </c:pt>
                <c:pt idx="202">
                  <c:v>0.29783179898540302</c:v>
                </c:pt>
                <c:pt idx="203">
                  <c:v>0.33642628942071362</c:v>
                </c:pt>
                <c:pt idx="204">
                  <c:v>0.13578602772186552</c:v>
                </c:pt>
                <c:pt idx="205">
                  <c:v>0.15605054397095469</c:v>
                </c:pt>
                <c:pt idx="206">
                  <c:v>0.18210492200549805</c:v>
                </c:pt>
                <c:pt idx="207">
                  <c:v>0.19368464557640616</c:v>
                </c:pt>
                <c:pt idx="208">
                  <c:v>0.21973902361094949</c:v>
                </c:pt>
                <c:pt idx="209">
                  <c:v>0.27474271057276312</c:v>
                </c:pt>
                <c:pt idx="210">
                  <c:v>8.4078447968071318E-2</c:v>
                </c:pt>
                <c:pt idx="211">
                  <c:v>9.7273366601955721E-2</c:v>
                </c:pt>
                <c:pt idx="212">
                  <c:v>0.10914879337245167</c:v>
                </c:pt>
                <c:pt idx="213">
                  <c:v>0.12366320386972449</c:v>
                </c:pt>
                <c:pt idx="214">
                  <c:v>0.13817761436699733</c:v>
                </c:pt>
                <c:pt idx="215">
                  <c:v>0.15137253300088171</c:v>
                </c:pt>
                <c:pt idx="216">
                  <c:v>0.16456745163476608</c:v>
                </c:pt>
                <c:pt idx="217">
                  <c:v>0.17644287840526202</c:v>
                </c:pt>
                <c:pt idx="218">
                  <c:v>0.23059971471306279</c:v>
                </c:pt>
                <c:pt idx="219">
                  <c:v>0.2800118348934188</c:v>
                </c:pt>
                <c:pt idx="220">
                  <c:v>0.33491419064937011</c:v>
                </c:pt>
                <c:pt idx="221">
                  <c:v>0.13219403671847585</c:v>
                </c:pt>
                <c:pt idx="222">
                  <c:v>0.15236096455207232</c:v>
                </c:pt>
                <c:pt idx="223">
                  <c:v>0.17828987176669633</c:v>
                </c:pt>
                <c:pt idx="224">
                  <c:v>0.18981383052875145</c:v>
                </c:pt>
                <c:pt idx="225">
                  <c:v>0.20709976867183416</c:v>
                </c:pt>
                <c:pt idx="226">
                  <c:v>0.2186237274338893</c:v>
                </c:pt>
                <c:pt idx="227">
                  <c:v>0.24685742640092428</c:v>
                </c:pt>
                <c:pt idx="228">
                  <c:v>0.27509112536795938</c:v>
                </c:pt>
                <c:pt idx="229">
                  <c:v>0.10460215108138089</c:v>
                </c:pt>
                <c:pt idx="230">
                  <c:v>0.10985211059679627</c:v>
                </c:pt>
                <c:pt idx="231">
                  <c:v>0.1229770093853348</c:v>
                </c:pt>
                <c:pt idx="232">
                  <c:v>0.13741439805272718</c:v>
                </c:pt>
                <c:pt idx="233">
                  <c:v>0.15053929684126566</c:v>
                </c:pt>
                <c:pt idx="234">
                  <c:v>0.16235170575095029</c:v>
                </c:pt>
                <c:pt idx="235">
                  <c:v>0.17678909441834265</c:v>
                </c:pt>
                <c:pt idx="236">
                  <c:v>3.2681120834482567E-2</c:v>
                </c:pt>
                <c:pt idx="237">
                  <c:v>4.5640522399196387E-2</c:v>
                </c:pt>
                <c:pt idx="238">
                  <c:v>6.2121500476060715E-2</c:v>
                </c:pt>
                <c:pt idx="239">
                  <c:v>7.1559325528624054E-2</c:v>
                </c:pt>
                <c:pt idx="240">
                  <c:v>8.2405781186047578E-2</c:v>
                </c:pt>
                <c:pt idx="241">
                  <c:v>9.9309348444369963E-2</c:v>
                </c:pt>
                <c:pt idx="242">
                  <c:v>0.10790199513401721</c:v>
                </c:pt>
                <c:pt idx="243">
                  <c:v>0.12043880751727296</c:v>
                </c:pt>
                <c:pt idx="244">
                  <c:v>0.24347863384105645</c:v>
                </c:pt>
                <c:pt idx="245">
                  <c:v>0.26626281210622382</c:v>
                </c:pt>
                <c:pt idx="246">
                  <c:v>0.24447134527620462</c:v>
                </c:pt>
                <c:pt idx="247">
                  <c:v>0.26626281210622382</c:v>
                </c:pt>
                <c:pt idx="248">
                  <c:v>0.24447134527620462</c:v>
                </c:pt>
                <c:pt idx="249">
                  <c:v>0.26626281210622382</c:v>
                </c:pt>
                <c:pt idx="250">
                  <c:v>0.24546405671135285</c:v>
                </c:pt>
                <c:pt idx="251">
                  <c:v>0.26626281210622382</c:v>
                </c:pt>
                <c:pt idx="252">
                  <c:v>0.23677888448534648</c:v>
                </c:pt>
                <c:pt idx="253">
                  <c:v>0.30404573484725961</c:v>
                </c:pt>
                <c:pt idx="254">
                  <c:v>0.23859722063431765</c:v>
                </c:pt>
                <c:pt idx="255">
                  <c:v>0.30404573484725961</c:v>
                </c:pt>
                <c:pt idx="256">
                  <c:v>0.1678741841935957</c:v>
                </c:pt>
                <c:pt idx="257">
                  <c:v>0.24623422313174248</c:v>
                </c:pt>
                <c:pt idx="258">
                  <c:v>0.26626281210622382</c:v>
                </c:pt>
                <c:pt idx="259">
                  <c:v>0.1688660834206609</c:v>
                </c:pt>
                <c:pt idx="260">
                  <c:v>0.24722612235880767</c:v>
                </c:pt>
                <c:pt idx="261">
                  <c:v>0.10457083423101082</c:v>
                </c:pt>
                <c:pt idx="262">
                  <c:v>0.15224844195882856</c:v>
                </c:pt>
                <c:pt idx="263">
                  <c:v>0.20053730106777218</c:v>
                </c:pt>
                <c:pt idx="264">
                  <c:v>0.23673666714921462</c:v>
                </c:pt>
                <c:pt idx="265">
                  <c:v>0.10395958284988495</c:v>
                </c:pt>
                <c:pt idx="266">
                  <c:v>0.15102593919657681</c:v>
                </c:pt>
                <c:pt idx="267">
                  <c:v>0.19870354692439463</c:v>
                </c:pt>
                <c:pt idx="268">
                  <c:v>0.2463075496810074</c:v>
                </c:pt>
                <c:pt idx="269">
                  <c:v>0.26626281210622382</c:v>
                </c:pt>
                <c:pt idx="270">
                  <c:v>0.2463075496810074</c:v>
                </c:pt>
                <c:pt idx="271">
                  <c:v>0.26626281210622382</c:v>
                </c:pt>
                <c:pt idx="272">
                  <c:v>0.12664484050960911</c:v>
                </c:pt>
                <c:pt idx="273">
                  <c:v>0.15100219578489021</c:v>
                </c:pt>
                <c:pt idx="274">
                  <c:v>0.17475061717828932</c:v>
                </c:pt>
                <c:pt idx="275">
                  <c:v>0.19910797245357037</c:v>
                </c:pt>
                <c:pt idx="276">
                  <c:v>0.22224745996508746</c:v>
                </c:pt>
                <c:pt idx="277">
                  <c:v>0.23673666714921462</c:v>
                </c:pt>
                <c:pt idx="278">
                  <c:v>0.17475061717828932</c:v>
                </c:pt>
                <c:pt idx="279">
                  <c:v>0.19789010468980636</c:v>
                </c:pt>
                <c:pt idx="280">
                  <c:v>0.22224745996508746</c:v>
                </c:pt>
                <c:pt idx="281">
                  <c:v>0.23673666714921462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1-42BB-93FC-9E65735A4C79}"/>
            </c:ext>
          </c:extLst>
        </c:ser>
        <c:ser>
          <c:idx val="1"/>
          <c:order val="1"/>
          <c:tx>
            <c:strRef>
              <c:f>'Dados gerais'!$AT$2</c:f>
              <c:strCache>
                <c:ptCount val="1"/>
                <c:pt idx="0">
                  <c:v>Leonhardt (1977)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gerais'!$AT$28:$AT$309</c:f>
              <c:numCache>
                <c:formatCode>0.00</c:formatCode>
                <c:ptCount val="282"/>
                <c:pt idx="0">
                  <c:v>0.22216282542619536</c:v>
                </c:pt>
                <c:pt idx="1">
                  <c:v>0.2698880415363058</c:v>
                </c:pt>
                <c:pt idx="2">
                  <c:v>0.31897202344812936</c:v>
                </c:pt>
                <c:pt idx="3">
                  <c:v>0.36721961962806549</c:v>
                </c:pt>
                <c:pt idx="4">
                  <c:v>0.39784384604502626</c:v>
                </c:pt>
                <c:pt idx="5">
                  <c:v>0.46249133747939219</c:v>
                </c:pt>
                <c:pt idx="6">
                  <c:v>0.46730491473949903</c:v>
                </c:pt>
                <c:pt idx="7">
                  <c:v>0.50562030661839974</c:v>
                </c:pt>
                <c:pt idx="8">
                  <c:v>0.59974401046133252</c:v>
                </c:pt>
                <c:pt idx="9">
                  <c:v>0.59974401046133252</c:v>
                </c:pt>
                <c:pt idx="10">
                  <c:v>0.26595117250432371</c:v>
                </c:pt>
                <c:pt idx="11">
                  <c:v>0.30872458220891225</c:v>
                </c:pt>
                <c:pt idx="12">
                  <c:v>0.32445331455853083</c:v>
                </c:pt>
                <c:pt idx="13">
                  <c:v>0.350359144881568</c:v>
                </c:pt>
                <c:pt idx="14">
                  <c:v>0.38608135403252564</c:v>
                </c:pt>
                <c:pt idx="15">
                  <c:v>0.46101058349859836</c:v>
                </c:pt>
                <c:pt idx="16">
                  <c:v>7.6553053078508113E-2</c:v>
                </c:pt>
                <c:pt idx="17">
                  <c:v>0.12704734905426315</c:v>
                </c:pt>
                <c:pt idx="18">
                  <c:v>0.15974057213838819</c:v>
                </c:pt>
                <c:pt idx="19">
                  <c:v>0.21221936042033682</c:v>
                </c:pt>
                <c:pt idx="20">
                  <c:v>0.28716680216592066</c:v>
                </c:pt>
                <c:pt idx="21">
                  <c:v>0.34838263613442921</c:v>
                </c:pt>
                <c:pt idx="22">
                  <c:v>0.52320849591990093</c:v>
                </c:pt>
                <c:pt idx="23">
                  <c:v>0.73742133167676249</c:v>
                </c:pt>
                <c:pt idx="24">
                  <c:v>0.73742133167676249</c:v>
                </c:pt>
                <c:pt idx="25">
                  <c:v>0.73742133167676249</c:v>
                </c:pt>
                <c:pt idx="26">
                  <c:v>3.3217082876863327E-2</c:v>
                </c:pt>
                <c:pt idx="27">
                  <c:v>8.3108795017623249E-2</c:v>
                </c:pt>
                <c:pt idx="28">
                  <c:v>0.24160162736185395</c:v>
                </c:pt>
                <c:pt idx="29">
                  <c:v>0.37987340556759402</c:v>
                </c:pt>
                <c:pt idx="30">
                  <c:v>0.51219781490907224</c:v>
                </c:pt>
                <c:pt idx="31">
                  <c:v>0.60968478954745375</c:v>
                </c:pt>
                <c:pt idx="32">
                  <c:v>0.72144924936846344</c:v>
                </c:pt>
                <c:pt idx="33">
                  <c:v>0.14720598903748519</c:v>
                </c:pt>
                <c:pt idx="34">
                  <c:v>0.25273508520685833</c:v>
                </c:pt>
                <c:pt idx="35">
                  <c:v>0.34838263613442921</c:v>
                </c:pt>
                <c:pt idx="36">
                  <c:v>0.52320849591990093</c:v>
                </c:pt>
                <c:pt idx="37">
                  <c:v>0.73742133167676249</c:v>
                </c:pt>
                <c:pt idx="38">
                  <c:v>0.14720598903748519</c:v>
                </c:pt>
                <c:pt idx="39">
                  <c:v>0.34838263613442921</c:v>
                </c:pt>
                <c:pt idx="40">
                  <c:v>0.52320849591990093</c:v>
                </c:pt>
                <c:pt idx="41">
                  <c:v>0.73742133167676249</c:v>
                </c:pt>
                <c:pt idx="42">
                  <c:v>4.2260284514019641E-2</c:v>
                </c:pt>
                <c:pt idx="43">
                  <c:v>0.27291843309892705</c:v>
                </c:pt>
                <c:pt idx="45">
                  <c:v>4.2260284514019641E-2</c:v>
                </c:pt>
                <c:pt idx="46">
                  <c:v>0.27291843309892705</c:v>
                </c:pt>
                <c:pt idx="48">
                  <c:v>4.2260284514019641E-2</c:v>
                </c:pt>
                <c:pt idx="49">
                  <c:v>0.27291843309892705</c:v>
                </c:pt>
                <c:pt idx="50">
                  <c:v>0.27711743382603071</c:v>
                </c:pt>
                <c:pt idx="51">
                  <c:v>0.44648166290315272</c:v>
                </c:pt>
                <c:pt idx="52">
                  <c:v>0.60968478954745375</c:v>
                </c:pt>
                <c:pt idx="53">
                  <c:v>0.72144924936846344</c:v>
                </c:pt>
                <c:pt idx="54">
                  <c:v>0.27711743382603071</c:v>
                </c:pt>
                <c:pt idx="55">
                  <c:v>0.44648166290315272</c:v>
                </c:pt>
                <c:pt idx="56">
                  <c:v>0.60968478954745375</c:v>
                </c:pt>
                <c:pt idx="57">
                  <c:v>0.72144924936846344</c:v>
                </c:pt>
                <c:pt idx="59">
                  <c:v>0.11551729509434719</c:v>
                </c:pt>
                <c:pt idx="60">
                  <c:v>0.46460103612345982</c:v>
                </c:pt>
                <c:pt idx="62">
                  <c:v>0.11551729509434719</c:v>
                </c:pt>
                <c:pt idx="63">
                  <c:v>0.46460103612345982</c:v>
                </c:pt>
                <c:pt idx="65">
                  <c:v>0.11551729509434719</c:v>
                </c:pt>
                <c:pt idx="66">
                  <c:v>0.46460103612345982</c:v>
                </c:pt>
                <c:pt idx="67">
                  <c:v>0.20816075063164449</c:v>
                </c:pt>
                <c:pt idx="68">
                  <c:v>0.25338034839322776</c:v>
                </c:pt>
                <c:pt idx="69">
                  <c:v>0.22278344779495962</c:v>
                </c:pt>
                <c:pt idx="70">
                  <c:v>0.26112007113741192</c:v>
                </c:pt>
                <c:pt idx="71">
                  <c:v>0.31456154155224142</c:v>
                </c:pt>
                <c:pt idx="72">
                  <c:v>0.21246038370039774</c:v>
                </c:pt>
                <c:pt idx="73">
                  <c:v>0.28578159863879343</c:v>
                </c:pt>
                <c:pt idx="75">
                  <c:v>3.3635138842762015E-2</c:v>
                </c:pt>
                <c:pt idx="76">
                  <c:v>0.15698056442293562</c:v>
                </c:pt>
                <c:pt idx="77">
                  <c:v>0.26892161187916835</c:v>
                </c:pt>
                <c:pt idx="78">
                  <c:v>0.37272851383387728</c:v>
                </c:pt>
                <c:pt idx="79">
                  <c:v>0.47059657553398709</c:v>
                </c:pt>
                <c:pt idx="80">
                  <c:v>0.56375561051767764</c:v>
                </c:pt>
                <c:pt idx="81">
                  <c:v>0.65291447916542988</c:v>
                </c:pt>
                <c:pt idx="82">
                  <c:v>3.3635138842762015E-2</c:v>
                </c:pt>
                <c:pt idx="83">
                  <c:v>0.15698056442293562</c:v>
                </c:pt>
                <c:pt idx="84">
                  <c:v>0.26892161187916835</c:v>
                </c:pt>
                <c:pt idx="85">
                  <c:v>0.37272851383387728</c:v>
                </c:pt>
                <c:pt idx="86">
                  <c:v>0.47059657553398709</c:v>
                </c:pt>
                <c:pt idx="87">
                  <c:v>0.56375561051767764</c:v>
                </c:pt>
                <c:pt idx="88">
                  <c:v>0.65291447916542988</c:v>
                </c:pt>
                <c:pt idx="89">
                  <c:v>0.10853508175017515</c:v>
                </c:pt>
                <c:pt idx="90">
                  <c:v>0.21393535237281311</c:v>
                </c:pt>
                <c:pt idx="91">
                  <c:v>0.3105283279517595</c:v>
                </c:pt>
                <c:pt idx="92">
                  <c:v>0.40085214401713148</c:v>
                </c:pt>
                <c:pt idx="93">
                  <c:v>0.48661646663274533</c:v>
                </c:pt>
                <c:pt idx="94">
                  <c:v>0.5687514418715035</c:v>
                </c:pt>
                <c:pt idx="95">
                  <c:v>0.64776800862686934</c:v>
                </c:pt>
                <c:pt idx="97">
                  <c:v>0.10853508175017515</c:v>
                </c:pt>
                <c:pt idx="98">
                  <c:v>0.21393535237281311</c:v>
                </c:pt>
                <c:pt idx="99">
                  <c:v>0.3105283279517595</c:v>
                </c:pt>
                <c:pt idx="100">
                  <c:v>0.40085214401713148</c:v>
                </c:pt>
                <c:pt idx="101">
                  <c:v>0.48661646663274533</c:v>
                </c:pt>
                <c:pt idx="102">
                  <c:v>0.5687514418715035</c:v>
                </c:pt>
                <c:pt idx="103">
                  <c:v>0.64776800862686934</c:v>
                </c:pt>
                <c:pt idx="104">
                  <c:v>0.25195164759958771</c:v>
                </c:pt>
                <c:pt idx="105">
                  <c:v>0.28721911732524774</c:v>
                </c:pt>
                <c:pt idx="106">
                  <c:v>0.32158182698958593</c:v>
                </c:pt>
                <c:pt idx="107">
                  <c:v>0.35510946407025634</c:v>
                </c:pt>
                <c:pt idx="108">
                  <c:v>0.387949513160665</c:v>
                </c:pt>
                <c:pt idx="109">
                  <c:v>0.28721911732524774</c:v>
                </c:pt>
                <c:pt idx="110">
                  <c:v>0.32158182698958593</c:v>
                </c:pt>
                <c:pt idx="111">
                  <c:v>0.35510946407025634</c:v>
                </c:pt>
                <c:pt idx="112">
                  <c:v>0.387949513160665</c:v>
                </c:pt>
                <c:pt idx="119">
                  <c:v>0.12220371396848656</c:v>
                </c:pt>
                <c:pt idx="120">
                  <c:v>0.27733658290455071</c:v>
                </c:pt>
                <c:pt idx="122">
                  <c:v>0.12220371396848656</c:v>
                </c:pt>
                <c:pt idx="123">
                  <c:v>0.27733658290455071</c:v>
                </c:pt>
                <c:pt idx="124">
                  <c:v>0.15678506139305359</c:v>
                </c:pt>
                <c:pt idx="125">
                  <c:v>0.23648611685522961</c:v>
                </c:pt>
                <c:pt idx="126">
                  <c:v>0.31015724890308133</c:v>
                </c:pt>
                <c:pt idx="127">
                  <c:v>0.15678506139305359</c:v>
                </c:pt>
                <c:pt idx="128">
                  <c:v>0.23648611685522961</c:v>
                </c:pt>
                <c:pt idx="129">
                  <c:v>0.31015724890308133</c:v>
                </c:pt>
                <c:pt idx="130">
                  <c:v>0.16821697701992566</c:v>
                </c:pt>
                <c:pt idx="131">
                  <c:v>0.21882839254894493</c:v>
                </c:pt>
                <c:pt idx="132">
                  <c:v>0.27336080427619847</c:v>
                </c:pt>
                <c:pt idx="133">
                  <c:v>0.31944831577752686</c:v>
                </c:pt>
                <c:pt idx="134">
                  <c:v>0.36979987077395959</c:v>
                </c:pt>
                <c:pt idx="135">
                  <c:v>0.41284270806854767</c:v>
                </c:pt>
                <c:pt idx="136">
                  <c:v>0.46306393428501186</c:v>
                </c:pt>
                <c:pt idx="137">
                  <c:v>0.10729330556362165</c:v>
                </c:pt>
                <c:pt idx="138">
                  <c:v>0.16821697701992566</c:v>
                </c:pt>
                <c:pt idx="139">
                  <c:v>0.22211331408926083</c:v>
                </c:pt>
                <c:pt idx="140">
                  <c:v>0.26865430312309796</c:v>
                </c:pt>
                <c:pt idx="141">
                  <c:v>0.31944831577752686</c:v>
                </c:pt>
                <c:pt idx="142">
                  <c:v>0.36834412167041547</c:v>
                </c:pt>
                <c:pt idx="143">
                  <c:v>0.40859054588995608</c:v>
                </c:pt>
                <c:pt idx="144">
                  <c:v>0.44648106773556961</c:v>
                </c:pt>
                <c:pt idx="145">
                  <c:v>0.22328306155808111</c:v>
                </c:pt>
                <c:pt idx="146">
                  <c:v>0.27896342585346029</c:v>
                </c:pt>
                <c:pt idx="147">
                  <c:v>0.33085221243175927</c:v>
                </c:pt>
                <c:pt idx="148">
                  <c:v>0.38114518145987081</c:v>
                </c:pt>
                <c:pt idx="149">
                  <c:v>0.42997260953800504</c:v>
                </c:pt>
                <c:pt idx="150">
                  <c:v>0.47948358788270817</c:v>
                </c:pt>
                <c:pt idx="151">
                  <c:v>0.16848661286474886</c:v>
                </c:pt>
                <c:pt idx="152">
                  <c:v>0.22419839991855828</c:v>
                </c:pt>
                <c:pt idx="153">
                  <c:v>0.27808913893475723</c:v>
                </c:pt>
                <c:pt idx="154">
                  <c:v>0.3294387779152495</c:v>
                </c:pt>
                <c:pt idx="155">
                  <c:v>0.38142173644761601</c:v>
                </c:pt>
                <c:pt idx="156">
                  <c:v>0.42997260953800504</c:v>
                </c:pt>
                <c:pt idx="157">
                  <c:v>0.45331500142933767</c:v>
                </c:pt>
                <c:pt idx="158">
                  <c:v>0.25773862301209477</c:v>
                </c:pt>
                <c:pt idx="159">
                  <c:v>0.30422212799507387</c:v>
                </c:pt>
                <c:pt idx="160">
                  <c:v>0.31331115674231313</c:v>
                </c:pt>
                <c:pt idx="161">
                  <c:v>0.3510126453644552</c:v>
                </c:pt>
                <c:pt idx="162">
                  <c:v>0.37623620174228273</c:v>
                </c:pt>
                <c:pt idx="163">
                  <c:v>0.40388198949836024</c:v>
                </c:pt>
                <c:pt idx="164">
                  <c:v>0.42827084631765316</c:v>
                </c:pt>
                <c:pt idx="165">
                  <c:v>0.45690600461126074</c:v>
                </c:pt>
                <c:pt idx="166">
                  <c:v>0.25457315086049842</c:v>
                </c:pt>
                <c:pt idx="167">
                  <c:v>0.28584412159935541</c:v>
                </c:pt>
                <c:pt idx="168">
                  <c:v>0.31431708743144865</c:v>
                </c:pt>
                <c:pt idx="169">
                  <c:v>0.34316160218805503</c:v>
                </c:pt>
                <c:pt idx="170">
                  <c:v>0.37334774032491186</c:v>
                </c:pt>
                <c:pt idx="171">
                  <c:v>0.40388198949836024</c:v>
                </c:pt>
                <c:pt idx="172">
                  <c:v>0.43106239180144945</c:v>
                </c:pt>
                <c:pt idx="173">
                  <c:v>0.45507225504881621</c:v>
                </c:pt>
                <c:pt idx="174">
                  <c:v>0.28892624595985633</c:v>
                </c:pt>
                <c:pt idx="175">
                  <c:v>0.3183330337313815</c:v>
                </c:pt>
                <c:pt idx="176">
                  <c:v>0.35882040605159882</c:v>
                </c:pt>
                <c:pt idx="177">
                  <c:v>0.3819966150455596</c:v>
                </c:pt>
                <c:pt idx="178">
                  <c:v>0.40388198949836024</c:v>
                </c:pt>
                <c:pt idx="179">
                  <c:v>0.4273393239822082</c:v>
                </c:pt>
                <c:pt idx="180">
                  <c:v>0.45782219685333214</c:v>
                </c:pt>
                <c:pt idx="181">
                  <c:v>0.26226217585674594</c:v>
                </c:pt>
                <c:pt idx="182">
                  <c:v>0.31797860737202122</c:v>
                </c:pt>
                <c:pt idx="183">
                  <c:v>0.37186865513846545</c:v>
                </c:pt>
                <c:pt idx="184">
                  <c:v>0.26226217585674594</c:v>
                </c:pt>
                <c:pt idx="185">
                  <c:v>0.31723563596323379</c:v>
                </c:pt>
                <c:pt idx="186">
                  <c:v>0.37096260696987954</c:v>
                </c:pt>
                <c:pt idx="187">
                  <c:v>0.14010405042378313</c:v>
                </c:pt>
                <c:pt idx="188">
                  <c:v>0.20460235210887237</c:v>
                </c:pt>
                <c:pt idx="189">
                  <c:v>0.26129919414968328</c:v>
                </c:pt>
                <c:pt idx="190">
                  <c:v>0.31574879558393154</c:v>
                </c:pt>
                <c:pt idx="191">
                  <c:v>0.39010522592092528</c:v>
                </c:pt>
                <c:pt idx="192">
                  <c:v>0.18142626809901571</c:v>
                </c:pt>
                <c:pt idx="193">
                  <c:v>0.28653185735533826</c:v>
                </c:pt>
                <c:pt idx="194">
                  <c:v>0.38280381975996458</c:v>
                </c:pt>
                <c:pt idx="195">
                  <c:v>0.18258746810139406</c:v>
                </c:pt>
                <c:pt idx="196">
                  <c:v>0.25171665079763234</c:v>
                </c:pt>
                <c:pt idx="197">
                  <c:v>0.31733477157368972</c:v>
                </c:pt>
                <c:pt idx="198">
                  <c:v>0.2264410111520157</c:v>
                </c:pt>
                <c:pt idx="199">
                  <c:v>0.33247418629074155</c:v>
                </c:pt>
                <c:pt idx="200">
                  <c:v>0.39355118324063459</c:v>
                </c:pt>
                <c:pt idx="201">
                  <c:v>0.44360369351707019</c:v>
                </c:pt>
                <c:pt idx="202">
                  <c:v>0.52261333127303</c:v>
                </c:pt>
                <c:pt idx="203">
                  <c:v>0.59099581175136728</c:v>
                </c:pt>
                <c:pt idx="204">
                  <c:v>0.27645367428719742</c:v>
                </c:pt>
                <c:pt idx="205">
                  <c:v>0.32036897380246837</c:v>
                </c:pt>
                <c:pt idx="206">
                  <c:v>0.37597375921905984</c:v>
                </c:pt>
                <c:pt idx="207">
                  <c:v>0.40046450762860109</c:v>
                </c:pt>
                <c:pt idx="208">
                  <c:v>0.45520575546610442</c:v>
                </c:pt>
                <c:pt idx="209">
                  <c:v>0.56965376026569303</c:v>
                </c:pt>
                <c:pt idx="210">
                  <c:v>0.19816264568473804</c:v>
                </c:pt>
                <c:pt idx="211">
                  <c:v>0.2302395167174637</c:v>
                </c:pt>
                <c:pt idx="212">
                  <c:v>0.25883998916646</c:v>
                </c:pt>
                <c:pt idx="213">
                  <c:v>0.29355624128202901</c:v>
                </c:pt>
                <c:pt idx="214">
                  <c:v>0.32808366973427472</c:v>
                </c:pt>
                <c:pt idx="215">
                  <c:v>0.35935244772409597</c:v>
                </c:pt>
                <c:pt idx="216">
                  <c:v>0.3905345535368821</c:v>
                </c:pt>
                <c:pt idx="217">
                  <c:v>0.41853991678622454</c:v>
                </c:pt>
                <c:pt idx="218">
                  <c:v>0.38576330504641754</c:v>
                </c:pt>
                <c:pt idx="219">
                  <c:v>0.46907891597074758</c:v>
                </c:pt>
                <c:pt idx="220">
                  <c:v>0.5604920778448782</c:v>
                </c:pt>
                <c:pt idx="221">
                  <c:v>0.25805122845267203</c:v>
                </c:pt>
                <c:pt idx="222">
                  <c:v>0.29877103473588551</c:v>
                </c:pt>
                <c:pt idx="223">
                  <c:v>0.35045615996932078</c:v>
                </c:pt>
                <c:pt idx="224">
                  <c:v>0.37325479006486861</c:v>
                </c:pt>
                <c:pt idx="225">
                  <c:v>0.40730342462417024</c:v>
                </c:pt>
                <c:pt idx="226">
                  <c:v>0.42992039350916023</c:v>
                </c:pt>
                <c:pt idx="227">
                  <c:v>0.48511553593266332</c:v>
                </c:pt>
                <c:pt idx="228">
                  <c:v>0.54007611973683578</c:v>
                </c:pt>
                <c:pt idx="229">
                  <c:v>0.23572619789928739</c:v>
                </c:pt>
                <c:pt idx="230">
                  <c:v>0.24753953660852956</c:v>
                </c:pt>
                <c:pt idx="231">
                  <c:v>0.27697027611423669</c:v>
                </c:pt>
                <c:pt idx="232">
                  <c:v>0.30921361831123506</c:v>
                </c:pt>
                <c:pt idx="233">
                  <c:v>0.33843803581028936</c:v>
                </c:pt>
                <c:pt idx="234">
                  <c:v>0.36468532875224025</c:v>
                </c:pt>
                <c:pt idx="235">
                  <c:v>0.39671018522664003</c:v>
                </c:pt>
                <c:pt idx="236">
                  <c:v>8.7357863921345619E-2</c:v>
                </c:pt>
                <c:pt idx="237">
                  <c:v>0.13890415290354707</c:v>
                </c:pt>
                <c:pt idx="238">
                  <c:v>0.19953179125099435</c:v>
                </c:pt>
                <c:pt idx="239">
                  <c:v>0.23305036490381525</c:v>
                </c:pt>
                <c:pt idx="240">
                  <c:v>0.27095354827819368</c:v>
                </c:pt>
                <c:pt idx="241">
                  <c:v>0.32918147488740823</c:v>
                </c:pt>
                <c:pt idx="242">
                  <c:v>0.35851553204254821</c:v>
                </c:pt>
                <c:pt idx="243">
                  <c:v>0.40109206541061937</c:v>
                </c:pt>
                <c:pt idx="244">
                  <c:v>0.38622010388926009</c:v>
                </c:pt>
                <c:pt idx="245">
                  <c:v>0.42262897836105034</c:v>
                </c:pt>
                <c:pt idx="246">
                  <c:v>0.3878126857436745</c:v>
                </c:pt>
                <c:pt idx="247">
                  <c:v>0.42262897836105034</c:v>
                </c:pt>
                <c:pt idx="248">
                  <c:v>0.3878126857436745</c:v>
                </c:pt>
                <c:pt idx="249">
                  <c:v>0.42262897836105034</c:v>
                </c:pt>
                <c:pt idx="250">
                  <c:v>0.38940465548415598</c:v>
                </c:pt>
                <c:pt idx="251">
                  <c:v>0.42262897836105034</c:v>
                </c:pt>
                <c:pt idx="252">
                  <c:v>0.32848004590109303</c:v>
                </c:pt>
                <c:pt idx="253">
                  <c:v>0.42697819075524601</c:v>
                </c:pt>
                <c:pt idx="254">
                  <c:v>0.33119968980678799</c:v>
                </c:pt>
                <c:pt idx="255">
                  <c:v>0.42697819075524601</c:v>
                </c:pt>
                <c:pt idx="256">
                  <c:v>0.26351316056177404</c:v>
                </c:pt>
                <c:pt idx="257">
                  <c:v>0.39358361903775879</c:v>
                </c:pt>
                <c:pt idx="258">
                  <c:v>0.42599386724750998</c:v>
                </c:pt>
                <c:pt idx="259">
                  <c:v>0.26520845210462046</c:v>
                </c:pt>
                <c:pt idx="260">
                  <c:v>0.39519438566208898</c:v>
                </c:pt>
                <c:pt idx="261">
                  <c:v>0.17816304051344647</c:v>
                </c:pt>
                <c:pt idx="262">
                  <c:v>0.26957165351417106</c:v>
                </c:pt>
                <c:pt idx="263">
                  <c:v>0.35824006167094863</c:v>
                </c:pt>
                <c:pt idx="264">
                  <c:v>0.42347873544006226</c:v>
                </c:pt>
                <c:pt idx="265">
                  <c:v>0.17694613044184809</c:v>
                </c:pt>
                <c:pt idx="266">
                  <c:v>0.26729001115865386</c:v>
                </c:pt>
                <c:pt idx="267">
                  <c:v>0.35491326945201562</c:v>
                </c:pt>
                <c:pt idx="268">
                  <c:v>0.40653331382420199</c:v>
                </c:pt>
                <c:pt idx="269">
                  <c:v>0.44076646673889397</c:v>
                </c:pt>
                <c:pt idx="270">
                  <c:v>0.40653331382420199</c:v>
                </c:pt>
                <c:pt idx="271">
                  <c:v>0.44076646673889397</c:v>
                </c:pt>
                <c:pt idx="272">
                  <c:v>0.22538674781496504</c:v>
                </c:pt>
                <c:pt idx="273">
                  <c:v>0.27452178182149056</c:v>
                </c:pt>
                <c:pt idx="274">
                  <c:v>0.32122604310317937</c:v>
                </c:pt>
                <c:pt idx="275">
                  <c:v>0.36831035592009659</c:v>
                </c:pt>
                <c:pt idx="276">
                  <c:v>0.41250311294003189</c:v>
                </c:pt>
                <c:pt idx="277">
                  <c:v>0.43997406077432616</c:v>
                </c:pt>
                <c:pt idx="278">
                  <c:v>0.32122604310317937</c:v>
                </c:pt>
                <c:pt idx="279">
                  <c:v>0.36597148836903443</c:v>
                </c:pt>
                <c:pt idx="280">
                  <c:v>0.41250311294003189</c:v>
                </c:pt>
                <c:pt idx="281">
                  <c:v>0.43997406077432616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1-42BB-93FC-9E65735A4C79}"/>
            </c:ext>
          </c:extLst>
        </c:ser>
        <c:ser>
          <c:idx val="3"/>
          <c:order val="2"/>
          <c:tx>
            <c:strRef>
              <c:f>'Dados gerais'!$AW$2</c:f>
              <c:strCache>
                <c:ptCount val="1"/>
                <c:pt idx="0">
                  <c:v>Desayi;Ganesan (1985)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marker>
          <c:xVal>
            <c:numRef>
              <c:f>'Dados gerais'!$AG$28:$AG$309</c:f>
              <c:numCache>
                <c:formatCode>0.00</c:formatCode>
                <c:ptCount val="282"/>
                <c:pt idx="0">
                  <c:v>0.13868029025440845</c:v>
                </c:pt>
                <c:pt idx="1">
                  <c:v>0.17212891101716857</c:v>
                </c:pt>
                <c:pt idx="2">
                  <c:v>0.2078324949774181</c:v>
                </c:pt>
                <c:pt idx="3">
                  <c:v>0.24391190613724908</c:v>
                </c:pt>
                <c:pt idx="4">
                  <c:v>0.26721319251130676</c:v>
                </c:pt>
                <c:pt idx="5">
                  <c:v>0.31719821005565602</c:v>
                </c:pt>
                <c:pt idx="6">
                  <c:v>0.32095648205147187</c:v>
                </c:pt>
                <c:pt idx="7">
                  <c:v>0.35102265801799776</c:v>
                </c:pt>
                <c:pt idx="8">
                  <c:v>0.42580937402192115</c:v>
                </c:pt>
                <c:pt idx="9">
                  <c:v>0.42580937402192115</c:v>
                </c:pt>
                <c:pt idx="10">
                  <c:v>0.16333872081928372</c:v>
                </c:pt>
                <c:pt idx="11">
                  <c:v>0.19321340015703939</c:v>
                </c:pt>
                <c:pt idx="12">
                  <c:v>0.20441640490869767</c:v>
                </c:pt>
                <c:pt idx="13">
                  <c:v>0.22308807949479487</c:v>
                </c:pt>
                <c:pt idx="14">
                  <c:v>0.24922842391533095</c:v>
                </c:pt>
                <c:pt idx="15">
                  <c:v>0.30524344767362266</c:v>
                </c:pt>
                <c:pt idx="16">
                  <c:v>4.3068885937083114E-2</c:v>
                </c:pt>
                <c:pt idx="17">
                  <c:v>7.927348825357626E-2</c:v>
                </c:pt>
                <c:pt idx="18">
                  <c:v>0.10416415234616534</c:v>
                </c:pt>
                <c:pt idx="19">
                  <c:v>0.14534688748117627</c:v>
                </c:pt>
                <c:pt idx="20">
                  <c:v>0.20553703883234614</c:v>
                </c:pt>
                <c:pt idx="21">
                  <c:v>0.26271820049061689</c:v>
                </c:pt>
                <c:pt idx="22">
                  <c:v>0.39776006136079389</c:v>
                </c:pt>
                <c:pt idx="23">
                  <c:v>0.57668065163185067</c:v>
                </c:pt>
                <c:pt idx="24">
                  <c:v>0.57668065163185067</c:v>
                </c:pt>
                <c:pt idx="25">
                  <c:v>0.57668065163185067</c:v>
                </c:pt>
                <c:pt idx="26">
                  <c:v>4.1078708915824935E-2</c:v>
                </c:pt>
                <c:pt idx="27">
                  <c:v>6.128577010593881E-2</c:v>
                </c:pt>
                <c:pt idx="28">
                  <c:v>0.16398254239550109</c:v>
                </c:pt>
                <c:pt idx="29">
                  <c:v>0.2666793146850634</c:v>
                </c:pt>
                <c:pt idx="30">
                  <c:v>0.36937608697462571</c:v>
                </c:pt>
                <c:pt idx="31">
                  <c:v>0.44639866619179752</c:v>
                </c:pt>
                <c:pt idx="32">
                  <c:v>0.53552378622876884</c:v>
                </c:pt>
                <c:pt idx="33">
                  <c:v>0.13504186087017703</c:v>
                </c:pt>
                <c:pt idx="34">
                  <c:v>0.19519727005552842</c:v>
                </c:pt>
                <c:pt idx="35">
                  <c:v>0.26271820049061689</c:v>
                </c:pt>
                <c:pt idx="36">
                  <c:v>0.39776006136079389</c:v>
                </c:pt>
                <c:pt idx="37">
                  <c:v>0.57668065163185067</c:v>
                </c:pt>
                <c:pt idx="38">
                  <c:v>0.13504186087017703</c:v>
                </c:pt>
                <c:pt idx="39">
                  <c:v>0.26271820049061689</c:v>
                </c:pt>
                <c:pt idx="40">
                  <c:v>0.39776006136079389</c:v>
                </c:pt>
                <c:pt idx="41">
                  <c:v>0.57668065163185067</c:v>
                </c:pt>
                <c:pt idx="42">
                  <c:v>0.28097015142574805</c:v>
                </c:pt>
                <c:pt idx="43">
                  <c:v>0.38177508410215444</c:v>
                </c:pt>
                <c:pt idx="44">
                  <c:v>0.22477612114059844</c:v>
                </c:pt>
                <c:pt idx="45">
                  <c:v>0.28097015142574805</c:v>
                </c:pt>
                <c:pt idx="46">
                  <c:v>0.38177508410215444</c:v>
                </c:pt>
                <c:pt idx="47">
                  <c:v>0.22477612114059844</c:v>
                </c:pt>
                <c:pt idx="48">
                  <c:v>0.28097015142574805</c:v>
                </c:pt>
                <c:pt idx="49">
                  <c:v>0.38177508410215444</c:v>
                </c:pt>
                <c:pt idx="50">
                  <c:v>0.18965673546789175</c:v>
                </c:pt>
                <c:pt idx="51">
                  <c:v>0.31802770082984461</c:v>
                </c:pt>
                <c:pt idx="52">
                  <c:v>0.44639866619179752</c:v>
                </c:pt>
                <c:pt idx="53">
                  <c:v>0.53552378622876884</c:v>
                </c:pt>
                <c:pt idx="54">
                  <c:v>0.18965673546789175</c:v>
                </c:pt>
                <c:pt idx="55">
                  <c:v>0.31802770082984461</c:v>
                </c:pt>
                <c:pt idx="56">
                  <c:v>0.44639866619179752</c:v>
                </c:pt>
                <c:pt idx="57">
                  <c:v>0.53552378622876884</c:v>
                </c:pt>
                <c:pt idx="58">
                  <c:v>7.2012387274581896E-2</c:v>
                </c:pt>
                <c:pt idx="59">
                  <c:v>0.12002064545763651</c:v>
                </c:pt>
                <c:pt idx="60">
                  <c:v>0.41855958413210198</c:v>
                </c:pt>
                <c:pt idx="61">
                  <c:v>7.2012387274581896E-2</c:v>
                </c:pt>
                <c:pt idx="62">
                  <c:v>0.12002064545763651</c:v>
                </c:pt>
                <c:pt idx="63">
                  <c:v>0.41855958413210198</c:v>
                </c:pt>
                <c:pt idx="64">
                  <c:v>7.2012387274581896E-2</c:v>
                </c:pt>
                <c:pt idx="65">
                  <c:v>0.12002064545763651</c:v>
                </c:pt>
                <c:pt idx="66">
                  <c:v>0.41855958413210198</c:v>
                </c:pt>
                <c:pt idx="67">
                  <c:v>0.12366214399887077</c:v>
                </c:pt>
                <c:pt idx="68">
                  <c:v>0.1537022961834705</c:v>
                </c:pt>
                <c:pt idx="69">
                  <c:v>0.12257101888901509</c:v>
                </c:pt>
                <c:pt idx="70">
                  <c:v>0.1465765794133671</c:v>
                </c:pt>
                <c:pt idx="71">
                  <c:v>0.18064898789954423</c:v>
                </c:pt>
                <c:pt idx="72">
                  <c:v>0.11125206827518069</c:v>
                </c:pt>
                <c:pt idx="73">
                  <c:v>0.1537594628733715</c:v>
                </c:pt>
                <c:pt idx="74">
                  <c:v>0.12206155113118464</c:v>
                </c:pt>
                <c:pt idx="75">
                  <c:v>0.13951599429000236</c:v>
                </c:pt>
                <c:pt idx="76">
                  <c:v>0.15697043744882017</c:v>
                </c:pt>
                <c:pt idx="77">
                  <c:v>0.17439499286250298</c:v>
                </c:pt>
                <c:pt idx="78">
                  <c:v>0.19711643896364461</c:v>
                </c:pt>
                <c:pt idx="79">
                  <c:v>0.24075254686068898</c:v>
                </c:pt>
                <c:pt idx="80">
                  <c:v>0.28438865475773345</c:v>
                </c:pt>
                <c:pt idx="81">
                  <c:v>0.32787532392910324</c:v>
                </c:pt>
                <c:pt idx="82">
                  <c:v>0.13951599429000236</c:v>
                </c:pt>
                <c:pt idx="83">
                  <c:v>0.15697043744882017</c:v>
                </c:pt>
                <c:pt idx="84">
                  <c:v>0.17439499286250298</c:v>
                </c:pt>
                <c:pt idx="85">
                  <c:v>0.19711643896364461</c:v>
                </c:pt>
                <c:pt idx="86">
                  <c:v>0.24075254686068898</c:v>
                </c:pt>
                <c:pt idx="87">
                  <c:v>0.28438865475773345</c:v>
                </c:pt>
                <c:pt idx="88">
                  <c:v>0.32787532392910324</c:v>
                </c:pt>
                <c:pt idx="89">
                  <c:v>9.9274752045339976E-2</c:v>
                </c:pt>
                <c:pt idx="90">
                  <c:v>0.11617858999591686</c:v>
                </c:pt>
                <c:pt idx="91">
                  <c:v>0.14717536615403232</c:v>
                </c:pt>
                <c:pt idx="92">
                  <c:v>0.17817214231214781</c:v>
                </c:pt>
                <c:pt idx="93">
                  <c:v>0.20922208618236979</c:v>
                </c:pt>
                <c:pt idx="94">
                  <c:v>0.24027203005259176</c:v>
                </c:pt>
                <c:pt idx="95">
                  <c:v>0.27121563849860081</c:v>
                </c:pt>
                <c:pt idx="96">
                  <c:v>8.685477449725118E-2</c:v>
                </c:pt>
                <c:pt idx="97">
                  <c:v>9.9274752045339976E-2</c:v>
                </c:pt>
                <c:pt idx="98">
                  <c:v>0.11617858999591686</c:v>
                </c:pt>
                <c:pt idx="99">
                  <c:v>0.14717536615403232</c:v>
                </c:pt>
                <c:pt idx="100">
                  <c:v>0.17817214231214781</c:v>
                </c:pt>
                <c:pt idx="101">
                  <c:v>0.20922208618236979</c:v>
                </c:pt>
                <c:pt idx="102">
                  <c:v>0.24027203005259176</c:v>
                </c:pt>
                <c:pt idx="103">
                  <c:v>0.27121563849860081</c:v>
                </c:pt>
                <c:pt idx="104">
                  <c:v>0.12226734357024087</c:v>
                </c:pt>
                <c:pt idx="105">
                  <c:v>0.13958286394040598</c:v>
                </c:pt>
                <c:pt idx="106">
                  <c:v>0.15695788781699774</c:v>
                </c:pt>
                <c:pt idx="107">
                  <c:v>0.1743329116935895</c:v>
                </c:pt>
                <c:pt idx="108">
                  <c:v>0.19170793557018131</c:v>
                </c:pt>
                <c:pt idx="109">
                  <c:v>0.13958286394040598</c:v>
                </c:pt>
                <c:pt idx="110">
                  <c:v>0.15695788781699774</c:v>
                </c:pt>
                <c:pt idx="111">
                  <c:v>0.1743329116935895</c:v>
                </c:pt>
                <c:pt idx="112">
                  <c:v>0.19170793557018131</c:v>
                </c:pt>
                <c:pt idx="113">
                  <c:v>7.2148609668635899E-2</c:v>
                </c:pt>
                <c:pt idx="114">
                  <c:v>9.9185026568017642E-2</c:v>
                </c:pt>
                <c:pt idx="115">
                  <c:v>0.12948602837323961</c:v>
                </c:pt>
                <c:pt idx="116">
                  <c:v>9.9185026568017642E-2</c:v>
                </c:pt>
                <c:pt idx="117">
                  <c:v>0.12948602837323961</c:v>
                </c:pt>
                <c:pt idx="118">
                  <c:v>8.6147565717616184E-2</c:v>
                </c:pt>
                <c:pt idx="119">
                  <c:v>0.10460022667304195</c:v>
                </c:pt>
                <c:pt idx="120">
                  <c:v>0.12305288762846765</c:v>
                </c:pt>
                <c:pt idx="121">
                  <c:v>8.6147565717616184E-2</c:v>
                </c:pt>
                <c:pt idx="122">
                  <c:v>0.10460022667304195</c:v>
                </c:pt>
                <c:pt idx="123">
                  <c:v>0.12305288762846765</c:v>
                </c:pt>
                <c:pt idx="124">
                  <c:v>9.2384993595776857E-2</c:v>
                </c:pt>
                <c:pt idx="125">
                  <c:v>0.10623878440919669</c:v>
                </c:pt>
                <c:pt idx="126">
                  <c:v>0.12009257522261656</c:v>
                </c:pt>
                <c:pt idx="127">
                  <c:v>9.2384993595776857E-2</c:v>
                </c:pt>
                <c:pt idx="128">
                  <c:v>0.10623878440919669</c:v>
                </c:pt>
                <c:pt idx="129">
                  <c:v>0.12009257522261656</c:v>
                </c:pt>
                <c:pt idx="130">
                  <c:v>0.16285127956433496</c:v>
                </c:pt>
                <c:pt idx="131">
                  <c:v>0.17476722684953019</c:v>
                </c:pt>
                <c:pt idx="132">
                  <c:v>0.18827196710608479</c:v>
                </c:pt>
                <c:pt idx="133">
                  <c:v>0.20018791439128003</c:v>
                </c:pt>
                <c:pt idx="134">
                  <c:v>0.21372760574098071</c:v>
                </c:pt>
                <c:pt idx="135">
                  <c:v>0.24351747395396883</c:v>
                </c:pt>
                <c:pt idx="136">
                  <c:v>0.2792653158095546</c:v>
                </c:pt>
                <c:pt idx="137">
                  <c:v>0.14934653930778033</c:v>
                </c:pt>
                <c:pt idx="138">
                  <c:v>0.16285127956433496</c:v>
                </c:pt>
                <c:pt idx="139">
                  <c:v>0.17556162333520986</c:v>
                </c:pt>
                <c:pt idx="140">
                  <c:v>0.18708037237756528</c:v>
                </c:pt>
                <c:pt idx="141">
                  <c:v>0.20018791439128003</c:v>
                </c:pt>
                <c:pt idx="142">
                  <c:v>0.21329545640499481</c:v>
                </c:pt>
                <c:pt idx="143">
                  <c:v>0.24053848713267006</c:v>
                </c:pt>
                <c:pt idx="144">
                  <c:v>0.26734936852435925</c:v>
                </c:pt>
                <c:pt idx="145">
                  <c:v>0.12448001593101213</c:v>
                </c:pt>
                <c:pt idx="146">
                  <c:v>0.16319147975293574</c:v>
                </c:pt>
                <c:pt idx="147">
                  <c:v>0.20066086452174944</c:v>
                </c:pt>
                <c:pt idx="148">
                  <c:v>0.23792323611504487</c:v>
                </c:pt>
                <c:pt idx="149">
                  <c:v>0.27477158135730378</c:v>
                </c:pt>
                <c:pt idx="150">
                  <c:v>0.312654992477154</c:v>
                </c:pt>
                <c:pt idx="151">
                  <c:v>8.84597233908265E-2</c:v>
                </c:pt>
                <c:pt idx="152">
                  <c:v>0.12510105545756706</c:v>
                </c:pt>
                <c:pt idx="153">
                  <c:v>0.16257044022638076</c:v>
                </c:pt>
                <c:pt idx="154">
                  <c:v>0.19962579864415791</c:v>
                </c:pt>
                <c:pt idx="155">
                  <c:v>0.23813024929056317</c:v>
                </c:pt>
                <c:pt idx="156">
                  <c:v>0.27477158135730378</c:v>
                </c:pt>
                <c:pt idx="157">
                  <c:v>0.29257471445187816</c:v>
                </c:pt>
                <c:pt idx="158">
                  <c:v>0.18861841261242762</c:v>
                </c:pt>
                <c:pt idx="159">
                  <c:v>0.20076122887503028</c:v>
                </c:pt>
                <c:pt idx="160">
                  <c:v>0.20318979212755081</c:v>
                </c:pt>
                <c:pt idx="161">
                  <c:v>0.21344372586041524</c:v>
                </c:pt>
                <c:pt idx="162">
                  <c:v>0.22319790578213533</c:v>
                </c:pt>
                <c:pt idx="163">
                  <c:v>0.24276133198299524</c:v>
                </c:pt>
                <c:pt idx="164">
                  <c:v>0.26030095547342114</c:v>
                </c:pt>
                <c:pt idx="165">
                  <c:v>0.28121358348123665</c:v>
                </c:pt>
                <c:pt idx="166">
                  <c:v>0.18780889152825411</c:v>
                </c:pt>
                <c:pt idx="167">
                  <c:v>0.19590410236998923</c:v>
                </c:pt>
                <c:pt idx="168">
                  <c:v>0.203459632488942</c:v>
                </c:pt>
                <c:pt idx="169">
                  <c:v>0.2112850029692859</c:v>
                </c:pt>
                <c:pt idx="170">
                  <c:v>0.22117410307170166</c:v>
                </c:pt>
                <c:pt idx="171">
                  <c:v>0.24276133198299524</c:v>
                </c:pt>
                <c:pt idx="172">
                  <c:v>0.26232475818385492</c:v>
                </c:pt>
                <c:pt idx="173">
                  <c:v>0.2798643816742809</c:v>
                </c:pt>
                <c:pt idx="174">
                  <c:v>0.19671362345416274</c:v>
                </c:pt>
                <c:pt idx="175">
                  <c:v>0.20453899393450664</c:v>
                </c:pt>
                <c:pt idx="176">
                  <c:v>0.21560244875154463</c:v>
                </c:pt>
                <c:pt idx="177">
                  <c:v>0.22724551120300288</c:v>
                </c:pt>
                <c:pt idx="178">
                  <c:v>0.24276133198299524</c:v>
                </c:pt>
                <c:pt idx="179">
                  <c:v>0.25962635456994337</c:v>
                </c:pt>
                <c:pt idx="180">
                  <c:v>0.28188818438471486</c:v>
                </c:pt>
                <c:pt idx="181">
                  <c:v>0.16250526374056309</c:v>
                </c:pt>
                <c:pt idx="182">
                  <c:v>0.20529664584009563</c:v>
                </c:pt>
                <c:pt idx="183">
                  <c:v>0.24794297240708743</c:v>
                </c:pt>
                <c:pt idx="184">
                  <c:v>0.16250526374056309</c:v>
                </c:pt>
                <c:pt idx="185">
                  <c:v>0.20471642370993251</c:v>
                </c:pt>
                <c:pt idx="186">
                  <c:v>0.2472176947443834</c:v>
                </c:pt>
                <c:pt idx="187">
                  <c:v>7.6052166346253336E-2</c:v>
                </c:pt>
                <c:pt idx="188">
                  <c:v>0.12014904823865298</c:v>
                </c:pt>
                <c:pt idx="189">
                  <c:v>0.16177998607785915</c:v>
                </c:pt>
                <c:pt idx="190">
                  <c:v>0.2035559794496061</c:v>
                </c:pt>
                <c:pt idx="191">
                  <c:v>0.26259358119370696</c:v>
                </c:pt>
                <c:pt idx="192">
                  <c:v>0.11112967472357412</c:v>
                </c:pt>
                <c:pt idx="193">
                  <c:v>0.15812571226520117</c:v>
                </c:pt>
                <c:pt idx="194">
                  <c:v>0.22825608951794205</c:v>
                </c:pt>
                <c:pt idx="195">
                  <c:v>0.11794821671353553</c:v>
                </c:pt>
                <c:pt idx="196">
                  <c:v>0.17512939694084201</c:v>
                </c:pt>
                <c:pt idx="197">
                  <c:v>0.23231057716814843</c:v>
                </c:pt>
                <c:pt idx="198">
                  <c:v>0.1175277819493063</c:v>
                </c:pt>
                <c:pt idx="199">
                  <c:v>0.18941639586178169</c:v>
                </c:pt>
                <c:pt idx="200">
                  <c:v>0.23254956420926687</c:v>
                </c:pt>
                <c:pt idx="201">
                  <c:v>0.26849387116550444</c:v>
                </c:pt>
                <c:pt idx="202">
                  <c:v>0.32600476229548475</c:v>
                </c:pt>
                <c:pt idx="203">
                  <c:v>0.37632679203421759</c:v>
                </c:pt>
                <c:pt idx="204">
                  <c:v>0.15128120300738629</c:v>
                </c:pt>
                <c:pt idx="205">
                  <c:v>0.17990644867800365</c:v>
                </c:pt>
                <c:pt idx="206">
                  <c:v>0.21671033596879763</c:v>
                </c:pt>
                <c:pt idx="207">
                  <c:v>0.2330676192091504</c:v>
                </c:pt>
                <c:pt idx="208">
                  <c:v>0.26987150649994435</c:v>
                </c:pt>
                <c:pt idx="209">
                  <c:v>0.34756860189162025</c:v>
                </c:pt>
                <c:pt idx="210">
                  <c:v>0.12703849644400417</c:v>
                </c:pt>
                <c:pt idx="211">
                  <c:v>0.15099627778839889</c:v>
                </c:pt>
                <c:pt idx="212">
                  <c:v>0.17255828099835413</c:v>
                </c:pt>
                <c:pt idx="213">
                  <c:v>0.19891184047718827</c:v>
                </c:pt>
                <c:pt idx="214">
                  <c:v>0.22526539995602249</c:v>
                </c:pt>
                <c:pt idx="215">
                  <c:v>0.24922318130041712</c:v>
                </c:pt>
                <c:pt idx="216">
                  <c:v>0.27318096264481179</c:v>
                </c:pt>
                <c:pt idx="217">
                  <c:v>0.294742965854767</c:v>
                </c:pt>
                <c:pt idx="218">
                  <c:v>0.2505652204437212</c:v>
                </c:pt>
                <c:pt idx="219">
                  <c:v>0.31490001064532835</c:v>
                </c:pt>
                <c:pt idx="220">
                  <c:v>0.38638311086933647</c:v>
                </c:pt>
                <c:pt idx="221">
                  <c:v>0.15414349743096403</c:v>
                </c:pt>
                <c:pt idx="222">
                  <c:v>0.18259499046456978</c:v>
                </c:pt>
                <c:pt idx="223">
                  <c:v>0.21917548150777719</c:v>
                </c:pt>
                <c:pt idx="224">
                  <c:v>0.23543347752698049</c:v>
                </c:pt>
                <c:pt idx="225">
                  <c:v>0.25982047155578547</c:v>
                </c:pt>
                <c:pt idx="226">
                  <c:v>0.27607846757498877</c:v>
                </c:pt>
                <c:pt idx="227">
                  <c:v>0.31591055782203681</c:v>
                </c:pt>
                <c:pt idx="228">
                  <c:v>0.3557426480690849</c:v>
                </c:pt>
                <c:pt idx="229">
                  <c:v>0.16920059472353005</c:v>
                </c:pt>
                <c:pt idx="230">
                  <c:v>0.17871200070263188</c:v>
                </c:pt>
                <c:pt idx="231">
                  <c:v>0.20249051565038667</c:v>
                </c:pt>
                <c:pt idx="232">
                  <c:v>0.22864688209291692</c:v>
                </c:pt>
                <c:pt idx="233">
                  <c:v>0.25242539704067157</c:v>
                </c:pt>
                <c:pt idx="234">
                  <c:v>0.27382606049365088</c:v>
                </c:pt>
                <c:pt idx="235">
                  <c:v>0.29998242693618105</c:v>
                </c:pt>
                <c:pt idx="236">
                  <c:v>3.8596968092179766E-2</c:v>
                </c:pt>
                <c:pt idx="237">
                  <c:v>6.7647653042968173E-2</c:v>
                </c:pt>
                <c:pt idx="238">
                  <c:v>0.10459254586081865</c:v>
                </c:pt>
                <c:pt idx="239">
                  <c:v>0.12574902294454501</c:v>
                </c:pt>
                <c:pt idx="240">
                  <c:v>0.15006318317509615</c:v>
                </c:pt>
                <c:pt idx="241">
                  <c:v>0.18795538093699407</c:v>
                </c:pt>
                <c:pt idx="242">
                  <c:v>0.20721724813262554</c:v>
                </c:pt>
                <c:pt idx="243">
                  <c:v>0.23532062813936647</c:v>
                </c:pt>
                <c:pt idx="244">
                  <c:v>0.26728929873091839</c:v>
                </c:pt>
                <c:pt idx="245">
                  <c:v>0.29702172941567545</c:v>
                </c:pt>
                <c:pt idx="246">
                  <c:v>0.26858474698417545</c:v>
                </c:pt>
                <c:pt idx="247">
                  <c:v>0.29702172941567545</c:v>
                </c:pt>
                <c:pt idx="248">
                  <c:v>0.26858474698417545</c:v>
                </c:pt>
                <c:pt idx="249">
                  <c:v>0.29702172941567545</c:v>
                </c:pt>
                <c:pt idx="250">
                  <c:v>0.26988019523743262</c:v>
                </c:pt>
                <c:pt idx="251">
                  <c:v>0.29702172941567545</c:v>
                </c:pt>
                <c:pt idx="252">
                  <c:v>0.21302068526037121</c:v>
                </c:pt>
                <c:pt idx="253">
                  <c:v>0.2922790774211681</c:v>
                </c:pt>
                <c:pt idx="254">
                  <c:v>0.21516317296122117</c:v>
                </c:pt>
                <c:pt idx="255">
                  <c:v>0.2922790774211681</c:v>
                </c:pt>
                <c:pt idx="256">
                  <c:v>0.16593842049260554</c:v>
                </c:pt>
                <c:pt idx="257">
                  <c:v>0.26816066312683373</c:v>
                </c:pt>
                <c:pt idx="258">
                  <c:v>0.2942883592014458</c:v>
                </c:pt>
                <c:pt idx="259">
                  <c:v>0.16723237293101356</c:v>
                </c:pt>
                <c:pt idx="260">
                  <c:v>0.26945461556524175</c:v>
                </c:pt>
                <c:pt idx="261">
                  <c:v>0.10247434514056784</c:v>
                </c:pt>
                <c:pt idx="262">
                  <c:v>0.16913510332806375</c:v>
                </c:pt>
                <c:pt idx="263">
                  <c:v>0.23665048662052759</c:v>
                </c:pt>
                <c:pt idx="264">
                  <c:v>0.28726286639158216</c:v>
                </c:pt>
                <c:pt idx="265">
                  <c:v>0.10161972003559995</c:v>
                </c:pt>
                <c:pt idx="266">
                  <c:v>0.16742585311812797</c:v>
                </c:pt>
                <c:pt idx="267">
                  <c:v>0.23408661130562394</c:v>
                </c:pt>
                <c:pt idx="268">
                  <c:v>0.2559318537568821</c:v>
                </c:pt>
                <c:pt idx="269">
                  <c:v>0.28192769917035537</c:v>
                </c:pt>
                <c:pt idx="270">
                  <c:v>0.2559318537568821</c:v>
                </c:pt>
                <c:pt idx="271">
                  <c:v>0.28192769917035537</c:v>
                </c:pt>
                <c:pt idx="272">
                  <c:v>0.12418568445184547</c:v>
                </c:pt>
                <c:pt idx="273">
                  <c:v>0.15819691921097215</c:v>
                </c:pt>
                <c:pt idx="274">
                  <c:v>0.19135787310112068</c:v>
                </c:pt>
                <c:pt idx="275">
                  <c:v>0.22536910786024728</c:v>
                </c:pt>
                <c:pt idx="276">
                  <c:v>0.25767978088141763</c:v>
                </c:pt>
                <c:pt idx="277">
                  <c:v>0.27791169117888265</c:v>
                </c:pt>
                <c:pt idx="278">
                  <c:v>0.19135787310112068</c:v>
                </c:pt>
                <c:pt idx="279">
                  <c:v>0.22366854612229098</c:v>
                </c:pt>
                <c:pt idx="280">
                  <c:v>0.25767978088141763</c:v>
                </c:pt>
                <c:pt idx="281">
                  <c:v>0.27791169117888265</c:v>
                </c:pt>
              </c:numCache>
            </c:numRef>
          </c:xVal>
          <c:yVal>
            <c:numRef>
              <c:f>'Dados gerais'!$AW$28:$AW$309</c:f>
              <c:numCache>
                <c:formatCode>0.00</c:formatCode>
                <c:ptCount val="282"/>
                <c:pt idx="0">
                  <c:v>0.16892962653245996</c:v>
                </c:pt>
                <c:pt idx="1">
                  <c:v>0.1926063773377969</c:v>
                </c:pt>
                <c:pt idx="2">
                  <c:v>0.21787931359068463</c:v>
                </c:pt>
                <c:pt idx="3">
                  <c:v>0.24341828075149743</c:v>
                </c:pt>
                <c:pt idx="4">
                  <c:v>0.25991219704285579</c:v>
                </c:pt>
                <c:pt idx="5">
                  <c:v>0.29529430779689847</c:v>
                </c:pt>
                <c:pt idx="6">
                  <c:v>0.29795461687614988</c:v>
                </c:pt>
                <c:pt idx="7">
                  <c:v>0.31923708951016055</c:v>
                </c:pt>
                <c:pt idx="8">
                  <c:v>0.37217518973657732</c:v>
                </c:pt>
                <c:pt idx="9">
                  <c:v>0.37217518973657732</c:v>
                </c:pt>
                <c:pt idx="10">
                  <c:v>0.19995733054196627</c:v>
                </c:pt>
                <c:pt idx="11">
                  <c:v>0.22217481171329587</c:v>
                </c:pt>
                <c:pt idx="12">
                  <c:v>0.23050636715254444</c:v>
                </c:pt>
                <c:pt idx="13">
                  <c:v>0.24439229288462541</c:v>
                </c:pt>
                <c:pt idx="14">
                  <c:v>0.26383258890953881</c:v>
                </c:pt>
                <c:pt idx="15">
                  <c:v>0.30549036610578179</c:v>
                </c:pt>
                <c:pt idx="16">
                  <c:v>0.11739335717932614</c:v>
                </c:pt>
                <c:pt idx="17">
                  <c:v>0.16899483286254643</c:v>
                </c:pt>
                <c:pt idx="18">
                  <c:v>0.20447084739476043</c:v>
                </c:pt>
                <c:pt idx="19">
                  <c:v>0.26316752598442344</c:v>
                </c:pt>
                <c:pt idx="20">
                  <c:v>0.34895497930777719</c:v>
                </c:pt>
                <c:pt idx="21">
                  <c:v>0.24008937879822945</c:v>
                </c:pt>
                <c:pt idx="22">
                  <c:v>0.30868634416915214</c:v>
                </c:pt>
                <c:pt idx="23">
                  <c:v>0.39957230690605344</c:v>
                </c:pt>
                <c:pt idx="24">
                  <c:v>0.39957230690605344</c:v>
                </c:pt>
                <c:pt idx="25">
                  <c:v>0.39957230690605344</c:v>
                </c:pt>
                <c:pt idx="26">
                  <c:v>6.3652881508084999E-2</c:v>
                </c:pt>
                <c:pt idx="27">
                  <c:v>7.9566101885106238E-2</c:v>
                </c:pt>
                <c:pt idx="28">
                  <c:v>0.14321898339319122</c:v>
                </c:pt>
                <c:pt idx="29">
                  <c:v>0.20687186490127621</c:v>
                </c:pt>
                <c:pt idx="30">
                  <c:v>0.27052474640936119</c:v>
                </c:pt>
                <c:pt idx="31">
                  <c:v>0.31826440754042495</c:v>
                </c:pt>
                <c:pt idx="32">
                  <c:v>0.37350539105557851</c:v>
                </c:pt>
                <c:pt idx="33">
                  <c:v>0.17149241342730673</c:v>
                </c:pt>
                <c:pt idx="34">
                  <c:v>0.20579089611276813</c:v>
                </c:pt>
                <c:pt idx="35">
                  <c:v>0.24008937879822945</c:v>
                </c:pt>
                <c:pt idx="36">
                  <c:v>0.30868634416915214</c:v>
                </c:pt>
                <c:pt idx="37">
                  <c:v>0.39957230690605344</c:v>
                </c:pt>
                <c:pt idx="38">
                  <c:v>0.17149241342730673</c:v>
                </c:pt>
                <c:pt idx="39">
                  <c:v>0.24008937879822945</c:v>
                </c:pt>
                <c:pt idx="40">
                  <c:v>0.30868634416915214</c:v>
                </c:pt>
                <c:pt idx="41">
                  <c:v>0.39957230690605344</c:v>
                </c:pt>
                <c:pt idx="42">
                  <c:v>0.43368023499729708</c:v>
                </c:pt>
                <c:pt idx="43">
                  <c:v>0.52041628199675649</c:v>
                </c:pt>
                <c:pt idx="44">
                  <c:v>0.34694418799783772</c:v>
                </c:pt>
                <c:pt idx="45">
                  <c:v>0.43368023499729708</c:v>
                </c:pt>
                <c:pt idx="46">
                  <c:v>0.52041628199675649</c:v>
                </c:pt>
                <c:pt idx="47">
                  <c:v>0.34694418799783772</c:v>
                </c:pt>
                <c:pt idx="48">
                  <c:v>0.43368023499729708</c:v>
                </c:pt>
                <c:pt idx="49">
                  <c:v>0.52041628199675649</c:v>
                </c:pt>
                <c:pt idx="50">
                  <c:v>0.15913220377021248</c:v>
                </c:pt>
                <c:pt idx="51">
                  <c:v>0.23869830565531872</c:v>
                </c:pt>
                <c:pt idx="52">
                  <c:v>0.31826440754042495</c:v>
                </c:pt>
                <c:pt idx="53">
                  <c:v>0.37350539105557851</c:v>
                </c:pt>
                <c:pt idx="54">
                  <c:v>0.15913220377021248</c:v>
                </c:pt>
                <c:pt idx="55">
                  <c:v>0.23869830565531872</c:v>
                </c:pt>
                <c:pt idx="56">
                  <c:v>0.31826440754042495</c:v>
                </c:pt>
                <c:pt idx="57">
                  <c:v>0.37350539105557851</c:v>
                </c:pt>
                <c:pt idx="58">
                  <c:v>0.11120342777150033</c:v>
                </c:pt>
                <c:pt idx="59">
                  <c:v>0.18533904628583389</c:v>
                </c:pt>
                <c:pt idx="60">
                  <c:v>0.37067809257166778</c:v>
                </c:pt>
                <c:pt idx="61">
                  <c:v>0.11120342777150033</c:v>
                </c:pt>
                <c:pt idx="62">
                  <c:v>0.18533904628583389</c:v>
                </c:pt>
                <c:pt idx="63">
                  <c:v>0.37067809257166778</c:v>
                </c:pt>
                <c:pt idx="64">
                  <c:v>0.11120342777150033</c:v>
                </c:pt>
                <c:pt idx="65">
                  <c:v>0.18533904628583389</c:v>
                </c:pt>
                <c:pt idx="66">
                  <c:v>0.37067809257166778</c:v>
                </c:pt>
                <c:pt idx="67">
                  <c:v>0.141040005310795</c:v>
                </c:pt>
                <c:pt idx="68">
                  <c:v>0.16414138549101145</c:v>
                </c:pt>
                <c:pt idx="69">
                  <c:v>0.14363438998836361</c:v>
                </c:pt>
                <c:pt idx="70">
                  <c:v>0.16473707287764924</c:v>
                </c:pt>
                <c:pt idx="71">
                  <c:v>0.19468926794631275</c:v>
                </c:pt>
                <c:pt idx="72">
                  <c:v>0.13793919159603718</c:v>
                </c:pt>
                <c:pt idx="73">
                  <c:v>0.18090385783086843</c:v>
                </c:pt>
                <c:pt idx="74">
                  <c:v>0.26244074176287685</c:v>
                </c:pt>
                <c:pt idx="75">
                  <c:v>0.29996899670644184</c:v>
                </c:pt>
                <c:pt idx="76">
                  <c:v>0.33749725165000705</c:v>
                </c:pt>
                <c:pt idx="77">
                  <c:v>0.37496124588305235</c:v>
                </c:pt>
                <c:pt idx="78">
                  <c:v>0.41242524011609777</c:v>
                </c:pt>
                <c:pt idx="79">
                  <c:v>0.44995349505966281</c:v>
                </c:pt>
                <c:pt idx="80">
                  <c:v>0.48748175000322802</c:v>
                </c:pt>
                <c:pt idx="81">
                  <c:v>0.5248814835257537</c:v>
                </c:pt>
                <c:pt idx="82">
                  <c:v>0.29996899670644184</c:v>
                </c:pt>
                <c:pt idx="83">
                  <c:v>0.33749725165000705</c:v>
                </c:pt>
                <c:pt idx="84">
                  <c:v>0.37496124588305235</c:v>
                </c:pt>
                <c:pt idx="85">
                  <c:v>0.41242524011609777</c:v>
                </c:pt>
                <c:pt idx="86">
                  <c:v>0.44995349505966281</c:v>
                </c:pt>
                <c:pt idx="87">
                  <c:v>0.48748175000322802</c:v>
                </c:pt>
                <c:pt idx="88">
                  <c:v>0.5248814835257537</c:v>
                </c:pt>
                <c:pt idx="89">
                  <c:v>0.21268829038166062</c:v>
                </c:pt>
                <c:pt idx="90">
                  <c:v>0.23929710820147421</c:v>
                </c:pt>
                <c:pt idx="91">
                  <c:v>0.26586036297707577</c:v>
                </c:pt>
                <c:pt idx="92">
                  <c:v>0.29242361775267733</c:v>
                </c:pt>
                <c:pt idx="93">
                  <c:v>0.31903243557249095</c:v>
                </c:pt>
                <c:pt idx="94">
                  <c:v>0.34564125339230445</c:v>
                </c:pt>
                <c:pt idx="95">
                  <c:v>0.37215894512369413</c:v>
                </c:pt>
                <c:pt idx="96">
                  <c:v>0.18607947256184706</c:v>
                </c:pt>
                <c:pt idx="97">
                  <c:v>0.21268829038166062</c:v>
                </c:pt>
                <c:pt idx="98">
                  <c:v>0.23929710820147421</c:v>
                </c:pt>
                <c:pt idx="99">
                  <c:v>0.26586036297707577</c:v>
                </c:pt>
                <c:pt idx="100">
                  <c:v>0.29242361775267733</c:v>
                </c:pt>
                <c:pt idx="101">
                  <c:v>0.31903243557249095</c:v>
                </c:pt>
                <c:pt idx="102">
                  <c:v>0.34564125339230445</c:v>
                </c:pt>
                <c:pt idx="103">
                  <c:v>0.37215894512369413</c:v>
                </c:pt>
                <c:pt idx="104">
                  <c:v>0.18003138663794294</c:v>
                </c:pt>
                <c:pt idx="105">
                  <c:v>0.19384344398348513</c:v>
                </c:pt>
                <c:pt idx="106">
                  <c:v>0.20770296544361677</c:v>
                </c:pt>
                <c:pt idx="107">
                  <c:v>0.22156248690374838</c:v>
                </c:pt>
                <c:pt idx="108">
                  <c:v>0.23542200836388011</c:v>
                </c:pt>
                <c:pt idx="109">
                  <c:v>0.19384344398348513</c:v>
                </c:pt>
                <c:pt idx="110">
                  <c:v>0.20770296544361677</c:v>
                </c:pt>
                <c:pt idx="111">
                  <c:v>0.22156248690374838</c:v>
                </c:pt>
                <c:pt idx="112">
                  <c:v>0.23542200836388011</c:v>
                </c:pt>
                <c:pt idx="113">
                  <c:v>0.3030500275579413</c:v>
                </c:pt>
                <c:pt idx="114">
                  <c:v>0.41661267171776939</c:v>
                </c:pt>
                <c:pt idx="115">
                  <c:v>0.53017531587759759</c:v>
                </c:pt>
                <c:pt idx="116">
                  <c:v>0.41661267171776939</c:v>
                </c:pt>
                <c:pt idx="117">
                  <c:v>0.53017531587759759</c:v>
                </c:pt>
                <c:pt idx="118">
                  <c:v>0.27575608799549106</c:v>
                </c:pt>
                <c:pt idx="119">
                  <c:v>0.33482256951227324</c:v>
                </c:pt>
                <c:pt idx="120">
                  <c:v>0.39388905102905519</c:v>
                </c:pt>
                <c:pt idx="121">
                  <c:v>0.27575608799549106</c:v>
                </c:pt>
                <c:pt idx="122">
                  <c:v>0.33482256951227324</c:v>
                </c:pt>
                <c:pt idx="123">
                  <c:v>0.39388905102905519</c:v>
                </c:pt>
                <c:pt idx="124">
                  <c:v>0.24808989435623718</c:v>
                </c:pt>
                <c:pt idx="125">
                  <c:v>0.28529274912259667</c:v>
                </c:pt>
                <c:pt idx="126">
                  <c:v>0.32249560388895626</c:v>
                </c:pt>
                <c:pt idx="127">
                  <c:v>0.24808989435623718</c:v>
                </c:pt>
                <c:pt idx="128">
                  <c:v>0.28529274912259667</c:v>
                </c:pt>
                <c:pt idx="129">
                  <c:v>0.32249560388895626</c:v>
                </c:pt>
                <c:pt idx="130">
                  <c:v>0.32972729832920816</c:v>
                </c:pt>
                <c:pt idx="131">
                  <c:v>0.3538536860118332</c:v>
                </c:pt>
                <c:pt idx="132">
                  <c:v>0.38119692538547489</c:v>
                </c:pt>
                <c:pt idx="133">
                  <c:v>0.40532331306809988</c:v>
                </c:pt>
                <c:pt idx="134">
                  <c:v>0.4326665524417414</c:v>
                </c:pt>
                <c:pt idx="135">
                  <c:v>0.45679294012436644</c:v>
                </c:pt>
                <c:pt idx="136">
                  <c:v>0.48574460534351649</c:v>
                </c:pt>
                <c:pt idx="137">
                  <c:v>0.30238405895556658</c:v>
                </c:pt>
                <c:pt idx="138">
                  <c:v>0.32972729832920816</c:v>
                </c:pt>
                <c:pt idx="139">
                  <c:v>0.3554621118573415</c:v>
                </c:pt>
                <c:pt idx="140">
                  <c:v>0.37878428661721242</c:v>
                </c:pt>
                <c:pt idx="141">
                  <c:v>0.40532331306809988</c:v>
                </c:pt>
                <c:pt idx="142">
                  <c:v>0.43186233951898739</c:v>
                </c:pt>
                <c:pt idx="143">
                  <c:v>0.45438030135610397</c:v>
                </c:pt>
                <c:pt idx="144">
                  <c:v>0.47609405027046647</c:v>
                </c:pt>
                <c:pt idx="145">
                  <c:v>0.2328008437471874</c:v>
                </c:pt>
                <c:pt idx="146">
                  <c:v>0.27205581018607294</c:v>
                </c:pt>
                <c:pt idx="147">
                  <c:v>0.31005125898520808</c:v>
                </c:pt>
                <c:pt idx="148">
                  <c:v>0.34783678817771818</c:v>
                </c:pt>
                <c:pt idx="149">
                  <c:v>0.38520247815697833</c:v>
                </c:pt>
                <c:pt idx="150">
                  <c:v>0.42361776616936347</c:v>
                </c:pt>
                <c:pt idx="151">
                  <c:v>0.19627483219442757</c:v>
                </c:pt>
                <c:pt idx="152">
                  <c:v>0.23343060256706255</c:v>
                </c:pt>
                <c:pt idx="153">
                  <c:v>0.27142605136619774</c:v>
                </c:pt>
                <c:pt idx="154">
                  <c:v>0.30900166095208281</c:v>
                </c:pt>
                <c:pt idx="155">
                  <c:v>0.34804670778434327</c:v>
                </c:pt>
                <c:pt idx="156">
                  <c:v>0.38520247815697833</c:v>
                </c:pt>
                <c:pt idx="157">
                  <c:v>0.40325556432673298</c:v>
                </c:pt>
                <c:pt idx="158">
                  <c:v>0.33890172186871836</c:v>
                </c:pt>
                <c:pt idx="159">
                  <c:v>0.36071942928515954</c:v>
                </c:pt>
                <c:pt idx="160">
                  <c:v>0.36508297076844781</c:v>
                </c:pt>
                <c:pt idx="161">
                  <c:v>0.38350681258677577</c:v>
                </c:pt>
                <c:pt idx="162">
                  <c:v>0.39611259909405283</c:v>
                </c:pt>
                <c:pt idx="163">
                  <c:v>0.41017289942909274</c:v>
                </c:pt>
                <c:pt idx="164">
                  <c:v>0.4227786859363698</c:v>
                </c:pt>
                <c:pt idx="165">
                  <c:v>0.43780866215658465</c:v>
                </c:pt>
                <c:pt idx="166">
                  <c:v>0.33744720804095568</c:v>
                </c:pt>
                <c:pt idx="167">
                  <c:v>0.35199234631858312</c:v>
                </c:pt>
                <c:pt idx="168">
                  <c:v>0.36556780871103534</c:v>
                </c:pt>
                <c:pt idx="169">
                  <c:v>0.37962810904607519</c:v>
                </c:pt>
                <c:pt idx="170">
                  <c:v>0.3946580852662902</c:v>
                </c:pt>
                <c:pt idx="171">
                  <c:v>0.41017289942909274</c:v>
                </c:pt>
                <c:pt idx="172">
                  <c:v>0.42423319976413248</c:v>
                </c:pt>
                <c:pt idx="173">
                  <c:v>0.43683898627140955</c:v>
                </c:pt>
                <c:pt idx="174">
                  <c:v>0.35344686014634585</c:v>
                </c:pt>
                <c:pt idx="175">
                  <c:v>0.36750716048138565</c:v>
                </c:pt>
                <c:pt idx="176">
                  <c:v>0.38738551612747646</c:v>
                </c:pt>
                <c:pt idx="177">
                  <c:v>0.39902162674957831</c:v>
                </c:pt>
                <c:pt idx="178">
                  <c:v>0.41017289942909274</c:v>
                </c:pt>
                <c:pt idx="179">
                  <c:v>0.42229384799378228</c:v>
                </c:pt>
                <c:pt idx="180">
                  <c:v>0.43829350009917234</c:v>
                </c:pt>
                <c:pt idx="181">
                  <c:v>0.23684951094129722</c:v>
                </c:pt>
                <c:pt idx="182">
                  <c:v>0.2736622642224788</c:v>
                </c:pt>
                <c:pt idx="183">
                  <c:v>0.31035022850948701</c:v>
                </c:pt>
                <c:pt idx="184">
                  <c:v>0.23684951094129722</c:v>
                </c:pt>
                <c:pt idx="185">
                  <c:v>0.27316310824578488</c:v>
                </c:pt>
                <c:pt idx="186">
                  <c:v>0.30972628353861942</c:v>
                </c:pt>
                <c:pt idx="187">
                  <c:v>0.16247527041389301</c:v>
                </c:pt>
                <c:pt idx="188">
                  <c:v>0.20041112464263613</c:v>
                </c:pt>
                <c:pt idx="189">
                  <c:v>0.23622556597042974</c:v>
                </c:pt>
                <c:pt idx="190">
                  <c:v>0.27216479629239682</c:v>
                </c:pt>
                <c:pt idx="191">
                  <c:v>0.32295391692101011</c:v>
                </c:pt>
                <c:pt idx="192">
                  <c:v>0.24579967428747088</c:v>
                </c:pt>
                <c:pt idx="193">
                  <c:v>0.30784619401052171</c:v>
                </c:pt>
                <c:pt idx="194">
                  <c:v>0.36989271373357252</c:v>
                </c:pt>
                <c:pt idx="195">
                  <c:v>0.18565179539027393</c:v>
                </c:pt>
                <c:pt idx="196">
                  <c:v>0.23175324793685206</c:v>
                </c:pt>
                <c:pt idx="197">
                  <c:v>0.27785470048343014</c:v>
                </c:pt>
                <c:pt idx="198">
                  <c:v>0.20888642052178411</c:v>
                </c:pt>
                <c:pt idx="199">
                  <c:v>0.28091622070170974</c:v>
                </c:pt>
                <c:pt idx="200">
                  <c:v>0.32413410080966504</c:v>
                </c:pt>
                <c:pt idx="201">
                  <c:v>0.36014900089962781</c:v>
                </c:pt>
                <c:pt idx="202">
                  <c:v>0.41777284104356821</c:v>
                </c:pt>
                <c:pt idx="203">
                  <c:v>0.46819370116951625</c:v>
                </c:pt>
                <c:pt idx="204">
                  <c:v>0.22543099969497715</c:v>
                </c:pt>
                <c:pt idx="205">
                  <c:v>0.25637250945703272</c:v>
                </c:pt>
                <c:pt idx="206">
                  <c:v>0.29615445057967582</c:v>
                </c:pt>
                <c:pt idx="207">
                  <c:v>0.31383531330085046</c:v>
                </c:pt>
                <c:pt idx="208">
                  <c:v>0.35361725442349351</c:v>
                </c:pt>
                <c:pt idx="209">
                  <c:v>0.43760135234907321</c:v>
                </c:pt>
                <c:pt idx="210">
                  <c:v>0.15788934749629366</c:v>
                </c:pt>
                <c:pt idx="211">
                  <c:v>0.18110836918692513</c:v>
                </c:pt>
                <c:pt idx="212">
                  <c:v>0.20200548870849344</c:v>
                </c:pt>
                <c:pt idx="213">
                  <c:v>0.22754641256818794</c:v>
                </c:pt>
                <c:pt idx="214">
                  <c:v>0.25308733642788256</c:v>
                </c:pt>
                <c:pt idx="215">
                  <c:v>0.27630635811851401</c:v>
                </c:pt>
                <c:pt idx="216">
                  <c:v>0.29952537980914534</c:v>
                </c:pt>
                <c:pt idx="217">
                  <c:v>0.32042249933071365</c:v>
                </c:pt>
                <c:pt idx="218">
                  <c:v>0.30168752538416338</c:v>
                </c:pt>
                <c:pt idx="219">
                  <c:v>0.36071334556802137</c:v>
                </c:pt>
                <c:pt idx="220">
                  <c:v>0.42629759021675262</c:v>
                </c:pt>
                <c:pt idx="221">
                  <c:v>0.20111319768091604</c:v>
                </c:pt>
                <c:pt idx="222">
                  <c:v>0.22926904535624426</c:v>
                </c:pt>
                <c:pt idx="223">
                  <c:v>0.2654694209388091</c:v>
                </c:pt>
                <c:pt idx="224">
                  <c:v>0.28155847675328238</c:v>
                </c:pt>
                <c:pt idx="225">
                  <c:v>0.30569206047499231</c:v>
                </c:pt>
                <c:pt idx="226">
                  <c:v>0.32178111628946565</c:v>
                </c:pt>
                <c:pt idx="227">
                  <c:v>0.36119930303492503</c:v>
                </c:pt>
                <c:pt idx="228">
                  <c:v>0.40061748978038464</c:v>
                </c:pt>
                <c:pt idx="229">
                  <c:v>0.1773928260722093</c:v>
                </c:pt>
                <c:pt idx="230">
                  <c:v>0.1858401035042192</c:v>
                </c:pt>
                <c:pt idx="231">
                  <c:v>0.20695829708424418</c:v>
                </c:pt>
                <c:pt idx="232">
                  <c:v>0.23018831002227164</c:v>
                </c:pt>
                <c:pt idx="233">
                  <c:v>0.2513065036022965</c:v>
                </c:pt>
                <c:pt idx="234">
                  <c:v>0.2703128778243189</c:v>
                </c:pt>
                <c:pt idx="235">
                  <c:v>0.2935428907623463</c:v>
                </c:pt>
                <c:pt idx="236">
                  <c:v>8.9874707166590059E-2</c:v>
                </c:pt>
                <c:pt idx="237">
                  <c:v>0.12192305235777719</c:v>
                </c:pt>
                <c:pt idx="238">
                  <c:v>0.16268018700309125</c:v>
                </c:pt>
                <c:pt idx="239">
                  <c:v>0.18601974274015148</c:v>
                </c:pt>
                <c:pt idx="240">
                  <c:v>0.21284281425886242</c:v>
                </c:pt>
                <c:pt idx="241">
                  <c:v>0.25464500363867176</c:v>
                </c:pt>
                <c:pt idx="242">
                  <c:v>0.27589444990674156</c:v>
                </c:pt>
                <c:pt idx="243">
                  <c:v>0.30689774036343337</c:v>
                </c:pt>
                <c:pt idx="244">
                  <c:v>0.27246081076315715</c:v>
                </c:pt>
                <c:pt idx="245">
                  <c:v>0.29553599084879173</c:v>
                </c:pt>
                <c:pt idx="246">
                  <c:v>0.27346620120877757</c:v>
                </c:pt>
                <c:pt idx="247">
                  <c:v>0.29553599084879173</c:v>
                </c:pt>
                <c:pt idx="248">
                  <c:v>0.27346620120877757</c:v>
                </c:pt>
                <c:pt idx="249">
                  <c:v>0.29553599084879173</c:v>
                </c:pt>
                <c:pt idx="250">
                  <c:v>0.27447159165439811</c:v>
                </c:pt>
                <c:pt idx="251">
                  <c:v>0.29553599084879173</c:v>
                </c:pt>
                <c:pt idx="252">
                  <c:v>0.25140813378365084</c:v>
                </c:pt>
                <c:pt idx="253">
                  <c:v>0.31102671634078205</c:v>
                </c:pt>
                <c:pt idx="254">
                  <c:v>0.25301972438482806</c:v>
                </c:pt>
                <c:pt idx="255">
                  <c:v>0.31102671634078205</c:v>
                </c:pt>
                <c:pt idx="256">
                  <c:v>0.20014638609567872</c:v>
                </c:pt>
                <c:pt idx="257">
                  <c:v>0.28123133225751779</c:v>
                </c:pt>
                <c:pt idx="258">
                  <c:v>0.30195639927765211</c:v>
                </c:pt>
                <c:pt idx="259">
                  <c:v>0.20117277781924639</c:v>
                </c:pt>
                <c:pt idx="260">
                  <c:v>0.28225772398108545</c:v>
                </c:pt>
                <c:pt idx="261">
                  <c:v>0.14126225441748413</c:v>
                </c:pt>
                <c:pt idx="262">
                  <c:v>0.19719350235943212</c:v>
                </c:pt>
                <c:pt idx="263">
                  <c:v>0.2538418175826872</c:v>
                </c:pt>
                <c:pt idx="264">
                  <c:v>0.29630778465051877</c:v>
                </c:pt>
                <c:pt idx="265">
                  <c:v>0.14054518713617711</c:v>
                </c:pt>
                <c:pt idx="266">
                  <c:v>0.19575936779681807</c:v>
                </c:pt>
                <c:pt idx="267">
                  <c:v>0.25169061573876617</c:v>
                </c:pt>
                <c:pt idx="268">
                  <c:v>0.30775363409033601</c:v>
                </c:pt>
                <c:pt idx="269">
                  <c:v>0.33034410902974537</c:v>
                </c:pt>
                <c:pt idx="270">
                  <c:v>0.30775363409033601</c:v>
                </c:pt>
                <c:pt idx="271">
                  <c:v>0.33034410902974537</c:v>
                </c:pt>
                <c:pt idx="272">
                  <c:v>0.18287249019815305</c:v>
                </c:pt>
                <c:pt idx="273">
                  <c:v>0.21413274493288006</c:v>
                </c:pt>
                <c:pt idx="274">
                  <c:v>0.24461149329923895</c:v>
                </c:pt>
                <c:pt idx="275">
                  <c:v>0.27587174803396586</c:v>
                </c:pt>
                <c:pt idx="276">
                  <c:v>0.30556899003195659</c:v>
                </c:pt>
                <c:pt idx="277">
                  <c:v>0.32416445338834615</c:v>
                </c:pt>
                <c:pt idx="278">
                  <c:v>0.24461149329923895</c:v>
                </c:pt>
                <c:pt idx="279">
                  <c:v>0.27430873529722954</c:v>
                </c:pt>
                <c:pt idx="280">
                  <c:v>0.30556899003195659</c:v>
                </c:pt>
                <c:pt idx="281">
                  <c:v>0.32416445338834615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1-42BB-93FC-9E65735A4C79}"/>
            </c:ext>
          </c:extLst>
        </c:ser>
        <c:ser>
          <c:idx val="4"/>
          <c:order val="3"/>
          <c:tx>
            <c:strRef>
              <c:f>'Dados gerais'!$BC$2</c:f>
              <c:strCache>
                <c:ptCount val="1"/>
                <c:pt idx="0">
                  <c:v>Caldas (1997)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ln>
                <a:solidFill>
                  <a:schemeClr val="accent4"/>
                </a:solidFill>
              </a:ln>
            </c:spPr>
          </c:marke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gerais'!$BC$28:$BC$309</c:f>
              <c:numCache>
                <c:formatCode>0.00</c:formatCode>
                <c:ptCount val="282"/>
                <c:pt idx="0">
                  <c:v>0.21176098535955973</c:v>
                </c:pt>
                <c:pt idx="1">
                  <c:v>0.2466862096623729</c:v>
                </c:pt>
                <c:pt idx="2">
                  <c:v>0.28396594346874648</c:v>
                </c:pt>
                <c:pt idx="3">
                  <c:v>0.32163809552571332</c:v>
                </c:pt>
                <c:pt idx="4">
                  <c:v>0.34596802706250462</c:v>
                </c:pt>
                <c:pt idx="5">
                  <c:v>0.39815965439142748</c:v>
                </c:pt>
                <c:pt idx="6">
                  <c:v>0.40208383689736166</c:v>
                </c:pt>
                <c:pt idx="7">
                  <c:v>0.43347729694483406</c:v>
                </c:pt>
                <c:pt idx="8">
                  <c:v>0.51156550422349734</c:v>
                </c:pt>
                <c:pt idx="9">
                  <c:v>0.51156550422349734</c:v>
                </c:pt>
                <c:pt idx="10">
                  <c:v>0.24360227547511745</c:v>
                </c:pt>
                <c:pt idx="11">
                  <c:v>0.27482748427982534</c:v>
                </c:pt>
                <c:pt idx="12">
                  <c:v>0.28653693758159071</c:v>
                </c:pt>
                <c:pt idx="13">
                  <c:v>0.30605269308453309</c:v>
                </c:pt>
                <c:pt idx="14">
                  <c:v>0.33337475078865242</c:v>
                </c:pt>
                <c:pt idx="15">
                  <c:v>0.39192201729747961</c:v>
                </c:pt>
                <c:pt idx="16">
                  <c:v>5.8045479214654826E-2</c:v>
                </c:pt>
                <c:pt idx="17">
                  <c:v>8.825052032231516E-2</c:v>
                </c:pt>
                <c:pt idx="18">
                  <c:v>0.10901648608383162</c:v>
                </c:pt>
                <c:pt idx="19">
                  <c:v>0.14337472034379523</c:v>
                </c:pt>
                <c:pt idx="20">
                  <c:v>0.19359060118528054</c:v>
                </c:pt>
                <c:pt idx="21">
                  <c:v>0.25002482779531143</c:v>
                </c:pt>
                <c:pt idx="22">
                  <c:v>0.33594505364732091</c:v>
                </c:pt>
                <c:pt idx="23">
                  <c:v>0.44978306970104531</c:v>
                </c:pt>
                <c:pt idx="24">
                  <c:v>0.44978306970104531</c:v>
                </c:pt>
                <c:pt idx="25">
                  <c:v>0.44978306970104531</c:v>
                </c:pt>
                <c:pt idx="26">
                  <c:v>6.7581379984200246E-2</c:v>
                </c:pt>
                <c:pt idx="27">
                  <c:v>9.0550252029073575E-2</c:v>
                </c:pt>
                <c:pt idx="28">
                  <c:v>0.18242574020856681</c:v>
                </c:pt>
                <c:pt idx="29">
                  <c:v>0.27430122838806004</c:v>
                </c:pt>
                <c:pt idx="30">
                  <c:v>0.36617671656755335</c:v>
                </c:pt>
                <c:pt idx="31">
                  <c:v>0.43508333270217331</c:v>
                </c:pt>
                <c:pt idx="32">
                  <c:v>0.51481723017428416</c:v>
                </c:pt>
                <c:pt idx="33">
                  <c:v>0.16410460194330204</c:v>
                </c:pt>
                <c:pt idx="34">
                  <c:v>0.20706471486930678</c:v>
                </c:pt>
                <c:pt idx="35">
                  <c:v>0.25002482779531143</c:v>
                </c:pt>
                <c:pt idx="36">
                  <c:v>0.33594505364732091</c:v>
                </c:pt>
                <c:pt idx="37">
                  <c:v>0.44978306970104531</c:v>
                </c:pt>
                <c:pt idx="38">
                  <c:v>0.16410460194330204</c:v>
                </c:pt>
                <c:pt idx="39">
                  <c:v>0.25002482779531143</c:v>
                </c:pt>
                <c:pt idx="40">
                  <c:v>0.33594505364732091</c:v>
                </c:pt>
                <c:pt idx="41">
                  <c:v>0.44978306970104531</c:v>
                </c:pt>
                <c:pt idx="42">
                  <c:v>0.27873857274862496</c:v>
                </c:pt>
                <c:pt idx="43">
                  <c:v>0.34899935700575707</c:v>
                </c:pt>
                <c:pt idx="44">
                  <c:v>0.20847778849149301</c:v>
                </c:pt>
                <c:pt idx="45">
                  <c:v>0.27873857274862496</c:v>
                </c:pt>
                <c:pt idx="46">
                  <c:v>0.34899935700575707</c:v>
                </c:pt>
                <c:pt idx="47">
                  <c:v>0.20847778849149301</c:v>
                </c:pt>
                <c:pt idx="48">
                  <c:v>0.27873857274862496</c:v>
                </c:pt>
                <c:pt idx="49">
                  <c:v>0.34899935700575707</c:v>
                </c:pt>
                <c:pt idx="50">
                  <c:v>0.20539461225344013</c:v>
                </c:pt>
                <c:pt idx="51">
                  <c:v>0.32023897247780675</c:v>
                </c:pt>
                <c:pt idx="52">
                  <c:v>0.43508333270217331</c:v>
                </c:pt>
                <c:pt idx="53">
                  <c:v>0.51481723017428416</c:v>
                </c:pt>
                <c:pt idx="54">
                  <c:v>0.20539461225344013</c:v>
                </c:pt>
                <c:pt idx="55">
                  <c:v>0.32023897247780675</c:v>
                </c:pt>
                <c:pt idx="56">
                  <c:v>0.43508333270217331</c:v>
                </c:pt>
                <c:pt idx="57">
                  <c:v>0.51481723017428416</c:v>
                </c:pt>
                <c:pt idx="58">
                  <c:v>7.5900154724817107E-2</c:v>
                </c:pt>
                <c:pt idx="59">
                  <c:v>0.14891108881475229</c:v>
                </c:pt>
                <c:pt idx="60">
                  <c:v>0.33143842403959017</c:v>
                </c:pt>
                <c:pt idx="61">
                  <c:v>7.5900154724817107E-2</c:v>
                </c:pt>
                <c:pt idx="62">
                  <c:v>0.14891108881475229</c:v>
                </c:pt>
                <c:pt idx="63">
                  <c:v>0.33143842403959017</c:v>
                </c:pt>
                <c:pt idx="64">
                  <c:v>7.5900154724817107E-2</c:v>
                </c:pt>
                <c:pt idx="65">
                  <c:v>0.14891108881475229</c:v>
                </c:pt>
                <c:pt idx="66">
                  <c:v>0.33143842403959017</c:v>
                </c:pt>
                <c:pt idx="67">
                  <c:v>0.12185310734004789</c:v>
                </c:pt>
                <c:pt idx="68">
                  <c:v>0.14354614769334423</c:v>
                </c:pt>
                <c:pt idx="69">
                  <c:v>0.12691535141382154</c:v>
                </c:pt>
                <c:pt idx="70">
                  <c:v>0.14694396331799323</c:v>
                </c:pt>
                <c:pt idx="71">
                  <c:v>0.17537167053681754</c:v>
                </c:pt>
                <c:pt idx="72">
                  <c:v>0.12149822076563109</c:v>
                </c:pt>
                <c:pt idx="73">
                  <c:v>0.16214997104322221</c:v>
                </c:pt>
                <c:pt idx="74">
                  <c:v>0.13532727526154789</c:v>
                </c:pt>
                <c:pt idx="75">
                  <c:v>0.15835952502381526</c:v>
                </c:pt>
                <c:pt idx="76">
                  <c:v>0.1813917747860827</c:v>
                </c:pt>
                <c:pt idx="77">
                  <c:v>0.20438458576451057</c:v>
                </c:pt>
                <c:pt idx="78">
                  <c:v>0.22737739674293855</c:v>
                </c:pt>
                <c:pt idx="79">
                  <c:v>0.25040964650520592</c:v>
                </c:pt>
                <c:pt idx="80">
                  <c:v>0.27344189626747334</c:v>
                </c:pt>
                <c:pt idx="81">
                  <c:v>0.29639526846206188</c:v>
                </c:pt>
                <c:pt idx="82">
                  <c:v>0.15835952502381526</c:v>
                </c:pt>
                <c:pt idx="83">
                  <c:v>0.1813917747860827</c:v>
                </c:pt>
                <c:pt idx="84">
                  <c:v>0.20438458576451057</c:v>
                </c:pt>
                <c:pt idx="85">
                  <c:v>0.22737739674293855</c:v>
                </c:pt>
                <c:pt idx="86">
                  <c:v>0.25040964650520592</c:v>
                </c:pt>
                <c:pt idx="87">
                  <c:v>0.27344189626747334</c:v>
                </c:pt>
                <c:pt idx="88">
                  <c:v>0.29639526846206188</c:v>
                </c:pt>
                <c:pt idx="89">
                  <c:v>0.13474689552984886</c:v>
                </c:pt>
                <c:pt idx="90">
                  <c:v>0.1542959678316207</c:v>
                </c:pt>
                <c:pt idx="91">
                  <c:v>0.17381156569451961</c:v>
                </c:pt>
                <c:pt idx="92">
                  <c:v>0.19332716355741852</c:v>
                </c:pt>
                <c:pt idx="93">
                  <c:v>0.21287623585919035</c:v>
                </c:pt>
                <c:pt idx="94">
                  <c:v>0.23242530816096219</c:v>
                </c:pt>
                <c:pt idx="95">
                  <c:v>0.25190743158498824</c:v>
                </c:pt>
                <c:pt idx="96">
                  <c:v>0.11519782322807706</c:v>
                </c:pt>
                <c:pt idx="97">
                  <c:v>0.13474689552984886</c:v>
                </c:pt>
                <c:pt idx="98">
                  <c:v>0.1542959678316207</c:v>
                </c:pt>
                <c:pt idx="99">
                  <c:v>0.17381156569451961</c:v>
                </c:pt>
                <c:pt idx="100">
                  <c:v>0.19332716355741852</c:v>
                </c:pt>
                <c:pt idx="101">
                  <c:v>0.21287623585919035</c:v>
                </c:pt>
                <c:pt idx="102">
                  <c:v>0.23242530816096219</c:v>
                </c:pt>
                <c:pt idx="103">
                  <c:v>0.25190743158498824</c:v>
                </c:pt>
                <c:pt idx="104">
                  <c:v>0.15297784176427023</c:v>
                </c:pt>
                <c:pt idx="105">
                  <c:v>0.1661724760507631</c:v>
                </c:pt>
                <c:pt idx="106">
                  <c:v>0.17941245272312015</c:v>
                </c:pt>
                <c:pt idx="107">
                  <c:v>0.19265242939547719</c:v>
                </c:pt>
                <c:pt idx="108">
                  <c:v>0.20589240606783432</c:v>
                </c:pt>
                <c:pt idx="109">
                  <c:v>0.1661724760507631</c:v>
                </c:pt>
                <c:pt idx="110">
                  <c:v>0.17941245272312015</c:v>
                </c:pt>
                <c:pt idx="111">
                  <c:v>0.19265242939547719</c:v>
                </c:pt>
                <c:pt idx="112">
                  <c:v>0.20589240606783432</c:v>
                </c:pt>
                <c:pt idx="113">
                  <c:v>8.2839711691510234E-2</c:v>
                </c:pt>
                <c:pt idx="114">
                  <c:v>0.12596340903755263</c:v>
                </c:pt>
                <c:pt idx="115">
                  <c:v>0.16908710638359509</c:v>
                </c:pt>
                <c:pt idx="116">
                  <c:v>0.12596340903755263</c:v>
                </c:pt>
                <c:pt idx="117">
                  <c:v>0.16908710638359509</c:v>
                </c:pt>
                <c:pt idx="118">
                  <c:v>0.11051741448501715</c:v>
                </c:pt>
                <c:pt idx="119">
                  <c:v>0.13967437273173941</c:v>
                </c:pt>
                <c:pt idx="120">
                  <c:v>0.16883133097846162</c:v>
                </c:pt>
                <c:pt idx="121">
                  <c:v>0.11051741448501715</c:v>
                </c:pt>
                <c:pt idx="122">
                  <c:v>0.13967437273173941</c:v>
                </c:pt>
                <c:pt idx="123">
                  <c:v>0.16883133097846162</c:v>
                </c:pt>
                <c:pt idx="124">
                  <c:v>0.12522893792964457</c:v>
                </c:pt>
                <c:pt idx="125">
                  <c:v>0.14734997549223941</c:v>
                </c:pt>
                <c:pt idx="126">
                  <c:v>0.16947101305483431</c:v>
                </c:pt>
                <c:pt idx="127">
                  <c:v>0.12522893792964457</c:v>
                </c:pt>
                <c:pt idx="128">
                  <c:v>0.14734997549223941</c:v>
                </c:pt>
                <c:pt idx="129">
                  <c:v>0.16947101305483431</c:v>
                </c:pt>
                <c:pt idx="130">
                  <c:v>0.13081543976903548</c:v>
                </c:pt>
                <c:pt idx="131">
                  <c:v>0.14151720856094585</c:v>
                </c:pt>
                <c:pt idx="132">
                  <c:v>0.15364587985844427</c:v>
                </c:pt>
                <c:pt idx="133">
                  <c:v>0.16434764865035462</c:v>
                </c:pt>
                <c:pt idx="134">
                  <c:v>0.17647631994785301</c:v>
                </c:pt>
                <c:pt idx="135">
                  <c:v>0.18717808873976338</c:v>
                </c:pt>
                <c:pt idx="136">
                  <c:v>0.20002021129005584</c:v>
                </c:pt>
                <c:pt idx="137">
                  <c:v>0.11868676847153704</c:v>
                </c:pt>
                <c:pt idx="138">
                  <c:v>0.13081543976903548</c:v>
                </c:pt>
                <c:pt idx="139">
                  <c:v>0.14223065981373986</c:v>
                </c:pt>
                <c:pt idx="140">
                  <c:v>0.15257570297925327</c:v>
                </c:pt>
                <c:pt idx="141">
                  <c:v>0.16434764865035462</c:v>
                </c:pt>
                <c:pt idx="142">
                  <c:v>0.17611959432145605</c:v>
                </c:pt>
                <c:pt idx="143">
                  <c:v>0.18610791186057238</c:v>
                </c:pt>
                <c:pt idx="144">
                  <c:v>0.19573950377329169</c:v>
                </c:pt>
                <c:pt idx="145">
                  <c:v>0.10063566624984965</c:v>
                </c:pt>
                <c:pt idx="146">
                  <c:v>0.11950502817529221</c:v>
                </c:pt>
                <c:pt idx="147">
                  <c:v>0.13776895602826064</c:v>
                </c:pt>
                <c:pt idx="148">
                  <c:v>0.15593197820248342</c:v>
                </c:pt>
                <c:pt idx="149">
                  <c:v>0.17389318901921488</c:v>
                </c:pt>
                <c:pt idx="150">
                  <c:v>0.19235892822967463</c:v>
                </c:pt>
                <c:pt idx="151">
                  <c:v>8.3078078148100948E-2</c:v>
                </c:pt>
                <c:pt idx="152">
                  <c:v>0.1009383832860867</c:v>
                </c:pt>
                <c:pt idx="153">
                  <c:v>0.11920231113905515</c:v>
                </c:pt>
                <c:pt idx="154">
                  <c:v>0.13726442763453225</c:v>
                </c:pt>
                <c:pt idx="155">
                  <c:v>0.1560328838812291</c:v>
                </c:pt>
                <c:pt idx="156">
                  <c:v>0.17389318901921488</c:v>
                </c:pt>
                <c:pt idx="157">
                  <c:v>0.18257107739134346</c:v>
                </c:pt>
                <c:pt idx="158">
                  <c:v>0.16629907547758749</c:v>
                </c:pt>
                <c:pt idx="159">
                  <c:v>0.17827498836625749</c:v>
                </c:pt>
                <c:pt idx="160">
                  <c:v>0.18067017094399146</c:v>
                </c:pt>
                <c:pt idx="161">
                  <c:v>0.19078316404997939</c:v>
                </c:pt>
                <c:pt idx="162">
                  <c:v>0.1977025803856553</c:v>
                </c:pt>
                <c:pt idx="163">
                  <c:v>0.20542039091390926</c:v>
                </c:pt>
                <c:pt idx="164">
                  <c:v>0.21233980724958523</c:v>
                </c:pt>
                <c:pt idx="165">
                  <c:v>0.22058988057289108</c:v>
                </c:pt>
                <c:pt idx="166">
                  <c:v>0.16550068128500958</c:v>
                </c:pt>
                <c:pt idx="167">
                  <c:v>0.1734846232107895</c:v>
                </c:pt>
                <c:pt idx="168">
                  <c:v>0.18093630234151747</c:v>
                </c:pt>
                <c:pt idx="169">
                  <c:v>0.18865411286977138</c:v>
                </c:pt>
                <c:pt idx="170">
                  <c:v>0.1969041861930774</c:v>
                </c:pt>
                <c:pt idx="171">
                  <c:v>0.20542039091390926</c:v>
                </c:pt>
                <c:pt idx="172">
                  <c:v>0.21313820144216317</c:v>
                </c:pt>
                <c:pt idx="173">
                  <c:v>0.22005761777783911</c:v>
                </c:pt>
                <c:pt idx="174">
                  <c:v>0.17428301740336749</c:v>
                </c:pt>
                <c:pt idx="175">
                  <c:v>0.18200082793162145</c:v>
                </c:pt>
                <c:pt idx="176">
                  <c:v>0.19291221523018737</c:v>
                </c:pt>
                <c:pt idx="177">
                  <c:v>0.19929936877081128</c:v>
                </c:pt>
                <c:pt idx="178">
                  <c:v>0.20542039091390926</c:v>
                </c:pt>
                <c:pt idx="179">
                  <c:v>0.21207367585205927</c:v>
                </c:pt>
                <c:pt idx="180">
                  <c:v>0.22085601197041718</c:v>
                </c:pt>
                <c:pt idx="181">
                  <c:v>0.12778582265536664</c:v>
                </c:pt>
                <c:pt idx="182">
                  <c:v>0.14966742924837029</c:v>
                </c:pt>
                <c:pt idx="183">
                  <c:v>0.17147486090377059</c:v>
                </c:pt>
                <c:pt idx="184">
                  <c:v>0.12778582265536664</c:v>
                </c:pt>
                <c:pt idx="185">
                  <c:v>0.14937072949795668</c:v>
                </c:pt>
                <c:pt idx="186">
                  <c:v>0.17110398621575354</c:v>
                </c:pt>
                <c:pt idx="187">
                  <c:v>8.3577559843738908E-2</c:v>
                </c:pt>
                <c:pt idx="188">
                  <c:v>0.10612674087517321</c:v>
                </c:pt>
                <c:pt idx="189">
                  <c:v>0.12741494796734962</c:v>
                </c:pt>
                <c:pt idx="190">
                  <c:v>0.14877732999712945</c:v>
                </c:pt>
                <c:pt idx="191">
                  <c:v>0.17896652960171419</c:v>
                </c:pt>
                <c:pt idx="192">
                  <c:v>0.22462944676363292</c:v>
                </c:pt>
                <c:pt idx="193">
                  <c:v>0.29310374580479831</c:v>
                </c:pt>
                <c:pt idx="194">
                  <c:v>0.36157804484596373</c:v>
                </c:pt>
                <c:pt idx="195">
                  <c:v>0.22580404183364336</c:v>
                </c:pt>
                <c:pt idx="196">
                  <c:v>0.29196389196838551</c:v>
                </c:pt>
                <c:pt idx="197">
                  <c:v>0.35812374210312758</c:v>
                </c:pt>
                <c:pt idx="198">
                  <c:v>0.11757562159328946</c:v>
                </c:pt>
                <c:pt idx="199">
                  <c:v>0.16222730427256263</c:v>
                </c:pt>
                <c:pt idx="200">
                  <c:v>0.18901831388012649</c:v>
                </c:pt>
                <c:pt idx="201">
                  <c:v>0.21134415521976302</c:v>
                </c:pt>
                <c:pt idx="202">
                  <c:v>0.24706550136318153</c:v>
                </c:pt>
                <c:pt idx="203">
                  <c:v>0.27832167923867279</c:v>
                </c:pt>
                <c:pt idx="204">
                  <c:v>0.13845530611466497</c:v>
                </c:pt>
                <c:pt idx="205">
                  <c:v>0.15900260071078956</c:v>
                </c:pt>
                <c:pt idx="206">
                  <c:v>0.18542055090580706</c:v>
                </c:pt>
                <c:pt idx="207">
                  <c:v>0.19716186210359257</c:v>
                </c:pt>
                <c:pt idx="208">
                  <c:v>0.22357981229861004</c:v>
                </c:pt>
                <c:pt idx="209">
                  <c:v>0.27935104048809128</c:v>
                </c:pt>
                <c:pt idx="210">
                  <c:v>0.12537381381508225</c:v>
                </c:pt>
                <c:pt idx="211">
                  <c:v>0.14542842857482446</c:v>
                </c:pt>
                <c:pt idx="212">
                  <c:v>0.16347758185859246</c:v>
                </c:pt>
                <c:pt idx="213">
                  <c:v>0.18553765809430886</c:v>
                </c:pt>
                <c:pt idx="214">
                  <c:v>0.20759773433002529</c:v>
                </c:pt>
                <c:pt idx="215">
                  <c:v>0.2276523490897675</c:v>
                </c:pt>
                <c:pt idx="216">
                  <c:v>0.24770696384950966</c:v>
                </c:pt>
                <c:pt idx="217">
                  <c:v>0.26575611713327757</c:v>
                </c:pt>
                <c:pt idx="218">
                  <c:v>0.19261684920443534</c:v>
                </c:pt>
                <c:pt idx="219">
                  <c:v>0.23263380499637751</c:v>
                </c:pt>
                <c:pt idx="220">
                  <c:v>0.27709708920964671</c:v>
                </c:pt>
                <c:pt idx="221">
                  <c:v>0.13481319117710291</c:v>
                </c:pt>
                <c:pt idx="222">
                  <c:v>0.15526153557389136</c:v>
                </c:pt>
                <c:pt idx="223">
                  <c:v>0.18155226408404798</c:v>
                </c:pt>
                <c:pt idx="224">
                  <c:v>0.19323703231078423</c:v>
                </c:pt>
                <c:pt idx="225">
                  <c:v>0.2107641846508887</c:v>
                </c:pt>
                <c:pt idx="226">
                  <c:v>0.22244895287762498</c:v>
                </c:pt>
                <c:pt idx="227">
                  <c:v>0.25107663503312877</c:v>
                </c:pt>
                <c:pt idx="228">
                  <c:v>0.2797043171886327</c:v>
                </c:pt>
                <c:pt idx="229">
                  <c:v>0.15656725810990152</c:v>
                </c:pt>
                <c:pt idx="230">
                  <c:v>0.16454653547471412</c:v>
                </c:pt>
                <c:pt idx="231">
                  <c:v>0.18449472888674587</c:v>
                </c:pt>
                <c:pt idx="232">
                  <c:v>0.20643774163998074</c:v>
                </c:pt>
                <c:pt idx="233">
                  <c:v>0.2263859350520124</c:v>
                </c:pt>
                <c:pt idx="234">
                  <c:v>0.24433930912284094</c:v>
                </c:pt>
                <c:pt idx="235">
                  <c:v>0.26628232187607576</c:v>
                </c:pt>
                <c:pt idx="236">
                  <c:v>6.6998497358580017E-2</c:v>
                </c:pt>
                <c:pt idx="237">
                  <c:v>9.59824202295676E-2</c:v>
                </c:pt>
                <c:pt idx="238">
                  <c:v>0.13284240909810618</c:v>
                </c:pt>
                <c:pt idx="239">
                  <c:v>0.15395026597154279</c:v>
                </c:pt>
                <c:pt idx="240">
                  <c:v>0.17820854924399976</c:v>
                </c:pt>
                <c:pt idx="241">
                  <c:v>0.21601366603224445</c:v>
                </c:pt>
                <c:pt idx="242">
                  <c:v>0.2352312670662689</c:v>
                </c:pt>
                <c:pt idx="243">
                  <c:v>0.26327006201755027</c:v>
                </c:pt>
                <c:pt idx="244">
                  <c:v>0.19708565182586593</c:v>
                </c:pt>
                <c:pt idx="245">
                  <c:v>0.21484833224410843</c:v>
                </c:pt>
                <c:pt idx="246">
                  <c:v>0.19785957554454706</c:v>
                </c:pt>
                <c:pt idx="247">
                  <c:v>0.21484833224410843</c:v>
                </c:pt>
                <c:pt idx="248">
                  <c:v>0.19785957554454706</c:v>
                </c:pt>
                <c:pt idx="249">
                  <c:v>0.21484833224410843</c:v>
                </c:pt>
                <c:pt idx="250">
                  <c:v>0.19863349926322821</c:v>
                </c:pt>
                <c:pt idx="251">
                  <c:v>0.21484833224410843</c:v>
                </c:pt>
                <c:pt idx="252">
                  <c:v>0.16697779297207394</c:v>
                </c:pt>
                <c:pt idx="253">
                  <c:v>0.20988664557260006</c:v>
                </c:pt>
                <c:pt idx="254">
                  <c:v>0.16813769145661173</c:v>
                </c:pt>
                <c:pt idx="255">
                  <c:v>0.20988664557260006</c:v>
                </c:pt>
                <c:pt idx="256">
                  <c:v>0.1381439747701679</c:v>
                </c:pt>
                <c:pt idx="257">
                  <c:v>0.19923392556937053</c:v>
                </c:pt>
                <c:pt idx="258">
                  <c:v>0.21484833224410843</c:v>
                </c:pt>
                <c:pt idx="259">
                  <c:v>0.13891726528661352</c:v>
                </c:pt>
                <c:pt idx="260">
                  <c:v>0.20000721608581618</c:v>
                </c:pt>
                <c:pt idx="261">
                  <c:v>9.7961980084099287E-2</c:v>
                </c:pt>
                <c:pt idx="262">
                  <c:v>0.14156003614041548</c:v>
                </c:pt>
                <c:pt idx="263">
                  <c:v>0.18571704163335118</c:v>
                </c:pt>
                <c:pt idx="264">
                  <c:v>0.21881899592249263</c:v>
                </c:pt>
                <c:pt idx="265">
                  <c:v>9.7403030647479835E-2</c:v>
                </c:pt>
                <c:pt idx="266">
                  <c:v>0.14044213726717661</c:v>
                </c:pt>
                <c:pt idx="267">
                  <c:v>0.18404019332349289</c:v>
                </c:pt>
                <c:pt idx="268">
                  <c:v>0.1992910913817868</c:v>
                </c:pt>
                <c:pt idx="269">
                  <c:v>0.21484833224410843</c:v>
                </c:pt>
                <c:pt idx="270">
                  <c:v>0.1992910913817868</c:v>
                </c:pt>
                <c:pt idx="271">
                  <c:v>0.21484833224410843</c:v>
                </c:pt>
                <c:pt idx="272">
                  <c:v>0.11814721606774738</c:v>
                </c:pt>
                <c:pt idx="273">
                  <c:v>0.14042042546905978</c:v>
                </c:pt>
                <c:pt idx="274">
                  <c:v>0.16213680463533942</c:v>
                </c:pt>
                <c:pt idx="275">
                  <c:v>0.18441001403665175</c:v>
                </c:pt>
                <c:pt idx="276">
                  <c:v>0.20556956296789858</c:v>
                </c:pt>
                <c:pt idx="277">
                  <c:v>0.21881899592249263</c:v>
                </c:pt>
                <c:pt idx="278">
                  <c:v>0.16213680463533942</c:v>
                </c:pt>
                <c:pt idx="279">
                  <c:v>0.18329635356658616</c:v>
                </c:pt>
                <c:pt idx="280">
                  <c:v>0.20556956296789858</c:v>
                </c:pt>
                <c:pt idx="281">
                  <c:v>0.21881899592249263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1-42BB-93FC-9E65735A4C79}"/>
            </c:ext>
          </c:extLst>
        </c:ser>
        <c:ser>
          <c:idx val="5"/>
          <c:order val="4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1-42BB-93FC-9E65735A4C79}"/>
            </c:ext>
          </c:extLst>
        </c:ser>
        <c:ser>
          <c:idx val="6"/>
          <c:order val="5"/>
          <c:tx>
            <c:strRef>
              <c:f>'Dados gerais'!$AZ$2</c:f>
              <c:strCache>
                <c:ptCount val="1"/>
                <c:pt idx="0">
                  <c:v>Oh; Kang (1987)</c:v>
                </c:pt>
              </c:strCache>
            </c:strRef>
          </c:tx>
          <c:spPr>
            <a:ln w="19050">
              <a:noFill/>
            </a:ln>
          </c:spPr>
          <c:marker>
            <c:symbol val="star"/>
            <c:size val="6"/>
            <c:spPr>
              <a:ln>
                <a:solidFill>
                  <a:schemeClr val="accent5"/>
                </a:solidFill>
              </a:ln>
            </c:spPr>
          </c:marke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gerais'!$AZ$28:$AZ$309</c:f>
              <c:numCache>
                <c:formatCode>0.00</c:formatCode>
                <c:ptCount val="282"/>
                <c:pt idx="0">
                  <c:v>0.11084938491756892</c:v>
                </c:pt>
                <c:pt idx="1">
                  <c:v>0.1290705233242212</c:v>
                </c:pt>
                <c:pt idx="2">
                  <c:v>0.14852005308413091</c:v>
                </c:pt>
                <c:pt idx="3">
                  <c:v>0.16817431473625016</c:v>
                </c:pt>
                <c:pt idx="4">
                  <c:v>0.18086769205324393</c:v>
                </c:pt>
                <c:pt idx="5">
                  <c:v>0.20809703371711741</c:v>
                </c:pt>
                <c:pt idx="6">
                  <c:v>0.21014435263921324</c:v>
                </c:pt>
                <c:pt idx="7">
                  <c:v>0.2265229040159793</c:v>
                </c:pt>
                <c:pt idx="8">
                  <c:v>0.26726297258118725</c:v>
                </c:pt>
                <c:pt idx="9">
                  <c:v>0.26726297258118725</c:v>
                </c:pt>
                <c:pt idx="10">
                  <c:v>0.12790720519573359</c:v>
                </c:pt>
                <c:pt idx="11">
                  <c:v>0.14425493211719229</c:v>
                </c:pt>
                <c:pt idx="12">
                  <c:v>0.15038532971273924</c:v>
                </c:pt>
                <c:pt idx="13">
                  <c:v>0.1606026590386509</c:v>
                </c:pt>
                <c:pt idx="14">
                  <c:v>0.17490692009492717</c:v>
                </c:pt>
                <c:pt idx="15">
                  <c:v>0.20555890807266211</c:v>
                </c:pt>
                <c:pt idx="16">
                  <c:v>5.3755393196897358E-2</c:v>
                </c:pt>
                <c:pt idx="17">
                  <c:v>8.7413694740726702E-2</c:v>
                </c:pt>
                <c:pt idx="18">
                  <c:v>0.11055377705210942</c:v>
                </c:pt>
                <c:pt idx="19">
                  <c:v>0.14884009505821524</c:v>
                </c:pt>
                <c:pt idx="20">
                  <c:v>0.20479702137483155</c:v>
                </c:pt>
                <c:pt idx="21">
                  <c:v>0.15276891917136376</c:v>
                </c:pt>
                <c:pt idx="22">
                  <c:v>0.20312113558454717</c:v>
                </c:pt>
                <c:pt idx="23">
                  <c:v>0.26983414015994794</c:v>
                </c:pt>
                <c:pt idx="24">
                  <c:v>0.26983414015994794</c:v>
                </c:pt>
                <c:pt idx="25">
                  <c:v>0.26983414015994794</c:v>
                </c:pt>
                <c:pt idx="26">
                  <c:v>3.4441476106329125E-2</c:v>
                </c:pt>
                <c:pt idx="27">
                  <c:v>5.0669934384026352E-2</c:v>
                </c:pt>
                <c:pt idx="28">
                  <c:v>0.11558376749481522</c:v>
                </c:pt>
                <c:pt idx="29">
                  <c:v>0.18049760060560405</c:v>
                </c:pt>
                <c:pt idx="30">
                  <c:v>0.24541143371639296</c:v>
                </c:pt>
                <c:pt idx="31">
                  <c:v>0.29409680854948467</c:v>
                </c:pt>
                <c:pt idx="32">
                  <c:v>0.35043210555128729</c:v>
                </c:pt>
                <c:pt idx="33">
                  <c:v>0.10241670275818041</c:v>
                </c:pt>
                <c:pt idx="34">
                  <c:v>0.1275928109647721</c:v>
                </c:pt>
                <c:pt idx="35">
                  <c:v>0.15276891917136376</c:v>
                </c:pt>
                <c:pt idx="36">
                  <c:v>0.20312113558454717</c:v>
                </c:pt>
                <c:pt idx="37">
                  <c:v>0.26983414015994794</c:v>
                </c:pt>
                <c:pt idx="38">
                  <c:v>0.10241670275818041</c:v>
                </c:pt>
                <c:pt idx="39">
                  <c:v>0.15276891917136376</c:v>
                </c:pt>
                <c:pt idx="40">
                  <c:v>0.20312113558454717</c:v>
                </c:pt>
                <c:pt idx="41">
                  <c:v>0.26983414015994794</c:v>
                </c:pt>
                <c:pt idx="42">
                  <c:v>0.15711776961185428</c:v>
                </c:pt>
                <c:pt idx="43">
                  <c:v>0.19466692875272593</c:v>
                </c:pt>
                <c:pt idx="44">
                  <c:v>0.11956861047098272</c:v>
                </c:pt>
                <c:pt idx="45">
                  <c:v>0.15711776961185428</c:v>
                </c:pt>
                <c:pt idx="46">
                  <c:v>0.19466692875272593</c:v>
                </c:pt>
                <c:pt idx="47">
                  <c:v>0.11956861047098272</c:v>
                </c:pt>
                <c:pt idx="48">
                  <c:v>0.15711776961185428</c:v>
                </c:pt>
                <c:pt idx="49">
                  <c:v>0.19466692875272593</c:v>
                </c:pt>
                <c:pt idx="50">
                  <c:v>0.13181222577251248</c:v>
                </c:pt>
                <c:pt idx="51">
                  <c:v>0.21295451716099853</c:v>
                </c:pt>
                <c:pt idx="52">
                  <c:v>0.29409680854948467</c:v>
                </c:pt>
                <c:pt idx="53">
                  <c:v>0.35043210555128729</c:v>
                </c:pt>
                <c:pt idx="54">
                  <c:v>0.13181222577251248</c:v>
                </c:pt>
                <c:pt idx="55">
                  <c:v>0.21295451716099853</c:v>
                </c:pt>
                <c:pt idx="56">
                  <c:v>0.29409680854948467</c:v>
                </c:pt>
                <c:pt idx="57">
                  <c:v>0.35043210555128729</c:v>
                </c:pt>
                <c:pt idx="58">
                  <c:v>3.564409320642116E-2</c:v>
                </c:pt>
                <c:pt idx="59">
                  <c:v>8.7861380667245123E-2</c:v>
                </c:pt>
                <c:pt idx="60">
                  <c:v>0.218404599319305</c:v>
                </c:pt>
                <c:pt idx="61">
                  <c:v>3.564409320642116E-2</c:v>
                </c:pt>
                <c:pt idx="62">
                  <c:v>8.7861380667245123E-2</c:v>
                </c:pt>
                <c:pt idx="63">
                  <c:v>0.218404599319305</c:v>
                </c:pt>
                <c:pt idx="64">
                  <c:v>3.564409320642116E-2</c:v>
                </c:pt>
                <c:pt idx="65">
                  <c:v>8.7861380667245123E-2</c:v>
                </c:pt>
                <c:pt idx="66">
                  <c:v>0.218404599319305</c:v>
                </c:pt>
                <c:pt idx="67">
                  <c:v>9.7608122271360079E-2</c:v>
                </c:pt>
                <c:pt idx="68">
                  <c:v>0.11609888852796953</c:v>
                </c:pt>
                <c:pt idx="69">
                  <c:v>0.1096602547768438</c:v>
                </c:pt>
                <c:pt idx="70">
                  <c:v>0.12821946998055819</c:v>
                </c:pt>
                <c:pt idx="71">
                  <c:v>0.15456158188260449</c:v>
                </c:pt>
                <c:pt idx="72">
                  <c:v>0.11256531755015997</c:v>
                </c:pt>
                <c:pt idx="73">
                  <c:v>0.15324241295874669</c:v>
                </c:pt>
                <c:pt idx="74">
                  <c:v>0.13855918503325088</c:v>
                </c:pt>
                <c:pt idx="75">
                  <c:v>0.16382824232957854</c:v>
                </c:pt>
                <c:pt idx="76">
                  <c:v>0.1890972996259063</c:v>
                </c:pt>
                <c:pt idx="77">
                  <c:v>0.21432308798850738</c:v>
                </c:pt>
                <c:pt idx="78">
                  <c:v>0.23954887635110861</c:v>
                </c:pt>
                <c:pt idx="79">
                  <c:v>0.26481793364743622</c:v>
                </c:pt>
                <c:pt idx="80">
                  <c:v>0.290086990943764</c:v>
                </c:pt>
                <c:pt idx="81">
                  <c:v>0.31526951037263856</c:v>
                </c:pt>
                <c:pt idx="82">
                  <c:v>0.16382824232957854</c:v>
                </c:pt>
                <c:pt idx="83">
                  <c:v>0.1890972996259063</c:v>
                </c:pt>
                <c:pt idx="84">
                  <c:v>0.21432308798850738</c:v>
                </c:pt>
                <c:pt idx="85">
                  <c:v>0.23954887635110861</c:v>
                </c:pt>
                <c:pt idx="86">
                  <c:v>0.26481793364743622</c:v>
                </c:pt>
                <c:pt idx="87">
                  <c:v>0.290086990943764</c:v>
                </c:pt>
                <c:pt idx="88">
                  <c:v>0.31526951037263856</c:v>
                </c:pt>
                <c:pt idx="89">
                  <c:v>0.14641282095142341</c:v>
                </c:pt>
                <c:pt idx="90">
                  <c:v>0.16899570354193333</c:v>
                </c:pt>
                <c:pt idx="91">
                  <c:v>0.19153991681293903</c:v>
                </c:pt>
                <c:pt idx="92">
                  <c:v>0.2140841300839447</c:v>
                </c:pt>
                <c:pt idx="93">
                  <c:v>0.23666701267445472</c:v>
                </c:pt>
                <c:pt idx="94">
                  <c:v>0.25924989526496467</c:v>
                </c:pt>
                <c:pt idx="95">
                  <c:v>0.28175543921646612</c:v>
                </c:pt>
                <c:pt idx="96">
                  <c:v>0.12382993836091344</c:v>
                </c:pt>
                <c:pt idx="97">
                  <c:v>0.14641282095142341</c:v>
                </c:pt>
                <c:pt idx="98">
                  <c:v>0.16899570354193333</c:v>
                </c:pt>
                <c:pt idx="99">
                  <c:v>0.19153991681293903</c:v>
                </c:pt>
                <c:pt idx="100">
                  <c:v>0.2140841300839447</c:v>
                </c:pt>
                <c:pt idx="101">
                  <c:v>0.23666701267445472</c:v>
                </c:pt>
                <c:pt idx="102">
                  <c:v>0.25924989526496467</c:v>
                </c:pt>
                <c:pt idx="103">
                  <c:v>0.28175543921646612</c:v>
                </c:pt>
                <c:pt idx="104">
                  <c:v>0.12518000924236972</c:v>
                </c:pt>
                <c:pt idx="105">
                  <c:v>0.13677115061920933</c:v>
                </c:pt>
                <c:pt idx="106">
                  <c:v>0.14840212409700027</c:v>
                </c:pt>
                <c:pt idx="107">
                  <c:v>0.16003309757479117</c:v>
                </c:pt>
                <c:pt idx="108">
                  <c:v>0.17166407105258216</c:v>
                </c:pt>
                <c:pt idx="109">
                  <c:v>0.13677115061920933</c:v>
                </c:pt>
                <c:pt idx="110">
                  <c:v>0.14840212409700027</c:v>
                </c:pt>
                <c:pt idx="111">
                  <c:v>0.16003309757479117</c:v>
                </c:pt>
                <c:pt idx="112">
                  <c:v>0.17166407105258216</c:v>
                </c:pt>
                <c:pt idx="113">
                  <c:v>0.12362610885562696</c:v>
                </c:pt>
                <c:pt idx="114">
                  <c:v>0.18354969846414795</c:v>
                </c:pt>
                <c:pt idx="115">
                  <c:v>0.24347328807266899</c:v>
                </c:pt>
                <c:pt idx="116">
                  <c:v>0.18354969846414795</c:v>
                </c:pt>
                <c:pt idx="117">
                  <c:v>0.24347328807266899</c:v>
                </c:pt>
                <c:pt idx="118">
                  <c:v>0.11780538590963713</c:v>
                </c:pt>
                <c:pt idx="119">
                  <c:v>0.14901936805850263</c:v>
                </c:pt>
                <c:pt idx="120">
                  <c:v>0.18023335020736803</c:v>
                </c:pt>
                <c:pt idx="121">
                  <c:v>0.11780538590963713</c:v>
                </c:pt>
                <c:pt idx="122">
                  <c:v>0.14901936805850263</c:v>
                </c:pt>
                <c:pt idx="123">
                  <c:v>0.18023335020736803</c:v>
                </c:pt>
                <c:pt idx="124">
                  <c:v>0.10827669467392349</c:v>
                </c:pt>
                <c:pt idx="125">
                  <c:v>0.12799683213992302</c:v>
                </c:pt>
                <c:pt idx="126">
                  <c:v>0.14771696960592259</c:v>
                </c:pt>
                <c:pt idx="127">
                  <c:v>0.10827669467392349</c:v>
                </c:pt>
                <c:pt idx="128">
                  <c:v>0.12799683213992302</c:v>
                </c:pt>
                <c:pt idx="129">
                  <c:v>0.14771696960592259</c:v>
                </c:pt>
                <c:pt idx="130">
                  <c:v>0.19391653196718392</c:v>
                </c:pt>
                <c:pt idx="131">
                  <c:v>0.21087722952129095</c:v>
                </c:pt>
                <c:pt idx="132">
                  <c:v>0.23009935341594556</c:v>
                </c:pt>
                <c:pt idx="133">
                  <c:v>0.24706005097005254</c:v>
                </c:pt>
                <c:pt idx="134">
                  <c:v>0.26628217486470712</c:v>
                </c:pt>
                <c:pt idx="135">
                  <c:v>0.28324287241881418</c:v>
                </c:pt>
                <c:pt idx="136">
                  <c:v>0.30359570948374259</c:v>
                </c:pt>
                <c:pt idx="137">
                  <c:v>0.17469440807252934</c:v>
                </c:pt>
                <c:pt idx="138">
                  <c:v>0.19391653196718392</c:v>
                </c:pt>
                <c:pt idx="139">
                  <c:v>0.2120079426915647</c:v>
                </c:pt>
                <c:pt idx="140">
                  <c:v>0.22840328366053489</c:v>
                </c:pt>
                <c:pt idx="141">
                  <c:v>0.24706005097005254</c:v>
                </c:pt>
                <c:pt idx="142">
                  <c:v>0.26571681827957028</c:v>
                </c:pt>
                <c:pt idx="143">
                  <c:v>0.28154680266340348</c:v>
                </c:pt>
                <c:pt idx="144">
                  <c:v>0.29681143046209973</c:v>
                </c:pt>
                <c:pt idx="145">
                  <c:v>0.19009102703898831</c:v>
                </c:pt>
                <c:pt idx="146">
                  <c:v>0.23100430406477596</c:v>
                </c:pt>
                <c:pt idx="147">
                  <c:v>0.27060485562449543</c:v>
                </c:pt>
                <c:pt idx="148">
                  <c:v>0.30998661960653695</c:v>
                </c:pt>
                <c:pt idx="149">
                  <c:v>0.34893080843322255</c:v>
                </c:pt>
                <c:pt idx="150">
                  <c:v>0.388968935148298</c:v>
                </c:pt>
                <c:pt idx="151">
                  <c:v>0.15202198852301477</c:v>
                </c:pt>
                <c:pt idx="152">
                  <c:v>0.1907473897720223</c:v>
                </c:pt>
                <c:pt idx="153">
                  <c:v>0.2303479413317418</c:v>
                </c:pt>
                <c:pt idx="154">
                  <c:v>0.26951091773610536</c:v>
                </c:pt>
                <c:pt idx="155">
                  <c:v>0.31020540718421497</c:v>
                </c:pt>
                <c:pt idx="156">
                  <c:v>0.34893080843322255</c:v>
                </c:pt>
                <c:pt idx="157">
                  <c:v>0.36774654011353114</c:v>
                </c:pt>
                <c:pt idx="158">
                  <c:v>0.2211828295376089</c:v>
                </c:pt>
                <c:pt idx="159">
                  <c:v>0.23782468212703708</c:v>
                </c:pt>
                <c:pt idx="160">
                  <c:v>0.24115305264492271</c:v>
                </c:pt>
                <c:pt idx="161">
                  <c:v>0.25520617260932865</c:v>
                </c:pt>
                <c:pt idx="162">
                  <c:v>0.26482146521655381</c:v>
                </c:pt>
                <c:pt idx="163">
                  <c:v>0.27554621466307422</c:v>
                </c:pt>
                <c:pt idx="164">
                  <c:v>0.28516150727029932</c:v>
                </c:pt>
                <c:pt idx="165">
                  <c:v>0.29662589460968308</c:v>
                </c:pt>
                <c:pt idx="166">
                  <c:v>0.22007337269831376</c:v>
                </c:pt>
                <c:pt idx="167">
                  <c:v>0.23116794109126582</c:v>
                </c:pt>
                <c:pt idx="168">
                  <c:v>0.24152287159135447</c:v>
                </c:pt>
                <c:pt idx="169">
                  <c:v>0.25224762103787479</c:v>
                </c:pt>
                <c:pt idx="170">
                  <c:v>0.26371200837725867</c:v>
                </c:pt>
                <c:pt idx="171">
                  <c:v>0.27554621466307422</c:v>
                </c:pt>
                <c:pt idx="172">
                  <c:v>0.28627096410959446</c:v>
                </c:pt>
                <c:pt idx="173">
                  <c:v>0.29588625671681962</c:v>
                </c:pt>
                <c:pt idx="174">
                  <c:v>0.23227739793056107</c:v>
                </c:pt>
                <c:pt idx="175">
                  <c:v>0.24300214737708142</c:v>
                </c:pt>
                <c:pt idx="176">
                  <c:v>0.25816472418078257</c:v>
                </c:pt>
                <c:pt idx="177">
                  <c:v>0.2670403788951442</c:v>
                </c:pt>
                <c:pt idx="178">
                  <c:v>0.27554621466307422</c:v>
                </c:pt>
                <c:pt idx="179">
                  <c:v>0.28479168832386764</c:v>
                </c:pt>
                <c:pt idx="180">
                  <c:v>0.29699571355611493</c:v>
                </c:pt>
                <c:pt idx="181">
                  <c:v>0.20327420345519723</c:v>
                </c:pt>
                <c:pt idx="182">
                  <c:v>0.24246488217982529</c:v>
                </c:pt>
                <c:pt idx="183">
                  <c:v>0.28152271114606486</c:v>
                </c:pt>
                <c:pt idx="184">
                  <c:v>0.20327420345519723</c:v>
                </c:pt>
                <c:pt idx="185">
                  <c:v>0.24193348314627106</c:v>
                </c:pt>
                <c:pt idx="186">
                  <c:v>0.28085846235412198</c:v>
                </c:pt>
                <c:pt idx="187">
                  <c:v>0.12409574745560968</c:v>
                </c:pt>
                <c:pt idx="188">
                  <c:v>0.16448207400573495</c:v>
                </c:pt>
                <c:pt idx="189">
                  <c:v>0.20260995466325438</c:v>
                </c:pt>
                <c:pt idx="190">
                  <c:v>0.2408706850791624</c:v>
                </c:pt>
                <c:pt idx="191">
                  <c:v>0.29494053674331033</c:v>
                </c:pt>
                <c:pt idx="192">
                  <c:v>9.6590039935230895E-2</c:v>
                </c:pt>
                <c:pt idx="193">
                  <c:v>0.12839861103259623</c:v>
                </c:pt>
                <c:pt idx="194">
                  <c:v>0.16020718212996152</c:v>
                </c:pt>
                <c:pt idx="195">
                  <c:v>7.26410069353427E-2</c:v>
                </c:pt>
                <c:pt idx="196">
                  <c:v>9.6297992222281054E-2</c:v>
                </c:pt>
                <c:pt idx="197">
                  <c:v>0.11995497750921939</c:v>
                </c:pt>
                <c:pt idx="198">
                  <c:v>0.14254973575964078</c:v>
                </c:pt>
                <c:pt idx="199">
                  <c:v>0.20180228813769377</c:v>
                </c:pt>
                <c:pt idx="200">
                  <c:v>0.23735381956452556</c:v>
                </c:pt>
                <c:pt idx="201">
                  <c:v>0.26698009575355197</c:v>
                </c:pt>
                <c:pt idx="202">
                  <c:v>0.31438213765599438</c:v>
                </c:pt>
                <c:pt idx="203">
                  <c:v>0.35585892432063149</c:v>
                </c:pt>
                <c:pt idx="204">
                  <c:v>0.18418728728989281</c:v>
                </c:pt>
                <c:pt idx="205">
                  <c:v>0.2138479522577981</c:v>
                </c:pt>
                <c:pt idx="206">
                  <c:v>0.25198309293081939</c:v>
                </c:pt>
                <c:pt idx="207">
                  <c:v>0.26893204434105095</c:v>
                </c:pt>
                <c:pt idx="208">
                  <c:v>0.30706718501407221</c:v>
                </c:pt>
                <c:pt idx="209">
                  <c:v>0.38757470421267243</c:v>
                </c:pt>
                <c:pt idx="210">
                  <c:v>0.12820922460159795</c:v>
                </c:pt>
                <c:pt idx="211">
                  <c:v>0.15070823979931375</c:v>
                </c:pt>
                <c:pt idx="212">
                  <c:v>0.17095735347725799</c:v>
                </c:pt>
                <c:pt idx="213">
                  <c:v>0.19570627019474529</c:v>
                </c:pt>
                <c:pt idx="214">
                  <c:v>0.22045518691223273</c:v>
                </c:pt>
                <c:pt idx="215">
                  <c:v>0.2429542021099485</c:v>
                </c:pt>
                <c:pt idx="216">
                  <c:v>0.26545321730766425</c:v>
                </c:pt>
                <c:pt idx="217">
                  <c:v>0.28570233098560849</c:v>
                </c:pt>
                <c:pt idx="218">
                  <c:v>0.24176316091598563</c:v>
                </c:pt>
                <c:pt idx="219">
                  <c:v>0.29478520842838585</c:v>
                </c:pt>
                <c:pt idx="220">
                  <c:v>0.35369859455327513</c:v>
                </c:pt>
                <c:pt idx="221">
                  <c:v>0.17846102513414572</c:v>
                </c:pt>
                <c:pt idx="222">
                  <c:v>0.20790152246295171</c:v>
                </c:pt>
                <c:pt idx="223">
                  <c:v>0.24575359045713094</c:v>
                </c:pt>
                <c:pt idx="224">
                  <c:v>0.26257673178787727</c:v>
                </c:pt>
                <c:pt idx="225">
                  <c:v>0.28781144378399676</c:v>
                </c:pt>
                <c:pt idx="226">
                  <c:v>0.30463458511474312</c:v>
                </c:pt>
                <c:pt idx="227">
                  <c:v>0.34585128137507148</c:v>
                </c:pt>
                <c:pt idx="228">
                  <c:v>0.38706797763540002</c:v>
                </c:pt>
                <c:pt idx="229">
                  <c:v>0.16251339397692882</c:v>
                </c:pt>
                <c:pt idx="230">
                  <c:v>0.17142732179790401</c:v>
                </c:pt>
                <c:pt idx="231">
                  <c:v>0.19371214135034218</c:v>
                </c:pt>
                <c:pt idx="232">
                  <c:v>0.21822544285802417</c:v>
                </c:pt>
                <c:pt idx="233">
                  <c:v>0.24051026241046222</c:v>
                </c:pt>
                <c:pt idx="234">
                  <c:v>0.26056660000765652</c:v>
                </c:pt>
                <c:pt idx="235">
                  <c:v>0.28507990151533846</c:v>
                </c:pt>
                <c:pt idx="236">
                  <c:v>4.9169776475293893E-2</c:v>
                </c:pt>
                <c:pt idx="237">
                  <c:v>7.6520963953813206E-2</c:v>
                </c:pt>
                <c:pt idx="238">
                  <c:v>0.11130453933410413</c:v>
                </c:pt>
                <c:pt idx="239">
                  <c:v>0.13122333891085189</c:v>
                </c:pt>
                <c:pt idx="240">
                  <c:v>0.15411509364830822</c:v>
                </c:pt>
                <c:pt idx="241">
                  <c:v>0.18979055557681171</c:v>
                </c:pt>
                <c:pt idx="242">
                  <c:v>0.20792558205713438</c:v>
                </c:pt>
                <c:pt idx="243">
                  <c:v>0.23438488298744109</c:v>
                </c:pt>
                <c:pt idx="244">
                  <c:v>0.24138283874457872</c:v>
                </c:pt>
                <c:pt idx="245">
                  <c:v>0.26436809953043394</c:v>
                </c:pt>
                <c:pt idx="246">
                  <c:v>0.24238431138741112</c:v>
                </c:pt>
                <c:pt idx="247">
                  <c:v>0.26436809953043394</c:v>
                </c:pt>
                <c:pt idx="248">
                  <c:v>0.24238431138741112</c:v>
                </c:pt>
                <c:pt idx="249">
                  <c:v>0.26436809953043394</c:v>
                </c:pt>
                <c:pt idx="250">
                  <c:v>0.24338578403024358</c:v>
                </c:pt>
                <c:pt idx="251">
                  <c:v>0.26436809953043394</c:v>
                </c:pt>
                <c:pt idx="252">
                  <c:v>0.18866261416535396</c:v>
                </c:pt>
                <c:pt idx="253">
                  <c:v>0.23985994890838896</c:v>
                </c:pt>
                <c:pt idx="254">
                  <c:v>0.19004656426846372</c:v>
                </c:pt>
                <c:pt idx="255">
                  <c:v>0.23985994890838896</c:v>
                </c:pt>
                <c:pt idx="256">
                  <c:v>0.16506313820449167</c:v>
                </c:pt>
                <c:pt idx="257">
                  <c:v>0.24409176428260956</c:v>
                </c:pt>
                <c:pt idx="258">
                  <c:v>0.26429124210811206</c:v>
                </c:pt>
                <c:pt idx="259">
                  <c:v>0.16606350055991093</c:v>
                </c:pt>
                <c:pt idx="260">
                  <c:v>0.24509212663802887</c:v>
                </c:pt>
                <c:pt idx="261">
                  <c:v>0.12045195342623187</c:v>
                </c:pt>
                <c:pt idx="262">
                  <c:v>0.18111863395839592</c:v>
                </c:pt>
                <c:pt idx="263">
                  <c:v>0.24256309244610058</c:v>
                </c:pt>
                <c:pt idx="264">
                  <c:v>0.28862445085289834</c:v>
                </c:pt>
                <c:pt idx="265">
                  <c:v>0.1196741754706913</c:v>
                </c:pt>
                <c:pt idx="266">
                  <c:v>0.17956307804731475</c:v>
                </c:pt>
                <c:pt idx="267">
                  <c:v>0.24022975857947892</c:v>
                </c:pt>
                <c:pt idx="268">
                  <c:v>0.24388415917646628</c:v>
                </c:pt>
                <c:pt idx="269">
                  <c:v>0.26398647726050195</c:v>
                </c:pt>
                <c:pt idx="270">
                  <c:v>0.24388415917646628</c:v>
                </c:pt>
                <c:pt idx="271">
                  <c:v>0.26398647726050195</c:v>
                </c:pt>
                <c:pt idx="272">
                  <c:v>0.14823245470779992</c:v>
                </c:pt>
                <c:pt idx="273">
                  <c:v>0.17916151019160051</c:v>
                </c:pt>
                <c:pt idx="274">
                  <c:v>0.20931733928830606</c:v>
                </c:pt>
                <c:pt idx="275">
                  <c:v>0.2402463947721066</c:v>
                </c:pt>
                <c:pt idx="276">
                  <c:v>0.26962899748171715</c:v>
                </c:pt>
                <c:pt idx="277">
                  <c:v>0.28802744377645673</c:v>
                </c:pt>
                <c:pt idx="278">
                  <c:v>0.20931733928830606</c:v>
                </c:pt>
                <c:pt idx="279">
                  <c:v>0.23869994199791661</c:v>
                </c:pt>
                <c:pt idx="280">
                  <c:v>0.26962899748171715</c:v>
                </c:pt>
                <c:pt idx="281">
                  <c:v>0.28802744377645673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B1-42BB-93FC-9E65735A4C79}"/>
            </c:ext>
          </c:extLst>
        </c:ser>
        <c:ser>
          <c:idx val="2"/>
          <c:order val="6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B1-42BB-93FC-9E65735A4C79}"/>
            </c:ext>
          </c:extLst>
        </c:ser>
        <c:ser>
          <c:idx val="7"/>
          <c:order val="7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B1-42BB-93FC-9E65735A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4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7660118360058458"/>
          <c:y val="5.9882129284184002E-2"/>
          <c:w val="0.25918830042801416"/>
          <c:h val="0.2922256575548650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710219351404E-2"/>
          <c:w val="0.80341752161708535"/>
          <c:h val="0.751828654289420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'Dados gerais'!$AQ$2</c:f>
              <c:strCache>
                <c:ptCount val="1"/>
                <c:pt idx="0">
                  <c:v>Clark (1956)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gerais'!$AQ$28:$AQ$309</c:f>
              <c:numCache>
                <c:formatCode>0.00</c:formatCode>
                <c:ptCount val="282"/>
                <c:pt idx="0">
                  <c:v>0.1060172840918551</c:v>
                </c:pt>
                <c:pt idx="1">
                  <c:v>0.1358817516989633</c:v>
                </c:pt>
                <c:pt idx="2">
                  <c:v>0.16775955420093275</c:v>
                </c:pt>
                <c:pt idx="3">
                  <c:v>0.1999729125187123</c:v>
                </c:pt>
                <c:pt idx="4">
                  <c:v>0.22077737309894505</c:v>
                </c:pt>
                <c:pt idx="5">
                  <c:v>0.26540629660170212</c:v>
                </c:pt>
                <c:pt idx="6">
                  <c:v>0.26876185475980424</c:v>
                </c:pt>
                <c:pt idx="7">
                  <c:v>0.29560632002462056</c:v>
                </c:pt>
                <c:pt idx="8">
                  <c:v>0.36237934105237524</c:v>
                </c:pt>
                <c:pt idx="9">
                  <c:v>0.36237934105237524</c:v>
                </c:pt>
                <c:pt idx="10">
                  <c:v>0.13324468767213826</c:v>
                </c:pt>
                <c:pt idx="11">
                  <c:v>0.15994528174100089</c:v>
                </c:pt>
                <c:pt idx="12">
                  <c:v>0.1699580045168243</c:v>
                </c:pt>
                <c:pt idx="13">
                  <c:v>0.18664587580986336</c:v>
                </c:pt>
                <c:pt idx="14">
                  <c:v>0.21000889562011807</c:v>
                </c:pt>
                <c:pt idx="15">
                  <c:v>0.26007250949923538</c:v>
                </c:pt>
                <c:pt idx="16">
                  <c:v>5.3334062616951713E-2</c:v>
                </c:pt>
                <c:pt idx="17">
                  <c:v>7.9691697338688736E-2</c:v>
                </c:pt>
                <c:pt idx="18">
                  <c:v>9.7812571209882959E-2</c:v>
                </c:pt>
                <c:pt idx="19">
                  <c:v>0.12779438070585877</c:v>
                </c:pt>
                <c:pt idx="20">
                  <c:v>0.17161394843074659</c:v>
                </c:pt>
                <c:pt idx="21">
                  <c:v>0.19901621546256626</c:v>
                </c:pt>
                <c:pt idx="22">
                  <c:v>0.29782409498510426</c:v>
                </c:pt>
                <c:pt idx="23">
                  <c:v>0.42873730970005475</c:v>
                </c:pt>
                <c:pt idx="24">
                  <c:v>0.42873730970005475</c:v>
                </c:pt>
                <c:pt idx="25">
                  <c:v>0.42873730970005475</c:v>
                </c:pt>
                <c:pt idx="26">
                  <c:v>3.4841196424858105E-2</c:v>
                </c:pt>
                <c:pt idx="27">
                  <c:v>4.8609340041895432E-2</c:v>
                </c:pt>
                <c:pt idx="28">
                  <c:v>0.10368191451004474</c:v>
                </c:pt>
                <c:pt idx="29">
                  <c:v>0.15875448897819405</c:v>
                </c:pt>
                <c:pt idx="30">
                  <c:v>0.21382706344634334</c:v>
                </c:pt>
                <c:pt idx="31">
                  <c:v>0.25513149429745535</c:v>
                </c:pt>
                <c:pt idx="32">
                  <c:v>0.30292608122351122</c:v>
                </c:pt>
                <c:pt idx="33">
                  <c:v>0.1002083359400282</c:v>
                </c:pt>
                <c:pt idx="34">
                  <c:v>0.14961227570129726</c:v>
                </c:pt>
                <c:pt idx="35">
                  <c:v>0.19901621546256626</c:v>
                </c:pt>
                <c:pt idx="36">
                  <c:v>0.29782409498510426</c:v>
                </c:pt>
                <c:pt idx="37">
                  <c:v>0.42873730970005475</c:v>
                </c:pt>
                <c:pt idx="38">
                  <c:v>0.1002083359400282</c:v>
                </c:pt>
                <c:pt idx="39">
                  <c:v>0.19901621546256626</c:v>
                </c:pt>
                <c:pt idx="40">
                  <c:v>0.29782409498510426</c:v>
                </c:pt>
                <c:pt idx="41">
                  <c:v>0.42873730970005475</c:v>
                </c:pt>
                <c:pt idx="42">
                  <c:v>0.35388215107782112</c:v>
                </c:pt>
                <c:pt idx="43">
                  <c:v>0.48460524761713825</c:v>
                </c:pt>
                <c:pt idx="44">
                  <c:v>0.22315905453850413</c:v>
                </c:pt>
                <c:pt idx="45">
                  <c:v>0.35388215107782112</c:v>
                </c:pt>
                <c:pt idx="46">
                  <c:v>0.48460524761713825</c:v>
                </c:pt>
                <c:pt idx="47">
                  <c:v>0.22315905453850413</c:v>
                </c:pt>
                <c:pt idx="48">
                  <c:v>0.35388215107782112</c:v>
                </c:pt>
                <c:pt idx="49">
                  <c:v>0.48460524761713825</c:v>
                </c:pt>
                <c:pt idx="50">
                  <c:v>0.11745005812708208</c:v>
                </c:pt>
                <c:pt idx="51">
                  <c:v>0.18629077621226869</c:v>
                </c:pt>
                <c:pt idx="52">
                  <c:v>0.25513149429745535</c:v>
                </c:pt>
                <c:pt idx="53">
                  <c:v>0.30292608122351122</c:v>
                </c:pt>
                <c:pt idx="54">
                  <c:v>0.11745005812708208</c:v>
                </c:pt>
                <c:pt idx="55">
                  <c:v>0.18629077621226869</c:v>
                </c:pt>
                <c:pt idx="56">
                  <c:v>0.25513149429745535</c:v>
                </c:pt>
                <c:pt idx="57">
                  <c:v>0.30292608122351122</c:v>
                </c:pt>
                <c:pt idx="58">
                  <c:v>6.2554745306432749E-2</c:v>
                </c:pt>
                <c:pt idx="59">
                  <c:v>0.12972038637164129</c:v>
                </c:pt>
                <c:pt idx="60">
                  <c:v>0.29763448903466261</c:v>
                </c:pt>
                <c:pt idx="61">
                  <c:v>6.2554745306432749E-2</c:v>
                </c:pt>
                <c:pt idx="62">
                  <c:v>0.12972038637164129</c:v>
                </c:pt>
                <c:pt idx="63">
                  <c:v>0.29763448903466261</c:v>
                </c:pt>
                <c:pt idx="64">
                  <c:v>6.2554745306432749E-2</c:v>
                </c:pt>
                <c:pt idx="65">
                  <c:v>0.12972038637164129</c:v>
                </c:pt>
                <c:pt idx="66">
                  <c:v>0.29763448903466261</c:v>
                </c:pt>
                <c:pt idx="67">
                  <c:v>0.10572052130096984</c:v>
                </c:pt>
                <c:pt idx="68">
                  <c:v>0.12620235173470354</c:v>
                </c:pt>
                <c:pt idx="69">
                  <c:v>8.5929874012790203E-2</c:v>
                </c:pt>
                <c:pt idx="70">
                  <c:v>9.9764479324658137E-2</c:v>
                </c:pt>
                <c:pt idx="71">
                  <c:v>0.11940069331569654</c:v>
                </c:pt>
                <c:pt idx="72">
                  <c:v>6.8099250668552158E-2</c:v>
                </c:pt>
                <c:pt idx="73">
                  <c:v>9.0733600949242044E-2</c:v>
                </c:pt>
                <c:pt idx="74">
                  <c:v>0.17060852360291542</c:v>
                </c:pt>
                <c:pt idx="75">
                  <c:v>0.21206575978511477</c:v>
                </c:pt>
                <c:pt idx="76">
                  <c:v>0.25352299596731431</c:v>
                </c:pt>
                <c:pt idx="77">
                  <c:v>0.29490924373139349</c:v>
                </c:pt>
                <c:pt idx="78">
                  <c:v>0.33629549149547283</c:v>
                </c:pt>
                <c:pt idx="79">
                  <c:v>0.37775272767767221</c:v>
                </c:pt>
                <c:pt idx="80">
                  <c:v>0.41920996385987175</c:v>
                </c:pt>
                <c:pt idx="81">
                  <c:v>0.46052522320583089</c:v>
                </c:pt>
                <c:pt idx="82">
                  <c:v>0.21206575978511477</c:v>
                </c:pt>
                <c:pt idx="83">
                  <c:v>0.25352299596731431</c:v>
                </c:pt>
                <c:pt idx="84">
                  <c:v>0.29490924373139349</c:v>
                </c:pt>
                <c:pt idx="85">
                  <c:v>0.33629549149547283</c:v>
                </c:pt>
                <c:pt idx="86">
                  <c:v>0.33629549149547283</c:v>
                </c:pt>
                <c:pt idx="87">
                  <c:v>0.41920996385987175</c:v>
                </c:pt>
                <c:pt idx="88">
                  <c:v>0.46052522320583089</c:v>
                </c:pt>
                <c:pt idx="89">
                  <c:v>0.14579520985226643</c:v>
                </c:pt>
                <c:pt idx="90">
                  <c:v>0.17429705972752854</c:v>
                </c:pt>
                <c:pt idx="91">
                  <c:v>0.20275010506533303</c:v>
                </c:pt>
                <c:pt idx="92">
                  <c:v>0.23120315040313752</c:v>
                </c:pt>
                <c:pt idx="93">
                  <c:v>0.25970500027839966</c:v>
                </c:pt>
                <c:pt idx="94">
                  <c:v>0.28820685015366176</c:v>
                </c:pt>
                <c:pt idx="95">
                  <c:v>0.31661109095400869</c:v>
                </c:pt>
                <c:pt idx="96">
                  <c:v>0.11729335997700432</c:v>
                </c:pt>
                <c:pt idx="97">
                  <c:v>0.14579520985226643</c:v>
                </c:pt>
                <c:pt idx="98">
                  <c:v>0.17429705972752854</c:v>
                </c:pt>
                <c:pt idx="99">
                  <c:v>0.20275010506533303</c:v>
                </c:pt>
                <c:pt idx="100">
                  <c:v>0.23120315040313752</c:v>
                </c:pt>
                <c:pt idx="101">
                  <c:v>0.25970500027839966</c:v>
                </c:pt>
                <c:pt idx="102">
                  <c:v>0.28820685015366176</c:v>
                </c:pt>
                <c:pt idx="103">
                  <c:v>0.31661109095400869</c:v>
                </c:pt>
                <c:pt idx="104">
                  <c:v>0.13012496114856792</c:v>
                </c:pt>
                <c:pt idx="105">
                  <c:v>0.14296226734899856</c:v>
                </c:pt>
                <c:pt idx="106">
                  <c:v>0.15584368800372614</c:v>
                </c:pt>
                <c:pt idx="107">
                  <c:v>0.16872510865845375</c:v>
                </c:pt>
                <c:pt idx="108">
                  <c:v>0.18160652931318141</c:v>
                </c:pt>
                <c:pt idx="109">
                  <c:v>0.14296226734899856</c:v>
                </c:pt>
                <c:pt idx="110">
                  <c:v>0.15584368800372614</c:v>
                </c:pt>
                <c:pt idx="111">
                  <c:v>0.16872510865845375</c:v>
                </c:pt>
                <c:pt idx="112">
                  <c:v>0.18160652931318141</c:v>
                </c:pt>
                <c:pt idx="113">
                  <c:v>0.17856608619280925</c:v>
                </c:pt>
                <c:pt idx="114">
                  <c:v>0.3242250679390129</c:v>
                </c:pt>
                <c:pt idx="115">
                  <c:v>0.4698840496852168</c:v>
                </c:pt>
                <c:pt idx="116">
                  <c:v>0.3242250679390129</c:v>
                </c:pt>
                <c:pt idx="117">
                  <c:v>0.4698840496852168</c:v>
                </c:pt>
                <c:pt idx="118">
                  <c:v>0.21197639111186425</c:v>
                </c:pt>
                <c:pt idx="119">
                  <c:v>0.27771355063919906</c:v>
                </c:pt>
                <c:pt idx="120">
                  <c:v>0.34345071016653367</c:v>
                </c:pt>
                <c:pt idx="121">
                  <c:v>0.21197639111186425</c:v>
                </c:pt>
                <c:pt idx="122">
                  <c:v>0.27771355063919906</c:v>
                </c:pt>
                <c:pt idx="123">
                  <c:v>0.34345071016653367</c:v>
                </c:pt>
                <c:pt idx="124">
                  <c:v>0.19540710997826596</c:v>
                </c:pt>
                <c:pt idx="125">
                  <c:v>0.2328455325563944</c:v>
                </c:pt>
                <c:pt idx="126">
                  <c:v>0.27028395513452297</c:v>
                </c:pt>
                <c:pt idx="127">
                  <c:v>0.19540710997826596</c:v>
                </c:pt>
                <c:pt idx="128">
                  <c:v>0.2328455325563944</c:v>
                </c:pt>
                <c:pt idx="129">
                  <c:v>0.27028395513452297</c:v>
                </c:pt>
                <c:pt idx="130">
                  <c:v>0.31615531622056936</c:v>
                </c:pt>
                <c:pt idx="131">
                  <c:v>0.35364191324925454</c:v>
                </c:pt>
                <c:pt idx="132">
                  <c:v>0.39612672321509768</c:v>
                </c:pt>
                <c:pt idx="133">
                  <c:v>0.43361332024378274</c:v>
                </c:pt>
                <c:pt idx="134">
                  <c:v>0.47609813020962577</c:v>
                </c:pt>
                <c:pt idx="135">
                  <c:v>0.51358472723831095</c:v>
                </c:pt>
                <c:pt idx="136">
                  <c:v>0.55856864367273318</c:v>
                </c:pt>
                <c:pt idx="137">
                  <c:v>0.27367050625472622</c:v>
                </c:pt>
                <c:pt idx="138">
                  <c:v>0.31615531622056936</c:v>
                </c:pt>
                <c:pt idx="139">
                  <c:v>0.35614101971783346</c:v>
                </c:pt>
                <c:pt idx="140">
                  <c:v>0.3923780635122292</c:v>
                </c:pt>
                <c:pt idx="141">
                  <c:v>0.43361332024378274</c:v>
                </c:pt>
                <c:pt idx="142">
                  <c:v>0.47484857697533639</c:v>
                </c:pt>
                <c:pt idx="143">
                  <c:v>0.50983606753544253</c:v>
                </c:pt>
                <c:pt idx="144">
                  <c:v>0.54357400486125895</c:v>
                </c:pt>
                <c:pt idx="145">
                  <c:v>0.17950779201610131</c:v>
                </c:pt>
                <c:pt idx="146">
                  <c:v>0.21464209910472309</c:v>
                </c:pt>
                <c:pt idx="147">
                  <c:v>0.2486491022225869</c:v>
                </c:pt>
                <c:pt idx="148">
                  <c:v>0.28246822134532446</c:v>
                </c:pt>
                <c:pt idx="149">
                  <c:v>0.31591157247780943</c:v>
                </c:pt>
                <c:pt idx="150">
                  <c:v>0.35029434358592576</c:v>
                </c:pt>
                <c:pt idx="151">
                  <c:v>0.14681597686412165</c:v>
                </c:pt>
                <c:pt idx="152">
                  <c:v>0.18007144400148026</c:v>
                </c:pt>
                <c:pt idx="153">
                  <c:v>0.2140784471193441</c:v>
                </c:pt>
                <c:pt idx="154">
                  <c:v>0.24770968224695533</c:v>
                </c:pt>
                <c:pt idx="155">
                  <c:v>0.28265610534045077</c:v>
                </c:pt>
                <c:pt idx="156">
                  <c:v>0.31591157247780943</c:v>
                </c:pt>
                <c:pt idx="157">
                  <c:v>0.33206959605867276</c:v>
                </c:pt>
                <c:pt idx="158">
                  <c:v>0.2908980476731724</c:v>
                </c:pt>
                <c:pt idx="159">
                  <c:v>0.32823091625474282</c:v>
                </c:pt>
                <c:pt idx="160">
                  <c:v>0.33569748997105692</c:v>
                </c:pt>
                <c:pt idx="161">
                  <c:v>0.3672230234399384</c:v>
                </c:pt>
                <c:pt idx="162">
                  <c:v>0.38879312528706789</c:v>
                </c:pt>
                <c:pt idx="163">
                  <c:v>0.41285208503963555</c:v>
                </c:pt>
                <c:pt idx="164">
                  <c:v>0.43442218688676498</c:v>
                </c:pt>
                <c:pt idx="165">
                  <c:v>0.46014038524295764</c:v>
                </c:pt>
                <c:pt idx="166">
                  <c:v>0.28840918976773444</c:v>
                </c:pt>
                <c:pt idx="167">
                  <c:v>0.31329776882211469</c:v>
                </c:pt>
                <c:pt idx="168">
                  <c:v>0.33652710927286961</c:v>
                </c:pt>
                <c:pt idx="169">
                  <c:v>0.36058606902543705</c:v>
                </c:pt>
                <c:pt idx="170">
                  <c:v>0.38630426738163004</c:v>
                </c:pt>
                <c:pt idx="171">
                  <c:v>0.41285208503963555</c:v>
                </c:pt>
                <c:pt idx="172">
                  <c:v>0.43691104479220294</c:v>
                </c:pt>
                <c:pt idx="173">
                  <c:v>0.45848114663933243</c:v>
                </c:pt>
                <c:pt idx="174">
                  <c:v>0.31578662672755275</c:v>
                </c:pt>
                <c:pt idx="175">
                  <c:v>0.3398455864801202</c:v>
                </c:pt>
                <c:pt idx="176">
                  <c:v>0.37385997785443986</c:v>
                </c:pt>
                <c:pt idx="177">
                  <c:v>0.39377084109794397</c:v>
                </c:pt>
                <c:pt idx="178">
                  <c:v>0.41285208503963555</c:v>
                </c:pt>
                <c:pt idx="179">
                  <c:v>0.4335925675849524</c:v>
                </c:pt>
                <c:pt idx="180">
                  <c:v>0.46097000454477061</c:v>
                </c:pt>
                <c:pt idx="181">
                  <c:v>0.19112255277280865</c:v>
                </c:pt>
                <c:pt idx="182">
                  <c:v>0.22730456924435233</c:v>
                </c:pt>
                <c:pt idx="183">
                  <c:v>0.26336393481260267</c:v>
                </c:pt>
                <c:pt idx="184">
                  <c:v>0.19112255277280865</c:v>
                </c:pt>
                <c:pt idx="185">
                  <c:v>0.22681396563117887</c:v>
                </c:pt>
                <c:pt idx="186">
                  <c:v>0.2627506802961358</c:v>
                </c:pt>
                <c:pt idx="187">
                  <c:v>0.1180226144099611</c:v>
                </c:pt>
                <c:pt idx="188">
                  <c:v>0.15530848901114511</c:v>
                </c:pt>
                <c:pt idx="189">
                  <c:v>0.1905092982563418</c:v>
                </c:pt>
                <c:pt idx="190">
                  <c:v>0.22583275840483186</c:v>
                </c:pt>
                <c:pt idx="191">
                  <c:v>0.27575167604523287</c:v>
                </c:pt>
                <c:pt idx="192">
                  <c:v>0.1794510728837965</c:v>
                </c:pt>
                <c:pt idx="193">
                  <c:v>0.2397953842270677</c:v>
                </c:pt>
                <c:pt idx="194">
                  <c:v>0.30013969557033893</c:v>
                </c:pt>
                <c:pt idx="195">
                  <c:v>0.12925750125388741</c:v>
                </c:pt>
                <c:pt idx="196">
                  <c:v>0.16816215707854121</c:v>
                </c:pt>
                <c:pt idx="197">
                  <c:v>0.20706681290319492</c:v>
                </c:pt>
                <c:pt idx="198">
                  <c:v>0.13794033861054511</c:v>
                </c:pt>
                <c:pt idx="199">
                  <c:v>0.19307532494670304</c:v>
                </c:pt>
                <c:pt idx="200">
                  <c:v>0.22615631674839778</c:v>
                </c:pt>
                <c:pt idx="201">
                  <c:v>0.25372380991647669</c:v>
                </c:pt>
                <c:pt idx="202">
                  <c:v>0.29783179898540302</c:v>
                </c:pt>
                <c:pt idx="203">
                  <c:v>0.33642628942071362</c:v>
                </c:pt>
                <c:pt idx="204">
                  <c:v>0.13578602772186552</c:v>
                </c:pt>
                <c:pt idx="205">
                  <c:v>0.15605054397095469</c:v>
                </c:pt>
                <c:pt idx="206">
                  <c:v>0.18210492200549805</c:v>
                </c:pt>
                <c:pt idx="207">
                  <c:v>0.19368464557640616</c:v>
                </c:pt>
                <c:pt idx="208">
                  <c:v>0.21973902361094949</c:v>
                </c:pt>
                <c:pt idx="209">
                  <c:v>0.27474271057276312</c:v>
                </c:pt>
                <c:pt idx="210">
                  <c:v>8.4078447968071318E-2</c:v>
                </c:pt>
                <c:pt idx="211">
                  <c:v>9.7273366601955721E-2</c:v>
                </c:pt>
                <c:pt idx="212">
                  <c:v>0.10914879337245167</c:v>
                </c:pt>
                <c:pt idx="213">
                  <c:v>0.12366320386972449</c:v>
                </c:pt>
                <c:pt idx="214">
                  <c:v>0.13817761436699733</c:v>
                </c:pt>
                <c:pt idx="215">
                  <c:v>0.15137253300088171</c:v>
                </c:pt>
                <c:pt idx="216">
                  <c:v>0.16456745163476608</c:v>
                </c:pt>
                <c:pt idx="217">
                  <c:v>0.17644287840526202</c:v>
                </c:pt>
                <c:pt idx="218">
                  <c:v>0.23059971471306279</c:v>
                </c:pt>
                <c:pt idx="219">
                  <c:v>0.2800118348934188</c:v>
                </c:pt>
                <c:pt idx="220">
                  <c:v>0.33491419064937011</c:v>
                </c:pt>
                <c:pt idx="221">
                  <c:v>0.13219403671847585</c:v>
                </c:pt>
                <c:pt idx="222">
                  <c:v>0.15236096455207232</c:v>
                </c:pt>
                <c:pt idx="223">
                  <c:v>0.17828987176669633</c:v>
                </c:pt>
                <c:pt idx="224">
                  <c:v>0.18981383052875145</c:v>
                </c:pt>
                <c:pt idx="225">
                  <c:v>0.20709976867183416</c:v>
                </c:pt>
                <c:pt idx="226">
                  <c:v>0.2186237274338893</c:v>
                </c:pt>
                <c:pt idx="227">
                  <c:v>0.24685742640092428</c:v>
                </c:pt>
                <c:pt idx="228">
                  <c:v>0.27509112536795938</c:v>
                </c:pt>
                <c:pt idx="229">
                  <c:v>0.10460215108138089</c:v>
                </c:pt>
                <c:pt idx="230">
                  <c:v>0.10985211059679627</c:v>
                </c:pt>
                <c:pt idx="231">
                  <c:v>0.1229770093853348</c:v>
                </c:pt>
                <c:pt idx="232">
                  <c:v>0.13741439805272718</c:v>
                </c:pt>
                <c:pt idx="233">
                  <c:v>0.15053929684126566</c:v>
                </c:pt>
                <c:pt idx="234">
                  <c:v>0.16235170575095029</c:v>
                </c:pt>
                <c:pt idx="235">
                  <c:v>0.17678909441834265</c:v>
                </c:pt>
                <c:pt idx="236">
                  <c:v>3.2681120834482567E-2</c:v>
                </c:pt>
                <c:pt idx="237">
                  <c:v>4.5640522399196387E-2</c:v>
                </c:pt>
                <c:pt idx="238">
                  <c:v>6.2121500476060715E-2</c:v>
                </c:pt>
                <c:pt idx="239">
                  <c:v>7.1559325528624054E-2</c:v>
                </c:pt>
                <c:pt idx="240">
                  <c:v>8.2405781186047578E-2</c:v>
                </c:pt>
                <c:pt idx="241">
                  <c:v>9.9309348444369963E-2</c:v>
                </c:pt>
                <c:pt idx="242">
                  <c:v>0.10790199513401721</c:v>
                </c:pt>
                <c:pt idx="243">
                  <c:v>0.12043880751727296</c:v>
                </c:pt>
                <c:pt idx="244">
                  <c:v>0.24347863384105645</c:v>
                </c:pt>
                <c:pt idx="245">
                  <c:v>0.26626281210622382</c:v>
                </c:pt>
                <c:pt idx="246">
                  <c:v>0.24447134527620462</c:v>
                </c:pt>
                <c:pt idx="247">
                  <c:v>0.26626281210622382</c:v>
                </c:pt>
                <c:pt idx="248">
                  <c:v>0.24447134527620462</c:v>
                </c:pt>
                <c:pt idx="249">
                  <c:v>0.26626281210622382</c:v>
                </c:pt>
                <c:pt idx="250">
                  <c:v>0.24546405671135285</c:v>
                </c:pt>
                <c:pt idx="251">
                  <c:v>0.26626281210622382</c:v>
                </c:pt>
                <c:pt idx="252">
                  <c:v>0.23677888448534648</c:v>
                </c:pt>
                <c:pt idx="253">
                  <c:v>0.30404573484725961</c:v>
                </c:pt>
                <c:pt idx="254">
                  <c:v>0.23859722063431765</c:v>
                </c:pt>
                <c:pt idx="255">
                  <c:v>0.30404573484725961</c:v>
                </c:pt>
                <c:pt idx="256">
                  <c:v>0.1678741841935957</c:v>
                </c:pt>
                <c:pt idx="257">
                  <c:v>0.24623422313174248</c:v>
                </c:pt>
                <c:pt idx="258">
                  <c:v>0.26626281210622382</c:v>
                </c:pt>
                <c:pt idx="259">
                  <c:v>0.1688660834206609</c:v>
                </c:pt>
                <c:pt idx="260">
                  <c:v>0.24722612235880767</c:v>
                </c:pt>
                <c:pt idx="261">
                  <c:v>0.10457083423101082</c:v>
                </c:pt>
                <c:pt idx="262">
                  <c:v>0.15224844195882856</c:v>
                </c:pt>
                <c:pt idx="263">
                  <c:v>0.20053730106777218</c:v>
                </c:pt>
                <c:pt idx="264">
                  <c:v>0.23673666714921462</c:v>
                </c:pt>
                <c:pt idx="265">
                  <c:v>0.10395958284988495</c:v>
                </c:pt>
                <c:pt idx="266">
                  <c:v>0.15102593919657681</c:v>
                </c:pt>
                <c:pt idx="267">
                  <c:v>0.19870354692439463</c:v>
                </c:pt>
                <c:pt idx="268">
                  <c:v>0.2463075496810074</c:v>
                </c:pt>
                <c:pt idx="269">
                  <c:v>0.26626281210622382</c:v>
                </c:pt>
                <c:pt idx="270">
                  <c:v>0.2463075496810074</c:v>
                </c:pt>
                <c:pt idx="271">
                  <c:v>0.26626281210622382</c:v>
                </c:pt>
                <c:pt idx="272">
                  <c:v>0.12664484050960911</c:v>
                </c:pt>
                <c:pt idx="273">
                  <c:v>0.15100219578489021</c:v>
                </c:pt>
                <c:pt idx="274">
                  <c:v>0.17475061717828932</c:v>
                </c:pt>
                <c:pt idx="275">
                  <c:v>0.19910797245357037</c:v>
                </c:pt>
                <c:pt idx="276">
                  <c:v>0.22224745996508746</c:v>
                </c:pt>
                <c:pt idx="277">
                  <c:v>0.23673666714921462</c:v>
                </c:pt>
                <c:pt idx="278">
                  <c:v>0.17475061717828932</c:v>
                </c:pt>
                <c:pt idx="279">
                  <c:v>0.19789010468980636</c:v>
                </c:pt>
                <c:pt idx="280">
                  <c:v>0.22224745996508746</c:v>
                </c:pt>
                <c:pt idx="281">
                  <c:v>0.23673666714921462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3-4F0F-89D0-E96E5F1E2746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E3-4F0F-89D0-E96E5F1E2746}"/>
            </c:ext>
          </c:extLst>
        </c:ser>
        <c:ser>
          <c:idx val="2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E3-4F0F-89D0-E96E5F1E2746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E3-4F0F-89D0-E96E5F1E2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660118360058458"/>
          <c:y val="5.9882129284184002E-2"/>
          <c:w val="0.2149865142581982"/>
          <c:h val="0.111718409853845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1"/>
          <c:order val="0"/>
          <c:tx>
            <c:strRef>
              <c:f>'Dados gerais'!$AT$2</c:f>
              <c:strCache>
                <c:ptCount val="1"/>
                <c:pt idx="0">
                  <c:v>Leonhardt (1977)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gerais'!$AT$28:$AT$309</c:f>
              <c:numCache>
                <c:formatCode>0.00</c:formatCode>
                <c:ptCount val="282"/>
                <c:pt idx="0">
                  <c:v>0.22216282542619536</c:v>
                </c:pt>
                <c:pt idx="1">
                  <c:v>0.2698880415363058</c:v>
                </c:pt>
                <c:pt idx="2">
                  <c:v>0.31897202344812936</c:v>
                </c:pt>
                <c:pt idx="3">
                  <c:v>0.36721961962806549</c:v>
                </c:pt>
                <c:pt idx="4">
                  <c:v>0.39784384604502626</c:v>
                </c:pt>
                <c:pt idx="5">
                  <c:v>0.46249133747939219</c:v>
                </c:pt>
                <c:pt idx="6">
                  <c:v>0.46730491473949903</c:v>
                </c:pt>
                <c:pt idx="7">
                  <c:v>0.50562030661839974</c:v>
                </c:pt>
                <c:pt idx="8">
                  <c:v>0.59974401046133252</c:v>
                </c:pt>
                <c:pt idx="9">
                  <c:v>0.59974401046133252</c:v>
                </c:pt>
                <c:pt idx="10">
                  <c:v>0.26595117250432371</c:v>
                </c:pt>
                <c:pt idx="11">
                  <c:v>0.30872458220891225</c:v>
                </c:pt>
                <c:pt idx="12">
                  <c:v>0.32445331455853083</c:v>
                </c:pt>
                <c:pt idx="13">
                  <c:v>0.350359144881568</c:v>
                </c:pt>
                <c:pt idx="14">
                  <c:v>0.38608135403252564</c:v>
                </c:pt>
                <c:pt idx="15">
                  <c:v>0.46101058349859836</c:v>
                </c:pt>
                <c:pt idx="16">
                  <c:v>7.6553053078508113E-2</c:v>
                </c:pt>
                <c:pt idx="17">
                  <c:v>0.12704734905426315</c:v>
                </c:pt>
                <c:pt idx="18">
                  <c:v>0.15974057213838819</c:v>
                </c:pt>
                <c:pt idx="19">
                  <c:v>0.21221936042033682</c:v>
                </c:pt>
                <c:pt idx="20">
                  <c:v>0.28716680216592066</c:v>
                </c:pt>
                <c:pt idx="21">
                  <c:v>0.34838263613442921</c:v>
                </c:pt>
                <c:pt idx="22">
                  <c:v>0.52320849591990093</c:v>
                </c:pt>
                <c:pt idx="23">
                  <c:v>0.73742133167676249</c:v>
                </c:pt>
                <c:pt idx="24">
                  <c:v>0.73742133167676249</c:v>
                </c:pt>
                <c:pt idx="25">
                  <c:v>0.73742133167676249</c:v>
                </c:pt>
                <c:pt idx="26">
                  <c:v>3.3217082876863327E-2</c:v>
                </c:pt>
                <c:pt idx="27">
                  <c:v>8.3108795017623249E-2</c:v>
                </c:pt>
                <c:pt idx="28">
                  <c:v>0.24160162736185395</c:v>
                </c:pt>
                <c:pt idx="29">
                  <c:v>0.37987340556759402</c:v>
                </c:pt>
                <c:pt idx="30">
                  <c:v>0.51219781490907224</c:v>
                </c:pt>
                <c:pt idx="31">
                  <c:v>0.60968478954745375</c:v>
                </c:pt>
                <c:pt idx="32">
                  <c:v>0.72144924936846344</c:v>
                </c:pt>
                <c:pt idx="33">
                  <c:v>0.14720598903748519</c:v>
                </c:pt>
                <c:pt idx="34">
                  <c:v>0.25273508520685833</c:v>
                </c:pt>
                <c:pt idx="35">
                  <c:v>0.34838263613442921</c:v>
                </c:pt>
                <c:pt idx="36">
                  <c:v>0.52320849591990093</c:v>
                </c:pt>
                <c:pt idx="37">
                  <c:v>0.73742133167676249</c:v>
                </c:pt>
                <c:pt idx="38">
                  <c:v>0.14720598903748519</c:v>
                </c:pt>
                <c:pt idx="39">
                  <c:v>0.34838263613442921</c:v>
                </c:pt>
                <c:pt idx="40">
                  <c:v>0.52320849591990093</c:v>
                </c:pt>
                <c:pt idx="41">
                  <c:v>0.73742133167676249</c:v>
                </c:pt>
                <c:pt idx="42">
                  <c:v>4.2260284514019641E-2</c:v>
                </c:pt>
                <c:pt idx="43">
                  <c:v>0.27291843309892705</c:v>
                </c:pt>
                <c:pt idx="45">
                  <c:v>4.2260284514019641E-2</c:v>
                </c:pt>
                <c:pt idx="46">
                  <c:v>0.27291843309892705</c:v>
                </c:pt>
                <c:pt idx="48">
                  <c:v>4.2260284514019641E-2</c:v>
                </c:pt>
                <c:pt idx="49">
                  <c:v>0.27291843309892705</c:v>
                </c:pt>
                <c:pt idx="50">
                  <c:v>0.27711743382603071</c:v>
                </c:pt>
                <c:pt idx="51">
                  <c:v>0.44648166290315272</c:v>
                </c:pt>
                <c:pt idx="52">
                  <c:v>0.60968478954745375</c:v>
                </c:pt>
                <c:pt idx="53">
                  <c:v>0.72144924936846344</c:v>
                </c:pt>
                <c:pt idx="54">
                  <c:v>0.27711743382603071</c:v>
                </c:pt>
                <c:pt idx="55">
                  <c:v>0.44648166290315272</c:v>
                </c:pt>
                <c:pt idx="56">
                  <c:v>0.60968478954745375</c:v>
                </c:pt>
                <c:pt idx="57">
                  <c:v>0.72144924936846344</c:v>
                </c:pt>
                <c:pt idx="59">
                  <c:v>0.11551729509434719</c:v>
                </c:pt>
                <c:pt idx="60">
                  <c:v>0.46460103612345982</c:v>
                </c:pt>
                <c:pt idx="62">
                  <c:v>0.11551729509434719</c:v>
                </c:pt>
                <c:pt idx="63">
                  <c:v>0.46460103612345982</c:v>
                </c:pt>
                <c:pt idx="65">
                  <c:v>0.11551729509434719</c:v>
                </c:pt>
                <c:pt idx="66">
                  <c:v>0.46460103612345982</c:v>
                </c:pt>
                <c:pt idx="67">
                  <c:v>0.20816075063164449</c:v>
                </c:pt>
                <c:pt idx="68">
                  <c:v>0.25338034839322776</c:v>
                </c:pt>
                <c:pt idx="69">
                  <c:v>0.22278344779495962</c:v>
                </c:pt>
                <c:pt idx="70">
                  <c:v>0.26112007113741192</c:v>
                </c:pt>
                <c:pt idx="71">
                  <c:v>0.31456154155224142</c:v>
                </c:pt>
                <c:pt idx="72">
                  <c:v>0.21246038370039774</c:v>
                </c:pt>
                <c:pt idx="73">
                  <c:v>0.28578159863879343</c:v>
                </c:pt>
                <c:pt idx="75">
                  <c:v>3.3635138842762015E-2</c:v>
                </c:pt>
                <c:pt idx="76">
                  <c:v>0.15698056442293562</c:v>
                </c:pt>
                <c:pt idx="77">
                  <c:v>0.26892161187916835</c:v>
                </c:pt>
                <c:pt idx="78">
                  <c:v>0.37272851383387728</c:v>
                </c:pt>
                <c:pt idx="79">
                  <c:v>0.47059657553398709</c:v>
                </c:pt>
                <c:pt idx="80">
                  <c:v>0.56375561051767764</c:v>
                </c:pt>
                <c:pt idx="81">
                  <c:v>0.65291447916542988</c:v>
                </c:pt>
                <c:pt idx="82">
                  <c:v>3.3635138842762015E-2</c:v>
                </c:pt>
                <c:pt idx="83">
                  <c:v>0.15698056442293562</c:v>
                </c:pt>
                <c:pt idx="84">
                  <c:v>0.26892161187916835</c:v>
                </c:pt>
                <c:pt idx="85">
                  <c:v>0.37272851383387728</c:v>
                </c:pt>
                <c:pt idx="86">
                  <c:v>0.47059657553398709</c:v>
                </c:pt>
                <c:pt idx="87">
                  <c:v>0.56375561051767764</c:v>
                </c:pt>
                <c:pt idx="88">
                  <c:v>0.65291447916542988</c:v>
                </c:pt>
                <c:pt idx="89">
                  <c:v>0.10853508175017515</c:v>
                </c:pt>
                <c:pt idx="90">
                  <c:v>0.21393535237281311</c:v>
                </c:pt>
                <c:pt idx="91">
                  <c:v>0.3105283279517595</c:v>
                </c:pt>
                <c:pt idx="92">
                  <c:v>0.40085214401713148</c:v>
                </c:pt>
                <c:pt idx="93">
                  <c:v>0.48661646663274533</c:v>
                </c:pt>
                <c:pt idx="94">
                  <c:v>0.5687514418715035</c:v>
                </c:pt>
                <c:pt idx="95">
                  <c:v>0.64776800862686934</c:v>
                </c:pt>
                <c:pt idx="97">
                  <c:v>0.10853508175017515</c:v>
                </c:pt>
                <c:pt idx="98">
                  <c:v>0.21393535237281311</c:v>
                </c:pt>
                <c:pt idx="99">
                  <c:v>0.3105283279517595</c:v>
                </c:pt>
                <c:pt idx="100">
                  <c:v>0.40085214401713148</c:v>
                </c:pt>
                <c:pt idx="101">
                  <c:v>0.48661646663274533</c:v>
                </c:pt>
                <c:pt idx="102">
                  <c:v>0.5687514418715035</c:v>
                </c:pt>
                <c:pt idx="103">
                  <c:v>0.64776800862686934</c:v>
                </c:pt>
                <c:pt idx="104">
                  <c:v>0.25195164759958771</c:v>
                </c:pt>
                <c:pt idx="105">
                  <c:v>0.28721911732524774</c:v>
                </c:pt>
                <c:pt idx="106">
                  <c:v>0.32158182698958593</c:v>
                </c:pt>
                <c:pt idx="107">
                  <c:v>0.35510946407025634</c:v>
                </c:pt>
                <c:pt idx="108">
                  <c:v>0.387949513160665</c:v>
                </c:pt>
                <c:pt idx="109">
                  <c:v>0.28721911732524774</c:v>
                </c:pt>
                <c:pt idx="110">
                  <c:v>0.32158182698958593</c:v>
                </c:pt>
                <c:pt idx="111">
                  <c:v>0.35510946407025634</c:v>
                </c:pt>
                <c:pt idx="112">
                  <c:v>0.387949513160665</c:v>
                </c:pt>
                <c:pt idx="119">
                  <c:v>0.12220371396848656</c:v>
                </c:pt>
                <c:pt idx="120">
                  <c:v>0.27733658290455071</c:v>
                </c:pt>
                <c:pt idx="122">
                  <c:v>0.12220371396848656</c:v>
                </c:pt>
                <c:pt idx="123">
                  <c:v>0.27733658290455071</c:v>
                </c:pt>
                <c:pt idx="124">
                  <c:v>0.15678506139305359</c:v>
                </c:pt>
                <c:pt idx="125">
                  <c:v>0.23648611685522961</c:v>
                </c:pt>
                <c:pt idx="126">
                  <c:v>0.31015724890308133</c:v>
                </c:pt>
                <c:pt idx="127">
                  <c:v>0.15678506139305359</c:v>
                </c:pt>
                <c:pt idx="128">
                  <c:v>0.23648611685522961</c:v>
                </c:pt>
                <c:pt idx="129">
                  <c:v>0.31015724890308133</c:v>
                </c:pt>
                <c:pt idx="130">
                  <c:v>0.16821697701992566</c:v>
                </c:pt>
                <c:pt idx="131">
                  <c:v>0.21882839254894493</c:v>
                </c:pt>
                <c:pt idx="132">
                  <c:v>0.27336080427619847</c:v>
                </c:pt>
                <c:pt idx="133">
                  <c:v>0.31944831577752686</c:v>
                </c:pt>
                <c:pt idx="134">
                  <c:v>0.36979987077395959</c:v>
                </c:pt>
                <c:pt idx="135">
                  <c:v>0.41284270806854767</c:v>
                </c:pt>
                <c:pt idx="136">
                  <c:v>0.46306393428501186</c:v>
                </c:pt>
                <c:pt idx="137">
                  <c:v>0.10729330556362165</c:v>
                </c:pt>
                <c:pt idx="138">
                  <c:v>0.16821697701992566</c:v>
                </c:pt>
                <c:pt idx="139">
                  <c:v>0.22211331408926083</c:v>
                </c:pt>
                <c:pt idx="140">
                  <c:v>0.26865430312309796</c:v>
                </c:pt>
                <c:pt idx="141">
                  <c:v>0.31944831577752686</c:v>
                </c:pt>
                <c:pt idx="142">
                  <c:v>0.36834412167041547</c:v>
                </c:pt>
                <c:pt idx="143">
                  <c:v>0.40859054588995608</c:v>
                </c:pt>
                <c:pt idx="144">
                  <c:v>0.44648106773556961</c:v>
                </c:pt>
                <c:pt idx="145">
                  <c:v>0.22328306155808111</c:v>
                </c:pt>
                <c:pt idx="146">
                  <c:v>0.27896342585346029</c:v>
                </c:pt>
                <c:pt idx="147">
                  <c:v>0.33085221243175927</c:v>
                </c:pt>
                <c:pt idx="148">
                  <c:v>0.38114518145987081</c:v>
                </c:pt>
                <c:pt idx="149">
                  <c:v>0.42997260953800504</c:v>
                </c:pt>
                <c:pt idx="150">
                  <c:v>0.47948358788270817</c:v>
                </c:pt>
                <c:pt idx="151">
                  <c:v>0.16848661286474886</c:v>
                </c:pt>
                <c:pt idx="152">
                  <c:v>0.22419839991855828</c:v>
                </c:pt>
                <c:pt idx="153">
                  <c:v>0.27808913893475723</c:v>
                </c:pt>
                <c:pt idx="154">
                  <c:v>0.3294387779152495</c:v>
                </c:pt>
                <c:pt idx="155">
                  <c:v>0.38142173644761601</c:v>
                </c:pt>
                <c:pt idx="156">
                  <c:v>0.42997260953800504</c:v>
                </c:pt>
                <c:pt idx="157">
                  <c:v>0.45331500142933767</c:v>
                </c:pt>
                <c:pt idx="158">
                  <c:v>0.25773862301209477</c:v>
                </c:pt>
                <c:pt idx="159">
                  <c:v>0.30422212799507387</c:v>
                </c:pt>
                <c:pt idx="160">
                  <c:v>0.31331115674231313</c:v>
                </c:pt>
                <c:pt idx="161">
                  <c:v>0.3510126453644552</c:v>
                </c:pt>
                <c:pt idx="162">
                  <c:v>0.37623620174228273</c:v>
                </c:pt>
                <c:pt idx="163">
                  <c:v>0.40388198949836024</c:v>
                </c:pt>
                <c:pt idx="164">
                  <c:v>0.42827084631765316</c:v>
                </c:pt>
                <c:pt idx="165">
                  <c:v>0.45690600461126074</c:v>
                </c:pt>
                <c:pt idx="166">
                  <c:v>0.25457315086049842</c:v>
                </c:pt>
                <c:pt idx="167">
                  <c:v>0.28584412159935541</c:v>
                </c:pt>
                <c:pt idx="168">
                  <c:v>0.31431708743144865</c:v>
                </c:pt>
                <c:pt idx="169">
                  <c:v>0.34316160218805503</c:v>
                </c:pt>
                <c:pt idx="170">
                  <c:v>0.37334774032491186</c:v>
                </c:pt>
                <c:pt idx="171">
                  <c:v>0.40388198949836024</c:v>
                </c:pt>
                <c:pt idx="172">
                  <c:v>0.43106239180144945</c:v>
                </c:pt>
                <c:pt idx="173">
                  <c:v>0.45507225504881621</c:v>
                </c:pt>
                <c:pt idx="174">
                  <c:v>0.28892624595985633</c:v>
                </c:pt>
                <c:pt idx="175">
                  <c:v>0.3183330337313815</c:v>
                </c:pt>
                <c:pt idx="176">
                  <c:v>0.35882040605159882</c:v>
                </c:pt>
                <c:pt idx="177">
                  <c:v>0.3819966150455596</c:v>
                </c:pt>
                <c:pt idx="178">
                  <c:v>0.40388198949836024</c:v>
                </c:pt>
                <c:pt idx="179">
                  <c:v>0.4273393239822082</c:v>
                </c:pt>
                <c:pt idx="180">
                  <c:v>0.45782219685333214</c:v>
                </c:pt>
                <c:pt idx="181">
                  <c:v>0.26226217585674594</c:v>
                </c:pt>
                <c:pt idx="182">
                  <c:v>0.31797860737202122</c:v>
                </c:pt>
                <c:pt idx="183">
                  <c:v>0.37186865513846545</c:v>
                </c:pt>
                <c:pt idx="184">
                  <c:v>0.26226217585674594</c:v>
                </c:pt>
                <c:pt idx="185">
                  <c:v>0.31723563596323379</c:v>
                </c:pt>
                <c:pt idx="186">
                  <c:v>0.37096260696987954</c:v>
                </c:pt>
                <c:pt idx="187">
                  <c:v>0.14010405042378313</c:v>
                </c:pt>
                <c:pt idx="188">
                  <c:v>0.20460235210887237</c:v>
                </c:pt>
                <c:pt idx="189">
                  <c:v>0.26129919414968328</c:v>
                </c:pt>
                <c:pt idx="190">
                  <c:v>0.31574879558393154</c:v>
                </c:pt>
                <c:pt idx="191">
                  <c:v>0.39010522592092528</c:v>
                </c:pt>
                <c:pt idx="192">
                  <c:v>0.18142626809901571</c:v>
                </c:pt>
                <c:pt idx="193">
                  <c:v>0.28653185735533826</c:v>
                </c:pt>
                <c:pt idx="194">
                  <c:v>0.38280381975996458</c:v>
                </c:pt>
                <c:pt idx="195">
                  <c:v>0.18258746810139406</c:v>
                </c:pt>
                <c:pt idx="196">
                  <c:v>0.25171665079763234</c:v>
                </c:pt>
                <c:pt idx="197">
                  <c:v>0.31733477157368972</c:v>
                </c:pt>
                <c:pt idx="198">
                  <c:v>0.2264410111520157</c:v>
                </c:pt>
                <c:pt idx="199">
                  <c:v>0.33247418629074155</c:v>
                </c:pt>
                <c:pt idx="200">
                  <c:v>0.39355118324063459</c:v>
                </c:pt>
                <c:pt idx="201">
                  <c:v>0.44360369351707019</c:v>
                </c:pt>
                <c:pt idx="202">
                  <c:v>0.52261333127303</c:v>
                </c:pt>
                <c:pt idx="203">
                  <c:v>0.59099581175136728</c:v>
                </c:pt>
                <c:pt idx="204">
                  <c:v>0.27645367428719742</c:v>
                </c:pt>
                <c:pt idx="205">
                  <c:v>0.32036897380246837</c:v>
                </c:pt>
                <c:pt idx="206">
                  <c:v>0.37597375921905984</c:v>
                </c:pt>
                <c:pt idx="207">
                  <c:v>0.40046450762860109</c:v>
                </c:pt>
                <c:pt idx="208">
                  <c:v>0.45520575546610442</c:v>
                </c:pt>
                <c:pt idx="209">
                  <c:v>0.56965376026569303</c:v>
                </c:pt>
                <c:pt idx="210">
                  <c:v>0.19816264568473804</c:v>
                </c:pt>
                <c:pt idx="211">
                  <c:v>0.2302395167174637</c:v>
                </c:pt>
                <c:pt idx="212">
                  <c:v>0.25883998916646</c:v>
                </c:pt>
                <c:pt idx="213">
                  <c:v>0.29355624128202901</c:v>
                </c:pt>
                <c:pt idx="214">
                  <c:v>0.32808366973427472</c:v>
                </c:pt>
                <c:pt idx="215">
                  <c:v>0.35935244772409597</c:v>
                </c:pt>
                <c:pt idx="216">
                  <c:v>0.3905345535368821</c:v>
                </c:pt>
                <c:pt idx="217">
                  <c:v>0.41853991678622454</c:v>
                </c:pt>
                <c:pt idx="218">
                  <c:v>0.38576330504641754</c:v>
                </c:pt>
                <c:pt idx="219">
                  <c:v>0.46907891597074758</c:v>
                </c:pt>
                <c:pt idx="220">
                  <c:v>0.5604920778448782</c:v>
                </c:pt>
                <c:pt idx="221">
                  <c:v>0.25805122845267203</c:v>
                </c:pt>
                <c:pt idx="222">
                  <c:v>0.29877103473588551</c:v>
                </c:pt>
                <c:pt idx="223">
                  <c:v>0.35045615996932078</c:v>
                </c:pt>
                <c:pt idx="224">
                  <c:v>0.37325479006486861</c:v>
                </c:pt>
                <c:pt idx="225">
                  <c:v>0.40730342462417024</c:v>
                </c:pt>
                <c:pt idx="226">
                  <c:v>0.42992039350916023</c:v>
                </c:pt>
                <c:pt idx="227">
                  <c:v>0.48511553593266332</c:v>
                </c:pt>
                <c:pt idx="228">
                  <c:v>0.54007611973683578</c:v>
                </c:pt>
                <c:pt idx="229">
                  <c:v>0.23572619789928739</c:v>
                </c:pt>
                <c:pt idx="230">
                  <c:v>0.24753953660852956</c:v>
                </c:pt>
                <c:pt idx="231">
                  <c:v>0.27697027611423669</c:v>
                </c:pt>
                <c:pt idx="232">
                  <c:v>0.30921361831123506</c:v>
                </c:pt>
                <c:pt idx="233">
                  <c:v>0.33843803581028936</c:v>
                </c:pt>
                <c:pt idx="234">
                  <c:v>0.36468532875224025</c:v>
                </c:pt>
                <c:pt idx="235">
                  <c:v>0.39671018522664003</c:v>
                </c:pt>
                <c:pt idx="236">
                  <c:v>8.7357863921345619E-2</c:v>
                </c:pt>
                <c:pt idx="237">
                  <c:v>0.13890415290354707</c:v>
                </c:pt>
                <c:pt idx="238">
                  <c:v>0.19953179125099435</c:v>
                </c:pt>
                <c:pt idx="239">
                  <c:v>0.23305036490381525</c:v>
                </c:pt>
                <c:pt idx="240">
                  <c:v>0.27095354827819368</c:v>
                </c:pt>
                <c:pt idx="241">
                  <c:v>0.32918147488740823</c:v>
                </c:pt>
                <c:pt idx="242">
                  <c:v>0.35851553204254821</c:v>
                </c:pt>
                <c:pt idx="243">
                  <c:v>0.40109206541061937</c:v>
                </c:pt>
                <c:pt idx="244">
                  <c:v>0.38622010388926009</c:v>
                </c:pt>
                <c:pt idx="245">
                  <c:v>0.42262897836105034</c:v>
                </c:pt>
                <c:pt idx="246">
                  <c:v>0.3878126857436745</c:v>
                </c:pt>
                <c:pt idx="247">
                  <c:v>0.42262897836105034</c:v>
                </c:pt>
                <c:pt idx="248">
                  <c:v>0.3878126857436745</c:v>
                </c:pt>
                <c:pt idx="249">
                  <c:v>0.42262897836105034</c:v>
                </c:pt>
                <c:pt idx="250">
                  <c:v>0.38940465548415598</c:v>
                </c:pt>
                <c:pt idx="251">
                  <c:v>0.42262897836105034</c:v>
                </c:pt>
                <c:pt idx="252">
                  <c:v>0.32848004590109303</c:v>
                </c:pt>
                <c:pt idx="253">
                  <c:v>0.42697819075524601</c:v>
                </c:pt>
                <c:pt idx="254">
                  <c:v>0.33119968980678799</c:v>
                </c:pt>
                <c:pt idx="255">
                  <c:v>0.42697819075524601</c:v>
                </c:pt>
                <c:pt idx="256">
                  <c:v>0.26351316056177404</c:v>
                </c:pt>
                <c:pt idx="257">
                  <c:v>0.39358361903775879</c:v>
                </c:pt>
                <c:pt idx="258">
                  <c:v>0.42599386724750998</c:v>
                </c:pt>
                <c:pt idx="259">
                  <c:v>0.26520845210462046</c:v>
                </c:pt>
                <c:pt idx="260">
                  <c:v>0.39519438566208898</c:v>
                </c:pt>
                <c:pt idx="261">
                  <c:v>0.17816304051344647</c:v>
                </c:pt>
                <c:pt idx="262">
                  <c:v>0.26957165351417106</c:v>
                </c:pt>
                <c:pt idx="263">
                  <c:v>0.35824006167094863</c:v>
                </c:pt>
                <c:pt idx="264">
                  <c:v>0.42347873544006226</c:v>
                </c:pt>
                <c:pt idx="265">
                  <c:v>0.17694613044184809</c:v>
                </c:pt>
                <c:pt idx="266">
                  <c:v>0.26729001115865386</c:v>
                </c:pt>
                <c:pt idx="267">
                  <c:v>0.35491326945201562</c:v>
                </c:pt>
                <c:pt idx="268">
                  <c:v>0.40653331382420199</c:v>
                </c:pt>
                <c:pt idx="269">
                  <c:v>0.44076646673889397</c:v>
                </c:pt>
                <c:pt idx="270">
                  <c:v>0.40653331382420199</c:v>
                </c:pt>
                <c:pt idx="271">
                  <c:v>0.44076646673889397</c:v>
                </c:pt>
                <c:pt idx="272">
                  <c:v>0.22538674781496504</c:v>
                </c:pt>
                <c:pt idx="273">
                  <c:v>0.27452178182149056</c:v>
                </c:pt>
                <c:pt idx="274">
                  <c:v>0.32122604310317937</c:v>
                </c:pt>
                <c:pt idx="275">
                  <c:v>0.36831035592009659</c:v>
                </c:pt>
                <c:pt idx="276">
                  <c:v>0.41250311294003189</c:v>
                </c:pt>
                <c:pt idx="277">
                  <c:v>0.43997406077432616</c:v>
                </c:pt>
                <c:pt idx="278">
                  <c:v>0.32122604310317937</c:v>
                </c:pt>
                <c:pt idx="279">
                  <c:v>0.36597148836903443</c:v>
                </c:pt>
                <c:pt idx="280">
                  <c:v>0.41250311294003189</c:v>
                </c:pt>
                <c:pt idx="281">
                  <c:v>0.43997406077432616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4-45DD-8853-EE0EED415AC7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54-45DD-8853-EE0EED415AC7}"/>
            </c:ext>
          </c:extLst>
        </c:ser>
        <c:ser>
          <c:idx val="2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54-45DD-8853-EE0EED415AC7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54-45DD-8853-EE0EED415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660118360058458"/>
          <c:y val="5.9882129284184002E-2"/>
          <c:w val="0.21238640918938553"/>
          <c:h val="9.698312432723123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3"/>
          <c:order val="0"/>
          <c:tx>
            <c:strRef>
              <c:f>'Dados gerais'!$AW$2</c:f>
              <c:strCache>
                <c:ptCount val="1"/>
                <c:pt idx="0">
                  <c:v>Desayi;Ganesan (1985)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marker>
          <c:xVal>
            <c:numRef>
              <c:f>'Dados gerais'!$AG$28:$AG$309</c:f>
              <c:numCache>
                <c:formatCode>0.00</c:formatCode>
                <c:ptCount val="282"/>
                <c:pt idx="0">
                  <c:v>0.13868029025440845</c:v>
                </c:pt>
                <c:pt idx="1">
                  <c:v>0.17212891101716857</c:v>
                </c:pt>
                <c:pt idx="2">
                  <c:v>0.2078324949774181</c:v>
                </c:pt>
                <c:pt idx="3">
                  <c:v>0.24391190613724908</c:v>
                </c:pt>
                <c:pt idx="4">
                  <c:v>0.26721319251130676</c:v>
                </c:pt>
                <c:pt idx="5">
                  <c:v>0.31719821005565602</c:v>
                </c:pt>
                <c:pt idx="6">
                  <c:v>0.32095648205147187</c:v>
                </c:pt>
                <c:pt idx="7">
                  <c:v>0.35102265801799776</c:v>
                </c:pt>
                <c:pt idx="8">
                  <c:v>0.42580937402192115</c:v>
                </c:pt>
                <c:pt idx="9">
                  <c:v>0.42580937402192115</c:v>
                </c:pt>
                <c:pt idx="10">
                  <c:v>0.16333872081928372</c:v>
                </c:pt>
                <c:pt idx="11">
                  <c:v>0.19321340015703939</c:v>
                </c:pt>
                <c:pt idx="12">
                  <c:v>0.20441640490869767</c:v>
                </c:pt>
                <c:pt idx="13">
                  <c:v>0.22308807949479487</c:v>
                </c:pt>
                <c:pt idx="14">
                  <c:v>0.24922842391533095</c:v>
                </c:pt>
                <c:pt idx="15">
                  <c:v>0.30524344767362266</c:v>
                </c:pt>
                <c:pt idx="16">
                  <c:v>4.3068885937083114E-2</c:v>
                </c:pt>
                <c:pt idx="17">
                  <c:v>7.927348825357626E-2</c:v>
                </c:pt>
                <c:pt idx="18">
                  <c:v>0.10416415234616534</c:v>
                </c:pt>
                <c:pt idx="19">
                  <c:v>0.14534688748117627</c:v>
                </c:pt>
                <c:pt idx="20">
                  <c:v>0.20553703883234614</c:v>
                </c:pt>
                <c:pt idx="21">
                  <c:v>0.26271820049061689</c:v>
                </c:pt>
                <c:pt idx="22">
                  <c:v>0.39776006136079389</c:v>
                </c:pt>
                <c:pt idx="23">
                  <c:v>0.57668065163185067</c:v>
                </c:pt>
                <c:pt idx="24">
                  <c:v>0.57668065163185067</c:v>
                </c:pt>
                <c:pt idx="25">
                  <c:v>0.57668065163185067</c:v>
                </c:pt>
                <c:pt idx="26">
                  <c:v>4.1078708915824935E-2</c:v>
                </c:pt>
                <c:pt idx="27">
                  <c:v>6.128577010593881E-2</c:v>
                </c:pt>
                <c:pt idx="28">
                  <c:v>0.16398254239550109</c:v>
                </c:pt>
                <c:pt idx="29">
                  <c:v>0.2666793146850634</c:v>
                </c:pt>
                <c:pt idx="30">
                  <c:v>0.36937608697462571</c:v>
                </c:pt>
                <c:pt idx="31">
                  <c:v>0.44639866619179752</c:v>
                </c:pt>
                <c:pt idx="32">
                  <c:v>0.53552378622876884</c:v>
                </c:pt>
                <c:pt idx="33">
                  <c:v>0.13504186087017703</c:v>
                </c:pt>
                <c:pt idx="34">
                  <c:v>0.19519727005552842</c:v>
                </c:pt>
                <c:pt idx="35">
                  <c:v>0.26271820049061689</c:v>
                </c:pt>
                <c:pt idx="36">
                  <c:v>0.39776006136079389</c:v>
                </c:pt>
                <c:pt idx="37">
                  <c:v>0.57668065163185067</c:v>
                </c:pt>
                <c:pt idx="38">
                  <c:v>0.13504186087017703</c:v>
                </c:pt>
                <c:pt idx="39">
                  <c:v>0.26271820049061689</c:v>
                </c:pt>
                <c:pt idx="40">
                  <c:v>0.39776006136079389</c:v>
                </c:pt>
                <c:pt idx="41">
                  <c:v>0.57668065163185067</c:v>
                </c:pt>
                <c:pt idx="42">
                  <c:v>0.28097015142574805</c:v>
                </c:pt>
                <c:pt idx="43">
                  <c:v>0.38177508410215444</c:v>
                </c:pt>
                <c:pt idx="44">
                  <c:v>0.22477612114059844</c:v>
                </c:pt>
                <c:pt idx="45">
                  <c:v>0.28097015142574805</c:v>
                </c:pt>
                <c:pt idx="46">
                  <c:v>0.38177508410215444</c:v>
                </c:pt>
                <c:pt idx="47">
                  <c:v>0.22477612114059844</c:v>
                </c:pt>
                <c:pt idx="48">
                  <c:v>0.28097015142574805</c:v>
                </c:pt>
                <c:pt idx="49">
                  <c:v>0.38177508410215444</c:v>
                </c:pt>
                <c:pt idx="50">
                  <c:v>0.18965673546789175</c:v>
                </c:pt>
                <c:pt idx="51">
                  <c:v>0.31802770082984461</c:v>
                </c:pt>
                <c:pt idx="52">
                  <c:v>0.44639866619179752</c:v>
                </c:pt>
                <c:pt idx="53">
                  <c:v>0.53552378622876884</c:v>
                </c:pt>
                <c:pt idx="54">
                  <c:v>0.18965673546789175</c:v>
                </c:pt>
                <c:pt idx="55">
                  <c:v>0.31802770082984461</c:v>
                </c:pt>
                <c:pt idx="56">
                  <c:v>0.44639866619179752</c:v>
                </c:pt>
                <c:pt idx="57">
                  <c:v>0.53552378622876884</c:v>
                </c:pt>
                <c:pt idx="58">
                  <c:v>7.2012387274581896E-2</c:v>
                </c:pt>
                <c:pt idx="59">
                  <c:v>0.12002064545763651</c:v>
                </c:pt>
                <c:pt idx="60">
                  <c:v>0.41855958413210198</c:v>
                </c:pt>
                <c:pt idx="61">
                  <c:v>7.2012387274581896E-2</c:v>
                </c:pt>
                <c:pt idx="62">
                  <c:v>0.12002064545763651</c:v>
                </c:pt>
                <c:pt idx="63">
                  <c:v>0.41855958413210198</c:v>
                </c:pt>
                <c:pt idx="64">
                  <c:v>7.2012387274581896E-2</c:v>
                </c:pt>
                <c:pt idx="65">
                  <c:v>0.12002064545763651</c:v>
                </c:pt>
                <c:pt idx="66">
                  <c:v>0.41855958413210198</c:v>
                </c:pt>
                <c:pt idx="67">
                  <c:v>0.12366214399887077</c:v>
                </c:pt>
                <c:pt idx="68">
                  <c:v>0.1537022961834705</c:v>
                </c:pt>
                <c:pt idx="69">
                  <c:v>0.12257101888901509</c:v>
                </c:pt>
                <c:pt idx="70">
                  <c:v>0.1465765794133671</c:v>
                </c:pt>
                <c:pt idx="71">
                  <c:v>0.18064898789954423</c:v>
                </c:pt>
                <c:pt idx="72">
                  <c:v>0.11125206827518069</c:v>
                </c:pt>
                <c:pt idx="73">
                  <c:v>0.1537594628733715</c:v>
                </c:pt>
                <c:pt idx="74">
                  <c:v>0.12206155113118464</c:v>
                </c:pt>
                <c:pt idx="75">
                  <c:v>0.13951599429000236</c:v>
                </c:pt>
                <c:pt idx="76">
                  <c:v>0.15697043744882017</c:v>
                </c:pt>
                <c:pt idx="77">
                  <c:v>0.17439499286250298</c:v>
                </c:pt>
                <c:pt idx="78">
                  <c:v>0.19711643896364461</c:v>
                </c:pt>
                <c:pt idx="79">
                  <c:v>0.24075254686068898</c:v>
                </c:pt>
                <c:pt idx="80">
                  <c:v>0.28438865475773345</c:v>
                </c:pt>
                <c:pt idx="81">
                  <c:v>0.32787532392910324</c:v>
                </c:pt>
                <c:pt idx="82">
                  <c:v>0.13951599429000236</c:v>
                </c:pt>
                <c:pt idx="83">
                  <c:v>0.15697043744882017</c:v>
                </c:pt>
                <c:pt idx="84">
                  <c:v>0.17439499286250298</c:v>
                </c:pt>
                <c:pt idx="85">
                  <c:v>0.19711643896364461</c:v>
                </c:pt>
                <c:pt idx="86">
                  <c:v>0.24075254686068898</c:v>
                </c:pt>
                <c:pt idx="87">
                  <c:v>0.28438865475773345</c:v>
                </c:pt>
                <c:pt idx="88">
                  <c:v>0.32787532392910324</c:v>
                </c:pt>
                <c:pt idx="89">
                  <c:v>9.9274752045339976E-2</c:v>
                </c:pt>
                <c:pt idx="90">
                  <c:v>0.11617858999591686</c:v>
                </c:pt>
                <c:pt idx="91">
                  <c:v>0.14717536615403232</c:v>
                </c:pt>
                <c:pt idx="92">
                  <c:v>0.17817214231214781</c:v>
                </c:pt>
                <c:pt idx="93">
                  <c:v>0.20922208618236979</c:v>
                </c:pt>
                <c:pt idx="94">
                  <c:v>0.24027203005259176</c:v>
                </c:pt>
                <c:pt idx="95">
                  <c:v>0.27121563849860081</c:v>
                </c:pt>
                <c:pt idx="96">
                  <c:v>8.685477449725118E-2</c:v>
                </c:pt>
                <c:pt idx="97">
                  <c:v>9.9274752045339976E-2</c:v>
                </c:pt>
                <c:pt idx="98">
                  <c:v>0.11617858999591686</c:v>
                </c:pt>
                <c:pt idx="99">
                  <c:v>0.14717536615403232</c:v>
                </c:pt>
                <c:pt idx="100">
                  <c:v>0.17817214231214781</c:v>
                </c:pt>
                <c:pt idx="101">
                  <c:v>0.20922208618236979</c:v>
                </c:pt>
                <c:pt idx="102">
                  <c:v>0.24027203005259176</c:v>
                </c:pt>
                <c:pt idx="103">
                  <c:v>0.27121563849860081</c:v>
                </c:pt>
                <c:pt idx="104">
                  <c:v>0.12226734357024087</c:v>
                </c:pt>
                <c:pt idx="105">
                  <c:v>0.13958286394040598</c:v>
                </c:pt>
                <c:pt idx="106">
                  <c:v>0.15695788781699774</c:v>
                </c:pt>
                <c:pt idx="107">
                  <c:v>0.1743329116935895</c:v>
                </c:pt>
                <c:pt idx="108">
                  <c:v>0.19170793557018131</c:v>
                </c:pt>
                <c:pt idx="109">
                  <c:v>0.13958286394040598</c:v>
                </c:pt>
                <c:pt idx="110">
                  <c:v>0.15695788781699774</c:v>
                </c:pt>
                <c:pt idx="111">
                  <c:v>0.1743329116935895</c:v>
                </c:pt>
                <c:pt idx="112">
                  <c:v>0.19170793557018131</c:v>
                </c:pt>
                <c:pt idx="113">
                  <c:v>7.2148609668635899E-2</c:v>
                </c:pt>
                <c:pt idx="114">
                  <c:v>9.9185026568017642E-2</c:v>
                </c:pt>
                <c:pt idx="115">
                  <c:v>0.12948602837323961</c:v>
                </c:pt>
                <c:pt idx="116">
                  <c:v>9.9185026568017642E-2</c:v>
                </c:pt>
                <c:pt idx="117">
                  <c:v>0.12948602837323961</c:v>
                </c:pt>
                <c:pt idx="118">
                  <c:v>8.6147565717616184E-2</c:v>
                </c:pt>
                <c:pt idx="119">
                  <c:v>0.10460022667304195</c:v>
                </c:pt>
                <c:pt idx="120">
                  <c:v>0.12305288762846765</c:v>
                </c:pt>
                <c:pt idx="121">
                  <c:v>8.6147565717616184E-2</c:v>
                </c:pt>
                <c:pt idx="122">
                  <c:v>0.10460022667304195</c:v>
                </c:pt>
                <c:pt idx="123">
                  <c:v>0.12305288762846765</c:v>
                </c:pt>
                <c:pt idx="124">
                  <c:v>9.2384993595776857E-2</c:v>
                </c:pt>
                <c:pt idx="125">
                  <c:v>0.10623878440919669</c:v>
                </c:pt>
                <c:pt idx="126">
                  <c:v>0.12009257522261656</c:v>
                </c:pt>
                <c:pt idx="127">
                  <c:v>9.2384993595776857E-2</c:v>
                </c:pt>
                <c:pt idx="128">
                  <c:v>0.10623878440919669</c:v>
                </c:pt>
                <c:pt idx="129">
                  <c:v>0.12009257522261656</c:v>
                </c:pt>
                <c:pt idx="130">
                  <c:v>0.16285127956433496</c:v>
                </c:pt>
                <c:pt idx="131">
                  <c:v>0.17476722684953019</c:v>
                </c:pt>
                <c:pt idx="132">
                  <c:v>0.18827196710608479</c:v>
                </c:pt>
                <c:pt idx="133">
                  <c:v>0.20018791439128003</c:v>
                </c:pt>
                <c:pt idx="134">
                  <c:v>0.21372760574098071</c:v>
                </c:pt>
                <c:pt idx="135">
                  <c:v>0.24351747395396883</c:v>
                </c:pt>
                <c:pt idx="136">
                  <c:v>0.2792653158095546</c:v>
                </c:pt>
                <c:pt idx="137">
                  <c:v>0.14934653930778033</c:v>
                </c:pt>
                <c:pt idx="138">
                  <c:v>0.16285127956433496</c:v>
                </c:pt>
                <c:pt idx="139">
                  <c:v>0.17556162333520986</c:v>
                </c:pt>
                <c:pt idx="140">
                  <c:v>0.18708037237756528</c:v>
                </c:pt>
                <c:pt idx="141">
                  <c:v>0.20018791439128003</c:v>
                </c:pt>
                <c:pt idx="142">
                  <c:v>0.21329545640499481</c:v>
                </c:pt>
                <c:pt idx="143">
                  <c:v>0.24053848713267006</c:v>
                </c:pt>
                <c:pt idx="144">
                  <c:v>0.26734936852435925</c:v>
                </c:pt>
                <c:pt idx="145">
                  <c:v>0.12448001593101213</c:v>
                </c:pt>
                <c:pt idx="146">
                  <c:v>0.16319147975293574</c:v>
                </c:pt>
                <c:pt idx="147">
                  <c:v>0.20066086452174944</c:v>
                </c:pt>
                <c:pt idx="148">
                  <c:v>0.23792323611504487</c:v>
                </c:pt>
                <c:pt idx="149">
                  <c:v>0.27477158135730378</c:v>
                </c:pt>
                <c:pt idx="150">
                  <c:v>0.312654992477154</c:v>
                </c:pt>
                <c:pt idx="151">
                  <c:v>8.84597233908265E-2</c:v>
                </c:pt>
                <c:pt idx="152">
                  <c:v>0.12510105545756706</c:v>
                </c:pt>
                <c:pt idx="153">
                  <c:v>0.16257044022638076</c:v>
                </c:pt>
                <c:pt idx="154">
                  <c:v>0.19962579864415791</c:v>
                </c:pt>
                <c:pt idx="155">
                  <c:v>0.23813024929056317</c:v>
                </c:pt>
                <c:pt idx="156">
                  <c:v>0.27477158135730378</c:v>
                </c:pt>
                <c:pt idx="157">
                  <c:v>0.29257471445187816</c:v>
                </c:pt>
                <c:pt idx="158">
                  <c:v>0.18861841261242762</c:v>
                </c:pt>
                <c:pt idx="159">
                  <c:v>0.20076122887503028</c:v>
                </c:pt>
                <c:pt idx="160">
                  <c:v>0.20318979212755081</c:v>
                </c:pt>
                <c:pt idx="161">
                  <c:v>0.21344372586041524</c:v>
                </c:pt>
                <c:pt idx="162">
                  <c:v>0.22319790578213533</c:v>
                </c:pt>
                <c:pt idx="163">
                  <c:v>0.24276133198299524</c:v>
                </c:pt>
                <c:pt idx="164">
                  <c:v>0.26030095547342114</c:v>
                </c:pt>
                <c:pt idx="165">
                  <c:v>0.28121358348123665</c:v>
                </c:pt>
                <c:pt idx="166">
                  <c:v>0.18780889152825411</c:v>
                </c:pt>
                <c:pt idx="167">
                  <c:v>0.19590410236998923</c:v>
                </c:pt>
                <c:pt idx="168">
                  <c:v>0.203459632488942</c:v>
                </c:pt>
                <c:pt idx="169">
                  <c:v>0.2112850029692859</c:v>
                </c:pt>
                <c:pt idx="170">
                  <c:v>0.22117410307170166</c:v>
                </c:pt>
                <c:pt idx="171">
                  <c:v>0.24276133198299524</c:v>
                </c:pt>
                <c:pt idx="172">
                  <c:v>0.26232475818385492</c:v>
                </c:pt>
                <c:pt idx="173">
                  <c:v>0.2798643816742809</c:v>
                </c:pt>
                <c:pt idx="174">
                  <c:v>0.19671362345416274</c:v>
                </c:pt>
                <c:pt idx="175">
                  <c:v>0.20453899393450664</c:v>
                </c:pt>
                <c:pt idx="176">
                  <c:v>0.21560244875154463</c:v>
                </c:pt>
                <c:pt idx="177">
                  <c:v>0.22724551120300288</c:v>
                </c:pt>
                <c:pt idx="178">
                  <c:v>0.24276133198299524</c:v>
                </c:pt>
                <c:pt idx="179">
                  <c:v>0.25962635456994337</c:v>
                </c:pt>
                <c:pt idx="180">
                  <c:v>0.28188818438471486</c:v>
                </c:pt>
                <c:pt idx="181">
                  <c:v>0.16250526374056309</c:v>
                </c:pt>
                <c:pt idx="182">
                  <c:v>0.20529664584009563</c:v>
                </c:pt>
                <c:pt idx="183">
                  <c:v>0.24794297240708743</c:v>
                </c:pt>
                <c:pt idx="184">
                  <c:v>0.16250526374056309</c:v>
                </c:pt>
                <c:pt idx="185">
                  <c:v>0.20471642370993251</c:v>
                </c:pt>
                <c:pt idx="186">
                  <c:v>0.2472176947443834</c:v>
                </c:pt>
                <c:pt idx="187">
                  <c:v>7.6052166346253336E-2</c:v>
                </c:pt>
                <c:pt idx="188">
                  <c:v>0.12014904823865298</c:v>
                </c:pt>
                <c:pt idx="189">
                  <c:v>0.16177998607785915</c:v>
                </c:pt>
                <c:pt idx="190">
                  <c:v>0.2035559794496061</c:v>
                </c:pt>
                <c:pt idx="191">
                  <c:v>0.26259358119370696</c:v>
                </c:pt>
                <c:pt idx="192">
                  <c:v>0.11112967472357412</c:v>
                </c:pt>
                <c:pt idx="193">
                  <c:v>0.15812571226520117</c:v>
                </c:pt>
                <c:pt idx="194">
                  <c:v>0.22825608951794205</c:v>
                </c:pt>
                <c:pt idx="195">
                  <c:v>0.11794821671353553</c:v>
                </c:pt>
                <c:pt idx="196">
                  <c:v>0.17512939694084201</c:v>
                </c:pt>
                <c:pt idx="197">
                  <c:v>0.23231057716814843</c:v>
                </c:pt>
                <c:pt idx="198">
                  <c:v>0.1175277819493063</c:v>
                </c:pt>
                <c:pt idx="199">
                  <c:v>0.18941639586178169</c:v>
                </c:pt>
                <c:pt idx="200">
                  <c:v>0.23254956420926687</c:v>
                </c:pt>
                <c:pt idx="201">
                  <c:v>0.26849387116550444</c:v>
                </c:pt>
                <c:pt idx="202">
                  <c:v>0.32600476229548475</c:v>
                </c:pt>
                <c:pt idx="203">
                  <c:v>0.37632679203421759</c:v>
                </c:pt>
                <c:pt idx="204">
                  <c:v>0.15128120300738629</c:v>
                </c:pt>
                <c:pt idx="205">
                  <c:v>0.17990644867800365</c:v>
                </c:pt>
                <c:pt idx="206">
                  <c:v>0.21671033596879763</c:v>
                </c:pt>
                <c:pt idx="207">
                  <c:v>0.2330676192091504</c:v>
                </c:pt>
                <c:pt idx="208">
                  <c:v>0.26987150649994435</c:v>
                </c:pt>
                <c:pt idx="209">
                  <c:v>0.34756860189162025</c:v>
                </c:pt>
                <c:pt idx="210">
                  <c:v>0.12703849644400417</c:v>
                </c:pt>
                <c:pt idx="211">
                  <c:v>0.15099627778839889</c:v>
                </c:pt>
                <c:pt idx="212">
                  <c:v>0.17255828099835413</c:v>
                </c:pt>
                <c:pt idx="213">
                  <c:v>0.19891184047718827</c:v>
                </c:pt>
                <c:pt idx="214">
                  <c:v>0.22526539995602249</c:v>
                </c:pt>
                <c:pt idx="215">
                  <c:v>0.24922318130041712</c:v>
                </c:pt>
                <c:pt idx="216">
                  <c:v>0.27318096264481179</c:v>
                </c:pt>
                <c:pt idx="217">
                  <c:v>0.294742965854767</c:v>
                </c:pt>
                <c:pt idx="218">
                  <c:v>0.2505652204437212</c:v>
                </c:pt>
                <c:pt idx="219">
                  <c:v>0.31490001064532835</c:v>
                </c:pt>
                <c:pt idx="220">
                  <c:v>0.38638311086933647</c:v>
                </c:pt>
                <c:pt idx="221">
                  <c:v>0.15414349743096403</c:v>
                </c:pt>
                <c:pt idx="222">
                  <c:v>0.18259499046456978</c:v>
                </c:pt>
                <c:pt idx="223">
                  <c:v>0.21917548150777719</c:v>
                </c:pt>
                <c:pt idx="224">
                  <c:v>0.23543347752698049</c:v>
                </c:pt>
                <c:pt idx="225">
                  <c:v>0.25982047155578547</c:v>
                </c:pt>
                <c:pt idx="226">
                  <c:v>0.27607846757498877</c:v>
                </c:pt>
                <c:pt idx="227">
                  <c:v>0.31591055782203681</c:v>
                </c:pt>
                <c:pt idx="228">
                  <c:v>0.3557426480690849</c:v>
                </c:pt>
                <c:pt idx="229">
                  <c:v>0.16920059472353005</c:v>
                </c:pt>
                <c:pt idx="230">
                  <c:v>0.17871200070263188</c:v>
                </c:pt>
                <c:pt idx="231">
                  <c:v>0.20249051565038667</c:v>
                </c:pt>
                <c:pt idx="232">
                  <c:v>0.22864688209291692</c:v>
                </c:pt>
                <c:pt idx="233">
                  <c:v>0.25242539704067157</c:v>
                </c:pt>
                <c:pt idx="234">
                  <c:v>0.27382606049365088</c:v>
                </c:pt>
                <c:pt idx="235">
                  <c:v>0.29998242693618105</c:v>
                </c:pt>
                <c:pt idx="236">
                  <c:v>3.8596968092179766E-2</c:v>
                </c:pt>
                <c:pt idx="237">
                  <c:v>6.7647653042968173E-2</c:v>
                </c:pt>
                <c:pt idx="238">
                  <c:v>0.10459254586081865</c:v>
                </c:pt>
                <c:pt idx="239">
                  <c:v>0.12574902294454501</c:v>
                </c:pt>
                <c:pt idx="240">
                  <c:v>0.15006318317509615</c:v>
                </c:pt>
                <c:pt idx="241">
                  <c:v>0.18795538093699407</c:v>
                </c:pt>
                <c:pt idx="242">
                  <c:v>0.20721724813262554</c:v>
                </c:pt>
                <c:pt idx="243">
                  <c:v>0.23532062813936647</c:v>
                </c:pt>
                <c:pt idx="244">
                  <c:v>0.26728929873091839</c:v>
                </c:pt>
                <c:pt idx="245">
                  <c:v>0.29702172941567545</c:v>
                </c:pt>
                <c:pt idx="246">
                  <c:v>0.26858474698417545</c:v>
                </c:pt>
                <c:pt idx="247">
                  <c:v>0.29702172941567545</c:v>
                </c:pt>
                <c:pt idx="248">
                  <c:v>0.26858474698417545</c:v>
                </c:pt>
                <c:pt idx="249">
                  <c:v>0.29702172941567545</c:v>
                </c:pt>
                <c:pt idx="250">
                  <c:v>0.26988019523743262</c:v>
                </c:pt>
                <c:pt idx="251">
                  <c:v>0.29702172941567545</c:v>
                </c:pt>
                <c:pt idx="252">
                  <c:v>0.21302068526037121</c:v>
                </c:pt>
                <c:pt idx="253">
                  <c:v>0.2922790774211681</c:v>
                </c:pt>
                <c:pt idx="254">
                  <c:v>0.21516317296122117</c:v>
                </c:pt>
                <c:pt idx="255">
                  <c:v>0.2922790774211681</c:v>
                </c:pt>
                <c:pt idx="256">
                  <c:v>0.16593842049260554</c:v>
                </c:pt>
                <c:pt idx="257">
                  <c:v>0.26816066312683373</c:v>
                </c:pt>
                <c:pt idx="258">
                  <c:v>0.2942883592014458</c:v>
                </c:pt>
                <c:pt idx="259">
                  <c:v>0.16723237293101356</c:v>
                </c:pt>
                <c:pt idx="260">
                  <c:v>0.26945461556524175</c:v>
                </c:pt>
                <c:pt idx="261">
                  <c:v>0.10247434514056784</c:v>
                </c:pt>
                <c:pt idx="262">
                  <c:v>0.16913510332806375</c:v>
                </c:pt>
                <c:pt idx="263">
                  <c:v>0.23665048662052759</c:v>
                </c:pt>
                <c:pt idx="264">
                  <c:v>0.28726286639158216</c:v>
                </c:pt>
                <c:pt idx="265">
                  <c:v>0.10161972003559995</c:v>
                </c:pt>
                <c:pt idx="266">
                  <c:v>0.16742585311812797</c:v>
                </c:pt>
                <c:pt idx="267">
                  <c:v>0.23408661130562394</c:v>
                </c:pt>
                <c:pt idx="268">
                  <c:v>0.2559318537568821</c:v>
                </c:pt>
                <c:pt idx="269">
                  <c:v>0.28192769917035537</c:v>
                </c:pt>
                <c:pt idx="270">
                  <c:v>0.2559318537568821</c:v>
                </c:pt>
                <c:pt idx="271">
                  <c:v>0.28192769917035537</c:v>
                </c:pt>
                <c:pt idx="272">
                  <c:v>0.12418568445184547</c:v>
                </c:pt>
                <c:pt idx="273">
                  <c:v>0.15819691921097215</c:v>
                </c:pt>
                <c:pt idx="274">
                  <c:v>0.19135787310112068</c:v>
                </c:pt>
                <c:pt idx="275">
                  <c:v>0.22536910786024728</c:v>
                </c:pt>
                <c:pt idx="276">
                  <c:v>0.25767978088141763</c:v>
                </c:pt>
                <c:pt idx="277">
                  <c:v>0.27791169117888265</c:v>
                </c:pt>
                <c:pt idx="278">
                  <c:v>0.19135787310112068</c:v>
                </c:pt>
                <c:pt idx="279">
                  <c:v>0.22366854612229098</c:v>
                </c:pt>
                <c:pt idx="280">
                  <c:v>0.25767978088141763</c:v>
                </c:pt>
                <c:pt idx="281">
                  <c:v>0.27791169117888265</c:v>
                </c:pt>
              </c:numCache>
            </c:numRef>
          </c:xVal>
          <c:yVal>
            <c:numRef>
              <c:f>'Dados gerais'!$AW$28:$AW$309</c:f>
              <c:numCache>
                <c:formatCode>0.00</c:formatCode>
                <c:ptCount val="282"/>
                <c:pt idx="0">
                  <c:v>0.16892962653245996</c:v>
                </c:pt>
                <c:pt idx="1">
                  <c:v>0.1926063773377969</c:v>
                </c:pt>
                <c:pt idx="2">
                  <c:v>0.21787931359068463</c:v>
                </c:pt>
                <c:pt idx="3">
                  <c:v>0.24341828075149743</c:v>
                </c:pt>
                <c:pt idx="4">
                  <c:v>0.25991219704285579</c:v>
                </c:pt>
                <c:pt idx="5">
                  <c:v>0.29529430779689847</c:v>
                </c:pt>
                <c:pt idx="6">
                  <c:v>0.29795461687614988</c:v>
                </c:pt>
                <c:pt idx="7">
                  <c:v>0.31923708951016055</c:v>
                </c:pt>
                <c:pt idx="8">
                  <c:v>0.37217518973657732</c:v>
                </c:pt>
                <c:pt idx="9">
                  <c:v>0.37217518973657732</c:v>
                </c:pt>
                <c:pt idx="10">
                  <c:v>0.19995733054196627</c:v>
                </c:pt>
                <c:pt idx="11">
                  <c:v>0.22217481171329587</c:v>
                </c:pt>
                <c:pt idx="12">
                  <c:v>0.23050636715254444</c:v>
                </c:pt>
                <c:pt idx="13">
                  <c:v>0.24439229288462541</c:v>
                </c:pt>
                <c:pt idx="14">
                  <c:v>0.26383258890953881</c:v>
                </c:pt>
                <c:pt idx="15">
                  <c:v>0.30549036610578179</c:v>
                </c:pt>
                <c:pt idx="16">
                  <c:v>0.11739335717932614</c:v>
                </c:pt>
                <c:pt idx="17">
                  <c:v>0.16899483286254643</c:v>
                </c:pt>
                <c:pt idx="18">
                  <c:v>0.20447084739476043</c:v>
                </c:pt>
                <c:pt idx="19">
                  <c:v>0.26316752598442344</c:v>
                </c:pt>
                <c:pt idx="20">
                  <c:v>0.34895497930777719</c:v>
                </c:pt>
                <c:pt idx="21">
                  <c:v>0.24008937879822945</c:v>
                </c:pt>
                <c:pt idx="22">
                  <c:v>0.30868634416915214</c:v>
                </c:pt>
                <c:pt idx="23">
                  <c:v>0.39957230690605344</c:v>
                </c:pt>
                <c:pt idx="24">
                  <c:v>0.39957230690605344</c:v>
                </c:pt>
                <c:pt idx="25">
                  <c:v>0.39957230690605344</c:v>
                </c:pt>
                <c:pt idx="26">
                  <c:v>6.3652881508084999E-2</c:v>
                </c:pt>
                <c:pt idx="27">
                  <c:v>7.9566101885106238E-2</c:v>
                </c:pt>
                <c:pt idx="28">
                  <c:v>0.14321898339319122</c:v>
                </c:pt>
                <c:pt idx="29">
                  <c:v>0.20687186490127621</c:v>
                </c:pt>
                <c:pt idx="30">
                  <c:v>0.27052474640936119</c:v>
                </c:pt>
                <c:pt idx="31">
                  <c:v>0.31826440754042495</c:v>
                </c:pt>
                <c:pt idx="32">
                  <c:v>0.37350539105557851</c:v>
                </c:pt>
                <c:pt idx="33">
                  <c:v>0.17149241342730673</c:v>
                </c:pt>
                <c:pt idx="34">
                  <c:v>0.20579089611276813</c:v>
                </c:pt>
                <c:pt idx="35">
                  <c:v>0.24008937879822945</c:v>
                </c:pt>
                <c:pt idx="36">
                  <c:v>0.30868634416915214</c:v>
                </c:pt>
                <c:pt idx="37">
                  <c:v>0.39957230690605344</c:v>
                </c:pt>
                <c:pt idx="38">
                  <c:v>0.17149241342730673</c:v>
                </c:pt>
                <c:pt idx="39">
                  <c:v>0.24008937879822945</c:v>
                </c:pt>
                <c:pt idx="40">
                  <c:v>0.30868634416915214</c:v>
                </c:pt>
                <c:pt idx="41">
                  <c:v>0.39957230690605344</c:v>
                </c:pt>
                <c:pt idx="42">
                  <c:v>0.43368023499729708</c:v>
                </c:pt>
                <c:pt idx="43">
                  <c:v>0.52041628199675649</c:v>
                </c:pt>
                <c:pt idx="44">
                  <c:v>0.34694418799783772</c:v>
                </c:pt>
                <c:pt idx="45">
                  <c:v>0.43368023499729708</c:v>
                </c:pt>
                <c:pt idx="46">
                  <c:v>0.52041628199675649</c:v>
                </c:pt>
                <c:pt idx="47">
                  <c:v>0.34694418799783772</c:v>
                </c:pt>
                <c:pt idx="48">
                  <c:v>0.43368023499729708</c:v>
                </c:pt>
                <c:pt idx="49">
                  <c:v>0.52041628199675649</c:v>
                </c:pt>
                <c:pt idx="50">
                  <c:v>0.15913220377021248</c:v>
                </c:pt>
                <c:pt idx="51">
                  <c:v>0.23869830565531872</c:v>
                </c:pt>
                <c:pt idx="52">
                  <c:v>0.31826440754042495</c:v>
                </c:pt>
                <c:pt idx="53">
                  <c:v>0.37350539105557851</c:v>
                </c:pt>
                <c:pt idx="54">
                  <c:v>0.15913220377021248</c:v>
                </c:pt>
                <c:pt idx="55">
                  <c:v>0.23869830565531872</c:v>
                </c:pt>
                <c:pt idx="56">
                  <c:v>0.31826440754042495</c:v>
                </c:pt>
                <c:pt idx="57">
                  <c:v>0.37350539105557851</c:v>
                </c:pt>
                <c:pt idx="58">
                  <c:v>0.11120342777150033</c:v>
                </c:pt>
                <c:pt idx="59">
                  <c:v>0.18533904628583389</c:v>
                </c:pt>
                <c:pt idx="60">
                  <c:v>0.37067809257166778</c:v>
                </c:pt>
                <c:pt idx="61">
                  <c:v>0.11120342777150033</c:v>
                </c:pt>
                <c:pt idx="62">
                  <c:v>0.18533904628583389</c:v>
                </c:pt>
                <c:pt idx="63">
                  <c:v>0.37067809257166778</c:v>
                </c:pt>
                <c:pt idx="64">
                  <c:v>0.11120342777150033</c:v>
                </c:pt>
                <c:pt idx="65">
                  <c:v>0.18533904628583389</c:v>
                </c:pt>
                <c:pt idx="66">
                  <c:v>0.37067809257166778</c:v>
                </c:pt>
                <c:pt idx="67">
                  <c:v>0.141040005310795</c:v>
                </c:pt>
                <c:pt idx="68">
                  <c:v>0.16414138549101145</c:v>
                </c:pt>
                <c:pt idx="69">
                  <c:v>0.14363438998836361</c:v>
                </c:pt>
                <c:pt idx="70">
                  <c:v>0.16473707287764924</c:v>
                </c:pt>
                <c:pt idx="71">
                  <c:v>0.19468926794631275</c:v>
                </c:pt>
                <c:pt idx="72">
                  <c:v>0.13793919159603718</c:v>
                </c:pt>
                <c:pt idx="73">
                  <c:v>0.18090385783086843</c:v>
                </c:pt>
                <c:pt idx="74">
                  <c:v>0.26244074176287685</c:v>
                </c:pt>
                <c:pt idx="75">
                  <c:v>0.29996899670644184</c:v>
                </c:pt>
                <c:pt idx="76">
                  <c:v>0.33749725165000705</c:v>
                </c:pt>
                <c:pt idx="77">
                  <c:v>0.37496124588305235</c:v>
                </c:pt>
                <c:pt idx="78">
                  <c:v>0.41242524011609777</c:v>
                </c:pt>
                <c:pt idx="79">
                  <c:v>0.44995349505966281</c:v>
                </c:pt>
                <c:pt idx="80">
                  <c:v>0.48748175000322802</c:v>
                </c:pt>
                <c:pt idx="81">
                  <c:v>0.5248814835257537</c:v>
                </c:pt>
                <c:pt idx="82">
                  <c:v>0.29996899670644184</c:v>
                </c:pt>
                <c:pt idx="83">
                  <c:v>0.33749725165000705</c:v>
                </c:pt>
                <c:pt idx="84">
                  <c:v>0.37496124588305235</c:v>
                </c:pt>
                <c:pt idx="85">
                  <c:v>0.41242524011609777</c:v>
                </c:pt>
                <c:pt idx="86">
                  <c:v>0.44995349505966281</c:v>
                </c:pt>
                <c:pt idx="87">
                  <c:v>0.48748175000322802</c:v>
                </c:pt>
                <c:pt idx="88">
                  <c:v>0.5248814835257537</c:v>
                </c:pt>
                <c:pt idx="89">
                  <c:v>0.21268829038166062</c:v>
                </c:pt>
                <c:pt idx="90">
                  <c:v>0.23929710820147421</c:v>
                </c:pt>
                <c:pt idx="91">
                  <c:v>0.26586036297707577</c:v>
                </c:pt>
                <c:pt idx="92">
                  <c:v>0.29242361775267733</c:v>
                </c:pt>
                <c:pt idx="93">
                  <c:v>0.31903243557249095</c:v>
                </c:pt>
                <c:pt idx="94">
                  <c:v>0.34564125339230445</c:v>
                </c:pt>
                <c:pt idx="95">
                  <c:v>0.37215894512369413</c:v>
                </c:pt>
                <c:pt idx="96">
                  <c:v>0.18607947256184706</c:v>
                </c:pt>
                <c:pt idx="97">
                  <c:v>0.21268829038166062</c:v>
                </c:pt>
                <c:pt idx="98">
                  <c:v>0.23929710820147421</c:v>
                </c:pt>
                <c:pt idx="99">
                  <c:v>0.26586036297707577</c:v>
                </c:pt>
                <c:pt idx="100">
                  <c:v>0.29242361775267733</c:v>
                </c:pt>
                <c:pt idx="101">
                  <c:v>0.31903243557249095</c:v>
                </c:pt>
                <c:pt idx="102">
                  <c:v>0.34564125339230445</c:v>
                </c:pt>
                <c:pt idx="103">
                  <c:v>0.37215894512369413</c:v>
                </c:pt>
                <c:pt idx="104">
                  <c:v>0.18003138663794294</c:v>
                </c:pt>
                <c:pt idx="105">
                  <c:v>0.19384344398348513</c:v>
                </c:pt>
                <c:pt idx="106">
                  <c:v>0.20770296544361677</c:v>
                </c:pt>
                <c:pt idx="107">
                  <c:v>0.22156248690374838</c:v>
                </c:pt>
                <c:pt idx="108">
                  <c:v>0.23542200836388011</c:v>
                </c:pt>
                <c:pt idx="109">
                  <c:v>0.19384344398348513</c:v>
                </c:pt>
                <c:pt idx="110">
                  <c:v>0.20770296544361677</c:v>
                </c:pt>
                <c:pt idx="111">
                  <c:v>0.22156248690374838</c:v>
                </c:pt>
                <c:pt idx="112">
                  <c:v>0.23542200836388011</c:v>
                </c:pt>
                <c:pt idx="113">
                  <c:v>0.3030500275579413</c:v>
                </c:pt>
                <c:pt idx="114">
                  <c:v>0.41661267171776939</c:v>
                </c:pt>
                <c:pt idx="115">
                  <c:v>0.53017531587759759</c:v>
                </c:pt>
                <c:pt idx="116">
                  <c:v>0.41661267171776939</c:v>
                </c:pt>
                <c:pt idx="117">
                  <c:v>0.53017531587759759</c:v>
                </c:pt>
                <c:pt idx="118">
                  <c:v>0.27575608799549106</c:v>
                </c:pt>
                <c:pt idx="119">
                  <c:v>0.33482256951227324</c:v>
                </c:pt>
                <c:pt idx="120">
                  <c:v>0.39388905102905519</c:v>
                </c:pt>
                <c:pt idx="121">
                  <c:v>0.27575608799549106</c:v>
                </c:pt>
                <c:pt idx="122">
                  <c:v>0.33482256951227324</c:v>
                </c:pt>
                <c:pt idx="123">
                  <c:v>0.39388905102905519</c:v>
                </c:pt>
                <c:pt idx="124">
                  <c:v>0.24808989435623718</c:v>
                </c:pt>
                <c:pt idx="125">
                  <c:v>0.28529274912259667</c:v>
                </c:pt>
                <c:pt idx="126">
                  <c:v>0.32249560388895626</c:v>
                </c:pt>
                <c:pt idx="127">
                  <c:v>0.24808989435623718</c:v>
                </c:pt>
                <c:pt idx="128">
                  <c:v>0.28529274912259667</c:v>
                </c:pt>
                <c:pt idx="129">
                  <c:v>0.32249560388895626</c:v>
                </c:pt>
                <c:pt idx="130">
                  <c:v>0.32972729832920816</c:v>
                </c:pt>
                <c:pt idx="131">
                  <c:v>0.3538536860118332</c:v>
                </c:pt>
                <c:pt idx="132">
                  <c:v>0.38119692538547489</c:v>
                </c:pt>
                <c:pt idx="133">
                  <c:v>0.40532331306809988</c:v>
                </c:pt>
                <c:pt idx="134">
                  <c:v>0.4326665524417414</c:v>
                </c:pt>
                <c:pt idx="135">
                  <c:v>0.45679294012436644</c:v>
                </c:pt>
                <c:pt idx="136">
                  <c:v>0.48574460534351649</c:v>
                </c:pt>
                <c:pt idx="137">
                  <c:v>0.30238405895556658</c:v>
                </c:pt>
                <c:pt idx="138">
                  <c:v>0.32972729832920816</c:v>
                </c:pt>
                <c:pt idx="139">
                  <c:v>0.3554621118573415</c:v>
                </c:pt>
                <c:pt idx="140">
                  <c:v>0.37878428661721242</c:v>
                </c:pt>
                <c:pt idx="141">
                  <c:v>0.40532331306809988</c:v>
                </c:pt>
                <c:pt idx="142">
                  <c:v>0.43186233951898739</c:v>
                </c:pt>
                <c:pt idx="143">
                  <c:v>0.45438030135610397</c:v>
                </c:pt>
                <c:pt idx="144">
                  <c:v>0.47609405027046647</c:v>
                </c:pt>
                <c:pt idx="145">
                  <c:v>0.2328008437471874</c:v>
                </c:pt>
                <c:pt idx="146">
                  <c:v>0.27205581018607294</c:v>
                </c:pt>
                <c:pt idx="147">
                  <c:v>0.31005125898520808</c:v>
                </c:pt>
                <c:pt idx="148">
                  <c:v>0.34783678817771818</c:v>
                </c:pt>
                <c:pt idx="149">
                  <c:v>0.38520247815697833</c:v>
                </c:pt>
                <c:pt idx="150">
                  <c:v>0.42361776616936347</c:v>
                </c:pt>
                <c:pt idx="151">
                  <c:v>0.19627483219442757</c:v>
                </c:pt>
                <c:pt idx="152">
                  <c:v>0.23343060256706255</c:v>
                </c:pt>
                <c:pt idx="153">
                  <c:v>0.27142605136619774</c:v>
                </c:pt>
                <c:pt idx="154">
                  <c:v>0.30900166095208281</c:v>
                </c:pt>
                <c:pt idx="155">
                  <c:v>0.34804670778434327</c:v>
                </c:pt>
                <c:pt idx="156">
                  <c:v>0.38520247815697833</c:v>
                </c:pt>
                <c:pt idx="157">
                  <c:v>0.40325556432673298</c:v>
                </c:pt>
                <c:pt idx="158">
                  <c:v>0.33890172186871836</c:v>
                </c:pt>
                <c:pt idx="159">
                  <c:v>0.36071942928515954</c:v>
                </c:pt>
                <c:pt idx="160">
                  <c:v>0.36508297076844781</c:v>
                </c:pt>
                <c:pt idx="161">
                  <c:v>0.38350681258677577</c:v>
                </c:pt>
                <c:pt idx="162">
                  <c:v>0.39611259909405283</c:v>
                </c:pt>
                <c:pt idx="163">
                  <c:v>0.41017289942909274</c:v>
                </c:pt>
                <c:pt idx="164">
                  <c:v>0.4227786859363698</c:v>
                </c:pt>
                <c:pt idx="165">
                  <c:v>0.43780866215658465</c:v>
                </c:pt>
                <c:pt idx="166">
                  <c:v>0.33744720804095568</c:v>
                </c:pt>
                <c:pt idx="167">
                  <c:v>0.35199234631858312</c:v>
                </c:pt>
                <c:pt idx="168">
                  <c:v>0.36556780871103534</c:v>
                </c:pt>
                <c:pt idx="169">
                  <c:v>0.37962810904607519</c:v>
                </c:pt>
                <c:pt idx="170">
                  <c:v>0.3946580852662902</c:v>
                </c:pt>
                <c:pt idx="171">
                  <c:v>0.41017289942909274</c:v>
                </c:pt>
                <c:pt idx="172">
                  <c:v>0.42423319976413248</c:v>
                </c:pt>
                <c:pt idx="173">
                  <c:v>0.43683898627140955</c:v>
                </c:pt>
                <c:pt idx="174">
                  <c:v>0.35344686014634585</c:v>
                </c:pt>
                <c:pt idx="175">
                  <c:v>0.36750716048138565</c:v>
                </c:pt>
                <c:pt idx="176">
                  <c:v>0.38738551612747646</c:v>
                </c:pt>
                <c:pt idx="177">
                  <c:v>0.39902162674957831</c:v>
                </c:pt>
                <c:pt idx="178">
                  <c:v>0.41017289942909274</c:v>
                </c:pt>
                <c:pt idx="179">
                  <c:v>0.42229384799378228</c:v>
                </c:pt>
                <c:pt idx="180">
                  <c:v>0.43829350009917234</c:v>
                </c:pt>
                <c:pt idx="181">
                  <c:v>0.23684951094129722</c:v>
                </c:pt>
                <c:pt idx="182">
                  <c:v>0.2736622642224788</c:v>
                </c:pt>
                <c:pt idx="183">
                  <c:v>0.31035022850948701</c:v>
                </c:pt>
                <c:pt idx="184">
                  <c:v>0.23684951094129722</c:v>
                </c:pt>
                <c:pt idx="185">
                  <c:v>0.27316310824578488</c:v>
                </c:pt>
                <c:pt idx="186">
                  <c:v>0.30972628353861942</c:v>
                </c:pt>
                <c:pt idx="187">
                  <c:v>0.16247527041389301</c:v>
                </c:pt>
                <c:pt idx="188">
                  <c:v>0.20041112464263613</c:v>
                </c:pt>
                <c:pt idx="189">
                  <c:v>0.23622556597042974</c:v>
                </c:pt>
                <c:pt idx="190">
                  <c:v>0.27216479629239682</c:v>
                </c:pt>
                <c:pt idx="191">
                  <c:v>0.32295391692101011</c:v>
                </c:pt>
                <c:pt idx="192">
                  <c:v>0.24579967428747088</c:v>
                </c:pt>
                <c:pt idx="193">
                  <c:v>0.30784619401052171</c:v>
                </c:pt>
                <c:pt idx="194">
                  <c:v>0.36989271373357252</c:v>
                </c:pt>
                <c:pt idx="195">
                  <c:v>0.18565179539027393</c:v>
                </c:pt>
                <c:pt idx="196">
                  <c:v>0.23175324793685206</c:v>
                </c:pt>
                <c:pt idx="197">
                  <c:v>0.27785470048343014</c:v>
                </c:pt>
                <c:pt idx="198">
                  <c:v>0.20888642052178411</c:v>
                </c:pt>
                <c:pt idx="199">
                  <c:v>0.28091622070170974</c:v>
                </c:pt>
                <c:pt idx="200">
                  <c:v>0.32413410080966504</c:v>
                </c:pt>
                <c:pt idx="201">
                  <c:v>0.36014900089962781</c:v>
                </c:pt>
                <c:pt idx="202">
                  <c:v>0.41777284104356821</c:v>
                </c:pt>
                <c:pt idx="203">
                  <c:v>0.46819370116951625</c:v>
                </c:pt>
                <c:pt idx="204">
                  <c:v>0.22543099969497715</c:v>
                </c:pt>
                <c:pt idx="205">
                  <c:v>0.25637250945703272</c:v>
                </c:pt>
                <c:pt idx="206">
                  <c:v>0.29615445057967582</c:v>
                </c:pt>
                <c:pt idx="207">
                  <c:v>0.31383531330085046</c:v>
                </c:pt>
                <c:pt idx="208">
                  <c:v>0.35361725442349351</c:v>
                </c:pt>
                <c:pt idx="209">
                  <c:v>0.43760135234907321</c:v>
                </c:pt>
                <c:pt idx="210">
                  <c:v>0.15788934749629366</c:v>
                </c:pt>
                <c:pt idx="211">
                  <c:v>0.18110836918692513</c:v>
                </c:pt>
                <c:pt idx="212">
                  <c:v>0.20200548870849344</c:v>
                </c:pt>
                <c:pt idx="213">
                  <c:v>0.22754641256818794</c:v>
                </c:pt>
                <c:pt idx="214">
                  <c:v>0.25308733642788256</c:v>
                </c:pt>
                <c:pt idx="215">
                  <c:v>0.27630635811851401</c:v>
                </c:pt>
                <c:pt idx="216">
                  <c:v>0.29952537980914534</c:v>
                </c:pt>
                <c:pt idx="217">
                  <c:v>0.32042249933071365</c:v>
                </c:pt>
                <c:pt idx="218">
                  <c:v>0.30168752538416338</c:v>
                </c:pt>
                <c:pt idx="219">
                  <c:v>0.36071334556802137</c:v>
                </c:pt>
                <c:pt idx="220">
                  <c:v>0.42629759021675262</c:v>
                </c:pt>
                <c:pt idx="221">
                  <c:v>0.20111319768091604</c:v>
                </c:pt>
                <c:pt idx="222">
                  <c:v>0.22926904535624426</c:v>
                </c:pt>
                <c:pt idx="223">
                  <c:v>0.2654694209388091</c:v>
                </c:pt>
                <c:pt idx="224">
                  <c:v>0.28155847675328238</c:v>
                </c:pt>
                <c:pt idx="225">
                  <c:v>0.30569206047499231</c:v>
                </c:pt>
                <c:pt idx="226">
                  <c:v>0.32178111628946565</c:v>
                </c:pt>
                <c:pt idx="227">
                  <c:v>0.36119930303492503</c:v>
                </c:pt>
                <c:pt idx="228">
                  <c:v>0.40061748978038464</c:v>
                </c:pt>
                <c:pt idx="229">
                  <c:v>0.1773928260722093</c:v>
                </c:pt>
                <c:pt idx="230">
                  <c:v>0.1858401035042192</c:v>
                </c:pt>
                <c:pt idx="231">
                  <c:v>0.20695829708424418</c:v>
                </c:pt>
                <c:pt idx="232">
                  <c:v>0.23018831002227164</c:v>
                </c:pt>
                <c:pt idx="233">
                  <c:v>0.2513065036022965</c:v>
                </c:pt>
                <c:pt idx="234">
                  <c:v>0.2703128778243189</c:v>
                </c:pt>
                <c:pt idx="235">
                  <c:v>0.2935428907623463</c:v>
                </c:pt>
                <c:pt idx="236">
                  <c:v>8.9874707166590059E-2</c:v>
                </c:pt>
                <c:pt idx="237">
                  <c:v>0.12192305235777719</c:v>
                </c:pt>
                <c:pt idx="238">
                  <c:v>0.16268018700309125</c:v>
                </c:pt>
                <c:pt idx="239">
                  <c:v>0.18601974274015148</c:v>
                </c:pt>
                <c:pt idx="240">
                  <c:v>0.21284281425886242</c:v>
                </c:pt>
                <c:pt idx="241">
                  <c:v>0.25464500363867176</c:v>
                </c:pt>
                <c:pt idx="242">
                  <c:v>0.27589444990674156</c:v>
                </c:pt>
                <c:pt idx="243">
                  <c:v>0.30689774036343337</c:v>
                </c:pt>
                <c:pt idx="244">
                  <c:v>0.27246081076315715</c:v>
                </c:pt>
                <c:pt idx="245">
                  <c:v>0.29553599084879173</c:v>
                </c:pt>
                <c:pt idx="246">
                  <c:v>0.27346620120877757</c:v>
                </c:pt>
                <c:pt idx="247">
                  <c:v>0.29553599084879173</c:v>
                </c:pt>
                <c:pt idx="248">
                  <c:v>0.27346620120877757</c:v>
                </c:pt>
                <c:pt idx="249">
                  <c:v>0.29553599084879173</c:v>
                </c:pt>
                <c:pt idx="250">
                  <c:v>0.27447159165439811</c:v>
                </c:pt>
                <c:pt idx="251">
                  <c:v>0.29553599084879173</c:v>
                </c:pt>
                <c:pt idx="252">
                  <c:v>0.25140813378365084</c:v>
                </c:pt>
                <c:pt idx="253">
                  <c:v>0.31102671634078205</c:v>
                </c:pt>
                <c:pt idx="254">
                  <c:v>0.25301972438482806</c:v>
                </c:pt>
                <c:pt idx="255">
                  <c:v>0.31102671634078205</c:v>
                </c:pt>
                <c:pt idx="256">
                  <c:v>0.20014638609567872</c:v>
                </c:pt>
                <c:pt idx="257">
                  <c:v>0.28123133225751779</c:v>
                </c:pt>
                <c:pt idx="258">
                  <c:v>0.30195639927765211</c:v>
                </c:pt>
                <c:pt idx="259">
                  <c:v>0.20117277781924639</c:v>
                </c:pt>
                <c:pt idx="260">
                  <c:v>0.28225772398108545</c:v>
                </c:pt>
                <c:pt idx="261">
                  <c:v>0.14126225441748413</c:v>
                </c:pt>
                <c:pt idx="262">
                  <c:v>0.19719350235943212</c:v>
                </c:pt>
                <c:pt idx="263">
                  <c:v>0.2538418175826872</c:v>
                </c:pt>
                <c:pt idx="264">
                  <c:v>0.29630778465051877</c:v>
                </c:pt>
                <c:pt idx="265">
                  <c:v>0.14054518713617711</c:v>
                </c:pt>
                <c:pt idx="266">
                  <c:v>0.19575936779681807</c:v>
                </c:pt>
                <c:pt idx="267">
                  <c:v>0.25169061573876617</c:v>
                </c:pt>
                <c:pt idx="268">
                  <c:v>0.30775363409033601</c:v>
                </c:pt>
                <c:pt idx="269">
                  <c:v>0.33034410902974537</c:v>
                </c:pt>
                <c:pt idx="270">
                  <c:v>0.30775363409033601</c:v>
                </c:pt>
                <c:pt idx="271">
                  <c:v>0.33034410902974537</c:v>
                </c:pt>
                <c:pt idx="272">
                  <c:v>0.18287249019815305</c:v>
                </c:pt>
                <c:pt idx="273">
                  <c:v>0.21413274493288006</c:v>
                </c:pt>
                <c:pt idx="274">
                  <c:v>0.24461149329923895</c:v>
                </c:pt>
                <c:pt idx="275">
                  <c:v>0.27587174803396586</c:v>
                </c:pt>
                <c:pt idx="276">
                  <c:v>0.30556899003195659</c:v>
                </c:pt>
                <c:pt idx="277">
                  <c:v>0.32416445338834615</c:v>
                </c:pt>
                <c:pt idx="278">
                  <c:v>0.24461149329923895</c:v>
                </c:pt>
                <c:pt idx="279">
                  <c:v>0.27430873529722954</c:v>
                </c:pt>
                <c:pt idx="280">
                  <c:v>0.30556899003195659</c:v>
                </c:pt>
                <c:pt idx="281">
                  <c:v>0.32416445338834615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6-48CD-89CA-D35186E1C3C2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D6-48CD-89CA-D35186E1C3C2}"/>
            </c:ext>
          </c:extLst>
        </c:ser>
        <c:ser>
          <c:idx val="2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D6-48CD-89CA-D35186E1C3C2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D6-48CD-89CA-D35186E1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660118360058458"/>
          <c:y val="5.9882129284184002E-2"/>
          <c:w val="0.27478893084089034"/>
          <c:h val="0.1190860526171520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4"/>
          <c:order val="0"/>
          <c:tx>
            <c:strRef>
              <c:f>'Dados gerais'!$BC$2</c:f>
              <c:strCache>
                <c:ptCount val="1"/>
                <c:pt idx="0">
                  <c:v>Caldas (1997)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ln>
                <a:solidFill>
                  <a:schemeClr val="accent4"/>
                </a:solidFill>
              </a:ln>
            </c:spPr>
          </c:marke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gerais'!$BC$28:$BC$309</c:f>
              <c:numCache>
                <c:formatCode>0.00</c:formatCode>
                <c:ptCount val="282"/>
                <c:pt idx="0">
                  <c:v>0.21176098535955973</c:v>
                </c:pt>
                <c:pt idx="1">
                  <c:v>0.2466862096623729</c:v>
                </c:pt>
                <c:pt idx="2">
                  <c:v>0.28396594346874648</c:v>
                </c:pt>
                <c:pt idx="3">
                  <c:v>0.32163809552571332</c:v>
                </c:pt>
                <c:pt idx="4">
                  <c:v>0.34596802706250462</c:v>
                </c:pt>
                <c:pt idx="5">
                  <c:v>0.39815965439142748</c:v>
                </c:pt>
                <c:pt idx="6">
                  <c:v>0.40208383689736166</c:v>
                </c:pt>
                <c:pt idx="7">
                  <c:v>0.43347729694483406</c:v>
                </c:pt>
                <c:pt idx="8">
                  <c:v>0.51156550422349734</c:v>
                </c:pt>
                <c:pt idx="9">
                  <c:v>0.51156550422349734</c:v>
                </c:pt>
                <c:pt idx="10">
                  <c:v>0.24360227547511745</c:v>
                </c:pt>
                <c:pt idx="11">
                  <c:v>0.27482748427982534</c:v>
                </c:pt>
                <c:pt idx="12">
                  <c:v>0.28653693758159071</c:v>
                </c:pt>
                <c:pt idx="13">
                  <c:v>0.30605269308453309</c:v>
                </c:pt>
                <c:pt idx="14">
                  <c:v>0.33337475078865242</c:v>
                </c:pt>
                <c:pt idx="15">
                  <c:v>0.39192201729747961</c:v>
                </c:pt>
                <c:pt idx="16">
                  <c:v>5.8045479214654826E-2</c:v>
                </c:pt>
                <c:pt idx="17">
                  <c:v>8.825052032231516E-2</c:v>
                </c:pt>
                <c:pt idx="18">
                  <c:v>0.10901648608383162</c:v>
                </c:pt>
                <c:pt idx="19">
                  <c:v>0.14337472034379523</c:v>
                </c:pt>
                <c:pt idx="20">
                  <c:v>0.19359060118528054</c:v>
                </c:pt>
                <c:pt idx="21">
                  <c:v>0.25002482779531143</c:v>
                </c:pt>
                <c:pt idx="22">
                  <c:v>0.33594505364732091</c:v>
                </c:pt>
                <c:pt idx="23">
                  <c:v>0.44978306970104531</c:v>
                </c:pt>
                <c:pt idx="24">
                  <c:v>0.44978306970104531</c:v>
                </c:pt>
                <c:pt idx="25">
                  <c:v>0.44978306970104531</c:v>
                </c:pt>
                <c:pt idx="26">
                  <c:v>6.7581379984200246E-2</c:v>
                </c:pt>
                <c:pt idx="27">
                  <c:v>9.0550252029073575E-2</c:v>
                </c:pt>
                <c:pt idx="28">
                  <c:v>0.18242574020856681</c:v>
                </c:pt>
                <c:pt idx="29">
                  <c:v>0.27430122838806004</c:v>
                </c:pt>
                <c:pt idx="30">
                  <c:v>0.36617671656755335</c:v>
                </c:pt>
                <c:pt idx="31">
                  <c:v>0.43508333270217331</c:v>
                </c:pt>
                <c:pt idx="32">
                  <c:v>0.51481723017428416</c:v>
                </c:pt>
                <c:pt idx="33">
                  <c:v>0.16410460194330204</c:v>
                </c:pt>
                <c:pt idx="34">
                  <c:v>0.20706471486930678</c:v>
                </c:pt>
                <c:pt idx="35">
                  <c:v>0.25002482779531143</c:v>
                </c:pt>
                <c:pt idx="36">
                  <c:v>0.33594505364732091</c:v>
                </c:pt>
                <c:pt idx="37">
                  <c:v>0.44978306970104531</c:v>
                </c:pt>
                <c:pt idx="38">
                  <c:v>0.16410460194330204</c:v>
                </c:pt>
                <c:pt idx="39">
                  <c:v>0.25002482779531143</c:v>
                </c:pt>
                <c:pt idx="40">
                  <c:v>0.33594505364732091</c:v>
                </c:pt>
                <c:pt idx="41">
                  <c:v>0.44978306970104531</c:v>
                </c:pt>
                <c:pt idx="42">
                  <c:v>0.27873857274862496</c:v>
                </c:pt>
                <c:pt idx="43">
                  <c:v>0.34899935700575707</c:v>
                </c:pt>
                <c:pt idx="44">
                  <c:v>0.20847778849149301</c:v>
                </c:pt>
                <c:pt idx="45">
                  <c:v>0.27873857274862496</c:v>
                </c:pt>
                <c:pt idx="46">
                  <c:v>0.34899935700575707</c:v>
                </c:pt>
                <c:pt idx="47">
                  <c:v>0.20847778849149301</c:v>
                </c:pt>
                <c:pt idx="48">
                  <c:v>0.27873857274862496</c:v>
                </c:pt>
                <c:pt idx="49">
                  <c:v>0.34899935700575707</c:v>
                </c:pt>
                <c:pt idx="50">
                  <c:v>0.20539461225344013</c:v>
                </c:pt>
                <c:pt idx="51">
                  <c:v>0.32023897247780675</c:v>
                </c:pt>
                <c:pt idx="52">
                  <c:v>0.43508333270217331</c:v>
                </c:pt>
                <c:pt idx="53">
                  <c:v>0.51481723017428416</c:v>
                </c:pt>
                <c:pt idx="54">
                  <c:v>0.20539461225344013</c:v>
                </c:pt>
                <c:pt idx="55">
                  <c:v>0.32023897247780675</c:v>
                </c:pt>
                <c:pt idx="56">
                  <c:v>0.43508333270217331</c:v>
                </c:pt>
                <c:pt idx="57">
                  <c:v>0.51481723017428416</c:v>
                </c:pt>
                <c:pt idx="58">
                  <c:v>7.5900154724817107E-2</c:v>
                </c:pt>
                <c:pt idx="59">
                  <c:v>0.14891108881475229</c:v>
                </c:pt>
                <c:pt idx="60">
                  <c:v>0.33143842403959017</c:v>
                </c:pt>
                <c:pt idx="61">
                  <c:v>7.5900154724817107E-2</c:v>
                </c:pt>
                <c:pt idx="62">
                  <c:v>0.14891108881475229</c:v>
                </c:pt>
                <c:pt idx="63">
                  <c:v>0.33143842403959017</c:v>
                </c:pt>
                <c:pt idx="64">
                  <c:v>7.5900154724817107E-2</c:v>
                </c:pt>
                <c:pt idx="65">
                  <c:v>0.14891108881475229</c:v>
                </c:pt>
                <c:pt idx="66">
                  <c:v>0.33143842403959017</c:v>
                </c:pt>
                <c:pt idx="67">
                  <c:v>0.12185310734004789</c:v>
                </c:pt>
                <c:pt idx="68">
                  <c:v>0.14354614769334423</c:v>
                </c:pt>
                <c:pt idx="69">
                  <c:v>0.12691535141382154</c:v>
                </c:pt>
                <c:pt idx="70">
                  <c:v>0.14694396331799323</c:v>
                </c:pt>
                <c:pt idx="71">
                  <c:v>0.17537167053681754</c:v>
                </c:pt>
                <c:pt idx="72">
                  <c:v>0.12149822076563109</c:v>
                </c:pt>
                <c:pt idx="73">
                  <c:v>0.16214997104322221</c:v>
                </c:pt>
                <c:pt idx="74">
                  <c:v>0.13532727526154789</c:v>
                </c:pt>
                <c:pt idx="75">
                  <c:v>0.15835952502381526</c:v>
                </c:pt>
                <c:pt idx="76">
                  <c:v>0.1813917747860827</c:v>
                </c:pt>
                <c:pt idx="77">
                  <c:v>0.20438458576451057</c:v>
                </c:pt>
                <c:pt idx="78">
                  <c:v>0.22737739674293855</c:v>
                </c:pt>
                <c:pt idx="79">
                  <c:v>0.25040964650520592</c:v>
                </c:pt>
                <c:pt idx="80">
                  <c:v>0.27344189626747334</c:v>
                </c:pt>
                <c:pt idx="81">
                  <c:v>0.29639526846206188</c:v>
                </c:pt>
                <c:pt idx="82">
                  <c:v>0.15835952502381526</c:v>
                </c:pt>
                <c:pt idx="83">
                  <c:v>0.1813917747860827</c:v>
                </c:pt>
                <c:pt idx="84">
                  <c:v>0.20438458576451057</c:v>
                </c:pt>
                <c:pt idx="85">
                  <c:v>0.22737739674293855</c:v>
                </c:pt>
                <c:pt idx="86">
                  <c:v>0.25040964650520592</c:v>
                </c:pt>
                <c:pt idx="87">
                  <c:v>0.27344189626747334</c:v>
                </c:pt>
                <c:pt idx="88">
                  <c:v>0.29639526846206188</c:v>
                </c:pt>
                <c:pt idx="89">
                  <c:v>0.13474689552984886</c:v>
                </c:pt>
                <c:pt idx="90">
                  <c:v>0.1542959678316207</c:v>
                </c:pt>
                <c:pt idx="91">
                  <c:v>0.17381156569451961</c:v>
                </c:pt>
                <c:pt idx="92">
                  <c:v>0.19332716355741852</c:v>
                </c:pt>
                <c:pt idx="93">
                  <c:v>0.21287623585919035</c:v>
                </c:pt>
                <c:pt idx="94">
                  <c:v>0.23242530816096219</c:v>
                </c:pt>
                <c:pt idx="95">
                  <c:v>0.25190743158498824</c:v>
                </c:pt>
                <c:pt idx="96">
                  <c:v>0.11519782322807706</c:v>
                </c:pt>
                <c:pt idx="97">
                  <c:v>0.13474689552984886</c:v>
                </c:pt>
                <c:pt idx="98">
                  <c:v>0.1542959678316207</c:v>
                </c:pt>
                <c:pt idx="99">
                  <c:v>0.17381156569451961</c:v>
                </c:pt>
                <c:pt idx="100">
                  <c:v>0.19332716355741852</c:v>
                </c:pt>
                <c:pt idx="101">
                  <c:v>0.21287623585919035</c:v>
                </c:pt>
                <c:pt idx="102">
                  <c:v>0.23242530816096219</c:v>
                </c:pt>
                <c:pt idx="103">
                  <c:v>0.25190743158498824</c:v>
                </c:pt>
                <c:pt idx="104">
                  <c:v>0.15297784176427023</c:v>
                </c:pt>
                <c:pt idx="105">
                  <c:v>0.1661724760507631</c:v>
                </c:pt>
                <c:pt idx="106">
                  <c:v>0.17941245272312015</c:v>
                </c:pt>
                <c:pt idx="107">
                  <c:v>0.19265242939547719</c:v>
                </c:pt>
                <c:pt idx="108">
                  <c:v>0.20589240606783432</c:v>
                </c:pt>
                <c:pt idx="109">
                  <c:v>0.1661724760507631</c:v>
                </c:pt>
                <c:pt idx="110">
                  <c:v>0.17941245272312015</c:v>
                </c:pt>
                <c:pt idx="111">
                  <c:v>0.19265242939547719</c:v>
                </c:pt>
                <c:pt idx="112">
                  <c:v>0.20589240606783432</c:v>
                </c:pt>
                <c:pt idx="113">
                  <c:v>8.2839711691510234E-2</c:v>
                </c:pt>
                <c:pt idx="114">
                  <c:v>0.12596340903755263</c:v>
                </c:pt>
                <c:pt idx="115">
                  <c:v>0.16908710638359509</c:v>
                </c:pt>
                <c:pt idx="116">
                  <c:v>0.12596340903755263</c:v>
                </c:pt>
                <c:pt idx="117">
                  <c:v>0.16908710638359509</c:v>
                </c:pt>
                <c:pt idx="118">
                  <c:v>0.11051741448501715</c:v>
                </c:pt>
                <c:pt idx="119">
                  <c:v>0.13967437273173941</c:v>
                </c:pt>
                <c:pt idx="120">
                  <c:v>0.16883133097846162</c:v>
                </c:pt>
                <c:pt idx="121">
                  <c:v>0.11051741448501715</c:v>
                </c:pt>
                <c:pt idx="122">
                  <c:v>0.13967437273173941</c:v>
                </c:pt>
                <c:pt idx="123">
                  <c:v>0.16883133097846162</c:v>
                </c:pt>
                <c:pt idx="124">
                  <c:v>0.12522893792964457</c:v>
                </c:pt>
                <c:pt idx="125">
                  <c:v>0.14734997549223941</c:v>
                </c:pt>
                <c:pt idx="126">
                  <c:v>0.16947101305483431</c:v>
                </c:pt>
                <c:pt idx="127">
                  <c:v>0.12522893792964457</c:v>
                </c:pt>
                <c:pt idx="128">
                  <c:v>0.14734997549223941</c:v>
                </c:pt>
                <c:pt idx="129">
                  <c:v>0.16947101305483431</c:v>
                </c:pt>
                <c:pt idx="130">
                  <c:v>0.13081543976903548</c:v>
                </c:pt>
                <c:pt idx="131">
                  <c:v>0.14151720856094585</c:v>
                </c:pt>
                <c:pt idx="132">
                  <c:v>0.15364587985844427</c:v>
                </c:pt>
                <c:pt idx="133">
                  <c:v>0.16434764865035462</c:v>
                </c:pt>
                <c:pt idx="134">
                  <c:v>0.17647631994785301</c:v>
                </c:pt>
                <c:pt idx="135">
                  <c:v>0.18717808873976338</c:v>
                </c:pt>
                <c:pt idx="136">
                  <c:v>0.20002021129005584</c:v>
                </c:pt>
                <c:pt idx="137">
                  <c:v>0.11868676847153704</c:v>
                </c:pt>
                <c:pt idx="138">
                  <c:v>0.13081543976903548</c:v>
                </c:pt>
                <c:pt idx="139">
                  <c:v>0.14223065981373986</c:v>
                </c:pt>
                <c:pt idx="140">
                  <c:v>0.15257570297925327</c:v>
                </c:pt>
                <c:pt idx="141">
                  <c:v>0.16434764865035462</c:v>
                </c:pt>
                <c:pt idx="142">
                  <c:v>0.17611959432145605</c:v>
                </c:pt>
                <c:pt idx="143">
                  <c:v>0.18610791186057238</c:v>
                </c:pt>
                <c:pt idx="144">
                  <c:v>0.19573950377329169</c:v>
                </c:pt>
                <c:pt idx="145">
                  <c:v>0.10063566624984965</c:v>
                </c:pt>
                <c:pt idx="146">
                  <c:v>0.11950502817529221</c:v>
                </c:pt>
                <c:pt idx="147">
                  <c:v>0.13776895602826064</c:v>
                </c:pt>
                <c:pt idx="148">
                  <c:v>0.15593197820248342</c:v>
                </c:pt>
                <c:pt idx="149">
                  <c:v>0.17389318901921488</c:v>
                </c:pt>
                <c:pt idx="150">
                  <c:v>0.19235892822967463</c:v>
                </c:pt>
                <c:pt idx="151">
                  <c:v>8.3078078148100948E-2</c:v>
                </c:pt>
                <c:pt idx="152">
                  <c:v>0.1009383832860867</c:v>
                </c:pt>
                <c:pt idx="153">
                  <c:v>0.11920231113905515</c:v>
                </c:pt>
                <c:pt idx="154">
                  <c:v>0.13726442763453225</c:v>
                </c:pt>
                <c:pt idx="155">
                  <c:v>0.1560328838812291</c:v>
                </c:pt>
                <c:pt idx="156">
                  <c:v>0.17389318901921488</c:v>
                </c:pt>
                <c:pt idx="157">
                  <c:v>0.18257107739134346</c:v>
                </c:pt>
                <c:pt idx="158">
                  <c:v>0.16629907547758749</c:v>
                </c:pt>
                <c:pt idx="159">
                  <c:v>0.17827498836625749</c:v>
                </c:pt>
                <c:pt idx="160">
                  <c:v>0.18067017094399146</c:v>
                </c:pt>
                <c:pt idx="161">
                  <c:v>0.19078316404997939</c:v>
                </c:pt>
                <c:pt idx="162">
                  <c:v>0.1977025803856553</c:v>
                </c:pt>
                <c:pt idx="163">
                  <c:v>0.20542039091390926</c:v>
                </c:pt>
                <c:pt idx="164">
                  <c:v>0.21233980724958523</c:v>
                </c:pt>
                <c:pt idx="165">
                  <c:v>0.22058988057289108</c:v>
                </c:pt>
                <c:pt idx="166">
                  <c:v>0.16550068128500958</c:v>
                </c:pt>
                <c:pt idx="167">
                  <c:v>0.1734846232107895</c:v>
                </c:pt>
                <c:pt idx="168">
                  <c:v>0.18093630234151747</c:v>
                </c:pt>
                <c:pt idx="169">
                  <c:v>0.18865411286977138</c:v>
                </c:pt>
                <c:pt idx="170">
                  <c:v>0.1969041861930774</c:v>
                </c:pt>
                <c:pt idx="171">
                  <c:v>0.20542039091390926</c:v>
                </c:pt>
                <c:pt idx="172">
                  <c:v>0.21313820144216317</c:v>
                </c:pt>
                <c:pt idx="173">
                  <c:v>0.22005761777783911</c:v>
                </c:pt>
                <c:pt idx="174">
                  <c:v>0.17428301740336749</c:v>
                </c:pt>
                <c:pt idx="175">
                  <c:v>0.18200082793162145</c:v>
                </c:pt>
                <c:pt idx="176">
                  <c:v>0.19291221523018737</c:v>
                </c:pt>
                <c:pt idx="177">
                  <c:v>0.19929936877081128</c:v>
                </c:pt>
                <c:pt idx="178">
                  <c:v>0.20542039091390926</c:v>
                </c:pt>
                <c:pt idx="179">
                  <c:v>0.21207367585205927</c:v>
                </c:pt>
                <c:pt idx="180">
                  <c:v>0.22085601197041718</c:v>
                </c:pt>
                <c:pt idx="181">
                  <c:v>0.12778582265536664</c:v>
                </c:pt>
                <c:pt idx="182">
                  <c:v>0.14966742924837029</c:v>
                </c:pt>
                <c:pt idx="183">
                  <c:v>0.17147486090377059</c:v>
                </c:pt>
                <c:pt idx="184">
                  <c:v>0.12778582265536664</c:v>
                </c:pt>
                <c:pt idx="185">
                  <c:v>0.14937072949795668</c:v>
                </c:pt>
                <c:pt idx="186">
                  <c:v>0.17110398621575354</c:v>
                </c:pt>
                <c:pt idx="187">
                  <c:v>8.3577559843738908E-2</c:v>
                </c:pt>
                <c:pt idx="188">
                  <c:v>0.10612674087517321</c:v>
                </c:pt>
                <c:pt idx="189">
                  <c:v>0.12741494796734962</c:v>
                </c:pt>
                <c:pt idx="190">
                  <c:v>0.14877732999712945</c:v>
                </c:pt>
                <c:pt idx="191">
                  <c:v>0.17896652960171419</c:v>
                </c:pt>
                <c:pt idx="192">
                  <c:v>0.22462944676363292</c:v>
                </c:pt>
                <c:pt idx="193">
                  <c:v>0.29310374580479831</c:v>
                </c:pt>
                <c:pt idx="194">
                  <c:v>0.36157804484596373</c:v>
                </c:pt>
                <c:pt idx="195">
                  <c:v>0.22580404183364336</c:v>
                </c:pt>
                <c:pt idx="196">
                  <c:v>0.29196389196838551</c:v>
                </c:pt>
                <c:pt idx="197">
                  <c:v>0.35812374210312758</c:v>
                </c:pt>
                <c:pt idx="198">
                  <c:v>0.11757562159328946</c:v>
                </c:pt>
                <c:pt idx="199">
                  <c:v>0.16222730427256263</c:v>
                </c:pt>
                <c:pt idx="200">
                  <c:v>0.18901831388012649</c:v>
                </c:pt>
                <c:pt idx="201">
                  <c:v>0.21134415521976302</c:v>
                </c:pt>
                <c:pt idx="202">
                  <c:v>0.24706550136318153</c:v>
                </c:pt>
                <c:pt idx="203">
                  <c:v>0.27832167923867279</c:v>
                </c:pt>
                <c:pt idx="204">
                  <c:v>0.13845530611466497</c:v>
                </c:pt>
                <c:pt idx="205">
                  <c:v>0.15900260071078956</c:v>
                </c:pt>
                <c:pt idx="206">
                  <c:v>0.18542055090580706</c:v>
                </c:pt>
                <c:pt idx="207">
                  <c:v>0.19716186210359257</c:v>
                </c:pt>
                <c:pt idx="208">
                  <c:v>0.22357981229861004</c:v>
                </c:pt>
                <c:pt idx="209">
                  <c:v>0.27935104048809128</c:v>
                </c:pt>
                <c:pt idx="210">
                  <c:v>0.12537381381508225</c:v>
                </c:pt>
                <c:pt idx="211">
                  <c:v>0.14542842857482446</c:v>
                </c:pt>
                <c:pt idx="212">
                  <c:v>0.16347758185859246</c:v>
                </c:pt>
                <c:pt idx="213">
                  <c:v>0.18553765809430886</c:v>
                </c:pt>
                <c:pt idx="214">
                  <c:v>0.20759773433002529</c:v>
                </c:pt>
                <c:pt idx="215">
                  <c:v>0.2276523490897675</c:v>
                </c:pt>
                <c:pt idx="216">
                  <c:v>0.24770696384950966</c:v>
                </c:pt>
                <c:pt idx="217">
                  <c:v>0.26575611713327757</c:v>
                </c:pt>
                <c:pt idx="218">
                  <c:v>0.19261684920443534</c:v>
                </c:pt>
                <c:pt idx="219">
                  <c:v>0.23263380499637751</c:v>
                </c:pt>
                <c:pt idx="220">
                  <c:v>0.27709708920964671</c:v>
                </c:pt>
                <c:pt idx="221">
                  <c:v>0.13481319117710291</c:v>
                </c:pt>
                <c:pt idx="222">
                  <c:v>0.15526153557389136</c:v>
                </c:pt>
                <c:pt idx="223">
                  <c:v>0.18155226408404798</c:v>
                </c:pt>
                <c:pt idx="224">
                  <c:v>0.19323703231078423</c:v>
                </c:pt>
                <c:pt idx="225">
                  <c:v>0.2107641846508887</c:v>
                </c:pt>
                <c:pt idx="226">
                  <c:v>0.22244895287762498</c:v>
                </c:pt>
                <c:pt idx="227">
                  <c:v>0.25107663503312877</c:v>
                </c:pt>
                <c:pt idx="228">
                  <c:v>0.2797043171886327</c:v>
                </c:pt>
                <c:pt idx="229">
                  <c:v>0.15656725810990152</c:v>
                </c:pt>
                <c:pt idx="230">
                  <c:v>0.16454653547471412</c:v>
                </c:pt>
                <c:pt idx="231">
                  <c:v>0.18449472888674587</c:v>
                </c:pt>
                <c:pt idx="232">
                  <c:v>0.20643774163998074</c:v>
                </c:pt>
                <c:pt idx="233">
                  <c:v>0.2263859350520124</c:v>
                </c:pt>
                <c:pt idx="234">
                  <c:v>0.24433930912284094</c:v>
                </c:pt>
                <c:pt idx="235">
                  <c:v>0.26628232187607576</c:v>
                </c:pt>
                <c:pt idx="236">
                  <c:v>6.6998497358580017E-2</c:v>
                </c:pt>
                <c:pt idx="237">
                  <c:v>9.59824202295676E-2</c:v>
                </c:pt>
                <c:pt idx="238">
                  <c:v>0.13284240909810618</c:v>
                </c:pt>
                <c:pt idx="239">
                  <c:v>0.15395026597154279</c:v>
                </c:pt>
                <c:pt idx="240">
                  <c:v>0.17820854924399976</c:v>
                </c:pt>
                <c:pt idx="241">
                  <c:v>0.21601366603224445</c:v>
                </c:pt>
                <c:pt idx="242">
                  <c:v>0.2352312670662689</c:v>
                </c:pt>
                <c:pt idx="243">
                  <c:v>0.26327006201755027</c:v>
                </c:pt>
                <c:pt idx="244">
                  <c:v>0.19708565182586593</c:v>
                </c:pt>
                <c:pt idx="245">
                  <c:v>0.21484833224410843</c:v>
                </c:pt>
                <c:pt idx="246">
                  <c:v>0.19785957554454706</c:v>
                </c:pt>
                <c:pt idx="247">
                  <c:v>0.21484833224410843</c:v>
                </c:pt>
                <c:pt idx="248">
                  <c:v>0.19785957554454706</c:v>
                </c:pt>
                <c:pt idx="249">
                  <c:v>0.21484833224410843</c:v>
                </c:pt>
                <c:pt idx="250">
                  <c:v>0.19863349926322821</c:v>
                </c:pt>
                <c:pt idx="251">
                  <c:v>0.21484833224410843</c:v>
                </c:pt>
                <c:pt idx="252">
                  <c:v>0.16697779297207394</c:v>
                </c:pt>
                <c:pt idx="253">
                  <c:v>0.20988664557260006</c:v>
                </c:pt>
                <c:pt idx="254">
                  <c:v>0.16813769145661173</c:v>
                </c:pt>
                <c:pt idx="255">
                  <c:v>0.20988664557260006</c:v>
                </c:pt>
                <c:pt idx="256">
                  <c:v>0.1381439747701679</c:v>
                </c:pt>
                <c:pt idx="257">
                  <c:v>0.19923392556937053</c:v>
                </c:pt>
                <c:pt idx="258">
                  <c:v>0.21484833224410843</c:v>
                </c:pt>
                <c:pt idx="259">
                  <c:v>0.13891726528661352</c:v>
                </c:pt>
                <c:pt idx="260">
                  <c:v>0.20000721608581618</c:v>
                </c:pt>
                <c:pt idx="261">
                  <c:v>9.7961980084099287E-2</c:v>
                </c:pt>
                <c:pt idx="262">
                  <c:v>0.14156003614041548</c:v>
                </c:pt>
                <c:pt idx="263">
                  <c:v>0.18571704163335118</c:v>
                </c:pt>
                <c:pt idx="264">
                  <c:v>0.21881899592249263</c:v>
                </c:pt>
                <c:pt idx="265">
                  <c:v>9.7403030647479835E-2</c:v>
                </c:pt>
                <c:pt idx="266">
                  <c:v>0.14044213726717661</c:v>
                </c:pt>
                <c:pt idx="267">
                  <c:v>0.18404019332349289</c:v>
                </c:pt>
                <c:pt idx="268">
                  <c:v>0.1992910913817868</c:v>
                </c:pt>
                <c:pt idx="269">
                  <c:v>0.21484833224410843</c:v>
                </c:pt>
                <c:pt idx="270">
                  <c:v>0.1992910913817868</c:v>
                </c:pt>
                <c:pt idx="271">
                  <c:v>0.21484833224410843</c:v>
                </c:pt>
                <c:pt idx="272">
                  <c:v>0.11814721606774738</c:v>
                </c:pt>
                <c:pt idx="273">
                  <c:v>0.14042042546905978</c:v>
                </c:pt>
                <c:pt idx="274">
                  <c:v>0.16213680463533942</c:v>
                </c:pt>
                <c:pt idx="275">
                  <c:v>0.18441001403665175</c:v>
                </c:pt>
                <c:pt idx="276">
                  <c:v>0.20556956296789858</c:v>
                </c:pt>
                <c:pt idx="277">
                  <c:v>0.21881899592249263</c:v>
                </c:pt>
                <c:pt idx="278">
                  <c:v>0.16213680463533942</c:v>
                </c:pt>
                <c:pt idx="279">
                  <c:v>0.18329635356658616</c:v>
                </c:pt>
                <c:pt idx="280">
                  <c:v>0.20556956296789858</c:v>
                </c:pt>
                <c:pt idx="281">
                  <c:v>0.21881899592249263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4-4B8B-A6CC-40C756DCBBBE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4-4B8B-A6CC-40C756DCBBBE}"/>
            </c:ext>
          </c:extLst>
        </c:ser>
        <c:ser>
          <c:idx val="2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F4-4B8B-A6CC-40C756DCBBBE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F4-4B8B-A6CC-40C756DCB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660118360058458"/>
          <c:y val="5.9882129284184002E-2"/>
          <c:w val="0.22278682946463632"/>
          <c:h val="0.1338213381437659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33450904488518"/>
          <c:y val="2.821667638799703E-2"/>
          <c:w val="0.80341752161708535"/>
          <c:h val="0.751828654289420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'Dados gerais'!$BI$1</c:f>
              <c:strCache>
                <c:ptCount val="1"/>
                <c:pt idx="0">
                  <c:v>Sugestão</c:v>
                </c:pt>
              </c:strCache>
            </c:strRef>
          </c:tx>
          <c:spPr>
            <a:ln w="19050">
              <a:noFill/>
            </a:ln>
          </c:spPr>
          <c:xVal>
            <c:numRef>
              <c:f>'Dados gerais'!$J$28:$J$309</c:f>
              <c:numCache>
                <c:formatCode>0.00</c:formatCode>
                <c:ptCount val="282"/>
                <c:pt idx="0">
                  <c:v>0.16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0.3</c:v>
                </c:pt>
                <c:pt idx="5">
                  <c:v>0.32</c:v>
                </c:pt>
                <c:pt idx="6">
                  <c:v>0.38</c:v>
                </c:pt>
                <c:pt idx="7">
                  <c:v>0.42</c:v>
                </c:pt>
                <c:pt idx="8">
                  <c:v>0.44</c:v>
                </c:pt>
                <c:pt idx="9">
                  <c:v>0.5</c:v>
                </c:pt>
                <c:pt idx="10">
                  <c:v>0.24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0.38</c:v>
                </c:pt>
                <c:pt idx="15">
                  <c:v>0.44</c:v>
                </c:pt>
                <c:pt idx="16">
                  <c:v>0.18</c:v>
                </c:pt>
                <c:pt idx="17">
                  <c:v>0.2</c:v>
                </c:pt>
                <c:pt idx="18">
                  <c:v>0.26</c:v>
                </c:pt>
                <c:pt idx="19">
                  <c:v>0.44</c:v>
                </c:pt>
                <c:pt idx="20">
                  <c:v>0.6</c:v>
                </c:pt>
                <c:pt idx="21">
                  <c:v>0.36</c:v>
                </c:pt>
                <c:pt idx="22">
                  <c:v>0.43</c:v>
                </c:pt>
                <c:pt idx="23">
                  <c:v>0.56000000000000005</c:v>
                </c:pt>
                <c:pt idx="24">
                  <c:v>0.71</c:v>
                </c:pt>
                <c:pt idx="25">
                  <c:v>0.79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0.36</c:v>
                </c:pt>
                <c:pt idx="30">
                  <c:v>0.47</c:v>
                </c:pt>
                <c:pt idx="31">
                  <c:v>0.56999999999999995</c:v>
                </c:pt>
                <c:pt idx="32">
                  <c:v>0.78</c:v>
                </c:pt>
                <c:pt idx="33">
                  <c:v>0.21</c:v>
                </c:pt>
                <c:pt idx="34">
                  <c:v>0.31</c:v>
                </c:pt>
                <c:pt idx="35">
                  <c:v>0.38</c:v>
                </c:pt>
                <c:pt idx="36">
                  <c:v>0.52</c:v>
                </c:pt>
                <c:pt idx="37">
                  <c:v>0.74</c:v>
                </c:pt>
                <c:pt idx="38">
                  <c:v>0.17</c:v>
                </c:pt>
                <c:pt idx="39">
                  <c:v>0.36</c:v>
                </c:pt>
                <c:pt idx="40">
                  <c:v>0.56000000000000005</c:v>
                </c:pt>
                <c:pt idx="41">
                  <c:v>0.78</c:v>
                </c:pt>
                <c:pt idx="42">
                  <c:v>0.31</c:v>
                </c:pt>
                <c:pt idx="43">
                  <c:v>0.44</c:v>
                </c:pt>
                <c:pt idx="44">
                  <c:v>0.14000000000000001</c:v>
                </c:pt>
                <c:pt idx="45">
                  <c:v>0.31</c:v>
                </c:pt>
                <c:pt idx="46">
                  <c:v>0.4</c:v>
                </c:pt>
                <c:pt idx="47">
                  <c:v>0.25</c:v>
                </c:pt>
                <c:pt idx="48">
                  <c:v>0.44</c:v>
                </c:pt>
                <c:pt idx="49">
                  <c:v>0.56000000000000005</c:v>
                </c:pt>
                <c:pt idx="50">
                  <c:v>0.23</c:v>
                </c:pt>
                <c:pt idx="51">
                  <c:v>0.35</c:v>
                </c:pt>
                <c:pt idx="52">
                  <c:v>0.49</c:v>
                </c:pt>
                <c:pt idx="53">
                  <c:v>0.67</c:v>
                </c:pt>
                <c:pt idx="54">
                  <c:v>0.27</c:v>
                </c:pt>
                <c:pt idx="55">
                  <c:v>0.4</c:v>
                </c:pt>
                <c:pt idx="56">
                  <c:v>0.53</c:v>
                </c:pt>
                <c:pt idx="57">
                  <c:v>0.72</c:v>
                </c:pt>
                <c:pt idx="58">
                  <c:v>0.15</c:v>
                </c:pt>
                <c:pt idx="59">
                  <c:v>0.3</c:v>
                </c:pt>
                <c:pt idx="60">
                  <c:v>0.56999999999999995</c:v>
                </c:pt>
                <c:pt idx="61">
                  <c:v>0.15</c:v>
                </c:pt>
                <c:pt idx="62">
                  <c:v>0.26</c:v>
                </c:pt>
                <c:pt idx="63">
                  <c:v>0.6</c:v>
                </c:pt>
                <c:pt idx="64">
                  <c:v>0.16</c:v>
                </c:pt>
                <c:pt idx="65">
                  <c:v>0.27</c:v>
                </c:pt>
                <c:pt idx="66">
                  <c:v>0.59</c:v>
                </c:pt>
                <c:pt idx="67">
                  <c:v>0.15</c:v>
                </c:pt>
                <c:pt idx="68">
                  <c:v>0.17</c:v>
                </c:pt>
                <c:pt idx="69">
                  <c:v>0.15</c:v>
                </c:pt>
                <c:pt idx="70">
                  <c:v>0.17</c:v>
                </c:pt>
                <c:pt idx="71">
                  <c:v>0.2</c:v>
                </c:pt>
                <c:pt idx="72">
                  <c:v>0.16</c:v>
                </c:pt>
                <c:pt idx="73">
                  <c:v>0.21</c:v>
                </c:pt>
                <c:pt idx="74">
                  <c:v>0.15</c:v>
                </c:pt>
                <c:pt idx="75">
                  <c:v>0.2</c:v>
                </c:pt>
                <c:pt idx="76">
                  <c:v>0.25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0.3</c:v>
                </c:pt>
                <c:pt idx="80">
                  <c:v>0.33</c:v>
                </c:pt>
                <c:pt idx="81">
                  <c:v>0.33</c:v>
                </c:pt>
                <c:pt idx="82">
                  <c:v>0.15</c:v>
                </c:pt>
                <c:pt idx="83">
                  <c:v>0.18</c:v>
                </c:pt>
                <c:pt idx="84">
                  <c:v>0.2</c:v>
                </c:pt>
                <c:pt idx="85">
                  <c:v>0.25</c:v>
                </c:pt>
                <c:pt idx="86">
                  <c:v>0.3</c:v>
                </c:pt>
                <c:pt idx="87">
                  <c:v>0.33</c:v>
                </c:pt>
                <c:pt idx="88">
                  <c:v>0.38</c:v>
                </c:pt>
                <c:pt idx="89">
                  <c:v>0.15</c:v>
                </c:pt>
                <c:pt idx="90">
                  <c:v>0.18</c:v>
                </c:pt>
                <c:pt idx="91">
                  <c:v>0.2</c:v>
                </c:pt>
                <c:pt idx="92">
                  <c:v>0.23</c:v>
                </c:pt>
                <c:pt idx="93">
                  <c:v>0.25</c:v>
                </c:pt>
                <c:pt idx="94">
                  <c:v>0.3</c:v>
                </c:pt>
                <c:pt idx="95">
                  <c:v>0.3</c:v>
                </c:pt>
                <c:pt idx="96">
                  <c:v>0.15</c:v>
                </c:pt>
                <c:pt idx="97">
                  <c:v>0.18</c:v>
                </c:pt>
                <c:pt idx="98">
                  <c:v>0.18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0.33</c:v>
                </c:pt>
                <c:pt idx="102">
                  <c:v>0.38</c:v>
                </c:pt>
                <c:pt idx="103">
                  <c:v>0.43</c:v>
                </c:pt>
                <c:pt idx="104">
                  <c:v>0.15</c:v>
                </c:pt>
                <c:pt idx="105">
                  <c:v>0.18</c:v>
                </c:pt>
                <c:pt idx="106">
                  <c:v>0.18</c:v>
                </c:pt>
                <c:pt idx="107">
                  <c:v>0.2</c:v>
                </c:pt>
                <c:pt idx="108">
                  <c:v>0.2</c:v>
                </c:pt>
                <c:pt idx="109">
                  <c:v>0.15</c:v>
                </c:pt>
                <c:pt idx="110">
                  <c:v>0.18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0.25</c:v>
                </c:pt>
                <c:pt idx="115">
                  <c:v>0.33</c:v>
                </c:pt>
                <c:pt idx="116">
                  <c:v>0.23</c:v>
                </c:pt>
                <c:pt idx="117">
                  <c:v>0.28000000000000003</c:v>
                </c:pt>
                <c:pt idx="118">
                  <c:v>0.18</c:v>
                </c:pt>
                <c:pt idx="119">
                  <c:v>0.23</c:v>
                </c:pt>
                <c:pt idx="120">
                  <c:v>0.25</c:v>
                </c:pt>
                <c:pt idx="121">
                  <c:v>0.18</c:v>
                </c:pt>
                <c:pt idx="122">
                  <c:v>0.23</c:v>
                </c:pt>
                <c:pt idx="123">
                  <c:v>0.25</c:v>
                </c:pt>
                <c:pt idx="124">
                  <c:v>0.15</c:v>
                </c:pt>
                <c:pt idx="125">
                  <c:v>0.15</c:v>
                </c:pt>
                <c:pt idx="126">
                  <c:v>0.18</c:v>
                </c:pt>
                <c:pt idx="127">
                  <c:v>0.18</c:v>
                </c:pt>
                <c:pt idx="128">
                  <c:v>0.2</c:v>
                </c:pt>
                <c:pt idx="129">
                  <c:v>0.23</c:v>
                </c:pt>
                <c:pt idx="130">
                  <c:v>0.16</c:v>
                </c:pt>
                <c:pt idx="131">
                  <c:v>0.18</c:v>
                </c:pt>
                <c:pt idx="132">
                  <c:v>0.2</c:v>
                </c:pt>
                <c:pt idx="133">
                  <c:v>0.22</c:v>
                </c:pt>
                <c:pt idx="134">
                  <c:v>0.24</c:v>
                </c:pt>
                <c:pt idx="135">
                  <c:v>0.26</c:v>
                </c:pt>
                <c:pt idx="136">
                  <c:v>0.28000000000000003</c:v>
                </c:pt>
                <c:pt idx="137">
                  <c:v>0.15</c:v>
                </c:pt>
                <c:pt idx="138">
                  <c:v>0.17</c:v>
                </c:pt>
                <c:pt idx="139">
                  <c:v>0.19</c:v>
                </c:pt>
                <c:pt idx="140">
                  <c:v>0.2</c:v>
                </c:pt>
                <c:pt idx="141">
                  <c:v>0.22</c:v>
                </c:pt>
                <c:pt idx="142">
                  <c:v>0.24</c:v>
                </c:pt>
                <c:pt idx="143">
                  <c:v>0.26</c:v>
                </c:pt>
                <c:pt idx="144">
                  <c:v>0.28999999999999998</c:v>
                </c:pt>
                <c:pt idx="145">
                  <c:v>0.17</c:v>
                </c:pt>
                <c:pt idx="146">
                  <c:v>0.2</c:v>
                </c:pt>
                <c:pt idx="147">
                  <c:v>0.24</c:v>
                </c:pt>
                <c:pt idx="148">
                  <c:v>0.27</c:v>
                </c:pt>
                <c:pt idx="149">
                  <c:v>0.32</c:v>
                </c:pt>
                <c:pt idx="150">
                  <c:v>0.34</c:v>
                </c:pt>
                <c:pt idx="151">
                  <c:v>0.16</c:v>
                </c:pt>
                <c:pt idx="152">
                  <c:v>0.2</c:v>
                </c:pt>
                <c:pt idx="153">
                  <c:v>0.24</c:v>
                </c:pt>
                <c:pt idx="154">
                  <c:v>0.27</c:v>
                </c:pt>
                <c:pt idx="155">
                  <c:v>0.28999999999999998</c:v>
                </c:pt>
                <c:pt idx="156">
                  <c:v>0.32</c:v>
                </c:pt>
                <c:pt idx="157">
                  <c:v>0.33</c:v>
                </c:pt>
                <c:pt idx="158">
                  <c:v>0.15</c:v>
                </c:pt>
                <c:pt idx="159">
                  <c:v>0.19</c:v>
                </c:pt>
                <c:pt idx="160">
                  <c:v>0.2</c:v>
                </c:pt>
                <c:pt idx="161">
                  <c:v>0.23</c:v>
                </c:pt>
                <c:pt idx="162">
                  <c:v>0.25</c:v>
                </c:pt>
                <c:pt idx="163">
                  <c:v>0.28000000000000003</c:v>
                </c:pt>
                <c:pt idx="164">
                  <c:v>0.31</c:v>
                </c:pt>
                <c:pt idx="165">
                  <c:v>0.36</c:v>
                </c:pt>
                <c:pt idx="166">
                  <c:v>0.16</c:v>
                </c:pt>
                <c:pt idx="167">
                  <c:v>0.18</c:v>
                </c:pt>
                <c:pt idx="168">
                  <c:v>0.2</c:v>
                </c:pt>
                <c:pt idx="169">
                  <c:v>0.23</c:v>
                </c:pt>
                <c:pt idx="170">
                  <c:v>0.24</c:v>
                </c:pt>
                <c:pt idx="171">
                  <c:v>0.25</c:v>
                </c:pt>
                <c:pt idx="172">
                  <c:v>0.27</c:v>
                </c:pt>
                <c:pt idx="173">
                  <c:v>0.28999999999999998</c:v>
                </c:pt>
                <c:pt idx="174">
                  <c:v>0.15</c:v>
                </c:pt>
                <c:pt idx="175">
                  <c:v>0.16</c:v>
                </c:pt>
                <c:pt idx="176">
                  <c:v>0.18</c:v>
                </c:pt>
                <c:pt idx="177">
                  <c:v>0.18</c:v>
                </c:pt>
                <c:pt idx="178">
                  <c:v>0.19</c:v>
                </c:pt>
                <c:pt idx="179">
                  <c:v>0.2</c:v>
                </c:pt>
                <c:pt idx="180">
                  <c:v>0.22</c:v>
                </c:pt>
                <c:pt idx="181">
                  <c:v>0.16</c:v>
                </c:pt>
                <c:pt idx="182">
                  <c:v>0.2</c:v>
                </c:pt>
                <c:pt idx="183">
                  <c:v>0.23</c:v>
                </c:pt>
                <c:pt idx="184">
                  <c:v>0.14000000000000001</c:v>
                </c:pt>
                <c:pt idx="185">
                  <c:v>0.17</c:v>
                </c:pt>
                <c:pt idx="186">
                  <c:v>0.21</c:v>
                </c:pt>
                <c:pt idx="187">
                  <c:v>0.21</c:v>
                </c:pt>
                <c:pt idx="188">
                  <c:v>0.25</c:v>
                </c:pt>
                <c:pt idx="189">
                  <c:v>0.28999999999999998</c:v>
                </c:pt>
                <c:pt idx="190">
                  <c:v>0.33</c:v>
                </c:pt>
                <c:pt idx="191">
                  <c:v>0.37</c:v>
                </c:pt>
                <c:pt idx="192">
                  <c:v>0.15</c:v>
                </c:pt>
                <c:pt idx="193">
                  <c:v>0.23</c:v>
                </c:pt>
                <c:pt idx="194">
                  <c:v>0.28000000000000003</c:v>
                </c:pt>
                <c:pt idx="195">
                  <c:v>0.18</c:v>
                </c:pt>
                <c:pt idx="196">
                  <c:v>0.26</c:v>
                </c:pt>
                <c:pt idx="197">
                  <c:v>0.34</c:v>
                </c:pt>
                <c:pt idx="198">
                  <c:v>0.15</c:v>
                </c:pt>
                <c:pt idx="199">
                  <c:v>0.19</c:v>
                </c:pt>
                <c:pt idx="200">
                  <c:v>0.22</c:v>
                </c:pt>
                <c:pt idx="201">
                  <c:v>0.22</c:v>
                </c:pt>
                <c:pt idx="202">
                  <c:v>0.25</c:v>
                </c:pt>
                <c:pt idx="203">
                  <c:v>0.28999999999999998</c:v>
                </c:pt>
                <c:pt idx="204">
                  <c:v>0.17</c:v>
                </c:pt>
                <c:pt idx="205">
                  <c:v>0.19</c:v>
                </c:pt>
                <c:pt idx="206">
                  <c:v>0.21</c:v>
                </c:pt>
                <c:pt idx="207">
                  <c:v>0.23</c:v>
                </c:pt>
                <c:pt idx="208">
                  <c:v>0.25</c:v>
                </c:pt>
                <c:pt idx="209">
                  <c:v>0.25</c:v>
                </c:pt>
                <c:pt idx="210">
                  <c:v>0.18</c:v>
                </c:pt>
                <c:pt idx="211">
                  <c:v>0.19</c:v>
                </c:pt>
                <c:pt idx="212">
                  <c:v>0.21</c:v>
                </c:pt>
                <c:pt idx="213">
                  <c:v>0.23</c:v>
                </c:pt>
                <c:pt idx="214">
                  <c:v>0.25</c:v>
                </c:pt>
                <c:pt idx="215">
                  <c:v>0.28999999999999998</c:v>
                </c:pt>
                <c:pt idx="216">
                  <c:v>0.31</c:v>
                </c:pt>
                <c:pt idx="217">
                  <c:v>0.37</c:v>
                </c:pt>
                <c:pt idx="218">
                  <c:v>0.16</c:v>
                </c:pt>
                <c:pt idx="219">
                  <c:v>0.2</c:v>
                </c:pt>
                <c:pt idx="220">
                  <c:v>0.26</c:v>
                </c:pt>
                <c:pt idx="221">
                  <c:v>0.17</c:v>
                </c:pt>
                <c:pt idx="222">
                  <c:v>0.19</c:v>
                </c:pt>
                <c:pt idx="223">
                  <c:v>0.23</c:v>
                </c:pt>
                <c:pt idx="224">
                  <c:v>0.25</c:v>
                </c:pt>
                <c:pt idx="225">
                  <c:v>0.3</c:v>
                </c:pt>
                <c:pt idx="226">
                  <c:v>0.32</c:v>
                </c:pt>
                <c:pt idx="227">
                  <c:v>0.36</c:v>
                </c:pt>
                <c:pt idx="228">
                  <c:v>0.47</c:v>
                </c:pt>
                <c:pt idx="229">
                  <c:v>0.16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0.22</c:v>
                </c:pt>
                <c:pt idx="236">
                  <c:v>0.2</c:v>
                </c:pt>
                <c:pt idx="237">
                  <c:v>0.22</c:v>
                </c:pt>
                <c:pt idx="238">
                  <c:v>0.25</c:v>
                </c:pt>
                <c:pt idx="239">
                  <c:v>0.28999999999999998</c:v>
                </c:pt>
                <c:pt idx="240">
                  <c:v>0.31</c:v>
                </c:pt>
                <c:pt idx="241">
                  <c:v>0.33</c:v>
                </c:pt>
                <c:pt idx="242">
                  <c:v>0.34</c:v>
                </c:pt>
                <c:pt idx="243">
                  <c:v>0.37</c:v>
                </c:pt>
                <c:pt idx="244">
                  <c:v>0.2</c:v>
                </c:pt>
                <c:pt idx="245">
                  <c:v>0.35</c:v>
                </c:pt>
                <c:pt idx="246">
                  <c:v>0.2</c:v>
                </c:pt>
                <c:pt idx="247">
                  <c:v>0.25</c:v>
                </c:pt>
                <c:pt idx="248">
                  <c:v>0.2</c:v>
                </c:pt>
                <c:pt idx="249">
                  <c:v>0.25</c:v>
                </c:pt>
                <c:pt idx="250">
                  <c:v>0.2</c:v>
                </c:pt>
                <c:pt idx="251">
                  <c:v>0.3</c:v>
                </c:pt>
                <c:pt idx="252">
                  <c:v>0.15</c:v>
                </c:pt>
                <c:pt idx="253">
                  <c:v>0.2</c:v>
                </c:pt>
                <c:pt idx="254">
                  <c:v>0.15</c:v>
                </c:pt>
                <c:pt idx="255">
                  <c:v>0.2</c:v>
                </c:pt>
                <c:pt idx="256">
                  <c:v>0.15</c:v>
                </c:pt>
                <c:pt idx="257">
                  <c:v>0.25</c:v>
                </c:pt>
                <c:pt idx="258">
                  <c:v>0.3</c:v>
                </c:pt>
                <c:pt idx="259">
                  <c:v>0.15</c:v>
                </c:pt>
                <c:pt idx="260">
                  <c:v>0.25</c:v>
                </c:pt>
                <c:pt idx="261">
                  <c:v>0.15</c:v>
                </c:pt>
                <c:pt idx="262">
                  <c:v>0.2</c:v>
                </c:pt>
                <c:pt idx="263">
                  <c:v>0.3</c:v>
                </c:pt>
                <c:pt idx="264">
                  <c:v>0.33</c:v>
                </c:pt>
                <c:pt idx="265">
                  <c:v>0.15</c:v>
                </c:pt>
                <c:pt idx="266">
                  <c:v>0.25</c:v>
                </c:pt>
                <c:pt idx="267">
                  <c:v>0.28000000000000003</c:v>
                </c:pt>
                <c:pt idx="268">
                  <c:v>0.2</c:v>
                </c:pt>
                <c:pt idx="269">
                  <c:v>0.22</c:v>
                </c:pt>
                <c:pt idx="270">
                  <c:v>0.17</c:v>
                </c:pt>
                <c:pt idx="271">
                  <c:v>0.21</c:v>
                </c:pt>
                <c:pt idx="272">
                  <c:v>0.17</c:v>
                </c:pt>
                <c:pt idx="273">
                  <c:v>0.18</c:v>
                </c:pt>
                <c:pt idx="274">
                  <c:v>0.2</c:v>
                </c:pt>
                <c:pt idx="275">
                  <c:v>0.2</c:v>
                </c:pt>
                <c:pt idx="276">
                  <c:v>0.25</c:v>
                </c:pt>
                <c:pt idx="277">
                  <c:v>0.27</c:v>
                </c:pt>
                <c:pt idx="278">
                  <c:v>0.18</c:v>
                </c:pt>
                <c:pt idx="279">
                  <c:v>0.19</c:v>
                </c:pt>
                <c:pt idx="280">
                  <c:v>0.21</c:v>
                </c:pt>
                <c:pt idx="281">
                  <c:v>0.26</c:v>
                </c:pt>
              </c:numCache>
            </c:numRef>
          </c:xVal>
          <c:yVal>
            <c:numRef>
              <c:f>'Dados gerais'!$BI$28:$BI$309</c:f>
              <c:numCache>
                <c:formatCode>0.00</c:formatCode>
                <c:ptCount val="282"/>
                <c:pt idx="0">
                  <c:v>0.16724728494892779</c:v>
                </c:pt>
                <c:pt idx="1">
                  <c:v>0.21404081084914578</c:v>
                </c:pt>
                <c:pt idx="2">
                  <c:v>0.26398895647297405</c:v>
                </c:pt>
                <c:pt idx="3">
                  <c:v>0.31446287205073714</c:v>
                </c:pt>
                <c:pt idx="4">
                  <c:v>0.34706060919470938</c:v>
                </c:pt>
                <c:pt idx="5">
                  <c:v>0.4169880130680686</c:v>
                </c:pt>
                <c:pt idx="6">
                  <c:v>0.42092646353136287</c:v>
                </c:pt>
                <c:pt idx="7">
                  <c:v>0.45099263949788876</c:v>
                </c:pt>
                <c:pt idx="8">
                  <c:v>0.5257793555018121</c:v>
                </c:pt>
                <c:pt idx="9">
                  <c:v>0.5257793555018121</c:v>
                </c:pt>
                <c:pt idx="10">
                  <c:v>0.20633910593613325</c:v>
                </c:pt>
                <c:pt idx="11">
                  <c:v>0.24880889422913266</c:v>
                </c:pt>
                <c:pt idx="12">
                  <c:v>0.26473506483900733</c:v>
                </c:pt>
                <c:pt idx="13">
                  <c:v>0.29127868252213185</c:v>
                </c:pt>
                <c:pt idx="14">
                  <c:v>0.32843974727850617</c:v>
                </c:pt>
                <c:pt idx="15">
                  <c:v>0.40807060032787995</c:v>
                </c:pt>
                <c:pt idx="16">
                  <c:v>4.3068885937083114E-2</c:v>
                </c:pt>
                <c:pt idx="17">
                  <c:v>7.9717100228499774E-2</c:v>
                </c:pt>
                <c:pt idx="18">
                  <c:v>0.11020041095274997</c:v>
                </c:pt>
                <c:pt idx="19">
                  <c:v>0.16063643415105472</c:v>
                </c:pt>
                <c:pt idx="20">
                  <c:v>0.23435062190242334</c:v>
                </c:pt>
                <c:pt idx="21">
                  <c:v>0.34403441271139223</c:v>
                </c:pt>
                <c:pt idx="22">
                  <c:v>0.5422958223217913</c:v>
                </c:pt>
                <c:pt idx="23">
                  <c:v>0.78660896418685322</c:v>
                </c:pt>
                <c:pt idx="24">
                  <c:v>0.78660896418685322</c:v>
                </c:pt>
                <c:pt idx="25">
                  <c:v>0.78660896418685322</c:v>
                </c:pt>
                <c:pt idx="26">
                  <c:v>4.1078708915824935E-2</c:v>
                </c:pt>
                <c:pt idx="27">
                  <c:v>6.128577010593881E-2</c:v>
                </c:pt>
                <c:pt idx="28">
                  <c:v>0.16438242054594365</c:v>
                </c:pt>
                <c:pt idx="29">
                  <c:v>0.28713401134859573</c:v>
                </c:pt>
                <c:pt idx="30">
                  <c:v>0.40988560215124781</c:v>
                </c:pt>
                <c:pt idx="31">
                  <c:v>0.50194929525323695</c:v>
                </c:pt>
                <c:pt idx="32">
                  <c:v>0.60260898148478304</c:v>
                </c:pt>
                <c:pt idx="33">
                  <c:v>0.15250358684376383</c:v>
                </c:pt>
                <c:pt idx="34">
                  <c:v>0.24490370790619276</c:v>
                </c:pt>
                <c:pt idx="35">
                  <c:v>0.34403441271139223</c:v>
                </c:pt>
                <c:pt idx="36">
                  <c:v>0.5422958223217913</c:v>
                </c:pt>
                <c:pt idx="37">
                  <c:v>0.78660896418685322</c:v>
                </c:pt>
                <c:pt idx="38">
                  <c:v>0.15250358684376383</c:v>
                </c:pt>
                <c:pt idx="39">
                  <c:v>0.34403441271139223</c:v>
                </c:pt>
                <c:pt idx="40">
                  <c:v>0.5422958223217913</c:v>
                </c:pt>
                <c:pt idx="41">
                  <c:v>0.78660896418685322</c:v>
                </c:pt>
                <c:pt idx="42">
                  <c:v>0.36254631705594237</c:v>
                </c:pt>
                <c:pt idx="43">
                  <c:v>0.5503677050597654</c:v>
                </c:pt>
                <c:pt idx="44">
                  <c:v>0.23202964291580305</c:v>
                </c:pt>
                <c:pt idx="45">
                  <c:v>0.36254631705594237</c:v>
                </c:pt>
                <c:pt idx="46">
                  <c:v>0.5503677050597654</c:v>
                </c:pt>
                <c:pt idx="47">
                  <c:v>0.23202964291580305</c:v>
                </c:pt>
                <c:pt idx="48">
                  <c:v>0.36254631705594237</c:v>
                </c:pt>
                <c:pt idx="49">
                  <c:v>0.5503677050597654</c:v>
                </c:pt>
                <c:pt idx="50">
                  <c:v>0.1950703182466067</c:v>
                </c:pt>
                <c:pt idx="51">
                  <c:v>0.34850980674992177</c:v>
                </c:pt>
                <c:pt idx="52">
                  <c:v>0.50194929525323695</c:v>
                </c:pt>
                <c:pt idx="53">
                  <c:v>0.60260898148478304</c:v>
                </c:pt>
                <c:pt idx="54">
                  <c:v>0.1950703182466067</c:v>
                </c:pt>
                <c:pt idx="55">
                  <c:v>0.34850980674992177</c:v>
                </c:pt>
                <c:pt idx="56">
                  <c:v>0.50194929525323695</c:v>
                </c:pt>
                <c:pt idx="57">
                  <c:v>0.60260898148478304</c:v>
                </c:pt>
                <c:pt idx="58">
                  <c:v>7.2012387274581896E-2</c:v>
                </c:pt>
                <c:pt idx="59">
                  <c:v>0.12002064545763651</c:v>
                </c:pt>
                <c:pt idx="60">
                  <c:v>0.45337197684693187</c:v>
                </c:pt>
                <c:pt idx="61">
                  <c:v>7.2012387274581896E-2</c:v>
                </c:pt>
                <c:pt idx="62">
                  <c:v>0.12002064545763651</c:v>
                </c:pt>
                <c:pt idx="63">
                  <c:v>0.45337197684693187</c:v>
                </c:pt>
                <c:pt idx="64">
                  <c:v>7.2012387274581896E-2</c:v>
                </c:pt>
                <c:pt idx="65">
                  <c:v>0.12002064545763651</c:v>
                </c:pt>
                <c:pt idx="66">
                  <c:v>0.45337197684693187</c:v>
                </c:pt>
                <c:pt idx="67">
                  <c:v>0.14576285622789853</c:v>
                </c:pt>
                <c:pt idx="68">
                  <c:v>0.18594638321687937</c:v>
                </c:pt>
                <c:pt idx="69">
                  <c:v>0.13878769380193201</c:v>
                </c:pt>
                <c:pt idx="70">
                  <c:v>0.16917412974027912</c:v>
                </c:pt>
                <c:pt idx="71">
                  <c:v>0.2123032646205138</c:v>
                </c:pt>
                <c:pt idx="72">
                  <c:v>0.12007419362751766</c:v>
                </c:pt>
                <c:pt idx="73">
                  <c:v>0.17056620402683209</c:v>
                </c:pt>
                <c:pt idx="74">
                  <c:v>0.12206155113118464</c:v>
                </c:pt>
                <c:pt idx="75">
                  <c:v>0.1554803880682081</c:v>
                </c:pt>
                <c:pt idx="76">
                  <c:v>0.19681733910587482</c:v>
                </c:pt>
                <c:pt idx="77">
                  <c:v>0.24293810635657515</c:v>
                </c:pt>
                <c:pt idx="78">
                  <c:v>0.29732680364536013</c:v>
                </c:pt>
                <c:pt idx="79">
                  <c:v>0.36721458076330876</c:v>
                </c:pt>
                <c:pt idx="80">
                  <c:v>0.43710235788125756</c:v>
                </c:pt>
                <c:pt idx="81">
                  <c:v>0.50675079329674777</c:v>
                </c:pt>
                <c:pt idx="82">
                  <c:v>0.1554803880682081</c:v>
                </c:pt>
                <c:pt idx="83">
                  <c:v>0.19681733910587482</c:v>
                </c:pt>
                <c:pt idx="84">
                  <c:v>0.24293810635657515</c:v>
                </c:pt>
                <c:pt idx="85">
                  <c:v>0.29732680364536013</c:v>
                </c:pt>
                <c:pt idx="86">
                  <c:v>0.36721458076330876</c:v>
                </c:pt>
                <c:pt idx="87">
                  <c:v>0.43710235788125756</c:v>
                </c:pt>
                <c:pt idx="88">
                  <c:v>0.50675079329674777</c:v>
                </c:pt>
                <c:pt idx="89">
                  <c:v>0.1106344620337962</c:v>
                </c:pt>
                <c:pt idx="90">
                  <c:v>0.14377344806676662</c:v>
                </c:pt>
                <c:pt idx="91">
                  <c:v>0.18990028944419676</c:v>
                </c:pt>
                <c:pt idx="92">
                  <c:v>0.23602713082162688</c:v>
                </c:pt>
                <c:pt idx="93">
                  <c:v>0.28223309199558777</c:v>
                </c:pt>
                <c:pt idx="94">
                  <c:v>0.32843905316954863</c:v>
                </c:pt>
                <c:pt idx="95">
                  <c:v>0.37448677475044817</c:v>
                </c:pt>
                <c:pt idx="96">
                  <c:v>8.685477449725118E-2</c:v>
                </c:pt>
                <c:pt idx="97">
                  <c:v>0.1106344620337962</c:v>
                </c:pt>
                <c:pt idx="98">
                  <c:v>0.14377344806676662</c:v>
                </c:pt>
                <c:pt idx="99">
                  <c:v>0.18990028944419676</c:v>
                </c:pt>
                <c:pt idx="100">
                  <c:v>0.23602713082162688</c:v>
                </c:pt>
                <c:pt idx="101">
                  <c:v>0.28223309199558777</c:v>
                </c:pt>
                <c:pt idx="102">
                  <c:v>0.32843905316954863</c:v>
                </c:pt>
                <c:pt idx="103">
                  <c:v>0.37448677475044817</c:v>
                </c:pt>
                <c:pt idx="104">
                  <c:v>0.13797248193354791</c:v>
                </c:pt>
                <c:pt idx="105">
                  <c:v>0.16178299565649967</c:v>
                </c:pt>
                <c:pt idx="106">
                  <c:v>0.18567533245066428</c:v>
                </c:pt>
                <c:pt idx="107">
                  <c:v>0.20956766924482884</c:v>
                </c:pt>
                <c:pt idx="108">
                  <c:v>0.23346000603899358</c:v>
                </c:pt>
                <c:pt idx="109">
                  <c:v>0.16178299565649967</c:v>
                </c:pt>
                <c:pt idx="110">
                  <c:v>0.18567533245066428</c:v>
                </c:pt>
                <c:pt idx="111">
                  <c:v>0.20956766924482884</c:v>
                </c:pt>
                <c:pt idx="112">
                  <c:v>0.23346000603899358</c:v>
                </c:pt>
                <c:pt idx="113">
                  <c:v>7.2148609668635899E-2</c:v>
                </c:pt>
                <c:pt idx="114">
                  <c:v>0.12649536757740656</c:v>
                </c:pt>
                <c:pt idx="115">
                  <c:v>0.20676471345255315</c:v>
                </c:pt>
                <c:pt idx="116">
                  <c:v>0.12649536757740656</c:v>
                </c:pt>
                <c:pt idx="117">
                  <c:v>0.20676471345255315</c:v>
                </c:pt>
                <c:pt idx="118">
                  <c:v>9.4650621461279991E-2</c:v>
                </c:pt>
                <c:pt idx="119">
                  <c:v>0.13954127956816229</c:v>
                </c:pt>
                <c:pt idx="120">
                  <c:v>0.19311725018881382</c:v>
                </c:pt>
                <c:pt idx="121">
                  <c:v>9.4650621461279991E-2</c:v>
                </c:pt>
                <c:pt idx="122">
                  <c:v>0.13954127956816229</c:v>
                </c:pt>
                <c:pt idx="123">
                  <c:v>0.19311725018881382</c:v>
                </c:pt>
                <c:pt idx="124">
                  <c:v>0.1100971397502373</c:v>
                </c:pt>
                <c:pt idx="125">
                  <c:v>0.14559261818925504</c:v>
                </c:pt>
                <c:pt idx="126">
                  <c:v>0.1860396380605791</c:v>
                </c:pt>
                <c:pt idx="127">
                  <c:v>0.1100971397502373</c:v>
                </c:pt>
                <c:pt idx="128">
                  <c:v>0.14559261818925504</c:v>
                </c:pt>
                <c:pt idx="129">
                  <c:v>0.1860396380605791</c:v>
                </c:pt>
                <c:pt idx="130">
                  <c:v>0.20977002213391188</c:v>
                </c:pt>
                <c:pt idx="131">
                  <c:v>0.24159117361764032</c:v>
                </c:pt>
                <c:pt idx="132">
                  <c:v>0.28037055022581076</c:v>
                </c:pt>
                <c:pt idx="133">
                  <c:v>0.31698359275650057</c:v>
                </c:pt>
                <c:pt idx="134">
                  <c:v>0.36121264700812228</c:v>
                </c:pt>
                <c:pt idx="135">
                  <c:v>0.41114123614227466</c:v>
                </c:pt>
                <c:pt idx="136">
                  <c:v>0.47105554310325753</c:v>
                </c:pt>
                <c:pt idx="137">
                  <c:v>0.17642145537896448</c:v>
                </c:pt>
                <c:pt idx="138">
                  <c:v>0.20977002213391188</c:v>
                </c:pt>
                <c:pt idx="139">
                  <c:v>0.24379244856733817</c:v>
                </c:pt>
                <c:pt idx="140">
                  <c:v>0.27683278691379631</c:v>
                </c:pt>
                <c:pt idx="141">
                  <c:v>0.31698359275650057</c:v>
                </c:pt>
                <c:pt idx="142">
                  <c:v>0.35985229930240353</c:v>
                </c:pt>
                <c:pt idx="143">
                  <c:v>0.40614837722885949</c:v>
                </c:pt>
                <c:pt idx="144">
                  <c:v>0.45108410744959648</c:v>
                </c:pt>
                <c:pt idx="145">
                  <c:v>0.12448001593101213</c:v>
                </c:pt>
                <c:pt idx="146">
                  <c:v>0.17271575064382896</c:v>
                </c:pt>
                <c:pt idx="147">
                  <c:v>0.22130062120069757</c:v>
                </c:pt>
                <c:pt idx="148">
                  <c:v>0.26961706705835697</c:v>
                </c:pt>
                <c:pt idx="149">
                  <c:v>0.31739666351759815</c:v>
                </c:pt>
                <c:pt idx="150">
                  <c:v>0.36651838347288501</c:v>
                </c:pt>
                <c:pt idx="151">
                  <c:v>8.84597233908265E-2</c:v>
                </c:pt>
                <c:pt idx="152">
                  <c:v>0.12510105545756706</c:v>
                </c:pt>
                <c:pt idx="153">
                  <c:v>0.17191047654620123</c:v>
                </c:pt>
                <c:pt idx="154">
                  <c:v>0.21995849770465148</c:v>
                </c:pt>
                <c:pt idx="155">
                  <c:v>0.26988549175756621</c:v>
                </c:pt>
                <c:pt idx="156">
                  <c:v>0.31739666351759815</c:v>
                </c:pt>
                <c:pt idx="157">
                  <c:v>0.34048118764959079</c:v>
                </c:pt>
                <c:pt idx="158">
                  <c:v>0.27501332580010368</c:v>
                </c:pt>
                <c:pt idx="159">
                  <c:v>0.31156255576653796</c:v>
                </c:pt>
                <c:pt idx="160">
                  <c:v>0.31914595109013499</c:v>
                </c:pt>
                <c:pt idx="161">
                  <c:v>0.35216999699127649</c:v>
                </c:pt>
                <c:pt idx="162">
                  <c:v>0.3771548125030415</c:v>
                </c:pt>
                <c:pt idx="163">
                  <c:v>0.40994362049156363</c:v>
                </c:pt>
                <c:pt idx="164">
                  <c:v>0.43934048282610039</c:v>
                </c:pt>
                <c:pt idx="165">
                  <c:v>0.47439058791727873</c:v>
                </c:pt>
                <c:pt idx="166">
                  <c:v>0.27265776212243337</c:v>
                </c:pt>
                <c:pt idx="167">
                  <c:v>0.29666931444965422</c:v>
                </c:pt>
                <c:pt idx="168">
                  <c:v>0.31999417915757805</c:v>
                </c:pt>
                <c:pt idx="169">
                  <c:v>0.34508248018620474</c:v>
                </c:pt>
                <c:pt idx="170">
                  <c:v>0.37376286684905669</c:v>
                </c:pt>
                <c:pt idx="171">
                  <c:v>0.40994362049156363</c:v>
                </c:pt>
                <c:pt idx="172">
                  <c:v>0.44273242848008537</c:v>
                </c:pt>
                <c:pt idx="173">
                  <c:v>0.47212929081462224</c:v>
                </c:pt>
                <c:pt idx="174">
                  <c:v>0.29912619269410617</c:v>
                </c:pt>
                <c:pt idx="175">
                  <c:v>0.32339834860143718</c:v>
                </c:pt>
                <c:pt idx="176">
                  <c:v>0.35932955971050418</c:v>
                </c:pt>
                <c:pt idx="177">
                  <c:v>0.38393870381101147</c:v>
                </c:pt>
                <c:pt idx="178">
                  <c:v>0.40994362049156363</c:v>
                </c:pt>
                <c:pt idx="179">
                  <c:v>0.43820983427477217</c:v>
                </c:pt>
                <c:pt idx="180">
                  <c:v>0.47552123646860744</c:v>
                </c:pt>
                <c:pt idx="181">
                  <c:v>0.16897223598041747</c:v>
                </c:pt>
                <c:pt idx="182">
                  <c:v>0.2244579017601685</c:v>
                </c:pt>
                <c:pt idx="183">
                  <c:v>0.27975548053727639</c:v>
                </c:pt>
                <c:pt idx="184">
                  <c:v>0.16897223598041747</c:v>
                </c:pt>
                <c:pt idx="185">
                  <c:v>0.22370555374959566</c:v>
                </c:pt>
                <c:pt idx="186">
                  <c:v>0.27881504552406022</c:v>
                </c:pt>
                <c:pt idx="187">
                  <c:v>7.6052166346253336E-2</c:v>
                </c:pt>
                <c:pt idx="188">
                  <c:v>0.12014904823865298</c:v>
                </c:pt>
                <c:pt idx="189">
                  <c:v>0.1680318009672013</c:v>
                </c:pt>
                <c:pt idx="190">
                  <c:v>0.22220085772844975</c:v>
                </c:pt>
                <c:pt idx="191">
                  <c:v>0.29875226780424197</c:v>
                </c:pt>
                <c:pt idx="192">
                  <c:v>0.11112967472357412</c:v>
                </c:pt>
                <c:pt idx="193">
                  <c:v>0.17447193318140625</c:v>
                </c:pt>
                <c:pt idx="194">
                  <c:v>0.27340361669998869</c:v>
                </c:pt>
                <c:pt idx="195">
                  <c:v>0.11794821671353553</c:v>
                </c:pt>
                <c:pt idx="196">
                  <c:v>0.18309615198494922</c:v>
                </c:pt>
                <c:pt idx="197">
                  <c:v>0.25675785816356672</c:v>
                </c:pt>
                <c:pt idx="198">
                  <c:v>0.13179021349500475</c:v>
                </c:pt>
                <c:pt idx="199">
                  <c:v>0.22950476895125482</c:v>
                </c:pt>
                <c:pt idx="200">
                  <c:v>0.28813350222500478</c:v>
                </c:pt>
                <c:pt idx="201">
                  <c:v>0.33699077995312976</c:v>
                </c:pt>
                <c:pt idx="202">
                  <c:v>0.41516242431812972</c:v>
                </c:pt>
                <c:pt idx="203">
                  <c:v>0.46727599043108969</c:v>
                </c:pt>
                <c:pt idx="204">
                  <c:v>0.16752621909578566</c:v>
                </c:pt>
                <c:pt idx="205">
                  <c:v>0.20362194551252039</c:v>
                </c:pt>
                <c:pt idx="206">
                  <c:v>0.25003073661975095</c:v>
                </c:pt>
                <c:pt idx="207">
                  <c:v>0.27065686600074229</c:v>
                </c:pt>
                <c:pt idx="208">
                  <c:v>0.3170656571079728</c:v>
                </c:pt>
                <c:pt idx="209">
                  <c:v>0.40484276019873267</c:v>
                </c:pt>
                <c:pt idx="210">
                  <c:v>0.13419966539766751</c:v>
                </c:pt>
                <c:pt idx="211">
                  <c:v>0.16272765949974599</c:v>
                </c:pt>
                <c:pt idx="212">
                  <c:v>0.18840285419161665</c:v>
                </c:pt>
                <c:pt idx="213">
                  <c:v>0.21978364770390293</c:v>
                </c:pt>
                <c:pt idx="214">
                  <c:v>0.2511644412161893</c:v>
                </c:pt>
                <c:pt idx="215">
                  <c:v>0.27969243531826776</c:v>
                </c:pt>
                <c:pt idx="216">
                  <c:v>0.30822042942034616</c:v>
                </c:pt>
                <c:pt idx="217">
                  <c:v>0.33061738255264667</c:v>
                </c:pt>
                <c:pt idx="218">
                  <c:v>0.3001831883229612</c:v>
                </c:pt>
                <c:pt idx="219">
                  <c:v>0.3844332818818173</c:v>
                </c:pt>
                <c:pt idx="220">
                  <c:v>0.46464015145605214</c:v>
                </c:pt>
                <c:pt idx="221">
                  <c:v>0.16693000107002398</c:v>
                </c:pt>
                <c:pt idx="222">
                  <c:v>0.201752540208612</c:v>
                </c:pt>
                <c:pt idx="223">
                  <c:v>0.24652437624393947</c:v>
                </c:pt>
                <c:pt idx="224">
                  <c:v>0.26642297003741838</c:v>
                </c:pt>
                <c:pt idx="225">
                  <c:v>0.2962708607276367</c:v>
                </c:pt>
                <c:pt idx="226">
                  <c:v>0.31616945452111567</c:v>
                </c:pt>
                <c:pt idx="227">
                  <c:v>0.36492100931513882</c:v>
                </c:pt>
                <c:pt idx="228">
                  <c:v>0.40482410087816229</c:v>
                </c:pt>
                <c:pt idx="229">
                  <c:v>0.18134808592282184</c:v>
                </c:pt>
                <c:pt idx="230">
                  <c:v>0.19240743373165534</c:v>
                </c:pt>
                <c:pt idx="231">
                  <c:v>0.22005580325373927</c:v>
                </c:pt>
                <c:pt idx="232">
                  <c:v>0.2504690097280316</c:v>
                </c:pt>
                <c:pt idx="233">
                  <c:v>0.27811737925011548</c:v>
                </c:pt>
                <c:pt idx="234">
                  <c:v>0.303000911819991</c:v>
                </c:pt>
                <c:pt idx="235">
                  <c:v>0.33052135777379082</c:v>
                </c:pt>
                <c:pt idx="236">
                  <c:v>3.8596968092179766E-2</c:v>
                </c:pt>
                <c:pt idx="237">
                  <c:v>6.7647653042968173E-2</c:v>
                </c:pt>
                <c:pt idx="238">
                  <c:v>0.10634972385684166</c:v>
                </c:pt>
                <c:pt idx="239">
                  <c:v>0.13185876427251048</c:v>
                </c:pt>
                <c:pt idx="240">
                  <c:v>0.16117512415320437</c:v>
                </c:pt>
                <c:pt idx="241">
                  <c:v>0.20686295773350663</c:v>
                </c:pt>
                <c:pt idx="242">
                  <c:v>0.23008760647016038</c:v>
                </c:pt>
                <c:pt idx="243">
                  <c:v>0.26397274970888446</c:v>
                </c:pt>
                <c:pt idx="244">
                  <c:v>0.31773914093066064</c:v>
                </c:pt>
                <c:pt idx="245">
                  <c:v>0.35647441315660378</c:v>
                </c:pt>
                <c:pt idx="246">
                  <c:v>0.31942684488182999</c:v>
                </c:pt>
                <c:pt idx="247">
                  <c:v>0.35647441315660378</c:v>
                </c:pt>
                <c:pt idx="248">
                  <c:v>0.31942684488182999</c:v>
                </c:pt>
                <c:pt idx="249">
                  <c:v>0.35647441315660378</c:v>
                </c:pt>
                <c:pt idx="250">
                  <c:v>0.3211145488329995</c:v>
                </c:pt>
                <c:pt idx="251">
                  <c:v>0.35647441315660378</c:v>
                </c:pt>
                <c:pt idx="252">
                  <c:v>0.26705922088184081</c:v>
                </c:pt>
                <c:pt idx="253">
                  <c:v>0.37829420906230976</c:v>
                </c:pt>
                <c:pt idx="254">
                  <c:v>0.27006608977715413</c:v>
                </c:pt>
                <c:pt idx="255">
                  <c:v>0.37829420906230976</c:v>
                </c:pt>
                <c:pt idx="256">
                  <c:v>0.18715407179110796</c:v>
                </c:pt>
                <c:pt idx="257">
                  <c:v>0.3213019786086907</c:v>
                </c:pt>
                <c:pt idx="258">
                  <c:v>0.35558977789829044</c:v>
                </c:pt>
                <c:pt idx="259">
                  <c:v>0.18885214656095087</c:v>
                </c:pt>
                <c:pt idx="260">
                  <c:v>0.3230000533785336</c:v>
                </c:pt>
                <c:pt idx="261">
                  <c:v>0.10247434514056784</c:v>
                </c:pt>
                <c:pt idx="262">
                  <c:v>0.18555915799000014</c:v>
                </c:pt>
                <c:pt idx="263">
                  <c:v>0.27041104484597911</c:v>
                </c:pt>
                <c:pt idx="264">
                  <c:v>0.33401959911045176</c:v>
                </c:pt>
                <c:pt idx="265">
                  <c:v>0.10161972003559995</c:v>
                </c:pt>
                <c:pt idx="266">
                  <c:v>0.18341100895567153</c:v>
                </c:pt>
                <c:pt idx="267">
                  <c:v>0.26718882129448629</c:v>
                </c:pt>
                <c:pt idx="268">
                  <c:v>0.31638565265359381</c:v>
                </c:pt>
                <c:pt idx="269">
                  <c:v>0.35162528560688727</c:v>
                </c:pt>
                <c:pt idx="270">
                  <c:v>0.31638565265359381</c:v>
                </c:pt>
                <c:pt idx="271">
                  <c:v>0.35162528560688727</c:v>
                </c:pt>
                <c:pt idx="272">
                  <c:v>0.13239376928063259</c:v>
                </c:pt>
                <c:pt idx="273">
                  <c:v>0.17633003721722093</c:v>
                </c:pt>
                <c:pt idx="274">
                  <c:v>0.21916789845539458</c:v>
                </c:pt>
                <c:pt idx="275">
                  <c:v>0.26310416639198281</c:v>
                </c:pt>
                <c:pt idx="276">
                  <c:v>0.30484362093174178</c:v>
                </c:pt>
                <c:pt idx="277">
                  <c:v>0.33097953272659097</c:v>
                </c:pt>
                <c:pt idx="278">
                  <c:v>0.21916789845539458</c:v>
                </c:pt>
                <c:pt idx="279">
                  <c:v>0.26090735299515344</c:v>
                </c:pt>
                <c:pt idx="280">
                  <c:v>0.30484362093174178</c:v>
                </c:pt>
                <c:pt idx="281">
                  <c:v>0.33097953272659097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0-428B-9817-BBEE7BAB0D07}"/>
            </c:ext>
          </c:extLst>
        </c:ser>
        <c:ser>
          <c:idx val="5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'Gráficos finais'!$A$2:$A$3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finais'!$B$2:$B$3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0-428B-9817-BBEE7BAB0D07}"/>
            </c:ext>
          </c:extLst>
        </c:ser>
        <c:ser>
          <c:idx val="6"/>
          <c:order val="2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finais'!$C$2:$C$3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xVal>
          <c:yVal>
            <c:numRef>
              <c:f>'Gráficos finais'!$D$2:$D$3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20-428B-9817-BBEE7BAB0D07}"/>
            </c:ext>
          </c:extLst>
        </c:ser>
        <c:ser>
          <c:idx val="7"/>
          <c:order val="3"/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'Gráficos finais'!$E$2:$E$3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finais'!$F$2:$F$3</c:f>
              <c:numCache>
                <c:formatCode>General</c:formatCode>
                <c:ptCount val="2"/>
                <c:pt idx="0">
                  <c:v>0</c:v>
                </c:pt>
                <c:pt idx="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20-428B-9817-BBEE7BAB0D07}"/>
            </c:ext>
          </c:extLst>
        </c:ser>
        <c:ser>
          <c:idx val="1"/>
          <c:order val="4"/>
          <c:spPr>
            <a:ln w="19050">
              <a:solidFill>
                <a:schemeClr val="tx1"/>
              </a:solidFill>
              <a:prstDash val="dashDot"/>
            </a:ln>
          </c:spPr>
          <c:marker>
            <c:symbol val="none"/>
          </c:marker>
          <c:xVal>
            <c:numRef>
              <c:f>'Gráficos finais'!$G$2:$G$3</c:f>
              <c:numCache>
                <c:formatCode>General</c:formatCode>
                <c:ptCount val="2"/>
                <c:pt idx="0">
                  <c:v>0</c:v>
                </c:pt>
                <c:pt idx="1">
                  <c:v>0.96000000000000008</c:v>
                </c:pt>
              </c:numCache>
            </c:numRef>
          </c:xVal>
          <c:yVal>
            <c:numRef>
              <c:f>'Gráficos finais'!$H$2:$H$3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20-428B-9817-BBEE7BAB0D07}"/>
            </c:ext>
          </c:extLst>
        </c:ser>
        <c:ser>
          <c:idx val="2"/>
          <c:order val="5"/>
          <c:spPr>
            <a:ln w="19050">
              <a:solidFill>
                <a:schemeClr val="tx1"/>
              </a:solidFill>
              <a:prstDash val="dashDot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7-9A20-428B-9817-BBEE7BAB0D07}"/>
              </c:ext>
            </c:extLst>
          </c:dPt>
          <c:xVal>
            <c:numRef>
              <c:f>'Gráficos finais'!$I$2:$I$3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'Gráficos finais'!$J$2:$J$3</c:f>
              <c:numCache>
                <c:formatCode>General</c:formatCode>
                <c:ptCount val="2"/>
                <c:pt idx="0">
                  <c:v>0</c:v>
                </c:pt>
                <c:pt idx="1">
                  <c:v>0.96000000000000008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20-428B-9817-BBEE7BAB0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919616"/>
        <c:axId val="1"/>
      </c:scatterChart>
      <c:valAx>
        <c:axId val="1428919616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real (mm)</a:t>
                </a:r>
                <a:endParaRPr lang="pt-BR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vert="horz" anchor="b" anchorCtr="1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pt-BR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Abertura de fissura estimada (mm)</a:t>
                </a:r>
              </a:p>
            </c:rich>
          </c:tx>
          <c:layout>
            <c:manualLayout>
              <c:xMode val="edge"/>
              <c:yMode val="edge"/>
              <c:x val="7.5165557083771289E-3"/>
              <c:y val="5.500664209161435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8919616"/>
        <c:crosses val="autoZero"/>
        <c:crossBetween val="midCat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6360065825652106"/>
          <c:y val="4.4610799807164939E-2"/>
          <c:w val="0.10990771049713093"/>
          <c:h val="5.335335938882040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_xlchart.v1.27</cx:f>
              <cx:v>Diâmetro da armadura f (mm)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_xlchart.v1.53</cx:f>
              <cx:v>Número de barras em uma camada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_xlchart.v1.61</cx:f>
              <cx:v>Espaçamento entre as barras (mm)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_xlchart.v1.6</cx:f>
              <cx:v>Resistência à tração do concreto fctm (MPa)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_xlchart.v1.38</cx:f>
              <cx:v>Cobrimento c (mm)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_xlchart.v1.57</cx:f>
              <cx:v>Distância ao centro de gravidade da armadura d' (mm)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_xlchart.v1.49</cx:f>
              <cx:v>Taxa de armadura 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plotArea>
      <cx:plotAreaRegion>
        <cx:series layoutId="clusteredColumn" uniqueId="{7BDD9CF2-C44A-444F-8FCA-AA08E291A273}">
          <cx:tx>
            <cx:txData>
              <cx:f>_xlchart.v1.34</cx:f>
              <cx:v>Tensão na armadura (MPa)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Quantidade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pt-BR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Quantidade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_xlchart.v1.65</cx:f>
              <cx:v>Diâmetro da armadura f (mm)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>
          <cx:spPr>
            <a:ln>
              <a:solidFill>
                <a:schemeClr val="accent1">
                  <a:alpha val="97000"/>
                </a:schemeClr>
              </a:solidFill>
            </a:ln>
          </cx:spPr>
        </cx:majorGridlines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_xlchart.v1.19</cx:f>
              <cx:v>Número de barras em uma camada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_xlchart.v1.23</cx:f>
              <cx:v>Espaçamento entre as barras (mm)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_xlchart.v1.3</cx:f>
              <cx:v>Resistência à tração do concreto fctm (MPa)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_xlchart.v1.43</cx:f>
              <cx:v>Cobrimento c (mm)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_xlchart.v1.11</cx:f>
              <cx:v>Distância ao centro de gravidade da armadura d' (mm)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_xlchart.v1.15</cx:f>
              <cx:v>Taxa de armadura r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plotArea>
      <cx:plotAreaRegion>
        <cx:series layoutId="clusteredColumn" uniqueId="{6F980EFD-D959-4D61-B8F9-1005CB7ACBE5}">
          <cx:tx>
            <cx:txData>
              <cx:f>_xlchart.v1.31</cx:f>
              <cx:v>Tensão na armadura (MPa)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26ACE7E-F990-4E55-A465-DFC76CA8432D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microsoft.com/office/2014/relationships/chartEx" Target="../charts/chartEx5.xml"/><Relationship Id="rId26" Type="http://schemas.microsoft.com/office/2014/relationships/chartEx" Target="../charts/chartEx13.xml"/><Relationship Id="rId3" Type="http://schemas.openxmlformats.org/officeDocument/2006/relationships/chart" Target="../charts/chart3.xml"/><Relationship Id="rId21" Type="http://schemas.microsoft.com/office/2014/relationships/chartEx" Target="../charts/chartEx8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microsoft.com/office/2014/relationships/chartEx" Target="../charts/chartEx4.xml"/><Relationship Id="rId25" Type="http://schemas.microsoft.com/office/2014/relationships/chartEx" Target="../charts/chartEx12.xml"/><Relationship Id="rId2" Type="http://schemas.openxmlformats.org/officeDocument/2006/relationships/chart" Target="../charts/chart2.xml"/><Relationship Id="rId16" Type="http://schemas.microsoft.com/office/2014/relationships/chartEx" Target="../charts/chartEx3.xml"/><Relationship Id="rId20" Type="http://schemas.microsoft.com/office/2014/relationships/chartEx" Target="../charts/chartEx7.xml"/><Relationship Id="rId29" Type="http://schemas.microsoft.com/office/2014/relationships/chartEx" Target="../charts/chartEx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microsoft.com/office/2014/relationships/chartEx" Target="../charts/chartEx11.xml"/><Relationship Id="rId5" Type="http://schemas.openxmlformats.org/officeDocument/2006/relationships/chart" Target="../charts/chart5.xml"/><Relationship Id="rId15" Type="http://schemas.microsoft.com/office/2014/relationships/chartEx" Target="../charts/chartEx2.xml"/><Relationship Id="rId23" Type="http://schemas.microsoft.com/office/2014/relationships/chartEx" Target="../charts/chartEx10.xml"/><Relationship Id="rId28" Type="http://schemas.microsoft.com/office/2014/relationships/chartEx" Target="../charts/chartEx15.xml"/><Relationship Id="rId10" Type="http://schemas.openxmlformats.org/officeDocument/2006/relationships/chart" Target="../charts/chart10.xml"/><Relationship Id="rId19" Type="http://schemas.microsoft.com/office/2014/relationships/chartEx" Target="../charts/chartEx6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1.xml"/><Relationship Id="rId22" Type="http://schemas.microsoft.com/office/2014/relationships/chartEx" Target="../charts/chartEx9.xml"/><Relationship Id="rId27" Type="http://schemas.microsoft.com/office/2014/relationships/chartEx" Target="../charts/chartEx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10</xdr:col>
      <xdr:colOff>7618</xdr:colOff>
      <xdr:row>28</xdr:row>
      <xdr:rowOff>72935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217659D8-E7A8-443E-A340-8957823F3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</xdr:row>
      <xdr:rowOff>0</xdr:rowOff>
    </xdr:from>
    <xdr:to>
      <xdr:col>21</xdr:col>
      <xdr:colOff>7618</xdr:colOff>
      <xdr:row>28</xdr:row>
      <xdr:rowOff>72935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A11454-EC77-403E-95AF-0FECBCAA9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527957</xdr:colOff>
      <xdr:row>142</xdr:row>
      <xdr:rowOff>163285</xdr:rowOff>
    </xdr:from>
    <xdr:to>
      <xdr:col>10</xdr:col>
      <xdr:colOff>535575</xdr:colOff>
      <xdr:row>163</xdr:row>
      <xdr:rowOff>67492</xdr:rowOff>
    </xdr:to>
    <xdr:graphicFrame macro="">
      <xdr:nvGraphicFramePr>
        <xdr:cNvPr id="13" name="Gráfico 2">
          <a:extLst>
            <a:ext uri="{FF2B5EF4-FFF2-40B4-BE49-F238E27FC236}">
              <a16:creationId xmlns:a16="http://schemas.microsoft.com/office/drawing/2014/main" id="{4AE69A27-5A00-4AA8-B24B-168C03681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420189</xdr:colOff>
      <xdr:row>8</xdr:row>
      <xdr:rowOff>56606</xdr:rowOff>
    </xdr:from>
    <xdr:ext cx="49879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4580C566-456B-3011-EB28-9096F1BABD2A}"/>
            </a:ext>
          </a:extLst>
        </xdr:cNvPr>
        <xdr:cNvSpPr txBox="1"/>
      </xdr:nvSpPr>
      <xdr:spPr>
        <a:xfrm>
          <a:off x="10783389" y="1428206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19</xdr:col>
      <xdr:colOff>109946</xdr:colOff>
      <xdr:row>15</xdr:row>
      <xdr:rowOff>140426</xdr:rowOff>
    </xdr:from>
    <xdr:ext cx="471732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8441BB8-A3A3-4DE7-B997-65B2A2978D6D}"/>
            </a:ext>
          </a:extLst>
        </xdr:cNvPr>
        <xdr:cNvSpPr txBox="1"/>
      </xdr:nvSpPr>
      <xdr:spPr>
        <a:xfrm>
          <a:off x="11692346" y="2685506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twoCellAnchor>
    <xdr:from>
      <xdr:col>13</xdr:col>
      <xdr:colOff>0</xdr:colOff>
      <xdr:row>29</xdr:row>
      <xdr:rowOff>168728</xdr:rowOff>
    </xdr:from>
    <xdr:to>
      <xdr:col>21</xdr:col>
      <xdr:colOff>7618</xdr:colOff>
      <xdr:row>50</xdr:row>
      <xdr:rowOff>45720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2BDE1DD-18EB-4BC8-8F1C-F9ABF685F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52</xdr:row>
      <xdr:rowOff>0</xdr:rowOff>
    </xdr:from>
    <xdr:to>
      <xdr:col>21</xdr:col>
      <xdr:colOff>7618</xdr:colOff>
      <xdr:row>72</xdr:row>
      <xdr:rowOff>72934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AB583A1-6217-481F-953C-32946FD83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74</xdr:row>
      <xdr:rowOff>0</xdr:rowOff>
    </xdr:from>
    <xdr:to>
      <xdr:col>21</xdr:col>
      <xdr:colOff>7618</xdr:colOff>
      <xdr:row>94</xdr:row>
      <xdr:rowOff>72935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FAFC1D58-BB86-445D-AD9B-7C270DD0D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95</xdr:row>
      <xdr:rowOff>168728</xdr:rowOff>
    </xdr:from>
    <xdr:to>
      <xdr:col>21</xdr:col>
      <xdr:colOff>7618</xdr:colOff>
      <xdr:row>116</xdr:row>
      <xdr:rowOff>72934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D2FA0A9-ADC7-4B6A-B192-9C6C66CFB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17</xdr:col>
      <xdr:colOff>145868</xdr:colOff>
      <xdr:row>31</xdr:row>
      <xdr:rowOff>103415</xdr:rowOff>
    </xdr:from>
    <xdr:ext cx="49879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683B0864-537A-4E12-8324-57C3F95EA0A8}"/>
            </a:ext>
          </a:extLst>
        </xdr:cNvPr>
        <xdr:cNvSpPr txBox="1"/>
      </xdr:nvSpPr>
      <xdr:spPr>
        <a:xfrm>
          <a:off x="10509068" y="5330735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19</xdr:col>
      <xdr:colOff>376645</xdr:colOff>
      <xdr:row>36</xdr:row>
      <xdr:rowOff>60960</xdr:rowOff>
    </xdr:from>
    <xdr:ext cx="471732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2971A83F-EEE2-48A4-B22E-CF698A2CF2CE}"/>
            </a:ext>
          </a:extLst>
        </xdr:cNvPr>
        <xdr:cNvSpPr txBox="1"/>
      </xdr:nvSpPr>
      <xdr:spPr>
        <a:xfrm>
          <a:off x="11959045" y="6156960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18</xdr:col>
      <xdr:colOff>330926</xdr:colOff>
      <xdr:row>52</xdr:row>
      <xdr:rowOff>99060</xdr:rowOff>
    </xdr:from>
    <xdr:ext cx="49879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B79445E-55CC-44A6-BC55-75C2ED8DE4CD}"/>
            </a:ext>
          </a:extLst>
        </xdr:cNvPr>
        <xdr:cNvSpPr txBox="1"/>
      </xdr:nvSpPr>
      <xdr:spPr>
        <a:xfrm>
          <a:off x="11303726" y="8877300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19</xdr:col>
      <xdr:colOff>584563</xdr:colOff>
      <xdr:row>57</xdr:row>
      <xdr:rowOff>99059</xdr:rowOff>
    </xdr:from>
    <xdr:ext cx="471732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6A2DA841-6391-4A74-890E-115619F6CF17}"/>
            </a:ext>
          </a:extLst>
        </xdr:cNvPr>
        <xdr:cNvSpPr txBox="1"/>
      </xdr:nvSpPr>
      <xdr:spPr>
        <a:xfrm>
          <a:off x="12166963" y="9715499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18</xdr:col>
      <xdr:colOff>357051</xdr:colOff>
      <xdr:row>74</xdr:row>
      <xdr:rowOff>102326</xdr:rowOff>
    </xdr:from>
    <xdr:ext cx="49879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F78D6EA-9242-4FFD-888D-BF55D24ED06C}"/>
            </a:ext>
          </a:extLst>
        </xdr:cNvPr>
        <xdr:cNvSpPr txBox="1"/>
      </xdr:nvSpPr>
      <xdr:spPr>
        <a:xfrm>
          <a:off x="11329851" y="12568646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19</xdr:col>
      <xdr:colOff>420188</xdr:colOff>
      <xdr:row>77</xdr:row>
      <xdr:rowOff>163286</xdr:rowOff>
    </xdr:from>
    <xdr:ext cx="471732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71BC763F-3EF1-4878-8A80-B68BEB803CC5}"/>
            </a:ext>
          </a:extLst>
        </xdr:cNvPr>
        <xdr:cNvSpPr txBox="1"/>
      </xdr:nvSpPr>
      <xdr:spPr>
        <a:xfrm>
          <a:off x="12002588" y="13132526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17</xdr:col>
      <xdr:colOff>401682</xdr:colOff>
      <xdr:row>96</xdr:row>
      <xdr:rowOff>67492</xdr:rowOff>
    </xdr:from>
    <xdr:ext cx="49879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B50050F0-0BC3-4EE1-8206-BD7AF659D930}"/>
            </a:ext>
          </a:extLst>
        </xdr:cNvPr>
        <xdr:cNvSpPr txBox="1"/>
      </xdr:nvSpPr>
      <xdr:spPr>
        <a:xfrm>
          <a:off x="10764882" y="16221892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19</xdr:col>
      <xdr:colOff>388619</xdr:colOff>
      <xdr:row>100</xdr:row>
      <xdr:rowOff>90351</xdr:rowOff>
    </xdr:from>
    <xdr:ext cx="471732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7FF4DCF6-F9A4-440B-9C9F-D576F8698F96}"/>
            </a:ext>
          </a:extLst>
        </xdr:cNvPr>
        <xdr:cNvSpPr txBox="1"/>
      </xdr:nvSpPr>
      <xdr:spPr>
        <a:xfrm>
          <a:off x="11971019" y="16915311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8</xdr:col>
      <xdr:colOff>214448</xdr:colOff>
      <xdr:row>143</xdr:row>
      <xdr:rowOff>148046</xdr:rowOff>
    </xdr:from>
    <xdr:ext cx="49879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60A16E9B-BADD-E824-5808-DA6DCC2B6E92}"/>
            </a:ext>
          </a:extLst>
        </xdr:cNvPr>
        <xdr:cNvSpPr txBox="1"/>
      </xdr:nvSpPr>
      <xdr:spPr>
        <a:xfrm>
          <a:off x="5091248" y="24181526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9</xdr:col>
      <xdr:colOff>292825</xdr:colOff>
      <xdr:row>147</xdr:row>
      <xdr:rowOff>15240</xdr:rowOff>
    </xdr:from>
    <xdr:ext cx="471732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F05E7E99-337A-A1E2-EE02-32CE702DE746}"/>
            </a:ext>
          </a:extLst>
        </xdr:cNvPr>
        <xdr:cNvSpPr txBox="1"/>
      </xdr:nvSpPr>
      <xdr:spPr>
        <a:xfrm>
          <a:off x="5779225" y="24719280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twoCellAnchor>
    <xdr:from>
      <xdr:col>3</xdr:col>
      <xdr:colOff>0</xdr:colOff>
      <xdr:row>32</xdr:row>
      <xdr:rowOff>168728</xdr:rowOff>
    </xdr:from>
    <xdr:to>
      <xdr:col>11</xdr:col>
      <xdr:colOff>7618</xdr:colOff>
      <xdr:row>53</xdr:row>
      <xdr:rowOff>72935</xdr:rowOff>
    </xdr:to>
    <xdr:graphicFrame macro="">
      <xdr:nvGraphicFramePr>
        <xdr:cNvPr id="31" name="Gráfico 2">
          <a:extLst>
            <a:ext uri="{FF2B5EF4-FFF2-40B4-BE49-F238E27FC236}">
              <a16:creationId xmlns:a16="http://schemas.microsoft.com/office/drawing/2014/main" id="{3E36A935-85BB-4E5B-BD68-65A93DDF6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55</xdr:row>
      <xdr:rowOff>0</xdr:rowOff>
    </xdr:from>
    <xdr:to>
      <xdr:col>11</xdr:col>
      <xdr:colOff>7618</xdr:colOff>
      <xdr:row>75</xdr:row>
      <xdr:rowOff>72936</xdr:rowOff>
    </xdr:to>
    <xdr:graphicFrame macro="">
      <xdr:nvGraphicFramePr>
        <xdr:cNvPr id="32" name="Gráfico 2">
          <a:extLst>
            <a:ext uri="{FF2B5EF4-FFF2-40B4-BE49-F238E27FC236}">
              <a16:creationId xmlns:a16="http://schemas.microsoft.com/office/drawing/2014/main" id="{8C90A10D-468A-46CA-8CF9-1027ADB97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77</xdr:row>
      <xdr:rowOff>0</xdr:rowOff>
    </xdr:from>
    <xdr:to>
      <xdr:col>11</xdr:col>
      <xdr:colOff>7618</xdr:colOff>
      <xdr:row>97</xdr:row>
      <xdr:rowOff>72936</xdr:rowOff>
    </xdr:to>
    <xdr:graphicFrame macro="">
      <xdr:nvGraphicFramePr>
        <xdr:cNvPr id="33" name="Gráfico 2">
          <a:extLst>
            <a:ext uri="{FF2B5EF4-FFF2-40B4-BE49-F238E27FC236}">
              <a16:creationId xmlns:a16="http://schemas.microsoft.com/office/drawing/2014/main" id="{FD452DE7-77B6-45D7-B880-A3C4C03B4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99</xdr:row>
      <xdr:rowOff>0</xdr:rowOff>
    </xdr:from>
    <xdr:to>
      <xdr:col>11</xdr:col>
      <xdr:colOff>7618</xdr:colOff>
      <xdr:row>119</xdr:row>
      <xdr:rowOff>72935</xdr:rowOff>
    </xdr:to>
    <xdr:graphicFrame macro="">
      <xdr:nvGraphicFramePr>
        <xdr:cNvPr id="34" name="Gráfico 2">
          <a:extLst>
            <a:ext uri="{FF2B5EF4-FFF2-40B4-BE49-F238E27FC236}">
              <a16:creationId xmlns:a16="http://schemas.microsoft.com/office/drawing/2014/main" id="{305CA645-A405-461E-A890-D358DD436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121</xdr:row>
      <xdr:rowOff>0</xdr:rowOff>
    </xdr:from>
    <xdr:to>
      <xdr:col>11</xdr:col>
      <xdr:colOff>7618</xdr:colOff>
      <xdr:row>141</xdr:row>
      <xdr:rowOff>72936</xdr:rowOff>
    </xdr:to>
    <xdr:graphicFrame macro="">
      <xdr:nvGraphicFramePr>
        <xdr:cNvPr id="35" name="Gráfico 2">
          <a:extLst>
            <a:ext uri="{FF2B5EF4-FFF2-40B4-BE49-F238E27FC236}">
              <a16:creationId xmlns:a16="http://schemas.microsoft.com/office/drawing/2014/main" id="{9186AD4D-C3DC-44A4-BB7C-F8AEBEA79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7</xdr:col>
      <xdr:colOff>396240</xdr:colOff>
      <xdr:row>33</xdr:row>
      <xdr:rowOff>109945</xdr:rowOff>
    </xdr:from>
    <xdr:ext cx="49879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15425ADE-F79A-4C08-925B-DF4FC8E85F1F}"/>
            </a:ext>
          </a:extLst>
        </xdr:cNvPr>
        <xdr:cNvSpPr txBox="1"/>
      </xdr:nvSpPr>
      <xdr:spPr>
        <a:xfrm>
          <a:off x="4663440" y="5703025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9</xdr:col>
      <xdr:colOff>498566</xdr:colOff>
      <xdr:row>36</xdr:row>
      <xdr:rowOff>155665</xdr:rowOff>
    </xdr:from>
    <xdr:ext cx="471732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9F8AFDEF-2FEA-4FFD-8807-834C3E5398B3}"/>
            </a:ext>
          </a:extLst>
        </xdr:cNvPr>
        <xdr:cNvSpPr txBox="1"/>
      </xdr:nvSpPr>
      <xdr:spPr>
        <a:xfrm>
          <a:off x="5984966" y="6251665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7</xdr:col>
      <xdr:colOff>295003</xdr:colOff>
      <xdr:row>55</xdr:row>
      <xdr:rowOff>153488</xdr:rowOff>
    </xdr:from>
    <xdr:ext cx="49879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93183A13-2097-4663-870C-CE9A94EDA1BD}"/>
            </a:ext>
          </a:extLst>
        </xdr:cNvPr>
        <xdr:cNvSpPr txBox="1"/>
      </xdr:nvSpPr>
      <xdr:spPr>
        <a:xfrm>
          <a:off x="4562203" y="9434648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9</xdr:col>
      <xdr:colOff>473528</xdr:colOff>
      <xdr:row>58</xdr:row>
      <xdr:rowOff>129539</xdr:rowOff>
    </xdr:from>
    <xdr:ext cx="471732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6A28A61F-E80B-4499-8E6E-05D19670D360}"/>
            </a:ext>
          </a:extLst>
        </xdr:cNvPr>
        <xdr:cNvSpPr txBox="1"/>
      </xdr:nvSpPr>
      <xdr:spPr>
        <a:xfrm>
          <a:off x="5959928" y="9913619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7</xdr:col>
      <xdr:colOff>366848</xdr:colOff>
      <xdr:row>77</xdr:row>
      <xdr:rowOff>119743</xdr:rowOff>
    </xdr:from>
    <xdr:ext cx="49879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87392276-2EDE-4CBA-AEEE-00E3D2D9C69F}"/>
            </a:ext>
          </a:extLst>
        </xdr:cNvPr>
        <xdr:cNvSpPr txBox="1"/>
      </xdr:nvSpPr>
      <xdr:spPr>
        <a:xfrm>
          <a:off x="4634048" y="13088983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9</xdr:col>
      <xdr:colOff>470262</xdr:colOff>
      <xdr:row>83</xdr:row>
      <xdr:rowOff>54428</xdr:rowOff>
    </xdr:from>
    <xdr:ext cx="471732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841376A-11A6-4B2C-8345-379B355AAEBC}"/>
            </a:ext>
          </a:extLst>
        </xdr:cNvPr>
        <xdr:cNvSpPr txBox="1"/>
      </xdr:nvSpPr>
      <xdr:spPr>
        <a:xfrm>
          <a:off x="5956662" y="14029508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7</xdr:col>
      <xdr:colOff>252549</xdr:colOff>
      <xdr:row>99</xdr:row>
      <xdr:rowOff>133894</xdr:rowOff>
    </xdr:from>
    <xdr:ext cx="49879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7F5E78E6-FA38-4E8B-AA7B-6A59B3E05871}"/>
            </a:ext>
          </a:extLst>
        </xdr:cNvPr>
        <xdr:cNvSpPr txBox="1"/>
      </xdr:nvSpPr>
      <xdr:spPr>
        <a:xfrm>
          <a:off x="4519749" y="16791214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9</xdr:col>
      <xdr:colOff>463732</xdr:colOff>
      <xdr:row>102</xdr:row>
      <xdr:rowOff>160019</xdr:rowOff>
    </xdr:from>
    <xdr:ext cx="471732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6681741E-0F1C-4520-B26B-5F1756C7DF1C}"/>
            </a:ext>
          </a:extLst>
        </xdr:cNvPr>
        <xdr:cNvSpPr txBox="1"/>
      </xdr:nvSpPr>
      <xdr:spPr>
        <a:xfrm>
          <a:off x="5950132" y="17320259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7</xdr:col>
      <xdr:colOff>239486</xdr:colOff>
      <xdr:row>121</xdr:row>
      <xdr:rowOff>160020</xdr:rowOff>
    </xdr:from>
    <xdr:ext cx="49879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494413EF-D73C-4DDD-AA0E-67A8F01EAD83}"/>
            </a:ext>
          </a:extLst>
        </xdr:cNvPr>
        <xdr:cNvSpPr txBox="1"/>
      </xdr:nvSpPr>
      <xdr:spPr>
        <a:xfrm>
          <a:off x="4506686" y="20505420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9</xdr:col>
      <xdr:colOff>542109</xdr:colOff>
      <xdr:row>124</xdr:row>
      <xdr:rowOff>81643</xdr:rowOff>
    </xdr:from>
    <xdr:ext cx="471732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B3694A7-FD6B-47BB-A6E0-C5AA05994A3C}"/>
            </a:ext>
          </a:extLst>
        </xdr:cNvPr>
        <xdr:cNvSpPr txBox="1"/>
      </xdr:nvSpPr>
      <xdr:spPr>
        <a:xfrm>
          <a:off x="6028509" y="20929963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twoCellAnchor>
    <xdr:from>
      <xdr:col>12</xdr:col>
      <xdr:colOff>609599</xdr:colOff>
      <xdr:row>118</xdr:row>
      <xdr:rowOff>0</xdr:rowOff>
    </xdr:from>
    <xdr:to>
      <xdr:col>21</xdr:col>
      <xdr:colOff>76200</xdr:colOff>
      <xdr:row>138</xdr:row>
      <xdr:rowOff>141515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2AE52A-B3E7-4B4E-9220-FB4B2608E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17</xdr:col>
      <xdr:colOff>351608</xdr:colOff>
      <xdr:row>119</xdr:row>
      <xdr:rowOff>4355</xdr:rowOff>
    </xdr:from>
    <xdr:ext cx="49879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9EA2538-6B63-4E9C-8827-9598C93FB7C2}"/>
            </a:ext>
          </a:extLst>
        </xdr:cNvPr>
        <xdr:cNvSpPr txBox="1"/>
      </xdr:nvSpPr>
      <xdr:spPr>
        <a:xfrm>
          <a:off x="10714808" y="20014475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+40%</a:t>
          </a:r>
        </a:p>
      </xdr:txBody>
    </xdr:sp>
    <xdr:clientData/>
  </xdr:oneCellAnchor>
  <xdr:oneCellAnchor>
    <xdr:from>
      <xdr:col>19</xdr:col>
      <xdr:colOff>354874</xdr:colOff>
      <xdr:row>124</xdr:row>
      <xdr:rowOff>93618</xdr:rowOff>
    </xdr:from>
    <xdr:ext cx="471732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95FBEF7-38A6-413C-BD4C-D0F0D501408F}"/>
            </a:ext>
          </a:extLst>
        </xdr:cNvPr>
        <xdr:cNvSpPr txBox="1"/>
      </xdr:nvSpPr>
      <xdr:spPr>
        <a:xfrm>
          <a:off x="11937274" y="20941938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-40%</a:t>
          </a:r>
        </a:p>
      </xdr:txBody>
    </xdr:sp>
    <xdr:clientData/>
  </xdr:oneCellAnchor>
  <xdr:oneCellAnchor>
    <xdr:from>
      <xdr:col>18</xdr:col>
      <xdr:colOff>574765</xdr:colOff>
      <xdr:row>119</xdr:row>
      <xdr:rowOff>121920</xdr:rowOff>
    </xdr:from>
    <xdr:ext cx="49879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83360A0-AABE-410E-A107-A444E7688628}"/>
            </a:ext>
          </a:extLst>
        </xdr:cNvPr>
        <xdr:cNvSpPr txBox="1"/>
      </xdr:nvSpPr>
      <xdr:spPr>
        <a:xfrm>
          <a:off x="11547565" y="20132040"/>
          <a:ext cx="498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+20%</a:t>
          </a:r>
        </a:p>
      </xdr:txBody>
    </xdr:sp>
    <xdr:clientData/>
  </xdr:oneCellAnchor>
  <xdr:oneCellAnchor>
    <xdr:from>
      <xdr:col>19</xdr:col>
      <xdr:colOff>580208</xdr:colOff>
      <xdr:row>120</xdr:row>
      <xdr:rowOff>32658</xdr:rowOff>
    </xdr:from>
    <xdr:ext cx="471732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5B3D71D-337B-43A3-A8D8-C540194C0873}"/>
            </a:ext>
          </a:extLst>
        </xdr:cNvPr>
        <xdr:cNvSpPr txBox="1"/>
      </xdr:nvSpPr>
      <xdr:spPr>
        <a:xfrm>
          <a:off x="12162608" y="20210418"/>
          <a:ext cx="471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-20%</a:t>
          </a:r>
        </a:p>
      </xdr:txBody>
    </xdr:sp>
    <xdr:clientData/>
  </xdr:oneCellAnchor>
  <xdr:twoCellAnchor>
    <xdr:from>
      <xdr:col>4</xdr:col>
      <xdr:colOff>518160</xdr:colOff>
      <xdr:row>168</xdr:row>
      <xdr:rowOff>129540</xdr:rowOff>
    </xdr:from>
    <xdr:to>
      <xdr:col>12</xdr:col>
      <xdr:colOff>419100</xdr:colOff>
      <xdr:row>189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3704C9D7-BE15-4873-BEDA-20A87FFE4C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6560" y="2835402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192</xdr:row>
      <xdr:rowOff>0</xdr:rowOff>
    </xdr:from>
    <xdr:to>
      <xdr:col>12</xdr:col>
      <xdr:colOff>510540</xdr:colOff>
      <xdr:row>212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6BB878D8-16AC-4B25-9219-484B935760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3224784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216</xdr:row>
      <xdr:rowOff>0</xdr:rowOff>
    </xdr:from>
    <xdr:to>
      <xdr:col>12</xdr:col>
      <xdr:colOff>510540</xdr:colOff>
      <xdr:row>236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CD4C8732-3D88-4A66-8A82-89EDE4FC2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3627120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240</xdr:row>
      <xdr:rowOff>0</xdr:rowOff>
    </xdr:from>
    <xdr:to>
      <xdr:col>12</xdr:col>
      <xdr:colOff>510540</xdr:colOff>
      <xdr:row>260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7958DC64-51D5-47E0-85CB-B167F92308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4029456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264</xdr:row>
      <xdr:rowOff>0</xdr:rowOff>
    </xdr:from>
    <xdr:to>
      <xdr:col>12</xdr:col>
      <xdr:colOff>510540</xdr:colOff>
      <xdr:row>284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Gráfico 39">
              <a:extLst>
                <a:ext uri="{FF2B5EF4-FFF2-40B4-BE49-F238E27FC236}">
                  <a16:creationId xmlns:a16="http://schemas.microsoft.com/office/drawing/2014/main" id="{AB47BE01-2089-46ED-821B-F53BD54933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4431792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288</xdr:row>
      <xdr:rowOff>0</xdr:rowOff>
    </xdr:from>
    <xdr:to>
      <xdr:col>12</xdr:col>
      <xdr:colOff>510540</xdr:colOff>
      <xdr:row>308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1" name="Gráfico 40">
              <a:extLst>
                <a:ext uri="{FF2B5EF4-FFF2-40B4-BE49-F238E27FC236}">
                  <a16:creationId xmlns:a16="http://schemas.microsoft.com/office/drawing/2014/main" id="{9C66F0F6-E990-4BA9-9DCE-DE07BA04D3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4834128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311</xdr:row>
      <xdr:rowOff>0</xdr:rowOff>
    </xdr:from>
    <xdr:to>
      <xdr:col>13</xdr:col>
      <xdr:colOff>571500</xdr:colOff>
      <xdr:row>334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8" name="Gráfico 47">
              <a:extLst>
                <a:ext uri="{FF2B5EF4-FFF2-40B4-BE49-F238E27FC236}">
                  <a16:creationId xmlns:a16="http://schemas.microsoft.com/office/drawing/2014/main" id="{9A5D3579-486B-4C98-AF12-834C9BD56A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52197000"/>
              <a:ext cx="5448300" cy="3954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335</xdr:row>
      <xdr:rowOff>0</xdr:rowOff>
    </xdr:from>
    <xdr:to>
      <xdr:col>12</xdr:col>
      <xdr:colOff>510540</xdr:colOff>
      <xdr:row>355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9" name="Gráfico 48">
              <a:extLst>
                <a:ext uri="{FF2B5EF4-FFF2-40B4-BE49-F238E27FC236}">
                  <a16:creationId xmlns:a16="http://schemas.microsoft.com/office/drawing/2014/main" id="{5E154653-F538-4EEE-8A9B-9CFF33E7B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56220360"/>
              <a:ext cx="47777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169</xdr:row>
      <xdr:rowOff>22860</xdr:rowOff>
    </xdr:from>
    <xdr:to>
      <xdr:col>22</xdr:col>
      <xdr:colOff>99060</xdr:colOff>
      <xdr:row>188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0" name="Gráfico 49">
              <a:extLst>
                <a:ext uri="{FF2B5EF4-FFF2-40B4-BE49-F238E27FC236}">
                  <a16:creationId xmlns:a16="http://schemas.microsoft.com/office/drawing/2014/main" id="{C2C7685D-09B8-0ED3-81AA-D505C6DF1C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2841498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192</xdr:row>
      <xdr:rowOff>0</xdr:rowOff>
    </xdr:from>
    <xdr:to>
      <xdr:col>22</xdr:col>
      <xdr:colOff>99060</xdr:colOff>
      <xdr:row>211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1" name="Gráfico 50">
              <a:extLst>
                <a:ext uri="{FF2B5EF4-FFF2-40B4-BE49-F238E27FC236}">
                  <a16:creationId xmlns:a16="http://schemas.microsoft.com/office/drawing/2014/main" id="{5D95550B-A278-4382-8071-DFE47AFDDF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3224784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216</xdr:row>
      <xdr:rowOff>0</xdr:rowOff>
    </xdr:from>
    <xdr:to>
      <xdr:col>22</xdr:col>
      <xdr:colOff>99060</xdr:colOff>
      <xdr:row>235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2" name="Gráfico 51">
              <a:extLst>
                <a:ext uri="{FF2B5EF4-FFF2-40B4-BE49-F238E27FC236}">
                  <a16:creationId xmlns:a16="http://schemas.microsoft.com/office/drawing/2014/main" id="{8701D874-2087-40DB-B74A-032734DCD1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3627120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240</xdr:row>
      <xdr:rowOff>0</xdr:rowOff>
    </xdr:from>
    <xdr:to>
      <xdr:col>22</xdr:col>
      <xdr:colOff>99060</xdr:colOff>
      <xdr:row>259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3" name="Gráfico 52">
              <a:extLst>
                <a:ext uri="{FF2B5EF4-FFF2-40B4-BE49-F238E27FC236}">
                  <a16:creationId xmlns:a16="http://schemas.microsoft.com/office/drawing/2014/main" id="{746EEF39-288F-4C4F-83FE-682826CCA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4029456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264</xdr:row>
      <xdr:rowOff>0</xdr:rowOff>
    </xdr:from>
    <xdr:to>
      <xdr:col>22</xdr:col>
      <xdr:colOff>99060</xdr:colOff>
      <xdr:row>283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4" name="Gráfico 53">
              <a:extLst>
                <a:ext uri="{FF2B5EF4-FFF2-40B4-BE49-F238E27FC236}">
                  <a16:creationId xmlns:a16="http://schemas.microsoft.com/office/drawing/2014/main" id="{7AADE3B9-7806-4A17-8297-5FCEE8C978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4431792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288</xdr:row>
      <xdr:rowOff>0</xdr:rowOff>
    </xdr:from>
    <xdr:to>
      <xdr:col>22</xdr:col>
      <xdr:colOff>99060</xdr:colOff>
      <xdr:row>307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5" name="Gráfico 54">
              <a:extLst>
                <a:ext uri="{FF2B5EF4-FFF2-40B4-BE49-F238E27FC236}">
                  <a16:creationId xmlns:a16="http://schemas.microsoft.com/office/drawing/2014/main" id="{74D46C14-38AC-4D18-8E1A-32EF0A119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4834128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311</xdr:row>
      <xdr:rowOff>0</xdr:rowOff>
    </xdr:from>
    <xdr:to>
      <xdr:col>22</xdr:col>
      <xdr:colOff>83820</xdr:colOff>
      <xdr:row>334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6" name="Gráfico 55">
              <a:extLst>
                <a:ext uri="{FF2B5EF4-FFF2-40B4-BE49-F238E27FC236}">
                  <a16:creationId xmlns:a16="http://schemas.microsoft.com/office/drawing/2014/main" id="{9D28DE44-DB1C-48A4-AB13-F4E1362707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52197000"/>
              <a:ext cx="4960620" cy="3909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335</xdr:row>
      <xdr:rowOff>0</xdr:rowOff>
    </xdr:from>
    <xdr:to>
      <xdr:col>22</xdr:col>
      <xdr:colOff>99060</xdr:colOff>
      <xdr:row>354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7" name="Gráfico 56">
              <a:extLst>
                <a:ext uri="{FF2B5EF4-FFF2-40B4-BE49-F238E27FC236}">
                  <a16:creationId xmlns:a16="http://schemas.microsoft.com/office/drawing/2014/main" id="{3163BD4C-04A5-4760-933E-2E609995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56220360"/>
              <a:ext cx="497586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S200-0.32-10_Sokolov%20et%20al_2021.xlsx" TargetMode="External"/><Relationship Id="rId1" Type="http://schemas.openxmlformats.org/officeDocument/2006/relationships/externalLinkPath" Target="Abertura%20de%20fissura_Viga%20S200-0.32-10_Sokolov%20et%20al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S200-1.76-20_Sokolov%20et%20al_2021.xlsx" TargetMode="External"/><Relationship Id="rId1" Type="http://schemas.openxmlformats.org/officeDocument/2006/relationships/externalLinkPath" Target="Abertura%20de%20fissura_Viga%20S200-1.76-20_Sokolov%20et%20al_202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S200-1.98-10_Sokolov%20et%20al_2021.xlsx" TargetMode="External"/><Relationship Id="rId1" Type="http://schemas.openxmlformats.org/officeDocument/2006/relationships/externalLinkPath" Target="Abertura%20de%20fissura_Viga%20S200-1.98-10_Sokolov%20et%20al_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S600-0.36-20_Sokolov%20et%20al_2021.xlsx" TargetMode="External"/><Relationship Id="rId1" Type="http://schemas.openxmlformats.org/officeDocument/2006/relationships/externalLinkPath" Target="Abertura%20de%20fissura_Viga%20S600-0.36-20_Sokolov%20et%20al_202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S600-0.37-10_Sokolov%20et%20al_2021.xlsx" TargetMode="External"/><Relationship Id="rId1" Type="http://schemas.openxmlformats.org/officeDocument/2006/relationships/externalLinkPath" Target="Abertura%20de%20fissura_Viga%20S600-0.37-10_Sokolov%20et%20al_202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V1_Oliveira_2007.xlsx" TargetMode="External"/><Relationship Id="rId1" Type="http://schemas.openxmlformats.org/officeDocument/2006/relationships/externalLinkPath" Target="Abertura%20de%20fissura_Viga%20V1_Oliveira_2007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V2_Oliveira_2007.xlsx" TargetMode="External"/><Relationship Id="rId1" Type="http://schemas.openxmlformats.org/officeDocument/2006/relationships/externalLinkPath" Target="Abertura%20de%20fissura_Viga%20V2_Oliveira_2007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T1F000_Silva%20Neto_2017.xlsx" TargetMode="External"/><Relationship Id="rId1" Type="http://schemas.openxmlformats.org/officeDocument/2006/relationships/externalLinkPath" Target="Abertura%20de%20fissura_Viga%20T1F000_Silva%20Neto_2017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12-20-00_Caldentey%20et%20al_2013.xlsx" TargetMode="External"/><Relationship Id="rId1" Type="http://schemas.openxmlformats.org/officeDocument/2006/relationships/externalLinkPath" Target="Abertura%20de%20fissura_Viga%2012-20-00_Caldentey%20et%20al_201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-20-00_Caldentey%20et%20al_2013.xlsx" TargetMode="External"/><Relationship Id="rId1" Type="http://schemas.openxmlformats.org/officeDocument/2006/relationships/externalLinkPath" Target="Abertura%20de%20fissura_Viga%2025-20-00_Caldentey%20et%20al_20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12-20-10_Caldentey%20et%20al_2013.xlsx" TargetMode="External"/><Relationship Id="rId1" Type="http://schemas.openxmlformats.org/officeDocument/2006/relationships/externalLinkPath" Target="Abertura%20de%20fissura_Viga%2012-20-10_Caldentey%20et%20al_2013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12-20-30_Caldentey%20et%20al_2013.xlsx" TargetMode="External"/><Relationship Id="rId1" Type="http://schemas.openxmlformats.org/officeDocument/2006/relationships/externalLinkPath" Target="Abertura%20de%20fissura_Viga%2012-20-30_Caldentey%20et%20al_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12-70-00_Caldentey%20et%20al_2013.xlsx" TargetMode="External"/><Relationship Id="rId1" Type="http://schemas.openxmlformats.org/officeDocument/2006/relationships/externalLinkPath" Target="Abertura%20de%20fissura_Viga%2012-70-00_Caldentey%20et%20al_201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12-70-10_Caldentey%20et%20al_2013.xlsx" TargetMode="External"/><Relationship Id="rId1" Type="http://schemas.openxmlformats.org/officeDocument/2006/relationships/externalLinkPath" Target="Abertura%20de%20fissura_Viga%2012-70-10_Caldentey%20et%20al_201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12-70-30_Caldentey%20et%20al_2013.xlsx" TargetMode="External"/><Relationship Id="rId1" Type="http://schemas.openxmlformats.org/officeDocument/2006/relationships/externalLinkPath" Target="Abertura%20de%20fissura_Viga%2012-70-30_Caldentey%20et%20al_201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-20-10_Caldentey%20et%20al_2013.xlsx" TargetMode="External"/><Relationship Id="rId1" Type="http://schemas.openxmlformats.org/officeDocument/2006/relationships/externalLinkPath" Target="Abertura%20de%20fissura_Viga%2025-20-10_Caldentey%20et%20al_201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-20-30_Caldentey%20et%20al_2013.xlsx" TargetMode="External"/><Relationship Id="rId1" Type="http://schemas.openxmlformats.org/officeDocument/2006/relationships/externalLinkPath" Target="Abertura%20de%20fissura_Viga%2025-20-30_Caldentey%20et%20al_201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-70-00_Caldentey%20et%20al_2013.xlsx" TargetMode="External"/><Relationship Id="rId1" Type="http://schemas.openxmlformats.org/officeDocument/2006/relationships/externalLinkPath" Target="Abertura%20de%20fissura_Viga%2025-70-00_Caldentey%20et%20al_2013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-70-10_Caldentey%20et%20al_2013.xlsx" TargetMode="External"/><Relationship Id="rId1" Type="http://schemas.openxmlformats.org/officeDocument/2006/relationships/externalLinkPath" Target="Abertura%20de%20fissura_Viga%2025-70-10_Caldentey%20et%20al_2013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-70-30_Caldentey%20et%20al_2013.xlsx" TargetMode="External"/><Relationship Id="rId1" Type="http://schemas.openxmlformats.org/officeDocument/2006/relationships/externalLinkPath" Target="Abertura%20de%20fissura_Viga%2025-70-30_Caldentey%20et%20al_2013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RS1_Harajl&#237;%20e%20Naamam_1985.xlsx" TargetMode="External"/><Relationship Id="rId1" Type="http://schemas.openxmlformats.org/officeDocument/2006/relationships/externalLinkPath" Target="Abertura%20de%20fissura_Viga%20RS1_Harajl&#237;%20e%20Naamam_1985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RS2_Harajl&#237;%20e%20Naamam_1985.xlsx" TargetMode="External"/><Relationship Id="rId1" Type="http://schemas.openxmlformats.org/officeDocument/2006/relationships/externalLinkPath" Target="Abertura%20de%20fissura_Viga%20RS2_Harajl&#237;%20e%20Naamam_198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RS3_Harajl&#237;%20e%20Naamam_1985.xlsx" TargetMode="External"/><Relationship Id="rId1" Type="http://schemas.openxmlformats.org/officeDocument/2006/relationships/externalLinkPath" Target="Abertura%20de%20fissura_Viga%20RS3_Harajl&#237;%20e%20Naamam_1985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1-a_Gilbert%20e%20Nejadi_2004.xlsx" TargetMode="External"/><Relationship Id="rId1" Type="http://schemas.openxmlformats.org/officeDocument/2006/relationships/externalLinkPath" Target="Abertura%20de%20fissura_Viga%20B1-a_Gilbert%20e%20Nejadi_2004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1-b_Gilbert%20e%20Nejadi_2004.xlsx" TargetMode="External"/><Relationship Id="rId1" Type="http://schemas.openxmlformats.org/officeDocument/2006/relationships/externalLinkPath" Target="Abertura%20de%20fissura_Viga%20B1-b_Gilbert%20e%20Nejadi_2004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2-a_Gilbert%20e%20Nejadi_2004.xlsx" TargetMode="External"/><Relationship Id="rId1" Type="http://schemas.openxmlformats.org/officeDocument/2006/relationships/externalLinkPath" Target="Abertura%20de%20fissura_Viga%20B2-a_Gilbert%20e%20Nejadi_2004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2-b_Gilbert%20e%20Nejadi_2004.xlsx" TargetMode="External"/><Relationship Id="rId1" Type="http://schemas.openxmlformats.org/officeDocument/2006/relationships/externalLinkPath" Target="Abertura%20de%20fissura_Viga%20B2-b_Gilbert%20e%20Nejadi_200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3-a_Gilbert%20e%20Nejadi_2004.xlsx" TargetMode="External"/><Relationship Id="rId1" Type="http://schemas.openxmlformats.org/officeDocument/2006/relationships/externalLinkPath" Target="Abertura%20de%20fissura_Viga%20B3-a_Gilbert%20e%20Nejadi_2004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3-b_Gilbert%20e%20Nejadi_2004.xlsx" TargetMode="External"/><Relationship Id="rId1" Type="http://schemas.openxmlformats.org/officeDocument/2006/relationships/externalLinkPath" Target="Abertura%20de%20fissura_Viga%20B3-b_Gilbert%20e%20Nejadi_2004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Laje%20S1-a_Gilbert%20e%20Nejadi_2004.xlsx" TargetMode="External"/><Relationship Id="rId1" Type="http://schemas.openxmlformats.org/officeDocument/2006/relationships/externalLinkPath" Target="Abertura%20de%20fissura_Laje%20S1-a_Gilbert%20e%20Nejadi_2004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Laje%20S1-b_Gilbert%20e%20Nejadi_2004.xlsx" TargetMode="External"/><Relationship Id="rId1" Type="http://schemas.openxmlformats.org/officeDocument/2006/relationships/externalLinkPath" Target="Abertura%20de%20fissura_Laje%20S1-b_Gilbert%20e%20Nejadi_2004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Laje%20S2-a_Gilbert%20e%20Nejadi_2004.xlsx" TargetMode="External"/><Relationship Id="rId1" Type="http://schemas.openxmlformats.org/officeDocument/2006/relationships/externalLinkPath" Target="Abertura%20de%20fissura_Laje%20S2-a_Gilbert%20e%20Nejadi_2004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Laje%20S2-b_Gilbert%20e%20Nejadi_2004.xlsx" TargetMode="External"/><Relationship Id="rId1" Type="http://schemas.openxmlformats.org/officeDocument/2006/relationships/externalLinkPath" Target="Abertura%20de%20fissura_Laje%20S2-b_Gilbert%20e%20Nejadi_2004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Laje%20S3-a_Gilbert%20e%20Nejadi_2004.xlsx" TargetMode="External"/><Relationship Id="rId1" Type="http://schemas.openxmlformats.org/officeDocument/2006/relationships/externalLinkPath" Target="Abertura%20de%20fissura_Laje%20S3-a_Gilbert%20e%20Nejadi_2004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Laje%20S3-b_Gilbert%20e%20Nejadi_2004.xlsx" TargetMode="External"/><Relationship Id="rId1" Type="http://schemas.openxmlformats.org/officeDocument/2006/relationships/externalLinkPath" Target="Abertura%20de%20fissura_Laje%20S3-b_Gilbert%20e%20Nejadi_2004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0-10-1_Cornelissen_2022.xlsx" TargetMode="External"/><Relationship Id="rId1" Type="http://schemas.openxmlformats.org/officeDocument/2006/relationships/externalLinkPath" Target="Abertura%20de%20fissura_Viga%20250-10-1_Cornelissen_2022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0-10-2_Cornelissen_2022.xlsx" TargetMode="External"/><Relationship Id="rId1" Type="http://schemas.openxmlformats.org/officeDocument/2006/relationships/externalLinkPath" Target="Abertura%20de%20fissura_Viga%20250-10-2_Cornelissen_2022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0-20-2_Cornelissen_2022.xlsx" TargetMode="External"/><Relationship Id="rId1" Type="http://schemas.openxmlformats.org/officeDocument/2006/relationships/externalLinkPath" Target="Abertura%20de%20fissura_Viga%20250-20-2_Cornelissen_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250-20-3_Cornelissen_2022.xlsx" TargetMode="External"/><Relationship Id="rId1" Type="http://schemas.openxmlformats.org/officeDocument/2006/relationships/externalLinkPath" Target="Abertura%20de%20fissura_Viga%20250-20-3_Cornelissen_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350-10-1_Cornelissen_2022.xlsx" TargetMode="External"/><Relationship Id="rId1" Type="http://schemas.openxmlformats.org/officeDocument/2006/relationships/externalLinkPath" Target="Abertura%20de%20fissura_Viga%20350-10-1_Cornelissen_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350-10-2_Cornelissen_2022.xlsx" TargetMode="External"/><Relationship Id="rId1" Type="http://schemas.openxmlformats.org/officeDocument/2006/relationships/externalLinkPath" Target="Abertura%20de%20fissura_Viga%20350-10-2_Cornelissen_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350-10-3_Cornelissen_2022.xlsx" TargetMode="External"/><Relationship Id="rId1" Type="http://schemas.openxmlformats.org/officeDocument/2006/relationships/externalLinkPath" Target="Abertura%20de%20fissura_Viga%20350-10-3_Cornelissen_2022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350-20-1_Cornelissen_2022.xlsx" TargetMode="External"/><Relationship Id="rId1" Type="http://schemas.openxmlformats.org/officeDocument/2006/relationships/externalLinkPath" Target="Abertura%20de%20fissura_Viga%20350-20-1_Cornelissen_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350-20-2_Cornelissen_2022.xlsx" TargetMode="External"/><Relationship Id="rId1" Type="http://schemas.openxmlformats.org/officeDocument/2006/relationships/externalLinkPath" Target="Abertura%20de%20fissura_Viga%20350-20-2_Cornelissen_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350-20-3_Cornelissen_2022.xlsx" TargetMode="External"/><Relationship Id="rId1" Type="http://schemas.openxmlformats.org/officeDocument/2006/relationships/externalLinkPath" Target="Abertura%20de%20fissura_Viga%20350-20-3_Cornelissen_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G2_Makhlouf%20e%20Malhas_1996.xlsx" TargetMode="External"/><Relationship Id="rId1" Type="http://schemas.openxmlformats.org/officeDocument/2006/relationships/externalLinkPath" Target="Abertura%20de%20fissura_Viga%20G2_Makhlouf%20e%20Malhas_1996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G3_Makhlouf%20e%20Malhas_1996.xlsx" TargetMode="External"/><Relationship Id="rId1" Type="http://schemas.openxmlformats.org/officeDocument/2006/relationships/externalLinkPath" Target="Abertura%20de%20fissura_Viga%20G3_Makhlouf%20e%20Malhas_1996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C1_Kumar%20et%20al_2007.xlsx" TargetMode="External"/><Relationship Id="rId1" Type="http://schemas.openxmlformats.org/officeDocument/2006/relationships/externalLinkPath" Target="Abertura%20de%20fissura_Viga%20C1_Kumar%20et%20al_2007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C2_Kumar%20et%20al_2007.xlsx" TargetMode="External"/><Relationship Id="rId1" Type="http://schemas.openxmlformats.org/officeDocument/2006/relationships/externalLinkPath" Target="Abertura%20de%20fissura_Viga%20C2_Kumar%20et%20al_2007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C3_Kumar%20et%20al_2007.xlsx" TargetMode="External"/><Relationship Id="rId1" Type="http://schemas.openxmlformats.org/officeDocument/2006/relationships/externalLinkPath" Target="Abertura%20de%20fissura_Viga%20C3_Kumar%20et%20al_2007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CS1_Kumar%20et%20al_2007.xlsx" TargetMode="External"/><Relationship Id="rId1" Type="http://schemas.openxmlformats.org/officeDocument/2006/relationships/externalLinkPath" Target="Abertura%20de%20fissura_Viga%20CS1_Kumar%20et%20al_2007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CS2_Kumar%20et%20al_2007.xlsx" TargetMode="External"/><Relationship Id="rId1" Type="http://schemas.openxmlformats.org/officeDocument/2006/relationships/externalLinkPath" Target="Abertura%20de%20fissura_Viga%20CS2_Kumar%20et%20al_2007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CS3_Kumar%20et%20al_2007.xlsx" TargetMode="External"/><Relationship Id="rId1" Type="http://schemas.openxmlformats.org/officeDocument/2006/relationships/externalLinkPath" Target="Abertura%20de%20fissura_Viga%20CS3_Kumar%20et%20al_2007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B6_Maghsoudi%20e%20Sharifi_2008.xlsx" TargetMode="External"/><Relationship Id="rId1" Type="http://schemas.openxmlformats.org/officeDocument/2006/relationships/externalLinkPath" Target="Abertura%20de%20fissura_Viga%20B6_Maghsoudi%20e%20Sharifi_2008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29-2D16-10A_Hong%20et%20al_2013.xlsx" TargetMode="External"/><Relationship Id="rId1" Type="http://schemas.openxmlformats.org/officeDocument/2006/relationships/externalLinkPath" Target="Abertura%20de%20fissura_Viga%20F29-2D16-10A_Hong%20et%20al_2013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29-2D16-10B_Hong%20et%20al_2013.xlsx" TargetMode="External"/><Relationship Id="rId1" Type="http://schemas.openxmlformats.org/officeDocument/2006/relationships/externalLinkPath" Target="Abertura%20de%20fissura_Viga%20F29-2D16-10B_Hong%20et%20al_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29-2D16-10C_Hong%20et%20al_2013.xlsx" TargetMode="External"/><Relationship Id="rId1" Type="http://schemas.openxmlformats.org/officeDocument/2006/relationships/externalLinkPath" Target="Abertura%20de%20fissura_Viga%20F29-2D16-10C_Hong%20et%20al_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29-2D16-10D_Hong%20et%20al_2013.xlsx" TargetMode="External"/><Relationship Id="rId1" Type="http://schemas.openxmlformats.org/officeDocument/2006/relationships/externalLinkPath" Target="Abertura%20de%20fissura_Viga%20F29-2D16-10D_Hong%20et%20al_2013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0-2D13-10_Hong%20et%20al_2013.xlsx" TargetMode="External"/><Relationship Id="rId1" Type="http://schemas.openxmlformats.org/officeDocument/2006/relationships/externalLinkPath" Target="Abertura%20de%20fissura_Viga%20F30-2D13-10_Hong%20et%20al_2013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0-2D13-20_Hong%20et%20al_2013.xlsx" TargetMode="External"/><Relationship Id="rId1" Type="http://schemas.openxmlformats.org/officeDocument/2006/relationships/externalLinkPath" Target="Abertura%20de%20fissura_Viga%20F30-2D13-20_Hong%20et%20al_2013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0-2D16-10_Hong%20et%20al_2013.xlsx" TargetMode="External"/><Relationship Id="rId1" Type="http://schemas.openxmlformats.org/officeDocument/2006/relationships/externalLinkPath" Target="Abertura%20de%20fissura_Viga%20F30-2D16-10_Hong%20et%20al_2013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0-2D16-20_Hong%20et%20al_2013.xlsx" TargetMode="External"/><Relationship Id="rId1" Type="http://schemas.openxmlformats.org/officeDocument/2006/relationships/externalLinkPath" Target="Abertura%20de%20fissura_Viga%20F30-2D16-20_Hong%20et%20al_2013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0-2D19-10_Hong%20et%20al_2013.xlsx" TargetMode="External"/><Relationship Id="rId1" Type="http://schemas.openxmlformats.org/officeDocument/2006/relationships/externalLinkPath" Target="Abertura%20de%20fissura_Viga%20F30-2D19-10_Hong%20et%20al_2013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0-2D19-20_Hong%20et%20al_2013.xlsx" TargetMode="External"/><Relationship Id="rId1" Type="http://schemas.openxmlformats.org/officeDocument/2006/relationships/externalLinkPath" Target="Abertura%20de%20fissura_Viga%20F30-2D19-20_Hong%20et%20al_2013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7-2D16-10_Hong%20et%20al_2013.xlsx" TargetMode="External"/><Relationship Id="rId1" Type="http://schemas.openxmlformats.org/officeDocument/2006/relationships/externalLinkPath" Target="Abertura%20de%20fissura_Viga%20F37-2D16-10_Hong%20et%20al_2013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7-2D16-20_Hong%20et%20al_2013.xlsx" TargetMode="External"/><Relationship Id="rId1" Type="http://schemas.openxmlformats.org/officeDocument/2006/relationships/externalLinkPath" Target="Abertura%20de%20fissura_Viga%20F37-2D16-20_Hong%20et%20al_2013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7-2D19-10_Hong%20et%20al_2013.xlsx" TargetMode="External"/><Relationship Id="rId1" Type="http://schemas.openxmlformats.org/officeDocument/2006/relationships/externalLinkPath" Target="Abertura%20de%20fissura_Viga%20F37-2D19-10_Hong%20et%20al_2013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9c76fb860dcad5/Meus%20documentos/UFG/Artigos/Artigos%20em%20elaboracao/Artigo%20sobre%20fissura&#231;&#227;o%20no%20concreto/An&#225;lises%20e%20relat&#243;rios/Abertura%20de%20fissura_Viga%20F37-2D19-20_Hong%20et%20al_2013.xlsx" TargetMode="External"/><Relationship Id="rId1" Type="http://schemas.openxmlformats.org/officeDocument/2006/relationships/externalLinkPath" Target="Abertura%20de%20fissura_Viga%20F37-2D19-20_Hong%20et%20al_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  <cell r="E7">
            <v>329</v>
          </cell>
        </row>
        <row r="8">
          <cell r="C8">
            <v>0.18</v>
          </cell>
          <cell r="E8">
            <v>355</v>
          </cell>
        </row>
        <row r="9">
          <cell r="C9">
            <v>0.19</v>
          </cell>
          <cell r="E9">
            <v>387</v>
          </cell>
        </row>
        <row r="10">
          <cell r="C10">
            <v>0.24</v>
          </cell>
          <cell r="E10">
            <v>423</v>
          </cell>
        </row>
        <row r="11">
          <cell r="C11">
            <v>0.27</v>
          </cell>
          <cell r="E11">
            <v>463</v>
          </cell>
        </row>
        <row r="12">
          <cell r="C12">
            <v>0.31</v>
          </cell>
          <cell r="E12">
            <v>499</v>
          </cell>
        </row>
        <row r="20">
          <cell r="B20">
            <v>262</v>
          </cell>
        </row>
        <row r="22">
          <cell r="B22">
            <v>30</v>
          </cell>
        </row>
        <row r="27">
          <cell r="B27">
            <v>4.0933129145061384</v>
          </cell>
        </row>
        <row r="28">
          <cell r="B28">
            <v>10</v>
          </cell>
        </row>
        <row r="29">
          <cell r="B29">
            <v>155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192</v>
          </cell>
        </row>
      </sheetData>
      <sheetData sheetId="1">
        <row r="5">
          <cell r="F5">
            <v>0.10559302641079357</v>
          </cell>
        </row>
        <row r="6">
          <cell r="F6">
            <v>0.14926431592316147</v>
          </cell>
        </row>
        <row r="7">
          <cell r="F7">
            <v>0.20301359532299887</v>
          </cell>
        </row>
        <row r="8">
          <cell r="F8">
            <v>0.26348153464781598</v>
          </cell>
        </row>
        <row r="9">
          <cell r="F9">
            <v>0.33066813389761274</v>
          </cell>
        </row>
        <row r="10">
          <cell r="F10">
            <v>0.39113607322242983</v>
          </cell>
        </row>
      </sheetData>
      <sheetData sheetId="2">
        <row r="5">
          <cell r="F5">
            <v>0.13510490358009053</v>
          </cell>
        </row>
        <row r="6">
          <cell r="F6">
            <v>0.14578188684173904</v>
          </cell>
        </row>
        <row r="7">
          <cell r="F7">
            <v>0.17816486794489414</v>
          </cell>
        </row>
        <row r="8">
          <cell r="F8">
            <v>0.21512365615829276</v>
          </cell>
        </row>
        <row r="9">
          <cell r="F9">
            <v>0.25618897639540233</v>
          </cell>
        </row>
        <row r="10">
          <cell r="F10">
            <v>0.29314776460880099</v>
          </cell>
        </row>
      </sheetData>
      <sheetData sheetId="3">
        <row r="5">
          <cell r="G5">
            <v>0.23391556362468452</v>
          </cell>
        </row>
        <row r="6">
          <cell r="G6">
            <v>0.27234789872415133</v>
          </cell>
        </row>
        <row r="7">
          <cell r="G7">
            <v>0.32960484603062934</v>
          </cell>
        </row>
        <row r="8">
          <cell r="G8">
            <v>0.39424128214962445</v>
          </cell>
        </row>
        <row r="9">
          <cell r="G9">
            <v>0.46605954450406362</v>
          </cell>
        </row>
        <row r="10">
          <cell r="G10">
            <v>0.51228986995794201</v>
          </cell>
        </row>
      </sheetData>
      <sheetData sheetId="4">
        <row r="5">
          <cell r="F5">
            <v>0.25661111078622123</v>
          </cell>
        </row>
        <row r="6">
          <cell r="F6">
            <v>0.2768904082951627</v>
          </cell>
        </row>
        <row r="7">
          <cell r="F7">
            <v>0.30184954369078304</v>
          </cell>
        </row>
        <row r="8">
          <cell r="F8">
            <v>0.32992857101085588</v>
          </cell>
        </row>
        <row r="9">
          <cell r="F9">
            <v>0.36112749025538121</v>
          </cell>
        </row>
        <row r="10">
          <cell r="F10">
            <v>0.38920651757545405</v>
          </cell>
        </row>
      </sheetData>
      <sheetData sheetId="5">
        <row r="5">
          <cell r="F5">
            <v>0.35473431521080895</v>
          </cell>
          <cell r="G5">
            <v>0.14103132240086347</v>
          </cell>
          <cell r="L5">
            <v>0.88144576500539662</v>
          </cell>
        </row>
        <row r="6">
          <cell r="F6">
            <v>0.38276803009069049</v>
          </cell>
          <cell r="G6">
            <v>0.16420277349219628</v>
          </cell>
          <cell r="L6">
            <v>0.91223763051220164</v>
          </cell>
        </row>
        <row r="7">
          <cell r="F7">
            <v>0.41727106378900625</v>
          </cell>
          <cell r="G7">
            <v>0.19513973563303111</v>
          </cell>
          <cell r="L7">
            <v>1.0270512401738479</v>
          </cell>
        </row>
        <row r="8">
          <cell r="F8">
            <v>0.45608697669961157</v>
          </cell>
          <cell r="G8">
            <v>0.23313341049938655</v>
          </cell>
          <cell r="L8">
            <v>0.97138921041411064</v>
          </cell>
        </row>
        <row r="9">
          <cell r="F9">
            <v>0.49921576882250623</v>
          </cell>
          <cell r="G9">
            <v>0.27930953660582125</v>
          </cell>
          <cell r="L9">
            <v>1.0344797652067452</v>
          </cell>
        </row>
        <row r="10">
          <cell r="F10">
            <v>0.53803168173311144</v>
          </cell>
          <cell r="G10">
            <v>0.32443288873104836</v>
          </cell>
          <cell r="L10">
            <v>1.0465577055840269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F5">
            <v>0.17169108159662622</v>
          </cell>
        </row>
        <row r="6">
          <cell r="F6">
            <v>0.18630983572241328</v>
          </cell>
        </row>
        <row r="7">
          <cell r="F7">
            <v>0.22375545760782128</v>
          </cell>
        </row>
        <row r="8">
          <cell r="F8">
            <v>0.26668832243102214</v>
          </cell>
        </row>
        <row r="9">
          <cell r="F9">
            <v>0.31473748653951905</v>
          </cell>
        </row>
        <row r="10">
          <cell r="F10">
            <v>0.35829311711161255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0.23</v>
          </cell>
        </row>
        <row r="9">
          <cell r="C9">
            <v>0.24</v>
          </cell>
        </row>
        <row r="10">
          <cell r="C10">
            <v>0.27</v>
          </cell>
        </row>
        <row r="11">
          <cell r="C11">
            <v>0.35</v>
          </cell>
        </row>
        <row r="12">
          <cell r="C12">
            <v>0.4</v>
          </cell>
        </row>
        <row r="20">
          <cell r="B20">
            <v>216</v>
          </cell>
        </row>
        <row r="22">
          <cell r="B22">
            <v>39</v>
          </cell>
        </row>
        <row r="27">
          <cell r="B27">
            <v>4.1203405239014401</v>
          </cell>
        </row>
        <row r="28">
          <cell r="B28">
            <v>20</v>
          </cell>
        </row>
        <row r="29">
          <cell r="B29">
            <v>628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126</v>
          </cell>
        </row>
      </sheetData>
      <sheetData sheetId="1">
        <row r="5">
          <cell r="F5">
            <v>0.12445287972943968</v>
          </cell>
          <cell r="K5">
            <v>231.81100493873356</v>
          </cell>
          <cell r="L5">
            <v>0.12573406896410511</v>
          </cell>
        </row>
        <row r="6">
          <cell r="F6">
            <v>0.17255924658350918</v>
          </cell>
          <cell r="K6">
            <v>304.25194398208777</v>
          </cell>
          <cell r="L6">
            <v>0.17698216291811808</v>
          </cell>
        </row>
        <row r="7">
          <cell r="F7">
            <v>0.1852932848684099</v>
          </cell>
          <cell r="K7">
            <v>314.28222784962912</v>
          </cell>
          <cell r="L7">
            <v>0.1840780528502122</v>
          </cell>
        </row>
        <row r="8">
          <cell r="F8">
            <v>0.23835177772216301</v>
          </cell>
          <cell r="K8">
            <v>363.31917120205361</v>
          </cell>
          <cell r="L8">
            <v>0.21876907029600567</v>
          </cell>
        </row>
        <row r="9">
          <cell r="F9">
            <v>0.28009112543378217</v>
          </cell>
          <cell r="K9">
            <v>459.16410593633765</v>
          </cell>
          <cell r="L9">
            <v>0.28657424075823829</v>
          </cell>
        </row>
        <row r="10">
          <cell r="F10">
            <v>0.30697409514635043</v>
          </cell>
          <cell r="K10">
            <v>500</v>
          </cell>
          <cell r="L10">
            <v>0.31546345400295095</v>
          </cell>
        </row>
      </sheetData>
      <sheetData sheetId="2">
        <row r="5">
          <cell r="F5">
            <v>8.4635219130967165E-2</v>
          </cell>
          <cell r="L5">
            <v>8.6159382513197727E-2</v>
          </cell>
        </row>
        <row r="6">
          <cell r="F6">
            <v>0.14186483114083576</v>
          </cell>
          <cell r="L6">
            <v>0.14712654185263452</v>
          </cell>
        </row>
        <row r="7">
          <cell r="F7">
            <v>0.15701384608462449</v>
          </cell>
          <cell r="L7">
            <v>0.15556814853040268</v>
          </cell>
        </row>
        <row r="8">
          <cell r="F8">
            <v>0.22013474168374428</v>
          </cell>
          <cell r="L8">
            <v>0.19683822562171382</v>
          </cell>
        </row>
        <row r="9">
          <cell r="F9">
            <v>0.26978984622171853</v>
          </cell>
          <cell r="L9">
            <v>0.27750246720927635</v>
          </cell>
        </row>
        <row r="10">
          <cell r="F10">
            <v>0.30177109999193918</v>
          </cell>
          <cell r="L10">
            <v>0.31187044328779839</v>
          </cell>
        </row>
      </sheetData>
      <sheetData sheetId="3">
        <row r="5">
          <cell r="G5">
            <v>9.991342684503042E-2</v>
          </cell>
          <cell r="N5">
            <v>0.1021297239736778</v>
          </cell>
        </row>
        <row r="6">
          <cell r="G6">
            <v>0.1831314245018511</v>
          </cell>
          <cell r="N6">
            <v>0.19078251655555628</v>
          </cell>
        </row>
        <row r="7">
          <cell r="G7">
            <v>0.20515971799924479</v>
          </cell>
          <cell r="N7">
            <v>0.2030575186053549</v>
          </cell>
        </row>
        <row r="8">
          <cell r="G8">
            <v>0.29694427423838521</v>
          </cell>
          <cell r="N8">
            <v>0.2630686397377035</v>
          </cell>
        </row>
        <row r="9">
          <cell r="G9">
            <v>0.36914812514650897</v>
          </cell>
          <cell r="N9">
            <v>0.38036310376911198</v>
          </cell>
        </row>
        <row r="10">
          <cell r="G10">
            <v>0.41070662736493929</v>
          </cell>
          <cell r="N10">
            <v>0.4208059706607985</v>
          </cell>
        </row>
      </sheetData>
      <sheetData sheetId="4">
        <row r="5">
          <cell r="F5">
            <v>0.12401497134919563</v>
          </cell>
          <cell r="L5">
            <v>0.12529165250414639</v>
          </cell>
        </row>
        <row r="6">
          <cell r="F6">
            <v>0.1719520678638862</v>
          </cell>
          <cell r="L6">
            <v>0.17635942142379471</v>
          </cell>
        </row>
        <row r="7">
          <cell r="F7">
            <v>0.18464129929424544</v>
          </cell>
          <cell r="L7">
            <v>0.18343034327420754</v>
          </cell>
        </row>
        <row r="8">
          <cell r="F8">
            <v>0.23751309692074235</v>
          </cell>
          <cell r="L8">
            <v>0.2179992945428926</v>
          </cell>
        </row>
        <row r="9">
          <cell r="F9">
            <v>0.27910557772025324</v>
          </cell>
          <cell r="L9">
            <v>0.28556588111350423</v>
          </cell>
        </row>
        <row r="10">
          <cell r="F10">
            <v>0.30589395518434503</v>
          </cell>
          <cell r="L10">
            <v>0.31435344280458455</v>
          </cell>
        </row>
      </sheetData>
      <sheetData sheetId="5">
        <row r="5">
          <cell r="F5">
            <v>0.2448371556933677</v>
          </cell>
          <cell r="G5">
            <v>0.13694660996911431</v>
          </cell>
          <cell r="L5">
            <v>0.85591631230696441</v>
          </cell>
          <cell r="Q5">
            <v>0.26246778690532796</v>
          </cell>
          <cell r="R5">
            <v>0.15737967840740144</v>
          </cell>
          <cell r="W5">
            <v>0.98362299004625897</v>
          </cell>
        </row>
        <row r="6">
          <cell r="F6">
            <v>0.31722379302879811</v>
          </cell>
          <cell r="G6">
            <v>0.22989426751790601</v>
          </cell>
          <cell r="L6">
            <v>0.99954029355611307</v>
          </cell>
          <cell r="Q6">
            <v>0.34448897031324288</v>
          </cell>
          <cell r="R6">
            <v>0.27111108663150013</v>
          </cell>
          <cell r="W6">
            <v>1.1787438549195657</v>
          </cell>
        </row>
        <row r="7">
          <cell r="F7">
            <v>0.33638496173523563</v>
          </cell>
          <cell r="G7">
            <v>0.25850549499198261</v>
          </cell>
          <cell r="L7">
            <v>1.0771062291332609</v>
          </cell>
          <cell r="Q7">
            <v>0.35584574955433879</v>
          </cell>
          <cell r="R7">
            <v>0.28928119327085311</v>
          </cell>
          <cell r="W7">
            <v>1.2053383052952213</v>
          </cell>
        </row>
        <row r="8">
          <cell r="F8">
            <v>0.41622316467872511</v>
          </cell>
          <cell r="G8">
            <v>0.39577570281074037</v>
          </cell>
          <cell r="L8">
            <v>1.4658359363360753</v>
          </cell>
          <cell r="Q8">
            <v>0.41136778139969671</v>
          </cell>
          <cell r="R8">
            <v>0.38659584648726419</v>
          </cell>
          <cell r="W8">
            <v>1.4318364684713487</v>
          </cell>
        </row>
        <row r="9">
          <cell r="F9">
            <v>0.47902921766093681</v>
          </cell>
          <cell r="G9">
            <v>0.52422851642241308</v>
          </cell>
          <cell r="L9">
            <v>1.3686549076026766</v>
          </cell>
          <cell r="Q9">
            <v>0.51988811637016885</v>
          </cell>
          <cell r="R9">
            <v>0.61747078706513392</v>
          </cell>
          <cell r="W9">
            <v>1.4853946182004825</v>
          </cell>
        </row>
        <row r="10">
          <cell r="F10">
            <v>0.5194805738189715</v>
          </cell>
          <cell r="G10">
            <v>0.61650309044394636</v>
          </cell>
          <cell r="L10">
            <v>1.2987014345474286</v>
          </cell>
          <cell r="Q10">
            <v>0.53225468628992978</v>
          </cell>
          <cell r="R10">
            <v>0.64719569928692966</v>
          </cell>
          <cell r="W10">
            <v>1.3306367157248244</v>
          </cell>
        </row>
      </sheetData>
      <sheetData sheetId="6">
        <row r="5">
          <cell r="L5">
            <v>0.18100616392384755</v>
          </cell>
        </row>
        <row r="6">
          <cell r="L6">
            <v>0.24436254780391009</v>
          </cell>
        </row>
        <row r="7">
          <cell r="L7">
            <v>0.25313497018730335</v>
          </cell>
        </row>
        <row r="8">
          <cell r="L8">
            <v>0.29602236850611502</v>
          </cell>
        </row>
        <row r="9">
          <cell r="L9">
            <v>0.37984773794742854</v>
          </cell>
        </row>
        <row r="10">
          <cell r="L10">
            <v>0.41556255079427151</v>
          </cell>
        </row>
      </sheetData>
      <sheetData sheetId="7">
        <row r="5">
          <cell r="L5">
            <v>0.29637407304529567</v>
          </cell>
        </row>
        <row r="6">
          <cell r="L6">
            <v>0.44704918265926941</v>
          </cell>
        </row>
        <row r="7">
          <cell r="L7">
            <v>0.46699968256137087</v>
          </cell>
        </row>
        <row r="8">
          <cell r="L8">
            <v>0.56249750889728678</v>
          </cell>
        </row>
        <row r="9">
          <cell r="L9">
            <v>0.74267835540591742</v>
          </cell>
        </row>
        <row r="10">
          <cell r="L10">
            <v>0.81781094146393984</v>
          </cell>
        </row>
      </sheetData>
      <sheetData sheetId="8">
        <row r="5">
          <cell r="L5">
            <v>0.31268420853835605</v>
          </cell>
        </row>
        <row r="6">
          <cell r="L6">
            <v>0.41039802370659229</v>
          </cell>
        </row>
        <row r="7">
          <cell r="L7">
            <v>0.42392762888373264</v>
          </cell>
        </row>
        <row r="8">
          <cell r="L8">
            <v>0.49007236530530812</v>
          </cell>
        </row>
        <row r="9">
          <cell r="L9">
            <v>0.61935525922020529</v>
          </cell>
        </row>
        <row r="10">
          <cell r="L10">
            <v>0.67443780035593404</v>
          </cell>
        </row>
      </sheetData>
      <sheetData sheetId="9">
        <row r="5">
          <cell r="L5">
            <v>0.18596904047926571</v>
          </cell>
        </row>
        <row r="6">
          <cell r="L6">
            <v>0.25620365464862777</v>
          </cell>
        </row>
        <row r="7">
          <cell r="L7">
            <v>0.26592844737977017</v>
          </cell>
        </row>
        <row r="8">
          <cell r="L8">
            <v>0.31347187850980002</v>
          </cell>
        </row>
        <row r="9">
          <cell r="L9">
            <v>0.4063976757184945</v>
          </cell>
        </row>
        <row r="10">
          <cell r="L10">
            <v>0.44598983592097036</v>
          </cell>
        </row>
      </sheetData>
      <sheetData sheetId="10">
        <row r="5">
          <cell r="L5">
            <v>0.12999764117006196</v>
          </cell>
        </row>
        <row r="6">
          <cell r="L6">
            <v>0.17474555573506692</v>
          </cell>
        </row>
        <row r="7">
          <cell r="L7">
            <v>0.18094142082868298</v>
          </cell>
        </row>
        <row r="8">
          <cell r="L8">
            <v>0.21123231684191718</v>
          </cell>
        </row>
        <row r="9">
          <cell r="L9">
            <v>0.27043724995869295</v>
          </cell>
        </row>
        <row r="10">
          <cell r="L10">
            <v>0.29566222802879705</v>
          </cell>
        </row>
      </sheetData>
      <sheetData sheetId="11">
        <row r="5">
          <cell r="L5">
            <v>0.24152794750458398</v>
          </cell>
        </row>
        <row r="6">
          <cell r="L6">
            <v>0.31700543109976642</v>
          </cell>
        </row>
        <row r="7">
          <cell r="L7">
            <v>0.32745615959756097</v>
          </cell>
        </row>
        <row r="8">
          <cell r="L8">
            <v>0.37854861003122303</v>
          </cell>
        </row>
        <row r="9">
          <cell r="L9">
            <v>0.47841112678792597</v>
          </cell>
        </row>
        <row r="10">
          <cell r="L10">
            <v>0.52095876028064014</v>
          </cell>
        </row>
      </sheetData>
      <sheetData sheetId="12">
        <row r="5">
          <cell r="F5">
            <v>0.1514588402834042</v>
          </cell>
          <cell r="L5">
            <v>0.15370893746373848</v>
          </cell>
        </row>
        <row r="6">
          <cell r="F6">
            <v>0.23808772094755151</v>
          </cell>
          <cell r="L6">
            <v>0.24627331158163718</v>
          </cell>
        </row>
        <row r="7">
          <cell r="F7">
            <v>0.26175551832813887</v>
          </cell>
          <cell r="L7">
            <v>0.25948354889502412</v>
          </cell>
        </row>
        <row r="8">
          <cell r="F8">
            <v>0.36369042733173462</v>
          </cell>
          <cell r="L8">
            <v>0.32544523318659158</v>
          </cell>
        </row>
        <row r="9">
          <cell r="F9">
            <v>0.44764132973168336</v>
          </cell>
          <cell r="L9">
            <v>0.46097815424742983</v>
          </cell>
        </row>
        <row r="10">
          <cell r="F10">
            <v>0.50346540291552389</v>
          </cell>
          <cell r="L10">
            <v>0.52137957042962946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  <cell r="E7">
            <v>344</v>
          </cell>
        </row>
        <row r="8">
          <cell r="C8">
            <v>0.22</v>
          </cell>
          <cell r="E8">
            <v>424</v>
          </cell>
        </row>
        <row r="9">
          <cell r="C9">
            <v>0.28999999999999998</v>
          </cell>
          <cell r="E9">
            <v>475</v>
          </cell>
        </row>
        <row r="20">
          <cell r="B20">
            <v>212</v>
          </cell>
        </row>
        <row r="22">
          <cell r="B22">
            <v>49</v>
          </cell>
        </row>
        <row r="27">
          <cell r="B27">
            <v>4.1203405239014401</v>
          </cell>
        </row>
        <row r="28">
          <cell r="B28">
            <v>10</v>
          </cell>
        </row>
        <row r="29">
          <cell r="B29">
            <v>628</v>
          </cell>
        </row>
        <row r="30">
          <cell r="B30">
            <v>25</v>
          </cell>
        </row>
        <row r="31">
          <cell r="B31">
            <v>8</v>
          </cell>
        </row>
        <row r="32">
          <cell r="B32">
            <v>40.700000000000003</v>
          </cell>
        </row>
      </sheetData>
      <sheetData sheetId="1">
        <row r="5">
          <cell r="F5">
            <v>0.13774499984492736</v>
          </cell>
        </row>
        <row r="6">
          <cell r="F6">
            <v>0.17563599976200805</v>
          </cell>
        </row>
        <row r="7">
          <cell r="F7">
            <v>0.19979151220914704</v>
          </cell>
        </row>
      </sheetData>
      <sheetData sheetId="2">
        <row r="5">
          <cell r="F5">
            <v>0.14773431806580975</v>
          </cell>
        </row>
        <row r="6">
          <cell r="F6">
            <v>0.20301592130730819</v>
          </cell>
        </row>
        <row r="7">
          <cell r="F7">
            <v>0.23825794337376341</v>
          </cell>
        </row>
      </sheetData>
      <sheetData sheetId="3">
        <row r="5">
          <cell r="G5">
            <v>0.19633966435220634</v>
          </cell>
        </row>
        <row r="6">
          <cell r="G6">
            <v>0.27687469322195718</v>
          </cell>
        </row>
        <row r="7">
          <cell r="G7">
            <v>0.32821577412642344</v>
          </cell>
        </row>
      </sheetData>
      <sheetData sheetId="4">
        <row r="5">
          <cell r="F5">
            <v>0.16340398052647973</v>
          </cell>
        </row>
        <row r="6">
          <cell r="F6">
            <v>0.20835327247573313</v>
          </cell>
        </row>
        <row r="7">
          <cell r="F7">
            <v>0.2370084460933822</v>
          </cell>
        </row>
      </sheetData>
      <sheetData sheetId="5">
        <row r="5">
          <cell r="F5">
            <v>0.18353711044235185</v>
          </cell>
          <cell r="G5">
            <v>0.15317310054163621</v>
          </cell>
          <cell r="L5">
            <v>0.95733187838522638</v>
          </cell>
        </row>
        <row r="6">
          <cell r="F6">
            <v>0.2262201593824337</v>
          </cell>
          <cell r="G6">
            <v>0.23270050807001413</v>
          </cell>
          <cell r="L6">
            <v>1.028273451738335</v>
          </cell>
        </row>
        <row r="7">
          <cell r="F7">
            <v>0.25343060308173587</v>
          </cell>
          <cell r="G7">
            <v>0.292047059303227</v>
          </cell>
          <cell r="L7">
            <v>0.87389863131633061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F5">
            <v>0.18643002723580673</v>
          </cell>
        </row>
        <row r="6">
          <cell r="F6">
            <v>0.25454004422233378</v>
          </cell>
        </row>
        <row r="7">
          <cell r="F7">
            <v>0.29871443414861854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  <cell r="E7">
            <v>262</v>
          </cell>
        </row>
        <row r="8">
          <cell r="C8">
            <v>0.19</v>
          </cell>
          <cell r="E8">
            <v>289</v>
          </cell>
        </row>
        <row r="9">
          <cell r="C9">
            <v>0.21</v>
          </cell>
          <cell r="E9">
            <v>315</v>
          </cell>
        </row>
        <row r="10">
          <cell r="C10">
            <v>0.24</v>
          </cell>
          <cell r="E10">
            <v>362</v>
          </cell>
        </row>
        <row r="11">
          <cell r="C11">
            <v>0.27</v>
          </cell>
          <cell r="E11">
            <v>405</v>
          </cell>
        </row>
        <row r="12">
          <cell r="C12">
            <v>0.3</v>
          </cell>
          <cell r="E12">
            <v>451</v>
          </cell>
        </row>
        <row r="13">
          <cell r="C13">
            <v>0.33</v>
          </cell>
          <cell r="E13">
            <v>489</v>
          </cell>
        </row>
        <row r="20">
          <cell r="B20">
            <v>311</v>
          </cell>
        </row>
        <row r="22">
          <cell r="B22">
            <v>41</v>
          </cell>
        </row>
        <row r="27">
          <cell r="B27">
            <v>4.1311267633290143</v>
          </cell>
        </row>
        <row r="28">
          <cell r="B28">
            <v>20</v>
          </cell>
        </row>
        <row r="29">
          <cell r="B29">
            <v>628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221</v>
          </cell>
        </row>
      </sheetData>
      <sheetData sheetId="1">
        <row r="5">
          <cell r="F5">
            <v>0.20384075008562094</v>
          </cell>
        </row>
        <row r="6">
          <cell r="F6">
            <v>0.24866101282447442</v>
          </cell>
        </row>
        <row r="7">
          <cell r="F7">
            <v>0.29182126583225926</v>
          </cell>
        </row>
        <row r="8">
          <cell r="F8">
            <v>0.36984172319248576</v>
          </cell>
        </row>
        <row r="9">
          <cell r="F9">
            <v>0.44122214162843754</v>
          </cell>
        </row>
        <row r="10">
          <cell r="F10">
            <v>0.51758258925759537</v>
          </cell>
        </row>
        <row r="11">
          <cell r="F11">
            <v>0.58066295903820397</v>
          </cell>
        </row>
      </sheetData>
      <sheetData sheetId="2">
        <row r="5">
          <cell r="F5">
            <v>0.15749040323695587</v>
          </cell>
        </row>
        <row r="6">
          <cell r="F6">
            <v>0.18560028619680935</v>
          </cell>
        </row>
        <row r="7">
          <cell r="F7">
            <v>0.21266906238037198</v>
          </cell>
        </row>
        <row r="8">
          <cell r="F8">
            <v>0.26160108086604289</v>
          </cell>
        </row>
        <row r="9">
          <cell r="F9">
            <v>0.30636867224655029</v>
          </cell>
        </row>
        <row r="10">
          <cell r="F10">
            <v>0.35425958395593027</v>
          </cell>
        </row>
        <row r="11">
          <cell r="F11">
            <v>0.39382164145498333</v>
          </cell>
        </row>
      </sheetData>
      <sheetData sheetId="3">
        <row r="5">
          <cell r="G5">
            <v>0.18660041653134951</v>
          </cell>
        </row>
        <row r="6">
          <cell r="G6">
            <v>0.22563015696323033</v>
          </cell>
        </row>
        <row r="7">
          <cell r="G7">
            <v>0.26321435145318967</v>
          </cell>
        </row>
        <row r="8">
          <cell r="G8">
            <v>0.33115501072350073</v>
          </cell>
        </row>
        <row r="9">
          <cell r="G9">
            <v>0.39331348622612583</v>
          </cell>
        </row>
        <row r="10">
          <cell r="G10">
            <v>0.45980859955451531</v>
          </cell>
        </row>
        <row r="11">
          <cell r="G11">
            <v>0.50910121360623528</v>
          </cell>
        </row>
      </sheetData>
      <sheetData sheetId="4">
        <row r="5">
          <cell r="F5">
            <v>0.20246196019108278</v>
          </cell>
        </row>
        <row r="6">
          <cell r="F6">
            <v>0.22332636066878978</v>
          </cell>
        </row>
        <row r="7">
          <cell r="F7">
            <v>0.24341800557324841</v>
          </cell>
        </row>
        <row r="8">
          <cell r="F8">
            <v>0.28694335086096484</v>
          </cell>
        </row>
        <row r="9">
          <cell r="F9">
            <v>0.34232416694376744</v>
          </cell>
        </row>
        <row r="10">
          <cell r="F10">
            <v>0.40156876089281202</v>
          </cell>
        </row>
        <row r="11">
          <cell r="F11">
            <v>0.45050994719854448</v>
          </cell>
        </row>
      </sheetData>
      <sheetData sheetId="5">
        <row r="5">
          <cell r="F5">
            <v>0.3831294106321857</v>
          </cell>
          <cell r="G5">
            <v>0.17724042582431693</v>
          </cell>
          <cell r="L5">
            <v>1.1077526614019808</v>
          </cell>
        </row>
        <row r="6">
          <cell r="F6">
            <v>0.42261221249122777</v>
          </cell>
          <cell r="G6">
            <v>0.21565319045033468</v>
          </cell>
          <cell r="L6">
            <v>1.1350167918438667</v>
          </cell>
        </row>
        <row r="7">
          <cell r="F7">
            <v>0.46063268835549048</v>
          </cell>
          <cell r="G7">
            <v>0.2562012885673598</v>
          </cell>
          <cell r="L7">
            <v>1.2200061360350467</v>
          </cell>
        </row>
        <row r="8">
          <cell r="F8">
            <v>0.52936201011011919</v>
          </cell>
          <cell r="G8">
            <v>0.33835869648799294</v>
          </cell>
          <cell r="L8">
            <v>1.409827902033304</v>
          </cell>
        </row>
        <row r="9">
          <cell r="F9">
            <v>0.59224202788563052</v>
          </cell>
          <cell r="G9">
            <v>0.42351641579502336</v>
          </cell>
          <cell r="L9">
            <v>1.5685793177593457</v>
          </cell>
        </row>
        <row r="10">
          <cell r="F10">
            <v>0.65950902364548003</v>
          </cell>
          <cell r="G10">
            <v>0.52518617582151228</v>
          </cell>
          <cell r="L10">
            <v>1.7506205860717077</v>
          </cell>
        </row>
        <row r="11">
          <cell r="F11">
            <v>0.71507741144709469</v>
          </cell>
          <cell r="G11">
            <v>0.61741605768219343</v>
          </cell>
          <cell r="L11">
            <v>1.8709577505521011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F5">
            <v>0.23744975146625499</v>
          </cell>
        </row>
        <row r="6">
          <cell r="F6">
            <v>0.27750007656846082</v>
          </cell>
        </row>
        <row r="7">
          <cell r="F7">
            <v>0.31672053463136884</v>
          </cell>
        </row>
        <row r="8">
          <cell r="F8">
            <v>0.38924611170074608</v>
          </cell>
        </row>
        <row r="9">
          <cell r="F9">
            <v>0.45743453954863228</v>
          </cell>
        </row>
        <row r="10">
          <cell r="F10">
            <v>0.53232176568436795</v>
          </cell>
        </row>
        <row r="11">
          <cell r="F11">
            <v>0.59569884399943596</v>
          </cell>
        </row>
      </sheetData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0.18</v>
          </cell>
        </row>
        <row r="9">
          <cell r="C9">
            <v>0.26</v>
          </cell>
        </row>
        <row r="20">
          <cell r="B20">
            <v>308</v>
          </cell>
        </row>
        <row r="22">
          <cell r="B22">
            <v>53</v>
          </cell>
        </row>
        <row r="27">
          <cell r="B27">
            <v>4.1311267633290143</v>
          </cell>
        </row>
        <row r="28">
          <cell r="B28">
            <v>10</v>
          </cell>
        </row>
        <row r="29">
          <cell r="B29">
            <v>628</v>
          </cell>
        </row>
        <row r="30">
          <cell r="B30">
            <v>25</v>
          </cell>
        </row>
        <row r="31">
          <cell r="B31">
            <v>8</v>
          </cell>
        </row>
        <row r="32">
          <cell r="B32">
            <v>87.7</v>
          </cell>
        </row>
      </sheetData>
      <sheetData sheetId="1">
        <row r="5">
          <cell r="F5">
            <v>0.17235205259814823</v>
          </cell>
          <cell r="K5">
            <v>322.91971563781163</v>
          </cell>
          <cell r="L5">
            <v>0.17110696370812956</v>
          </cell>
        </row>
        <row r="6">
          <cell r="F6">
            <v>0.22882732683735557</v>
          </cell>
          <cell r="K6">
            <v>367.82093324078352</v>
          </cell>
          <cell r="L6">
            <v>0.22285815917347976</v>
          </cell>
        </row>
        <row r="7">
          <cell r="F7">
            <v>0.34177787531577031</v>
          </cell>
          <cell r="K7">
            <v>500</v>
          </cell>
          <cell r="L7">
            <v>0.37520201721244406</v>
          </cell>
        </row>
      </sheetData>
      <sheetData sheetId="2">
        <row r="5">
          <cell r="F5">
            <v>0.13686887565872033</v>
          </cell>
          <cell r="L5">
            <v>0.13580672680659342</v>
          </cell>
        </row>
        <row r="6">
          <cell r="F6">
            <v>0.18504627743910806</v>
          </cell>
          <cell r="L6">
            <v>0.17995415539612394</v>
          </cell>
        </row>
        <row r="7">
          <cell r="F7">
            <v>0.28140108099988353</v>
          </cell>
          <cell r="L7">
            <v>0.30991423715562322</v>
          </cell>
        </row>
      </sheetData>
      <sheetData sheetId="3">
        <row r="5">
          <cell r="G5">
            <v>0.22227012668197407</v>
          </cell>
          <cell r="N5">
            <v>0.22051936594500704</v>
          </cell>
        </row>
        <row r="6">
          <cell r="G6">
            <v>0.30168188076643071</v>
          </cell>
          <cell r="N6">
            <v>0.29328843636092294</v>
          </cell>
        </row>
        <row r="7">
          <cell r="G7">
            <v>0.46050538893534404</v>
          </cell>
          <cell r="N7">
            <v>0.49160614061620145</v>
          </cell>
        </row>
      </sheetData>
      <sheetData sheetId="4">
        <row r="5">
          <cell r="F5">
            <v>0.18999968789808919</v>
          </cell>
          <cell r="L5">
            <v>0.18936618884976517</v>
          </cell>
        </row>
        <row r="6">
          <cell r="F6">
            <v>0.21873420859872611</v>
          </cell>
          <cell r="L6">
            <v>0.21569710653744678</v>
          </cell>
        </row>
        <row r="7">
          <cell r="F7">
            <v>0.28982664141017167</v>
          </cell>
          <cell r="L7">
            <v>0.318170216250936</v>
          </cell>
        </row>
      </sheetData>
      <sheetData sheetId="5">
        <row r="5">
          <cell r="F5">
            <v>0.2352554933360087</v>
          </cell>
          <cell r="G5">
            <v>0.13552525305440749</v>
          </cell>
          <cell r="L5">
            <v>0.84703283159004683</v>
          </cell>
          <cell r="Q5">
            <v>0.2432137981836999</v>
          </cell>
          <cell r="R5">
            <v>0.1448495333689632</v>
          </cell>
          <cell r="W5">
            <v>0.90530958355601998</v>
          </cell>
        </row>
        <row r="6">
          <cell r="F6">
            <v>0.27083425621707169</v>
          </cell>
          <cell r="G6">
            <v>0.17961717851896297</v>
          </cell>
          <cell r="L6">
            <v>0.99787321399423878</v>
          </cell>
          <cell r="Q6">
            <v>0.2770320977406715</v>
          </cell>
          <cell r="R6">
            <v>0.18793205453378584</v>
          </cell>
          <cell r="W6">
            <v>1.0440669696321436</v>
          </cell>
        </row>
        <row r="7">
          <cell r="F7">
            <v>0.34199178197919783</v>
          </cell>
          <cell r="G7">
            <v>0.28639934521074156</v>
          </cell>
          <cell r="L7">
            <v>1.1015359431182368</v>
          </cell>
          <cell r="Q7">
            <v>0.36304860082717388</v>
          </cell>
          <cell r="R7">
            <v>0.32275294604101767</v>
          </cell>
          <cell r="W7">
            <v>1.2413574847731448</v>
          </cell>
        </row>
      </sheetData>
      <sheetData sheetId="6">
        <row r="5">
          <cell r="L5">
            <v>0.18168753501004353</v>
          </cell>
        </row>
        <row r="6">
          <cell r="L6">
            <v>0.21973648361278203</v>
          </cell>
        </row>
        <row r="7">
          <cell r="L7">
            <v>0.33174401449868146</v>
          </cell>
        </row>
      </sheetData>
      <sheetData sheetId="7">
        <row r="5">
          <cell r="L5">
            <v>0.25673146221285098</v>
          </cell>
        </row>
        <row r="6">
          <cell r="L6">
            <v>0.30109270048343972</v>
          </cell>
        </row>
        <row r="7">
          <cell r="L7">
            <v>0.42745968973439941</v>
          </cell>
        </row>
      </sheetData>
      <sheetData sheetId="8">
        <row r="5">
          <cell r="L5">
            <v>0.26529737942563375</v>
          </cell>
        </row>
        <row r="6">
          <cell r="L6">
            <v>0.30218634837434094</v>
          </cell>
        </row>
        <row r="7">
          <cell r="L7">
            <v>0.41077916054402924</v>
          </cell>
        </row>
      </sheetData>
      <sheetData sheetId="9">
        <row r="5">
          <cell r="L5">
            <v>0.10483022583657002</v>
          </cell>
        </row>
        <row r="6">
          <cell r="L6">
            <v>0.12146747139241644</v>
          </cell>
        </row>
        <row r="7">
          <cell r="L7">
            <v>0.17044377333729177</v>
          </cell>
        </row>
      </sheetData>
      <sheetData sheetId="10">
        <row r="5">
          <cell r="L5">
            <v>0.25496881340038491</v>
          </cell>
        </row>
        <row r="6">
          <cell r="L6">
            <v>0.29679813828389767</v>
          </cell>
        </row>
        <row r="7">
          <cell r="L7">
            <v>0.43772597472228192</v>
          </cell>
        </row>
      </sheetData>
      <sheetData sheetId="11">
        <row r="5">
          <cell r="L5">
            <v>0.18984252639749352</v>
          </cell>
        </row>
        <row r="6">
          <cell r="L6">
            <v>0.21623967768704974</v>
          </cell>
        </row>
        <row r="7">
          <cell r="L7">
            <v>0.30517473532265971</v>
          </cell>
        </row>
      </sheetData>
      <sheetData sheetId="12">
        <row r="5">
          <cell r="F5">
            <v>0.17253130301177133</v>
          </cell>
          <cell r="L5">
            <v>0.17131099106952305</v>
          </cell>
        </row>
        <row r="6">
          <cell r="F6">
            <v>0.22815888553756808</v>
          </cell>
          <cell r="L6">
            <v>0.22225377502577889</v>
          </cell>
        </row>
        <row r="7">
          <cell r="F7">
            <v>0.34103521936284037</v>
          </cell>
          <cell r="L7">
            <v>0.37485186351740063</v>
          </cell>
        </row>
      </sheetData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Hong et al (2013)"/>
      <sheetName val="Gráficos finais"/>
    </sheetNames>
    <sheetDataSet>
      <sheetData sheetId="0">
        <row r="7">
          <cell r="C7">
            <v>0.16</v>
          </cell>
        </row>
        <row r="8">
          <cell r="C8">
            <v>0.2</v>
          </cell>
        </row>
        <row r="9">
          <cell r="C9">
            <v>0.2</v>
          </cell>
        </row>
        <row r="10">
          <cell r="C10">
            <v>0.24</v>
          </cell>
        </row>
        <row r="11">
          <cell r="C11">
            <v>0.3</v>
          </cell>
        </row>
        <row r="12">
          <cell r="C12">
            <v>0.32</v>
          </cell>
        </row>
        <row r="13">
          <cell r="C13">
            <v>0.38</v>
          </cell>
        </row>
        <row r="14">
          <cell r="C14">
            <v>0.42</v>
          </cell>
        </row>
        <row r="15">
          <cell r="C15">
            <v>0.44</v>
          </cell>
        </row>
        <row r="16">
          <cell r="C16">
            <v>0.5</v>
          </cell>
        </row>
        <row r="20">
          <cell r="B20">
            <v>200</v>
          </cell>
        </row>
        <row r="22">
          <cell r="B22">
            <v>36</v>
          </cell>
        </row>
        <row r="27">
          <cell r="B27">
            <v>3.262</v>
          </cell>
        </row>
        <row r="28">
          <cell r="B28">
            <v>10</v>
          </cell>
        </row>
        <row r="29">
          <cell r="B29">
            <v>314</v>
          </cell>
        </row>
        <row r="30">
          <cell r="B30">
            <v>25</v>
          </cell>
        </row>
        <row r="31">
          <cell r="B31">
            <v>4</v>
          </cell>
        </row>
      </sheetData>
      <sheetData sheetId="1">
        <row r="5">
          <cell r="F5">
            <v>0.10601036739201174</v>
          </cell>
          <cell r="K5">
            <v>285.04803218471648</v>
          </cell>
          <cell r="L5">
            <v>0.16007091811290758</v>
          </cell>
        </row>
        <row r="6">
          <cell r="F6">
            <v>0.16627024000347668</v>
          </cell>
          <cell r="K6">
            <v>324.99964614446418</v>
          </cell>
          <cell r="L6">
            <v>0.19987712128481272</v>
          </cell>
        </row>
        <row r="7">
          <cell r="F7">
            <v>0.22443775592704357</v>
          </cell>
          <cell r="K7">
            <v>367.6446273374533</v>
          </cell>
          <cell r="L7">
            <v>0.24236688871549797</v>
          </cell>
        </row>
        <row r="8">
          <cell r="F8">
            <v>0.26712183236016462</v>
          </cell>
          <cell r="K8">
            <v>410.73850306931587</v>
          </cell>
          <cell r="L8">
            <v>0.28530391685597978</v>
          </cell>
        </row>
        <row r="9">
          <cell r="F9">
            <v>0.27925750114997355</v>
          </cell>
          <cell r="K9">
            <v>438.56996447947728</v>
          </cell>
          <cell r="L9">
            <v>0.31303408086337448</v>
          </cell>
        </row>
        <row r="10">
          <cell r="K10">
            <v>498.27293814966185</v>
          </cell>
          <cell r="L10">
            <v>0.37251975526633363</v>
          </cell>
        </row>
        <row r="11">
          <cell r="K11">
            <v>502.76188353839768</v>
          </cell>
          <cell r="L11">
            <v>0.37699236236430061</v>
          </cell>
        </row>
        <row r="12">
          <cell r="K12">
            <v>538.67344664828317</v>
          </cell>
          <cell r="L12">
            <v>0.41277321914803544</v>
          </cell>
        </row>
        <row r="13">
          <cell r="K13">
            <v>628</v>
          </cell>
          <cell r="L13">
            <v>0.50177465310629754</v>
          </cell>
        </row>
        <row r="14">
          <cell r="K14">
            <v>628</v>
          </cell>
          <cell r="L14">
            <v>0.50177465310629754</v>
          </cell>
        </row>
      </sheetData>
      <sheetData sheetId="2">
        <row r="5">
          <cell r="F5">
            <v>9.3253931667024989E-2</v>
          </cell>
          <cell r="L5">
            <v>0.13868029025440845</v>
          </cell>
        </row>
        <row r="6">
          <cell r="F6">
            <v>0.14388949762363262</v>
          </cell>
          <cell r="L6">
            <v>0.17212891101716857</v>
          </cell>
        </row>
        <row r="7">
          <cell r="F7">
            <v>0.19276688420674695</v>
          </cell>
          <cell r="L7">
            <v>0.2078324949774181</v>
          </cell>
        </row>
        <row r="8">
          <cell r="F8">
            <v>0.2286337434260107</v>
          </cell>
          <cell r="L8">
            <v>0.24391190613724908</v>
          </cell>
        </row>
        <row r="9">
          <cell r="F9">
            <v>0.23883118379227194</v>
          </cell>
          <cell r="L9">
            <v>0.26721319251130676</v>
          </cell>
        </row>
        <row r="10">
          <cell r="L10">
            <v>0.31719821005565602</v>
          </cell>
        </row>
        <row r="11">
          <cell r="L11">
            <v>0.32095648205147187</v>
          </cell>
        </row>
        <row r="12">
          <cell r="L12">
            <v>0.35102265801799776</v>
          </cell>
        </row>
        <row r="13">
          <cell r="L13">
            <v>0.42580937402192115</v>
          </cell>
        </row>
        <row r="14">
          <cell r="L14">
            <v>0.42580937402192115</v>
          </cell>
        </row>
      </sheetData>
      <sheetData sheetId="3">
        <row r="5">
          <cell r="G5">
            <v>0.1036972957823218</v>
          </cell>
          <cell r="N5">
            <v>0.16724728494892779</v>
          </cell>
        </row>
        <row r="6">
          <cell r="G6">
            <v>0.17453479559638582</v>
          </cell>
          <cell r="N6">
            <v>0.21404081084914578</v>
          </cell>
        </row>
        <row r="7">
          <cell r="G7">
            <v>0.24291266000023926</v>
          </cell>
          <cell r="N7">
            <v>0.26398895647297405</v>
          </cell>
        </row>
        <row r="8">
          <cell r="G8">
            <v>0.29308922236853463</v>
          </cell>
          <cell r="N8">
            <v>0.31446287205073714</v>
          </cell>
        </row>
        <row r="9">
          <cell r="G9">
            <v>0.30735510774775582</v>
          </cell>
          <cell r="N9">
            <v>0.34706060919470938</v>
          </cell>
        </row>
        <row r="10">
          <cell r="N10">
            <v>0.4169880130680686</v>
          </cell>
        </row>
        <row r="11">
          <cell r="N11">
            <v>0.42092646353136287</v>
          </cell>
        </row>
        <row r="12">
          <cell r="N12">
            <v>0.45099263949788876</v>
          </cell>
        </row>
        <row r="13">
          <cell r="N13">
            <v>0.5257793555018121</v>
          </cell>
        </row>
        <row r="14">
          <cell r="N14">
            <v>0.5257793555018121</v>
          </cell>
        </row>
      </sheetData>
      <sheetData sheetId="4">
        <row r="5">
          <cell r="F5">
            <v>0.120309</v>
          </cell>
          <cell r="L5">
            <v>0.1485932826557089</v>
          </cell>
        </row>
        <row r="6">
          <cell r="F6">
            <v>0.15183674522292995</v>
          </cell>
          <cell r="L6">
            <v>0.17429163285246455</v>
          </cell>
        </row>
        <row r="7">
          <cell r="F7">
            <v>0.19570835672846768</v>
          </cell>
          <cell r="L7">
            <v>0.21134245136241825</v>
          </cell>
        </row>
        <row r="8">
          <cell r="F8">
            <v>0.23292861150553779</v>
          </cell>
          <cell r="L8">
            <v>0.24878327848826612</v>
          </cell>
        </row>
        <row r="9">
          <cell r="F9">
            <v>0.24351084080490085</v>
          </cell>
          <cell r="L9">
            <v>0.27296381267370967</v>
          </cell>
        </row>
        <row r="10">
          <cell r="L10">
            <v>0.32483495858764466</v>
          </cell>
        </row>
        <row r="11">
          <cell r="L11">
            <v>0.32873504474658727</v>
          </cell>
        </row>
        <row r="12">
          <cell r="L12">
            <v>0.35993573401812712</v>
          </cell>
        </row>
        <row r="13">
          <cell r="L13">
            <v>0.43754444256407587</v>
          </cell>
        </row>
        <row r="14">
          <cell r="L14">
            <v>0.43754444256407587</v>
          </cell>
        </row>
      </sheetData>
      <sheetData sheetId="5">
        <row r="5">
          <cell r="F5">
            <v>0.14505628287401748</v>
          </cell>
          <cell r="G5">
            <v>8.2939124463519295E-2</v>
          </cell>
          <cell r="L5">
            <v>0.51836952789699553</v>
          </cell>
          <cell r="Q5">
            <v>0.18440399789461248</v>
          </cell>
          <cell r="R5">
            <v>0.13403771715746998</v>
          </cell>
          <cell r="W5">
            <v>0.8377357322341874</v>
          </cell>
        </row>
        <row r="6">
          <cell r="F6">
            <v>0.1830692123259893</v>
          </cell>
          <cell r="G6">
            <v>0.13210430901287551</v>
          </cell>
          <cell r="L6">
            <v>0.66052154506437755</v>
          </cell>
          <cell r="Q6">
            <v>0.21024959759952672</v>
          </cell>
          <cell r="R6">
            <v>0.17424354747035525</v>
          </cell>
          <cell r="W6">
            <v>0.87121773735177621</v>
          </cell>
        </row>
        <row r="7">
          <cell r="F7">
            <v>0.21976224839421207</v>
          </cell>
          <cell r="G7">
            <v>0.19036738197424891</v>
          </cell>
          <cell r="L7">
            <v>0.95183690987124447</v>
          </cell>
          <cell r="Q7">
            <v>0.23783759728454748</v>
          </cell>
          <cell r="R7">
            <v>0.22297048347265605</v>
          </cell>
          <cell r="W7">
            <v>1.1148524173632801</v>
          </cell>
        </row>
        <row r="8">
          <cell r="F8">
            <v>0.24668807342269211</v>
          </cell>
          <cell r="G8">
            <v>0.23987371673819741</v>
          </cell>
          <cell r="L8">
            <v>0.99947381974248928</v>
          </cell>
          <cell r="Q8">
            <v>0.26571599696625259</v>
          </cell>
          <cell r="R8">
            <v>0.27830548142392658</v>
          </cell>
          <cell r="W8">
            <v>1.1071499873593857</v>
          </cell>
        </row>
        <row r="9">
          <cell r="F9">
            <v>0.25434345504843647</v>
          </cell>
          <cell r="G9">
            <v>0.25499254935622317</v>
          </cell>
          <cell r="L9">
            <v>0.84781151682812161</v>
          </cell>
          <cell r="Q9">
            <v>0.28372079676068723</v>
          </cell>
          <cell r="R9">
            <v>0.31729899713708887</v>
          </cell>
          <cell r="W9">
            <v>0.94573598920229085</v>
          </cell>
        </row>
        <row r="10">
          <cell r="Q10">
            <v>0.32234399631971627</v>
          </cell>
          <cell r="R10">
            <v>0.4095675399831824</v>
          </cell>
          <cell r="W10">
            <v>1.0073249884991133</v>
          </cell>
        </row>
        <row r="11">
          <cell r="Q11">
            <v>0.32524799628656048</v>
          </cell>
          <cell r="R11">
            <v>0.4169803767185325</v>
          </cell>
          <cell r="W11">
            <v>0.85591577970147492</v>
          </cell>
        </row>
        <row r="12">
          <cell r="Q12">
            <v>0.34847999602131496</v>
          </cell>
          <cell r="R12">
            <v>0.47867645286566257</v>
          </cell>
          <cell r="W12">
            <v>0.82971427624122618</v>
          </cell>
        </row>
        <row r="13">
          <cell r="Q13">
            <v>0.39471097380685027</v>
          </cell>
          <cell r="R13">
            <v>0.61410800657888331</v>
          </cell>
          <cell r="W13">
            <v>0.89707039501556884</v>
          </cell>
        </row>
        <row r="14">
          <cell r="Q14">
            <v>0.39471097380685027</v>
          </cell>
          <cell r="R14">
            <v>0.61410800657888331</v>
          </cell>
          <cell r="W14">
            <v>0.78942194761370055</v>
          </cell>
        </row>
      </sheetData>
      <sheetData sheetId="6">
        <row r="5">
          <cell r="L5">
            <v>0.1060172840918551</v>
          </cell>
        </row>
        <row r="6">
          <cell r="L6">
            <v>0.1358817516989633</v>
          </cell>
        </row>
        <row r="7">
          <cell r="L7">
            <v>0.16775955420093275</v>
          </cell>
        </row>
        <row r="8">
          <cell r="L8">
            <v>0.1999729125187123</v>
          </cell>
        </row>
        <row r="9">
          <cell r="L9">
            <v>0.22077737309894505</v>
          </cell>
        </row>
        <row r="10">
          <cell r="L10">
            <v>0.26540629660170212</v>
          </cell>
        </row>
        <row r="11">
          <cell r="L11">
            <v>0.26876185475980424</v>
          </cell>
        </row>
        <row r="12">
          <cell r="L12">
            <v>0.29560632002462056</v>
          </cell>
        </row>
        <row r="13">
          <cell r="L13">
            <v>0.36237934105237524</v>
          </cell>
        </row>
        <row r="14">
          <cell r="L14">
            <v>0.36237934105237524</v>
          </cell>
        </row>
      </sheetData>
      <sheetData sheetId="7">
        <row r="5">
          <cell r="L5">
            <v>0.22216282542619536</v>
          </cell>
        </row>
        <row r="6">
          <cell r="L6">
            <v>0.2698880415363058</v>
          </cell>
        </row>
        <row r="7">
          <cell r="L7">
            <v>0.31897202344812936</v>
          </cell>
        </row>
        <row r="8">
          <cell r="L8">
            <v>0.36721961962806549</v>
          </cell>
        </row>
        <row r="9">
          <cell r="L9">
            <v>0.39784384604502626</v>
          </cell>
        </row>
        <row r="10">
          <cell r="L10">
            <v>0.46249133747939219</v>
          </cell>
        </row>
        <row r="11">
          <cell r="L11">
            <v>0.46730491473949903</v>
          </cell>
        </row>
        <row r="12">
          <cell r="L12">
            <v>0.50562030661839974</v>
          </cell>
        </row>
        <row r="13">
          <cell r="L13">
            <v>0.59974401046133252</v>
          </cell>
        </row>
        <row r="14">
          <cell r="L14">
            <v>0.59974401046133252</v>
          </cell>
        </row>
        <row r="27">
          <cell r="B27">
            <v>32.466666666666669</v>
          </cell>
        </row>
      </sheetData>
      <sheetData sheetId="8">
        <row r="5">
          <cell r="L5">
            <v>0.16892962653245996</v>
          </cell>
        </row>
        <row r="6">
          <cell r="L6">
            <v>0.1926063773377969</v>
          </cell>
        </row>
        <row r="7">
          <cell r="L7">
            <v>0.21787931359068463</v>
          </cell>
        </row>
        <row r="8">
          <cell r="L8">
            <v>0.24341828075149743</v>
          </cell>
        </row>
        <row r="9">
          <cell r="L9">
            <v>0.25991219704285579</v>
          </cell>
        </row>
        <row r="10">
          <cell r="L10">
            <v>0.29529430779689847</v>
          </cell>
        </row>
        <row r="11">
          <cell r="L11">
            <v>0.29795461687614988</v>
          </cell>
        </row>
        <row r="12">
          <cell r="L12">
            <v>0.31923708951016055</v>
          </cell>
        </row>
        <row r="13">
          <cell r="L13">
            <v>0.37217518973657732</v>
          </cell>
        </row>
        <row r="14">
          <cell r="L14">
            <v>0.37217518973657732</v>
          </cell>
        </row>
      </sheetData>
      <sheetData sheetId="9">
        <row r="5">
          <cell r="L5">
            <v>0.11084938491756892</v>
          </cell>
        </row>
        <row r="6">
          <cell r="L6">
            <v>0.1290705233242212</v>
          </cell>
        </row>
        <row r="7">
          <cell r="L7">
            <v>0.14852005308413091</v>
          </cell>
        </row>
        <row r="8">
          <cell r="L8">
            <v>0.16817431473625016</v>
          </cell>
        </row>
        <row r="9">
          <cell r="L9">
            <v>0.18086769205324393</v>
          </cell>
        </row>
        <row r="10">
          <cell r="L10">
            <v>0.20809703371711741</v>
          </cell>
        </row>
        <row r="11">
          <cell r="L11">
            <v>0.21014435263921324</v>
          </cell>
        </row>
        <row r="12">
          <cell r="L12">
            <v>0.2265229040159793</v>
          </cell>
        </row>
        <row r="13">
          <cell r="L13">
            <v>0.26726297258118725</v>
          </cell>
        </row>
        <row r="14">
          <cell r="L14">
            <v>0.26726297258118725</v>
          </cell>
        </row>
      </sheetData>
      <sheetData sheetId="10">
        <row r="5">
          <cell r="L5">
            <v>0.21176098535955973</v>
          </cell>
        </row>
        <row r="6">
          <cell r="L6">
            <v>0.2466862096623729</v>
          </cell>
        </row>
        <row r="7">
          <cell r="L7">
            <v>0.28396594346874648</v>
          </cell>
        </row>
        <row r="8">
          <cell r="L8">
            <v>0.32163809552571332</v>
          </cell>
        </row>
        <row r="9">
          <cell r="L9">
            <v>0.34596802706250462</v>
          </cell>
        </row>
        <row r="10">
          <cell r="L10">
            <v>0.39815965439142748</v>
          </cell>
        </row>
        <row r="11">
          <cell r="L11">
            <v>0.40208383689736166</v>
          </cell>
        </row>
        <row r="12">
          <cell r="L12">
            <v>0.43347729694483406</v>
          </cell>
        </row>
        <row r="13">
          <cell r="L13">
            <v>0.51156550422349734</v>
          </cell>
        </row>
        <row r="14">
          <cell r="L14">
            <v>0.51156550422349734</v>
          </cell>
        </row>
      </sheetData>
      <sheetData sheetId="11">
        <row r="5">
          <cell r="L5">
            <v>0.1708750527360991</v>
          </cell>
        </row>
        <row r="6">
          <cell r="L6">
            <v>0.19482446957627678</v>
          </cell>
        </row>
        <row r="7">
          <cell r="L7">
            <v>0.2203884538438822</v>
          </cell>
        </row>
        <row r="8">
          <cell r="L8">
            <v>0.24622153268272548</v>
          </cell>
        </row>
        <row r="9">
          <cell r="L9">
            <v>0.26290539609947855</v>
          </cell>
        </row>
        <row r="10">
          <cell r="L10">
            <v>0.29869497407412599</v>
          </cell>
        </row>
        <row r="11">
          <cell r="L11">
            <v>0.30138591978650559</v>
          </cell>
        </row>
        <row r="12">
          <cell r="L12">
            <v>0.32291348548554166</v>
          </cell>
        </row>
        <row r="13">
          <cell r="L13">
            <v>0.37646123109782298</v>
          </cell>
        </row>
        <row r="14">
          <cell r="L14">
            <v>0.37646123109782298</v>
          </cell>
        </row>
      </sheetData>
      <sheetData sheetId="12">
        <row r="5">
          <cell r="F5">
            <v>0.11850023838168661</v>
          </cell>
          <cell r="L5">
            <v>0.17212596418336307</v>
          </cell>
        </row>
        <row r="6">
          <cell r="F6">
            <v>0.17833050906387657</v>
          </cell>
          <cell r="L6">
            <v>0.21216296832064094</v>
          </cell>
        </row>
        <row r="7">
          <cell r="F7">
            <v>0.23709912339679762</v>
          </cell>
          <cell r="L7">
            <v>0.25541471835064256</v>
          </cell>
        </row>
        <row r="8">
          <cell r="F8">
            <v>0.28085906477289557</v>
          </cell>
          <cell r="L8">
            <v>0.29966262211823425</v>
          </cell>
        </row>
        <row r="9">
          <cell r="F9">
            <v>0.29339871678908236</v>
          </cell>
          <cell r="L9">
            <v>0.32852835401607444</v>
          </cell>
        </row>
        <row r="10">
          <cell r="L10">
            <v>0.39121503084686815</v>
          </cell>
        </row>
        <row r="11">
          <cell r="L11">
            <v>0.39597049671190993</v>
          </cell>
        </row>
        <row r="12">
          <cell r="L12">
            <v>0.43422660798760682</v>
          </cell>
        </row>
        <row r="13">
          <cell r="L13">
            <v>0.53102263920296899</v>
          </cell>
        </row>
        <row r="14">
          <cell r="L14">
            <v>0.53102263920296899</v>
          </cell>
        </row>
      </sheetData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 x WFissiura"/>
      <sheetName val="Fissura"/>
      <sheetName val="Ensaio"/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 refreshError="1"/>
      <sheetData sheetId="1"/>
      <sheetData sheetId="2"/>
      <sheetData sheetId="3">
        <row r="9">
          <cell r="C9">
            <v>0.24</v>
          </cell>
        </row>
        <row r="10">
          <cell r="C10">
            <v>0.3</v>
          </cell>
        </row>
        <row r="11">
          <cell r="C11">
            <v>0.3</v>
          </cell>
        </row>
        <row r="12">
          <cell r="C12">
            <v>0.3</v>
          </cell>
        </row>
        <row r="13">
          <cell r="C13">
            <v>0.38</v>
          </cell>
        </row>
        <row r="14">
          <cell r="C14">
            <v>0.44</v>
          </cell>
        </row>
        <row r="18">
          <cell r="B18">
            <v>200</v>
          </cell>
        </row>
        <row r="20">
          <cell r="B20">
            <v>36</v>
          </cell>
        </row>
        <row r="25">
          <cell r="B25">
            <v>3.5139999999999993</v>
          </cell>
        </row>
        <row r="26">
          <cell r="B26">
            <v>10</v>
          </cell>
        </row>
        <row r="27">
          <cell r="B27">
            <v>314</v>
          </cell>
        </row>
        <row r="28">
          <cell r="B28">
            <v>25</v>
          </cell>
        </row>
        <row r="29">
          <cell r="B29">
            <v>4</v>
          </cell>
        </row>
      </sheetData>
      <sheetData sheetId="4">
        <row r="7">
          <cell r="F7">
            <v>0.19627326631154038</v>
          </cell>
          <cell r="K7">
            <v>321.47187644259361</v>
          </cell>
          <cell r="L7">
            <v>0.18922989304623691</v>
          </cell>
        </row>
        <row r="8">
          <cell r="F8">
            <v>0.31720045444376804</v>
          </cell>
          <cell r="K8">
            <v>357.19097382510409</v>
          </cell>
          <cell r="L8">
            <v>0.2248189846147983</v>
          </cell>
        </row>
        <row r="9">
          <cell r="F9">
            <v>0.34534942670121238</v>
          </cell>
          <cell r="K9">
            <v>370.58563534354545</v>
          </cell>
          <cell r="L9">
            <v>0.23816489395300877</v>
          </cell>
        </row>
        <row r="10">
          <cell r="F10">
            <v>0.37235393743121814</v>
          </cell>
          <cell r="K10">
            <v>392.91007120761441</v>
          </cell>
          <cell r="L10">
            <v>0.26040807618335954</v>
          </cell>
        </row>
        <row r="11">
          <cell r="F11">
            <v>0.39978069783796638</v>
          </cell>
          <cell r="K11">
            <v>424.16428141731097</v>
          </cell>
          <cell r="L11">
            <v>0.29154853130585062</v>
          </cell>
        </row>
        <row r="12">
          <cell r="F12">
            <v>0.49464235464347078</v>
          </cell>
          <cell r="K12">
            <v>491.13758900951802</v>
          </cell>
          <cell r="L12">
            <v>0.35827807799690314</v>
          </cell>
        </row>
      </sheetData>
      <sheetData sheetId="5">
        <row r="7">
          <cell r="F7">
            <v>0.16925116501167611</v>
          </cell>
          <cell r="L7">
            <v>0.16333872081928372</v>
          </cell>
        </row>
        <row r="8">
          <cell r="F8">
            <v>0.27076151016075245</v>
          </cell>
          <cell r="L8">
            <v>0.19321340015703939</v>
          </cell>
        </row>
        <row r="9">
          <cell r="F9">
            <v>0.29439070334368261</v>
          </cell>
          <cell r="L9">
            <v>0.20441640490869767</v>
          </cell>
        </row>
        <row r="10">
          <cell r="F10">
            <v>0.31705919706394858</v>
          </cell>
          <cell r="L10">
            <v>0.22308807949479487</v>
          </cell>
        </row>
        <row r="11">
          <cell r="F11">
            <v>0.34008214135142972</v>
          </cell>
          <cell r="L11">
            <v>0.24922842391533095</v>
          </cell>
        </row>
        <row r="12">
          <cell r="F12">
            <v>0.41971220364321704</v>
          </cell>
          <cell r="L12">
            <v>0.30524344767362266</v>
          </cell>
        </row>
      </sheetData>
      <sheetData sheetId="6">
        <row r="7">
          <cell r="G7">
            <v>0.21474422554616154</v>
          </cell>
          <cell r="N7">
            <v>0.20633910593613325</v>
          </cell>
        </row>
        <row r="8">
          <cell r="G8">
            <v>0.35905114242684505</v>
          </cell>
          <cell r="N8">
            <v>0.24880889422913266</v>
          </cell>
        </row>
        <row r="9">
          <cell r="G9">
            <v>0.39264235927867475</v>
          </cell>
          <cell r="N9">
            <v>0.26473506483900733</v>
          </cell>
        </row>
        <row r="10">
          <cell r="G10">
            <v>0.42259259028446483</v>
          </cell>
          <cell r="N10">
            <v>0.29127868252213185</v>
          </cell>
        </row>
        <row r="11">
          <cell r="G11">
            <v>0.44561553457194603</v>
          </cell>
          <cell r="N11">
            <v>0.32843974727850617</v>
          </cell>
        </row>
        <row r="12">
          <cell r="G12">
            <v>0.52524559686373329</v>
          </cell>
          <cell r="N12">
            <v>0.40807060032787995</v>
          </cell>
        </row>
      </sheetData>
      <sheetData sheetId="7">
        <row r="7">
          <cell r="F7">
            <v>0.17126581148890535</v>
          </cell>
          <cell r="L7">
            <v>0.16758074432571601</v>
          </cell>
        </row>
        <row r="8">
          <cell r="F8">
            <v>0.27659686506976372</v>
          </cell>
          <cell r="L8">
            <v>0.19604078582316281</v>
          </cell>
        </row>
        <row r="9">
          <cell r="F9">
            <v>0.30114259749942857</v>
          </cell>
          <cell r="L9">
            <v>0.20767833751244857</v>
          </cell>
        </row>
        <row r="10">
          <cell r="F10">
            <v>0.3246903664449694</v>
          </cell>
          <cell r="L10">
            <v>0.22707425699459161</v>
          </cell>
        </row>
        <row r="11">
          <cell r="F11">
            <v>0.34860633453785528</v>
          </cell>
          <cell r="L11">
            <v>0.25422854426959185</v>
          </cell>
        </row>
        <row r="12">
          <cell r="F12">
            <v>0.43132512172792148</v>
          </cell>
          <cell r="L12">
            <v>0.31241630271602105</v>
          </cell>
        </row>
      </sheetData>
      <sheetData sheetId="8">
        <row r="7">
          <cell r="F7">
            <v>0.20649479255901723</v>
          </cell>
          <cell r="G7">
            <v>0.15602233219784434</v>
          </cell>
          <cell r="L7">
            <v>0.65009305082435143</v>
          </cell>
          <cell r="Q7">
            <v>0.20908799761278896</v>
          </cell>
          <cell r="R7">
            <v>0.15996566082219832</v>
          </cell>
          <cell r="W7">
            <v>0.66652358675915968</v>
          </cell>
        </row>
        <row r="8">
          <cell r="F8">
            <v>0.28277767322380504</v>
          </cell>
          <cell r="G8">
            <v>0.29258953635709389</v>
          </cell>
          <cell r="L8">
            <v>0.94259224407935016</v>
          </cell>
          <cell r="Q8">
            <v>0.23231999734754327</v>
          </cell>
          <cell r="R8">
            <v>0.1974884701508621</v>
          </cell>
          <cell r="W8">
            <v>0.65829490050287365</v>
          </cell>
        </row>
        <row r="9">
          <cell r="F9">
            <v>0.30053451289498884</v>
          </cell>
          <cell r="G9">
            <v>0.33048919342577127</v>
          </cell>
          <cell r="L9">
            <v>1.0017817096499628</v>
          </cell>
          <cell r="Q9">
            <v>0.24103199724807614</v>
          </cell>
          <cell r="R9">
            <v>0.21257782357332636</v>
          </cell>
          <cell r="W9">
            <v>0.70859274524442117</v>
          </cell>
        </row>
        <row r="10">
          <cell r="F10">
            <v>0.31756940720821414</v>
          </cell>
          <cell r="G10">
            <v>0.36901657541675875</v>
          </cell>
          <cell r="L10">
            <v>1.0585646906940471</v>
          </cell>
          <cell r="Q10">
            <v>0.25555199708229764</v>
          </cell>
          <cell r="R10">
            <v>0.23896104888254321</v>
          </cell>
          <cell r="W10">
            <v>0.79653682960847738</v>
          </cell>
        </row>
        <row r="11">
          <cell r="F11">
            <v>0.3348706636373473</v>
          </cell>
          <cell r="G11">
            <v>0.41032007275004712</v>
          </cell>
          <cell r="L11">
            <v>0.88123858851933501</v>
          </cell>
          <cell r="Q11">
            <v>0.27587999685020764</v>
          </cell>
          <cell r="R11">
            <v>0.27848960048617671</v>
          </cell>
          <cell r="W11">
            <v>0.72599999171107277</v>
          </cell>
        </row>
        <row r="12">
          <cell r="F12">
            <v>0.39471097380685027</v>
          </cell>
          <cell r="G12">
            <v>0.57006838857721054</v>
          </cell>
          <cell r="L12">
            <v>0.89707039501556884</v>
          </cell>
          <cell r="Q12">
            <v>0.31943999635287207</v>
          </cell>
          <cell r="R12">
            <v>0.37337663887897365</v>
          </cell>
          <cell r="W12">
            <v>0.72599999171107288</v>
          </cell>
        </row>
      </sheetData>
      <sheetData sheetId="9">
        <row r="7">
          <cell r="L7">
            <v>0.13324468767213826</v>
          </cell>
        </row>
        <row r="8">
          <cell r="L8">
            <v>0.15994528174100089</v>
          </cell>
        </row>
        <row r="9">
          <cell r="L9">
            <v>0.1699580045168243</v>
          </cell>
        </row>
        <row r="10">
          <cell r="L10">
            <v>0.18664587580986336</v>
          </cell>
        </row>
        <row r="11">
          <cell r="L11">
            <v>0.21000889562011807</v>
          </cell>
        </row>
        <row r="12">
          <cell r="L12">
            <v>0.26007250949923538</v>
          </cell>
        </row>
      </sheetData>
      <sheetData sheetId="10">
        <row r="7">
          <cell r="L7">
            <v>0.26595117250432371</v>
          </cell>
        </row>
        <row r="8">
          <cell r="L8">
            <v>0.30872458220891225</v>
          </cell>
        </row>
        <row r="9">
          <cell r="L9">
            <v>0.32445331455853083</v>
          </cell>
        </row>
        <row r="10">
          <cell r="L10">
            <v>0.350359144881568</v>
          </cell>
        </row>
        <row r="11">
          <cell r="L11">
            <v>0.38608135403252564</v>
          </cell>
        </row>
        <row r="12">
          <cell r="L12">
            <v>0.46101058349859836</v>
          </cell>
        </row>
        <row r="25">
          <cell r="B25">
            <v>32.466666666666669</v>
          </cell>
        </row>
      </sheetData>
      <sheetData sheetId="11">
        <row r="7">
          <cell r="L7">
            <v>0.19995733054196627</v>
          </cell>
        </row>
        <row r="8">
          <cell r="L8">
            <v>0.22217481171329587</v>
          </cell>
        </row>
        <row r="9">
          <cell r="L9">
            <v>0.23050636715254444</v>
          </cell>
        </row>
        <row r="10">
          <cell r="L10">
            <v>0.24439229288462541</v>
          </cell>
        </row>
        <row r="11">
          <cell r="L11">
            <v>0.26383258890953881</v>
          </cell>
        </row>
        <row r="12">
          <cell r="L12">
            <v>0.30549036610578179</v>
          </cell>
        </row>
      </sheetData>
      <sheetData sheetId="12">
        <row r="7">
          <cell r="L7">
            <v>0.12790720519573359</v>
          </cell>
        </row>
        <row r="8">
          <cell r="L8">
            <v>0.14425493211719229</v>
          </cell>
        </row>
        <row r="9">
          <cell r="L9">
            <v>0.15038532971273924</v>
          </cell>
        </row>
        <row r="10">
          <cell r="L10">
            <v>0.1606026590386509</v>
          </cell>
        </row>
        <row r="11">
          <cell r="L11">
            <v>0.17490692009492717</v>
          </cell>
        </row>
        <row r="12">
          <cell r="L12">
            <v>0.20555890807266211</v>
          </cell>
        </row>
      </sheetData>
      <sheetData sheetId="13">
        <row r="7">
          <cell r="L7">
            <v>0.24360227547511745</v>
          </cell>
        </row>
        <row r="8">
          <cell r="L8">
            <v>0.27482748427982534</v>
          </cell>
        </row>
        <row r="9">
          <cell r="L9">
            <v>0.28653693758159071</v>
          </cell>
        </row>
        <row r="10">
          <cell r="L10">
            <v>0.30605269308453309</v>
          </cell>
        </row>
        <row r="11">
          <cell r="L11">
            <v>0.33337475078865242</v>
          </cell>
        </row>
        <row r="12">
          <cell r="L12">
            <v>0.39192201729747961</v>
          </cell>
        </row>
      </sheetData>
      <sheetData sheetId="14">
        <row r="7">
          <cell r="L7">
            <v>0.19246157522098073</v>
          </cell>
        </row>
        <row r="8">
          <cell r="L8">
            <v>0.21384619468997865</v>
          </cell>
        </row>
        <row r="9">
          <cell r="L9">
            <v>0.22186542699085282</v>
          </cell>
        </row>
        <row r="10">
          <cell r="L10">
            <v>0.23523081415897645</v>
          </cell>
        </row>
        <row r="11">
          <cell r="L11">
            <v>0.25394235619434957</v>
          </cell>
        </row>
        <row r="12">
          <cell r="L12">
            <v>0.29403851769872058</v>
          </cell>
        </row>
      </sheetData>
      <sheetData sheetId="15">
        <row r="7">
          <cell r="F7">
            <v>0.20734643281634355</v>
          </cell>
          <cell r="L7">
            <v>0.20031653478615891</v>
          </cell>
        </row>
        <row r="8">
          <cell r="F8">
            <v>0.33008483361448443</v>
          </cell>
          <cell r="L8">
            <v>0.23597162927781823</v>
          </cell>
        </row>
        <row r="9">
          <cell r="F9">
            <v>0.35920928997779389</v>
          </cell>
          <cell r="L9">
            <v>0.24942849030937828</v>
          </cell>
        </row>
        <row r="10">
          <cell r="F10">
            <v>0.38734620987899537</v>
          </cell>
          <cell r="L10">
            <v>0.27196107760099414</v>
          </cell>
        </row>
        <row r="11">
          <cell r="F11">
            <v>0.41612013113985652</v>
          </cell>
          <cell r="L11">
            <v>0.30372611951118927</v>
          </cell>
        </row>
        <row r="12">
          <cell r="F12">
            <v>0.51717240138633225</v>
          </cell>
          <cell r="L12">
            <v>0.37265607243348686</v>
          </cell>
        </row>
      </sheetData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8">
          <cell r="C8">
            <v>0.18</v>
          </cell>
        </row>
        <row r="9">
          <cell r="C9">
            <v>0.2</v>
          </cell>
        </row>
        <row r="10">
          <cell r="C10">
            <v>0.26</v>
          </cell>
        </row>
        <row r="11">
          <cell r="C11">
            <v>0.44</v>
          </cell>
        </row>
        <row r="12">
          <cell r="C12">
            <v>0.6</v>
          </cell>
        </row>
        <row r="20">
          <cell r="B20">
            <v>125</v>
          </cell>
        </row>
        <row r="22">
          <cell r="B22">
            <v>54</v>
          </cell>
        </row>
        <row r="27">
          <cell r="B27">
            <v>4.2587999999999999</v>
          </cell>
        </row>
        <row r="28">
          <cell r="B28">
            <v>16</v>
          </cell>
        </row>
        <row r="29">
          <cell r="B29">
            <v>800</v>
          </cell>
        </row>
        <row r="30">
          <cell r="B30">
            <v>20</v>
          </cell>
        </row>
        <row r="31">
          <cell r="B31">
            <v>4</v>
          </cell>
        </row>
      </sheetData>
      <sheetData sheetId="1">
        <row r="6">
          <cell r="F6">
            <v>4.1165901693089819E-2</v>
          </cell>
          <cell r="K6">
            <v>136.24998634844746</v>
          </cell>
          <cell r="L6">
            <v>3.8537839874132902E-2</v>
          </cell>
        </row>
        <row r="7">
          <cell r="F7">
            <v>7.1162880353613608E-2</v>
          </cell>
          <cell r="K7">
            <v>196.14009023787494</v>
          </cell>
          <cell r="L7">
            <v>6.1464945828186207E-2</v>
          </cell>
        </row>
        <row r="8">
          <cell r="F8">
            <v>8.1576339266852468E-2</v>
          </cell>
          <cell r="K8">
            <v>237.31453666185638</v>
          </cell>
          <cell r="L8">
            <v>7.7227331171597871E-2</v>
          </cell>
        </row>
        <row r="9">
          <cell r="F9">
            <v>0.11678004738399565</v>
          </cell>
          <cell r="K9">
            <v>305.43952983608006</v>
          </cell>
          <cell r="L9">
            <v>0.10330691419433347</v>
          </cell>
        </row>
        <row r="10">
          <cell r="F10">
            <v>0.16604969627200622</v>
          </cell>
          <cell r="K10">
            <v>405.00682755225324</v>
          </cell>
          <cell r="L10">
            <v>0.14142322784294711</v>
          </cell>
        </row>
      </sheetData>
      <sheetData sheetId="2">
        <row r="6">
          <cell r="F6">
            <v>4.7218905272675429E-2</v>
          </cell>
          <cell r="L6">
            <v>4.3068885937083114E-2</v>
          </cell>
        </row>
        <row r="7">
          <cell r="F7">
            <v>9.4587669794330878E-2</v>
          </cell>
          <cell r="L7">
            <v>7.927348825357626E-2</v>
          </cell>
        </row>
        <row r="8">
          <cell r="F8">
            <v>0.11103174866972422</v>
          </cell>
          <cell r="L8">
            <v>0.10416415234616534</v>
          </cell>
        </row>
        <row r="9">
          <cell r="F9">
            <v>0.16662255262907633</v>
          </cell>
          <cell r="L9">
            <v>0.14534688748117627</v>
          </cell>
        </row>
        <row r="10">
          <cell r="F10">
            <v>0.2444251347708627</v>
          </cell>
          <cell r="L10">
            <v>0.20553703883234614</v>
          </cell>
        </row>
      </sheetData>
      <sheetData sheetId="3">
        <row r="6">
          <cell r="G6">
            <v>4.7218905272675429E-2</v>
          </cell>
          <cell r="N6">
            <v>4.3068885937083114E-2</v>
          </cell>
        </row>
        <row r="7">
          <cell r="G7">
            <v>9.8472202649949075E-2</v>
          </cell>
          <cell r="N7">
            <v>7.9717100228499774E-2</v>
          </cell>
        </row>
        <row r="8">
          <cell r="G8">
            <v>0.1186110773729398</v>
          </cell>
          <cell r="N8">
            <v>0.11020041095274997</v>
          </cell>
        </row>
        <row r="9">
          <cell r="G9">
            <v>0.18669249714543817</v>
          </cell>
          <cell r="N9">
            <v>0.16063643415105472</v>
          </cell>
        </row>
        <row r="10">
          <cell r="G10">
            <v>0.28197642680496121</v>
          </cell>
          <cell r="N10">
            <v>0.23435062190242334</v>
          </cell>
        </row>
      </sheetData>
      <sheetData sheetId="4">
        <row r="6">
          <cell r="F6">
            <v>4.8247002117823221E-2</v>
          </cell>
          <cell r="L6">
            <v>4.5166877574692683E-2</v>
          </cell>
        </row>
        <row r="7">
          <cell r="F7">
            <v>8.3403873058063779E-2</v>
          </cell>
          <cell r="L7">
            <v>7.2037760612011156E-2</v>
          </cell>
        </row>
        <row r="8">
          <cell r="F8">
            <v>9.5608589912965961E-2</v>
          </cell>
          <cell r="L8">
            <v>9.0511492700167645E-2</v>
          </cell>
        </row>
        <row r="9">
          <cell r="F9">
            <v>0.13686781928065758</v>
          </cell>
          <cell r="L9">
            <v>0.12107712215511736</v>
          </cell>
        </row>
        <row r="10">
          <cell r="F10">
            <v>0.19461252440012006</v>
          </cell>
          <cell r="L10">
            <v>0.16574996520465934</v>
          </cell>
        </row>
      </sheetData>
      <sheetData sheetId="5">
        <row r="6">
          <cell r="F6">
            <v>4.7470443812921731E-2</v>
          </cell>
          <cell r="G6">
            <v>4.0432978303747535E-2</v>
          </cell>
          <cell r="L6">
            <v>0.22462765724304187</v>
          </cell>
          <cell r="Q6">
            <v>4.8418033582336178E-2</v>
          </cell>
          <cell r="R6">
            <v>4.2063309858943153E-2</v>
          </cell>
          <cell r="W6">
            <v>0.2336850547719064</v>
          </cell>
        </row>
        <row r="7">
          <cell r="F7">
            <v>7.3461353475032062E-2</v>
          </cell>
          <cell r="G7">
            <v>9.6829346307253997E-2</v>
          </cell>
          <cell r="L7">
            <v>0.36730676737516027</v>
          </cell>
          <cell r="Q7">
            <v>6.9700685706440002E-2</v>
          </cell>
          <cell r="R7">
            <v>8.7169238073822417E-2</v>
          </cell>
          <cell r="W7">
            <v>0.34850342853220001</v>
          </cell>
        </row>
        <row r="8">
          <cell r="F8">
            <v>8.2484104497629954E-2</v>
          </cell>
          <cell r="G8">
            <v>0.12207582730659658</v>
          </cell>
          <cell r="L8">
            <v>0.31724655576011518</v>
          </cell>
          <cell r="Q8">
            <v>8.4332509041761372E-2</v>
          </cell>
          <cell r="R8">
            <v>0.12760837895228047</v>
          </cell>
          <cell r="W8">
            <v>0.3243558040067745</v>
          </cell>
        </row>
        <row r="9">
          <cell r="F9">
            <v>0.11298638967103922</v>
          </cell>
          <cell r="G9">
            <v>0.22905586254657026</v>
          </cell>
          <cell r="L9">
            <v>0.25678724925236185</v>
          </cell>
          <cell r="Q9">
            <v>0.10854152583292943</v>
          </cell>
          <cell r="R9">
            <v>0.21138832303946115</v>
          </cell>
          <cell r="W9">
            <v>0.24668528598393052</v>
          </cell>
        </row>
        <row r="10">
          <cell r="F10">
            <v>0.15567612212124116</v>
          </cell>
          <cell r="G10">
            <v>0.43484367582730649</v>
          </cell>
          <cell r="L10">
            <v>0.25946020353540195</v>
          </cell>
          <cell r="Q10">
            <v>0.14392393498925204</v>
          </cell>
          <cell r="R10">
            <v>0.37166802296900547</v>
          </cell>
          <cell r="W10">
            <v>0.23987322498208674</v>
          </cell>
        </row>
      </sheetData>
      <sheetData sheetId="6">
        <row r="6">
          <cell r="L6">
            <v>5.3334062616951713E-2</v>
          </cell>
        </row>
        <row r="7">
          <cell r="L7">
            <v>7.9691697338688736E-2</v>
          </cell>
        </row>
        <row r="8">
          <cell r="L8">
            <v>9.7812571209882959E-2</v>
          </cell>
        </row>
        <row r="9">
          <cell r="L9">
            <v>0.12779438070585877</v>
          </cell>
        </row>
        <row r="10">
          <cell r="L10">
            <v>0.17161394843074659</v>
          </cell>
        </row>
      </sheetData>
      <sheetData sheetId="7">
        <row r="6">
          <cell r="L6">
            <v>7.6553053078508113E-2</v>
          </cell>
        </row>
        <row r="7">
          <cell r="L7">
            <v>0.12704734905426315</v>
          </cell>
        </row>
        <row r="8">
          <cell r="L8">
            <v>0.15974057213838819</v>
          </cell>
        </row>
        <row r="9">
          <cell r="L9">
            <v>0.21221936042033682</v>
          </cell>
        </row>
        <row r="10">
          <cell r="L10">
            <v>0.28716680216592066</v>
          </cell>
        </row>
        <row r="27">
          <cell r="B27">
            <v>37</v>
          </cell>
        </row>
      </sheetData>
      <sheetData sheetId="8">
        <row r="6">
          <cell r="L6">
            <v>0.11739335717932614</v>
          </cell>
        </row>
        <row r="7">
          <cell r="L7">
            <v>0.16899483286254643</v>
          </cell>
        </row>
        <row r="8">
          <cell r="L8">
            <v>0.20447084739476043</v>
          </cell>
        </row>
        <row r="9">
          <cell r="L9">
            <v>0.26316752598442344</v>
          </cell>
        </row>
        <row r="10">
          <cell r="L10">
            <v>0.34895497930777719</v>
          </cell>
        </row>
      </sheetData>
      <sheetData sheetId="9">
        <row r="6">
          <cell r="L6">
            <v>5.3755393196897358E-2</v>
          </cell>
        </row>
        <row r="7">
          <cell r="L7">
            <v>8.7413694740726702E-2</v>
          </cell>
        </row>
        <row r="8">
          <cell r="L8">
            <v>0.11055377705210942</v>
          </cell>
        </row>
        <row r="9">
          <cell r="L9">
            <v>0.14884009505821524</v>
          </cell>
        </row>
        <row r="10">
          <cell r="L10">
            <v>0.20479702137483155</v>
          </cell>
        </row>
      </sheetData>
      <sheetData sheetId="10">
        <row r="6">
          <cell r="L6">
            <v>5.8045479214654826E-2</v>
          </cell>
        </row>
        <row r="7">
          <cell r="L7">
            <v>8.825052032231516E-2</v>
          </cell>
        </row>
        <row r="8">
          <cell r="L8">
            <v>0.10901648608383162</v>
          </cell>
        </row>
        <row r="9">
          <cell r="L9">
            <v>0.14337472034379523</v>
          </cell>
        </row>
        <row r="10">
          <cell r="L10">
            <v>0.19359060118528054</v>
          </cell>
        </row>
      </sheetData>
      <sheetData sheetId="11">
        <row r="6">
          <cell r="L6">
            <v>0.10489888158351161</v>
          </cell>
        </row>
        <row r="7">
          <cell r="L7">
            <v>0.15100828008175848</v>
          </cell>
        </row>
        <row r="8">
          <cell r="L8">
            <v>0.18270849154930321</v>
          </cell>
        </row>
        <row r="9">
          <cell r="L9">
            <v>0.235157932341059</v>
          </cell>
        </row>
        <row r="10">
          <cell r="L10">
            <v>0.31181480734439448</v>
          </cell>
        </row>
      </sheetData>
      <sheetData sheetId="12">
        <row r="6">
          <cell r="F6">
            <v>7.4847281758756032E-2</v>
          </cell>
          <cell r="L6">
            <v>6.9035374486631218E-2</v>
          </cell>
        </row>
        <row r="7">
          <cell r="F7">
            <v>0.14358810864818483</v>
          </cell>
          <cell r="L7">
            <v>0.12088101288805375</v>
          </cell>
        </row>
        <row r="8">
          <cell r="F8">
            <v>0.16848481552690869</v>
          </cell>
          <cell r="L8">
            <v>0.15802235697078507</v>
          </cell>
        </row>
        <row r="9">
          <cell r="F9">
            <v>0.25659384305000366</v>
          </cell>
          <cell r="L9">
            <v>0.22215390817295699</v>
          </cell>
        </row>
        <row r="10">
          <cell r="F10">
            <v>0.39012736540307075</v>
          </cell>
          <cell r="L10">
            <v>0.32189306206178087</v>
          </cell>
        </row>
      </sheetData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8">
          <cell r="C8">
            <v>0.36</v>
          </cell>
        </row>
        <row r="9">
          <cell r="C9">
            <v>0.43</v>
          </cell>
        </row>
        <row r="10">
          <cell r="C10">
            <v>0.56000000000000005</v>
          </cell>
        </row>
        <row r="11">
          <cell r="C11">
            <v>0.71</v>
          </cell>
        </row>
        <row r="12">
          <cell r="C12">
            <v>0.79</v>
          </cell>
        </row>
        <row r="20">
          <cell r="B20">
            <v>350</v>
          </cell>
        </row>
        <row r="22">
          <cell r="B22">
            <v>38</v>
          </cell>
        </row>
        <row r="27">
          <cell r="B27">
            <v>2.6933292113182881</v>
          </cell>
        </row>
        <row r="28">
          <cell r="B28">
            <v>12</v>
          </cell>
        </row>
        <row r="29">
          <cell r="B29">
            <v>452</v>
          </cell>
        </row>
        <row r="30">
          <cell r="B30">
            <v>32</v>
          </cell>
        </row>
        <row r="31">
          <cell r="B31">
            <v>4</v>
          </cell>
        </row>
        <row r="32">
          <cell r="B32">
            <v>79.3</v>
          </cell>
        </row>
      </sheetData>
      <sheetData sheetId="1">
        <row r="6">
          <cell r="K6">
            <v>300.43295624924116</v>
          </cell>
          <cell r="L6">
            <v>0.26398215376277612</v>
          </cell>
        </row>
        <row r="7">
          <cell r="K7">
            <v>386.27094374902435</v>
          </cell>
          <cell r="L7">
            <v>0.39669046774087013</v>
          </cell>
        </row>
        <row r="8">
          <cell r="K8">
            <v>500</v>
          </cell>
          <cell r="L8">
            <v>0.57251927902823763</v>
          </cell>
        </row>
        <row r="9">
          <cell r="K9">
            <v>500</v>
          </cell>
          <cell r="L9">
            <v>0.57251927902823763</v>
          </cell>
        </row>
        <row r="10">
          <cell r="K10">
            <v>500</v>
          </cell>
          <cell r="L10">
            <v>0.57251927902823763</v>
          </cell>
        </row>
      </sheetData>
      <sheetData sheetId="2">
        <row r="6">
          <cell r="L6">
            <v>0.26271820049061689</v>
          </cell>
        </row>
        <row r="7">
          <cell r="L7">
            <v>0.39776006136079389</v>
          </cell>
        </row>
        <row r="8">
          <cell r="L8">
            <v>0.57668065163185067</v>
          </cell>
        </row>
        <row r="9">
          <cell r="L9">
            <v>0.57668065163185067</v>
          </cell>
        </row>
        <row r="10">
          <cell r="L10">
            <v>0.57668065163185067</v>
          </cell>
        </row>
      </sheetData>
      <sheetData sheetId="3">
        <row r="6">
          <cell r="M6">
            <v>0.34403441271139223</v>
          </cell>
        </row>
        <row r="7">
          <cell r="M7">
            <v>0.5422958223217913</v>
          </cell>
        </row>
        <row r="8">
          <cell r="M8">
            <v>0.78660896418685322</v>
          </cell>
        </row>
        <row r="9">
          <cell r="M9">
            <v>0.78660896418685322</v>
          </cell>
        </row>
        <row r="10">
          <cell r="M10">
            <v>0.78660896418685322</v>
          </cell>
        </row>
      </sheetData>
      <sheetData sheetId="4">
        <row r="6">
          <cell r="L6">
            <v>0.23331596795328791</v>
          </cell>
        </row>
        <row r="7">
          <cell r="L7">
            <v>0.3321075898906467</v>
          </cell>
        </row>
        <row r="8">
          <cell r="L8">
            <v>0.47931073062285534</v>
          </cell>
        </row>
        <row r="9">
          <cell r="L9">
            <v>0.47931073062285534</v>
          </cell>
        </row>
        <row r="10">
          <cell r="L10">
            <v>0.47931073062285534</v>
          </cell>
        </row>
      </sheetData>
      <sheetData sheetId="5">
        <row r="6">
          <cell r="Q6">
            <v>0.27932606045708902</v>
          </cell>
          <cell r="R6">
            <v>0.22693428965131127</v>
          </cell>
          <cell r="W6">
            <v>0.63037302680919793</v>
          </cell>
        </row>
        <row r="7">
          <cell r="Q7">
            <v>0.35913350630197144</v>
          </cell>
          <cell r="R7">
            <v>0.37513627472971839</v>
          </cell>
          <cell r="W7">
            <v>0.83519420070225914</v>
          </cell>
        </row>
        <row r="8">
          <cell r="Q8">
            <v>0.45193571713743219</v>
          </cell>
          <cell r="R8">
            <v>0.59406031512087509</v>
          </cell>
          <cell r="W8">
            <v>0.8070280663168431</v>
          </cell>
        </row>
        <row r="9">
          <cell r="Q9">
            <v>0.45193571713743219</v>
          </cell>
          <cell r="R9">
            <v>0.59406031512087509</v>
          </cell>
          <cell r="W9">
            <v>0.63652917906680595</v>
          </cell>
        </row>
        <row r="10">
          <cell r="Q10">
            <v>0.45193571713743219</v>
          </cell>
          <cell r="R10">
            <v>0.59406031512087509</v>
          </cell>
          <cell r="W10">
            <v>0.57207052802206604</v>
          </cell>
        </row>
      </sheetData>
      <sheetData sheetId="6">
        <row r="6">
          <cell r="L6">
            <v>0.19901621546256626</v>
          </cell>
        </row>
        <row r="7">
          <cell r="L7">
            <v>0.29782409498510426</v>
          </cell>
        </row>
        <row r="8">
          <cell r="L8">
            <v>0.42873730970005475</v>
          </cell>
        </row>
        <row r="9">
          <cell r="L9">
            <v>0.42873730970005475</v>
          </cell>
        </row>
        <row r="10">
          <cell r="L10">
            <v>0.42873730970005475</v>
          </cell>
        </row>
      </sheetData>
      <sheetData sheetId="7">
        <row r="6">
          <cell r="L6">
            <v>0.34838263613442921</v>
          </cell>
        </row>
        <row r="7">
          <cell r="L7">
            <v>0.52320849591990093</v>
          </cell>
        </row>
        <row r="8">
          <cell r="L8">
            <v>0.73742133167676249</v>
          </cell>
        </row>
        <row r="9">
          <cell r="L9">
            <v>0.73742133167676249</v>
          </cell>
        </row>
        <row r="10">
          <cell r="L10">
            <v>0.73742133167676249</v>
          </cell>
        </row>
      </sheetData>
      <sheetData sheetId="8">
        <row r="6">
          <cell r="L6">
            <v>0.24008937879822945</v>
          </cell>
        </row>
        <row r="7">
          <cell r="L7">
            <v>0.30868634416915214</v>
          </cell>
        </row>
        <row r="8">
          <cell r="L8">
            <v>0.39957230690605344</v>
          </cell>
        </row>
        <row r="9">
          <cell r="L9">
            <v>0.39957230690605344</v>
          </cell>
        </row>
        <row r="10">
          <cell r="L10">
            <v>0.39957230690605344</v>
          </cell>
        </row>
      </sheetData>
      <sheetData sheetId="9">
        <row r="6">
          <cell r="L6">
            <v>0.15276891917136376</v>
          </cell>
        </row>
        <row r="7">
          <cell r="L7">
            <v>0.20312113558454717</v>
          </cell>
        </row>
        <row r="8">
          <cell r="L8">
            <v>0.26983414015994794</v>
          </cell>
        </row>
        <row r="9">
          <cell r="L9">
            <v>0.26983414015994794</v>
          </cell>
        </row>
        <row r="10">
          <cell r="L10">
            <v>0.26983414015994794</v>
          </cell>
        </row>
      </sheetData>
      <sheetData sheetId="10">
        <row r="6">
          <cell r="L6">
            <v>0.25002482779531143</v>
          </cell>
        </row>
        <row r="7">
          <cell r="L7">
            <v>0.33594505364732091</v>
          </cell>
        </row>
        <row r="8">
          <cell r="L8">
            <v>0.44978306970104531</v>
          </cell>
        </row>
        <row r="9">
          <cell r="L9">
            <v>0.44978306970104531</v>
          </cell>
        </row>
        <row r="10">
          <cell r="L10">
            <v>0.44978306970104531</v>
          </cell>
        </row>
      </sheetData>
      <sheetData sheetId="11">
        <row r="6">
          <cell r="L6">
            <v>0.23257512149335927</v>
          </cell>
        </row>
        <row r="7">
          <cell r="L7">
            <v>0.2990251562057476</v>
          </cell>
        </row>
        <row r="8">
          <cell r="L8">
            <v>0.38706659282148359</v>
          </cell>
        </row>
        <row r="9">
          <cell r="L9">
            <v>0.38706659282148359</v>
          </cell>
        </row>
        <row r="10">
          <cell r="L10">
            <v>0.38706659282148359</v>
          </cell>
        </row>
      </sheetData>
      <sheetData sheetId="12">
        <row r="6">
          <cell r="L6">
            <v>0.31027905774682607</v>
          </cell>
        </row>
        <row r="7">
          <cell r="L7">
            <v>0.46590305794093373</v>
          </cell>
        </row>
        <row r="8">
          <cell r="L8">
            <v>0.67688057522388723</v>
          </cell>
        </row>
        <row r="9">
          <cell r="L9">
            <v>0.67688057522388723</v>
          </cell>
        </row>
        <row r="10">
          <cell r="L10">
            <v>0.67688057522388723</v>
          </cell>
        </row>
      </sheetData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</v>
          </cell>
        </row>
        <row r="9">
          <cell r="C9">
            <v>0.25</v>
          </cell>
        </row>
        <row r="10">
          <cell r="C10">
            <v>0.36</v>
          </cell>
        </row>
        <row r="11">
          <cell r="C11">
            <v>0.47</v>
          </cell>
        </row>
        <row r="12">
          <cell r="C12">
            <v>0.56999999999999995</v>
          </cell>
        </row>
        <row r="13">
          <cell r="C13">
            <v>0.78</v>
          </cell>
        </row>
        <row r="20">
          <cell r="B20">
            <v>350</v>
          </cell>
        </row>
        <row r="22">
          <cell r="B22">
            <v>44.5</v>
          </cell>
        </row>
        <row r="27">
          <cell r="B27">
            <v>2.6933292113182881</v>
          </cell>
        </row>
        <row r="28">
          <cell r="B28">
            <v>25</v>
          </cell>
        </row>
        <row r="29">
          <cell r="B29">
            <v>1964</v>
          </cell>
        </row>
        <row r="30">
          <cell r="B30">
            <v>32</v>
          </cell>
        </row>
        <row r="31">
          <cell r="B31">
            <v>4</v>
          </cell>
        </row>
        <row r="32">
          <cell r="B32">
            <v>62</v>
          </cell>
        </row>
      </sheetData>
      <sheetData sheetId="1">
        <row r="5">
          <cell r="K5">
            <v>85.210124180795688</v>
          </cell>
          <cell r="L5">
            <v>4.2830419555331803E-2</v>
          </cell>
        </row>
        <row r="6">
          <cell r="K6">
            <v>106.51265522599461</v>
          </cell>
          <cell r="L6">
            <v>6.3227388513615201E-2</v>
          </cell>
        </row>
        <row r="7">
          <cell r="K7">
            <v>191.72277940679027</v>
          </cell>
          <cell r="L7">
            <v>0.14481526434674882</v>
          </cell>
        </row>
        <row r="8">
          <cell r="K8">
            <v>276.93290358758594</v>
          </cell>
          <cell r="L8">
            <v>0.22640314017988247</v>
          </cell>
        </row>
        <row r="9">
          <cell r="K9">
            <v>362.14302776838161</v>
          </cell>
          <cell r="L9">
            <v>0.30799101601301604</v>
          </cell>
        </row>
        <row r="10">
          <cell r="K10">
            <v>426.05062090397843</v>
          </cell>
          <cell r="L10">
            <v>0.36918192288786633</v>
          </cell>
        </row>
        <row r="11">
          <cell r="K11">
            <v>500</v>
          </cell>
          <cell r="L11">
            <v>0.43998774341245744</v>
          </cell>
        </row>
      </sheetData>
      <sheetData sheetId="2">
        <row r="5">
          <cell r="L5">
            <v>4.1078708915824935E-2</v>
          </cell>
        </row>
        <row r="6">
          <cell r="L6">
            <v>6.128577010593881E-2</v>
          </cell>
        </row>
        <row r="7">
          <cell r="L7">
            <v>0.16398254239550109</v>
          </cell>
        </row>
        <row r="8">
          <cell r="L8">
            <v>0.2666793146850634</v>
          </cell>
        </row>
        <row r="9">
          <cell r="L9">
            <v>0.36937608697462571</v>
          </cell>
        </row>
        <row r="10">
          <cell r="L10">
            <v>0.44639866619179752</v>
          </cell>
        </row>
        <row r="11">
          <cell r="L11">
            <v>0.53552378622876884</v>
          </cell>
        </row>
      </sheetData>
      <sheetData sheetId="3">
        <row r="5">
          <cell r="M5">
            <v>4.1078708915824935E-2</v>
          </cell>
        </row>
        <row r="6">
          <cell r="M6">
            <v>6.128577010593881E-2</v>
          </cell>
        </row>
        <row r="7">
          <cell r="M7">
            <v>0.16438242054594365</v>
          </cell>
        </row>
        <row r="8">
          <cell r="M8">
            <v>0.28713401134859573</v>
          </cell>
        </row>
        <row r="9">
          <cell r="M9">
            <v>0.40988560215124781</v>
          </cell>
        </row>
        <row r="10">
          <cell r="M10">
            <v>0.50194929525323695</v>
          </cell>
        </row>
        <row r="11">
          <cell r="M11">
            <v>0.60260898148478304</v>
          </cell>
        </row>
      </sheetData>
      <sheetData sheetId="4">
        <row r="5">
          <cell r="L5">
            <v>4.7759122106798169E-2</v>
          </cell>
        </row>
        <row r="6">
          <cell r="L6">
            <v>6.1685729194447148E-2</v>
          </cell>
        </row>
        <row r="7">
          <cell r="L7">
            <v>0.14128426603911076</v>
          </cell>
        </row>
        <row r="8">
          <cell r="L8">
            <v>0.22088280288377435</v>
          </cell>
        </row>
        <row r="9">
          <cell r="L9">
            <v>0.30048133972843794</v>
          </cell>
        </row>
        <row r="10">
          <cell r="L10">
            <v>0.36018024236193569</v>
          </cell>
        </row>
        <row r="11">
          <cell r="L11">
            <v>0.42925962034905629</v>
          </cell>
        </row>
      </sheetData>
      <sheetData sheetId="5">
        <row r="5">
          <cell r="Q5">
            <v>8.3899400744937097E-2</v>
          </cell>
          <cell r="R5">
            <v>3.9488243261364124E-2</v>
          </cell>
          <cell r="W5">
            <v>0.26325495507576085</v>
          </cell>
        </row>
        <row r="6">
          <cell r="Q6">
            <v>0.10487425093117136</v>
          </cell>
          <cell r="R6">
            <v>6.1700380095881441E-2</v>
          </cell>
          <cell r="W6">
            <v>0.30850190047940718</v>
          </cell>
        </row>
        <row r="7">
          <cell r="Q7">
            <v>0.18877365167610849</v>
          </cell>
          <cell r="R7">
            <v>0.19990923151065582</v>
          </cell>
          <cell r="W7">
            <v>0.75509460670443396</v>
          </cell>
        </row>
        <row r="8">
          <cell r="Q8">
            <v>0.27267305242104556</v>
          </cell>
          <cell r="R8">
            <v>0.41709456944815854</v>
          </cell>
          <cell r="W8">
            <v>0.75742514561401542</v>
          </cell>
        </row>
        <row r="9">
          <cell r="Q9">
            <v>0.35657245316598268</v>
          </cell>
          <cell r="R9">
            <v>0.71325639390838957</v>
          </cell>
          <cell r="W9">
            <v>0.75866479397017594</v>
          </cell>
        </row>
        <row r="10">
          <cell r="Q10">
            <v>0.41949700372468546</v>
          </cell>
          <cell r="R10">
            <v>0.98720608153410305</v>
          </cell>
          <cell r="W10">
            <v>0.735959655657343</v>
          </cell>
        </row>
        <row r="11">
          <cell r="Q11">
            <v>0.46969896597778604</v>
          </cell>
          <cell r="R11">
            <v>1.2376256565018231</v>
          </cell>
          <cell r="W11">
            <v>0.60217816150998205</v>
          </cell>
        </row>
      </sheetData>
      <sheetData sheetId="6">
        <row r="5">
          <cell r="L5">
            <v>3.4841196424858105E-2</v>
          </cell>
        </row>
        <row r="6">
          <cell r="L6">
            <v>4.8609340041895432E-2</v>
          </cell>
        </row>
        <row r="7">
          <cell r="L7">
            <v>0.10368191451004474</v>
          </cell>
        </row>
        <row r="8">
          <cell r="L8">
            <v>0.15875448897819405</v>
          </cell>
        </row>
        <row r="9">
          <cell r="L9">
            <v>0.21382706344634334</v>
          </cell>
        </row>
        <row r="10">
          <cell r="L10">
            <v>0.25513149429745535</v>
          </cell>
        </row>
        <row r="11">
          <cell r="L11">
            <v>0.30292608122351122</v>
          </cell>
        </row>
      </sheetData>
      <sheetData sheetId="7">
        <row r="5">
          <cell r="L5">
            <v>3.3217082876863327E-2</v>
          </cell>
        </row>
        <row r="6">
          <cell r="L6">
            <v>8.3108795017623249E-2</v>
          </cell>
        </row>
        <row r="7">
          <cell r="L7">
            <v>0.24160162736185395</v>
          </cell>
        </row>
        <row r="8">
          <cell r="L8">
            <v>0.37987340556759402</v>
          </cell>
        </row>
        <row r="9">
          <cell r="L9">
            <v>0.51219781490907224</v>
          </cell>
        </row>
        <row r="10">
          <cell r="L10">
            <v>0.60968478954745375</v>
          </cell>
        </row>
        <row r="11">
          <cell r="L11">
            <v>0.72144924936846344</v>
          </cell>
        </row>
      </sheetData>
      <sheetData sheetId="8">
        <row r="5">
          <cell r="L5">
            <v>6.3652881508084999E-2</v>
          </cell>
        </row>
        <row r="6">
          <cell r="L6">
            <v>7.9566101885106238E-2</v>
          </cell>
        </row>
        <row r="7">
          <cell r="L7">
            <v>0.14321898339319122</v>
          </cell>
        </row>
        <row r="8">
          <cell r="L8">
            <v>0.20687186490127621</v>
          </cell>
        </row>
        <row r="9">
          <cell r="L9">
            <v>0.27052474640936119</v>
          </cell>
        </row>
        <row r="10">
          <cell r="L10">
            <v>0.31826440754042495</v>
          </cell>
        </row>
        <row r="11">
          <cell r="L11">
            <v>0.37350539105557851</v>
          </cell>
        </row>
      </sheetData>
      <sheetData sheetId="9">
        <row r="5">
          <cell r="L5">
            <v>3.4441476106329125E-2</v>
          </cell>
        </row>
        <row r="6">
          <cell r="L6">
            <v>5.0669934384026352E-2</v>
          </cell>
        </row>
        <row r="7">
          <cell r="L7">
            <v>0.11558376749481522</v>
          </cell>
        </row>
        <row r="8">
          <cell r="L8">
            <v>0.18049760060560405</v>
          </cell>
        </row>
        <row r="9">
          <cell r="L9">
            <v>0.24541143371639296</v>
          </cell>
        </row>
        <row r="10">
          <cell r="L10">
            <v>0.29409680854948467</v>
          </cell>
        </row>
        <row r="11">
          <cell r="L11">
            <v>0.35043210555128729</v>
          </cell>
        </row>
      </sheetData>
      <sheetData sheetId="10">
        <row r="5">
          <cell r="L5">
            <v>6.7581379984200246E-2</v>
          </cell>
        </row>
        <row r="6">
          <cell r="L6">
            <v>9.0550252029073575E-2</v>
          </cell>
        </row>
        <row r="7">
          <cell r="L7">
            <v>0.18242574020856681</v>
          </cell>
        </row>
        <row r="8">
          <cell r="L8">
            <v>0.27430122838806004</v>
          </cell>
        </row>
        <row r="9">
          <cell r="L9">
            <v>0.36617671656755335</v>
          </cell>
        </row>
        <row r="10">
          <cell r="L10">
            <v>0.43508333270217331</v>
          </cell>
        </row>
        <row r="11">
          <cell r="L11">
            <v>0.51481723017428416</v>
          </cell>
        </row>
      </sheetData>
      <sheetData sheetId="11">
        <row r="5">
          <cell r="L5">
            <v>7.6910474837279794E-2</v>
          </cell>
        </row>
        <row r="6">
          <cell r="L6">
            <v>9.6138093546599732E-2</v>
          </cell>
        </row>
        <row r="7">
          <cell r="L7">
            <v>0.1730485683838795</v>
          </cell>
        </row>
        <row r="8">
          <cell r="L8">
            <v>0.24995904322115928</v>
          </cell>
        </row>
        <row r="9">
          <cell r="L9">
            <v>0.32686951805843906</v>
          </cell>
        </row>
        <row r="10">
          <cell r="L10">
            <v>0.38455237418639893</v>
          </cell>
        </row>
        <row r="11">
          <cell r="L11">
            <v>0.45129892472691385</v>
          </cell>
        </row>
      </sheetData>
      <sheetData sheetId="12">
        <row r="5">
          <cell r="L5">
            <v>7.0068154643554523E-2</v>
          </cell>
        </row>
        <row r="6">
          <cell r="L6">
            <v>9.9804834478334159E-2</v>
          </cell>
        </row>
        <row r="7">
          <cell r="L7">
            <v>0.24974911019749291</v>
          </cell>
        </row>
        <row r="8">
          <cell r="L8">
            <v>0.41429983207814519</v>
          </cell>
        </row>
        <row r="9">
          <cell r="L9">
            <v>0.59345700012029101</v>
          </cell>
        </row>
        <row r="10">
          <cell r="L10">
            <v>0.73741035644538055</v>
          </cell>
        </row>
        <row r="11">
          <cell r="L11">
            <v>0.91423712194495588</v>
          </cell>
        </row>
      </sheetData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0.21</v>
          </cell>
        </row>
        <row r="8">
          <cell r="C8">
            <v>0.31</v>
          </cell>
        </row>
        <row r="9">
          <cell r="C9">
            <v>0.38</v>
          </cell>
        </row>
        <row r="10">
          <cell r="C10">
            <v>0.52</v>
          </cell>
        </row>
        <row r="11">
          <cell r="C11">
            <v>0.74</v>
          </cell>
        </row>
        <row r="20">
          <cell r="B20">
            <v>350</v>
          </cell>
        </row>
        <row r="22">
          <cell r="B22">
            <v>38</v>
          </cell>
        </row>
        <row r="27">
          <cell r="B27">
            <v>2.6933292113182881</v>
          </cell>
        </row>
        <row r="28">
          <cell r="B28">
            <v>12</v>
          </cell>
        </row>
        <row r="29">
          <cell r="B29">
            <v>452</v>
          </cell>
        </row>
        <row r="30">
          <cell r="B30">
            <v>32</v>
          </cell>
        </row>
        <row r="31">
          <cell r="B31">
            <v>4</v>
          </cell>
        </row>
        <row r="32">
          <cell r="B32">
            <v>79.3</v>
          </cell>
        </row>
      </sheetData>
      <sheetData sheetId="1">
        <row r="5">
          <cell r="K5">
            <v>214.59496874945796</v>
          </cell>
          <cell r="L5">
            <v>0.13127383978468207</v>
          </cell>
        </row>
        <row r="6">
          <cell r="K6">
            <v>257.51396249934959</v>
          </cell>
          <cell r="L6">
            <v>0.19762799677372914</v>
          </cell>
        </row>
        <row r="7">
          <cell r="K7">
            <v>300.43295624924116</v>
          </cell>
          <cell r="L7">
            <v>0.26398215376277612</v>
          </cell>
        </row>
        <row r="8">
          <cell r="K8">
            <v>386.27094374902435</v>
          </cell>
          <cell r="L8">
            <v>0.39669046774087013</v>
          </cell>
        </row>
        <row r="9">
          <cell r="K9">
            <v>500</v>
          </cell>
          <cell r="L9">
            <v>0.57251927902823763</v>
          </cell>
        </row>
      </sheetData>
      <sheetData sheetId="2">
        <row r="5">
          <cell r="L5">
            <v>0.13504186087017703</v>
          </cell>
        </row>
        <row r="6">
          <cell r="L6">
            <v>0.19519727005552842</v>
          </cell>
        </row>
        <row r="7">
          <cell r="L7">
            <v>0.26271820049061689</v>
          </cell>
        </row>
        <row r="8">
          <cell r="L8">
            <v>0.39776006136079389</v>
          </cell>
        </row>
        <row r="9">
          <cell r="L9">
            <v>0.57668065163185067</v>
          </cell>
        </row>
      </sheetData>
      <sheetData sheetId="3">
        <row r="5">
          <cell r="M5">
            <v>0.15250358684376383</v>
          </cell>
        </row>
        <row r="6">
          <cell r="M6">
            <v>0.24490370790619276</v>
          </cell>
        </row>
        <row r="7">
          <cell r="M7">
            <v>0.34403441271139223</v>
          </cell>
        </row>
        <row r="8">
          <cell r="M8">
            <v>0.5422958223217913</v>
          </cell>
        </row>
        <row r="9">
          <cell r="M9">
            <v>0.78660896418685322</v>
          </cell>
        </row>
      </sheetData>
      <sheetData sheetId="4">
        <row r="5">
          <cell r="L5">
            <v>0.16665426282377707</v>
          </cell>
        </row>
        <row r="6">
          <cell r="L6">
            <v>0.1999851153885325</v>
          </cell>
        </row>
        <row r="7">
          <cell r="L7">
            <v>0.23331596795328791</v>
          </cell>
        </row>
        <row r="8">
          <cell r="L8">
            <v>0.3321075898906467</v>
          </cell>
        </row>
        <row r="9">
          <cell r="L9">
            <v>0.47931073062285534</v>
          </cell>
        </row>
      </sheetData>
      <sheetData sheetId="5">
        <row r="5">
          <cell r="Q5">
            <v>0.19951861461220641</v>
          </cell>
          <cell r="R5">
            <v>0.11578280084250574</v>
          </cell>
          <cell r="W5">
            <v>0.55134667067859877</v>
          </cell>
        </row>
        <row r="6">
          <cell r="Q6">
            <v>0.23942233753464767</v>
          </cell>
          <cell r="R6">
            <v>0.16672723321320823</v>
          </cell>
          <cell r="W6">
            <v>0.5378297845587362</v>
          </cell>
        </row>
        <row r="7">
          <cell r="Q7">
            <v>0.27932606045708902</v>
          </cell>
          <cell r="R7">
            <v>0.22693428965131127</v>
          </cell>
          <cell r="W7">
            <v>0.59719549908239811</v>
          </cell>
        </row>
        <row r="8">
          <cell r="Q8">
            <v>0.35913350630197144</v>
          </cell>
          <cell r="R8">
            <v>0.37513627472971839</v>
          </cell>
          <cell r="W8">
            <v>0.69064135827302198</v>
          </cell>
        </row>
        <row r="9">
          <cell r="Q9">
            <v>0.45193571713743219</v>
          </cell>
          <cell r="R9">
            <v>0.59406031512087509</v>
          </cell>
          <cell r="W9">
            <v>0.61072394207761105</v>
          </cell>
        </row>
      </sheetData>
      <sheetData sheetId="6">
        <row r="5">
          <cell r="L5">
            <v>0.1002083359400282</v>
          </cell>
        </row>
        <row r="6">
          <cell r="L6">
            <v>0.14961227570129726</v>
          </cell>
        </row>
        <row r="7">
          <cell r="L7">
            <v>0.19901621546256626</v>
          </cell>
        </row>
        <row r="8">
          <cell r="L8">
            <v>0.29782409498510426</v>
          </cell>
        </row>
        <row r="9">
          <cell r="L9">
            <v>0.42873730970005475</v>
          </cell>
        </row>
      </sheetData>
      <sheetData sheetId="7">
        <row r="5">
          <cell r="L5">
            <v>0.14720598903748519</v>
          </cell>
        </row>
        <row r="6">
          <cell r="L6">
            <v>0.25273508520685833</v>
          </cell>
        </row>
        <row r="7">
          <cell r="L7">
            <v>0.34838263613442921</v>
          </cell>
        </row>
        <row r="8">
          <cell r="L8">
            <v>0.52320849591990093</v>
          </cell>
        </row>
        <row r="9">
          <cell r="L9">
            <v>0.73742133167676249</v>
          </cell>
        </row>
      </sheetData>
      <sheetData sheetId="8">
        <row r="5">
          <cell r="L5">
            <v>0.17149241342730673</v>
          </cell>
        </row>
        <row r="6">
          <cell r="L6">
            <v>0.20579089611276813</v>
          </cell>
        </row>
        <row r="7">
          <cell r="L7">
            <v>0.24008937879822945</v>
          </cell>
        </row>
        <row r="8">
          <cell r="L8">
            <v>0.30868634416915214</v>
          </cell>
        </row>
        <row r="9">
          <cell r="L9">
            <v>0.39957230690605344</v>
          </cell>
        </row>
      </sheetData>
      <sheetData sheetId="9">
        <row r="5">
          <cell r="L5">
            <v>0.10241670275818041</v>
          </cell>
        </row>
        <row r="6">
          <cell r="L6">
            <v>0.1275928109647721</v>
          </cell>
        </row>
        <row r="7">
          <cell r="L7">
            <v>0.15276891917136376</v>
          </cell>
        </row>
        <row r="8">
          <cell r="L8">
            <v>0.20312113558454717</v>
          </cell>
        </row>
        <row r="9">
          <cell r="L9">
            <v>0.26983414015994794</v>
          </cell>
        </row>
      </sheetData>
      <sheetData sheetId="10">
        <row r="5">
          <cell r="L5">
            <v>0.16410460194330204</v>
          </cell>
        </row>
        <row r="6">
          <cell r="L6">
            <v>0.20706471486930678</v>
          </cell>
        </row>
        <row r="7">
          <cell r="L7">
            <v>0.25002482779531143</v>
          </cell>
        </row>
        <row r="8">
          <cell r="L8">
            <v>0.33594505364732091</v>
          </cell>
        </row>
        <row r="9">
          <cell r="L9">
            <v>0.44978306970104531</v>
          </cell>
        </row>
      </sheetData>
      <sheetData sheetId="11">
        <row r="5">
          <cell r="L5">
            <v>0.1661250867809709</v>
          </cell>
        </row>
        <row r="6">
          <cell r="L6">
            <v>0.19935010413716509</v>
          </cell>
        </row>
        <row r="7">
          <cell r="L7">
            <v>0.23257512149335927</v>
          </cell>
        </row>
        <row r="8">
          <cell r="L8">
            <v>0.2990251562057476</v>
          </cell>
        </row>
        <row r="9">
          <cell r="L9">
            <v>0.38706659282148359</v>
          </cell>
        </row>
      </sheetData>
      <sheetData sheetId="12">
        <row r="5">
          <cell r="L5">
            <v>0.16512872234246168</v>
          </cell>
        </row>
        <row r="6">
          <cell r="L6">
            <v>0.2336326114772746</v>
          </cell>
        </row>
        <row r="7">
          <cell r="L7">
            <v>0.31027905774682607</v>
          </cell>
        </row>
        <row r="8">
          <cell r="L8">
            <v>0.46590305794093373</v>
          </cell>
        </row>
        <row r="9">
          <cell r="L9">
            <v>0.67688057522388723</v>
          </cell>
        </row>
      </sheetData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0.17</v>
          </cell>
        </row>
        <row r="8">
          <cell r="C8">
            <v>0.36</v>
          </cell>
        </row>
        <row r="9">
          <cell r="C9">
            <v>0.56000000000000005</v>
          </cell>
        </row>
        <row r="10">
          <cell r="C10">
            <v>0.78</v>
          </cell>
        </row>
        <row r="20">
          <cell r="B20">
            <v>350</v>
          </cell>
        </row>
        <row r="22">
          <cell r="B22">
            <v>38</v>
          </cell>
        </row>
        <row r="27">
          <cell r="B27">
            <v>2.6933292113182881</v>
          </cell>
        </row>
        <row r="28">
          <cell r="B28">
            <v>12</v>
          </cell>
        </row>
        <row r="29">
          <cell r="B29">
            <v>452</v>
          </cell>
        </row>
        <row r="30">
          <cell r="B30">
            <v>32</v>
          </cell>
        </row>
        <row r="31">
          <cell r="B31">
            <v>4</v>
          </cell>
        </row>
        <row r="32">
          <cell r="B32">
            <v>79.3</v>
          </cell>
        </row>
      </sheetData>
      <sheetData sheetId="1">
        <row r="5">
          <cell r="K5">
            <v>214.59496874945796</v>
          </cell>
          <cell r="L5">
            <v>0.13127383978468207</v>
          </cell>
        </row>
        <row r="6">
          <cell r="K6">
            <v>300.43295624924116</v>
          </cell>
          <cell r="L6">
            <v>0.26398215376277612</v>
          </cell>
        </row>
        <row r="7">
          <cell r="K7">
            <v>386.27094374902435</v>
          </cell>
          <cell r="L7">
            <v>0.39669046774087013</v>
          </cell>
        </row>
        <row r="8">
          <cell r="K8">
            <v>500</v>
          </cell>
          <cell r="L8">
            <v>0.57251927902823763</v>
          </cell>
        </row>
      </sheetData>
      <sheetData sheetId="2">
        <row r="5">
          <cell r="L5">
            <v>0.13504186087017703</v>
          </cell>
        </row>
        <row r="6">
          <cell r="L6">
            <v>0.26271820049061689</v>
          </cell>
        </row>
        <row r="7">
          <cell r="L7">
            <v>0.39776006136079389</v>
          </cell>
        </row>
        <row r="8">
          <cell r="L8">
            <v>0.57668065163185067</v>
          </cell>
        </row>
      </sheetData>
      <sheetData sheetId="3">
        <row r="5">
          <cell r="M5">
            <v>0.15250358684376383</v>
          </cell>
        </row>
        <row r="6">
          <cell r="M6">
            <v>0.34403441271139223</v>
          </cell>
        </row>
        <row r="7">
          <cell r="M7">
            <v>0.5422958223217913</v>
          </cell>
        </row>
        <row r="8">
          <cell r="M8">
            <v>0.78660896418685322</v>
          </cell>
        </row>
      </sheetData>
      <sheetData sheetId="4">
        <row r="5">
          <cell r="L5">
            <v>0.16665426282377707</v>
          </cell>
        </row>
        <row r="6">
          <cell r="L6">
            <v>0.23331596795328791</v>
          </cell>
        </row>
        <row r="7">
          <cell r="L7">
            <v>0.3321075898906467</v>
          </cell>
        </row>
        <row r="8">
          <cell r="L8">
            <v>0.47931073062285534</v>
          </cell>
        </row>
      </sheetData>
      <sheetData sheetId="5">
        <row r="5">
          <cell r="Q5">
            <v>0.19951861461220641</v>
          </cell>
          <cell r="R5">
            <v>0.11578280084250574</v>
          </cell>
          <cell r="W5">
            <v>0.68107529907356312</v>
          </cell>
        </row>
        <row r="6">
          <cell r="Q6">
            <v>0.27932606045708902</v>
          </cell>
          <cell r="R6">
            <v>0.22693428965131127</v>
          </cell>
          <cell r="W6">
            <v>0.63037302680919793</v>
          </cell>
        </row>
        <row r="7">
          <cell r="Q7">
            <v>0.35913350630197144</v>
          </cell>
          <cell r="R7">
            <v>0.37513627472971839</v>
          </cell>
          <cell r="W7">
            <v>0.64130983268209174</v>
          </cell>
        </row>
        <row r="8">
          <cell r="Q8">
            <v>0.45193571713743219</v>
          </cell>
          <cell r="R8">
            <v>0.59406031512087509</v>
          </cell>
          <cell r="W8">
            <v>0.57940476556081044</v>
          </cell>
        </row>
      </sheetData>
      <sheetData sheetId="6">
        <row r="5">
          <cell r="L5">
            <v>0.1002083359400282</v>
          </cell>
        </row>
        <row r="6">
          <cell r="L6">
            <v>0.19901621546256626</v>
          </cell>
        </row>
        <row r="7">
          <cell r="L7">
            <v>0.29782409498510426</v>
          </cell>
        </row>
        <row r="8">
          <cell r="L8">
            <v>0.42873730970005475</v>
          </cell>
        </row>
      </sheetData>
      <sheetData sheetId="7">
        <row r="5">
          <cell r="L5">
            <v>0.14720598903748519</v>
          </cell>
        </row>
        <row r="6">
          <cell r="L6">
            <v>0.34838263613442921</v>
          </cell>
        </row>
        <row r="7">
          <cell r="L7">
            <v>0.52320849591990093</v>
          </cell>
        </row>
        <row r="8">
          <cell r="L8">
            <v>0.73742133167676249</v>
          </cell>
        </row>
      </sheetData>
      <sheetData sheetId="8">
        <row r="5">
          <cell r="L5">
            <v>0.17149241342730673</v>
          </cell>
        </row>
        <row r="6">
          <cell r="L6">
            <v>0.24008937879822945</v>
          </cell>
        </row>
        <row r="7">
          <cell r="L7">
            <v>0.30868634416915214</v>
          </cell>
        </row>
        <row r="8">
          <cell r="L8">
            <v>0.39957230690605344</v>
          </cell>
        </row>
      </sheetData>
      <sheetData sheetId="9">
        <row r="5">
          <cell r="L5">
            <v>0.10241670275818041</v>
          </cell>
        </row>
        <row r="6">
          <cell r="L6">
            <v>0.15276891917136376</v>
          </cell>
        </row>
        <row r="7">
          <cell r="L7">
            <v>0.20312113558454717</v>
          </cell>
        </row>
        <row r="8">
          <cell r="L8">
            <v>0.26983414015994794</v>
          </cell>
        </row>
      </sheetData>
      <sheetData sheetId="10">
        <row r="5">
          <cell r="L5">
            <v>0.16410460194330204</v>
          </cell>
        </row>
        <row r="6">
          <cell r="L6">
            <v>0.25002482779531143</v>
          </cell>
        </row>
        <row r="7">
          <cell r="L7">
            <v>0.33594505364732091</v>
          </cell>
        </row>
        <row r="8">
          <cell r="L8">
            <v>0.44978306970104531</v>
          </cell>
        </row>
      </sheetData>
      <sheetData sheetId="11">
        <row r="5">
          <cell r="L5">
            <v>0.1661250867809709</v>
          </cell>
        </row>
        <row r="6">
          <cell r="L6">
            <v>0.23257512149335927</v>
          </cell>
        </row>
        <row r="7">
          <cell r="L7">
            <v>0.2990251562057476</v>
          </cell>
        </row>
        <row r="8">
          <cell r="L8">
            <v>0.38706659282148359</v>
          </cell>
        </row>
      </sheetData>
      <sheetData sheetId="12">
        <row r="5">
          <cell r="L5">
            <v>0.16512872234246168</v>
          </cell>
        </row>
        <row r="6">
          <cell r="L6">
            <v>0.31027905774682607</v>
          </cell>
        </row>
        <row r="7">
          <cell r="L7">
            <v>0.46590305794093373</v>
          </cell>
        </row>
        <row r="8">
          <cell r="L8">
            <v>0.67688057522388723</v>
          </cell>
        </row>
      </sheetData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8">
          <cell r="C8">
            <v>0.31</v>
          </cell>
        </row>
        <row r="9">
          <cell r="C9">
            <v>0.44</v>
          </cell>
        </row>
        <row r="20">
          <cell r="B20">
            <v>350</v>
          </cell>
        </row>
        <row r="22">
          <cell r="B22">
            <v>88</v>
          </cell>
        </row>
        <row r="27">
          <cell r="B27">
            <v>2.6933292113182881</v>
          </cell>
        </row>
        <row r="28">
          <cell r="B28">
            <v>12</v>
          </cell>
        </row>
        <row r="29">
          <cell r="B29">
            <v>452</v>
          </cell>
        </row>
        <row r="30">
          <cell r="B30">
            <v>82</v>
          </cell>
        </row>
        <row r="31">
          <cell r="B31">
            <v>4</v>
          </cell>
        </row>
        <row r="32">
          <cell r="B32">
            <v>46</v>
          </cell>
        </row>
      </sheetData>
      <sheetData sheetId="1">
        <row r="6">
          <cell r="K6">
            <v>245.19477048546645</v>
          </cell>
          <cell r="L6">
            <v>0.18691065801267578</v>
          </cell>
        </row>
        <row r="7">
          <cell r="K7">
            <v>294.23372458255977</v>
          </cell>
          <cell r="L7">
            <v>0.30709427182839427</v>
          </cell>
        </row>
      </sheetData>
      <sheetData sheetId="2">
        <row r="6">
          <cell r="L6">
            <v>0.28097015142574805</v>
          </cell>
        </row>
        <row r="7">
          <cell r="L7">
            <v>0.38177508410215444</v>
          </cell>
        </row>
      </sheetData>
      <sheetData sheetId="3">
        <row r="6">
          <cell r="M6">
            <v>0.36254631705594237</v>
          </cell>
        </row>
        <row r="7">
          <cell r="M7">
            <v>0.5503677050597654</v>
          </cell>
        </row>
      </sheetData>
      <sheetData sheetId="4">
        <row r="6">
          <cell r="L6">
            <v>0.35190889482744719</v>
          </cell>
        </row>
        <row r="7">
          <cell r="L7">
            <v>0.42229067379293672</v>
          </cell>
        </row>
      </sheetData>
      <sheetData sheetId="5">
        <row r="6">
          <cell r="Q6">
            <v>0.42115359778442191</v>
          </cell>
          <cell r="R6">
            <v>0.15160704695540023</v>
          </cell>
          <cell r="W6">
            <v>0.4890549901787104</v>
          </cell>
        </row>
        <row r="7">
          <cell r="Q7">
            <v>0.50538431734130629</v>
          </cell>
          <cell r="R7">
            <v>0.21831414761577628</v>
          </cell>
          <cell r="W7">
            <v>0.49616851730858247</v>
          </cell>
        </row>
      </sheetData>
      <sheetData sheetId="6">
        <row r="6">
          <cell r="L6">
            <v>0.35388215107782112</v>
          </cell>
        </row>
        <row r="7">
          <cell r="L7">
            <v>0.48460524761713825</v>
          </cell>
        </row>
      </sheetData>
      <sheetData sheetId="7">
        <row r="6">
          <cell r="L6">
            <v>4.2260284514019641E-2</v>
          </cell>
        </row>
        <row r="7">
          <cell r="L7">
            <v>0.27291843309892705</v>
          </cell>
        </row>
      </sheetData>
      <sheetData sheetId="8">
        <row r="6">
          <cell r="L6">
            <v>0.43368023499729708</v>
          </cell>
        </row>
        <row r="7">
          <cell r="L7">
            <v>0.52041628199675649</v>
          </cell>
        </row>
      </sheetData>
      <sheetData sheetId="9">
        <row r="6">
          <cell r="L6">
            <v>0.15711776961185428</v>
          </cell>
        </row>
        <row r="7">
          <cell r="L7">
            <v>0.19466692875272593</v>
          </cell>
        </row>
      </sheetData>
      <sheetData sheetId="10">
        <row r="6">
          <cell r="L6">
            <v>0.27873857274862496</v>
          </cell>
        </row>
        <row r="7">
          <cell r="L7">
            <v>0.34899935700575707</v>
          </cell>
        </row>
      </sheetData>
      <sheetData sheetId="11">
        <row r="6">
          <cell r="L6">
            <v>0.38870614788651509</v>
          </cell>
        </row>
        <row r="7">
          <cell r="L7">
            <v>0.46644737746381815</v>
          </cell>
        </row>
      </sheetData>
      <sheetData sheetId="12">
        <row r="6">
          <cell r="L6">
            <v>0.30371204517585998</v>
          </cell>
        </row>
        <row r="7">
          <cell r="L7">
            <v>0.41010471120266756</v>
          </cell>
        </row>
      </sheetData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0.14000000000000001</v>
          </cell>
        </row>
        <row r="8">
          <cell r="C8">
            <v>0.31</v>
          </cell>
        </row>
        <row r="9">
          <cell r="C9">
            <v>0.4</v>
          </cell>
        </row>
        <row r="20">
          <cell r="B20">
            <v>350</v>
          </cell>
        </row>
        <row r="22">
          <cell r="B22">
            <v>88</v>
          </cell>
        </row>
        <row r="27">
          <cell r="B27">
            <v>2.6933292113182881</v>
          </cell>
        </row>
        <row r="28">
          <cell r="B28">
            <v>12</v>
          </cell>
        </row>
        <row r="29">
          <cell r="B29">
            <v>452</v>
          </cell>
        </row>
        <row r="30">
          <cell r="B30">
            <v>82</v>
          </cell>
        </row>
        <row r="31">
          <cell r="B31">
            <v>4</v>
          </cell>
        </row>
        <row r="32">
          <cell r="B32">
            <v>46</v>
          </cell>
        </row>
      </sheetData>
      <sheetData sheetId="1">
        <row r="5">
          <cell r="K5">
            <v>196.15581638837318</v>
          </cell>
          <cell r="L5">
            <v>6.672704419695745E-2</v>
          </cell>
        </row>
        <row r="6">
          <cell r="K6">
            <v>245.19477048546645</v>
          </cell>
          <cell r="L6">
            <v>0.18691065801267578</v>
          </cell>
        </row>
        <row r="7">
          <cell r="K7">
            <v>294.23372458255977</v>
          </cell>
          <cell r="L7">
            <v>0.30709427182839427</v>
          </cell>
        </row>
      </sheetData>
      <sheetData sheetId="2">
        <row r="5">
          <cell r="L5">
            <v>0.22477612114059844</v>
          </cell>
        </row>
        <row r="6">
          <cell r="L6">
            <v>0.28097015142574805</v>
          </cell>
        </row>
        <row r="7">
          <cell r="L7">
            <v>0.38177508410215444</v>
          </cell>
        </row>
      </sheetData>
      <sheetData sheetId="3">
        <row r="5">
          <cell r="M5">
            <v>0.23202964291580305</v>
          </cell>
        </row>
        <row r="6">
          <cell r="M6">
            <v>0.36254631705594237</v>
          </cell>
        </row>
        <row r="7">
          <cell r="M7">
            <v>0.5503677050597654</v>
          </cell>
        </row>
      </sheetData>
      <sheetData sheetId="4">
        <row r="5">
          <cell r="L5">
            <v>0.28152711586195778</v>
          </cell>
        </row>
        <row r="6">
          <cell r="L6">
            <v>0.35190889482744719</v>
          </cell>
        </row>
        <row r="7">
          <cell r="L7">
            <v>0.42229067379293672</v>
          </cell>
        </row>
      </sheetData>
      <sheetData sheetId="5">
        <row r="5">
          <cell r="Q5">
            <v>0.33692287822753753</v>
          </cell>
          <cell r="R5">
            <v>9.7028510051456116E-2</v>
          </cell>
          <cell r="W5">
            <v>0.69306078608182931</v>
          </cell>
        </row>
        <row r="6">
          <cell r="Q6">
            <v>0.42115359778442191</v>
          </cell>
          <cell r="R6">
            <v>0.15160704695540023</v>
          </cell>
          <cell r="W6">
            <v>0.4890549901787104</v>
          </cell>
        </row>
        <row r="7">
          <cell r="Q7">
            <v>0.50538431734130629</v>
          </cell>
          <cell r="R7">
            <v>0.21831414761577628</v>
          </cell>
          <cell r="W7">
            <v>0.54578536903944064</v>
          </cell>
        </row>
      </sheetData>
      <sheetData sheetId="6">
        <row r="5">
          <cell r="L5">
            <v>0.22315905453850413</v>
          </cell>
        </row>
        <row r="6">
          <cell r="L6">
            <v>0.35388215107782112</v>
          </cell>
        </row>
        <row r="7">
          <cell r="L7">
            <v>0.48460524761713825</v>
          </cell>
        </row>
      </sheetData>
      <sheetData sheetId="7">
        <row r="6">
          <cell r="L6">
            <v>4.2260284514019641E-2</v>
          </cell>
        </row>
        <row r="7">
          <cell r="L7">
            <v>0.27291843309892705</v>
          </cell>
        </row>
      </sheetData>
      <sheetData sheetId="8">
        <row r="5">
          <cell r="L5">
            <v>0.34694418799783772</v>
          </cell>
        </row>
        <row r="6">
          <cell r="L6">
            <v>0.43368023499729708</v>
          </cell>
        </row>
        <row r="7">
          <cell r="L7">
            <v>0.52041628199675649</v>
          </cell>
        </row>
      </sheetData>
      <sheetData sheetId="9">
        <row r="5">
          <cell r="L5">
            <v>0.11956861047098272</v>
          </cell>
        </row>
        <row r="6">
          <cell r="L6">
            <v>0.15711776961185428</v>
          </cell>
        </row>
        <row r="7">
          <cell r="L7">
            <v>0.19466692875272593</v>
          </cell>
        </row>
      </sheetData>
      <sheetData sheetId="10">
        <row r="5">
          <cell r="L5">
            <v>0.20847778849149301</v>
          </cell>
        </row>
        <row r="6">
          <cell r="L6">
            <v>0.27873857274862496</v>
          </cell>
        </row>
        <row r="7">
          <cell r="L7">
            <v>0.34899935700575707</v>
          </cell>
        </row>
      </sheetData>
      <sheetData sheetId="11">
        <row r="5">
          <cell r="L5">
            <v>0.31096491830921213</v>
          </cell>
        </row>
        <row r="6">
          <cell r="L6">
            <v>0.38870614788651509</v>
          </cell>
        </row>
        <row r="7">
          <cell r="L7">
            <v>0.46644737746381815</v>
          </cell>
        </row>
      </sheetData>
      <sheetData sheetId="12">
        <row r="5">
          <cell r="L5">
            <v>0.24227673307376879</v>
          </cell>
        </row>
        <row r="6">
          <cell r="L6">
            <v>0.30371204517585998</v>
          </cell>
        </row>
        <row r="7">
          <cell r="L7">
            <v>0.41010471120266756</v>
          </cell>
        </row>
      </sheetData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0.25</v>
          </cell>
        </row>
        <row r="8">
          <cell r="C8">
            <v>0.44</v>
          </cell>
        </row>
        <row r="9">
          <cell r="C9">
            <v>0.56000000000000005</v>
          </cell>
        </row>
        <row r="20">
          <cell r="B20">
            <v>350</v>
          </cell>
        </row>
        <row r="22">
          <cell r="B22">
            <v>88</v>
          </cell>
        </row>
        <row r="27">
          <cell r="B27">
            <v>2.6933292113182881</v>
          </cell>
        </row>
        <row r="28">
          <cell r="B28">
            <v>12</v>
          </cell>
        </row>
        <row r="29">
          <cell r="B29">
            <v>452</v>
          </cell>
        </row>
        <row r="30">
          <cell r="B30">
            <v>82</v>
          </cell>
        </row>
        <row r="31">
          <cell r="B31">
            <v>4</v>
          </cell>
        </row>
        <row r="32">
          <cell r="B32">
            <v>46</v>
          </cell>
        </row>
      </sheetData>
      <sheetData sheetId="1">
        <row r="5">
          <cell r="K5">
            <v>196.15581638837318</v>
          </cell>
          <cell r="L5">
            <v>6.672704419695745E-2</v>
          </cell>
        </row>
        <row r="6">
          <cell r="K6">
            <v>245.19477048546645</v>
          </cell>
          <cell r="L6">
            <v>0.18691065801267578</v>
          </cell>
        </row>
        <row r="7">
          <cell r="K7">
            <v>294.23372458255977</v>
          </cell>
          <cell r="L7">
            <v>0.30709427182839427</v>
          </cell>
        </row>
      </sheetData>
      <sheetData sheetId="2">
        <row r="5">
          <cell r="L5">
            <v>0.22477612114059844</v>
          </cell>
        </row>
        <row r="6">
          <cell r="L6">
            <v>0.28097015142574805</v>
          </cell>
        </row>
        <row r="7">
          <cell r="L7">
            <v>0.38177508410215444</v>
          </cell>
        </row>
      </sheetData>
      <sheetData sheetId="3">
        <row r="5">
          <cell r="M5">
            <v>0.23202964291580305</v>
          </cell>
        </row>
        <row r="6">
          <cell r="M6">
            <v>0.36254631705594237</v>
          </cell>
        </row>
        <row r="7">
          <cell r="M7">
            <v>0.5503677050597654</v>
          </cell>
        </row>
      </sheetData>
      <sheetData sheetId="4">
        <row r="5">
          <cell r="L5">
            <v>0.28152711586195778</v>
          </cell>
        </row>
        <row r="6">
          <cell r="L6">
            <v>0.35190889482744719</v>
          </cell>
        </row>
        <row r="7">
          <cell r="L7">
            <v>0.42229067379293672</v>
          </cell>
        </row>
      </sheetData>
      <sheetData sheetId="5">
        <row r="5">
          <cell r="Q5">
            <v>0.33692287822753753</v>
          </cell>
          <cell r="R5">
            <v>9.7028510051456116E-2</v>
          </cell>
          <cell r="W5">
            <v>0.38811404020582446</v>
          </cell>
        </row>
        <row r="6">
          <cell r="Q6">
            <v>0.42115359778442191</v>
          </cell>
          <cell r="R6">
            <v>0.15160704695540023</v>
          </cell>
          <cell r="W6">
            <v>0.34456147035318235</v>
          </cell>
        </row>
        <row r="7">
          <cell r="Q7">
            <v>0.50538431734130629</v>
          </cell>
          <cell r="R7">
            <v>0.21831414761577628</v>
          </cell>
          <cell r="W7">
            <v>0.38984669217102902</v>
          </cell>
        </row>
      </sheetData>
      <sheetData sheetId="6">
        <row r="5">
          <cell r="L5">
            <v>0.22315905453850413</v>
          </cell>
        </row>
        <row r="6">
          <cell r="L6">
            <v>0.35388215107782112</v>
          </cell>
        </row>
        <row r="7">
          <cell r="L7">
            <v>0.48460524761713825</v>
          </cell>
        </row>
      </sheetData>
      <sheetData sheetId="7">
        <row r="6">
          <cell r="L6">
            <v>4.2260284514019641E-2</v>
          </cell>
        </row>
        <row r="7">
          <cell r="L7">
            <v>0.27291843309892705</v>
          </cell>
        </row>
      </sheetData>
      <sheetData sheetId="8">
        <row r="5">
          <cell r="L5">
            <v>0.34694418799783772</v>
          </cell>
        </row>
        <row r="6">
          <cell r="L6">
            <v>0.43368023499729708</v>
          </cell>
        </row>
        <row r="7">
          <cell r="L7">
            <v>0.52041628199675649</v>
          </cell>
        </row>
      </sheetData>
      <sheetData sheetId="9">
        <row r="5">
          <cell r="L5">
            <v>0.11956861047098272</v>
          </cell>
        </row>
        <row r="6">
          <cell r="L6">
            <v>0.15711776961185428</v>
          </cell>
        </row>
        <row r="7">
          <cell r="L7">
            <v>0.19466692875272593</v>
          </cell>
        </row>
      </sheetData>
      <sheetData sheetId="10">
        <row r="5">
          <cell r="L5">
            <v>0.20847778849149301</v>
          </cell>
        </row>
        <row r="6">
          <cell r="L6">
            <v>0.27873857274862496</v>
          </cell>
        </row>
        <row r="7">
          <cell r="L7">
            <v>0.34899935700575707</v>
          </cell>
        </row>
      </sheetData>
      <sheetData sheetId="11">
        <row r="5">
          <cell r="L5">
            <v>0.31096491830921213</v>
          </cell>
        </row>
        <row r="6">
          <cell r="L6">
            <v>0.38870614788651509</v>
          </cell>
        </row>
        <row r="7">
          <cell r="L7">
            <v>0.46644737746381815</v>
          </cell>
        </row>
      </sheetData>
      <sheetData sheetId="12">
        <row r="5">
          <cell r="L5">
            <v>0.24227673307376879</v>
          </cell>
        </row>
        <row r="6">
          <cell r="L6">
            <v>0.30371204517585998</v>
          </cell>
        </row>
        <row r="7">
          <cell r="L7">
            <v>0.41010471120266756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8">
          <cell r="C8">
            <v>0.23</v>
          </cell>
        </row>
        <row r="9">
          <cell r="C9">
            <v>0.35</v>
          </cell>
        </row>
        <row r="10">
          <cell r="C10">
            <v>0.49</v>
          </cell>
        </row>
        <row r="11">
          <cell r="C11">
            <v>0.67</v>
          </cell>
        </row>
        <row r="20">
          <cell r="B20">
            <v>350</v>
          </cell>
        </row>
        <row r="22">
          <cell r="B22">
            <v>44.5</v>
          </cell>
        </row>
        <row r="27">
          <cell r="B27">
            <v>2.6933292113182881</v>
          </cell>
        </row>
        <row r="28">
          <cell r="B28">
            <v>25</v>
          </cell>
        </row>
        <row r="29">
          <cell r="B29">
            <v>1964</v>
          </cell>
        </row>
        <row r="30">
          <cell r="B30">
            <v>32</v>
          </cell>
        </row>
        <row r="31">
          <cell r="B31">
            <v>4</v>
          </cell>
        </row>
        <row r="32">
          <cell r="B32">
            <v>62</v>
          </cell>
        </row>
      </sheetData>
      <sheetData sheetId="1">
        <row r="6">
          <cell r="K6">
            <v>213.02531045198921</v>
          </cell>
          <cell r="L6">
            <v>0.16521223330503229</v>
          </cell>
        </row>
        <row r="7">
          <cell r="K7">
            <v>319.53796567798378</v>
          </cell>
          <cell r="L7">
            <v>0.26719707809644927</v>
          </cell>
        </row>
        <row r="8">
          <cell r="K8">
            <v>426.05062090397843</v>
          </cell>
          <cell r="L8">
            <v>0.36918192288786633</v>
          </cell>
        </row>
        <row r="9">
          <cell r="K9">
            <v>500</v>
          </cell>
          <cell r="L9">
            <v>0.43998774341245744</v>
          </cell>
        </row>
      </sheetData>
      <sheetData sheetId="2">
        <row r="6">
          <cell r="L6">
            <v>0.18965673546789175</v>
          </cell>
        </row>
        <row r="7">
          <cell r="L7">
            <v>0.31802770082984461</v>
          </cell>
        </row>
        <row r="8">
          <cell r="L8">
            <v>0.44639866619179752</v>
          </cell>
        </row>
        <row r="9">
          <cell r="L9">
            <v>0.53552378622876884</v>
          </cell>
        </row>
      </sheetData>
      <sheetData sheetId="3">
        <row r="6">
          <cell r="M6">
            <v>0.1950703182466067</v>
          </cell>
        </row>
        <row r="7">
          <cell r="M7">
            <v>0.34850980674992177</v>
          </cell>
        </row>
        <row r="8">
          <cell r="M8">
            <v>0.50194929525323695</v>
          </cell>
        </row>
        <row r="9">
          <cell r="M9">
            <v>0.60260898148478304</v>
          </cell>
        </row>
      </sheetData>
      <sheetData sheetId="4">
        <row r="6">
          <cell r="L6">
            <v>0.16118390025027668</v>
          </cell>
        </row>
        <row r="7">
          <cell r="L7">
            <v>0.26068207130610616</v>
          </cell>
        </row>
        <row r="8">
          <cell r="L8">
            <v>0.36018024236193569</v>
          </cell>
        </row>
        <row r="9">
          <cell r="L9">
            <v>0.42925962034905629</v>
          </cell>
        </row>
      </sheetData>
      <sheetData sheetId="5">
        <row r="6">
          <cell r="Q6">
            <v>0.20974850186234273</v>
          </cell>
          <cell r="R6">
            <v>0.24680152038352576</v>
          </cell>
          <cell r="W6">
            <v>0.91195000809714222</v>
          </cell>
        </row>
        <row r="7">
          <cell r="Q7">
            <v>0.31462275279351415</v>
          </cell>
          <cell r="R7">
            <v>0.55530342086293294</v>
          </cell>
          <cell r="W7">
            <v>0.89892215083861193</v>
          </cell>
        </row>
        <row r="8">
          <cell r="Q8">
            <v>0.41949700372468546</v>
          </cell>
          <cell r="R8">
            <v>0.98720608153410305</v>
          </cell>
          <cell r="W8">
            <v>0.85611633413201116</v>
          </cell>
        </row>
        <row r="9">
          <cell r="Q9">
            <v>0.46969896597778604</v>
          </cell>
          <cell r="R9">
            <v>1.2376256565018231</v>
          </cell>
          <cell r="W9">
            <v>0.70104323280266567</v>
          </cell>
        </row>
      </sheetData>
      <sheetData sheetId="6">
        <row r="6">
          <cell r="L6">
            <v>0.11745005812708208</v>
          </cell>
        </row>
        <row r="7">
          <cell r="L7">
            <v>0.18629077621226869</v>
          </cell>
        </row>
        <row r="8">
          <cell r="L8">
            <v>0.25513149429745535</v>
          </cell>
        </row>
        <row r="9">
          <cell r="L9">
            <v>0.30292608122351122</v>
          </cell>
        </row>
      </sheetData>
      <sheetData sheetId="7">
        <row r="6">
          <cell r="L6">
            <v>0.27711743382603071</v>
          </cell>
        </row>
        <row r="7">
          <cell r="L7">
            <v>0.44648166290315272</v>
          </cell>
        </row>
        <row r="8">
          <cell r="L8">
            <v>0.60968478954745375</v>
          </cell>
        </row>
        <row r="9">
          <cell r="L9">
            <v>0.72144924936846344</v>
          </cell>
        </row>
      </sheetData>
      <sheetData sheetId="8">
        <row r="6">
          <cell r="L6">
            <v>0.15913220377021248</v>
          </cell>
        </row>
        <row r="7">
          <cell r="L7">
            <v>0.23869830565531872</v>
          </cell>
        </row>
        <row r="8">
          <cell r="L8">
            <v>0.31826440754042495</v>
          </cell>
        </row>
        <row r="9">
          <cell r="L9">
            <v>0.37350539105557851</v>
          </cell>
        </row>
      </sheetData>
      <sheetData sheetId="9">
        <row r="6">
          <cell r="L6">
            <v>0.13181222577251248</v>
          </cell>
        </row>
        <row r="7">
          <cell r="L7">
            <v>0.21295451716099853</v>
          </cell>
        </row>
        <row r="8">
          <cell r="L8">
            <v>0.29409680854948467</v>
          </cell>
        </row>
        <row r="9">
          <cell r="L9">
            <v>0.35043210555128729</v>
          </cell>
        </row>
      </sheetData>
      <sheetData sheetId="10">
        <row r="6">
          <cell r="L6">
            <v>0.20539461225344013</v>
          </cell>
        </row>
        <row r="7">
          <cell r="L7">
            <v>0.32023897247780675</v>
          </cell>
        </row>
        <row r="8">
          <cell r="L8">
            <v>0.43508333270217331</v>
          </cell>
        </row>
        <row r="9">
          <cell r="L9">
            <v>0.51481723017428416</v>
          </cell>
        </row>
      </sheetData>
      <sheetData sheetId="11">
        <row r="6">
          <cell r="L6">
            <v>0.19227618709319946</v>
          </cell>
        </row>
        <row r="7">
          <cell r="L7">
            <v>0.28841428063979918</v>
          </cell>
        </row>
        <row r="8">
          <cell r="L8">
            <v>0.38455237418639893</v>
          </cell>
        </row>
        <row r="9">
          <cell r="L9">
            <v>0.45129892472691385</v>
          </cell>
        </row>
      </sheetData>
      <sheetData sheetId="12">
        <row r="6">
          <cell r="L6">
            <v>0.28951743634001603</v>
          </cell>
        </row>
        <row r="7">
          <cell r="L7">
            <v>0.50205261032903148</v>
          </cell>
        </row>
        <row r="8">
          <cell r="L8">
            <v>0.73741035644538055</v>
          </cell>
        </row>
        <row r="9">
          <cell r="L9">
            <v>0.91423712194495588</v>
          </cell>
        </row>
      </sheetData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8">
          <cell r="C8">
            <v>0.27</v>
          </cell>
        </row>
        <row r="9">
          <cell r="C9">
            <v>0.4</v>
          </cell>
        </row>
        <row r="10">
          <cell r="C10">
            <v>0.53</v>
          </cell>
        </row>
        <row r="11">
          <cell r="C11">
            <v>0.72</v>
          </cell>
        </row>
        <row r="20">
          <cell r="B20">
            <v>350</v>
          </cell>
        </row>
        <row r="22">
          <cell r="B22">
            <v>44.5</v>
          </cell>
        </row>
        <row r="27">
          <cell r="B27">
            <v>2.6933292113182881</v>
          </cell>
        </row>
        <row r="28">
          <cell r="B28">
            <v>25</v>
          </cell>
        </row>
        <row r="29">
          <cell r="B29">
            <v>1964</v>
          </cell>
        </row>
        <row r="30">
          <cell r="B30">
            <v>32</v>
          </cell>
        </row>
        <row r="31">
          <cell r="B31">
            <v>4</v>
          </cell>
        </row>
        <row r="32">
          <cell r="B32">
            <v>62</v>
          </cell>
        </row>
      </sheetData>
      <sheetData sheetId="1">
        <row r="6">
          <cell r="K6">
            <v>213.02531045198921</v>
          </cell>
          <cell r="L6">
            <v>0.16521223330503229</v>
          </cell>
        </row>
        <row r="7">
          <cell r="K7">
            <v>319.53796567798378</v>
          </cell>
          <cell r="L7">
            <v>0.26719707809644927</v>
          </cell>
        </row>
        <row r="8">
          <cell r="K8">
            <v>426.05062090397843</v>
          </cell>
          <cell r="L8">
            <v>0.36918192288786633</v>
          </cell>
        </row>
        <row r="9">
          <cell r="K9">
            <v>500</v>
          </cell>
          <cell r="L9">
            <v>0.43998774341245744</v>
          </cell>
        </row>
      </sheetData>
      <sheetData sheetId="2">
        <row r="6">
          <cell r="L6">
            <v>0.18965673546789175</v>
          </cell>
        </row>
        <row r="7">
          <cell r="L7">
            <v>0.31802770082984461</v>
          </cell>
        </row>
        <row r="8">
          <cell r="L8">
            <v>0.44639866619179752</v>
          </cell>
        </row>
        <row r="9">
          <cell r="L9">
            <v>0.53552378622876884</v>
          </cell>
        </row>
      </sheetData>
      <sheetData sheetId="3">
        <row r="6">
          <cell r="M6">
            <v>0.1950703182466067</v>
          </cell>
        </row>
        <row r="7">
          <cell r="M7">
            <v>0.34850980674992177</v>
          </cell>
        </row>
        <row r="8">
          <cell r="M8">
            <v>0.50194929525323695</v>
          </cell>
        </row>
        <row r="9">
          <cell r="M9">
            <v>0.60260898148478304</v>
          </cell>
        </row>
      </sheetData>
      <sheetData sheetId="4">
        <row r="6">
          <cell r="L6">
            <v>0.16118390025027668</v>
          </cell>
        </row>
        <row r="7">
          <cell r="L7">
            <v>0.26068207130610616</v>
          </cell>
        </row>
        <row r="8">
          <cell r="L8">
            <v>0.36018024236193569</v>
          </cell>
        </row>
        <row r="9">
          <cell r="L9">
            <v>0.42925962034905629</v>
          </cell>
        </row>
      </sheetData>
      <sheetData sheetId="5">
        <row r="6">
          <cell r="Q6">
            <v>0.20974850186234273</v>
          </cell>
          <cell r="R6">
            <v>0.24680152038352576</v>
          </cell>
          <cell r="W6">
            <v>0.77684630319386194</v>
          </cell>
        </row>
        <row r="7">
          <cell r="Q7">
            <v>0.31462275279351415</v>
          </cell>
          <cell r="R7">
            <v>0.55530342086293294</v>
          </cell>
          <cell r="W7">
            <v>0.78655688198378537</v>
          </cell>
        </row>
        <row r="8">
          <cell r="Q8">
            <v>0.41949700372468546</v>
          </cell>
          <cell r="R8">
            <v>0.98720608153410305</v>
          </cell>
          <cell r="W8">
            <v>0.79150378061261406</v>
          </cell>
        </row>
        <row r="9">
          <cell r="Q9">
            <v>0.46969896597778604</v>
          </cell>
          <cell r="R9">
            <v>1.2376256565018231</v>
          </cell>
          <cell r="W9">
            <v>0.65235967496914726</v>
          </cell>
        </row>
      </sheetData>
      <sheetData sheetId="6">
        <row r="6">
          <cell r="L6">
            <v>0.11745005812708208</v>
          </cell>
        </row>
        <row r="7">
          <cell r="L7">
            <v>0.18629077621226869</v>
          </cell>
        </row>
        <row r="8">
          <cell r="L8">
            <v>0.25513149429745535</v>
          </cell>
        </row>
        <row r="9">
          <cell r="L9">
            <v>0.30292608122351122</v>
          </cell>
        </row>
      </sheetData>
      <sheetData sheetId="7">
        <row r="6">
          <cell r="L6">
            <v>0.27711743382603071</v>
          </cell>
        </row>
        <row r="7">
          <cell r="L7">
            <v>0.44648166290315272</v>
          </cell>
        </row>
        <row r="8">
          <cell r="L8">
            <v>0.60968478954745375</v>
          </cell>
        </row>
        <row r="9">
          <cell r="L9">
            <v>0.72144924936846344</v>
          </cell>
        </row>
      </sheetData>
      <sheetData sheetId="8">
        <row r="6">
          <cell r="L6">
            <v>0.15913220377021248</v>
          </cell>
        </row>
        <row r="7">
          <cell r="L7">
            <v>0.23869830565531872</v>
          </cell>
        </row>
        <row r="8">
          <cell r="L8">
            <v>0.31826440754042495</v>
          </cell>
        </row>
        <row r="9">
          <cell r="L9">
            <v>0.37350539105557851</v>
          </cell>
        </row>
      </sheetData>
      <sheetData sheetId="9">
        <row r="6">
          <cell r="L6">
            <v>0.13181222577251248</v>
          </cell>
        </row>
        <row r="7">
          <cell r="L7">
            <v>0.21295451716099853</v>
          </cell>
        </row>
        <row r="8">
          <cell r="L8">
            <v>0.29409680854948467</v>
          </cell>
        </row>
        <row r="9">
          <cell r="L9">
            <v>0.35043210555128729</v>
          </cell>
        </row>
      </sheetData>
      <sheetData sheetId="10">
        <row r="6">
          <cell r="L6">
            <v>0.20539461225344013</v>
          </cell>
        </row>
        <row r="7">
          <cell r="L7">
            <v>0.32023897247780675</v>
          </cell>
        </row>
        <row r="8">
          <cell r="L8">
            <v>0.43508333270217331</v>
          </cell>
        </row>
        <row r="9">
          <cell r="L9">
            <v>0.51481723017428416</v>
          </cell>
        </row>
      </sheetData>
      <sheetData sheetId="11">
        <row r="6">
          <cell r="L6">
            <v>0.19227618709319946</v>
          </cell>
        </row>
        <row r="7">
          <cell r="L7">
            <v>0.28841428063979918</v>
          </cell>
        </row>
        <row r="8">
          <cell r="L8">
            <v>0.38455237418639893</v>
          </cell>
        </row>
        <row r="9">
          <cell r="L9">
            <v>0.45129892472691385</v>
          </cell>
        </row>
      </sheetData>
      <sheetData sheetId="12">
        <row r="6">
          <cell r="L6">
            <v>0.28951743634001603</v>
          </cell>
        </row>
        <row r="7">
          <cell r="L7">
            <v>0.50205261032903148</v>
          </cell>
        </row>
        <row r="8">
          <cell r="L8">
            <v>0.73741035644538055</v>
          </cell>
        </row>
        <row r="9">
          <cell r="L9">
            <v>0.91423712194495588</v>
          </cell>
        </row>
      </sheetData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0.3</v>
          </cell>
        </row>
        <row r="9">
          <cell r="C9">
            <v>0.56999999999999995</v>
          </cell>
        </row>
        <row r="20">
          <cell r="B20">
            <v>350</v>
          </cell>
        </row>
        <row r="22">
          <cell r="B22">
            <v>94.5</v>
          </cell>
        </row>
        <row r="27">
          <cell r="B27">
            <v>2.6933292113182881</v>
          </cell>
        </row>
        <row r="28">
          <cell r="B28">
            <v>25</v>
          </cell>
        </row>
        <row r="29">
          <cell r="B29">
            <v>1964</v>
          </cell>
        </row>
        <row r="30">
          <cell r="B30">
            <v>82</v>
          </cell>
        </row>
        <row r="31">
          <cell r="B31">
            <v>4</v>
          </cell>
        </row>
        <row r="32">
          <cell r="B32">
            <v>28.7</v>
          </cell>
        </row>
      </sheetData>
      <sheetData sheetId="1">
        <row r="5">
          <cell r="K5">
            <v>73.404459497833727</v>
          </cell>
          <cell r="L5">
            <v>4.7185627719411878E-2</v>
          </cell>
        </row>
        <row r="6">
          <cell r="K6">
            <v>122.34076582972288</v>
          </cell>
          <cell r="L6">
            <v>0.11960450596181522</v>
          </cell>
        </row>
        <row r="7">
          <cell r="K7">
            <v>244.68153165944577</v>
          </cell>
          <cell r="L7">
            <v>0.30065170156782367</v>
          </cell>
        </row>
      </sheetData>
      <sheetData sheetId="2">
        <row r="5">
          <cell r="L5">
            <v>7.2012387274581896E-2</v>
          </cell>
        </row>
        <row r="6">
          <cell r="L6">
            <v>0.12002064545763651</v>
          </cell>
        </row>
        <row r="7">
          <cell r="L7">
            <v>0.41855958413210198</v>
          </cell>
        </row>
      </sheetData>
      <sheetData sheetId="3">
        <row r="5">
          <cell r="M5">
            <v>7.2012387274581896E-2</v>
          </cell>
        </row>
        <row r="6">
          <cell r="M6">
            <v>0.12002064545763651</v>
          </cell>
        </row>
        <row r="7">
          <cell r="M7">
            <v>0.45337197684693187</v>
          </cell>
        </row>
      </sheetData>
      <sheetData sheetId="4">
        <row r="5">
          <cell r="L5">
            <v>7.9181431687268183E-2</v>
          </cell>
        </row>
        <row r="6">
          <cell r="L6">
            <v>0.14530367170291708</v>
          </cell>
        </row>
        <row r="7">
          <cell r="L7">
            <v>0.36525209305643985</v>
          </cell>
        </row>
      </sheetData>
      <sheetData sheetId="5">
        <row r="5">
          <cell r="Q5">
            <v>0.10855043654205788</v>
          </cell>
          <cell r="R5">
            <v>2.9399600977995204E-2</v>
          </cell>
          <cell r="W5">
            <v>0.19599733985330137</v>
          </cell>
        </row>
        <row r="6">
          <cell r="Q6">
            <v>0.18091739423676312</v>
          </cell>
          <cell r="R6">
            <v>8.1665558272208852E-2</v>
          </cell>
          <cell r="W6">
            <v>0.27221852757402953</v>
          </cell>
        </row>
        <row r="7">
          <cell r="Q7">
            <v>0.36183478847352624</v>
          </cell>
          <cell r="R7">
            <v>0.32666223308883541</v>
          </cell>
          <cell r="W7">
            <v>0.57309163699795695</v>
          </cell>
        </row>
      </sheetData>
      <sheetData sheetId="6">
        <row r="5">
          <cell r="L5">
            <v>6.2554745306432749E-2</v>
          </cell>
        </row>
        <row r="6">
          <cell r="L6">
            <v>0.12972038637164129</v>
          </cell>
        </row>
        <row r="7">
          <cell r="L7">
            <v>0.29763448903466261</v>
          </cell>
        </row>
      </sheetData>
      <sheetData sheetId="7">
        <row r="6">
          <cell r="L6">
            <v>0.11551729509434719</v>
          </cell>
        </row>
        <row r="7">
          <cell r="L7">
            <v>0.46460103612345982</v>
          </cell>
        </row>
      </sheetData>
      <sheetData sheetId="8">
        <row r="5">
          <cell r="L5">
            <v>0.11120342777150033</v>
          </cell>
        </row>
        <row r="6">
          <cell r="L6">
            <v>0.18533904628583389</v>
          </cell>
        </row>
        <row r="7">
          <cell r="L7">
            <v>0.37067809257166778</v>
          </cell>
        </row>
      </sheetData>
      <sheetData sheetId="9">
        <row r="5">
          <cell r="L5">
            <v>3.564409320642116E-2</v>
          </cell>
        </row>
        <row r="6">
          <cell r="L6">
            <v>8.7861380667245123E-2</v>
          </cell>
        </row>
        <row r="7">
          <cell r="L7">
            <v>0.218404599319305</v>
          </cell>
        </row>
      </sheetData>
      <sheetData sheetId="10">
        <row r="5">
          <cell r="L5">
            <v>7.5900154724817107E-2</v>
          </cell>
        </row>
        <row r="6">
          <cell r="L6">
            <v>0.14891108881475229</v>
          </cell>
        </row>
        <row r="7">
          <cell r="L7">
            <v>0.33143842403959017</v>
          </cell>
        </row>
      </sheetData>
      <sheetData sheetId="11">
        <row r="5">
          <cell r="L5">
            <v>0.13298387889396704</v>
          </cell>
        </row>
        <row r="6">
          <cell r="L6">
            <v>0.22163979815661172</v>
          </cell>
        </row>
        <row r="7">
          <cell r="L7">
            <v>0.44327959631322345</v>
          </cell>
        </row>
      </sheetData>
      <sheetData sheetId="12">
        <row r="5">
          <cell r="L5">
            <v>8.752938551150434E-2</v>
          </cell>
        </row>
        <row r="6">
          <cell r="L6">
            <v>0.14795456285584677</v>
          </cell>
        </row>
        <row r="7">
          <cell r="L7">
            <v>0.4847886872785534</v>
          </cell>
        </row>
      </sheetData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0.26</v>
          </cell>
        </row>
        <row r="9">
          <cell r="C9">
            <v>0.6</v>
          </cell>
        </row>
        <row r="20">
          <cell r="B20">
            <v>350</v>
          </cell>
        </row>
        <row r="22">
          <cell r="B22">
            <v>94.5</v>
          </cell>
        </row>
        <row r="27">
          <cell r="B27">
            <v>2.6933292113182881</v>
          </cell>
        </row>
        <row r="28">
          <cell r="B28">
            <v>25</v>
          </cell>
        </row>
        <row r="29">
          <cell r="B29">
            <v>1964</v>
          </cell>
        </row>
        <row r="30">
          <cell r="B30">
            <v>82</v>
          </cell>
        </row>
        <row r="31">
          <cell r="B31">
            <v>4</v>
          </cell>
        </row>
        <row r="32">
          <cell r="B32">
            <v>28.7</v>
          </cell>
        </row>
      </sheetData>
      <sheetData sheetId="1">
        <row r="5">
          <cell r="K5">
            <v>73.404459497833727</v>
          </cell>
          <cell r="L5">
            <v>4.7185627719411878E-2</v>
          </cell>
        </row>
        <row r="6">
          <cell r="K6">
            <v>122.34076582972288</v>
          </cell>
          <cell r="L6">
            <v>0.11960450596181522</v>
          </cell>
        </row>
        <row r="7">
          <cell r="K7">
            <v>244.68153165944577</v>
          </cell>
          <cell r="L7">
            <v>0.30065170156782367</v>
          </cell>
        </row>
      </sheetData>
      <sheetData sheetId="2">
        <row r="5">
          <cell r="L5">
            <v>7.2012387274581896E-2</v>
          </cell>
        </row>
        <row r="6">
          <cell r="L6">
            <v>0.12002064545763651</v>
          </cell>
        </row>
        <row r="7">
          <cell r="L7">
            <v>0.41855958413210198</v>
          </cell>
        </row>
      </sheetData>
      <sheetData sheetId="3">
        <row r="5">
          <cell r="M5">
            <v>7.2012387274581896E-2</v>
          </cell>
        </row>
        <row r="6">
          <cell r="M6">
            <v>0.12002064545763651</v>
          </cell>
        </row>
        <row r="7">
          <cell r="M7">
            <v>0.45337197684693187</v>
          </cell>
        </row>
      </sheetData>
      <sheetData sheetId="4">
        <row r="5">
          <cell r="L5">
            <v>7.9181431687268183E-2</v>
          </cell>
        </row>
        <row r="6">
          <cell r="L6">
            <v>0.14530367170291708</v>
          </cell>
        </row>
        <row r="7">
          <cell r="L7">
            <v>0.36525209305643985</v>
          </cell>
        </row>
      </sheetData>
      <sheetData sheetId="5">
        <row r="5">
          <cell r="Q5">
            <v>0.10855043654205788</v>
          </cell>
          <cell r="R5">
            <v>2.9399600977995204E-2</v>
          </cell>
          <cell r="W5">
            <v>0.19599733985330137</v>
          </cell>
        </row>
        <row r="6">
          <cell r="Q6">
            <v>0.18091739423676312</v>
          </cell>
          <cell r="R6">
            <v>8.1665558272208852E-2</v>
          </cell>
          <cell r="W6">
            <v>0.31409830104695713</v>
          </cell>
        </row>
        <row r="7">
          <cell r="Q7">
            <v>0.36183478847352624</v>
          </cell>
          <cell r="R7">
            <v>0.32666223308883541</v>
          </cell>
          <cell r="W7">
            <v>0.54443705514805907</v>
          </cell>
        </row>
      </sheetData>
      <sheetData sheetId="6">
        <row r="5">
          <cell r="L5">
            <v>6.2554745306432749E-2</v>
          </cell>
        </row>
        <row r="6">
          <cell r="L6">
            <v>0.12972038637164129</v>
          </cell>
        </row>
        <row r="7">
          <cell r="L7">
            <v>0.29763448903466261</v>
          </cell>
        </row>
      </sheetData>
      <sheetData sheetId="7">
        <row r="6">
          <cell r="L6">
            <v>0.11551729509434719</v>
          </cell>
        </row>
        <row r="7">
          <cell r="L7">
            <v>0.46460103612345982</v>
          </cell>
        </row>
      </sheetData>
      <sheetData sheetId="8">
        <row r="5">
          <cell r="L5">
            <v>0.11120342777150033</v>
          </cell>
        </row>
        <row r="6">
          <cell r="L6">
            <v>0.18533904628583389</v>
          </cell>
        </row>
        <row r="7">
          <cell r="L7">
            <v>0.37067809257166778</v>
          </cell>
        </row>
      </sheetData>
      <sheetData sheetId="9">
        <row r="5">
          <cell r="L5">
            <v>3.564409320642116E-2</v>
          </cell>
        </row>
        <row r="6">
          <cell r="L6">
            <v>8.7861380667245123E-2</v>
          </cell>
        </row>
        <row r="7">
          <cell r="L7">
            <v>0.218404599319305</v>
          </cell>
        </row>
      </sheetData>
      <sheetData sheetId="10">
        <row r="5">
          <cell r="L5">
            <v>7.5900154724817107E-2</v>
          </cell>
        </row>
        <row r="6">
          <cell r="L6">
            <v>0.14891108881475229</v>
          </cell>
        </row>
        <row r="7">
          <cell r="L7">
            <v>0.33143842403959017</v>
          </cell>
        </row>
      </sheetData>
      <sheetData sheetId="11">
        <row r="5">
          <cell r="L5">
            <v>0.13298387889396704</v>
          </cell>
        </row>
        <row r="6">
          <cell r="L6">
            <v>0.22163979815661172</v>
          </cell>
        </row>
        <row r="7">
          <cell r="L7">
            <v>0.44327959631322345</v>
          </cell>
        </row>
      </sheetData>
      <sheetData sheetId="12">
        <row r="5">
          <cell r="L5">
            <v>8.752938551150434E-2</v>
          </cell>
        </row>
        <row r="6">
          <cell r="L6">
            <v>0.14795456285584677</v>
          </cell>
        </row>
        <row r="7">
          <cell r="L7">
            <v>0.4847886872785534</v>
          </cell>
        </row>
      </sheetData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0.27</v>
          </cell>
        </row>
        <row r="9">
          <cell r="C9">
            <v>0.59</v>
          </cell>
        </row>
        <row r="20">
          <cell r="B20">
            <v>350</v>
          </cell>
        </row>
        <row r="22">
          <cell r="B22">
            <v>94.5</v>
          </cell>
        </row>
        <row r="27">
          <cell r="B27">
            <v>2.6933292113182881</v>
          </cell>
        </row>
        <row r="28">
          <cell r="B28">
            <v>25</v>
          </cell>
        </row>
        <row r="29">
          <cell r="B29">
            <v>1964</v>
          </cell>
        </row>
        <row r="30">
          <cell r="B30">
            <v>82</v>
          </cell>
        </row>
        <row r="31">
          <cell r="B31">
            <v>4</v>
          </cell>
        </row>
        <row r="32">
          <cell r="B32">
            <v>28.7</v>
          </cell>
        </row>
      </sheetData>
      <sheetData sheetId="1">
        <row r="5">
          <cell r="K5">
            <v>73.404459497833727</v>
          </cell>
          <cell r="L5">
            <v>4.7185627719411878E-2</v>
          </cell>
        </row>
        <row r="6">
          <cell r="K6">
            <v>122.34076582972288</v>
          </cell>
          <cell r="L6">
            <v>0.11960450596181522</v>
          </cell>
        </row>
        <row r="7">
          <cell r="K7">
            <v>244.68153165944577</v>
          </cell>
          <cell r="L7">
            <v>0.30065170156782367</v>
          </cell>
        </row>
      </sheetData>
      <sheetData sheetId="2">
        <row r="5">
          <cell r="L5">
            <v>7.2012387274581896E-2</v>
          </cell>
        </row>
        <row r="6">
          <cell r="L6">
            <v>0.12002064545763651</v>
          </cell>
        </row>
        <row r="7">
          <cell r="L7">
            <v>0.41855958413210198</v>
          </cell>
        </row>
      </sheetData>
      <sheetData sheetId="3">
        <row r="5">
          <cell r="M5">
            <v>7.2012387274581896E-2</v>
          </cell>
        </row>
        <row r="6">
          <cell r="M6">
            <v>0.12002064545763651</v>
          </cell>
        </row>
        <row r="7">
          <cell r="M7">
            <v>0.45337197684693187</v>
          </cell>
        </row>
      </sheetData>
      <sheetData sheetId="4">
        <row r="5">
          <cell r="L5">
            <v>7.9181431687268183E-2</v>
          </cell>
        </row>
        <row r="6">
          <cell r="L6">
            <v>0.14530367170291708</v>
          </cell>
        </row>
        <row r="7">
          <cell r="L7">
            <v>0.36525209305643985</v>
          </cell>
        </row>
      </sheetData>
      <sheetData sheetId="5">
        <row r="5">
          <cell r="Q5">
            <v>0.10855043654205788</v>
          </cell>
          <cell r="R5">
            <v>2.9399600977995204E-2</v>
          </cell>
          <cell r="W5">
            <v>0.18374750611247001</v>
          </cell>
        </row>
        <row r="6">
          <cell r="Q6">
            <v>0.18091739423676312</v>
          </cell>
          <cell r="R6">
            <v>8.1665558272208852E-2</v>
          </cell>
          <cell r="W6">
            <v>0.30246503063781055</v>
          </cell>
        </row>
        <row r="7">
          <cell r="Q7">
            <v>0.36183478847352624</v>
          </cell>
          <cell r="R7">
            <v>0.32666223308883541</v>
          </cell>
          <cell r="W7">
            <v>0.55366480184548372</v>
          </cell>
        </row>
      </sheetData>
      <sheetData sheetId="6">
        <row r="5">
          <cell r="L5">
            <v>6.2554745306432749E-2</v>
          </cell>
        </row>
        <row r="6">
          <cell r="L6">
            <v>0.12972038637164129</v>
          </cell>
        </row>
        <row r="7">
          <cell r="L7">
            <v>0.29763448903466261</v>
          </cell>
        </row>
      </sheetData>
      <sheetData sheetId="7">
        <row r="6">
          <cell r="L6">
            <v>0.11551729509434719</v>
          </cell>
        </row>
        <row r="7">
          <cell r="L7">
            <v>0.46460103612345982</v>
          </cell>
        </row>
      </sheetData>
      <sheetData sheetId="8">
        <row r="5">
          <cell r="L5">
            <v>0.11120342777150033</v>
          </cell>
        </row>
        <row r="6">
          <cell r="L6">
            <v>0.18533904628583389</v>
          </cell>
        </row>
        <row r="7">
          <cell r="L7">
            <v>0.37067809257166778</v>
          </cell>
        </row>
      </sheetData>
      <sheetData sheetId="9">
        <row r="5">
          <cell r="L5">
            <v>3.564409320642116E-2</v>
          </cell>
        </row>
        <row r="6">
          <cell r="L6">
            <v>8.7861380667245123E-2</v>
          </cell>
        </row>
        <row r="7">
          <cell r="L7">
            <v>0.218404599319305</v>
          </cell>
        </row>
      </sheetData>
      <sheetData sheetId="10">
        <row r="5">
          <cell r="L5">
            <v>7.5900154724817107E-2</v>
          </cell>
        </row>
        <row r="6">
          <cell r="L6">
            <v>0.14891108881475229</v>
          </cell>
        </row>
        <row r="7">
          <cell r="L7">
            <v>0.33143842403959017</v>
          </cell>
        </row>
      </sheetData>
      <sheetData sheetId="11">
        <row r="5">
          <cell r="L5">
            <v>0.13298387889396704</v>
          </cell>
        </row>
        <row r="6">
          <cell r="L6">
            <v>0.22163979815661172</v>
          </cell>
        </row>
        <row r="7">
          <cell r="L7">
            <v>0.44327959631322345</v>
          </cell>
        </row>
      </sheetData>
      <sheetData sheetId="12">
        <row r="5">
          <cell r="L5">
            <v>8.752938551150434E-2</v>
          </cell>
        </row>
        <row r="6">
          <cell r="L6">
            <v>0.14795456285584677</v>
          </cell>
        </row>
        <row r="7">
          <cell r="L7">
            <v>0.4847886872785534</v>
          </cell>
        </row>
      </sheetData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0.17</v>
          </cell>
        </row>
        <row r="20">
          <cell r="B20">
            <v>114.3</v>
          </cell>
        </row>
        <row r="22">
          <cell r="B22">
            <v>25.4</v>
          </cell>
        </row>
        <row r="27">
          <cell r="B27">
            <v>3.5641600019995088</v>
          </cell>
        </row>
        <row r="28">
          <cell r="B28">
            <v>9.52</v>
          </cell>
        </row>
        <row r="29">
          <cell r="B29">
            <v>212.9</v>
          </cell>
        </row>
        <row r="30">
          <cell r="B30">
            <v>20.64</v>
          </cell>
        </row>
        <row r="31">
          <cell r="B31">
            <v>3</v>
          </cell>
        </row>
        <row r="32">
          <cell r="B32">
            <v>22.2</v>
          </cell>
        </row>
      </sheetData>
      <sheetData sheetId="1">
        <row r="5">
          <cell r="K5">
            <v>295.47063165325955</v>
          </cell>
          <cell r="L5">
            <v>0.13329381492770445</v>
          </cell>
        </row>
        <row r="6">
          <cell r="K6">
            <v>343.86668338956935</v>
          </cell>
          <cell r="L6">
            <v>0.1630033372764875</v>
          </cell>
        </row>
      </sheetData>
      <sheetData sheetId="2">
        <row r="5">
          <cell r="L5">
            <v>0.12366214399887077</v>
          </cell>
        </row>
        <row r="6">
          <cell r="L6">
            <v>0.1537022961834705</v>
          </cell>
        </row>
      </sheetData>
      <sheetData sheetId="3">
        <row r="5">
          <cell r="M5">
            <v>0.14576285622789853</v>
          </cell>
        </row>
        <row r="6">
          <cell r="M6">
            <v>0.18594638321687937</v>
          </cell>
        </row>
      </sheetData>
      <sheetData sheetId="4">
        <row r="5">
          <cell r="L5">
            <v>0.13033571952634693</v>
          </cell>
        </row>
        <row r="6">
          <cell r="L6">
            <v>0.15938591944907343</v>
          </cell>
        </row>
      </sheetData>
      <sheetData sheetId="5">
        <row r="5">
          <cell r="Q5">
            <v>0.14133750002718667</v>
          </cell>
          <cell r="R5">
            <v>0.13684830482913171</v>
          </cell>
          <cell r="W5">
            <v>0.91232203219421149</v>
          </cell>
        </row>
        <row r="6">
          <cell r="Q6">
            <v>0.16448760779026034</v>
          </cell>
          <cell r="R6">
            <v>0.18534931298386784</v>
          </cell>
          <cell r="W6">
            <v>0.96757416347211955</v>
          </cell>
        </row>
      </sheetData>
      <sheetData sheetId="6">
        <row r="5">
          <cell r="L5">
            <v>0.10572052130096984</v>
          </cell>
        </row>
        <row r="6">
          <cell r="L6">
            <v>0.12620235173470354</v>
          </cell>
        </row>
      </sheetData>
      <sheetData sheetId="7">
        <row r="5">
          <cell r="L5">
            <v>0.20816075063164449</v>
          </cell>
        </row>
        <row r="6">
          <cell r="L6">
            <v>0.25338034839322776</v>
          </cell>
        </row>
      </sheetData>
      <sheetData sheetId="8">
        <row r="5">
          <cell r="L5">
            <v>0.141040005310795</v>
          </cell>
        </row>
        <row r="6">
          <cell r="L6">
            <v>0.16414138549101145</v>
          </cell>
        </row>
      </sheetData>
      <sheetData sheetId="9">
        <row r="5">
          <cell r="L5">
            <v>9.7608122271360079E-2</v>
          </cell>
        </row>
        <row r="6">
          <cell r="L6">
            <v>0.11609888852796953</v>
          </cell>
        </row>
      </sheetData>
      <sheetData sheetId="10">
        <row r="5">
          <cell r="L5">
            <v>0.12185310734004789</v>
          </cell>
        </row>
        <row r="6">
          <cell r="L6">
            <v>0.14354614769334423</v>
          </cell>
        </row>
      </sheetData>
      <sheetData sheetId="11">
        <row r="5">
          <cell r="L5">
            <v>0.1396639404957189</v>
          </cell>
        </row>
        <row r="6">
          <cell r="L6">
            <v>0.16253993074932804</v>
          </cell>
        </row>
      </sheetData>
      <sheetData sheetId="12">
        <row r="5">
          <cell r="L5">
            <v>0.15911300985022608</v>
          </cell>
        </row>
        <row r="6">
          <cell r="L6">
            <v>0.19746391718770373</v>
          </cell>
        </row>
      </sheetData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0.17</v>
          </cell>
        </row>
        <row r="9">
          <cell r="C9">
            <v>0.2</v>
          </cell>
        </row>
        <row r="20">
          <cell r="B20">
            <v>114.3</v>
          </cell>
        </row>
        <row r="22">
          <cell r="B22">
            <v>25.4</v>
          </cell>
        </row>
        <row r="27">
          <cell r="B27">
            <v>3.9766081638229425</v>
          </cell>
        </row>
        <row r="28">
          <cell r="B28">
            <v>12.7</v>
          </cell>
        </row>
        <row r="29">
          <cell r="B29">
            <v>387.1</v>
          </cell>
        </row>
        <row r="30">
          <cell r="B30">
            <v>19.05</v>
          </cell>
        </row>
        <row r="31">
          <cell r="B31">
            <v>3</v>
          </cell>
        </row>
        <row r="32">
          <cell r="B32">
            <v>19.05</v>
          </cell>
        </row>
      </sheetData>
      <sheetData sheetId="1">
        <row r="5">
          <cell r="K5">
            <v>303.25602523129726</v>
          </cell>
          <cell r="L5">
            <v>0.11767813019457772</v>
          </cell>
        </row>
        <row r="6">
          <cell r="K6">
            <v>347.81022799039772</v>
          </cell>
          <cell r="L6">
            <v>0.13840455251524975</v>
          </cell>
        </row>
        <row r="7">
          <cell r="K7">
            <v>411.04845126137917</v>
          </cell>
          <cell r="L7">
            <v>0.16782270032523594</v>
          </cell>
        </row>
      </sheetData>
      <sheetData sheetId="2">
        <row r="5">
          <cell r="L5">
            <v>0.12257101888901509</v>
          </cell>
        </row>
        <row r="6">
          <cell r="L6">
            <v>0.1465765794133671</v>
          </cell>
        </row>
        <row r="7">
          <cell r="L7">
            <v>0.18064898789954423</v>
          </cell>
        </row>
      </sheetData>
      <sheetData sheetId="3">
        <row r="5">
          <cell r="M5">
            <v>0.13878769380193201</v>
          </cell>
        </row>
        <row r="6">
          <cell r="M6">
            <v>0.16917412974027912</v>
          </cell>
        </row>
        <row r="7">
          <cell r="M7">
            <v>0.2123032646205138</v>
          </cell>
        </row>
      </sheetData>
      <sheetData sheetId="4">
        <row r="5">
          <cell r="L5">
            <v>0.12444951194564861</v>
          </cell>
        </row>
        <row r="6">
          <cell r="L6">
            <v>0.14636856468656209</v>
          </cell>
        </row>
        <row r="7">
          <cell r="L7">
            <v>0.17747947825431035</v>
          </cell>
        </row>
      </sheetData>
      <sheetData sheetId="5">
        <row r="5">
          <cell r="Q5">
            <v>0.14698610892576175</v>
          </cell>
          <cell r="R5">
            <v>0.17649154312756957</v>
          </cell>
          <cell r="W5">
            <v>0.97990739283841166</v>
          </cell>
        </row>
        <row r="6">
          <cell r="Q6">
            <v>0.16858122445513909</v>
          </cell>
          <cell r="R6">
            <v>0.23216124372145697</v>
          </cell>
          <cell r="W6">
            <v>0.99165426150081815</v>
          </cell>
        </row>
        <row r="7">
          <cell r="Q7">
            <v>0.19817501382220473</v>
          </cell>
          <cell r="R7">
            <v>0.32082566870426454</v>
          </cell>
          <cell r="W7">
            <v>0.99087506911102363</v>
          </cell>
        </row>
      </sheetData>
      <sheetData sheetId="6">
        <row r="5">
          <cell r="L5">
            <v>8.5929874012790203E-2</v>
          </cell>
        </row>
        <row r="6">
          <cell r="L6">
            <v>9.9764479324658137E-2</v>
          </cell>
        </row>
        <row r="7">
          <cell r="L7">
            <v>0.11940069331569654</v>
          </cell>
        </row>
      </sheetData>
      <sheetData sheetId="7">
        <row r="5">
          <cell r="L5">
            <v>0.22278344779495962</v>
          </cell>
        </row>
        <row r="6">
          <cell r="L6">
            <v>0.26112007113741192</v>
          </cell>
        </row>
        <row r="7">
          <cell r="L7">
            <v>0.31456154155224142</v>
          </cell>
        </row>
      </sheetData>
      <sheetData sheetId="8">
        <row r="5">
          <cell r="L5">
            <v>0.14363438998836361</v>
          </cell>
        </row>
        <row r="6">
          <cell r="L6">
            <v>0.16473707287764924</v>
          </cell>
        </row>
        <row r="7">
          <cell r="L7">
            <v>0.19468926794631275</v>
          </cell>
        </row>
      </sheetData>
      <sheetData sheetId="9">
        <row r="5">
          <cell r="L5">
            <v>0.1096602547768438</v>
          </cell>
        </row>
        <row r="6">
          <cell r="L6">
            <v>0.12821946998055819</v>
          </cell>
        </row>
        <row r="7">
          <cell r="L7">
            <v>0.15456158188260449</v>
          </cell>
        </row>
      </sheetData>
      <sheetData sheetId="10">
        <row r="5">
          <cell r="L5">
            <v>0.12691535141382154</v>
          </cell>
        </row>
        <row r="6">
          <cell r="L6">
            <v>0.14694396331799323</v>
          </cell>
        </row>
        <row r="7">
          <cell r="L7">
            <v>0.17537167053681754</v>
          </cell>
        </row>
      </sheetData>
      <sheetData sheetId="11">
        <row r="5">
          <cell r="L5">
            <v>0.14556964857609481</v>
          </cell>
        </row>
        <row r="6">
          <cell r="L6">
            <v>0.16695665855646888</v>
          </cell>
        </row>
        <row r="7">
          <cell r="L7">
            <v>0.19731241465764507</v>
          </cell>
        </row>
      </sheetData>
      <sheetData sheetId="12">
        <row r="5">
          <cell r="L5">
            <v>0.1798635205970209</v>
          </cell>
        </row>
        <row r="6">
          <cell r="L6">
            <v>0.21633572234418399</v>
          </cell>
        </row>
        <row r="7">
          <cell r="L7">
            <v>0.26988391754629426</v>
          </cell>
        </row>
      </sheetData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0.21</v>
          </cell>
        </row>
        <row r="20">
          <cell r="B20">
            <v>114.3</v>
          </cell>
        </row>
        <row r="22">
          <cell r="B22">
            <v>25.4</v>
          </cell>
        </row>
        <row r="27">
          <cell r="B27">
            <v>3.9766081638229425</v>
          </cell>
        </row>
        <row r="28">
          <cell r="B28">
            <v>15.9</v>
          </cell>
        </row>
        <row r="29">
          <cell r="B29">
            <v>600</v>
          </cell>
        </row>
        <row r="30">
          <cell r="B30">
            <v>17.46</v>
          </cell>
        </row>
        <row r="31">
          <cell r="B31">
            <v>3</v>
          </cell>
        </row>
        <row r="32">
          <cell r="B32">
            <v>15.9</v>
          </cell>
        </row>
      </sheetData>
      <sheetData sheetId="1">
        <row r="5">
          <cell r="K5">
            <v>289.73492291565424</v>
          </cell>
          <cell r="L5">
            <v>9.633661918313291E-2</v>
          </cell>
        </row>
        <row r="6">
          <cell r="K6">
            <v>379.98022677462848</v>
          </cell>
          <cell r="L6">
            <v>0.13048666289426775</v>
          </cell>
        </row>
      </sheetData>
      <sheetData sheetId="2">
        <row r="5">
          <cell r="L5">
            <v>0.11125206827518069</v>
          </cell>
        </row>
        <row r="6">
          <cell r="L6">
            <v>0.1537594628733715</v>
          </cell>
        </row>
      </sheetData>
      <sheetData sheetId="3">
        <row r="5">
          <cell r="M5">
            <v>0.12007419362751766</v>
          </cell>
        </row>
        <row r="6">
          <cell r="M6">
            <v>0.17056620402683209</v>
          </cell>
        </row>
      </sheetData>
      <sheetData sheetId="4">
        <row r="5">
          <cell r="L5">
            <v>0.10731930169564004</v>
          </cell>
        </row>
        <row r="6">
          <cell r="L6">
            <v>0.14536255954536384</v>
          </cell>
        </row>
      </sheetData>
      <sheetData sheetId="5">
        <row r="5">
          <cell r="Q5">
            <v>0.14464187891341146</v>
          </cell>
          <cell r="R5">
            <v>0.20413587615404677</v>
          </cell>
          <cell r="W5">
            <v>0.90401174320882161</v>
          </cell>
        </row>
        <row r="6">
          <cell r="Q6">
            <v>0.18969426742742493</v>
          </cell>
          <cell r="R6">
            <v>0.35110712372639064</v>
          </cell>
          <cell r="W6">
            <v>0.90330603536869014</v>
          </cell>
        </row>
      </sheetData>
      <sheetData sheetId="6">
        <row r="5">
          <cell r="L5">
            <v>6.8099250668552158E-2</v>
          </cell>
        </row>
        <row r="6">
          <cell r="L6">
            <v>9.0733600949242044E-2</v>
          </cell>
        </row>
      </sheetData>
      <sheetData sheetId="7">
        <row r="5">
          <cell r="L5">
            <v>0.21246038370039774</v>
          </cell>
        </row>
        <row r="6">
          <cell r="L6">
            <v>0.28578159863879343</v>
          </cell>
        </row>
      </sheetData>
      <sheetData sheetId="8">
        <row r="5">
          <cell r="L5">
            <v>0.13793919159603718</v>
          </cell>
        </row>
        <row r="6">
          <cell r="L6">
            <v>0.18090385783086843</v>
          </cell>
        </row>
      </sheetData>
      <sheetData sheetId="9">
        <row r="5">
          <cell r="L5">
            <v>0.11256531755015997</v>
          </cell>
        </row>
        <row r="6">
          <cell r="L6">
            <v>0.15324241295874669</v>
          </cell>
        </row>
      </sheetData>
      <sheetData sheetId="10">
        <row r="5">
          <cell r="L5">
            <v>0.12149822076563109</v>
          </cell>
        </row>
        <row r="6">
          <cell r="L6">
            <v>0.16214997104322221</v>
          </cell>
        </row>
      </sheetData>
      <sheetData sheetId="11">
        <row r="5">
          <cell r="L5">
            <v>0.14147730104921094</v>
          </cell>
        </row>
        <row r="6">
          <cell r="L6">
            <v>0.18554400137601432</v>
          </cell>
        </row>
      </sheetData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</v>
          </cell>
        </row>
        <row r="9">
          <cell r="C9">
            <v>0.25</v>
          </cell>
        </row>
        <row r="10">
          <cell r="C10">
            <v>0.28000000000000003</v>
          </cell>
        </row>
        <row r="11">
          <cell r="C11">
            <v>0.28000000000000003</v>
          </cell>
        </row>
        <row r="12">
          <cell r="C12">
            <v>0.3</v>
          </cell>
        </row>
        <row r="13">
          <cell r="C13">
            <v>0.33</v>
          </cell>
        </row>
        <row r="14">
          <cell r="C14">
            <v>0.33</v>
          </cell>
        </row>
        <row r="20">
          <cell r="B20">
            <v>250</v>
          </cell>
        </row>
        <row r="22">
          <cell r="B22">
            <v>48</v>
          </cell>
        </row>
        <row r="27">
          <cell r="B27">
            <v>3.2689999999999997</v>
          </cell>
        </row>
        <row r="28">
          <cell r="B28">
            <v>16</v>
          </cell>
        </row>
        <row r="29">
          <cell r="B29">
            <v>400</v>
          </cell>
        </row>
        <row r="30">
          <cell r="B30">
            <v>40</v>
          </cell>
        </row>
        <row r="31">
          <cell r="B31">
            <v>2</v>
          </cell>
        </row>
        <row r="32">
          <cell r="B32">
            <v>138</v>
          </cell>
        </row>
      </sheetData>
      <sheetData sheetId="1">
        <row r="5">
          <cell r="K5">
            <v>185.27396447016579</v>
          </cell>
          <cell r="L5">
            <v>9.7763317902372596E-2</v>
          </cell>
        </row>
        <row r="6">
          <cell r="K6">
            <v>211.76759699968991</v>
          </cell>
          <cell r="L6">
            <v>0.14204371000539809</v>
          </cell>
        </row>
        <row r="7">
          <cell r="K7">
            <v>238.26122952921415</v>
          </cell>
          <cell r="L7">
            <v>0.18632410210842379</v>
          </cell>
        </row>
        <row r="8">
          <cell r="K8">
            <v>264.70949624961241</v>
          </cell>
          <cell r="L8">
            <v>0.2305286716222319</v>
          </cell>
        </row>
        <row r="9">
          <cell r="K9">
            <v>291.15776297001077</v>
          </cell>
          <cell r="L9">
            <v>0.27473324113604009</v>
          </cell>
        </row>
        <row r="10">
          <cell r="K10">
            <v>317.65139549953489</v>
          </cell>
          <cell r="L10">
            <v>0.31901363323906562</v>
          </cell>
        </row>
        <row r="11">
          <cell r="K11">
            <v>344.14502802905912</v>
          </cell>
          <cell r="L11">
            <v>0.36329402534209126</v>
          </cell>
        </row>
        <row r="12">
          <cell r="K12">
            <v>370.54792894033159</v>
          </cell>
          <cell r="L12">
            <v>0.407422772266682</v>
          </cell>
        </row>
      </sheetData>
      <sheetData sheetId="2">
        <row r="5">
          <cell r="L5">
            <v>0.12206155113118464</v>
          </cell>
        </row>
        <row r="6">
          <cell r="L6">
            <v>0.13951599429000236</v>
          </cell>
        </row>
        <row r="7">
          <cell r="L7">
            <v>0.15697043744882017</v>
          </cell>
        </row>
        <row r="8">
          <cell r="L8">
            <v>0.17439499286250298</v>
          </cell>
        </row>
        <row r="9">
          <cell r="L9">
            <v>0.19711643896364461</v>
          </cell>
        </row>
        <row r="10">
          <cell r="L10">
            <v>0.24075254686068898</v>
          </cell>
        </row>
        <row r="11">
          <cell r="L11">
            <v>0.28438865475773345</v>
          </cell>
        </row>
        <row r="12">
          <cell r="L12">
            <v>0.32787532392910324</v>
          </cell>
        </row>
      </sheetData>
      <sheetData sheetId="3">
        <row r="5">
          <cell r="M5">
            <v>0.12206155113118464</v>
          </cell>
        </row>
        <row r="6">
          <cell r="M6">
            <v>0.1554803880682081</v>
          </cell>
        </row>
        <row r="7">
          <cell r="M7">
            <v>0.19681733910587482</v>
          </cell>
        </row>
        <row r="8">
          <cell r="M8">
            <v>0.24293810635657515</v>
          </cell>
        </row>
        <row r="9">
          <cell r="M9">
            <v>0.29732680364536013</v>
          </cell>
        </row>
        <row r="10">
          <cell r="M10">
            <v>0.36721458076330876</v>
          </cell>
        </row>
        <row r="11">
          <cell r="M11">
            <v>0.43710235788125756</v>
          </cell>
        </row>
        <row r="12">
          <cell r="M12">
            <v>0.50675079329674777</v>
          </cell>
        </row>
      </sheetData>
      <sheetData sheetId="4">
        <row r="5">
          <cell r="L5">
            <v>0.16208568924502412</v>
          </cell>
        </row>
        <row r="6">
          <cell r="L6">
            <v>0.18526346655136439</v>
          </cell>
        </row>
        <row r="7">
          <cell r="L7">
            <v>0.20844124385770482</v>
          </cell>
        </row>
        <row r="8">
          <cell r="L8">
            <v>0.23157933318920554</v>
          </cell>
        </row>
        <row r="9">
          <cell r="L9">
            <v>0.25471742252070634</v>
          </cell>
        </row>
        <row r="10">
          <cell r="L10">
            <v>0.27830327743026689</v>
          </cell>
        </row>
        <row r="11">
          <cell r="L11">
            <v>0.31693290627416754</v>
          </cell>
        </row>
        <row r="12">
          <cell r="L12">
            <v>0.35543024186860289</v>
          </cell>
        </row>
      </sheetData>
      <sheetData sheetId="5">
        <row r="5">
          <cell r="Q5">
            <v>0.25148969879103655</v>
          </cell>
          <cell r="R5">
            <v>9.5278931346240325E-2</v>
          </cell>
          <cell r="W5">
            <v>0.63519287564160221</v>
          </cell>
        </row>
        <row r="6">
          <cell r="Q6">
            <v>0.28745198676703199</v>
          </cell>
          <cell r="R6">
            <v>0.12447642459592428</v>
          </cell>
          <cell r="W6">
            <v>0.62238212297962137</v>
          </cell>
        </row>
        <row r="7">
          <cell r="Q7">
            <v>0.32341427474302747</v>
          </cell>
          <cell r="R7">
            <v>0.15757047544565747</v>
          </cell>
          <cell r="W7">
            <v>0.63028190178262988</v>
          </cell>
        </row>
        <row r="8">
          <cell r="Q8">
            <v>0.35931498345878993</v>
          </cell>
          <cell r="R8">
            <v>0.19449441343113166</v>
          </cell>
          <cell r="W8">
            <v>0.69462290511118441</v>
          </cell>
        </row>
        <row r="9">
          <cell r="Q9">
            <v>0.39521569217455249</v>
          </cell>
          <cell r="R9">
            <v>0.23530157606629135</v>
          </cell>
          <cell r="W9">
            <v>0.84036277166532614</v>
          </cell>
        </row>
        <row r="10">
          <cell r="Q10">
            <v>0.43117798015054798</v>
          </cell>
          <cell r="R10">
            <v>0.28007195534082957</v>
          </cell>
          <cell r="W10">
            <v>0.93357318446943194</v>
          </cell>
        </row>
        <row r="11">
          <cell r="Q11">
            <v>0.46714026812654336</v>
          </cell>
          <cell r="R11">
            <v>0.32873889221541702</v>
          </cell>
          <cell r="W11">
            <v>0.99617846125883946</v>
          </cell>
        </row>
        <row r="12">
          <cell r="Q12">
            <v>0.50297939758207311</v>
          </cell>
          <cell r="R12">
            <v>0.3811157253849613</v>
          </cell>
          <cell r="W12">
            <v>1.1548961375301856</v>
          </cell>
        </row>
      </sheetData>
      <sheetData sheetId="6">
        <row r="5">
          <cell r="L5">
            <v>0.17060852360291542</v>
          </cell>
        </row>
        <row r="6">
          <cell r="L6">
            <v>0.21206575978511477</v>
          </cell>
        </row>
        <row r="7">
          <cell r="L7">
            <v>0.25352299596731431</v>
          </cell>
        </row>
        <row r="8">
          <cell r="L8">
            <v>0.29490924373139349</v>
          </cell>
        </row>
        <row r="9">
          <cell r="L9">
            <v>0.33629549149547283</v>
          </cell>
        </row>
        <row r="10">
          <cell r="L10">
            <v>0.37775272767767221</v>
          </cell>
        </row>
        <row r="11">
          <cell r="L11">
            <v>0.41920996385987175</v>
          </cell>
        </row>
        <row r="12">
          <cell r="L12">
            <v>0.46052522320583089</v>
          </cell>
        </row>
      </sheetData>
      <sheetData sheetId="7">
        <row r="6">
          <cell r="L6">
            <v>3.3635138842762015E-2</v>
          </cell>
        </row>
        <row r="7">
          <cell r="L7">
            <v>0.15698056442293562</v>
          </cell>
        </row>
        <row r="8">
          <cell r="L8">
            <v>0.26892161187916835</v>
          </cell>
        </row>
        <row r="9">
          <cell r="L9">
            <v>0.37272851383387728</v>
          </cell>
        </row>
        <row r="10">
          <cell r="L10">
            <v>0.47059657553398709</v>
          </cell>
        </row>
        <row r="11">
          <cell r="L11">
            <v>0.56375561051767764</v>
          </cell>
        </row>
        <row r="12">
          <cell r="L12">
            <v>0.65291447916542988</v>
          </cell>
        </row>
      </sheetData>
      <sheetData sheetId="8">
        <row r="5">
          <cell r="L5">
            <v>0.26244074176287685</v>
          </cell>
        </row>
        <row r="6">
          <cell r="L6">
            <v>0.29996899670644184</v>
          </cell>
        </row>
        <row r="7">
          <cell r="L7">
            <v>0.33749725165000705</v>
          </cell>
        </row>
        <row r="8">
          <cell r="L8">
            <v>0.37496124588305235</v>
          </cell>
        </row>
        <row r="9">
          <cell r="L9">
            <v>0.41242524011609777</v>
          </cell>
        </row>
        <row r="10">
          <cell r="L10">
            <v>0.44995349505966281</v>
          </cell>
        </row>
        <row r="11">
          <cell r="L11">
            <v>0.48748175000322802</v>
          </cell>
        </row>
        <row r="12">
          <cell r="L12">
            <v>0.5248814835257537</v>
          </cell>
        </row>
      </sheetData>
      <sheetData sheetId="9">
        <row r="5">
          <cell r="L5">
            <v>0.13855918503325088</v>
          </cell>
        </row>
        <row r="6">
          <cell r="L6">
            <v>0.16382824232957854</v>
          </cell>
        </row>
        <row r="7">
          <cell r="L7">
            <v>0.1890972996259063</v>
          </cell>
        </row>
        <row r="8">
          <cell r="L8">
            <v>0.21432308798850738</v>
          </cell>
        </row>
        <row r="9">
          <cell r="L9">
            <v>0.23954887635110861</v>
          </cell>
        </row>
        <row r="10">
          <cell r="L10">
            <v>0.26481793364743622</v>
          </cell>
        </row>
        <row r="11">
          <cell r="L11">
            <v>0.290086990943764</v>
          </cell>
        </row>
        <row r="12">
          <cell r="L12">
            <v>0.31526951037263856</v>
          </cell>
        </row>
      </sheetData>
      <sheetData sheetId="10">
        <row r="5">
          <cell r="L5">
            <v>0.13532727526154789</v>
          </cell>
        </row>
        <row r="6">
          <cell r="L6">
            <v>0.15835952502381526</v>
          </cell>
        </row>
        <row r="7">
          <cell r="L7">
            <v>0.1813917747860827</v>
          </cell>
        </row>
        <row r="8">
          <cell r="L8">
            <v>0.20438458576451057</v>
          </cell>
        </row>
        <row r="9">
          <cell r="L9">
            <v>0.22737739674293855</v>
          </cell>
        </row>
        <row r="10">
          <cell r="L10">
            <v>0.25040964650520592</v>
          </cell>
        </row>
        <row r="11">
          <cell r="L11">
            <v>0.27344189626747334</v>
          </cell>
        </row>
        <row r="12">
          <cell r="L12">
            <v>0.29639526846206188</v>
          </cell>
        </row>
      </sheetData>
      <sheetData sheetId="11">
        <row r="5">
          <cell r="L5">
            <v>0.20548680545764142</v>
          </cell>
        </row>
        <row r="6">
          <cell r="L6">
            <v>0.23487081485706898</v>
          </cell>
        </row>
        <row r="7">
          <cell r="L7">
            <v>0.26425482425649671</v>
          </cell>
        </row>
        <row r="8">
          <cell r="L8">
            <v>0.29358851857133628</v>
          </cell>
        </row>
        <row r="9">
          <cell r="L9">
            <v>0.32292221288617595</v>
          </cell>
        </row>
        <row r="10">
          <cell r="L10">
            <v>0.35230622228560349</v>
          </cell>
        </row>
        <row r="11">
          <cell r="L11">
            <v>0.38169023168503119</v>
          </cell>
        </row>
        <row r="12">
          <cell r="L12">
            <v>0.41097361091528284</v>
          </cell>
        </row>
      </sheetData>
      <sheetData sheetId="12">
        <row r="5">
          <cell r="L5">
            <v>0.15330156588362995</v>
          </cell>
        </row>
        <row r="6">
          <cell r="L6">
            <v>0.17656917887867599</v>
          </cell>
        </row>
        <row r="7">
          <cell r="L7">
            <v>0.20017356508671053</v>
          </cell>
        </row>
        <row r="8">
          <cell r="L8">
            <v>0.22407344153222955</v>
          </cell>
        </row>
        <row r="9">
          <cell r="L9">
            <v>0.25360582953271715</v>
          </cell>
        </row>
        <row r="10">
          <cell r="L10">
            <v>0.30440104678502228</v>
          </cell>
        </row>
        <row r="11">
          <cell r="L11">
            <v>0.35553303725031593</v>
          </cell>
        </row>
        <row r="12">
          <cell r="L12">
            <v>0.40682496334771351</v>
          </cell>
        </row>
      </sheetData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0.18</v>
          </cell>
        </row>
        <row r="9">
          <cell r="C9">
            <v>0.2</v>
          </cell>
        </row>
        <row r="10">
          <cell r="C10">
            <v>0.25</v>
          </cell>
        </row>
        <row r="11">
          <cell r="C11">
            <v>0.3</v>
          </cell>
        </row>
        <row r="12">
          <cell r="C12">
            <v>0.33</v>
          </cell>
        </row>
        <row r="13">
          <cell r="C13">
            <v>0.38</v>
          </cell>
        </row>
        <row r="20">
          <cell r="B20">
            <v>250</v>
          </cell>
        </row>
        <row r="22">
          <cell r="B22">
            <v>48</v>
          </cell>
        </row>
        <row r="27">
          <cell r="B27">
            <v>3.2689999999999997</v>
          </cell>
        </row>
        <row r="28">
          <cell r="B28">
            <v>16</v>
          </cell>
        </row>
        <row r="29">
          <cell r="B29">
            <v>400</v>
          </cell>
        </row>
        <row r="30">
          <cell r="B30">
            <v>40</v>
          </cell>
        </row>
        <row r="31">
          <cell r="B31">
            <v>2</v>
          </cell>
        </row>
        <row r="32">
          <cell r="B32">
            <v>138</v>
          </cell>
        </row>
      </sheetData>
      <sheetData sheetId="1">
        <row r="5">
          <cell r="K5">
            <v>211.76759699968991</v>
          </cell>
          <cell r="L5">
            <v>0.14204371000539809</v>
          </cell>
        </row>
        <row r="6">
          <cell r="K6">
            <v>238.26122952921415</v>
          </cell>
          <cell r="L6">
            <v>0.18632410210842379</v>
          </cell>
        </row>
        <row r="7">
          <cell r="K7">
            <v>264.70949624961241</v>
          </cell>
          <cell r="L7">
            <v>0.2305286716222319</v>
          </cell>
        </row>
        <row r="8">
          <cell r="K8">
            <v>291.15776297001077</v>
          </cell>
          <cell r="L8">
            <v>0.27473324113604009</v>
          </cell>
        </row>
        <row r="9">
          <cell r="K9">
            <v>317.65139549953489</v>
          </cell>
          <cell r="L9">
            <v>0.31901363323906562</v>
          </cell>
        </row>
        <row r="10">
          <cell r="K10">
            <v>344.14502802905912</v>
          </cell>
          <cell r="L10">
            <v>0.36329402534209126</v>
          </cell>
        </row>
        <row r="11">
          <cell r="K11">
            <v>370.54792894033159</v>
          </cell>
          <cell r="L11">
            <v>0.407422772266682</v>
          </cell>
        </row>
      </sheetData>
      <sheetData sheetId="2">
        <row r="5">
          <cell r="L5">
            <v>0.13951599429000236</v>
          </cell>
        </row>
        <row r="6">
          <cell r="L6">
            <v>0.15697043744882017</v>
          </cell>
        </row>
        <row r="7">
          <cell r="L7">
            <v>0.17439499286250298</v>
          </cell>
        </row>
        <row r="8">
          <cell r="L8">
            <v>0.19711643896364461</v>
          </cell>
        </row>
        <row r="9">
          <cell r="L9">
            <v>0.24075254686068898</v>
          </cell>
        </row>
        <row r="10">
          <cell r="L10">
            <v>0.28438865475773345</v>
          </cell>
        </row>
        <row r="11">
          <cell r="L11">
            <v>0.32787532392910324</v>
          </cell>
        </row>
      </sheetData>
      <sheetData sheetId="3">
        <row r="5">
          <cell r="M5">
            <v>0.1554803880682081</v>
          </cell>
        </row>
        <row r="6">
          <cell r="M6">
            <v>0.19681733910587482</v>
          </cell>
        </row>
        <row r="7">
          <cell r="M7">
            <v>0.24293810635657515</v>
          </cell>
        </row>
        <row r="8">
          <cell r="M8">
            <v>0.29732680364536013</v>
          </cell>
        </row>
        <row r="9">
          <cell r="M9">
            <v>0.36721458076330876</v>
          </cell>
        </row>
        <row r="10">
          <cell r="M10">
            <v>0.43710235788125756</v>
          </cell>
        </row>
        <row r="11">
          <cell r="M11">
            <v>0.50675079329674777</v>
          </cell>
        </row>
      </sheetData>
      <sheetData sheetId="4">
        <row r="5">
          <cell r="L5">
            <v>0.18526346655136439</v>
          </cell>
        </row>
        <row r="6">
          <cell r="L6">
            <v>0.20844124385770482</v>
          </cell>
        </row>
        <row r="7">
          <cell r="L7">
            <v>0.23157933318920554</v>
          </cell>
        </row>
        <row r="8">
          <cell r="L8">
            <v>0.25471742252070634</v>
          </cell>
        </row>
        <row r="9">
          <cell r="L9">
            <v>0.27830327743026689</v>
          </cell>
        </row>
        <row r="10">
          <cell r="L10">
            <v>0.31693290627416754</v>
          </cell>
        </row>
        <row r="11">
          <cell r="L11">
            <v>0.35543024186860289</v>
          </cell>
        </row>
      </sheetData>
      <sheetData sheetId="5">
        <row r="5">
          <cell r="Q5">
            <v>0.28745198676703199</v>
          </cell>
          <cell r="R5">
            <v>0.12447642459592428</v>
          </cell>
          <cell r="W5">
            <v>0.82984283063949527</v>
          </cell>
        </row>
        <row r="6">
          <cell r="Q6">
            <v>0.32341427474302747</v>
          </cell>
          <cell r="R6">
            <v>0.15757047544565747</v>
          </cell>
          <cell r="W6">
            <v>0.87539153025365268</v>
          </cell>
        </row>
        <row r="7">
          <cell r="Q7">
            <v>0.35931498345878993</v>
          </cell>
          <cell r="R7">
            <v>0.19449441343113166</v>
          </cell>
          <cell r="W7">
            <v>0.97247206715565826</v>
          </cell>
        </row>
        <row r="8">
          <cell r="Q8">
            <v>0.39521569217455249</v>
          </cell>
          <cell r="R8">
            <v>0.23530157606629135</v>
          </cell>
          <cell r="W8">
            <v>0.94120630426516538</v>
          </cell>
        </row>
        <row r="9">
          <cell r="Q9">
            <v>0.43117798015054798</v>
          </cell>
          <cell r="R9">
            <v>0.28007195534082957</v>
          </cell>
          <cell r="W9">
            <v>0.93357318446943194</v>
          </cell>
        </row>
        <row r="10">
          <cell r="Q10">
            <v>0.46714026812654336</v>
          </cell>
          <cell r="R10">
            <v>0.32873889221541702</v>
          </cell>
          <cell r="W10">
            <v>0.99617846125883946</v>
          </cell>
        </row>
        <row r="11">
          <cell r="Q11">
            <v>0.50297939758207311</v>
          </cell>
          <cell r="R11">
            <v>0.3811157253849613</v>
          </cell>
          <cell r="W11">
            <v>1.0029361194341087</v>
          </cell>
        </row>
      </sheetData>
      <sheetData sheetId="6">
        <row r="5">
          <cell r="L5">
            <v>0.21206575978511477</v>
          </cell>
        </row>
        <row r="6">
          <cell r="L6">
            <v>0.25352299596731431</v>
          </cell>
        </row>
        <row r="7">
          <cell r="L7">
            <v>0.29490924373139349</v>
          </cell>
        </row>
        <row r="8">
          <cell r="L8">
            <v>0.33629549149547283</v>
          </cell>
        </row>
        <row r="10">
          <cell r="L10">
            <v>0.41920996385987175</v>
          </cell>
        </row>
        <row r="11">
          <cell r="L11">
            <v>0.46052522320583089</v>
          </cell>
        </row>
      </sheetData>
      <sheetData sheetId="7">
        <row r="5">
          <cell r="L5">
            <v>3.3635138842762015E-2</v>
          </cell>
        </row>
        <row r="6">
          <cell r="L6">
            <v>0.15698056442293562</v>
          </cell>
        </row>
        <row r="7">
          <cell r="L7">
            <v>0.26892161187916835</v>
          </cell>
        </row>
        <row r="8">
          <cell r="L8">
            <v>0.37272851383387728</v>
          </cell>
        </row>
        <row r="9">
          <cell r="L9">
            <v>0.47059657553398709</v>
          </cell>
        </row>
        <row r="10">
          <cell r="L10">
            <v>0.56375561051767764</v>
          </cell>
        </row>
        <row r="11">
          <cell r="L11">
            <v>0.65291447916542988</v>
          </cell>
        </row>
      </sheetData>
      <sheetData sheetId="8">
        <row r="5">
          <cell r="L5">
            <v>0.29996899670644184</v>
          </cell>
        </row>
        <row r="6">
          <cell r="L6">
            <v>0.33749725165000705</v>
          </cell>
        </row>
        <row r="7">
          <cell r="L7">
            <v>0.37496124588305235</v>
          </cell>
        </row>
        <row r="8">
          <cell r="L8">
            <v>0.41242524011609777</v>
          </cell>
        </row>
        <row r="9">
          <cell r="L9">
            <v>0.44995349505966281</v>
          </cell>
        </row>
        <row r="10">
          <cell r="L10">
            <v>0.48748175000322802</v>
          </cell>
        </row>
        <row r="11">
          <cell r="L11">
            <v>0.5248814835257537</v>
          </cell>
        </row>
      </sheetData>
      <sheetData sheetId="9">
        <row r="5">
          <cell r="L5">
            <v>0.16382824232957854</v>
          </cell>
        </row>
        <row r="6">
          <cell r="L6">
            <v>0.1890972996259063</v>
          </cell>
        </row>
        <row r="7">
          <cell r="L7">
            <v>0.21432308798850738</v>
          </cell>
        </row>
        <row r="8">
          <cell r="L8">
            <v>0.23954887635110861</v>
          </cell>
        </row>
        <row r="9">
          <cell r="L9">
            <v>0.26481793364743622</v>
          </cell>
        </row>
        <row r="10">
          <cell r="L10">
            <v>0.290086990943764</v>
          </cell>
        </row>
        <row r="11">
          <cell r="L11">
            <v>0.31526951037263856</v>
          </cell>
        </row>
      </sheetData>
      <sheetData sheetId="10">
        <row r="5">
          <cell r="L5">
            <v>0.15835952502381526</v>
          </cell>
        </row>
        <row r="6">
          <cell r="L6">
            <v>0.1813917747860827</v>
          </cell>
        </row>
        <row r="7">
          <cell r="L7">
            <v>0.20438458576451057</v>
          </cell>
        </row>
        <row r="8">
          <cell r="L8">
            <v>0.22737739674293855</v>
          </cell>
        </row>
        <row r="9">
          <cell r="L9">
            <v>0.25040964650520592</v>
          </cell>
        </row>
        <row r="10">
          <cell r="L10">
            <v>0.27344189626747334</v>
          </cell>
        </row>
        <row r="11">
          <cell r="L11">
            <v>0.29639526846206188</v>
          </cell>
        </row>
      </sheetData>
      <sheetData sheetId="11">
        <row r="5">
          <cell r="L5">
            <v>0.23487081485706898</v>
          </cell>
        </row>
        <row r="6">
          <cell r="L6">
            <v>0.26425482425649671</v>
          </cell>
        </row>
        <row r="7">
          <cell r="L7">
            <v>0.29358851857133628</v>
          </cell>
        </row>
        <row r="8">
          <cell r="L8">
            <v>0.32292221288617595</v>
          </cell>
        </row>
        <row r="9">
          <cell r="L9">
            <v>0.35230622228560349</v>
          </cell>
        </row>
        <row r="10">
          <cell r="L10">
            <v>0.38169023168503119</v>
          </cell>
        </row>
        <row r="11">
          <cell r="L11">
            <v>0.41097361091528284</v>
          </cell>
        </row>
      </sheetData>
      <sheetData sheetId="12">
        <row r="5">
          <cell r="L5">
            <v>0.17656917887867599</v>
          </cell>
        </row>
        <row r="6">
          <cell r="L6">
            <v>0.20017356508671053</v>
          </cell>
        </row>
        <row r="7">
          <cell r="L7">
            <v>0.22407344153222955</v>
          </cell>
        </row>
        <row r="8">
          <cell r="L8">
            <v>0.25360582953271715</v>
          </cell>
        </row>
        <row r="9">
          <cell r="L9">
            <v>0.30440104678502228</v>
          </cell>
        </row>
        <row r="10">
          <cell r="L10">
            <v>0.35553303725031593</v>
          </cell>
        </row>
        <row r="11">
          <cell r="L11">
            <v>0.40682496334771351</v>
          </cell>
        </row>
      </sheetData>
      <sheetData sheetId="1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0.18</v>
          </cell>
        </row>
        <row r="9">
          <cell r="C9">
            <v>0.2</v>
          </cell>
        </row>
        <row r="10">
          <cell r="C10">
            <v>0.23</v>
          </cell>
        </row>
        <row r="11">
          <cell r="C11">
            <v>0.25</v>
          </cell>
        </row>
        <row r="12">
          <cell r="C12">
            <v>0.3</v>
          </cell>
        </row>
        <row r="13">
          <cell r="C13">
            <v>0.3</v>
          </cell>
        </row>
        <row r="20">
          <cell r="B20">
            <v>250</v>
          </cell>
        </row>
        <row r="22">
          <cell r="B22">
            <v>33</v>
          </cell>
        </row>
        <row r="27">
          <cell r="B27">
            <v>3.2689999999999997</v>
          </cell>
        </row>
        <row r="28">
          <cell r="B28">
            <v>16</v>
          </cell>
        </row>
        <row r="29">
          <cell r="B29">
            <v>400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168</v>
          </cell>
        </row>
      </sheetData>
      <sheetData sheetId="1">
        <row r="5">
          <cell r="K5">
            <v>211.76759699968994</v>
          </cell>
          <cell r="L5">
            <v>0.13409248123173162</v>
          </cell>
        </row>
        <row r="6">
          <cell r="K6">
            <v>238.26122952921412</v>
          </cell>
          <cell r="L6">
            <v>0.1710731766375258</v>
          </cell>
        </row>
        <row r="7">
          <cell r="K7">
            <v>264.70949624961241</v>
          </cell>
          <cell r="L7">
            <v>0.20799054893474836</v>
          </cell>
        </row>
        <row r="8">
          <cell r="K8">
            <v>291.15776297001071</v>
          </cell>
          <cell r="L8">
            <v>0.24490792123197097</v>
          </cell>
        </row>
        <row r="9">
          <cell r="K9">
            <v>317.65139549953489</v>
          </cell>
          <cell r="L9">
            <v>0.28188861663776515</v>
          </cell>
        </row>
        <row r="10">
          <cell r="K10">
            <v>344.14502802905906</v>
          </cell>
          <cell r="L10">
            <v>0.31886931204355928</v>
          </cell>
        </row>
        <row r="11">
          <cell r="K11">
            <v>370.54792894033153</v>
          </cell>
          <cell r="L11">
            <v>0.35572336123221043</v>
          </cell>
        </row>
      </sheetData>
      <sheetData sheetId="2">
        <row r="5">
          <cell r="L5">
            <v>9.9274752045339976E-2</v>
          </cell>
        </row>
        <row r="6">
          <cell r="L6">
            <v>0.11617858999591686</v>
          </cell>
        </row>
        <row r="7">
          <cell r="L7">
            <v>0.14717536615403232</v>
          </cell>
        </row>
        <row r="8">
          <cell r="L8">
            <v>0.17817214231214781</v>
          </cell>
        </row>
        <row r="9">
          <cell r="L9">
            <v>0.20922208618236979</v>
          </cell>
        </row>
        <row r="10">
          <cell r="L10">
            <v>0.24027203005259176</v>
          </cell>
        </row>
        <row r="11">
          <cell r="L11">
            <v>0.27121563849860081</v>
          </cell>
        </row>
      </sheetData>
      <sheetData sheetId="3">
        <row r="5">
          <cell r="M5">
            <v>0.1106344620337962</v>
          </cell>
        </row>
        <row r="6">
          <cell r="M6">
            <v>0.14377344806676662</v>
          </cell>
        </row>
        <row r="7">
          <cell r="M7">
            <v>0.18990028944419676</v>
          </cell>
        </row>
        <row r="8">
          <cell r="M8">
            <v>0.23602713082162688</v>
          </cell>
        </row>
        <row r="9">
          <cell r="M9">
            <v>0.28223309199558777</v>
          </cell>
        </row>
        <row r="10">
          <cell r="M10">
            <v>0.32843905316954863</v>
          </cell>
        </row>
        <row r="11">
          <cell r="M11">
            <v>0.37448677475044817</v>
          </cell>
        </row>
      </sheetData>
      <sheetData sheetId="4">
        <row r="5">
          <cell r="L5">
            <v>0.14310195367254047</v>
          </cell>
        </row>
        <row r="6">
          <cell r="L6">
            <v>0.16100502585436646</v>
          </cell>
        </row>
        <row r="7">
          <cell r="L7">
            <v>0.1788774420906756</v>
          </cell>
        </row>
        <row r="8">
          <cell r="L8">
            <v>0.19760779435522915</v>
          </cell>
        </row>
        <row r="9">
          <cell r="L9">
            <v>0.22744624799160579</v>
          </cell>
        </row>
        <row r="10">
          <cell r="L10">
            <v>0.25728470162798234</v>
          </cell>
        </row>
        <row r="11">
          <cell r="L11">
            <v>0.28702096877930294</v>
          </cell>
        </row>
      </sheetData>
      <sheetData sheetId="5">
        <row r="5">
          <cell r="Q5">
            <v>0.2642822803837333</v>
          </cell>
          <cell r="R5">
            <v>0.12447642459592426</v>
          </cell>
          <cell r="W5">
            <v>0.82984283063949504</v>
          </cell>
        </row>
        <row r="6">
          <cell r="Q6">
            <v>0.29734587330234952</v>
          </cell>
          <cell r="R6">
            <v>0.15757047544565744</v>
          </cell>
          <cell r="W6">
            <v>0.87539153025365246</v>
          </cell>
        </row>
        <row r="7">
          <cell r="Q7">
            <v>0.33035285047966667</v>
          </cell>
          <cell r="R7">
            <v>0.19449441343113166</v>
          </cell>
          <cell r="W7">
            <v>0.97247206715565826</v>
          </cell>
        </row>
        <row r="8">
          <cell r="Q8">
            <v>0.36335982765698382</v>
          </cell>
          <cell r="R8">
            <v>0.23530157606629135</v>
          </cell>
          <cell r="W8">
            <v>1.0230503307230059</v>
          </cell>
        </row>
        <row r="9">
          <cell r="Q9">
            <v>0.39642342057560004</v>
          </cell>
          <cell r="R9">
            <v>0.28007195534082957</v>
          </cell>
          <cell r="W9">
            <v>1.1202878213633183</v>
          </cell>
        </row>
        <row r="10">
          <cell r="Q10">
            <v>0.42948701349421625</v>
          </cell>
          <cell r="R10">
            <v>0.32873889221541713</v>
          </cell>
          <cell r="W10">
            <v>1.0957963073847239</v>
          </cell>
        </row>
        <row r="11">
          <cell r="Q11">
            <v>0.46243737493023435</v>
          </cell>
          <cell r="R11">
            <v>0.38111572538496119</v>
          </cell>
          <cell r="W11">
            <v>1.270385751283204</v>
          </cell>
        </row>
      </sheetData>
      <sheetData sheetId="6">
        <row r="5">
          <cell r="L5">
            <v>0.14579520985226643</v>
          </cell>
        </row>
        <row r="6">
          <cell r="L6">
            <v>0.17429705972752854</v>
          </cell>
        </row>
        <row r="7">
          <cell r="L7">
            <v>0.20275010506533303</v>
          </cell>
        </row>
        <row r="8">
          <cell r="L8">
            <v>0.23120315040313752</v>
          </cell>
        </row>
        <row r="9">
          <cell r="L9">
            <v>0.25970500027839966</v>
          </cell>
        </row>
        <row r="10">
          <cell r="L10">
            <v>0.28820685015366176</v>
          </cell>
        </row>
        <row r="11">
          <cell r="L11">
            <v>0.31661109095400869</v>
          </cell>
        </row>
      </sheetData>
      <sheetData sheetId="7">
        <row r="5">
          <cell r="L5">
            <v>0.10853508175017515</v>
          </cell>
        </row>
        <row r="6">
          <cell r="L6">
            <v>0.21393535237281311</v>
          </cell>
        </row>
        <row r="7">
          <cell r="L7">
            <v>0.3105283279517595</v>
          </cell>
        </row>
        <row r="8">
          <cell r="L8">
            <v>0.40085214401713148</v>
          </cell>
        </row>
        <row r="9">
          <cell r="L9">
            <v>0.48661646663274533</v>
          </cell>
        </row>
        <row r="10">
          <cell r="L10">
            <v>0.5687514418715035</v>
          </cell>
        </row>
        <row r="11">
          <cell r="L11">
            <v>0.64776800862686934</v>
          </cell>
        </row>
      </sheetData>
      <sheetData sheetId="8">
        <row r="5">
          <cell r="L5">
            <v>0.21268829038166062</v>
          </cell>
        </row>
        <row r="6">
          <cell r="L6">
            <v>0.23929710820147421</v>
          </cell>
        </row>
        <row r="7">
          <cell r="L7">
            <v>0.26586036297707577</v>
          </cell>
        </row>
        <row r="8">
          <cell r="L8">
            <v>0.29242361775267733</v>
          </cell>
        </row>
        <row r="9">
          <cell r="L9">
            <v>0.31903243557249095</v>
          </cell>
        </row>
        <row r="10">
          <cell r="L10">
            <v>0.34564125339230445</v>
          </cell>
        </row>
        <row r="11">
          <cell r="L11">
            <v>0.37215894512369413</v>
          </cell>
        </row>
      </sheetData>
      <sheetData sheetId="9">
        <row r="5">
          <cell r="L5">
            <v>0.14641282095142341</v>
          </cell>
        </row>
        <row r="6">
          <cell r="L6">
            <v>0.16899570354193333</v>
          </cell>
        </row>
        <row r="7">
          <cell r="L7">
            <v>0.19153991681293903</v>
          </cell>
        </row>
        <row r="8">
          <cell r="L8">
            <v>0.2140841300839447</v>
          </cell>
        </row>
        <row r="9">
          <cell r="L9">
            <v>0.23666701267445472</v>
          </cell>
        </row>
        <row r="10">
          <cell r="L10">
            <v>0.25924989526496467</v>
          </cell>
        </row>
        <row r="11">
          <cell r="L11">
            <v>0.28175543921646612</v>
          </cell>
        </row>
      </sheetData>
      <sheetData sheetId="10">
        <row r="5">
          <cell r="L5">
            <v>0.13474689552984886</v>
          </cell>
        </row>
        <row r="6">
          <cell r="L6">
            <v>0.1542959678316207</v>
          </cell>
        </row>
        <row r="7">
          <cell r="L7">
            <v>0.17381156569451961</v>
          </cell>
        </row>
        <row r="8">
          <cell r="L8">
            <v>0.19332716355741852</v>
          </cell>
        </row>
        <row r="9">
          <cell r="L9">
            <v>0.21287623585919035</v>
          </cell>
        </row>
        <row r="10">
          <cell r="L10">
            <v>0.23242530816096219</v>
          </cell>
        </row>
        <row r="11">
          <cell r="L11">
            <v>0.25190743158498824</v>
          </cell>
        </row>
      </sheetData>
      <sheetData sheetId="11">
        <row r="5">
          <cell r="L5">
            <v>0.17296156171576588</v>
          </cell>
        </row>
        <row r="6">
          <cell r="L6">
            <v>0.19460028323290537</v>
          </cell>
        </row>
        <row r="7">
          <cell r="L7">
            <v>0.21620195214470733</v>
          </cell>
        </row>
        <row r="8">
          <cell r="L8">
            <v>0.23780362105650929</v>
          </cell>
        </row>
        <row r="9">
          <cell r="L9">
            <v>0.25944234257364879</v>
          </cell>
        </row>
        <row r="10">
          <cell r="L10">
            <v>0.28108106409078831</v>
          </cell>
        </row>
        <row r="11">
          <cell r="L11">
            <v>0.3026456803972527</v>
          </cell>
        </row>
      </sheetData>
      <sheetData sheetId="12">
        <row r="5">
          <cell r="L5">
            <v>0.14799982537652959</v>
          </cell>
        </row>
        <row r="6">
          <cell r="L6">
            <v>0.17355831696087226</v>
          </cell>
        </row>
        <row r="7">
          <cell r="L7">
            <v>0.21376252174526569</v>
          </cell>
        </row>
        <row r="8">
          <cell r="L8">
            <v>0.25453383476385971</v>
          </cell>
        </row>
        <row r="9">
          <cell r="L9">
            <v>0.29594364960454544</v>
          </cell>
        </row>
        <row r="10">
          <cell r="L10">
            <v>0.33792251983073496</v>
          </cell>
        </row>
        <row r="11">
          <cell r="L11">
            <v>0.38032376229552944</v>
          </cell>
        </row>
      </sheetData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0.18</v>
          </cell>
        </row>
        <row r="9">
          <cell r="C9">
            <v>0.18</v>
          </cell>
        </row>
        <row r="10">
          <cell r="C10">
            <v>0.25</v>
          </cell>
        </row>
        <row r="11">
          <cell r="C11">
            <v>0.28000000000000003</v>
          </cell>
        </row>
        <row r="12">
          <cell r="C12">
            <v>0.33</v>
          </cell>
        </row>
        <row r="13">
          <cell r="C13">
            <v>0.38</v>
          </cell>
        </row>
        <row r="14">
          <cell r="C14">
            <v>0.43</v>
          </cell>
        </row>
        <row r="20">
          <cell r="B20">
            <v>250</v>
          </cell>
        </row>
        <row r="22">
          <cell r="B22">
            <v>33</v>
          </cell>
        </row>
        <row r="27">
          <cell r="B27">
            <v>3.2689999999999997</v>
          </cell>
        </row>
        <row r="28">
          <cell r="B28">
            <v>16</v>
          </cell>
        </row>
        <row r="29">
          <cell r="B29">
            <v>400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168</v>
          </cell>
        </row>
      </sheetData>
      <sheetData sheetId="1">
        <row r="5">
          <cell r="K5">
            <v>185.27396447016577</v>
          </cell>
          <cell r="L5">
            <v>9.7111785825937463E-2</v>
          </cell>
        </row>
        <row r="6">
          <cell r="K6">
            <v>211.76759699968994</v>
          </cell>
          <cell r="L6">
            <v>0.13409248123173162</v>
          </cell>
        </row>
        <row r="7">
          <cell r="K7">
            <v>238.26122952921412</v>
          </cell>
          <cell r="L7">
            <v>0.1710731766375258</v>
          </cell>
        </row>
        <row r="8">
          <cell r="K8">
            <v>264.70949624961241</v>
          </cell>
          <cell r="L8">
            <v>0.20799054893474836</v>
          </cell>
        </row>
        <row r="9">
          <cell r="K9">
            <v>291.15776297001071</v>
          </cell>
          <cell r="L9">
            <v>0.24490792123197097</v>
          </cell>
        </row>
        <row r="10">
          <cell r="K10">
            <v>317.65139549953489</v>
          </cell>
          <cell r="L10">
            <v>0.28188861663776515</v>
          </cell>
        </row>
        <row r="11">
          <cell r="K11">
            <v>344.14502802905906</v>
          </cell>
          <cell r="L11">
            <v>0.31886931204355928</v>
          </cell>
        </row>
        <row r="12">
          <cell r="K12">
            <v>370.54792894033153</v>
          </cell>
          <cell r="L12">
            <v>0.35572336123221043</v>
          </cell>
        </row>
      </sheetData>
      <sheetData sheetId="2">
        <row r="5">
          <cell r="L5">
            <v>8.685477449725118E-2</v>
          </cell>
        </row>
        <row r="6">
          <cell r="L6">
            <v>9.9274752045339976E-2</v>
          </cell>
        </row>
        <row r="7">
          <cell r="L7">
            <v>0.11617858999591686</v>
          </cell>
        </row>
        <row r="8">
          <cell r="L8">
            <v>0.14717536615403232</v>
          </cell>
        </row>
        <row r="9">
          <cell r="L9">
            <v>0.17817214231214781</v>
          </cell>
        </row>
        <row r="10">
          <cell r="L10">
            <v>0.20922208618236979</v>
          </cell>
        </row>
        <row r="11">
          <cell r="L11">
            <v>0.24027203005259176</v>
          </cell>
        </row>
        <row r="12">
          <cell r="L12">
            <v>0.27121563849860081</v>
          </cell>
        </row>
      </sheetData>
      <sheetData sheetId="3">
        <row r="5">
          <cell r="M5">
            <v>8.685477449725118E-2</v>
          </cell>
        </row>
        <row r="6">
          <cell r="M6">
            <v>0.1106344620337962</v>
          </cell>
        </row>
        <row r="7">
          <cell r="M7">
            <v>0.14377344806676662</v>
          </cell>
        </row>
        <row r="8">
          <cell r="M8">
            <v>0.18990028944419676</v>
          </cell>
        </row>
        <row r="9">
          <cell r="M9">
            <v>0.23602713082162688</v>
          </cell>
        </row>
        <row r="10">
          <cell r="M10">
            <v>0.28223309199558777</v>
          </cell>
        </row>
        <row r="11">
          <cell r="M11">
            <v>0.32843905316954863</v>
          </cell>
        </row>
        <row r="12">
          <cell r="M12">
            <v>0.37448677475044817</v>
          </cell>
        </row>
      </sheetData>
      <sheetData sheetId="4">
        <row r="5">
          <cell r="L5">
            <v>0.12519888149071451</v>
          </cell>
        </row>
        <row r="6">
          <cell r="L6">
            <v>0.14310195367254047</v>
          </cell>
        </row>
        <row r="7">
          <cell r="L7">
            <v>0.16100502585436646</v>
          </cell>
        </row>
        <row r="8">
          <cell r="L8">
            <v>0.1788774420906756</v>
          </cell>
        </row>
        <row r="9">
          <cell r="L9">
            <v>0.19760779435522915</v>
          </cell>
        </row>
        <row r="10">
          <cell r="L10">
            <v>0.22744624799160579</v>
          </cell>
        </row>
        <row r="11">
          <cell r="L11">
            <v>0.25728470162798234</v>
          </cell>
        </row>
        <row r="12">
          <cell r="L12">
            <v>0.28702096877930294</v>
          </cell>
        </row>
      </sheetData>
      <sheetData sheetId="5">
        <row r="5">
          <cell r="Q5">
            <v>0.23121868746511717</v>
          </cell>
          <cell r="R5">
            <v>9.5278931346240298E-2</v>
          </cell>
          <cell r="W5">
            <v>0.63519287564160198</v>
          </cell>
        </row>
        <row r="6">
          <cell r="Q6">
            <v>0.2642822803837333</v>
          </cell>
          <cell r="R6">
            <v>0.12447642459592426</v>
          </cell>
          <cell r="W6">
            <v>0.69153569219957922</v>
          </cell>
        </row>
        <row r="7">
          <cell r="Q7">
            <v>0.29734587330234952</v>
          </cell>
          <cell r="R7">
            <v>0.15757047544565744</v>
          </cell>
          <cell r="W7">
            <v>0.87539153025365246</v>
          </cell>
        </row>
        <row r="8">
          <cell r="Q8">
            <v>0.33035285047966667</v>
          </cell>
          <cell r="R8">
            <v>0.19449441343113166</v>
          </cell>
          <cell r="W8">
            <v>0.77797765372452665</v>
          </cell>
        </row>
        <row r="9">
          <cell r="Q9">
            <v>0.36335982765698382</v>
          </cell>
          <cell r="R9">
            <v>0.23530157606629135</v>
          </cell>
          <cell r="W9">
            <v>0.84036277166532614</v>
          </cell>
        </row>
        <row r="10">
          <cell r="Q10">
            <v>0.39642342057560004</v>
          </cell>
          <cell r="R10">
            <v>0.28007195534082957</v>
          </cell>
          <cell r="W10">
            <v>0.84870289497221074</v>
          </cell>
        </row>
        <row r="11">
          <cell r="Q11">
            <v>0.42948701349421625</v>
          </cell>
          <cell r="R11">
            <v>0.32873889221541713</v>
          </cell>
          <cell r="W11">
            <v>0.86510234793530827</v>
          </cell>
        </row>
        <row r="12">
          <cell r="Q12">
            <v>0.46243737493023435</v>
          </cell>
          <cell r="R12">
            <v>0.38111572538496119</v>
          </cell>
          <cell r="W12">
            <v>0.88631564043014233</v>
          </cell>
        </row>
      </sheetData>
      <sheetData sheetId="6">
        <row r="5">
          <cell r="L5">
            <v>0.11729335997700432</v>
          </cell>
        </row>
        <row r="6">
          <cell r="L6">
            <v>0.14579520985226643</v>
          </cell>
        </row>
        <row r="7">
          <cell r="L7">
            <v>0.17429705972752854</v>
          </cell>
        </row>
        <row r="8">
          <cell r="L8">
            <v>0.20275010506533303</v>
          </cell>
        </row>
        <row r="9">
          <cell r="L9">
            <v>0.23120315040313752</v>
          </cell>
        </row>
        <row r="10">
          <cell r="L10">
            <v>0.25970500027839966</v>
          </cell>
        </row>
        <row r="11">
          <cell r="L11">
            <v>0.28820685015366176</v>
          </cell>
        </row>
        <row r="12">
          <cell r="L12">
            <v>0.31661109095400869</v>
          </cell>
        </row>
      </sheetData>
      <sheetData sheetId="7">
        <row r="6">
          <cell r="L6">
            <v>0.10853508175017515</v>
          </cell>
        </row>
        <row r="7">
          <cell r="L7">
            <v>0.21393535237281311</v>
          </cell>
        </row>
        <row r="8">
          <cell r="L8">
            <v>0.3105283279517595</v>
          </cell>
        </row>
        <row r="9">
          <cell r="L9">
            <v>0.40085214401713148</v>
          </cell>
        </row>
        <row r="10">
          <cell r="L10">
            <v>0.48661646663274533</v>
          </cell>
        </row>
        <row r="11">
          <cell r="L11">
            <v>0.5687514418715035</v>
          </cell>
        </row>
        <row r="12">
          <cell r="L12">
            <v>0.64776800862686934</v>
          </cell>
        </row>
      </sheetData>
      <sheetData sheetId="8">
        <row r="5">
          <cell r="L5">
            <v>0.18607947256184706</v>
          </cell>
        </row>
        <row r="6">
          <cell r="L6">
            <v>0.21268829038166062</v>
          </cell>
        </row>
        <row r="7">
          <cell r="L7">
            <v>0.23929710820147421</v>
          </cell>
        </row>
        <row r="8">
          <cell r="L8">
            <v>0.26586036297707577</v>
          </cell>
        </row>
        <row r="9">
          <cell r="L9">
            <v>0.29242361775267733</v>
          </cell>
        </row>
        <row r="10">
          <cell r="L10">
            <v>0.31903243557249095</v>
          </cell>
        </row>
        <row r="11">
          <cell r="L11">
            <v>0.34564125339230445</v>
          </cell>
        </row>
        <row r="12">
          <cell r="L12">
            <v>0.37215894512369413</v>
          </cell>
        </row>
      </sheetData>
      <sheetData sheetId="9">
        <row r="5">
          <cell r="L5">
            <v>0.12382993836091344</v>
          </cell>
        </row>
        <row r="6">
          <cell r="L6">
            <v>0.14641282095142341</v>
          </cell>
        </row>
        <row r="7">
          <cell r="L7">
            <v>0.16899570354193333</v>
          </cell>
        </row>
        <row r="8">
          <cell r="L8">
            <v>0.19153991681293903</v>
          </cell>
        </row>
        <row r="9">
          <cell r="L9">
            <v>0.2140841300839447</v>
          </cell>
        </row>
        <row r="10">
          <cell r="L10">
            <v>0.23666701267445472</v>
          </cell>
        </row>
        <row r="11">
          <cell r="L11">
            <v>0.25924989526496467</v>
          </cell>
        </row>
        <row r="12">
          <cell r="L12">
            <v>0.28175543921646612</v>
          </cell>
        </row>
      </sheetData>
      <sheetData sheetId="10">
        <row r="5">
          <cell r="L5">
            <v>0.11519782322807706</v>
          </cell>
        </row>
        <row r="6">
          <cell r="L6">
            <v>0.13474689552984886</v>
          </cell>
        </row>
        <row r="7">
          <cell r="L7">
            <v>0.1542959678316207</v>
          </cell>
        </row>
        <row r="8">
          <cell r="L8">
            <v>0.17381156569451961</v>
          </cell>
        </row>
        <row r="9">
          <cell r="L9">
            <v>0.19332716355741852</v>
          </cell>
        </row>
        <row r="10">
          <cell r="L10">
            <v>0.21287623585919035</v>
          </cell>
        </row>
        <row r="11">
          <cell r="L11">
            <v>0.23242530816096219</v>
          </cell>
        </row>
        <row r="12">
          <cell r="L12">
            <v>0.25190743158498824</v>
          </cell>
        </row>
      </sheetData>
      <sheetData sheetId="11">
        <row r="5">
          <cell r="L5">
            <v>0.15132284019862635</v>
          </cell>
        </row>
        <row r="6">
          <cell r="L6">
            <v>0.17296156171576588</v>
          </cell>
        </row>
        <row r="7">
          <cell r="L7">
            <v>0.19460028323290537</v>
          </cell>
        </row>
        <row r="8">
          <cell r="L8">
            <v>0.21620195214470733</v>
          </cell>
        </row>
        <row r="9">
          <cell r="L9">
            <v>0.23780362105650929</v>
          </cell>
        </row>
        <row r="10">
          <cell r="L10">
            <v>0.25944234257364879</v>
          </cell>
        </row>
        <row r="11">
          <cell r="L11">
            <v>0.28108106409078831</v>
          </cell>
        </row>
        <row r="12">
          <cell r="L12">
            <v>0.3026456803972527</v>
          </cell>
        </row>
      </sheetData>
      <sheetData sheetId="12">
        <row r="5">
          <cell r="L5">
            <v>0.12749424958017883</v>
          </cell>
        </row>
        <row r="6">
          <cell r="L6">
            <v>0.14799982537652959</v>
          </cell>
        </row>
        <row r="7">
          <cell r="L7">
            <v>0.17355831696087226</v>
          </cell>
        </row>
        <row r="8">
          <cell r="L8">
            <v>0.21376252174526569</v>
          </cell>
        </row>
        <row r="9">
          <cell r="L9">
            <v>0.25453383476385971</v>
          </cell>
        </row>
        <row r="10">
          <cell r="L10">
            <v>0.29594364960454544</v>
          </cell>
        </row>
        <row r="11">
          <cell r="L11">
            <v>0.33792251983073496</v>
          </cell>
        </row>
        <row r="12">
          <cell r="L12">
            <v>0.38032376229552944</v>
          </cell>
        </row>
      </sheetData>
      <sheetData sheetId="1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0.18</v>
          </cell>
        </row>
        <row r="9">
          <cell r="C9">
            <v>0.18</v>
          </cell>
        </row>
        <row r="10">
          <cell r="C10">
            <v>0.2</v>
          </cell>
        </row>
        <row r="11">
          <cell r="C11">
            <v>0.2</v>
          </cell>
        </row>
        <row r="20">
          <cell r="B20">
            <v>250</v>
          </cell>
        </row>
        <row r="22">
          <cell r="B22">
            <v>33</v>
          </cell>
        </row>
        <row r="27">
          <cell r="B27">
            <v>3.2689999999999997</v>
          </cell>
        </row>
        <row r="28">
          <cell r="B28">
            <v>16</v>
          </cell>
        </row>
        <row r="29">
          <cell r="B29">
            <v>600</v>
          </cell>
        </row>
        <row r="30">
          <cell r="B30">
            <v>25</v>
          </cell>
        </row>
        <row r="31">
          <cell r="B31">
            <v>3</v>
          </cell>
        </row>
        <row r="32">
          <cell r="B32">
            <v>76</v>
          </cell>
        </row>
      </sheetData>
      <sheetData sheetId="1">
        <row r="5">
          <cell r="K5">
            <v>233.30469206437246</v>
          </cell>
          <cell r="L5">
            <v>0.1531062354497946</v>
          </cell>
        </row>
        <row r="6">
          <cell r="K6">
            <v>251.20389200920044</v>
          </cell>
          <cell r="L6">
            <v>0.17116484293996007</v>
          </cell>
        </row>
        <row r="7">
          <cell r="K7">
            <v>269.16460123218928</v>
          </cell>
          <cell r="L7">
            <v>0.18928550750053849</v>
          </cell>
        </row>
        <row r="8">
          <cell r="K8">
            <v>287.12531045517812</v>
          </cell>
          <cell r="L8">
            <v>0.20740617206111689</v>
          </cell>
        </row>
        <row r="9">
          <cell r="K9">
            <v>305.08601967816708</v>
          </cell>
          <cell r="L9">
            <v>0.2255268366216954</v>
          </cell>
        </row>
      </sheetData>
      <sheetData sheetId="2">
        <row r="5">
          <cell r="L5">
            <v>0.12226734357024087</v>
          </cell>
        </row>
        <row r="6">
          <cell r="L6">
            <v>0.13958286394040598</v>
          </cell>
        </row>
        <row r="7">
          <cell r="L7">
            <v>0.15695788781699774</v>
          </cell>
        </row>
        <row r="8">
          <cell r="L8">
            <v>0.1743329116935895</v>
          </cell>
        </row>
        <row r="9">
          <cell r="L9">
            <v>0.19170793557018131</v>
          </cell>
        </row>
      </sheetData>
      <sheetData sheetId="3">
        <row r="5">
          <cell r="M5">
            <v>0.13797248193354791</v>
          </cell>
        </row>
        <row r="6">
          <cell r="M6">
            <v>0.16178299565649967</v>
          </cell>
        </row>
        <row r="7">
          <cell r="M7">
            <v>0.18567533245066428</v>
          </cell>
        </row>
        <row r="8">
          <cell r="M8">
            <v>0.20956766924482884</v>
          </cell>
        </row>
        <row r="9">
          <cell r="M9">
            <v>0.23346000603899358</v>
          </cell>
        </row>
      </sheetData>
      <sheetData sheetId="4">
        <row r="5">
          <cell r="L5">
            <v>0.13497830291539226</v>
          </cell>
        </row>
        <row r="6">
          <cell r="L6">
            <v>0.15089875308436673</v>
          </cell>
        </row>
        <row r="7">
          <cell r="L7">
            <v>0.16687391270409369</v>
          </cell>
        </row>
        <row r="8">
          <cell r="L8">
            <v>0.18284907232382061</v>
          </cell>
        </row>
        <row r="9">
          <cell r="L9">
            <v>0.19882423194354767</v>
          </cell>
        </row>
      </sheetData>
      <sheetData sheetId="5">
        <row r="5">
          <cell r="Q5">
            <v>0.19624775636841521</v>
          </cell>
          <cell r="R5">
            <v>0.15248177687827655</v>
          </cell>
          <cell r="W5">
            <v>1.0165451791885103</v>
          </cell>
        </row>
        <row r="6">
          <cell r="Q6">
            <v>0.21130393804603426</v>
          </cell>
          <cell r="R6">
            <v>0.17677617215084976</v>
          </cell>
          <cell r="W6">
            <v>0.98208984528249865</v>
          </cell>
        </row>
        <row r="7">
          <cell r="Q7">
            <v>0.22641185917959003</v>
          </cell>
          <cell r="R7">
            <v>0.20295833219561998</v>
          </cell>
          <cell r="W7">
            <v>1.1275462899756665</v>
          </cell>
        </row>
        <row r="8">
          <cell r="Q8">
            <v>0.24151978031314592</v>
          </cell>
          <cell r="R8">
            <v>0.23094786593615235</v>
          </cell>
          <cell r="W8">
            <v>1.1547393296807618</v>
          </cell>
        </row>
        <row r="9">
          <cell r="Q9">
            <v>0.25662770144670172</v>
          </cell>
          <cell r="R9">
            <v>0.26074477337244656</v>
          </cell>
          <cell r="W9">
            <v>1.2831385072335084</v>
          </cell>
        </row>
      </sheetData>
      <sheetData sheetId="6">
        <row r="5">
          <cell r="L5">
            <v>0.13012496114856792</v>
          </cell>
        </row>
        <row r="6">
          <cell r="L6">
            <v>0.14296226734899856</v>
          </cell>
        </row>
        <row r="7">
          <cell r="L7">
            <v>0.15584368800372614</v>
          </cell>
        </row>
        <row r="8">
          <cell r="L8">
            <v>0.16872510865845375</v>
          </cell>
        </row>
        <row r="9">
          <cell r="L9">
            <v>0.18160652931318141</v>
          </cell>
        </row>
      </sheetData>
      <sheetData sheetId="7">
        <row r="5">
          <cell r="L5">
            <v>0.25195164759958771</v>
          </cell>
        </row>
        <row r="6">
          <cell r="L6">
            <v>0.28721911732524774</v>
          </cell>
        </row>
        <row r="7">
          <cell r="L7">
            <v>0.32158182698958593</v>
          </cell>
        </row>
        <row r="8">
          <cell r="L8">
            <v>0.35510946407025634</v>
          </cell>
        </row>
        <row r="9">
          <cell r="L9">
            <v>0.387949513160665</v>
          </cell>
        </row>
      </sheetData>
      <sheetData sheetId="8">
        <row r="5">
          <cell r="L5">
            <v>0.18003138663794294</v>
          </cell>
        </row>
        <row r="6">
          <cell r="L6">
            <v>0.19384344398348513</v>
          </cell>
        </row>
        <row r="7">
          <cell r="L7">
            <v>0.20770296544361677</v>
          </cell>
        </row>
        <row r="8">
          <cell r="L8">
            <v>0.22156248690374838</v>
          </cell>
        </row>
        <row r="9">
          <cell r="L9">
            <v>0.23542200836388011</v>
          </cell>
        </row>
      </sheetData>
      <sheetData sheetId="9">
        <row r="5">
          <cell r="L5">
            <v>0.12518000924236972</v>
          </cell>
        </row>
        <row r="6">
          <cell r="L6">
            <v>0.13677115061920933</v>
          </cell>
        </row>
        <row r="7">
          <cell r="L7">
            <v>0.14840212409700027</v>
          </cell>
        </row>
        <row r="8">
          <cell r="L8">
            <v>0.16003309757479117</v>
          </cell>
        </row>
        <row r="9">
          <cell r="L9">
            <v>0.17166407105258216</v>
          </cell>
        </row>
      </sheetData>
      <sheetData sheetId="10">
        <row r="5">
          <cell r="L5">
            <v>0.15297784176427023</v>
          </cell>
        </row>
        <row r="6">
          <cell r="L6">
            <v>0.1661724760507631</v>
          </cell>
        </row>
        <row r="7">
          <cell r="L7">
            <v>0.17941245272312015</v>
          </cell>
        </row>
        <row r="8">
          <cell r="L8">
            <v>0.19265242939547719</v>
          </cell>
        </row>
        <row r="9">
          <cell r="L9">
            <v>0.20589240606783432</v>
          </cell>
        </row>
      </sheetData>
      <sheetData sheetId="11">
        <row r="5">
          <cell r="L5">
            <v>0.16782701616822179</v>
          </cell>
        </row>
        <row r="6">
          <cell r="L6">
            <v>0.18070275086501922</v>
          </cell>
        </row>
        <row r="7">
          <cell r="L7">
            <v>0.19362273207280215</v>
          </cell>
        </row>
        <row r="8">
          <cell r="L8">
            <v>0.2065427132805851</v>
          </cell>
        </row>
        <row r="9">
          <cell r="L9">
            <v>0.21946269448836811</v>
          </cell>
        </row>
      </sheetData>
      <sheetData sheetId="12">
        <row r="5">
          <cell r="L5">
            <v>0.17798465041980599</v>
          </cell>
        </row>
        <row r="6">
          <cell r="L6">
            <v>0.20139746041556172</v>
          </cell>
        </row>
        <row r="7">
          <cell r="L7">
            <v>0.22515180715689309</v>
          </cell>
        </row>
        <row r="8">
          <cell r="L8">
            <v>0.24916768207428147</v>
          </cell>
        </row>
        <row r="9">
          <cell r="L9">
            <v>0.27344508516772692</v>
          </cell>
        </row>
      </sheetData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0.18</v>
          </cell>
        </row>
        <row r="9">
          <cell r="C9">
            <v>0.2</v>
          </cell>
        </row>
        <row r="10">
          <cell r="C10">
            <v>0.2</v>
          </cell>
        </row>
        <row r="20">
          <cell r="B20">
            <v>250</v>
          </cell>
        </row>
        <row r="22">
          <cell r="B22">
            <v>33</v>
          </cell>
        </row>
        <row r="27">
          <cell r="B27">
            <v>3.2689999999999997</v>
          </cell>
        </row>
        <row r="28">
          <cell r="B28">
            <v>16</v>
          </cell>
        </row>
        <row r="29">
          <cell r="B29">
            <v>600</v>
          </cell>
        </row>
        <row r="30">
          <cell r="B30">
            <v>25</v>
          </cell>
        </row>
        <row r="31">
          <cell r="B31">
            <v>3</v>
          </cell>
        </row>
        <row r="32">
          <cell r="B32">
            <v>76</v>
          </cell>
        </row>
      </sheetData>
      <sheetData sheetId="1">
        <row r="5">
          <cell r="K5">
            <v>251.20389200920044</v>
          </cell>
          <cell r="L5">
            <v>0.17116484293996007</v>
          </cell>
        </row>
        <row r="6">
          <cell r="K6">
            <v>269.16460123218928</v>
          </cell>
          <cell r="L6">
            <v>0.18928550750053849</v>
          </cell>
        </row>
        <row r="7">
          <cell r="K7">
            <v>287.12531045517812</v>
          </cell>
          <cell r="L7">
            <v>0.20740617206111689</v>
          </cell>
        </row>
        <row r="8">
          <cell r="K8">
            <v>305.08601967816708</v>
          </cell>
          <cell r="L8">
            <v>0.2255268366216954</v>
          </cell>
        </row>
      </sheetData>
      <sheetData sheetId="2">
        <row r="5">
          <cell r="L5">
            <v>0.13958286394040598</v>
          </cell>
        </row>
        <row r="6">
          <cell r="L6">
            <v>0.15695788781699774</v>
          </cell>
        </row>
        <row r="7">
          <cell r="L7">
            <v>0.1743329116935895</v>
          </cell>
        </row>
        <row r="8">
          <cell r="L8">
            <v>0.19170793557018131</v>
          </cell>
        </row>
      </sheetData>
      <sheetData sheetId="3">
        <row r="5">
          <cell r="M5">
            <v>0.16178299565649967</v>
          </cell>
        </row>
        <row r="6">
          <cell r="M6">
            <v>0.18567533245066428</v>
          </cell>
        </row>
        <row r="7">
          <cell r="M7">
            <v>0.20956766924482884</v>
          </cell>
        </row>
        <row r="8">
          <cell r="M8">
            <v>0.23346000603899358</v>
          </cell>
        </row>
      </sheetData>
      <sheetData sheetId="4">
        <row r="5">
          <cell r="L5">
            <v>0.15089875308436673</v>
          </cell>
        </row>
        <row r="6">
          <cell r="L6">
            <v>0.16687391270409369</v>
          </cell>
        </row>
        <row r="7">
          <cell r="L7">
            <v>0.18284907232382061</v>
          </cell>
        </row>
        <row r="8">
          <cell r="L8">
            <v>0.19882423194354767</v>
          </cell>
        </row>
      </sheetData>
      <sheetData sheetId="5">
        <row r="5">
          <cell r="Q5">
            <v>0.21130393804603426</v>
          </cell>
          <cell r="R5">
            <v>0.17677617215084976</v>
          </cell>
          <cell r="W5">
            <v>1.1785078143389984</v>
          </cell>
        </row>
        <row r="6">
          <cell r="Q6">
            <v>0.22641185917959003</v>
          </cell>
          <cell r="R6">
            <v>0.20295833219561998</v>
          </cell>
          <cell r="W6">
            <v>1.1275462899756665</v>
          </cell>
        </row>
        <row r="7">
          <cell r="Q7">
            <v>0.24151978031314592</v>
          </cell>
          <cell r="R7">
            <v>0.23094786593615235</v>
          </cell>
          <cell r="W7">
            <v>1.1547393296807618</v>
          </cell>
        </row>
        <row r="8">
          <cell r="Q8">
            <v>0.25662770144670172</v>
          </cell>
          <cell r="R8">
            <v>0.26074477337244656</v>
          </cell>
          <cell r="W8">
            <v>1.2831385072335084</v>
          </cell>
        </row>
      </sheetData>
      <sheetData sheetId="6">
        <row r="5">
          <cell r="L5">
            <v>0.14296226734899856</v>
          </cell>
        </row>
        <row r="6">
          <cell r="L6">
            <v>0.15584368800372614</v>
          </cell>
        </row>
        <row r="7">
          <cell r="L7">
            <v>0.16872510865845375</v>
          </cell>
        </row>
        <row r="8">
          <cell r="L8">
            <v>0.18160652931318141</v>
          </cell>
        </row>
      </sheetData>
      <sheetData sheetId="7">
        <row r="5">
          <cell r="L5">
            <v>0.28721911732524774</v>
          </cell>
        </row>
        <row r="6">
          <cell r="L6">
            <v>0.32158182698958593</v>
          </cell>
        </row>
        <row r="7">
          <cell r="L7">
            <v>0.35510946407025634</v>
          </cell>
        </row>
        <row r="8">
          <cell r="L8">
            <v>0.387949513160665</v>
          </cell>
        </row>
      </sheetData>
      <sheetData sheetId="8">
        <row r="5">
          <cell r="L5">
            <v>0.19384344398348513</v>
          </cell>
        </row>
        <row r="6">
          <cell r="L6">
            <v>0.20770296544361677</v>
          </cell>
        </row>
        <row r="7">
          <cell r="L7">
            <v>0.22156248690374838</v>
          </cell>
        </row>
        <row r="8">
          <cell r="L8">
            <v>0.23542200836388011</v>
          </cell>
        </row>
      </sheetData>
      <sheetData sheetId="9">
        <row r="5">
          <cell r="L5">
            <v>0.13677115061920933</v>
          </cell>
        </row>
        <row r="6">
          <cell r="L6">
            <v>0.14840212409700027</v>
          </cell>
        </row>
        <row r="7">
          <cell r="L7">
            <v>0.16003309757479117</v>
          </cell>
        </row>
        <row r="8">
          <cell r="L8">
            <v>0.17166407105258216</v>
          </cell>
        </row>
      </sheetData>
      <sheetData sheetId="10">
        <row r="5">
          <cell r="L5">
            <v>0.1661724760507631</v>
          </cell>
        </row>
        <row r="6">
          <cell r="L6">
            <v>0.17941245272312015</v>
          </cell>
        </row>
        <row r="7">
          <cell r="L7">
            <v>0.19265242939547719</v>
          </cell>
        </row>
        <row r="8">
          <cell r="L8">
            <v>0.20589240606783432</v>
          </cell>
        </row>
      </sheetData>
      <sheetData sheetId="11">
        <row r="5">
          <cell r="L5">
            <v>0.18070275086501922</v>
          </cell>
        </row>
        <row r="6">
          <cell r="L6">
            <v>0.19362273207280215</v>
          </cell>
        </row>
        <row r="7">
          <cell r="L7">
            <v>0.2065427132805851</v>
          </cell>
        </row>
        <row r="8">
          <cell r="L8">
            <v>0.21946269448836811</v>
          </cell>
        </row>
      </sheetData>
      <sheetData sheetId="12">
        <row r="5">
          <cell r="L5">
            <v>0.20139746041556172</v>
          </cell>
        </row>
        <row r="6">
          <cell r="L6">
            <v>0.22515180715689309</v>
          </cell>
        </row>
        <row r="7">
          <cell r="L7">
            <v>0.24916768207428147</v>
          </cell>
        </row>
        <row r="8">
          <cell r="L8">
            <v>0.27344508516772692</v>
          </cell>
        </row>
      </sheetData>
      <sheetData sheetId="1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0.25</v>
          </cell>
        </row>
        <row r="9">
          <cell r="C9">
            <v>0.33</v>
          </cell>
        </row>
        <row r="20">
          <cell r="B20">
            <v>400</v>
          </cell>
        </row>
        <row r="22">
          <cell r="B22">
            <v>31</v>
          </cell>
        </row>
        <row r="27">
          <cell r="B27">
            <v>3.2689999999999997</v>
          </cell>
        </row>
        <row r="28">
          <cell r="B28">
            <v>12</v>
          </cell>
        </row>
        <row r="29">
          <cell r="B29">
            <v>220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296</v>
          </cell>
        </row>
      </sheetData>
      <sheetData sheetId="1">
        <row r="5">
          <cell r="K5">
            <v>176.28617352026819</v>
          </cell>
          <cell r="L5">
            <v>7.1690562907373032E-3</v>
          </cell>
        </row>
        <row r="6">
          <cell r="K6">
            <v>242.34630278375195</v>
          </cell>
          <cell r="L6">
            <v>0.11192516701366445</v>
          </cell>
        </row>
        <row r="7">
          <cell r="K7">
            <v>308.4064320472358</v>
          </cell>
          <cell r="L7">
            <v>0.21668127773659174</v>
          </cell>
        </row>
      </sheetData>
      <sheetData sheetId="2">
        <row r="5">
          <cell r="L5">
            <v>7.2148609668635899E-2</v>
          </cell>
        </row>
        <row r="6">
          <cell r="L6">
            <v>9.9185026568017642E-2</v>
          </cell>
        </row>
        <row r="7">
          <cell r="L7">
            <v>0.12948602837323961</v>
          </cell>
        </row>
      </sheetData>
      <sheetData sheetId="3">
        <row r="5">
          <cell r="M5">
            <v>7.2148609668635899E-2</v>
          </cell>
        </row>
        <row r="6">
          <cell r="M6">
            <v>0.12649536757740656</v>
          </cell>
        </row>
        <row r="7">
          <cell r="M7">
            <v>0.20676471345255315</v>
          </cell>
        </row>
      </sheetData>
      <sheetData sheetId="4">
        <row r="5">
          <cell r="L5">
            <v>0.13142035655526946</v>
          </cell>
        </row>
        <row r="6">
          <cell r="L6">
            <v>0.18066781350852884</v>
          </cell>
        </row>
        <row r="7">
          <cell r="L7">
            <v>0.22991527046178831</v>
          </cell>
        </row>
      </sheetData>
      <sheetData sheetId="5">
        <row r="5">
          <cell r="Q5">
            <v>0.24254206377240639</v>
          </cell>
          <cell r="R5">
            <v>6.4368016399245206E-2</v>
          </cell>
          <cell r="W5">
            <v>0.32184008199622599</v>
          </cell>
        </row>
        <row r="6">
          <cell r="Q6">
            <v>0.33343041743444302</v>
          </cell>
          <cell r="R6">
            <v>0.12164840551874925</v>
          </cell>
          <cell r="W6">
            <v>0.48659362207499701</v>
          </cell>
        </row>
        <row r="7">
          <cell r="Q7">
            <v>0.42431877109647964</v>
          </cell>
          <cell r="R7">
            <v>0.19700646478417433</v>
          </cell>
          <cell r="W7">
            <v>0.59698928722477063</v>
          </cell>
        </row>
      </sheetData>
      <sheetData sheetId="6">
        <row r="5">
          <cell r="L5">
            <v>0.17856608619280925</v>
          </cell>
        </row>
        <row r="6">
          <cell r="L6">
            <v>0.3242250679390129</v>
          </cell>
        </row>
        <row r="7">
          <cell r="L7">
            <v>0.4698840496852168</v>
          </cell>
        </row>
      </sheetData>
      <sheetData sheetId="7"/>
      <sheetData sheetId="8">
        <row r="5">
          <cell r="L5">
            <v>0.3030500275579413</v>
          </cell>
        </row>
        <row r="6">
          <cell r="L6">
            <v>0.41661267171776939</v>
          </cell>
        </row>
        <row r="7">
          <cell r="L7">
            <v>0.53017531587759759</v>
          </cell>
        </row>
      </sheetData>
      <sheetData sheetId="9">
        <row r="5">
          <cell r="L5">
            <v>0.12362610885562696</v>
          </cell>
        </row>
        <row r="6">
          <cell r="L6">
            <v>0.18354969846414795</v>
          </cell>
        </row>
        <row r="7">
          <cell r="L7">
            <v>0.24347328807266899</v>
          </cell>
        </row>
      </sheetData>
      <sheetData sheetId="10">
        <row r="5">
          <cell r="L5">
            <v>8.2839711691510234E-2</v>
          </cell>
        </row>
        <row r="6">
          <cell r="L6">
            <v>0.12596340903755263</v>
          </cell>
        </row>
        <row r="7">
          <cell r="L7">
            <v>0.16908710638359509</v>
          </cell>
        </row>
      </sheetData>
      <sheetData sheetId="11">
        <row r="5">
          <cell r="L5">
            <v>0.18416833175589342</v>
          </cell>
        </row>
        <row r="6">
          <cell r="L6">
            <v>0.25318216057234166</v>
          </cell>
        </row>
        <row r="7">
          <cell r="L7">
            <v>0.32219598938879002</v>
          </cell>
        </row>
      </sheetData>
      <sheetData sheetId="12">
        <row r="5">
          <cell r="L5">
            <v>9.6373213717357326E-2</v>
          </cell>
        </row>
        <row r="6">
          <cell r="L6">
            <v>0.13602433814170228</v>
          </cell>
        </row>
        <row r="7">
          <cell r="L7">
            <v>0.18086829947803473</v>
          </cell>
        </row>
      </sheetData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0.23</v>
          </cell>
        </row>
        <row r="8">
          <cell r="C8">
            <v>0.28000000000000003</v>
          </cell>
        </row>
        <row r="20">
          <cell r="B20">
            <v>400</v>
          </cell>
        </row>
        <row r="22">
          <cell r="B22">
            <v>31</v>
          </cell>
        </row>
        <row r="27">
          <cell r="B27">
            <v>3.2689999999999997</v>
          </cell>
        </row>
        <row r="28">
          <cell r="B28">
            <v>12</v>
          </cell>
        </row>
        <row r="29">
          <cell r="B29">
            <v>220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296</v>
          </cell>
        </row>
      </sheetData>
      <sheetData sheetId="1">
        <row r="5">
          <cell r="K5">
            <v>242.34630278375195</v>
          </cell>
          <cell r="L5">
            <v>0.11192516701366445</v>
          </cell>
        </row>
        <row r="6">
          <cell r="K6">
            <v>308.4064320472358</v>
          </cell>
          <cell r="L6">
            <v>0.21668127773659174</v>
          </cell>
        </row>
      </sheetData>
      <sheetData sheetId="2">
        <row r="5">
          <cell r="L5">
            <v>9.9185026568017642E-2</v>
          </cell>
        </row>
        <row r="6">
          <cell r="L6">
            <v>0.12948602837323961</v>
          </cell>
        </row>
      </sheetData>
      <sheetData sheetId="3">
        <row r="5">
          <cell r="M5">
            <v>0.12649536757740656</v>
          </cell>
        </row>
        <row r="6">
          <cell r="M6">
            <v>0.20676471345255315</v>
          </cell>
        </row>
      </sheetData>
      <sheetData sheetId="4">
        <row r="5">
          <cell r="L5">
            <v>0.18066781350852884</v>
          </cell>
        </row>
        <row r="6">
          <cell r="L6">
            <v>0.22991527046178831</v>
          </cell>
        </row>
      </sheetData>
      <sheetData sheetId="5">
        <row r="5">
          <cell r="Q5">
            <v>0.33343041743444302</v>
          </cell>
          <cell r="R5">
            <v>0.12164840551874925</v>
          </cell>
          <cell r="W5">
            <v>0.52890611095108364</v>
          </cell>
        </row>
        <row r="6">
          <cell r="Q6">
            <v>0.42431877109647964</v>
          </cell>
          <cell r="R6">
            <v>0.19700646478417433</v>
          </cell>
          <cell r="W6">
            <v>0.7035945170863368</v>
          </cell>
        </row>
      </sheetData>
      <sheetData sheetId="6">
        <row r="5">
          <cell r="L5">
            <v>0.3242250679390129</v>
          </cell>
        </row>
        <row r="6">
          <cell r="L6">
            <v>0.4698840496852168</v>
          </cell>
        </row>
      </sheetData>
      <sheetData sheetId="7"/>
      <sheetData sheetId="8">
        <row r="5">
          <cell r="L5">
            <v>0.41661267171776939</v>
          </cell>
        </row>
        <row r="6">
          <cell r="L6">
            <v>0.53017531587759759</v>
          </cell>
        </row>
      </sheetData>
      <sheetData sheetId="9">
        <row r="5">
          <cell r="L5">
            <v>0.18354969846414795</v>
          </cell>
        </row>
        <row r="6">
          <cell r="L6">
            <v>0.24347328807266899</v>
          </cell>
        </row>
      </sheetData>
      <sheetData sheetId="10">
        <row r="5">
          <cell r="L5">
            <v>0.12596340903755263</v>
          </cell>
        </row>
        <row r="6">
          <cell r="L6">
            <v>0.16908710638359509</v>
          </cell>
        </row>
      </sheetData>
      <sheetData sheetId="11">
        <row r="5">
          <cell r="L5">
            <v>0.25318216057234166</v>
          </cell>
        </row>
        <row r="6">
          <cell r="L6">
            <v>0.32219598938879002</v>
          </cell>
        </row>
      </sheetData>
      <sheetData sheetId="12">
        <row r="5">
          <cell r="L5">
            <v>0.13602433814170228</v>
          </cell>
        </row>
        <row r="6">
          <cell r="L6">
            <v>0.18086829947803473</v>
          </cell>
        </row>
      </sheetData>
      <sheetData sheetId="1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0.18</v>
          </cell>
        </row>
        <row r="8">
          <cell r="C8">
            <v>0.23</v>
          </cell>
        </row>
        <row r="9">
          <cell r="C9">
            <v>0.25</v>
          </cell>
        </row>
        <row r="20">
          <cell r="B20">
            <v>400</v>
          </cell>
        </row>
        <row r="22">
          <cell r="B22">
            <v>31</v>
          </cell>
        </row>
        <row r="27">
          <cell r="B27">
            <v>3.2689999999999997</v>
          </cell>
        </row>
        <row r="28">
          <cell r="B28">
            <v>12</v>
          </cell>
        </row>
        <row r="29">
          <cell r="B29">
            <v>330</v>
          </cell>
        </row>
        <row r="30">
          <cell r="B30">
            <v>25</v>
          </cell>
        </row>
        <row r="31">
          <cell r="B31">
            <v>3</v>
          </cell>
        </row>
        <row r="32">
          <cell r="B32">
            <v>142</v>
          </cell>
        </row>
      </sheetData>
      <sheetData sheetId="1">
        <row r="5">
          <cell r="K5">
            <v>208.77973928930371</v>
          </cell>
          <cell r="L5">
            <v>0.10347446244459625</v>
          </cell>
        </row>
        <row r="6">
          <cell r="K6">
            <v>253.50000168297348</v>
          </cell>
          <cell r="L6">
            <v>0.15282389384059317</v>
          </cell>
        </row>
        <row r="7">
          <cell r="K7">
            <v>298.2202640766431</v>
          </cell>
          <cell r="L7">
            <v>0.20217332523658993</v>
          </cell>
        </row>
      </sheetData>
      <sheetData sheetId="2">
        <row r="5">
          <cell r="L5">
            <v>8.6147565717616184E-2</v>
          </cell>
        </row>
        <row r="6">
          <cell r="L6">
            <v>0.10460022667304195</v>
          </cell>
        </row>
        <row r="7">
          <cell r="L7">
            <v>0.12305288762846765</v>
          </cell>
        </row>
      </sheetData>
      <sheetData sheetId="3">
        <row r="5">
          <cell r="M5">
            <v>9.4650621461279991E-2</v>
          </cell>
        </row>
        <row r="6">
          <cell r="M6">
            <v>0.13954127956816229</v>
          </cell>
        </row>
        <row r="7">
          <cell r="M7">
            <v>0.19311725018881382</v>
          </cell>
        </row>
      </sheetData>
      <sheetData sheetId="4">
        <row r="5">
          <cell r="L5">
            <v>0.11867255549449668</v>
          </cell>
        </row>
        <row r="6">
          <cell r="L6">
            <v>0.14409201352575365</v>
          </cell>
        </row>
        <row r="7">
          <cell r="L7">
            <v>0.17356283583266158</v>
          </cell>
        </row>
      </sheetData>
      <sheetData sheetId="5">
        <row r="5">
          <cell r="Q5">
            <v>0.26293747900386055</v>
          </cell>
          <cell r="R5">
            <v>9.1097171658443665E-2</v>
          </cell>
          <cell r="W5">
            <v>0.50609539810246484</v>
          </cell>
        </row>
        <row r="6">
          <cell r="Q6">
            <v>0.319258236440428</v>
          </cell>
          <cell r="R6">
            <v>0.13430250855204315</v>
          </cell>
          <cell r="W6">
            <v>0.58392395022627452</v>
          </cell>
        </row>
        <row r="7">
          <cell r="Q7">
            <v>0.3755789938769955</v>
          </cell>
          <cell r="R7">
            <v>0.18586708696734508</v>
          </cell>
          <cell r="W7">
            <v>0.74346834786938032</v>
          </cell>
        </row>
      </sheetData>
      <sheetData sheetId="6">
        <row r="5">
          <cell r="L5">
            <v>0.21197639111186425</v>
          </cell>
        </row>
        <row r="6">
          <cell r="L6">
            <v>0.27771355063919906</v>
          </cell>
        </row>
        <row r="7">
          <cell r="L7">
            <v>0.34345071016653367</v>
          </cell>
        </row>
      </sheetData>
      <sheetData sheetId="7">
        <row r="6">
          <cell r="L6">
            <v>0.12220371396848656</v>
          </cell>
        </row>
        <row r="7">
          <cell r="L7">
            <v>0.27733658290455071</v>
          </cell>
        </row>
      </sheetData>
      <sheetData sheetId="8">
        <row r="5">
          <cell r="L5">
            <v>0.27575608799549106</v>
          </cell>
        </row>
        <row r="6">
          <cell r="L6">
            <v>0.33482256951227324</v>
          </cell>
        </row>
        <row r="7">
          <cell r="L7">
            <v>0.39388905102905519</v>
          </cell>
        </row>
      </sheetData>
      <sheetData sheetId="9">
        <row r="5">
          <cell r="L5">
            <v>0.11780538590963713</v>
          </cell>
        </row>
        <row r="6">
          <cell r="L6">
            <v>0.14901936805850263</v>
          </cell>
        </row>
        <row r="7">
          <cell r="L7">
            <v>0.18023335020736803</v>
          </cell>
        </row>
      </sheetData>
      <sheetData sheetId="10">
        <row r="5">
          <cell r="L5">
            <v>0.11051741448501715</v>
          </cell>
        </row>
        <row r="6">
          <cell r="L6">
            <v>0.13967437273173941</v>
          </cell>
        </row>
        <row r="7">
          <cell r="L7">
            <v>0.16883133097846162</v>
          </cell>
        </row>
      </sheetData>
      <sheetData sheetId="11">
        <row r="5">
          <cell r="L5">
            <v>0.19310393695580022</v>
          </cell>
        </row>
        <row r="6">
          <cell r="L6">
            <v>0.23446646935147353</v>
          </cell>
        </row>
        <row r="7">
          <cell r="L7">
            <v>0.2758290017471467</v>
          </cell>
        </row>
      </sheetData>
      <sheetData sheetId="12">
        <row r="5">
          <cell r="L5">
            <v>0.1163361068902061</v>
          </cell>
        </row>
        <row r="6">
          <cell r="L6">
            <v>0.14375969524004911</v>
          </cell>
        </row>
        <row r="7">
          <cell r="L7">
            <v>0.17206696076939965</v>
          </cell>
        </row>
      </sheetData>
      <sheetData sheetId="1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0.18</v>
          </cell>
        </row>
        <row r="8">
          <cell r="C8">
            <v>0.23</v>
          </cell>
        </row>
        <row r="9">
          <cell r="C9">
            <v>0.25</v>
          </cell>
        </row>
        <row r="20">
          <cell r="B20">
            <v>400</v>
          </cell>
        </row>
        <row r="22">
          <cell r="B22">
            <v>31</v>
          </cell>
        </row>
        <row r="27">
          <cell r="B27">
            <v>3.2689999999999997</v>
          </cell>
        </row>
        <row r="28">
          <cell r="B28">
            <v>12</v>
          </cell>
        </row>
        <row r="29">
          <cell r="B29">
            <v>330</v>
          </cell>
        </row>
        <row r="30">
          <cell r="B30">
            <v>25</v>
          </cell>
        </row>
        <row r="31">
          <cell r="B31">
            <v>3</v>
          </cell>
        </row>
        <row r="32">
          <cell r="B32">
            <v>142</v>
          </cell>
        </row>
      </sheetData>
      <sheetData sheetId="1">
        <row r="5">
          <cell r="K5">
            <v>208.77973928930371</v>
          </cell>
          <cell r="L5">
            <v>0.10347446244459625</v>
          </cell>
        </row>
        <row r="6">
          <cell r="K6">
            <v>253.50000168297348</v>
          </cell>
          <cell r="L6">
            <v>0.15282389384059317</v>
          </cell>
        </row>
        <row r="7">
          <cell r="K7">
            <v>298.2202640766431</v>
          </cell>
          <cell r="L7">
            <v>0.20217332523658993</v>
          </cell>
        </row>
      </sheetData>
      <sheetData sheetId="2">
        <row r="5">
          <cell r="L5">
            <v>8.6147565717616184E-2</v>
          </cell>
        </row>
        <row r="6">
          <cell r="L6">
            <v>0.10460022667304195</v>
          </cell>
        </row>
        <row r="7">
          <cell r="L7">
            <v>0.12305288762846765</v>
          </cell>
        </row>
      </sheetData>
      <sheetData sheetId="3">
        <row r="5">
          <cell r="M5">
            <v>9.4650621461279991E-2</v>
          </cell>
        </row>
        <row r="6">
          <cell r="M6">
            <v>0.13954127956816229</v>
          </cell>
        </row>
        <row r="7">
          <cell r="M7">
            <v>0.19311725018881382</v>
          </cell>
        </row>
      </sheetData>
      <sheetData sheetId="4">
        <row r="5">
          <cell r="L5">
            <v>0.11867255549449668</v>
          </cell>
        </row>
        <row r="6">
          <cell r="L6">
            <v>0.14409201352575365</v>
          </cell>
        </row>
        <row r="7">
          <cell r="L7">
            <v>0.17356283583266158</v>
          </cell>
        </row>
      </sheetData>
      <sheetData sheetId="5">
        <row r="5">
          <cell r="Q5">
            <v>0.26293747900386055</v>
          </cell>
          <cell r="R5">
            <v>9.1097171658443665E-2</v>
          </cell>
          <cell r="W5">
            <v>0.50609539810246484</v>
          </cell>
        </row>
        <row r="6">
          <cell r="Q6">
            <v>0.319258236440428</v>
          </cell>
          <cell r="R6">
            <v>0.13430250855204315</v>
          </cell>
          <cell r="W6">
            <v>0.58392395022627452</v>
          </cell>
        </row>
        <row r="7">
          <cell r="Q7">
            <v>0.3755789938769955</v>
          </cell>
          <cell r="R7">
            <v>0.18586708696734508</v>
          </cell>
          <cell r="W7">
            <v>0.74346834786938032</v>
          </cell>
        </row>
      </sheetData>
      <sheetData sheetId="6">
        <row r="5">
          <cell r="L5">
            <v>0.21197639111186425</v>
          </cell>
        </row>
        <row r="6">
          <cell r="L6">
            <v>0.27771355063919906</v>
          </cell>
        </row>
        <row r="7">
          <cell r="L7">
            <v>0.34345071016653367</v>
          </cell>
        </row>
      </sheetData>
      <sheetData sheetId="7">
        <row r="6">
          <cell r="L6">
            <v>0.12220371396848656</v>
          </cell>
        </row>
        <row r="7">
          <cell r="L7">
            <v>0.27733658290455071</v>
          </cell>
        </row>
      </sheetData>
      <sheetData sheetId="8">
        <row r="5">
          <cell r="L5">
            <v>0.27575608799549106</v>
          </cell>
        </row>
        <row r="6">
          <cell r="L6">
            <v>0.33482256951227324</v>
          </cell>
        </row>
        <row r="7">
          <cell r="L7">
            <v>0.39388905102905519</v>
          </cell>
        </row>
      </sheetData>
      <sheetData sheetId="9">
        <row r="5">
          <cell r="L5">
            <v>0.11780538590963713</v>
          </cell>
        </row>
        <row r="6">
          <cell r="L6">
            <v>0.14901936805850263</v>
          </cell>
        </row>
        <row r="7">
          <cell r="L7">
            <v>0.18023335020736803</v>
          </cell>
        </row>
      </sheetData>
      <sheetData sheetId="10">
        <row r="5">
          <cell r="L5">
            <v>0.11051741448501715</v>
          </cell>
        </row>
        <row r="6">
          <cell r="L6">
            <v>0.13967437273173941</v>
          </cell>
        </row>
        <row r="7">
          <cell r="L7">
            <v>0.16883133097846162</v>
          </cell>
        </row>
      </sheetData>
      <sheetData sheetId="11">
        <row r="5">
          <cell r="L5">
            <v>0.19310393695580022</v>
          </cell>
        </row>
        <row r="6">
          <cell r="L6">
            <v>0.23446646935147353</v>
          </cell>
        </row>
        <row r="7">
          <cell r="L7">
            <v>0.2758290017471467</v>
          </cell>
        </row>
      </sheetData>
      <sheetData sheetId="12">
        <row r="5">
          <cell r="L5">
            <v>0.1163361068902061</v>
          </cell>
        </row>
        <row r="6">
          <cell r="L6">
            <v>0.14375969524004911</v>
          </cell>
        </row>
        <row r="7">
          <cell r="L7">
            <v>0.17206696076939965</v>
          </cell>
        </row>
      </sheetData>
      <sheetData sheetId="1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0.15</v>
          </cell>
        </row>
        <row r="9">
          <cell r="C9">
            <v>0.18</v>
          </cell>
        </row>
        <row r="20">
          <cell r="B20">
            <v>400</v>
          </cell>
        </row>
        <row r="22">
          <cell r="B22">
            <v>31</v>
          </cell>
        </row>
        <row r="27">
          <cell r="B27">
            <v>3.2689999999999997</v>
          </cell>
        </row>
        <row r="28">
          <cell r="B28">
            <v>12</v>
          </cell>
        </row>
        <row r="29">
          <cell r="B29">
            <v>440</v>
          </cell>
        </row>
        <row r="30">
          <cell r="B30">
            <v>25</v>
          </cell>
        </row>
        <row r="31">
          <cell r="B31">
            <v>4</v>
          </cell>
        </row>
        <row r="32">
          <cell r="B32">
            <v>90.67</v>
          </cell>
        </row>
      </sheetData>
      <sheetData sheetId="1">
        <row r="5">
          <cell r="K5">
            <v>226.45530266575949</v>
          </cell>
          <cell r="L5">
            <v>0.12079077595334915</v>
          </cell>
        </row>
        <row r="6">
          <cell r="K6">
            <v>260.41389561049635</v>
          </cell>
          <cell r="L6">
            <v>0.1502667898333386</v>
          </cell>
        </row>
        <row r="7">
          <cell r="K7">
            <v>294.3724885552333</v>
          </cell>
          <cell r="L7">
            <v>0.17974280371332815</v>
          </cell>
        </row>
      </sheetData>
      <sheetData sheetId="2">
        <row r="5">
          <cell r="L5">
            <v>9.2384993595776857E-2</v>
          </cell>
        </row>
        <row r="6">
          <cell r="L6">
            <v>0.10623878440919669</v>
          </cell>
        </row>
        <row r="7">
          <cell r="L7">
            <v>0.12009257522261656</v>
          </cell>
        </row>
      </sheetData>
      <sheetData sheetId="3">
        <row r="5">
          <cell r="M5">
            <v>0.1100971397502373</v>
          </cell>
        </row>
        <row r="6">
          <cell r="M6">
            <v>0.14559261818925504</v>
          </cell>
        </row>
        <row r="7">
          <cell r="M7">
            <v>0.1860396380605791</v>
          </cell>
        </row>
      </sheetData>
      <sheetData sheetId="4">
        <row r="5">
          <cell r="L5">
            <v>0.11177549980360031</v>
          </cell>
        </row>
        <row r="6">
          <cell r="L6">
            <v>0.1390515575791223</v>
          </cell>
        </row>
        <row r="7">
          <cell r="L7">
            <v>0.16632761535464433</v>
          </cell>
        </row>
      </sheetData>
      <sheetData sheetId="5">
        <row r="5">
          <cell r="Q5">
            <v>0.23113702289701121</v>
          </cell>
          <cell r="R5">
            <v>0.10788433067807927</v>
          </cell>
          <cell r="W5">
            <v>0.71922887118719514</v>
          </cell>
        </row>
        <row r="6">
          <cell r="Q6">
            <v>0.26579767328859388</v>
          </cell>
          <cell r="R6">
            <v>0.14266639624471333</v>
          </cell>
          <cell r="W6">
            <v>0.95110930829808893</v>
          </cell>
        </row>
        <row r="7">
          <cell r="Q7">
            <v>0.30045832368017661</v>
          </cell>
          <cell r="R7">
            <v>0.18230048371183444</v>
          </cell>
          <cell r="W7">
            <v>1.0127804650657468</v>
          </cell>
        </row>
      </sheetData>
      <sheetData sheetId="6">
        <row r="5">
          <cell r="L5">
            <v>0.19540710997826596</v>
          </cell>
        </row>
        <row r="6">
          <cell r="L6">
            <v>0.2328455325563944</v>
          </cell>
        </row>
        <row r="7">
          <cell r="L7">
            <v>0.27028395513452297</v>
          </cell>
        </row>
      </sheetData>
      <sheetData sheetId="7">
        <row r="5">
          <cell r="L5">
            <v>0.15678506139305359</v>
          </cell>
        </row>
        <row r="6">
          <cell r="L6">
            <v>0.23648611685522961</v>
          </cell>
        </row>
        <row r="7">
          <cell r="L7">
            <v>0.31015724890308133</v>
          </cell>
        </row>
      </sheetData>
      <sheetData sheetId="8">
        <row r="5">
          <cell r="L5">
            <v>0.24808989435623718</v>
          </cell>
        </row>
        <row r="6">
          <cell r="L6">
            <v>0.28529274912259667</v>
          </cell>
        </row>
        <row r="7">
          <cell r="L7">
            <v>0.32249560388895626</v>
          </cell>
        </row>
      </sheetData>
      <sheetData sheetId="9">
        <row r="5">
          <cell r="L5">
            <v>0.10827669467392349</v>
          </cell>
        </row>
        <row r="6">
          <cell r="L6">
            <v>0.12799683213992302</v>
          </cell>
        </row>
        <row r="7">
          <cell r="L7">
            <v>0.14771696960592259</v>
          </cell>
        </row>
      </sheetData>
      <sheetData sheetId="10">
        <row r="5">
          <cell r="L5">
            <v>0.12522893792964457</v>
          </cell>
        </row>
        <row r="6">
          <cell r="L6">
            <v>0.14734997549223941</v>
          </cell>
        </row>
        <row r="7">
          <cell r="L7">
            <v>0.16947101305483431</v>
          </cell>
        </row>
      </sheetData>
      <sheetData sheetId="11">
        <row r="5">
          <cell r="L5">
            <v>0.19253300190771649</v>
          </cell>
        </row>
        <row r="6">
          <cell r="L6">
            <v>0.22140470313638005</v>
          </cell>
        </row>
        <row r="7">
          <cell r="L7">
            <v>0.25027640436504373</v>
          </cell>
        </row>
      </sheetData>
      <sheetData sheetId="12">
        <row r="5">
          <cell r="L5">
            <v>0.12601365838494885</v>
          </cell>
        </row>
        <row r="6">
          <cell r="L6">
            <v>0.14686405723793905</v>
          </cell>
        </row>
        <row r="7">
          <cell r="L7">
            <v>0.1682240031835584</v>
          </cell>
        </row>
      </sheetData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0.18</v>
          </cell>
        </row>
        <row r="8">
          <cell r="C8">
            <v>0.2</v>
          </cell>
        </row>
        <row r="9">
          <cell r="C9">
            <v>0.23</v>
          </cell>
        </row>
        <row r="20">
          <cell r="B20">
            <v>400</v>
          </cell>
        </row>
        <row r="22">
          <cell r="B22">
            <v>31</v>
          </cell>
        </row>
        <row r="27">
          <cell r="B27">
            <v>3.2689999999999997</v>
          </cell>
        </row>
        <row r="28">
          <cell r="B28">
            <v>12</v>
          </cell>
        </row>
        <row r="29">
          <cell r="B29">
            <v>440</v>
          </cell>
        </row>
        <row r="30">
          <cell r="B30">
            <v>25</v>
          </cell>
        </row>
        <row r="31">
          <cell r="B31">
            <v>4</v>
          </cell>
        </row>
        <row r="32">
          <cell r="B32">
            <v>90.67</v>
          </cell>
        </row>
      </sheetData>
      <sheetData sheetId="1">
        <row r="5">
          <cell r="K5">
            <v>226.45530266575949</v>
          </cell>
          <cell r="L5">
            <v>0.12079077595334915</v>
          </cell>
        </row>
        <row r="6">
          <cell r="K6">
            <v>260.41389561049635</v>
          </cell>
          <cell r="L6">
            <v>0.1502667898333386</v>
          </cell>
        </row>
        <row r="7">
          <cell r="K7">
            <v>294.3724885552333</v>
          </cell>
          <cell r="L7">
            <v>0.17974280371332815</v>
          </cell>
        </row>
      </sheetData>
      <sheetData sheetId="2">
        <row r="5">
          <cell r="L5">
            <v>9.2384993595776857E-2</v>
          </cell>
        </row>
        <row r="6">
          <cell r="L6">
            <v>0.10623878440919669</v>
          </cell>
        </row>
        <row r="7">
          <cell r="L7">
            <v>0.12009257522261656</v>
          </cell>
        </row>
      </sheetData>
      <sheetData sheetId="3">
        <row r="5">
          <cell r="M5">
            <v>0.1100971397502373</v>
          </cell>
        </row>
        <row r="6">
          <cell r="M6">
            <v>0.14559261818925504</v>
          </cell>
        </row>
        <row r="7">
          <cell r="M7">
            <v>0.1860396380605791</v>
          </cell>
        </row>
      </sheetData>
      <sheetData sheetId="4">
        <row r="5">
          <cell r="L5">
            <v>0.11177549980360031</v>
          </cell>
        </row>
        <row r="6">
          <cell r="L6">
            <v>0.1390515575791223</v>
          </cell>
        </row>
        <row r="7">
          <cell r="L7">
            <v>0.16632761535464433</v>
          </cell>
        </row>
      </sheetData>
      <sheetData sheetId="5">
        <row r="5">
          <cell r="Q5">
            <v>0.23113702289701121</v>
          </cell>
          <cell r="R5">
            <v>0.10788433067807927</v>
          </cell>
          <cell r="W5">
            <v>0.59935739265599597</v>
          </cell>
        </row>
        <row r="6">
          <cell r="Q6">
            <v>0.26579767328859388</v>
          </cell>
          <cell r="R6">
            <v>0.14266639624471333</v>
          </cell>
          <cell r="W6">
            <v>0.71333198122356667</v>
          </cell>
        </row>
        <row r="7">
          <cell r="Q7">
            <v>0.30045832368017661</v>
          </cell>
          <cell r="R7">
            <v>0.18230048371183444</v>
          </cell>
          <cell r="W7">
            <v>0.79261079874710627</v>
          </cell>
        </row>
      </sheetData>
      <sheetData sheetId="6">
        <row r="5">
          <cell r="L5">
            <v>0.19540710997826596</v>
          </cell>
        </row>
        <row r="6">
          <cell r="L6">
            <v>0.2328455325563944</v>
          </cell>
        </row>
        <row r="7">
          <cell r="L7">
            <v>0.27028395513452297</v>
          </cell>
        </row>
      </sheetData>
      <sheetData sheetId="7">
        <row r="5">
          <cell r="L5">
            <v>0.15678506139305359</v>
          </cell>
        </row>
        <row r="6">
          <cell r="L6">
            <v>0.23648611685522961</v>
          </cell>
        </row>
        <row r="7">
          <cell r="L7">
            <v>0.31015724890308133</v>
          </cell>
        </row>
      </sheetData>
      <sheetData sheetId="8">
        <row r="5">
          <cell r="L5">
            <v>0.24808989435623718</v>
          </cell>
        </row>
        <row r="6">
          <cell r="L6">
            <v>0.28529274912259667</v>
          </cell>
        </row>
        <row r="7">
          <cell r="L7">
            <v>0.32249560388895626</v>
          </cell>
        </row>
      </sheetData>
      <sheetData sheetId="9">
        <row r="5">
          <cell r="L5">
            <v>0.10827669467392349</v>
          </cell>
        </row>
        <row r="6">
          <cell r="L6">
            <v>0.12799683213992302</v>
          </cell>
        </row>
        <row r="7">
          <cell r="L7">
            <v>0.14771696960592259</v>
          </cell>
        </row>
      </sheetData>
      <sheetData sheetId="10">
        <row r="5">
          <cell r="L5">
            <v>0.12522893792964457</v>
          </cell>
        </row>
        <row r="6">
          <cell r="L6">
            <v>0.14734997549223941</v>
          </cell>
        </row>
        <row r="7">
          <cell r="L7">
            <v>0.16947101305483431</v>
          </cell>
        </row>
      </sheetData>
      <sheetData sheetId="11">
        <row r="5">
          <cell r="L5">
            <v>0.19253300190771649</v>
          </cell>
        </row>
        <row r="6">
          <cell r="L6">
            <v>0.22140470313638005</v>
          </cell>
        </row>
        <row r="7">
          <cell r="L7">
            <v>0.25027640436504373</v>
          </cell>
        </row>
      </sheetData>
      <sheetData sheetId="12">
        <row r="5">
          <cell r="L5">
            <v>0.12601365838494885</v>
          </cell>
        </row>
        <row r="6">
          <cell r="L6">
            <v>0.14686405723793905</v>
          </cell>
        </row>
        <row r="7">
          <cell r="L7">
            <v>0.1682240031835584</v>
          </cell>
        </row>
      </sheetData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0.18</v>
          </cell>
        </row>
        <row r="9">
          <cell r="C9">
            <v>0.2</v>
          </cell>
        </row>
        <row r="10">
          <cell r="C10">
            <v>0.22</v>
          </cell>
        </row>
        <row r="11">
          <cell r="C11">
            <v>0.24</v>
          </cell>
        </row>
        <row r="12">
          <cell r="C12">
            <v>0.26</v>
          </cell>
        </row>
        <row r="13">
          <cell r="C13">
            <v>0.28000000000000003</v>
          </cell>
        </row>
        <row r="20">
          <cell r="B20">
            <v>100</v>
          </cell>
        </row>
        <row r="22">
          <cell r="B22">
            <v>45</v>
          </cell>
        </row>
        <row r="27">
          <cell r="B27">
            <v>2.8</v>
          </cell>
        </row>
        <row r="28">
          <cell r="B28">
            <v>10</v>
          </cell>
        </row>
        <row r="29">
          <cell r="B29">
            <v>78.5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45</v>
          </cell>
        </row>
      </sheetData>
      <sheetData sheetId="1">
        <row r="5">
          <cell r="K5">
            <v>274.14363221273135</v>
          </cell>
          <cell r="L5">
            <v>0.16512721124267726</v>
          </cell>
        </row>
        <row r="6">
          <cell r="K6">
            <v>294.20292237463855</v>
          </cell>
          <cell r="L6">
            <v>0.19410888513240512</v>
          </cell>
        </row>
        <row r="7">
          <cell r="K7">
            <v>316.93678455813335</v>
          </cell>
          <cell r="L7">
            <v>0.22695478220742998</v>
          </cell>
        </row>
        <row r="8">
          <cell r="K8">
            <v>336.9960747200405</v>
          </cell>
          <cell r="L8">
            <v>0.25593645609715776</v>
          </cell>
        </row>
        <row r="9">
          <cell r="K9">
            <v>359.72993690353525</v>
          </cell>
          <cell r="L9">
            <v>0.28878235317218248</v>
          </cell>
        </row>
        <row r="10">
          <cell r="K10">
            <v>379.78922706544245</v>
          </cell>
          <cell r="L10">
            <v>0.31776402706191037</v>
          </cell>
        </row>
        <row r="11">
          <cell r="K11">
            <v>403.86037525973109</v>
          </cell>
          <cell r="L11">
            <v>0.35254203572958381</v>
          </cell>
        </row>
      </sheetData>
      <sheetData sheetId="2">
        <row r="5">
          <cell r="L5">
            <v>0.16285127956433496</v>
          </cell>
        </row>
        <row r="6">
          <cell r="L6">
            <v>0.17476722684953019</v>
          </cell>
        </row>
        <row r="7">
          <cell r="L7">
            <v>0.18827196710608479</v>
          </cell>
        </row>
        <row r="8">
          <cell r="L8">
            <v>0.20018791439128003</v>
          </cell>
        </row>
        <row r="9">
          <cell r="L9">
            <v>0.21372760574098071</v>
          </cell>
        </row>
        <row r="10">
          <cell r="L10">
            <v>0.24351747395396883</v>
          </cell>
        </row>
        <row r="11">
          <cell r="L11">
            <v>0.2792653158095546</v>
          </cell>
        </row>
      </sheetData>
      <sheetData sheetId="3">
        <row r="5">
          <cell r="M5">
            <v>0.20977002213391188</v>
          </cell>
        </row>
        <row r="6">
          <cell r="M6">
            <v>0.24159117361764032</v>
          </cell>
        </row>
        <row r="7">
          <cell r="M7">
            <v>0.28037055022581076</v>
          </cell>
        </row>
        <row r="8">
          <cell r="M8">
            <v>0.31698359275650057</v>
          </cell>
        </row>
        <row r="9">
          <cell r="M9">
            <v>0.36121264700812228</v>
          </cell>
        </row>
        <row r="10">
          <cell r="M10">
            <v>0.41114123614227466</v>
          </cell>
        </row>
        <row r="11">
          <cell r="M11">
            <v>0.47105554310325753</v>
          </cell>
        </row>
      </sheetData>
      <sheetData sheetId="4">
        <row r="5">
          <cell r="L5">
            <v>0.20935626192980678</v>
          </cell>
        </row>
        <row r="6">
          <cell r="L6">
            <v>0.22467501280271945</v>
          </cell>
        </row>
        <row r="7">
          <cell r="L7">
            <v>0.24203626379202053</v>
          </cell>
        </row>
        <row r="8">
          <cell r="L8">
            <v>0.25735501466493321</v>
          </cell>
        </row>
        <row r="9">
          <cell r="L9">
            <v>0.27471626565423424</v>
          </cell>
        </row>
        <row r="10">
          <cell r="L10">
            <v>0.29003501652714692</v>
          </cell>
        </row>
        <row r="11">
          <cell r="L11">
            <v>0.31057003114677012</v>
          </cell>
        </row>
      </sheetData>
      <sheetData sheetId="5">
        <row r="5">
          <cell r="Q5">
            <v>0.23187521693293625</v>
          </cell>
          <cell r="R5">
            <v>0.1349186115491853</v>
          </cell>
          <cell r="W5">
            <v>0.8432413221824081</v>
          </cell>
        </row>
        <row r="6">
          <cell r="Q6">
            <v>0.24884169622071209</v>
          </cell>
          <cell r="R6">
            <v>0.15538514691208971</v>
          </cell>
          <cell r="W6">
            <v>0.86325081617827626</v>
          </cell>
        </row>
        <row r="7">
          <cell r="Q7">
            <v>0.26807037274685808</v>
          </cell>
          <cell r="R7">
            <v>0.18032703134101588</v>
          </cell>
          <cell r="W7">
            <v>0.90163515670507932</v>
          </cell>
        </row>
        <row r="8">
          <cell r="Q8">
            <v>0.28503685203463386</v>
          </cell>
          <cell r="R8">
            <v>0.20387558614680465</v>
          </cell>
          <cell r="W8">
            <v>0.92670720975820298</v>
          </cell>
        </row>
        <row r="9">
          <cell r="Q9">
            <v>0.30426552856077982</v>
          </cell>
          <cell r="R9">
            <v>0.23231042594433315</v>
          </cell>
          <cell r="W9">
            <v>0.96796010810138822</v>
          </cell>
        </row>
        <row r="10">
          <cell r="Q10">
            <v>0.32123200784855555</v>
          </cell>
          <cell r="R10">
            <v>0.25894100019300625</v>
          </cell>
          <cell r="W10">
            <v>0.99592692381925474</v>
          </cell>
        </row>
        <row r="11">
          <cell r="Q11">
            <v>0.34159178299388665</v>
          </cell>
          <cell r="R11">
            <v>0.29280468882169908</v>
          </cell>
          <cell r="W11">
            <v>1.0457310315060679</v>
          </cell>
        </row>
      </sheetData>
      <sheetData sheetId="6">
        <row r="5">
          <cell r="L5">
            <v>0.31615531622056936</v>
          </cell>
        </row>
        <row r="6">
          <cell r="L6">
            <v>0.35364191324925454</v>
          </cell>
        </row>
        <row r="7">
          <cell r="L7">
            <v>0.39612672321509768</v>
          </cell>
        </row>
        <row r="8">
          <cell r="L8">
            <v>0.43361332024378274</v>
          </cell>
        </row>
        <row r="9">
          <cell r="L9">
            <v>0.47609813020962577</v>
          </cell>
        </row>
        <row r="10">
          <cell r="L10">
            <v>0.51358472723831095</v>
          </cell>
        </row>
        <row r="11">
          <cell r="L11">
            <v>0.55856864367273318</v>
          </cell>
        </row>
      </sheetData>
      <sheetData sheetId="7">
        <row r="5">
          <cell r="L5">
            <v>0.16821697701992566</v>
          </cell>
        </row>
        <row r="6">
          <cell r="L6">
            <v>0.21882839254894493</v>
          </cell>
        </row>
        <row r="7">
          <cell r="L7">
            <v>0.27336080427619847</v>
          </cell>
        </row>
        <row r="8">
          <cell r="L8">
            <v>0.31944831577752686</v>
          </cell>
        </row>
        <row r="9">
          <cell r="L9">
            <v>0.36979987077395959</v>
          </cell>
        </row>
        <row r="10">
          <cell r="L10">
            <v>0.41284270806854767</v>
          </cell>
        </row>
        <row r="11">
          <cell r="L11">
            <v>0.46306393428501186</v>
          </cell>
        </row>
      </sheetData>
      <sheetData sheetId="8">
        <row r="5">
          <cell r="L5">
            <v>0.32972729832920816</v>
          </cell>
        </row>
        <row r="6">
          <cell r="L6">
            <v>0.3538536860118332</v>
          </cell>
        </row>
        <row r="7">
          <cell r="L7">
            <v>0.38119692538547489</v>
          </cell>
        </row>
        <row r="8">
          <cell r="L8">
            <v>0.40532331306809988</v>
          </cell>
        </row>
        <row r="9">
          <cell r="L9">
            <v>0.4326665524417414</v>
          </cell>
        </row>
        <row r="10">
          <cell r="L10">
            <v>0.45679294012436644</v>
          </cell>
        </row>
        <row r="11">
          <cell r="L11">
            <v>0.48574460534351649</v>
          </cell>
        </row>
      </sheetData>
      <sheetData sheetId="9">
        <row r="5">
          <cell r="L5">
            <v>0.19391653196718392</v>
          </cell>
        </row>
        <row r="6">
          <cell r="L6">
            <v>0.21087722952129095</v>
          </cell>
        </row>
        <row r="7">
          <cell r="L7">
            <v>0.23009935341594556</v>
          </cell>
        </row>
        <row r="8">
          <cell r="L8">
            <v>0.24706005097005254</v>
          </cell>
        </row>
        <row r="9">
          <cell r="L9">
            <v>0.26628217486470712</v>
          </cell>
        </row>
        <row r="10">
          <cell r="L10">
            <v>0.28324287241881418</v>
          </cell>
        </row>
        <row r="11">
          <cell r="L11">
            <v>0.30359570948374259</v>
          </cell>
        </row>
      </sheetData>
      <sheetData sheetId="10">
        <row r="5">
          <cell r="L5">
            <v>0.13081543976903548</v>
          </cell>
        </row>
        <row r="6">
          <cell r="L6">
            <v>0.14151720856094585</v>
          </cell>
        </row>
        <row r="7">
          <cell r="L7">
            <v>0.15364587985844427</v>
          </cell>
        </row>
        <row r="8">
          <cell r="L8">
            <v>0.16434764865035462</v>
          </cell>
        </row>
        <row r="9">
          <cell r="L9">
            <v>0.17647631994785301</v>
          </cell>
        </row>
        <row r="10">
          <cell r="L10">
            <v>0.18717808873976338</v>
          </cell>
        </row>
        <row r="11">
          <cell r="L11">
            <v>0.20002021129005584</v>
          </cell>
        </row>
      </sheetData>
      <sheetData sheetId="11">
        <row r="5">
          <cell r="L5">
            <v>0.2852583712686465</v>
          </cell>
        </row>
        <row r="6">
          <cell r="L6">
            <v>0.30613093502001087</v>
          </cell>
        </row>
        <row r="7">
          <cell r="L7">
            <v>0.32978650727155717</v>
          </cell>
        </row>
        <row r="8">
          <cell r="L8">
            <v>0.35065907102292154</v>
          </cell>
        </row>
        <row r="9">
          <cell r="L9">
            <v>0.37431464327446778</v>
          </cell>
        </row>
        <row r="10">
          <cell r="L10">
            <v>0.39518720702583221</v>
          </cell>
        </row>
        <row r="11">
          <cell r="L11">
            <v>0.4202342835274695</v>
          </cell>
        </row>
      </sheetData>
      <sheetData sheetId="12">
        <row r="5">
          <cell r="L5">
            <v>0.1875518127179997</v>
          </cell>
        </row>
        <row r="6">
          <cell r="L6">
            <v>0.20184130151821655</v>
          </cell>
        </row>
        <row r="7">
          <cell r="L7">
            <v>0.21812939030217457</v>
          </cell>
        </row>
        <row r="8">
          <cell r="L8">
            <v>0.23258358759129535</v>
          </cell>
        </row>
        <row r="9">
          <cell r="L9">
            <v>0.24909329708915717</v>
          </cell>
        </row>
        <row r="10">
          <cell r="L10">
            <v>0.28158612379497472</v>
          </cell>
        </row>
        <row r="11">
          <cell r="L11">
            <v>0.32067942921946513</v>
          </cell>
        </row>
      </sheetData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0.17</v>
          </cell>
        </row>
        <row r="9">
          <cell r="C9">
            <v>0.19</v>
          </cell>
        </row>
        <row r="10">
          <cell r="C10">
            <v>0.2</v>
          </cell>
        </row>
        <row r="11">
          <cell r="C11">
            <v>0.22</v>
          </cell>
        </row>
        <row r="12">
          <cell r="C12">
            <v>0.24</v>
          </cell>
        </row>
        <row r="13">
          <cell r="C13">
            <v>0.26</v>
          </cell>
        </row>
        <row r="14">
          <cell r="C14">
            <v>0.28999999999999998</v>
          </cell>
        </row>
        <row r="20">
          <cell r="B20">
            <v>100</v>
          </cell>
        </row>
        <row r="22">
          <cell r="B22">
            <v>45</v>
          </cell>
        </row>
        <row r="27">
          <cell r="B27">
            <v>2.8</v>
          </cell>
        </row>
        <row r="28">
          <cell r="B28">
            <v>10</v>
          </cell>
        </row>
        <row r="29">
          <cell r="B29">
            <v>78.5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45</v>
          </cell>
        </row>
      </sheetData>
      <sheetData sheetId="1">
        <row r="5">
          <cell r="K5">
            <v>251.40977002923657</v>
          </cell>
          <cell r="L5">
            <v>0.13228131416765246</v>
          </cell>
        </row>
        <row r="6">
          <cell r="K6">
            <v>274.14363221273135</v>
          </cell>
          <cell r="L6">
            <v>0.16512721124267726</v>
          </cell>
        </row>
        <row r="7">
          <cell r="K7">
            <v>295.54020838543232</v>
          </cell>
          <cell r="L7">
            <v>0.19604099672505357</v>
          </cell>
        </row>
        <row r="8">
          <cell r="K8">
            <v>314.93085554194266</v>
          </cell>
          <cell r="L8">
            <v>0.22405661481845726</v>
          </cell>
        </row>
        <row r="9">
          <cell r="K9">
            <v>336.9960747200405</v>
          </cell>
          <cell r="L9">
            <v>0.25593645609715776</v>
          </cell>
        </row>
        <row r="10">
          <cell r="K10">
            <v>359.06129389813839</v>
          </cell>
          <cell r="L10">
            <v>0.28781629737585829</v>
          </cell>
        </row>
        <row r="11">
          <cell r="K11">
            <v>377.78329804925175</v>
          </cell>
          <cell r="L11">
            <v>0.31486585967293762</v>
          </cell>
        </row>
        <row r="12">
          <cell r="K12">
            <v>395.83665919496815</v>
          </cell>
          <cell r="L12">
            <v>0.34094936617369254</v>
          </cell>
        </row>
      </sheetData>
      <sheetData sheetId="2">
        <row r="5">
          <cell r="L5">
            <v>0.14934653930778033</v>
          </cell>
        </row>
        <row r="6">
          <cell r="L6">
            <v>0.16285127956433496</v>
          </cell>
        </row>
        <row r="7">
          <cell r="L7">
            <v>0.17556162333520986</v>
          </cell>
        </row>
        <row r="8">
          <cell r="L8">
            <v>0.18708037237756528</v>
          </cell>
        </row>
        <row r="9">
          <cell r="L9">
            <v>0.20018791439128003</v>
          </cell>
        </row>
        <row r="10">
          <cell r="L10">
            <v>0.21329545640499481</v>
          </cell>
        </row>
        <row r="11">
          <cell r="L11">
            <v>0.24053848713267006</v>
          </cell>
        </row>
        <row r="12">
          <cell r="L12">
            <v>0.26734936852435925</v>
          </cell>
        </row>
      </sheetData>
      <sheetData sheetId="3">
        <row r="5">
          <cell r="M5">
            <v>0.17642145537896448</v>
          </cell>
        </row>
        <row r="6">
          <cell r="M6">
            <v>0.20977002213391188</v>
          </cell>
        </row>
        <row r="7">
          <cell r="M7">
            <v>0.24379244856733817</v>
          </cell>
        </row>
        <row r="8">
          <cell r="M8">
            <v>0.27683278691379631</v>
          </cell>
        </row>
        <row r="9">
          <cell r="M9">
            <v>0.31698359275650057</v>
          </cell>
        </row>
        <row r="10">
          <cell r="M10">
            <v>0.35985229930240353</v>
          </cell>
        </row>
        <row r="11">
          <cell r="M11">
            <v>0.40614837722885949</v>
          </cell>
        </row>
        <row r="12">
          <cell r="M12">
            <v>0.45108410744959648</v>
          </cell>
        </row>
      </sheetData>
      <sheetData sheetId="4">
        <row r="5">
          <cell r="L5">
            <v>0.19199501094050575</v>
          </cell>
        </row>
        <row r="6">
          <cell r="L6">
            <v>0.20935626192980678</v>
          </cell>
        </row>
        <row r="7">
          <cell r="L7">
            <v>0.22569626286091363</v>
          </cell>
        </row>
        <row r="8">
          <cell r="L8">
            <v>0.24050438870472929</v>
          </cell>
        </row>
        <row r="9">
          <cell r="L9">
            <v>0.25735501466493321</v>
          </cell>
        </row>
        <row r="10">
          <cell r="L10">
            <v>0.27420564062513714</v>
          </cell>
        </row>
        <row r="11">
          <cell r="L11">
            <v>0.28850314143985567</v>
          </cell>
        </row>
        <row r="12">
          <cell r="L12">
            <v>0.30229001722547705</v>
          </cell>
        </row>
      </sheetData>
      <sheetData sheetId="5">
        <row r="5">
          <cell r="Q5">
            <v>0.21264654040679032</v>
          </cell>
          <cell r="R5">
            <v>0.11346968248886155</v>
          </cell>
          <cell r="W5">
            <v>0.75646454992574375</v>
          </cell>
        </row>
        <row r="6">
          <cell r="Q6">
            <v>0.23187521693293625</v>
          </cell>
          <cell r="R6">
            <v>0.1349186115491853</v>
          </cell>
          <cell r="W6">
            <v>0.7936388914657958</v>
          </cell>
        </row>
        <row r="7">
          <cell r="Q7">
            <v>0.24997279483989715</v>
          </cell>
          <cell r="R7">
            <v>0.15680094959366475</v>
          </cell>
          <cell r="W7">
            <v>0.82526815575613022</v>
          </cell>
        </row>
        <row r="8">
          <cell r="Q8">
            <v>0.26637372481808047</v>
          </cell>
          <cell r="R8">
            <v>0.17805163417419886</v>
          </cell>
          <cell r="W8">
            <v>0.89025817087099424</v>
          </cell>
        </row>
        <row r="9">
          <cell r="Q9">
            <v>0.28503685203463386</v>
          </cell>
          <cell r="R9">
            <v>0.20387558614680465</v>
          </cell>
          <cell r="W9">
            <v>0.92670720975820298</v>
          </cell>
        </row>
        <row r="10">
          <cell r="Q10">
            <v>0.30369997925118725</v>
          </cell>
          <cell r="R10">
            <v>0.23144762102217148</v>
          </cell>
          <cell r="W10">
            <v>0.96436508759238115</v>
          </cell>
        </row>
        <row r="11">
          <cell r="Q11">
            <v>0.31953535991977811</v>
          </cell>
          <cell r="R11">
            <v>0.25621293142051577</v>
          </cell>
          <cell r="W11">
            <v>0.98543435161736825</v>
          </cell>
        </row>
        <row r="12">
          <cell r="Q12">
            <v>0.33480519127877628</v>
          </cell>
          <cell r="R12">
            <v>0.28128564115391846</v>
          </cell>
          <cell r="W12">
            <v>0.96995048673764994</v>
          </cell>
        </row>
      </sheetData>
      <sheetData sheetId="6">
        <row r="5">
          <cell r="L5">
            <v>0.27367050625472622</v>
          </cell>
        </row>
        <row r="6">
          <cell r="L6">
            <v>0.31615531622056936</v>
          </cell>
        </row>
        <row r="7">
          <cell r="L7">
            <v>0.35614101971783346</v>
          </cell>
        </row>
        <row r="8">
          <cell r="L8">
            <v>0.3923780635122292</v>
          </cell>
        </row>
        <row r="9">
          <cell r="L9">
            <v>0.43361332024378274</v>
          </cell>
        </row>
        <row r="10">
          <cell r="L10">
            <v>0.47484857697533639</v>
          </cell>
        </row>
        <row r="11">
          <cell r="L11">
            <v>0.50983606753544253</v>
          </cell>
        </row>
        <row r="12">
          <cell r="L12">
            <v>0.54357400486125895</v>
          </cell>
        </row>
      </sheetData>
      <sheetData sheetId="7">
        <row r="5">
          <cell r="L5">
            <v>0.10729330556362165</v>
          </cell>
        </row>
        <row r="6">
          <cell r="L6">
            <v>0.16821697701992566</v>
          </cell>
        </row>
        <row r="7">
          <cell r="L7">
            <v>0.22211331408926083</v>
          </cell>
        </row>
        <row r="8">
          <cell r="L8">
            <v>0.26865430312309796</v>
          </cell>
        </row>
        <row r="9">
          <cell r="L9">
            <v>0.31944831577752686</v>
          </cell>
        </row>
        <row r="10">
          <cell r="L10">
            <v>0.36834412167041547</v>
          </cell>
        </row>
        <row r="11">
          <cell r="L11">
            <v>0.40859054588995608</v>
          </cell>
        </row>
        <row r="12">
          <cell r="L12">
            <v>0.44648106773556961</v>
          </cell>
        </row>
      </sheetData>
      <sheetData sheetId="8">
        <row r="5">
          <cell r="L5">
            <v>0.30238405895556658</v>
          </cell>
        </row>
        <row r="6">
          <cell r="L6">
            <v>0.32972729832920816</v>
          </cell>
        </row>
        <row r="7">
          <cell r="L7">
            <v>0.3554621118573415</v>
          </cell>
        </row>
        <row r="8">
          <cell r="L8">
            <v>0.37878428661721242</v>
          </cell>
        </row>
        <row r="9">
          <cell r="L9">
            <v>0.40532331306809988</v>
          </cell>
        </row>
        <row r="10">
          <cell r="L10">
            <v>0.43186233951898739</v>
          </cell>
        </row>
        <row r="11">
          <cell r="L11">
            <v>0.45438030135610397</v>
          </cell>
        </row>
        <row r="12">
          <cell r="L12">
            <v>0.47609405027046647</v>
          </cell>
        </row>
      </sheetData>
      <sheetData sheetId="9">
        <row r="5">
          <cell r="L5">
            <v>0.17469440807252934</v>
          </cell>
        </row>
        <row r="6">
          <cell r="L6">
            <v>0.19391653196718392</v>
          </cell>
        </row>
        <row r="7">
          <cell r="L7">
            <v>0.2120079426915647</v>
          </cell>
        </row>
        <row r="8">
          <cell r="L8">
            <v>0.22840328366053489</v>
          </cell>
        </row>
        <row r="9">
          <cell r="L9">
            <v>0.24706005097005254</v>
          </cell>
        </row>
        <row r="10">
          <cell r="L10">
            <v>0.26571681827957028</v>
          </cell>
        </row>
        <row r="11">
          <cell r="L11">
            <v>0.28154680266340348</v>
          </cell>
        </row>
        <row r="12">
          <cell r="L12">
            <v>0.29681143046209973</v>
          </cell>
        </row>
      </sheetData>
      <sheetData sheetId="10">
        <row r="5">
          <cell r="L5">
            <v>0.11868676847153704</v>
          </cell>
        </row>
        <row r="6">
          <cell r="L6">
            <v>0.13081543976903548</v>
          </cell>
        </row>
        <row r="7">
          <cell r="L7">
            <v>0.14223065981373986</v>
          </cell>
        </row>
        <row r="8">
          <cell r="L8">
            <v>0.15257570297925327</v>
          </cell>
        </row>
        <row r="9">
          <cell r="L9">
            <v>0.16434764865035462</v>
          </cell>
        </row>
        <row r="10">
          <cell r="L10">
            <v>0.17611959432145605</v>
          </cell>
        </row>
        <row r="11">
          <cell r="L11">
            <v>0.18610791186057238</v>
          </cell>
        </row>
        <row r="12">
          <cell r="L12">
            <v>0.19573950377329169</v>
          </cell>
        </row>
      </sheetData>
      <sheetData sheetId="11">
        <row r="5">
          <cell r="L5">
            <v>0.26160279901710021</v>
          </cell>
        </row>
        <row r="6">
          <cell r="L6">
            <v>0.2852583712686465</v>
          </cell>
        </row>
        <row r="7">
          <cell r="L7">
            <v>0.30752243927010181</v>
          </cell>
        </row>
        <row r="8">
          <cell r="L8">
            <v>0.32769925089642077</v>
          </cell>
        </row>
        <row r="9">
          <cell r="L9">
            <v>0.35065907102292154</v>
          </cell>
        </row>
        <row r="10">
          <cell r="L10">
            <v>0.37361889114942237</v>
          </cell>
        </row>
        <row r="11">
          <cell r="L11">
            <v>0.39309995065069581</v>
          </cell>
        </row>
        <row r="12">
          <cell r="L12">
            <v>0.41188525802692366</v>
          </cell>
        </row>
      </sheetData>
      <sheetData sheetId="12">
        <row r="5">
          <cell r="L5">
            <v>0.17145039355479941</v>
          </cell>
        </row>
        <row r="6">
          <cell r="L6">
            <v>0.1875518127179997</v>
          </cell>
        </row>
        <row r="7">
          <cell r="L7">
            <v>0.2027966792463794</v>
          </cell>
        </row>
        <row r="8">
          <cell r="L8">
            <v>0.21668821696399207</v>
          </cell>
        </row>
        <row r="9">
          <cell r="L9">
            <v>0.23258358759129535</v>
          </cell>
        </row>
        <row r="10">
          <cell r="L10">
            <v>0.24857237881464883</v>
          </cell>
        </row>
        <row r="11">
          <cell r="L11">
            <v>0.27833336680470522</v>
          </cell>
        </row>
        <row r="12">
          <cell r="L12">
            <v>0.30763597427463379</v>
          </cell>
        </row>
      </sheetData>
      <sheetData sheetId="1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0.17</v>
          </cell>
        </row>
        <row r="8">
          <cell r="C8">
            <v>0.2</v>
          </cell>
        </row>
        <row r="9">
          <cell r="C9">
            <v>0.24</v>
          </cell>
        </row>
        <row r="10">
          <cell r="C10">
            <v>0.27</v>
          </cell>
        </row>
        <row r="11">
          <cell r="C11">
            <v>0.32</v>
          </cell>
        </row>
        <row r="12">
          <cell r="C12">
            <v>0.34</v>
          </cell>
        </row>
        <row r="20">
          <cell r="B20">
            <v>100</v>
          </cell>
        </row>
        <row r="22">
          <cell r="B22">
            <v>50</v>
          </cell>
        </row>
        <row r="27">
          <cell r="B27">
            <v>2.8</v>
          </cell>
        </row>
        <row r="28">
          <cell r="B28">
            <v>20</v>
          </cell>
        </row>
        <row r="29">
          <cell r="B29">
            <v>315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40</v>
          </cell>
        </row>
      </sheetData>
      <sheetData sheetId="1">
        <row r="5">
          <cell r="K5">
            <v>201.33268539095971</v>
          </cell>
          <cell r="L5">
            <v>0.13248092114240001</v>
          </cell>
        </row>
        <row r="6">
          <cell r="K6">
            <v>235.28147905021083</v>
          </cell>
          <cell r="L6">
            <v>0.1609239791113681</v>
          </cell>
        </row>
        <row r="7">
          <cell r="K7">
            <v>268.14100660274795</v>
          </cell>
          <cell r="L7">
            <v>0.18845442559470083</v>
          </cell>
        </row>
        <row r="8">
          <cell r="K8">
            <v>300.81898980416611</v>
          </cell>
          <cell r="L8">
            <v>0.21583277016376104</v>
          </cell>
        </row>
        <row r="9">
          <cell r="K9">
            <v>333.13388430334641</v>
          </cell>
          <cell r="L9">
            <v>0.24290691090427621</v>
          </cell>
        </row>
        <row r="10">
          <cell r="K10">
            <v>366.35650055812141</v>
          </cell>
          <cell r="L10">
            <v>0.27074156121615395</v>
          </cell>
        </row>
      </sheetData>
      <sheetData sheetId="2">
        <row r="5">
          <cell r="L5">
            <v>0.12448001593101213</v>
          </cell>
        </row>
        <row r="6">
          <cell r="L6">
            <v>0.16319147975293574</v>
          </cell>
        </row>
        <row r="7">
          <cell r="L7">
            <v>0.20066086452174944</v>
          </cell>
        </row>
        <row r="8">
          <cell r="L8">
            <v>0.23792323611504487</v>
          </cell>
        </row>
        <row r="9">
          <cell r="L9">
            <v>0.27477158135730378</v>
          </cell>
        </row>
        <row r="10">
          <cell r="L10">
            <v>0.312654992477154</v>
          </cell>
        </row>
      </sheetData>
      <sheetData sheetId="3">
        <row r="5">
          <cell r="M5">
            <v>0.12448001593101213</v>
          </cell>
        </row>
        <row r="6">
          <cell r="M6">
            <v>0.17271575064382896</v>
          </cell>
        </row>
        <row r="7">
          <cell r="M7">
            <v>0.22130062120069757</v>
          </cell>
        </row>
        <row r="8">
          <cell r="M8">
            <v>0.26961706705835697</v>
          </cell>
        </row>
        <row r="9">
          <cell r="M9">
            <v>0.31739666351759815</v>
          </cell>
        </row>
        <row r="10">
          <cell r="M10">
            <v>0.36651838347288501</v>
          </cell>
        </row>
      </sheetData>
      <sheetData sheetId="4">
        <row r="5">
          <cell r="L5">
            <v>0.14421239382681603</v>
          </cell>
        </row>
        <row r="6">
          <cell r="L6">
            <v>0.17517414622172003</v>
          </cell>
        </row>
        <row r="7">
          <cell r="L7">
            <v>0.20514247340609224</v>
          </cell>
        </row>
        <row r="8">
          <cell r="L8">
            <v>0.23494522972204257</v>
          </cell>
        </row>
        <row r="9">
          <cell r="L9">
            <v>0.26441684430114909</v>
          </cell>
        </row>
        <row r="10">
          <cell r="L10">
            <v>0.29471631322236513</v>
          </cell>
        </row>
      </sheetData>
      <sheetData sheetId="5">
        <row r="5">
          <cell r="Q5">
            <v>0.17073851136246324</v>
          </cell>
          <cell r="R5">
            <v>0.15478528012645698</v>
          </cell>
          <cell r="W5">
            <v>0.91050164780268805</v>
          </cell>
        </row>
        <row r="6">
          <cell r="Q6">
            <v>0.19952850381041692</v>
          </cell>
          <cell r="R6">
            <v>0.211386169121142</v>
          </cell>
          <cell r="W6">
            <v>0.99764251905208456</v>
          </cell>
        </row>
        <row r="7">
          <cell r="Q7">
            <v>0.22739475318517421</v>
          </cell>
          <cell r="R7">
            <v>0.27455386120201025</v>
          </cell>
          <cell r="W7">
            <v>0.94747813827155924</v>
          </cell>
        </row>
        <row r="8">
          <cell r="Q8">
            <v>0.25510704538106549</v>
          </cell>
          <cell r="R8">
            <v>0.34555054480386854</v>
          </cell>
          <cell r="W8">
            <v>0.94484090881876104</v>
          </cell>
        </row>
        <row r="9">
          <cell r="Q9">
            <v>0.28251142321922457</v>
          </cell>
          <cell r="R9">
            <v>0.42377828820333779</v>
          </cell>
          <cell r="W9">
            <v>0.88284819756007671</v>
          </cell>
        </row>
        <row r="10">
          <cell r="Q10">
            <v>0.31068558695171394</v>
          </cell>
          <cell r="R10">
            <v>0.51251772415842989</v>
          </cell>
          <cell r="W10">
            <v>0.91378113809327621</v>
          </cell>
        </row>
      </sheetData>
      <sheetData sheetId="6">
        <row r="5">
          <cell r="L5">
            <v>0.17950779201610131</v>
          </cell>
        </row>
        <row r="6">
          <cell r="L6">
            <v>0.21464209910472309</v>
          </cell>
        </row>
        <row r="7">
          <cell r="L7">
            <v>0.2486491022225869</v>
          </cell>
        </row>
        <row r="8">
          <cell r="L8">
            <v>0.28246822134532446</v>
          </cell>
        </row>
        <row r="9">
          <cell r="L9">
            <v>0.31591157247780943</v>
          </cell>
        </row>
        <row r="10">
          <cell r="L10">
            <v>0.35029434358592576</v>
          </cell>
        </row>
      </sheetData>
      <sheetData sheetId="7">
        <row r="5">
          <cell r="L5">
            <v>0.22328306155808111</v>
          </cell>
        </row>
        <row r="6">
          <cell r="L6">
            <v>0.27896342585346029</v>
          </cell>
        </row>
        <row r="7">
          <cell r="L7">
            <v>0.33085221243175927</v>
          </cell>
        </row>
        <row r="8">
          <cell r="L8">
            <v>0.38114518145987081</v>
          </cell>
        </row>
        <row r="9">
          <cell r="L9">
            <v>0.42997260953800504</v>
          </cell>
        </row>
        <row r="10">
          <cell r="L10">
            <v>0.47948358788270817</v>
          </cell>
        </row>
      </sheetData>
      <sheetData sheetId="8">
        <row r="5">
          <cell r="L5">
            <v>0.2328008437471874</v>
          </cell>
        </row>
        <row r="6">
          <cell r="L6">
            <v>0.27205581018607294</v>
          </cell>
        </row>
        <row r="7">
          <cell r="L7">
            <v>0.31005125898520808</v>
          </cell>
        </row>
        <row r="8">
          <cell r="L8">
            <v>0.34783678817771818</v>
          </cell>
        </row>
        <row r="9">
          <cell r="L9">
            <v>0.38520247815697833</v>
          </cell>
        </row>
        <row r="10">
          <cell r="L10">
            <v>0.42361776616936347</v>
          </cell>
        </row>
      </sheetData>
      <sheetData sheetId="9">
        <row r="5">
          <cell r="L5">
            <v>0.19009102703898831</v>
          </cell>
        </row>
        <row r="6">
          <cell r="L6">
            <v>0.23100430406477596</v>
          </cell>
        </row>
        <row r="7">
          <cell r="L7">
            <v>0.27060485562449543</v>
          </cell>
        </row>
        <row r="8">
          <cell r="L8">
            <v>0.30998661960653695</v>
          </cell>
        </row>
        <row r="9">
          <cell r="L9">
            <v>0.34893080843322255</v>
          </cell>
        </row>
        <row r="10">
          <cell r="L10">
            <v>0.388968935148298</v>
          </cell>
        </row>
      </sheetData>
      <sheetData sheetId="10">
        <row r="5">
          <cell r="L5">
            <v>0.10063566624984965</v>
          </cell>
        </row>
        <row r="6">
          <cell r="L6">
            <v>0.11950502817529221</v>
          </cell>
        </row>
        <row r="7">
          <cell r="L7">
            <v>0.13776895602826064</v>
          </cell>
        </row>
        <row r="8">
          <cell r="L8">
            <v>0.15593197820248342</v>
          </cell>
        </row>
        <row r="9">
          <cell r="L9">
            <v>0.17389318901921488</v>
          </cell>
        </row>
        <row r="10">
          <cell r="L10">
            <v>0.19235892822967463</v>
          </cell>
        </row>
      </sheetData>
      <sheetData sheetId="11">
        <row r="5">
          <cell r="L5">
            <v>0.24631464196932079</v>
          </cell>
        </row>
        <row r="6">
          <cell r="L6">
            <v>0.28784831018236229</v>
          </cell>
        </row>
        <row r="7">
          <cell r="L7">
            <v>0.32804934732974461</v>
          </cell>
        </row>
        <row r="8">
          <cell r="L8">
            <v>0.36802827929951715</v>
          </cell>
        </row>
        <row r="9">
          <cell r="L9">
            <v>0.40756300091407011</v>
          </cell>
        </row>
        <row r="10">
          <cell r="L10">
            <v>0.44820824841667201</v>
          </cell>
        </row>
      </sheetData>
      <sheetData sheetId="12">
        <row r="5">
          <cell r="L5">
            <v>0.17505860190570421</v>
          </cell>
        </row>
        <row r="6">
          <cell r="L6">
            <v>0.22581423363643338</v>
          </cell>
        </row>
        <row r="7">
          <cell r="L7">
            <v>0.27590756617274115</v>
          </cell>
        </row>
        <row r="8">
          <cell r="L8">
            <v>0.32666674774856908</v>
          </cell>
        </row>
        <row r="9">
          <cell r="L9">
            <v>0.37778632651206007</v>
          </cell>
        </row>
        <row r="10">
          <cell r="L10">
            <v>0.43130016641177249</v>
          </cell>
        </row>
      </sheetData>
      <sheetData sheetId="1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0.2</v>
          </cell>
        </row>
        <row r="9">
          <cell r="C9">
            <v>0.24</v>
          </cell>
        </row>
        <row r="10">
          <cell r="C10">
            <v>0.27</v>
          </cell>
        </row>
        <row r="11">
          <cell r="C11">
            <v>0.28999999999999998</v>
          </cell>
        </row>
        <row r="12">
          <cell r="C12">
            <v>0.32</v>
          </cell>
        </row>
        <row r="13">
          <cell r="C13">
            <v>0.33</v>
          </cell>
        </row>
        <row r="20">
          <cell r="B20">
            <v>100</v>
          </cell>
        </row>
        <row r="22">
          <cell r="B22">
            <v>50</v>
          </cell>
        </row>
        <row r="27">
          <cell r="B27">
            <v>2.8</v>
          </cell>
        </row>
        <row r="28">
          <cell r="B28">
            <v>20</v>
          </cell>
        </row>
        <row r="29">
          <cell r="B29">
            <v>315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40</v>
          </cell>
        </row>
      </sheetData>
      <sheetData sheetId="1">
        <row r="5">
          <cell r="K5">
            <v>169.74396829625545</v>
          </cell>
          <cell r="L5">
            <v>0.10601518805897511</v>
          </cell>
        </row>
        <row r="6">
          <cell r="K6">
            <v>201.87731844431667</v>
          </cell>
          <cell r="L6">
            <v>0.13293722688521767</v>
          </cell>
        </row>
        <row r="7">
          <cell r="K7">
            <v>234.73684599685382</v>
          </cell>
          <cell r="L7">
            <v>0.16046767336855042</v>
          </cell>
        </row>
        <row r="8">
          <cell r="K8">
            <v>267.23328484715302</v>
          </cell>
          <cell r="L8">
            <v>0.18769391602333804</v>
          </cell>
        </row>
        <row r="9">
          <cell r="K9">
            <v>301.0005341552851</v>
          </cell>
          <cell r="L9">
            <v>0.21598487207803357</v>
          </cell>
        </row>
        <row r="10">
          <cell r="K10">
            <v>333.13388430334641</v>
          </cell>
          <cell r="L10">
            <v>0.24290691090427621</v>
          </cell>
        </row>
        <row r="11">
          <cell r="K11">
            <v>348.7466984995794</v>
          </cell>
          <cell r="L11">
            <v>0.25598767553171597</v>
          </cell>
        </row>
      </sheetData>
      <sheetData sheetId="2">
        <row r="5">
          <cell r="L5">
            <v>8.84597233908265E-2</v>
          </cell>
        </row>
        <row r="6">
          <cell r="L6">
            <v>0.12510105545756706</v>
          </cell>
        </row>
        <row r="7">
          <cell r="L7">
            <v>0.16257044022638076</v>
          </cell>
        </row>
        <row r="8">
          <cell r="L8">
            <v>0.19962579864415791</v>
          </cell>
        </row>
        <row r="9">
          <cell r="L9">
            <v>0.23813024929056317</v>
          </cell>
        </row>
        <row r="10">
          <cell r="L10">
            <v>0.27477158135730378</v>
          </cell>
        </row>
        <row r="11">
          <cell r="L11">
            <v>0.29257471445187816</v>
          </cell>
        </row>
      </sheetData>
      <sheetData sheetId="3">
        <row r="5">
          <cell r="M5">
            <v>8.84597233908265E-2</v>
          </cell>
        </row>
        <row r="6">
          <cell r="M6">
            <v>0.12510105545756706</v>
          </cell>
        </row>
        <row r="7">
          <cell r="M7">
            <v>0.17191047654620123</v>
          </cell>
        </row>
        <row r="8">
          <cell r="M8">
            <v>0.21995849770465148</v>
          </cell>
        </row>
        <row r="9">
          <cell r="M9">
            <v>0.26988549175756621</v>
          </cell>
        </row>
        <row r="10">
          <cell r="M10">
            <v>0.31739666351759815</v>
          </cell>
        </row>
        <row r="11">
          <cell r="M11">
            <v>0.34048118764959079</v>
          </cell>
        </row>
      </sheetData>
      <sheetData sheetId="4">
        <row r="5">
          <cell r="L5">
            <v>0.11540306272139735</v>
          </cell>
        </row>
        <row r="6">
          <cell r="L6">
            <v>0.14470910643208187</v>
          </cell>
        </row>
        <row r="7">
          <cell r="L7">
            <v>0.17467743361645416</v>
          </cell>
        </row>
        <row r="8">
          <cell r="L8">
            <v>0.20431461906398254</v>
          </cell>
        </row>
        <row r="9">
          <cell r="L9">
            <v>0.23511080059046452</v>
          </cell>
        </row>
        <row r="10">
          <cell r="L10">
            <v>0.26441684430114909</v>
          </cell>
        </row>
        <row r="11">
          <cell r="L11">
            <v>0.27865593898543639</v>
          </cell>
        </row>
      </sheetData>
      <sheetData sheetId="5">
        <row r="5">
          <cell r="Q5">
            <v>0.14394996223976839</v>
          </cell>
          <cell r="R5">
            <v>0.11002459711025039</v>
          </cell>
          <cell r="W5">
            <v>0.68765373193906498</v>
          </cell>
        </row>
        <row r="6">
          <cell r="Q6">
            <v>0.17120038289906145</v>
          </cell>
          <cell r="R6">
            <v>0.15562384444404753</v>
          </cell>
          <cell r="W6">
            <v>0.77811922222023766</v>
          </cell>
        </row>
        <row r="7">
          <cell r="Q7">
            <v>0.19906663227381871</v>
          </cell>
          <cell r="R7">
            <v>0.21040866213409018</v>
          </cell>
          <cell r="W7">
            <v>0.82944430114091128</v>
          </cell>
        </row>
        <row r="8">
          <cell r="Q8">
            <v>0.22662496729084392</v>
          </cell>
          <cell r="R8">
            <v>0.27269814592917929</v>
          </cell>
          <cell r="W8">
            <v>0.83935173070682922</v>
          </cell>
        </row>
        <row r="9">
          <cell r="Q9">
            <v>0.25526100255993156</v>
          </cell>
          <cell r="R9">
            <v>0.34596775037385386</v>
          </cell>
          <cell r="W9">
            <v>0.88021035365493649</v>
          </cell>
        </row>
        <row r="10">
          <cell r="Q10">
            <v>0.28251142321922457</v>
          </cell>
          <cell r="R10">
            <v>0.42377828820333779</v>
          </cell>
          <cell r="W10">
            <v>0.88284819756007671</v>
          </cell>
        </row>
        <row r="11">
          <cell r="Q11">
            <v>0.295751740601706</v>
          </cell>
          <cell r="R11">
            <v>0.46443110099199603</v>
          </cell>
          <cell r="W11">
            <v>0.89621739576274539</v>
          </cell>
        </row>
      </sheetData>
      <sheetData sheetId="6">
        <row r="5">
          <cell r="L5">
            <v>0.14681597686412165</v>
          </cell>
        </row>
        <row r="6">
          <cell r="L6">
            <v>0.18007144400148026</v>
          </cell>
        </row>
        <row r="7">
          <cell r="L7">
            <v>0.2140784471193441</v>
          </cell>
        </row>
        <row r="8">
          <cell r="L8">
            <v>0.24770968224695533</v>
          </cell>
        </row>
        <row r="9">
          <cell r="L9">
            <v>0.28265610534045077</v>
          </cell>
        </row>
        <row r="10">
          <cell r="L10">
            <v>0.31591157247780943</v>
          </cell>
        </row>
        <row r="11">
          <cell r="L11">
            <v>0.33206959605867276</v>
          </cell>
        </row>
      </sheetData>
      <sheetData sheetId="7">
        <row r="5">
          <cell r="L5">
            <v>0.16848661286474886</v>
          </cell>
        </row>
        <row r="6">
          <cell r="L6">
            <v>0.22419839991855828</v>
          </cell>
        </row>
        <row r="7">
          <cell r="L7">
            <v>0.27808913893475723</v>
          </cell>
        </row>
        <row r="8">
          <cell r="L8">
            <v>0.3294387779152495</v>
          </cell>
        </row>
        <row r="9">
          <cell r="L9">
            <v>0.38142173644761601</v>
          </cell>
        </row>
        <row r="10">
          <cell r="L10">
            <v>0.42997260953800504</v>
          </cell>
        </row>
        <row r="11">
          <cell r="L11">
            <v>0.45331500142933767</v>
          </cell>
        </row>
      </sheetData>
      <sheetData sheetId="8">
        <row r="5">
          <cell r="L5">
            <v>0.19627483219442757</v>
          </cell>
        </row>
        <row r="6">
          <cell r="L6">
            <v>0.23343060256706255</v>
          </cell>
        </row>
        <row r="7">
          <cell r="L7">
            <v>0.27142605136619774</v>
          </cell>
        </row>
        <row r="8">
          <cell r="L8">
            <v>0.30900166095208281</v>
          </cell>
        </row>
        <row r="9">
          <cell r="L9">
            <v>0.34804670778434327</v>
          </cell>
        </row>
        <row r="10">
          <cell r="L10">
            <v>0.38520247815697833</v>
          </cell>
        </row>
        <row r="11">
          <cell r="L11">
            <v>0.40325556432673298</v>
          </cell>
        </row>
      </sheetData>
      <sheetData sheetId="9">
        <row r="5">
          <cell r="L5">
            <v>0.15202198852301477</v>
          </cell>
        </row>
        <row r="6">
          <cell r="L6">
            <v>0.1907473897720223</v>
          </cell>
        </row>
        <row r="7">
          <cell r="L7">
            <v>0.2303479413317418</v>
          </cell>
        </row>
        <row r="8">
          <cell r="L8">
            <v>0.26951091773610536</v>
          </cell>
        </row>
        <row r="9">
          <cell r="L9">
            <v>0.31020540718421497</v>
          </cell>
        </row>
        <row r="10">
          <cell r="L10">
            <v>0.34893080843322255</v>
          </cell>
        </row>
        <row r="11">
          <cell r="L11">
            <v>0.36774654011353114</v>
          </cell>
        </row>
      </sheetData>
      <sheetData sheetId="10">
        <row r="5">
          <cell r="L5">
            <v>8.3078078148100948E-2</v>
          </cell>
        </row>
        <row r="6">
          <cell r="L6">
            <v>0.1009383832860867</v>
          </cell>
        </row>
        <row r="7">
          <cell r="L7">
            <v>0.11920231113905515</v>
          </cell>
        </row>
        <row r="8">
          <cell r="L8">
            <v>0.13726442763453225</v>
          </cell>
        </row>
        <row r="9">
          <cell r="L9">
            <v>0.1560328838812291</v>
          </cell>
        </row>
        <row r="10">
          <cell r="L10">
            <v>0.17389318901921488</v>
          </cell>
        </row>
        <row r="11">
          <cell r="L11">
            <v>0.18257107739134346</v>
          </cell>
        </row>
      </sheetData>
      <sheetData sheetId="11">
        <row r="5">
          <cell r="L5">
            <v>0.20766834106520729</v>
          </cell>
        </row>
        <row r="6">
          <cell r="L6">
            <v>0.24698095750215032</v>
          </cell>
        </row>
        <row r="7">
          <cell r="L7">
            <v>0.2871819946495327</v>
          </cell>
        </row>
        <row r="8">
          <cell r="L8">
            <v>0.32693882144169539</v>
          </cell>
        </row>
        <row r="9">
          <cell r="L9">
            <v>0.36825038447712699</v>
          </cell>
        </row>
        <row r="10">
          <cell r="L10">
            <v>0.40756300091407011</v>
          </cell>
        </row>
        <row r="11">
          <cell r="L11">
            <v>0.42666404618851683</v>
          </cell>
        </row>
      </sheetData>
      <sheetData sheetId="12">
        <row r="5">
          <cell r="L5">
            <v>0.12874262407536513</v>
          </cell>
        </row>
        <row r="6">
          <cell r="L6">
            <v>0.17586485599818641</v>
          </cell>
        </row>
        <row r="7">
          <cell r="L7">
            <v>0.22499196478568351</v>
          </cell>
        </row>
        <row r="8">
          <cell r="L8">
            <v>0.2745110070692437</v>
          </cell>
        </row>
        <row r="9">
          <cell r="L9">
            <v>0.32695136880978121</v>
          </cell>
        </row>
        <row r="10">
          <cell r="L10">
            <v>0.37778632651206007</v>
          </cell>
        </row>
        <row r="11">
          <cell r="L11">
            <v>0.40281389694483116</v>
          </cell>
        </row>
      </sheetData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0.19</v>
          </cell>
        </row>
        <row r="9">
          <cell r="C9">
            <v>0.2</v>
          </cell>
        </row>
        <row r="10">
          <cell r="C10">
            <v>0.23</v>
          </cell>
        </row>
        <row r="11">
          <cell r="C11">
            <v>0.25</v>
          </cell>
        </row>
        <row r="12">
          <cell r="C12">
            <v>0.28000000000000003</v>
          </cell>
        </row>
        <row r="13">
          <cell r="C13">
            <v>0.31</v>
          </cell>
        </row>
        <row r="14">
          <cell r="C14">
            <v>0.36</v>
          </cell>
        </row>
        <row r="20">
          <cell r="B20">
            <v>100</v>
          </cell>
        </row>
        <row r="22">
          <cell r="B22">
            <v>45</v>
          </cell>
        </row>
        <row r="27">
          <cell r="B27">
            <v>2.8</v>
          </cell>
        </row>
        <row r="28">
          <cell r="B28">
            <v>10</v>
          </cell>
        </row>
        <row r="29">
          <cell r="B29">
            <v>78.5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45</v>
          </cell>
        </row>
      </sheetData>
      <sheetData sheetId="1">
        <row r="5">
          <cell r="K5">
            <v>310.30985357473827</v>
          </cell>
          <cell r="L5">
            <v>0.16612686256381681</v>
          </cell>
        </row>
        <row r="6">
          <cell r="K6">
            <v>330.28688277482877</v>
          </cell>
          <cell r="L6">
            <v>0.20438424701114277</v>
          </cell>
        </row>
        <row r="7">
          <cell r="K7">
            <v>334.28228861484689</v>
          </cell>
          <cell r="L7">
            <v>0.21203572390060799</v>
          </cell>
        </row>
        <row r="8">
          <cell r="K8">
            <v>351.15177993936766</v>
          </cell>
          <cell r="L8">
            <v>0.24434195965612746</v>
          </cell>
        </row>
        <row r="9">
          <cell r="K9">
            <v>362.69406347719769</v>
          </cell>
          <cell r="L9">
            <v>0.26644622622569353</v>
          </cell>
        </row>
        <row r="10">
          <cell r="K10">
            <v>375.5681489617005</v>
          </cell>
          <cell r="L10">
            <v>0.29110098509174809</v>
          </cell>
        </row>
        <row r="11">
          <cell r="K11">
            <v>387.11043249953048</v>
          </cell>
          <cell r="L11">
            <v>0.31320525166131397</v>
          </cell>
        </row>
        <row r="12">
          <cell r="K12">
            <v>400.87238594848156</v>
          </cell>
          <cell r="L12">
            <v>0.33956033872502711</v>
          </cell>
        </row>
      </sheetData>
      <sheetData sheetId="2">
        <row r="5">
          <cell r="L5">
            <v>0.18861841261242762</v>
          </cell>
        </row>
        <row r="6">
          <cell r="L6">
            <v>0.20076122887503028</v>
          </cell>
        </row>
        <row r="7">
          <cell r="L7">
            <v>0.20318979212755081</v>
          </cell>
        </row>
        <row r="8">
          <cell r="L8">
            <v>0.21344372586041524</v>
          </cell>
        </row>
        <row r="9">
          <cell r="L9">
            <v>0.22319790578213533</v>
          </cell>
        </row>
        <row r="10">
          <cell r="L10">
            <v>0.24276133198299524</v>
          </cell>
        </row>
        <row r="11">
          <cell r="L11">
            <v>0.26030095547342114</v>
          </cell>
        </row>
        <row r="12">
          <cell r="L12">
            <v>0.28121358348123665</v>
          </cell>
        </row>
      </sheetData>
      <sheetData sheetId="3">
        <row r="5">
          <cell r="M5">
            <v>0.27501332580010368</v>
          </cell>
        </row>
        <row r="6">
          <cell r="M6">
            <v>0.31156255576653796</v>
          </cell>
        </row>
        <row r="7">
          <cell r="M7">
            <v>0.31914595109013499</v>
          </cell>
        </row>
        <row r="8">
          <cell r="M8">
            <v>0.35216999699127649</v>
          </cell>
        </row>
        <row r="9">
          <cell r="M9">
            <v>0.3771548125030415</v>
          </cell>
        </row>
        <row r="10">
          <cell r="M10">
            <v>0.40994362049156363</v>
          </cell>
        </row>
        <row r="11">
          <cell r="M11">
            <v>0.43934048282610039</v>
          </cell>
        </row>
        <row r="12">
          <cell r="M12">
            <v>0.47439058791727873</v>
          </cell>
        </row>
      </sheetData>
      <sheetData sheetId="4">
        <row r="5">
          <cell r="L5">
            <v>0.29056052556803114</v>
          </cell>
        </row>
        <row r="6">
          <cell r="L6">
            <v>0.30926613880202458</v>
          </cell>
        </row>
        <row r="7">
          <cell r="L7">
            <v>0.31300726144882329</v>
          </cell>
        </row>
        <row r="8">
          <cell r="L8">
            <v>0.32880311262419548</v>
          </cell>
        </row>
        <row r="9">
          <cell r="L9">
            <v>0.33961080027050283</v>
          </cell>
        </row>
        <row r="10">
          <cell r="L10">
            <v>0.35166552879907637</v>
          </cell>
        </row>
        <row r="11">
          <cell r="L11">
            <v>0.36247321644538366</v>
          </cell>
        </row>
        <row r="12">
          <cell r="L12">
            <v>0.37535930556213459</v>
          </cell>
        </row>
      </sheetData>
      <sheetData sheetId="5">
        <row r="5">
          <cell r="Q5">
            <v>0.26142925199470496</v>
          </cell>
          <cell r="R5">
            <v>0.17150293522078491</v>
          </cell>
          <cell r="W5">
            <v>1.1433529014718995</v>
          </cell>
        </row>
        <row r="6">
          <cell r="Q6">
            <v>0.27825946135058727</v>
          </cell>
          <cell r="R6">
            <v>0.19429564972313279</v>
          </cell>
          <cell r="W6">
            <v>1.0226086827533305</v>
          </cell>
        </row>
        <row r="7">
          <cell r="Q7">
            <v>0.28162550322176372</v>
          </cell>
          <cell r="R7">
            <v>0.19902478258661369</v>
          </cell>
          <cell r="W7">
            <v>0.99512391293306834</v>
          </cell>
        </row>
        <row r="8">
          <cell r="Q8">
            <v>0.2958376800111755</v>
          </cell>
          <cell r="R8">
            <v>0.21961913301830313</v>
          </cell>
          <cell r="W8">
            <v>0.95486579573175268</v>
          </cell>
        </row>
        <row r="9">
          <cell r="Q9">
            <v>0.30556180097235186</v>
          </cell>
          <cell r="R9">
            <v>0.2342940819351301</v>
          </cell>
          <cell r="W9">
            <v>0.9371763277405204</v>
          </cell>
        </row>
        <row r="10">
          <cell r="Q10">
            <v>0.31640793589058713</v>
          </cell>
          <cell r="R10">
            <v>0.25122215219469318</v>
          </cell>
          <cell r="W10">
            <v>0.89722197212390409</v>
          </cell>
        </row>
        <row r="11">
          <cell r="Q11">
            <v>0.32613205685176361</v>
          </cell>
          <cell r="R11">
            <v>0.26690098443294497</v>
          </cell>
          <cell r="W11">
            <v>0.86097091752562893</v>
          </cell>
        </row>
        <row r="12">
          <cell r="Q12">
            <v>0.33772620107470475</v>
          </cell>
          <cell r="R12">
            <v>0.28621520812574058</v>
          </cell>
          <cell r="W12">
            <v>0.79504224479372387</v>
          </cell>
        </row>
      </sheetData>
      <sheetData sheetId="6">
        <row r="5">
          <cell r="L5">
            <v>0.2908980476731724</v>
          </cell>
        </row>
        <row r="6">
          <cell r="L6">
            <v>0.32823091625474282</v>
          </cell>
        </row>
        <row r="7">
          <cell r="L7">
            <v>0.33569748997105692</v>
          </cell>
        </row>
        <row r="8">
          <cell r="L8">
            <v>0.3672230234399384</v>
          </cell>
        </row>
        <row r="9">
          <cell r="L9">
            <v>0.38879312528706789</v>
          </cell>
        </row>
        <row r="10">
          <cell r="L10">
            <v>0.41285208503963555</v>
          </cell>
        </row>
        <row r="11">
          <cell r="L11">
            <v>0.43442218688676498</v>
          </cell>
        </row>
        <row r="12">
          <cell r="L12">
            <v>0.46014038524295764</v>
          </cell>
        </row>
      </sheetData>
      <sheetData sheetId="7">
        <row r="5">
          <cell r="L5">
            <v>0.25773862301209477</v>
          </cell>
        </row>
        <row r="6">
          <cell r="L6">
            <v>0.30422212799507387</v>
          </cell>
        </row>
        <row r="7">
          <cell r="L7">
            <v>0.31331115674231313</v>
          </cell>
        </row>
        <row r="8">
          <cell r="L8">
            <v>0.3510126453644552</v>
          </cell>
        </row>
        <row r="9">
          <cell r="L9">
            <v>0.37623620174228273</v>
          </cell>
        </row>
        <row r="10">
          <cell r="L10">
            <v>0.40388198949836024</v>
          </cell>
        </row>
        <row r="11">
          <cell r="L11">
            <v>0.42827084631765316</v>
          </cell>
        </row>
        <row r="12">
          <cell r="L12">
            <v>0.45690600461126074</v>
          </cell>
        </row>
      </sheetData>
      <sheetData sheetId="8">
        <row r="5">
          <cell r="L5">
            <v>0.33890172186871836</v>
          </cell>
        </row>
        <row r="6">
          <cell r="L6">
            <v>0.36071942928515954</v>
          </cell>
        </row>
        <row r="7">
          <cell r="L7">
            <v>0.36508297076844781</v>
          </cell>
        </row>
        <row r="8">
          <cell r="L8">
            <v>0.38350681258677577</v>
          </cell>
        </row>
        <row r="9">
          <cell r="L9">
            <v>0.39611259909405283</v>
          </cell>
        </row>
        <row r="10">
          <cell r="L10">
            <v>0.41017289942909274</v>
          </cell>
        </row>
        <row r="11">
          <cell r="L11">
            <v>0.4227786859363698</v>
          </cell>
        </row>
        <row r="12">
          <cell r="L12">
            <v>0.43780866215658465</v>
          </cell>
        </row>
      </sheetData>
      <sheetData sheetId="9">
        <row r="5">
          <cell r="L5">
            <v>0.2211828295376089</v>
          </cell>
        </row>
        <row r="6">
          <cell r="L6">
            <v>0.23782468212703708</v>
          </cell>
        </row>
        <row r="7">
          <cell r="L7">
            <v>0.24115305264492271</v>
          </cell>
        </row>
        <row r="8">
          <cell r="L8">
            <v>0.25520617260932865</v>
          </cell>
        </row>
        <row r="9">
          <cell r="L9">
            <v>0.26482146521655381</v>
          </cell>
        </row>
        <row r="10">
          <cell r="L10">
            <v>0.27554621466307422</v>
          </cell>
        </row>
        <row r="11">
          <cell r="L11">
            <v>0.28516150727029932</v>
          </cell>
        </row>
        <row r="12">
          <cell r="L12">
            <v>0.29662589460968308</v>
          </cell>
        </row>
      </sheetData>
      <sheetData sheetId="10">
        <row r="5">
          <cell r="L5">
            <v>0.16629907547758749</v>
          </cell>
        </row>
        <row r="6">
          <cell r="L6">
            <v>0.17827498836625749</v>
          </cell>
        </row>
        <row r="7">
          <cell r="L7">
            <v>0.18067017094399146</v>
          </cell>
        </row>
        <row r="8">
          <cell r="L8">
            <v>0.19078316404997939</v>
          </cell>
        </row>
        <row r="9">
          <cell r="L9">
            <v>0.1977025803856553</v>
          </cell>
        </row>
        <row r="10">
          <cell r="L10">
            <v>0.20542039091390926</v>
          </cell>
        </row>
        <row r="11">
          <cell r="L11">
            <v>0.21233980724958523</v>
          </cell>
        </row>
        <row r="12">
          <cell r="L12">
            <v>0.22058988057289108</v>
          </cell>
        </row>
      </sheetData>
      <sheetData sheetId="11">
        <row r="5">
          <cell r="L5">
            <v>0.29784780694114654</v>
          </cell>
        </row>
        <row r="6">
          <cell r="L6">
            <v>0.31702255846096294</v>
          </cell>
        </row>
        <row r="7">
          <cell r="L7">
            <v>0.32085750876492619</v>
          </cell>
        </row>
        <row r="8">
          <cell r="L8">
            <v>0.3370495211594377</v>
          </cell>
        </row>
        <row r="9">
          <cell r="L9">
            <v>0.34812826648199824</v>
          </cell>
        </row>
        <row r="10">
          <cell r="L10">
            <v>0.36048532857254661</v>
          </cell>
        </row>
        <row r="11">
          <cell r="L11">
            <v>0.37156407389510704</v>
          </cell>
        </row>
        <row r="12">
          <cell r="L12">
            <v>0.38477334716431372</v>
          </cell>
        </row>
      </sheetData>
      <sheetData sheetId="12">
        <row r="5">
          <cell r="L5">
            <v>0.21765424796368371</v>
          </cell>
        </row>
        <row r="6">
          <cell r="L6">
            <v>0.23229934539137381</v>
          </cell>
        </row>
        <row r="7">
          <cell r="L7">
            <v>0.23523755389692272</v>
          </cell>
        </row>
        <row r="8">
          <cell r="L8">
            <v>0.24767709184574097</v>
          </cell>
        </row>
        <row r="9">
          <cell r="L9">
            <v>0.25895814717281729</v>
          </cell>
        </row>
        <row r="10">
          <cell r="L10">
            <v>0.28025478409090904</v>
          </cell>
        </row>
        <row r="11">
          <cell r="L11">
            <v>0.29937535828963574</v>
          </cell>
        </row>
        <row r="12">
          <cell r="L12">
            <v>0.32220637544976205</v>
          </cell>
        </row>
      </sheetData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0.18</v>
          </cell>
        </row>
        <row r="9">
          <cell r="C9">
            <v>0.2</v>
          </cell>
        </row>
        <row r="10">
          <cell r="C10">
            <v>0.23</v>
          </cell>
        </row>
        <row r="11">
          <cell r="C11">
            <v>0.24</v>
          </cell>
        </row>
        <row r="12">
          <cell r="C12">
            <v>0.25</v>
          </cell>
        </row>
        <row r="13">
          <cell r="C13">
            <v>0.27</v>
          </cell>
        </row>
        <row r="14">
          <cell r="C14">
            <v>0.28999999999999998</v>
          </cell>
        </row>
        <row r="20">
          <cell r="B20">
            <v>100</v>
          </cell>
        </row>
        <row r="22">
          <cell r="B22">
            <v>45</v>
          </cell>
        </row>
        <row r="27">
          <cell r="B27">
            <v>2.8</v>
          </cell>
        </row>
        <row r="28">
          <cell r="B28">
            <v>10</v>
          </cell>
        </row>
        <row r="29">
          <cell r="B29">
            <v>78.5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45</v>
          </cell>
        </row>
      </sheetData>
      <sheetData sheetId="1">
        <row r="5">
          <cell r="K5">
            <v>308.9780516280656</v>
          </cell>
          <cell r="L5">
            <v>0.16357637026732849</v>
          </cell>
        </row>
        <row r="6">
          <cell r="K6">
            <v>322.29607109479258</v>
          </cell>
          <cell r="L6">
            <v>0.1890812932322124</v>
          </cell>
        </row>
        <row r="7">
          <cell r="K7">
            <v>334.72622259707111</v>
          </cell>
          <cell r="L7">
            <v>0.21288588799943745</v>
          </cell>
        </row>
        <row r="8">
          <cell r="K8">
            <v>347.60030808157381</v>
          </cell>
          <cell r="L8">
            <v>0.23754064686549181</v>
          </cell>
        </row>
        <row r="9">
          <cell r="K9">
            <v>361.36226153052507</v>
          </cell>
          <cell r="L9">
            <v>0.26389573392920529</v>
          </cell>
        </row>
        <row r="10">
          <cell r="K10">
            <v>375.5681489617005</v>
          </cell>
          <cell r="L10">
            <v>0.29110098509174809</v>
          </cell>
        </row>
        <row r="11">
          <cell r="K11">
            <v>388.44223444620314</v>
          </cell>
          <cell r="L11">
            <v>0.31575574395780237</v>
          </cell>
        </row>
        <row r="12">
          <cell r="K12">
            <v>399.98451798403318</v>
          </cell>
          <cell r="L12">
            <v>0.33786001052736836</v>
          </cell>
        </row>
      </sheetData>
      <sheetData sheetId="2">
        <row r="5">
          <cell r="L5">
            <v>0.18780889152825411</v>
          </cell>
        </row>
        <row r="6">
          <cell r="L6">
            <v>0.19590410236998923</v>
          </cell>
        </row>
        <row r="7">
          <cell r="L7">
            <v>0.203459632488942</v>
          </cell>
        </row>
        <row r="8">
          <cell r="L8">
            <v>0.2112850029692859</v>
          </cell>
        </row>
        <row r="9">
          <cell r="L9">
            <v>0.22117410307170166</v>
          </cell>
        </row>
        <row r="10">
          <cell r="L10">
            <v>0.24276133198299524</v>
          </cell>
        </row>
        <row r="11">
          <cell r="L11">
            <v>0.26232475818385492</v>
          </cell>
        </row>
        <row r="12">
          <cell r="L12">
            <v>0.2798643816742809</v>
          </cell>
        </row>
      </sheetData>
      <sheetData sheetId="3">
        <row r="5">
          <cell r="M5">
            <v>0.27265776212243337</v>
          </cell>
        </row>
        <row r="6">
          <cell r="M6">
            <v>0.29666931444965422</v>
          </cell>
        </row>
        <row r="7">
          <cell r="M7">
            <v>0.31999417915757805</v>
          </cell>
        </row>
        <row r="8">
          <cell r="M8">
            <v>0.34508248018620474</v>
          </cell>
        </row>
        <row r="9">
          <cell r="M9">
            <v>0.37376286684905669</v>
          </cell>
        </row>
        <row r="10">
          <cell r="M10">
            <v>0.40994362049156363</v>
          </cell>
        </row>
        <row r="11">
          <cell r="M11">
            <v>0.44273242848008537</v>
          </cell>
        </row>
        <row r="12">
          <cell r="M12">
            <v>0.47212929081462224</v>
          </cell>
        </row>
      </sheetData>
      <sheetData sheetId="4">
        <row r="5">
          <cell r="L5">
            <v>0.28931348468576495</v>
          </cell>
        </row>
        <row r="6">
          <cell r="L6">
            <v>0.30178389350842721</v>
          </cell>
        </row>
        <row r="7">
          <cell r="L7">
            <v>0.31342294174291202</v>
          </cell>
        </row>
        <row r="8">
          <cell r="L8">
            <v>0.32547767027148555</v>
          </cell>
        </row>
        <row r="9">
          <cell r="L9">
            <v>0.33836375938823665</v>
          </cell>
        </row>
        <row r="10">
          <cell r="L10">
            <v>0.35166552879907637</v>
          </cell>
        </row>
        <row r="11">
          <cell r="L11">
            <v>0.36372025732764984</v>
          </cell>
        </row>
        <row r="12">
          <cell r="L12">
            <v>0.37452794497395714</v>
          </cell>
        </row>
      </sheetData>
      <sheetData sheetId="5">
        <row r="5">
          <cell r="Q5">
            <v>0.26030723803764622</v>
          </cell>
          <cell r="R5">
            <v>0.17003396609485399</v>
          </cell>
          <cell r="W5">
            <v>1.0627122880928375</v>
          </cell>
        </row>
        <row r="6">
          <cell r="Q6">
            <v>0.27152737760823437</v>
          </cell>
          <cell r="R6">
            <v>0.18500797395918225</v>
          </cell>
          <cell r="W6">
            <v>1.0278220775510125</v>
          </cell>
        </row>
        <row r="7">
          <cell r="Q7">
            <v>0.28199950787411665</v>
          </cell>
          <cell r="R7">
            <v>0.19955375187521049</v>
          </cell>
          <cell r="W7">
            <v>0.99776875937605236</v>
          </cell>
        </row>
        <row r="8">
          <cell r="Q8">
            <v>0.29284564279235192</v>
          </cell>
          <cell r="R8">
            <v>0.2151992383387995</v>
          </cell>
          <cell r="W8">
            <v>0.93564886234260647</v>
          </cell>
        </row>
        <row r="9">
          <cell r="Q9">
            <v>0.30443978701529306</v>
          </cell>
          <cell r="R9">
            <v>0.23257659903592331</v>
          </cell>
          <cell r="W9">
            <v>0.96906916264968046</v>
          </cell>
        </row>
        <row r="10">
          <cell r="Q10">
            <v>0.31640793589058713</v>
          </cell>
          <cell r="R10">
            <v>0.25122215219469318</v>
          </cell>
          <cell r="W10">
            <v>1.0048886087787727</v>
          </cell>
        </row>
        <row r="11">
          <cell r="Q11">
            <v>0.32725407080882235</v>
          </cell>
          <cell r="R11">
            <v>0.26874061816986333</v>
          </cell>
          <cell r="W11">
            <v>0.99533562285134558</v>
          </cell>
        </row>
        <row r="12">
          <cell r="Q12">
            <v>0.33697819176999888</v>
          </cell>
          <cell r="R12">
            <v>0.28494877070486641</v>
          </cell>
          <cell r="W12">
            <v>0.98258196794781527</v>
          </cell>
        </row>
      </sheetData>
      <sheetData sheetId="6">
        <row r="5">
          <cell r="L5">
            <v>0.28840918976773444</v>
          </cell>
        </row>
        <row r="6">
          <cell r="L6">
            <v>0.31329776882211469</v>
          </cell>
        </row>
        <row r="7">
          <cell r="L7">
            <v>0.33652710927286961</v>
          </cell>
        </row>
        <row r="8">
          <cell r="L8">
            <v>0.36058606902543705</v>
          </cell>
        </row>
        <row r="9">
          <cell r="L9">
            <v>0.38630426738163004</v>
          </cell>
        </row>
        <row r="10">
          <cell r="L10">
            <v>0.41285208503963555</v>
          </cell>
        </row>
        <row r="11">
          <cell r="L11">
            <v>0.43691104479220294</v>
          </cell>
        </row>
        <row r="12">
          <cell r="L12">
            <v>0.45848114663933243</v>
          </cell>
        </row>
      </sheetData>
      <sheetData sheetId="7">
        <row r="5">
          <cell r="L5">
            <v>0.25457315086049842</v>
          </cell>
        </row>
        <row r="6">
          <cell r="L6">
            <v>0.28584412159935541</v>
          </cell>
        </row>
        <row r="7">
          <cell r="L7">
            <v>0.31431708743144865</v>
          </cell>
        </row>
        <row r="8">
          <cell r="L8">
            <v>0.34316160218805503</v>
          </cell>
        </row>
        <row r="9">
          <cell r="L9">
            <v>0.37334774032491186</v>
          </cell>
        </row>
        <row r="10">
          <cell r="L10">
            <v>0.40388198949836024</v>
          </cell>
        </row>
        <row r="11">
          <cell r="L11">
            <v>0.43106239180144945</v>
          </cell>
        </row>
        <row r="12">
          <cell r="L12">
            <v>0.45507225504881621</v>
          </cell>
        </row>
      </sheetData>
      <sheetData sheetId="8">
        <row r="5">
          <cell r="L5">
            <v>0.33744720804095568</v>
          </cell>
        </row>
        <row r="6">
          <cell r="L6">
            <v>0.35199234631858312</v>
          </cell>
        </row>
        <row r="7">
          <cell r="L7">
            <v>0.36556780871103534</v>
          </cell>
        </row>
        <row r="8">
          <cell r="L8">
            <v>0.37962810904607519</v>
          </cell>
        </row>
        <row r="9">
          <cell r="L9">
            <v>0.3946580852662902</v>
          </cell>
        </row>
        <row r="10">
          <cell r="L10">
            <v>0.41017289942909274</v>
          </cell>
        </row>
        <row r="11">
          <cell r="L11">
            <v>0.42423319976413248</v>
          </cell>
        </row>
        <row r="12">
          <cell r="L12">
            <v>0.43683898627140955</v>
          </cell>
        </row>
      </sheetData>
      <sheetData sheetId="9">
        <row r="5">
          <cell r="L5">
            <v>0.22007337269831376</v>
          </cell>
        </row>
        <row r="6">
          <cell r="L6">
            <v>0.23116794109126582</v>
          </cell>
        </row>
        <row r="7">
          <cell r="L7">
            <v>0.24152287159135447</v>
          </cell>
        </row>
        <row r="8">
          <cell r="L8">
            <v>0.25224762103787479</v>
          </cell>
        </row>
        <row r="9">
          <cell r="L9">
            <v>0.26371200837725867</v>
          </cell>
        </row>
        <row r="10">
          <cell r="L10">
            <v>0.27554621466307422</v>
          </cell>
        </row>
        <row r="11">
          <cell r="L11">
            <v>0.28627096410959446</v>
          </cell>
        </row>
        <row r="12">
          <cell r="L12">
            <v>0.29588625671681962</v>
          </cell>
        </row>
      </sheetData>
      <sheetData sheetId="10">
        <row r="5">
          <cell r="L5">
            <v>0.16550068128500958</v>
          </cell>
        </row>
        <row r="6">
          <cell r="L6">
            <v>0.1734846232107895</v>
          </cell>
        </row>
        <row r="7">
          <cell r="L7">
            <v>0.18093630234151747</v>
          </cell>
        </row>
        <row r="8">
          <cell r="L8">
            <v>0.18865411286977138</v>
          </cell>
        </row>
        <row r="9">
          <cell r="L9">
            <v>0.1969041861930774</v>
          </cell>
        </row>
        <row r="10">
          <cell r="L10">
            <v>0.20542039091390926</v>
          </cell>
        </row>
        <row r="11">
          <cell r="L11">
            <v>0.21313820144216317</v>
          </cell>
        </row>
        <row r="12">
          <cell r="L12">
            <v>0.22005761777783911</v>
          </cell>
        </row>
      </sheetData>
      <sheetData sheetId="11">
        <row r="5">
          <cell r="L5">
            <v>0.29656949017315881</v>
          </cell>
        </row>
        <row r="6">
          <cell r="L6">
            <v>0.30935265785303639</v>
          </cell>
        </row>
        <row r="7">
          <cell r="L7">
            <v>0.32128361435425545</v>
          </cell>
        </row>
        <row r="8">
          <cell r="L8">
            <v>0.33364067644480372</v>
          </cell>
        </row>
        <row r="9">
          <cell r="L9">
            <v>0.34684994971401056</v>
          </cell>
        </row>
        <row r="10">
          <cell r="L10">
            <v>0.36048532857254661</v>
          </cell>
        </row>
        <row r="11">
          <cell r="L11">
            <v>0.37284239066309477</v>
          </cell>
        </row>
        <row r="12">
          <cell r="L12">
            <v>0.3839211359856553</v>
          </cell>
        </row>
      </sheetData>
      <sheetData sheetId="12">
        <row r="5">
          <cell r="L5">
            <v>0.21668063080776687</v>
          </cell>
        </row>
        <row r="6">
          <cell r="L6">
            <v>0.22643211740028696</v>
          </cell>
        </row>
        <row r="7">
          <cell r="L7">
            <v>0.2355642105831362</v>
          </cell>
        </row>
        <row r="8">
          <cell r="L8">
            <v>0.24505370396359324</v>
          </cell>
        </row>
        <row r="9">
          <cell r="L9">
            <v>0.25675686191704422</v>
          </cell>
        </row>
        <row r="10">
          <cell r="L10">
            <v>0.28025478409090904</v>
          </cell>
        </row>
        <row r="11">
          <cell r="L11">
            <v>0.30158322333751553</v>
          </cell>
        </row>
        <row r="12">
          <cell r="L12">
            <v>0.32073230996870394</v>
          </cell>
        </row>
      </sheetData>
      <sheetData sheetId="1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0.16</v>
          </cell>
        </row>
        <row r="9">
          <cell r="C9">
            <v>0.18</v>
          </cell>
        </row>
        <row r="10">
          <cell r="C10">
            <v>0.18</v>
          </cell>
        </row>
        <row r="11">
          <cell r="C11">
            <v>0.19</v>
          </cell>
        </row>
        <row r="12">
          <cell r="C12">
            <v>0.2</v>
          </cell>
        </row>
        <row r="13">
          <cell r="C13">
            <v>0.22</v>
          </cell>
        </row>
        <row r="20">
          <cell r="B20">
            <v>100</v>
          </cell>
        </row>
        <row r="22">
          <cell r="B22">
            <v>45</v>
          </cell>
        </row>
        <row r="27">
          <cell r="B27">
            <v>2.8</v>
          </cell>
        </row>
        <row r="28">
          <cell r="B28">
            <v>10</v>
          </cell>
        </row>
        <row r="29">
          <cell r="B29">
            <v>78.5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45</v>
          </cell>
        </row>
      </sheetData>
      <sheetData sheetId="1">
        <row r="5">
          <cell r="K5">
            <v>323.62787304146531</v>
          </cell>
          <cell r="L5">
            <v>0.19163178552870083</v>
          </cell>
        </row>
        <row r="6">
          <cell r="K6">
            <v>336.50195852596801</v>
          </cell>
          <cell r="L6">
            <v>0.21628654439475523</v>
          </cell>
        </row>
        <row r="7">
          <cell r="K7">
            <v>354.70325179716156</v>
          </cell>
          <cell r="L7">
            <v>0.25114327244676327</v>
          </cell>
        </row>
        <row r="8">
          <cell r="K8">
            <v>365.35766737054308</v>
          </cell>
          <cell r="L8">
            <v>0.27154721081867028</v>
          </cell>
        </row>
        <row r="9">
          <cell r="K9">
            <v>375.5681489617005</v>
          </cell>
          <cell r="L9">
            <v>0.29110098509174809</v>
          </cell>
        </row>
        <row r="10">
          <cell r="K10">
            <v>386.66649851730631</v>
          </cell>
          <cell r="L10">
            <v>0.31235508756248465</v>
          </cell>
        </row>
        <row r="11">
          <cell r="K11">
            <v>401.31631993070596</v>
          </cell>
          <cell r="L11">
            <v>0.34041050282385693</v>
          </cell>
        </row>
      </sheetData>
      <sheetData sheetId="2">
        <row r="5">
          <cell r="L5">
            <v>0.19671362345416274</v>
          </cell>
        </row>
        <row r="6">
          <cell r="L6">
            <v>0.20453899393450664</v>
          </cell>
        </row>
        <row r="7">
          <cell r="L7">
            <v>0.21560244875154463</v>
          </cell>
        </row>
        <row r="8">
          <cell r="L8">
            <v>0.22724551120300288</v>
          </cell>
        </row>
        <row r="9">
          <cell r="L9">
            <v>0.24276133198299524</v>
          </cell>
        </row>
        <row r="10">
          <cell r="L10">
            <v>0.25962635456994337</v>
          </cell>
        </row>
        <row r="11">
          <cell r="L11">
            <v>0.28188818438471486</v>
          </cell>
        </row>
      </sheetData>
      <sheetData sheetId="3">
        <row r="5">
          <cell r="M5">
            <v>0.29912619269410617</v>
          </cell>
        </row>
        <row r="6">
          <cell r="M6">
            <v>0.32339834860143718</v>
          </cell>
        </row>
        <row r="7">
          <cell r="M7">
            <v>0.35932955971050418</v>
          </cell>
        </row>
        <row r="8">
          <cell r="M8">
            <v>0.38393870381101147</v>
          </cell>
        </row>
        <row r="9">
          <cell r="M9">
            <v>0.40994362049156363</v>
          </cell>
        </row>
        <row r="10">
          <cell r="M10">
            <v>0.43820983427477217</v>
          </cell>
        </row>
        <row r="11">
          <cell r="M11">
            <v>0.47552123646860744</v>
          </cell>
        </row>
      </sheetData>
      <sheetData sheetId="4">
        <row r="5">
          <cell r="L5">
            <v>0.30303093439069345</v>
          </cell>
        </row>
        <row r="6">
          <cell r="L6">
            <v>0.31508566291926698</v>
          </cell>
        </row>
        <row r="7">
          <cell r="L7">
            <v>0.33212855497690541</v>
          </cell>
        </row>
        <row r="8">
          <cell r="L8">
            <v>0.34210488203503525</v>
          </cell>
        </row>
        <row r="9">
          <cell r="L9">
            <v>0.35166552879907637</v>
          </cell>
        </row>
        <row r="10">
          <cell r="L10">
            <v>0.36205753615129493</v>
          </cell>
        </row>
        <row r="11">
          <cell r="L11">
            <v>0.37577498585622349</v>
          </cell>
        </row>
      </sheetData>
      <sheetData sheetId="5">
        <row r="5">
          <cell r="Q5">
            <v>0.27264939156529311</v>
          </cell>
          <cell r="R5">
            <v>0.1865401245528952</v>
          </cell>
          <cell r="W5">
            <v>1.2436008303526347</v>
          </cell>
        </row>
        <row r="6">
          <cell r="Q6">
            <v>0.28349552648352838</v>
          </cell>
          <cell r="R6">
            <v>0.20167664919268491</v>
          </cell>
          <cell r="W6">
            <v>1.2604790574542806</v>
          </cell>
        </row>
        <row r="7">
          <cell r="Q7">
            <v>0.29882971722999896</v>
          </cell>
          <cell r="R7">
            <v>0.22408395674156276</v>
          </cell>
          <cell r="W7">
            <v>1.2449108707864598</v>
          </cell>
        </row>
        <row r="8">
          <cell r="Q8">
            <v>0.30780582888646951</v>
          </cell>
          <cell r="R8">
            <v>0.23774800217387809</v>
          </cell>
          <cell r="W8">
            <v>1.3208222342993228</v>
          </cell>
        </row>
        <row r="9">
          <cell r="Q9">
            <v>0.31640793589058713</v>
          </cell>
          <cell r="R9">
            <v>0.25122215219469318</v>
          </cell>
          <cell r="W9">
            <v>1.32222185365628</v>
          </cell>
        </row>
        <row r="10">
          <cell r="Q10">
            <v>0.32575805219941062</v>
          </cell>
          <cell r="R10">
            <v>0.26628917721992273</v>
          </cell>
          <cell r="W10">
            <v>1.3314458860996137</v>
          </cell>
        </row>
        <row r="11">
          <cell r="Q11">
            <v>0.33810020572705757</v>
          </cell>
          <cell r="R11">
            <v>0.28684947986064074</v>
          </cell>
          <cell r="W11">
            <v>1.3038612720938216</v>
          </cell>
        </row>
      </sheetData>
      <sheetData sheetId="6">
        <row r="5">
          <cell r="L5">
            <v>0.31578662672755275</v>
          </cell>
        </row>
        <row r="6">
          <cell r="L6">
            <v>0.3398455864801202</v>
          </cell>
        </row>
        <row r="7">
          <cell r="L7">
            <v>0.37385997785443986</v>
          </cell>
        </row>
        <row r="8">
          <cell r="L8">
            <v>0.39377084109794397</v>
          </cell>
        </row>
        <row r="9">
          <cell r="L9">
            <v>0.41285208503963555</v>
          </cell>
        </row>
        <row r="10">
          <cell r="L10">
            <v>0.4335925675849524</v>
          </cell>
        </row>
        <row r="11">
          <cell r="L11">
            <v>0.46097000454477061</v>
          </cell>
        </row>
      </sheetData>
      <sheetData sheetId="7">
        <row r="5">
          <cell r="L5">
            <v>0.28892624595985633</v>
          </cell>
        </row>
        <row r="6">
          <cell r="L6">
            <v>0.3183330337313815</v>
          </cell>
        </row>
        <row r="7">
          <cell r="L7">
            <v>0.35882040605159882</v>
          </cell>
        </row>
        <row r="8">
          <cell r="L8">
            <v>0.3819966150455596</v>
          </cell>
        </row>
        <row r="9">
          <cell r="L9">
            <v>0.40388198949836024</v>
          </cell>
        </row>
        <row r="10">
          <cell r="L10">
            <v>0.4273393239822082</v>
          </cell>
        </row>
        <row r="11">
          <cell r="L11">
            <v>0.45782219685333214</v>
          </cell>
        </row>
      </sheetData>
      <sheetData sheetId="8">
        <row r="5">
          <cell r="L5">
            <v>0.35344686014634585</v>
          </cell>
        </row>
        <row r="6">
          <cell r="L6">
            <v>0.36750716048138565</v>
          </cell>
        </row>
        <row r="7">
          <cell r="L7">
            <v>0.38738551612747646</v>
          </cell>
        </row>
        <row r="8">
          <cell r="L8">
            <v>0.39902162674957831</v>
          </cell>
        </row>
        <row r="9">
          <cell r="L9">
            <v>0.41017289942909274</v>
          </cell>
        </row>
        <row r="10">
          <cell r="L10">
            <v>0.42229384799378228</v>
          </cell>
        </row>
        <row r="11">
          <cell r="L11">
            <v>0.43829350009917234</v>
          </cell>
        </row>
      </sheetData>
      <sheetData sheetId="9">
        <row r="5">
          <cell r="L5">
            <v>0.23227739793056107</v>
          </cell>
        </row>
        <row r="6">
          <cell r="L6">
            <v>0.24300214737708142</v>
          </cell>
        </row>
        <row r="7">
          <cell r="L7">
            <v>0.25816472418078257</v>
          </cell>
        </row>
        <row r="8">
          <cell r="L8">
            <v>0.2670403788951442</v>
          </cell>
        </row>
        <row r="9">
          <cell r="L9">
            <v>0.27554621466307422</v>
          </cell>
        </row>
        <row r="10">
          <cell r="L10">
            <v>0.28479168832386764</v>
          </cell>
        </row>
        <row r="11">
          <cell r="L11">
            <v>0.29699571355611493</v>
          </cell>
        </row>
      </sheetData>
      <sheetData sheetId="10">
        <row r="5">
          <cell r="L5">
            <v>0.17428301740336749</v>
          </cell>
        </row>
        <row r="6">
          <cell r="L6">
            <v>0.18200082793162145</v>
          </cell>
        </row>
        <row r="7">
          <cell r="L7">
            <v>0.19291221523018737</v>
          </cell>
        </row>
        <row r="8">
          <cell r="L8">
            <v>0.19929936877081128</v>
          </cell>
        </row>
        <row r="9">
          <cell r="L9">
            <v>0.20542039091390926</v>
          </cell>
        </row>
        <row r="10">
          <cell r="L10">
            <v>0.21207367585205927</v>
          </cell>
        </row>
        <row r="11">
          <cell r="L11">
            <v>0.22085601197041718</v>
          </cell>
        </row>
      </sheetData>
      <sheetData sheetId="11">
        <row r="5">
          <cell r="L5">
            <v>0.31063097462102418</v>
          </cell>
        </row>
        <row r="6">
          <cell r="L6">
            <v>0.32298803671157245</v>
          </cell>
        </row>
        <row r="7">
          <cell r="L7">
            <v>0.34045836587407174</v>
          </cell>
        </row>
        <row r="8">
          <cell r="L8">
            <v>0.35068490001797376</v>
          </cell>
        </row>
        <row r="9">
          <cell r="L9">
            <v>0.36048532857254661</v>
          </cell>
        </row>
        <row r="10">
          <cell r="L10">
            <v>0.37113796830577789</v>
          </cell>
        </row>
        <row r="11">
          <cell r="L11">
            <v>0.38519945275364315</v>
          </cell>
        </row>
      </sheetData>
      <sheetData sheetId="12">
        <row r="5">
          <cell r="L5">
            <v>0.22740913789694855</v>
          </cell>
        </row>
        <row r="6">
          <cell r="L6">
            <v>0.23687121547696169</v>
          </cell>
        </row>
        <row r="7">
          <cell r="L7">
            <v>0.25030289988130727</v>
          </cell>
        </row>
        <row r="8">
          <cell r="L8">
            <v>0.26336173868658713</v>
          </cell>
        </row>
        <row r="9">
          <cell r="L9">
            <v>0.28025478409090904</v>
          </cell>
        </row>
        <row r="10">
          <cell r="L10">
            <v>0.29863947890347037</v>
          </cell>
        </row>
        <row r="11">
          <cell r="L11">
            <v>0.32294346491263715</v>
          </cell>
        </row>
      </sheetData>
      <sheetData sheetId="1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0.2</v>
          </cell>
        </row>
        <row r="9">
          <cell r="C9">
            <v>0.23</v>
          </cell>
        </row>
        <row r="20">
          <cell r="B20">
            <v>100</v>
          </cell>
        </row>
        <row r="22">
          <cell r="B22">
            <v>50</v>
          </cell>
        </row>
        <row r="27">
          <cell r="B27">
            <v>2.8</v>
          </cell>
        </row>
        <row r="28">
          <cell r="B28">
            <v>20</v>
          </cell>
        </row>
        <row r="29">
          <cell r="B29">
            <v>315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40</v>
          </cell>
        </row>
      </sheetData>
      <sheetData sheetId="1">
        <row r="5">
          <cell r="K5">
            <v>224.93648942333181</v>
          </cell>
          <cell r="L5">
            <v>0.17621750604544575</v>
          </cell>
        </row>
        <row r="6">
          <cell r="K6">
            <v>259.89764030841235</v>
          </cell>
          <cell r="L6">
            <v>0.2129582212234726</v>
          </cell>
        </row>
        <row r="7">
          <cell r="K7">
            <v>294.74027881761134</v>
          </cell>
          <cell r="L7">
            <v>0.24957439160428585</v>
          </cell>
        </row>
      </sheetData>
      <sheetData sheetId="2">
        <row r="5">
          <cell r="L5">
            <v>0.16250526374056309</v>
          </cell>
        </row>
        <row r="6">
          <cell r="L6">
            <v>0.20529664584009563</v>
          </cell>
        </row>
        <row r="7">
          <cell r="L7">
            <v>0.24794297240708743</v>
          </cell>
        </row>
      </sheetData>
      <sheetData sheetId="3">
        <row r="5">
          <cell r="M5">
            <v>0.16897223598041747</v>
          </cell>
        </row>
        <row r="6">
          <cell r="M6">
            <v>0.2244579017601685</v>
          </cell>
        </row>
        <row r="7">
          <cell r="M7">
            <v>0.27975548053727639</v>
          </cell>
        </row>
      </sheetData>
      <sheetData sheetId="4">
        <row r="5">
          <cell r="L5">
            <v>0.17479495534935269</v>
          </cell>
        </row>
        <row r="6">
          <cell r="L6">
            <v>0.21123907383205465</v>
          </cell>
        </row>
        <row r="7">
          <cell r="L7">
            <v>0.24755965293006962</v>
          </cell>
        </row>
      </sheetData>
      <sheetData sheetId="5">
        <row r="5">
          <cell r="Q5">
            <v>0.1898757685393937</v>
          </cell>
          <cell r="R5">
            <v>0.19142813392713337</v>
          </cell>
          <cell r="W5">
            <v>1.1867235533712106</v>
          </cell>
        </row>
        <row r="6">
          <cell r="Q6">
            <v>0.21938754499836161</v>
          </cell>
          <cell r="R6">
            <v>0.25555866628532853</v>
          </cell>
          <cell r="W6">
            <v>1.096937724991808</v>
          </cell>
        </row>
        <row r="7">
          <cell r="Q7">
            <v>0.24879928153712966</v>
          </cell>
          <cell r="R7">
            <v>0.32867367449457463</v>
          </cell>
          <cell r="W7">
            <v>1.0817360066831723</v>
          </cell>
        </row>
      </sheetData>
      <sheetData sheetId="6">
        <row r="5">
          <cell r="L5">
            <v>0.19112255277280865</v>
          </cell>
        </row>
        <row r="6">
          <cell r="L6">
            <v>0.22730456924435233</v>
          </cell>
        </row>
        <row r="7">
          <cell r="L7">
            <v>0.26336393481260267</v>
          </cell>
        </row>
      </sheetData>
      <sheetData sheetId="7">
        <row r="5">
          <cell r="L5">
            <v>0.26226217585674594</v>
          </cell>
        </row>
        <row r="6">
          <cell r="L6">
            <v>0.31797860737202122</v>
          </cell>
        </row>
        <row r="7">
          <cell r="L7">
            <v>0.37186865513846545</v>
          </cell>
        </row>
      </sheetData>
      <sheetData sheetId="8">
        <row r="5">
          <cell r="L5">
            <v>0.23684951094129722</v>
          </cell>
        </row>
        <row r="6">
          <cell r="L6">
            <v>0.2736622642224788</v>
          </cell>
        </row>
        <row r="7">
          <cell r="L7">
            <v>0.31035022850948701</v>
          </cell>
        </row>
      </sheetData>
      <sheetData sheetId="9">
        <row r="5">
          <cell r="L5">
            <v>0.20327420345519723</v>
          </cell>
        </row>
        <row r="6">
          <cell r="L6">
            <v>0.24246488217982529</v>
          </cell>
        </row>
        <row r="7">
          <cell r="L7">
            <v>0.28152271114606486</v>
          </cell>
        </row>
      </sheetData>
      <sheetData sheetId="10">
        <row r="5">
          <cell r="L5">
            <v>0.12778582265536664</v>
          </cell>
        </row>
        <row r="6">
          <cell r="L6">
            <v>0.14966742924837029</v>
          </cell>
        </row>
        <row r="7">
          <cell r="L7">
            <v>0.17147486090377059</v>
          </cell>
        </row>
      </sheetData>
      <sheetData sheetId="11">
        <row r="5">
          <cell r="L5">
            <v>0.24461058238608518</v>
          </cell>
        </row>
        <row r="6">
          <cell r="L6">
            <v>0.28262961389498675</v>
          </cell>
        </row>
        <row r="7">
          <cell r="L7">
            <v>0.32051976733097681</v>
          </cell>
        </row>
      </sheetData>
      <sheetData sheetId="12">
        <row r="5">
          <cell r="L5">
            <v>0.22135040597599331</v>
          </cell>
        </row>
        <row r="6">
          <cell r="L6">
            <v>0.27728710523767919</v>
          </cell>
        </row>
        <row r="7">
          <cell r="L7">
            <v>0.33410466194190286</v>
          </cell>
        </row>
      </sheetData>
      <sheetData sheetId="1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0.14000000000000001</v>
          </cell>
        </row>
        <row r="8">
          <cell r="C8">
            <v>0.17</v>
          </cell>
        </row>
        <row r="9">
          <cell r="C9">
            <v>0.21</v>
          </cell>
        </row>
        <row r="20">
          <cell r="B20">
            <v>100</v>
          </cell>
        </row>
        <row r="22">
          <cell r="B22">
            <v>50</v>
          </cell>
        </row>
        <row r="27">
          <cell r="B27">
            <v>2.8</v>
          </cell>
        </row>
        <row r="28">
          <cell r="B28">
            <v>20</v>
          </cell>
        </row>
        <row r="29">
          <cell r="B29">
            <v>315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40</v>
          </cell>
        </row>
      </sheetData>
      <sheetData sheetId="1">
        <row r="5">
          <cell r="K5">
            <v>224.93648942333181</v>
          </cell>
          <cell r="L5">
            <v>0.17621750604544575</v>
          </cell>
        </row>
        <row r="6">
          <cell r="K6">
            <v>259.42359080488586</v>
          </cell>
          <cell r="L6">
            <v>0.21246004203461805</v>
          </cell>
        </row>
        <row r="7">
          <cell r="K7">
            <v>294.14771693820313</v>
          </cell>
          <cell r="L7">
            <v>0.24895166761821755</v>
          </cell>
        </row>
      </sheetData>
      <sheetData sheetId="2">
        <row r="5">
          <cell r="L5">
            <v>0.16250526374056309</v>
          </cell>
        </row>
        <row r="6">
          <cell r="L6">
            <v>0.20471642370993251</v>
          </cell>
        </row>
        <row r="7">
          <cell r="L7">
            <v>0.2472176947443834</v>
          </cell>
        </row>
      </sheetData>
      <sheetData sheetId="3">
        <row r="5">
          <cell r="M5">
            <v>0.16897223598041747</v>
          </cell>
        </row>
        <row r="6">
          <cell r="M6">
            <v>0.22370555374959566</v>
          </cell>
        </row>
        <row r="7">
          <cell r="M7">
            <v>0.27881504552406022</v>
          </cell>
        </row>
      </sheetData>
      <sheetData sheetId="4">
        <row r="5">
          <cell r="L5">
            <v>0.17479495534935269</v>
          </cell>
        </row>
        <row r="6">
          <cell r="L6">
            <v>0.21074491629330622</v>
          </cell>
        </row>
        <row r="7">
          <cell r="L7">
            <v>0.24694195600663396</v>
          </cell>
        </row>
      </sheetData>
      <sheetData sheetId="5">
        <row r="5">
          <cell r="Q5">
            <v>0.1898757685393937</v>
          </cell>
          <cell r="R5">
            <v>0.19142813392713337</v>
          </cell>
          <cell r="W5">
            <v>1.3562554895670977</v>
          </cell>
        </row>
        <row r="6">
          <cell r="Q6">
            <v>0.21898738531756209</v>
          </cell>
          <cell r="R6">
            <v>0.25462724595282982</v>
          </cell>
          <cell r="W6">
            <v>1.2881610901033063</v>
          </cell>
        </row>
        <row r="7">
          <cell r="Q7">
            <v>0.24829908193613023</v>
          </cell>
          <cell r="R7">
            <v>0.32735343612391454</v>
          </cell>
          <cell r="W7">
            <v>1.1823765806482394</v>
          </cell>
        </row>
      </sheetData>
      <sheetData sheetId="6">
        <row r="5">
          <cell r="L5">
            <v>0.19112255277280865</v>
          </cell>
        </row>
        <row r="6">
          <cell r="L6">
            <v>0.22681396563117887</v>
          </cell>
        </row>
        <row r="7">
          <cell r="L7">
            <v>0.2627506802961358</v>
          </cell>
        </row>
      </sheetData>
      <sheetData sheetId="7">
        <row r="5">
          <cell r="L5">
            <v>0.26226217585674594</v>
          </cell>
        </row>
        <row r="6">
          <cell r="L6">
            <v>0.31723563596323379</v>
          </cell>
        </row>
        <row r="7">
          <cell r="L7">
            <v>0.37096260696987954</v>
          </cell>
        </row>
      </sheetData>
      <sheetData sheetId="8">
        <row r="5">
          <cell r="L5">
            <v>0.23684951094129722</v>
          </cell>
        </row>
        <row r="6">
          <cell r="L6">
            <v>0.27316310824578488</v>
          </cell>
        </row>
        <row r="7">
          <cell r="L7">
            <v>0.30972628353861942</v>
          </cell>
        </row>
      </sheetData>
      <sheetData sheetId="9">
        <row r="5">
          <cell r="L5">
            <v>0.20327420345519723</v>
          </cell>
        </row>
        <row r="6">
          <cell r="L6">
            <v>0.24193348314627106</v>
          </cell>
        </row>
        <row r="7">
          <cell r="L7">
            <v>0.28085846235412198</v>
          </cell>
        </row>
      </sheetData>
      <sheetData sheetId="10">
        <row r="5">
          <cell r="L5">
            <v>0.12778582265536664</v>
          </cell>
        </row>
        <row r="6">
          <cell r="L6">
            <v>0.14937072949795668</v>
          </cell>
        </row>
        <row r="7">
          <cell r="L7">
            <v>0.17110398621575354</v>
          </cell>
        </row>
      </sheetData>
      <sheetData sheetId="11">
        <row r="5">
          <cell r="L5">
            <v>0.24461058238608518</v>
          </cell>
        </row>
        <row r="6">
          <cell r="L6">
            <v>0.28211410160334066</v>
          </cell>
        </row>
        <row r="7">
          <cell r="L7">
            <v>0.3198753769664191</v>
          </cell>
        </row>
      </sheetData>
      <sheetData sheetId="12">
        <row r="5">
          <cell r="L5">
            <v>0.22135040597599331</v>
          </cell>
        </row>
        <row r="6">
          <cell r="L6">
            <v>0.27652144593195271</v>
          </cell>
        </row>
        <row r="7">
          <cell r="L7">
            <v>0.33312944429804181</v>
          </cell>
        </row>
      </sheetData>
      <sheetData sheetId="1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0.21</v>
          </cell>
        </row>
        <row r="8">
          <cell r="C8">
            <v>0.25</v>
          </cell>
        </row>
        <row r="9">
          <cell r="C9">
            <v>0.28999999999999998</v>
          </cell>
        </row>
        <row r="10">
          <cell r="C10">
            <v>0.33</v>
          </cell>
        </row>
        <row r="11">
          <cell r="C11">
            <v>0.37</v>
          </cell>
        </row>
        <row r="20">
          <cell r="B20">
            <v>100</v>
          </cell>
        </row>
        <row r="22">
          <cell r="B22">
            <v>50</v>
          </cell>
        </row>
        <row r="27">
          <cell r="B27">
            <v>2.8</v>
          </cell>
        </row>
        <row r="28">
          <cell r="B28">
            <v>20</v>
          </cell>
        </row>
        <row r="29">
          <cell r="B29">
            <v>315</v>
          </cell>
        </row>
        <row r="30">
          <cell r="B30">
            <v>40</v>
          </cell>
        </row>
        <row r="31">
          <cell r="B31">
            <v>1</v>
          </cell>
        </row>
        <row r="32">
          <cell r="B32">
            <v>40</v>
          </cell>
        </row>
      </sheetData>
      <sheetData sheetId="1">
        <row r="5">
          <cell r="K5">
            <v>154.30311339788094</v>
          </cell>
          <cell r="L5">
            <v>0.10198880690611019</v>
          </cell>
        </row>
        <row r="6">
          <cell r="K6">
            <v>190.33087566589617</v>
          </cell>
          <cell r="L6">
            <v>0.13985042525905989</v>
          </cell>
        </row>
        <row r="7">
          <cell r="K7">
            <v>224.34392754392366</v>
          </cell>
          <cell r="L7">
            <v>0.17559478205937751</v>
          </cell>
        </row>
        <row r="8">
          <cell r="K8">
            <v>258.47549179783277</v>
          </cell>
          <cell r="L8">
            <v>0.21146368365690876</v>
          </cell>
        </row>
        <row r="9">
          <cell r="K9">
            <v>306.71002878165581</v>
          </cell>
          <cell r="L9">
            <v>0.26215341612286447</v>
          </cell>
        </row>
      </sheetData>
      <sheetData sheetId="2">
        <row r="5">
          <cell r="L5">
            <v>7.6052166346253336E-2</v>
          </cell>
        </row>
        <row r="6">
          <cell r="L6">
            <v>0.12014904823865298</v>
          </cell>
        </row>
        <row r="7">
          <cell r="L7">
            <v>0.16177998607785915</v>
          </cell>
        </row>
        <row r="8">
          <cell r="L8">
            <v>0.2035559794496061</v>
          </cell>
        </row>
        <row r="9">
          <cell r="L9">
            <v>0.26259358119370696</v>
          </cell>
        </row>
      </sheetData>
      <sheetData sheetId="3">
        <row r="5">
          <cell r="M5">
            <v>7.6052166346253336E-2</v>
          </cell>
        </row>
        <row r="6">
          <cell r="M6">
            <v>0.12014904823865298</v>
          </cell>
        </row>
        <row r="7">
          <cell r="M7">
            <v>0.1680318009672013</v>
          </cell>
        </row>
        <row r="8">
          <cell r="M8">
            <v>0.22220085772844975</v>
          </cell>
        </row>
        <row r="9">
          <cell r="M9">
            <v>0.29875226780424197</v>
          </cell>
        </row>
      </sheetData>
      <sheetData sheetId="4">
        <row r="5">
          <cell r="L5">
            <v>0.10116548207582587</v>
          </cell>
        </row>
        <row r="6">
          <cell r="L6">
            <v>0.13872145502071204</v>
          </cell>
        </row>
        <row r="7">
          <cell r="L7">
            <v>0.17417725842591705</v>
          </cell>
        </row>
        <row r="8">
          <cell r="L8">
            <v>0.20975660121580914</v>
          </cell>
        </row>
        <row r="9">
          <cell r="L9">
            <v>0.26003713078346924</v>
          </cell>
        </row>
      </sheetData>
      <sheetData sheetId="5">
        <row r="5">
          <cell r="Q5">
            <v>0.13025197610025843</v>
          </cell>
          <cell r="R5">
            <v>9.0081439601391769E-2</v>
          </cell>
          <cell r="W5">
            <v>0.42895923619710369</v>
          </cell>
        </row>
        <row r="6">
          <cell r="Q6">
            <v>0.16066411184102541</v>
          </cell>
          <cell r="R6">
            <v>0.13705801304842097</v>
          </cell>
          <cell r="W6">
            <v>0.54823205219368387</v>
          </cell>
        </row>
        <row r="7">
          <cell r="Q7">
            <v>0.18937556893839419</v>
          </cell>
          <cell r="R7">
            <v>0.19042088424647874</v>
          </cell>
          <cell r="W7">
            <v>0.65301920323584206</v>
          </cell>
        </row>
        <row r="8">
          <cell r="Q8">
            <v>0.21818706595596291</v>
          </cell>
          <cell r="R8">
            <v>0.25276950663150632</v>
          </cell>
          <cell r="W8">
            <v>0.66117292713928155</v>
          </cell>
        </row>
        <row r="9">
          <cell r="Q9">
            <v>0.25890331347731865</v>
          </cell>
          <cell r="R9">
            <v>0.35591139567956681</v>
          </cell>
          <cell r="W9">
            <v>0.69973868507383419</v>
          </cell>
        </row>
      </sheetData>
      <sheetData sheetId="6">
        <row r="5">
          <cell r="L5">
            <v>0.1180226144099611</v>
          </cell>
        </row>
        <row r="6">
          <cell r="L6">
            <v>0.15530848901114511</v>
          </cell>
        </row>
        <row r="7">
          <cell r="L7">
            <v>0.1905092982563418</v>
          </cell>
        </row>
        <row r="8">
          <cell r="L8">
            <v>0.22583275840483186</v>
          </cell>
        </row>
        <row r="9">
          <cell r="L9">
            <v>0.27575167604523287</v>
          </cell>
        </row>
      </sheetData>
      <sheetData sheetId="7">
        <row r="5">
          <cell r="L5">
            <v>0.14010405042378313</v>
          </cell>
        </row>
        <row r="6">
          <cell r="L6">
            <v>0.20460235210887237</v>
          </cell>
        </row>
        <row r="7">
          <cell r="L7">
            <v>0.26129919414968328</v>
          </cell>
        </row>
        <row r="8">
          <cell r="L8">
            <v>0.31574879558393154</v>
          </cell>
        </row>
        <row r="9">
          <cell r="L9">
            <v>0.39010522592092528</v>
          </cell>
        </row>
      </sheetData>
      <sheetData sheetId="8">
        <row r="5">
          <cell r="L5">
            <v>0.16247527041389301</v>
          </cell>
        </row>
        <row r="6">
          <cell r="L6">
            <v>0.20041112464263613</v>
          </cell>
        </row>
        <row r="7">
          <cell r="L7">
            <v>0.23622556597042974</v>
          </cell>
        </row>
        <row r="8">
          <cell r="L8">
            <v>0.27216479629239682</v>
          </cell>
        </row>
        <row r="9">
          <cell r="L9">
            <v>0.32295391692101011</v>
          </cell>
        </row>
      </sheetData>
      <sheetData sheetId="9">
        <row r="5">
          <cell r="L5">
            <v>0.12409574745560968</v>
          </cell>
        </row>
        <row r="6">
          <cell r="L6">
            <v>0.16448207400573495</v>
          </cell>
        </row>
        <row r="7">
          <cell r="L7">
            <v>0.20260995466325438</v>
          </cell>
        </row>
        <row r="8">
          <cell r="L8">
            <v>0.2408706850791624</v>
          </cell>
        </row>
        <row r="9">
          <cell r="L9">
            <v>0.29494053674331033</v>
          </cell>
        </row>
      </sheetData>
      <sheetData sheetId="10">
        <row r="5">
          <cell r="L5">
            <v>8.3577559843738908E-2</v>
          </cell>
        </row>
        <row r="6">
          <cell r="L6">
            <v>0.10612674087517321</v>
          </cell>
        </row>
        <row r="7">
          <cell r="L7">
            <v>0.12741494796734962</v>
          </cell>
        </row>
        <row r="8">
          <cell r="L8">
            <v>0.14877732999712945</v>
          </cell>
        </row>
        <row r="9">
          <cell r="L9">
            <v>0.17896652960171419</v>
          </cell>
        </row>
      </sheetData>
      <sheetData sheetId="11">
        <row r="5">
          <cell r="L5">
            <v>0.16779925093081291</v>
          </cell>
        </row>
        <row r="6">
          <cell r="L6">
            <v>0.20697818509591828</v>
          </cell>
        </row>
        <row r="7">
          <cell r="L7">
            <v>0.24396619202152753</v>
          </cell>
        </row>
        <row r="8">
          <cell r="L8">
            <v>0.28108307702004831</v>
          </cell>
        </row>
        <row r="9">
          <cell r="L9">
            <v>0.33353645269504134</v>
          </cell>
        </row>
      </sheetData>
      <sheetData sheetId="12">
        <row r="5">
          <cell r="L5">
            <v>0.11162205731925061</v>
          </cell>
        </row>
        <row r="6">
          <cell r="L6">
            <v>0.16704213558685027</v>
          </cell>
        </row>
        <row r="7">
          <cell r="L7">
            <v>0.22041159899105203</v>
          </cell>
        </row>
        <row r="8">
          <cell r="L8">
            <v>0.27499072077096748</v>
          </cell>
        </row>
        <row r="9">
          <cell r="L9">
            <v>0.35387024043862264</v>
          </cell>
        </row>
      </sheetData>
      <sheetData sheetId="1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0.23</v>
          </cell>
        </row>
        <row r="9">
          <cell r="C9">
            <v>0.28000000000000003</v>
          </cell>
        </row>
        <row r="20">
          <cell r="B20">
            <v>600</v>
          </cell>
        </row>
        <row r="22">
          <cell r="B22">
            <v>64</v>
          </cell>
        </row>
        <row r="27">
          <cell r="B27">
            <v>3.5088212858554391</v>
          </cell>
        </row>
        <row r="28">
          <cell r="B28">
            <v>20</v>
          </cell>
        </row>
        <row r="29">
          <cell r="B29">
            <v>1884</v>
          </cell>
        </row>
        <row r="30">
          <cell r="B30">
            <v>50</v>
          </cell>
        </row>
        <row r="31">
          <cell r="B31">
            <v>6</v>
          </cell>
        </row>
        <row r="32">
          <cell r="B32">
            <v>84</v>
          </cell>
        </row>
      </sheetData>
      <sheetData sheetId="1">
        <row r="5">
          <cell r="K5">
            <v>179.8880402629556</v>
          </cell>
          <cell r="L5">
            <v>0.13165888294921016</v>
          </cell>
        </row>
        <row r="6">
          <cell r="K6">
            <v>225.29667178564338</v>
          </cell>
          <cell r="L6">
            <v>0.19201766444682036</v>
          </cell>
        </row>
        <row r="7">
          <cell r="K7">
            <v>270.70530330833117</v>
          </cell>
          <cell r="L7">
            <v>0.25237644594443065</v>
          </cell>
        </row>
      </sheetData>
      <sheetData sheetId="2">
        <row r="5">
          <cell r="L5">
            <v>0.11112967472357412</v>
          </cell>
        </row>
        <row r="6">
          <cell r="L6">
            <v>0.15812571226520117</v>
          </cell>
        </row>
        <row r="7">
          <cell r="L7">
            <v>0.22825608951794205</v>
          </cell>
        </row>
      </sheetData>
      <sheetData sheetId="3">
        <row r="5">
          <cell r="M5">
            <v>0.11112967472357412</v>
          </cell>
        </row>
        <row r="6">
          <cell r="M6">
            <v>0.17447193318140625</v>
          </cell>
        </row>
        <row r="7">
          <cell r="M7">
            <v>0.27340361669998869</v>
          </cell>
        </row>
      </sheetData>
      <sheetData sheetId="4">
        <row r="5">
          <cell r="L5">
            <v>0.14372200877992905</v>
          </cell>
        </row>
        <row r="6">
          <cell r="L6">
            <v>0.19235738777105407</v>
          </cell>
        </row>
        <row r="7">
          <cell r="L7">
            <v>0.25282295780791741</v>
          </cell>
        </row>
      </sheetData>
      <sheetData sheetId="5">
        <row r="5">
          <cell r="Q5">
            <v>0.18553423573636568</v>
          </cell>
          <cell r="R5">
            <v>0.1026441456405006</v>
          </cell>
          <cell r="W5">
            <v>0.68429430427000404</v>
          </cell>
        </row>
        <row r="6">
          <cell r="Q6">
            <v>0.23236812048535119</v>
          </cell>
          <cell r="R6">
            <v>0.16100492295254692</v>
          </cell>
          <cell r="W6">
            <v>0.70002140414150837</v>
          </cell>
        </row>
        <row r="7">
          <cell r="Q7">
            <v>0.27920200523433669</v>
          </cell>
          <cell r="R7">
            <v>0.2324465641448796</v>
          </cell>
          <cell r="W7">
            <v>0.83016630051742712</v>
          </cell>
        </row>
      </sheetData>
      <sheetData sheetId="6">
        <row r="5">
          <cell r="L5">
            <v>0.1794510728837965</v>
          </cell>
        </row>
        <row r="6">
          <cell r="L6">
            <v>0.2397953842270677</v>
          </cell>
        </row>
        <row r="7">
          <cell r="L7">
            <v>0.30013969557033893</v>
          </cell>
        </row>
      </sheetData>
      <sheetData sheetId="7">
        <row r="5">
          <cell r="L5">
            <v>0.18142626809901571</v>
          </cell>
        </row>
        <row r="6">
          <cell r="L6">
            <v>0.28653185735533826</v>
          </cell>
        </row>
        <row r="7">
          <cell r="L7">
            <v>0.38280381975996458</v>
          </cell>
        </row>
      </sheetData>
      <sheetData sheetId="8">
        <row r="5">
          <cell r="L5">
            <v>0.24579967428747088</v>
          </cell>
        </row>
        <row r="6">
          <cell r="L6">
            <v>0.30784619401052171</v>
          </cell>
        </row>
        <row r="7">
          <cell r="L7">
            <v>0.36989271373357252</v>
          </cell>
        </row>
      </sheetData>
      <sheetData sheetId="9">
        <row r="5">
          <cell r="L5">
            <v>9.6590039935230895E-2</v>
          </cell>
        </row>
        <row r="6">
          <cell r="L6">
            <v>0.12839861103259623</v>
          </cell>
        </row>
        <row r="7">
          <cell r="L7">
            <v>0.16020718212996152</v>
          </cell>
        </row>
      </sheetData>
      <sheetData sheetId="10">
        <row r="5">
          <cell r="L5">
            <v>0.22462944676363292</v>
          </cell>
        </row>
        <row r="6">
          <cell r="L6">
            <v>0.29310374580479831</v>
          </cell>
        </row>
        <row r="7">
          <cell r="L7">
            <v>0.36157804484596373</v>
          </cell>
        </row>
      </sheetData>
      <sheetData sheetId="11">
        <row r="5">
          <cell r="L5">
            <v>0.23457569596147687</v>
          </cell>
        </row>
        <row r="6">
          <cell r="L6">
            <v>0.29378897843718943</v>
          </cell>
        </row>
        <row r="7">
          <cell r="L7">
            <v>0.35300226091290199</v>
          </cell>
        </row>
      </sheetData>
      <sheetData sheetId="12">
        <row r="5">
          <cell r="L5">
            <v>0.14576001344535874</v>
          </cell>
        </row>
        <row r="6">
          <cell r="L6">
            <v>0.20417558556107207</v>
          </cell>
        </row>
        <row r="7">
          <cell r="L7">
            <v>0.28680495920975169</v>
          </cell>
        </row>
      </sheetData>
      <sheetData sheetId="1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0.18</v>
          </cell>
        </row>
        <row r="8">
          <cell r="C8">
            <v>0.26</v>
          </cell>
        </row>
        <row r="9">
          <cell r="C9">
            <v>0.34</v>
          </cell>
        </row>
        <row r="20">
          <cell r="B20">
            <v>600</v>
          </cell>
        </row>
        <row r="22">
          <cell r="B22">
            <v>64</v>
          </cell>
        </row>
        <row r="27">
          <cell r="B27">
            <v>3.5088212858554391</v>
          </cell>
        </row>
        <row r="28">
          <cell r="B28">
            <v>20</v>
          </cell>
        </row>
        <row r="29">
          <cell r="B29">
            <v>2826</v>
          </cell>
        </row>
        <row r="30">
          <cell r="B30">
            <v>50</v>
          </cell>
        </row>
        <row r="31">
          <cell r="B31">
            <v>9</v>
          </cell>
        </row>
        <row r="32">
          <cell r="B32">
            <v>45</v>
          </cell>
        </row>
      </sheetData>
      <sheetData sheetId="1">
        <row r="5">
          <cell r="K5">
            <v>176.83957373352104</v>
          </cell>
          <cell r="L5">
            <v>0.12272095972411494</v>
          </cell>
        </row>
        <row r="6">
          <cell r="K6">
            <v>220.75275647271758</v>
          </cell>
          <cell r="L6">
            <v>0.16718299484634599</v>
          </cell>
        </row>
        <row r="7">
          <cell r="K7">
            <v>264.66593921191406</v>
          </cell>
          <cell r="L7">
            <v>0.21164502996857701</v>
          </cell>
        </row>
      </sheetData>
      <sheetData sheetId="2">
        <row r="5">
          <cell r="L5">
            <v>0.11794821671353553</v>
          </cell>
        </row>
        <row r="6">
          <cell r="L6">
            <v>0.17512939694084201</v>
          </cell>
        </row>
        <row r="7">
          <cell r="L7">
            <v>0.23231057716814843</v>
          </cell>
        </row>
      </sheetData>
      <sheetData sheetId="3">
        <row r="5">
          <cell r="M5">
            <v>0.11794821671353553</v>
          </cell>
        </row>
        <row r="6">
          <cell r="M6">
            <v>0.18309615198494922</v>
          </cell>
        </row>
        <row r="7">
          <cell r="M7">
            <v>0.25675785816356672</v>
          </cell>
        </row>
      </sheetData>
      <sheetData sheetId="4">
        <row r="5">
          <cell r="L5">
            <v>0.13790150792584993</v>
          </cell>
        </row>
        <row r="6">
          <cell r="L6">
            <v>0.18786348428743904</v>
          </cell>
        </row>
        <row r="7">
          <cell r="L7">
            <v>0.23782546064902813</v>
          </cell>
        </row>
      </sheetData>
      <sheetData sheetId="5">
        <row r="5">
          <cell r="Q5">
            <v>0.15058108016807392</v>
          </cell>
          <cell r="R5">
            <v>0.10035281057140449</v>
          </cell>
          <cell r="W5">
            <v>0.5575156142855805</v>
          </cell>
        </row>
        <row r="6">
          <cell r="Q6">
            <v>0.18797369739101846</v>
          </cell>
          <cell r="R6">
            <v>0.15638060603253504</v>
          </cell>
          <cell r="W6">
            <v>0.60146386935590401</v>
          </cell>
        </row>
        <row r="7">
          <cell r="Q7">
            <v>0.22536631461396298</v>
          </cell>
          <cell r="R7">
            <v>0.22478469064030332</v>
          </cell>
          <cell r="W7">
            <v>0.66113144305971561</v>
          </cell>
        </row>
      </sheetData>
      <sheetData sheetId="6">
        <row r="5">
          <cell r="L5">
            <v>0.12925750125388741</v>
          </cell>
        </row>
        <row r="6">
          <cell r="L6">
            <v>0.16816215707854121</v>
          </cell>
        </row>
        <row r="7">
          <cell r="L7">
            <v>0.20706681290319492</v>
          </cell>
        </row>
      </sheetData>
      <sheetData sheetId="7">
        <row r="5">
          <cell r="L5">
            <v>0.18258746810139406</v>
          </cell>
        </row>
        <row r="6">
          <cell r="L6">
            <v>0.25171665079763234</v>
          </cell>
        </row>
        <row r="7">
          <cell r="L7">
            <v>0.31733477157368972</v>
          </cell>
        </row>
      </sheetData>
      <sheetData sheetId="8">
        <row r="5">
          <cell r="L5">
            <v>0.18565179539027393</v>
          </cell>
        </row>
        <row r="6">
          <cell r="L6">
            <v>0.23175324793685206</v>
          </cell>
        </row>
        <row r="7">
          <cell r="L7">
            <v>0.27785470048343014</v>
          </cell>
        </row>
      </sheetData>
      <sheetData sheetId="9">
        <row r="5">
          <cell r="L5">
            <v>7.26410069353427E-2</v>
          </cell>
        </row>
        <row r="6">
          <cell r="L6">
            <v>9.6297992222281054E-2</v>
          </cell>
        </row>
        <row r="7">
          <cell r="L7">
            <v>0.11995497750921939</v>
          </cell>
        </row>
      </sheetData>
      <sheetData sheetId="10">
        <row r="5">
          <cell r="L5">
            <v>0.22580404183364336</v>
          </cell>
        </row>
        <row r="6">
          <cell r="L6">
            <v>0.29196389196838551</v>
          </cell>
        </row>
        <row r="7">
          <cell r="L7">
            <v>0.35812374210312758</v>
          </cell>
        </row>
      </sheetData>
      <sheetData sheetId="11">
        <row r="5">
          <cell r="L5">
            <v>0.20474891148564389</v>
          </cell>
        </row>
        <row r="6">
          <cell r="L6">
            <v>0.25559260091496488</v>
          </cell>
        </row>
        <row r="7">
          <cell r="L7">
            <v>0.30643629034428588</v>
          </cell>
        </row>
      </sheetData>
      <sheetData sheetId="12">
        <row r="5">
          <cell r="L5">
            <v>0.15185058242568208</v>
          </cell>
        </row>
        <row r="6">
          <cell r="L6">
            <v>0.2199879444082459</v>
          </cell>
        </row>
        <row r="7">
          <cell r="L7">
            <v>0.28913483885503749</v>
          </cell>
        </row>
      </sheetData>
      <sheetData sheetId="1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(2)"/>
      <sheetName val="Gráficos finais"/>
    </sheetNames>
    <sheetDataSet>
      <sheetData sheetId="0">
        <row r="7">
          <cell r="C7">
            <v>0.15</v>
          </cell>
        </row>
        <row r="8">
          <cell r="C8">
            <v>0.19</v>
          </cell>
        </row>
        <row r="9">
          <cell r="C9">
            <v>0.22</v>
          </cell>
        </row>
        <row r="10">
          <cell r="C10">
            <v>0.22</v>
          </cell>
        </row>
        <row r="11">
          <cell r="C11">
            <v>0.25</v>
          </cell>
        </row>
        <row r="12">
          <cell r="C12">
            <v>0.28999999999999998</v>
          </cell>
        </row>
        <row r="20">
          <cell r="B20">
            <v>150</v>
          </cell>
        </row>
        <row r="22">
          <cell r="B22">
            <v>35</v>
          </cell>
        </row>
        <row r="27">
          <cell r="B27">
            <v>3.42</v>
          </cell>
        </row>
        <row r="28">
          <cell r="B28">
            <v>16</v>
          </cell>
        </row>
        <row r="29">
          <cell r="B29">
            <v>402</v>
          </cell>
        </row>
        <row r="30">
          <cell r="B30">
            <v>27</v>
          </cell>
        </row>
        <row r="31">
          <cell r="B31">
            <v>2</v>
          </cell>
        </row>
        <row r="32">
          <cell r="B32">
            <v>52</v>
          </cell>
        </row>
      </sheetData>
      <sheetData sheetId="1">
        <row r="5">
          <cell r="K5">
            <v>234.72234542321382</v>
          </cell>
          <cell r="L5">
            <v>0.12947798925127468</v>
          </cell>
        </row>
        <row r="6">
          <cell r="K6">
            <v>315.66108522432211</v>
          </cell>
          <cell r="L6">
            <v>0.18827950796327195</v>
          </cell>
        </row>
        <row r="7">
          <cell r="K7">
            <v>364.22432910498702</v>
          </cell>
          <cell r="L7">
            <v>0.22356041919047023</v>
          </cell>
        </row>
        <row r="8">
          <cell r="K8">
            <v>404.69369900554108</v>
          </cell>
          <cell r="L8">
            <v>0.25296117854646882</v>
          </cell>
        </row>
        <row r="9">
          <cell r="K9">
            <v>469.44469084642765</v>
          </cell>
          <cell r="L9">
            <v>0.30000239351606656</v>
          </cell>
        </row>
        <row r="10">
          <cell r="K10">
            <v>526.10180870720353</v>
          </cell>
          <cell r="L10">
            <v>0.34116345661446468</v>
          </cell>
        </row>
      </sheetData>
      <sheetData sheetId="2">
        <row r="5">
          <cell r="L5">
            <v>0.1175277819493063</v>
          </cell>
        </row>
        <row r="6">
          <cell r="L6">
            <v>0.18941639586178169</v>
          </cell>
        </row>
        <row r="7">
          <cell r="L7">
            <v>0.23254956420926687</v>
          </cell>
        </row>
        <row r="8">
          <cell r="L8">
            <v>0.26849387116550444</v>
          </cell>
        </row>
        <row r="9">
          <cell r="L9">
            <v>0.32600476229548475</v>
          </cell>
        </row>
        <row r="10">
          <cell r="L10">
            <v>0.37632679203421759</v>
          </cell>
        </row>
      </sheetData>
      <sheetData sheetId="3">
        <row r="5">
          <cell r="M5">
            <v>0.13179021349500475</v>
          </cell>
        </row>
        <row r="6">
          <cell r="M6">
            <v>0.22950476895125482</v>
          </cell>
        </row>
        <row r="7">
          <cell r="M7">
            <v>0.28813350222500478</v>
          </cell>
        </row>
        <row r="8">
          <cell r="M8">
            <v>0.33699077995312976</v>
          </cell>
        </row>
        <row r="9">
          <cell r="M9">
            <v>0.41516242431812972</v>
          </cell>
        </row>
        <row r="10">
          <cell r="M10">
            <v>0.46727599043108969</v>
          </cell>
        </row>
      </sheetData>
      <sheetData sheetId="4">
        <row r="5">
          <cell r="L5">
            <v>0.13159532895532036</v>
          </cell>
        </row>
        <row r="6">
          <cell r="L6">
            <v>0.19135842261103625</v>
          </cell>
        </row>
        <row r="7">
          <cell r="L7">
            <v>0.22721627880446577</v>
          </cell>
        </row>
        <row r="8">
          <cell r="L8">
            <v>0.25709782563232364</v>
          </cell>
        </row>
        <row r="9">
          <cell r="L9">
            <v>0.30490830055689627</v>
          </cell>
        </row>
        <row r="10">
          <cell r="L10">
            <v>0.34674246611589749</v>
          </cell>
        </row>
      </sheetData>
      <sheetData sheetId="5">
        <row r="5">
          <cell r="Q5">
            <v>0.17990147855742625</v>
          </cell>
          <cell r="R5">
            <v>0.15021092609657113</v>
          </cell>
          <cell r="W5">
            <v>1.0014061739771409</v>
          </cell>
        </row>
        <row r="6">
          <cell r="Q6">
            <v>0.24193647116343533</v>
          </cell>
          <cell r="R6">
            <v>0.27166565825551103</v>
          </cell>
          <cell r="W6">
            <v>1.273349848228607</v>
          </cell>
        </row>
        <row r="7">
          <cell r="Q7">
            <v>0.27915746672704078</v>
          </cell>
          <cell r="R7">
            <v>0.36168504797331352</v>
          </cell>
          <cell r="W7">
            <v>1.2688975760320036</v>
          </cell>
        </row>
        <row r="8">
          <cell r="Q8">
            <v>0.31017496303004533</v>
          </cell>
          <cell r="R8">
            <v>0.44652475058433772</v>
          </cell>
          <cell r="W8">
            <v>1.4098861955911151</v>
          </cell>
        </row>
        <row r="9">
          <cell r="Q9">
            <v>0.3598029571148525</v>
          </cell>
          <cell r="R9">
            <v>0.60084370438628454</v>
          </cell>
          <cell r="W9">
            <v>1.43921182845941</v>
          </cell>
        </row>
        <row r="10">
          <cell r="Q10">
            <v>0.38713656797945217</v>
          </cell>
          <cell r="R10">
            <v>0.69560140350877198</v>
          </cell>
          <cell r="W10">
            <v>1.3349536826877662</v>
          </cell>
        </row>
      </sheetData>
      <sheetData sheetId="6">
        <row r="5">
          <cell r="L5">
            <v>0.13794033861054511</v>
          </cell>
        </row>
        <row r="6">
          <cell r="L6">
            <v>0.19307532494670304</v>
          </cell>
        </row>
        <row r="7">
          <cell r="L7">
            <v>0.22615631674839778</v>
          </cell>
        </row>
        <row r="8">
          <cell r="L8">
            <v>0.25372380991647669</v>
          </cell>
        </row>
        <row r="9">
          <cell r="L9">
            <v>0.29783179898540302</v>
          </cell>
        </row>
        <row r="10">
          <cell r="L10">
            <v>0.33642628942071362</v>
          </cell>
        </row>
      </sheetData>
      <sheetData sheetId="7">
        <row r="5">
          <cell r="L5">
            <v>0.2264410111520157</v>
          </cell>
        </row>
        <row r="6">
          <cell r="L6">
            <v>0.33247418629074155</v>
          </cell>
        </row>
        <row r="7">
          <cell r="L7">
            <v>0.39355118324063459</v>
          </cell>
        </row>
        <row r="8">
          <cell r="L8">
            <v>0.44360369351707019</v>
          </cell>
        </row>
        <row r="9">
          <cell r="L9">
            <v>0.52261333127303</v>
          </cell>
        </row>
        <row r="10">
          <cell r="L10">
            <v>0.59099581175136728</v>
          </cell>
        </row>
      </sheetData>
      <sheetData sheetId="8">
        <row r="5">
          <cell r="L5">
            <v>0.20888642052178411</v>
          </cell>
        </row>
        <row r="6">
          <cell r="L6">
            <v>0.28091622070170974</v>
          </cell>
        </row>
        <row r="7">
          <cell r="L7">
            <v>0.32413410080966504</v>
          </cell>
        </row>
        <row r="8">
          <cell r="L8">
            <v>0.36014900089962781</v>
          </cell>
        </row>
        <row r="9">
          <cell r="L9">
            <v>0.41777284104356821</v>
          </cell>
        </row>
        <row r="10">
          <cell r="L10">
            <v>0.46819370116951625</v>
          </cell>
        </row>
      </sheetData>
      <sheetData sheetId="9">
        <row r="5">
          <cell r="L5">
            <v>0.14254973575964078</v>
          </cell>
        </row>
        <row r="6">
          <cell r="L6">
            <v>0.20180228813769377</v>
          </cell>
        </row>
        <row r="7">
          <cell r="L7">
            <v>0.23735381956452556</v>
          </cell>
        </row>
        <row r="8">
          <cell r="L8">
            <v>0.26698009575355197</v>
          </cell>
        </row>
        <row r="9">
          <cell r="L9">
            <v>0.31438213765599438</v>
          </cell>
        </row>
        <row r="10">
          <cell r="L10">
            <v>0.35585892432063149</v>
          </cell>
        </row>
      </sheetData>
      <sheetData sheetId="10">
        <row r="5">
          <cell r="L5">
            <v>0.11757562159328946</v>
          </cell>
        </row>
        <row r="6">
          <cell r="L6">
            <v>0.16222730427256263</v>
          </cell>
        </row>
        <row r="7">
          <cell r="L7">
            <v>0.18901831388012649</v>
          </cell>
        </row>
        <row r="8">
          <cell r="L8">
            <v>0.21134415521976302</v>
          </cell>
        </row>
        <row r="9">
          <cell r="L9">
            <v>0.24706550136318153</v>
          </cell>
        </row>
        <row r="10">
          <cell r="L10">
            <v>0.27832167923867279</v>
          </cell>
        </row>
      </sheetData>
      <sheetData sheetId="11">
        <row r="5">
          <cell r="L5">
            <v>0.1862589740677553</v>
          </cell>
        </row>
        <row r="6">
          <cell r="L6">
            <v>0.25048620650491238</v>
          </cell>
        </row>
        <row r="7">
          <cell r="L7">
            <v>0.28902254596720656</v>
          </cell>
        </row>
        <row r="8">
          <cell r="L8">
            <v>0.321136162185785</v>
          </cell>
        </row>
        <row r="9">
          <cell r="L9">
            <v>0.37251794813551059</v>
          </cell>
        </row>
        <row r="10">
          <cell r="L10">
            <v>0.41747701084152061</v>
          </cell>
        </row>
      </sheetData>
      <sheetData sheetId="12">
        <row r="5">
          <cell r="L5">
            <v>0.17153954981885214</v>
          </cell>
        </row>
        <row r="6">
          <cell r="L6">
            <v>0.27139126043657136</v>
          </cell>
        </row>
        <row r="7">
          <cell r="L7">
            <v>0.33360095737065409</v>
          </cell>
        </row>
        <row r="8">
          <cell r="L8">
            <v>0.38675931815936704</v>
          </cell>
        </row>
        <row r="9">
          <cell r="L9">
            <v>0.47430292186504686</v>
          </cell>
        </row>
        <row r="10">
          <cell r="L10">
            <v>0.55341774603629168</v>
          </cell>
        </row>
      </sheetData>
      <sheetData sheetId="1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0.17</v>
          </cell>
        </row>
        <row r="8">
          <cell r="C8">
            <v>0.19</v>
          </cell>
        </row>
        <row r="9">
          <cell r="C9">
            <v>0.21</v>
          </cell>
        </row>
        <row r="10">
          <cell r="C10">
            <v>0.23</v>
          </cell>
        </row>
        <row r="11">
          <cell r="C11">
            <v>0.25</v>
          </cell>
        </row>
        <row r="12">
          <cell r="C12">
            <v>0.25</v>
          </cell>
        </row>
        <row r="20">
          <cell r="B20">
            <v>150</v>
          </cell>
        </row>
        <row r="22">
          <cell r="B22">
            <v>35</v>
          </cell>
        </row>
        <row r="27">
          <cell r="B27">
            <v>3.42</v>
          </cell>
        </row>
        <row r="28">
          <cell r="B28">
            <v>20</v>
          </cell>
        </row>
        <row r="29">
          <cell r="B29">
            <v>628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44</v>
          </cell>
        </row>
      </sheetData>
      <sheetData sheetId="1">
        <row r="5">
          <cell r="K5">
            <v>270.87013331072598</v>
          </cell>
          <cell r="L5">
            <v>0.13588199007541207</v>
          </cell>
        </row>
        <row r="6">
          <cell r="K6">
            <v>308.0483869023941</v>
          </cell>
          <cell r="L6">
            <v>0.15768903676554977</v>
          </cell>
        </row>
        <row r="7">
          <cell r="K7">
            <v>355.84899866311054</v>
          </cell>
          <cell r="L7">
            <v>0.18572666822429837</v>
          </cell>
        </row>
        <row r="8">
          <cell r="K8">
            <v>377.09371500120665</v>
          </cell>
          <cell r="L8">
            <v>0.19818783776151991</v>
          </cell>
        </row>
        <row r="9">
          <cell r="K9">
            <v>424.89432676192303</v>
          </cell>
          <cell r="L9">
            <v>0.22622546922026851</v>
          </cell>
        </row>
        <row r="10">
          <cell r="K10">
            <v>525.80672936787971</v>
          </cell>
          <cell r="L10">
            <v>0.28541602452207099</v>
          </cell>
        </row>
      </sheetData>
      <sheetData sheetId="2">
        <row r="5">
          <cell r="L5">
            <v>0.15128120300738629</v>
          </cell>
        </row>
        <row r="6">
          <cell r="L6">
            <v>0.17990644867800365</v>
          </cell>
        </row>
        <row r="7">
          <cell r="L7">
            <v>0.21671033596879763</v>
          </cell>
        </row>
        <row r="8">
          <cell r="L8">
            <v>0.2330676192091504</v>
          </cell>
        </row>
        <row r="9">
          <cell r="L9">
            <v>0.26987150649994435</v>
          </cell>
        </row>
        <row r="10">
          <cell r="L10">
            <v>0.34756860189162025</v>
          </cell>
        </row>
      </sheetData>
      <sheetData sheetId="3">
        <row r="5">
          <cell r="M5">
            <v>0.16752621909578566</v>
          </cell>
        </row>
        <row r="6">
          <cell r="M6">
            <v>0.20362194551252039</v>
          </cell>
        </row>
        <row r="7">
          <cell r="M7">
            <v>0.25003073661975095</v>
          </cell>
        </row>
        <row r="8">
          <cell r="M8">
            <v>0.27065686600074229</v>
          </cell>
        </row>
        <row r="9">
          <cell r="M9">
            <v>0.3170656571079728</v>
          </cell>
        </row>
        <row r="10">
          <cell r="M10">
            <v>0.40484276019873267</v>
          </cell>
        </row>
      </sheetData>
      <sheetData sheetId="4">
        <row r="5">
          <cell r="L5">
            <v>0.14617173010832946</v>
          </cell>
        </row>
        <row r="6">
          <cell r="L6">
            <v>0.16963012765962743</v>
          </cell>
        </row>
        <row r="7">
          <cell r="L7">
            <v>0.19979092451129646</v>
          </cell>
        </row>
        <row r="8">
          <cell r="L8">
            <v>0.21319572311203822</v>
          </cell>
        </row>
        <row r="9">
          <cell r="L9">
            <v>0.24335651996370719</v>
          </cell>
        </row>
        <row r="10">
          <cell r="L10">
            <v>0.30702931331723049</v>
          </cell>
        </row>
      </sheetData>
      <sheetData sheetId="5">
        <row r="5">
          <cell r="Q5">
            <v>0.20519523255216443</v>
          </cell>
          <cell r="R5">
            <v>0.25252771133111879</v>
          </cell>
          <cell r="W5">
            <v>1.2070307797186142</v>
          </cell>
        </row>
        <row r="6">
          <cell r="Q6">
            <v>0.23335928407893206</v>
          </cell>
          <cell r="R6">
            <v>0.32660639020295401</v>
          </cell>
          <cell r="W6">
            <v>1.2282067583101688</v>
          </cell>
        </row>
        <row r="7">
          <cell r="Q7">
            <v>0.26957020747049049</v>
          </cell>
          <cell r="R7">
            <v>0.43583117884098121</v>
          </cell>
          <cell r="W7">
            <v>1.2836676546213832</v>
          </cell>
        </row>
        <row r="8">
          <cell r="Q8">
            <v>0.28566395120007193</v>
          </cell>
          <cell r="R8">
            <v>0.48942414179937288</v>
          </cell>
          <cell r="W8">
            <v>1.2420171791307475</v>
          </cell>
        </row>
        <row r="9">
          <cell r="Q9">
            <v>0.32187487459163039</v>
          </cell>
          <cell r="R9">
            <v>0.62136768647410989</v>
          </cell>
          <cell r="W9">
            <v>1.2874994983665216</v>
          </cell>
        </row>
        <row r="10">
          <cell r="Q10">
            <v>0.38075707004060283</v>
          </cell>
          <cell r="R10">
            <v>0.86950175438596489</v>
          </cell>
          <cell r="W10">
            <v>1.5230282801624113</v>
          </cell>
        </row>
      </sheetData>
      <sheetData sheetId="6">
        <row r="5">
          <cell r="L5">
            <v>0.13578602772186552</v>
          </cell>
        </row>
        <row r="6">
          <cell r="L6">
            <v>0.15605054397095469</v>
          </cell>
        </row>
        <row r="7">
          <cell r="L7">
            <v>0.18210492200549805</v>
          </cell>
        </row>
        <row r="8">
          <cell r="L8">
            <v>0.19368464557640616</v>
          </cell>
        </row>
        <row r="9">
          <cell r="L9">
            <v>0.21973902361094949</v>
          </cell>
        </row>
        <row r="10">
          <cell r="L10">
            <v>0.27474271057276312</v>
          </cell>
        </row>
      </sheetData>
      <sheetData sheetId="7">
        <row r="5">
          <cell r="L5">
            <v>0.27645367428719742</v>
          </cell>
        </row>
        <row r="6">
          <cell r="L6">
            <v>0.32036897380246837</v>
          </cell>
        </row>
        <row r="7">
          <cell r="L7">
            <v>0.37597375921905984</v>
          </cell>
        </row>
        <row r="8">
          <cell r="L8">
            <v>0.40046450762860109</v>
          </cell>
        </row>
        <row r="9">
          <cell r="L9">
            <v>0.45520575546610442</v>
          </cell>
        </row>
        <row r="10">
          <cell r="L10">
            <v>0.56965376026569303</v>
          </cell>
        </row>
      </sheetData>
      <sheetData sheetId="8">
        <row r="5">
          <cell r="L5">
            <v>0.22543099969497715</v>
          </cell>
        </row>
        <row r="6">
          <cell r="L6">
            <v>0.25637250945703272</v>
          </cell>
        </row>
        <row r="7">
          <cell r="L7">
            <v>0.29615445057967582</v>
          </cell>
        </row>
        <row r="8">
          <cell r="L8">
            <v>0.31383531330085046</v>
          </cell>
        </row>
        <row r="9">
          <cell r="L9">
            <v>0.35361725442349351</v>
          </cell>
        </row>
        <row r="10">
          <cell r="L10">
            <v>0.43760135234907321</v>
          </cell>
        </row>
      </sheetData>
      <sheetData sheetId="9">
        <row r="5">
          <cell r="L5">
            <v>0.18418728728989281</v>
          </cell>
        </row>
        <row r="6">
          <cell r="L6">
            <v>0.2138479522577981</v>
          </cell>
        </row>
        <row r="7">
          <cell r="L7">
            <v>0.25198309293081939</v>
          </cell>
        </row>
        <row r="8">
          <cell r="L8">
            <v>0.26893204434105095</v>
          </cell>
        </row>
        <row r="9">
          <cell r="L9">
            <v>0.30706718501407221</v>
          </cell>
        </row>
        <row r="10">
          <cell r="L10">
            <v>0.38757470421267243</v>
          </cell>
        </row>
      </sheetData>
      <sheetData sheetId="10">
        <row r="5">
          <cell r="L5">
            <v>0.13845530611466497</v>
          </cell>
        </row>
        <row r="6">
          <cell r="L6">
            <v>0.15900260071078956</v>
          </cell>
        </row>
        <row r="7">
          <cell r="L7">
            <v>0.18542055090580706</v>
          </cell>
        </row>
        <row r="8">
          <cell r="L8">
            <v>0.19716186210359257</v>
          </cell>
        </row>
        <row r="9">
          <cell r="L9">
            <v>0.22357981229861004</v>
          </cell>
        </row>
        <row r="10">
          <cell r="L10">
            <v>0.27935104048809128</v>
          </cell>
        </row>
      </sheetData>
      <sheetData sheetId="11">
        <row r="5">
          <cell r="L5">
            <v>0.21999033548888819</v>
          </cell>
        </row>
        <row r="6">
          <cell r="L6">
            <v>0.25018508741873546</v>
          </cell>
        </row>
        <row r="7">
          <cell r="L7">
            <v>0.28900691132853934</v>
          </cell>
        </row>
        <row r="8">
          <cell r="L8">
            <v>0.3062610552884521</v>
          </cell>
        </row>
        <row r="9">
          <cell r="L9">
            <v>0.34508287919825592</v>
          </cell>
        </row>
        <row r="10">
          <cell r="L10">
            <v>0.4270400630078417</v>
          </cell>
        </row>
      </sheetData>
      <sheetData sheetId="12"/>
      <sheetData sheetId="1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0.18</v>
          </cell>
        </row>
        <row r="8">
          <cell r="C8">
            <v>0.19</v>
          </cell>
        </row>
        <row r="9">
          <cell r="C9">
            <v>0.21</v>
          </cell>
        </row>
        <row r="10">
          <cell r="C10">
            <v>0.23</v>
          </cell>
        </row>
        <row r="11">
          <cell r="C11">
            <v>0.25</v>
          </cell>
        </row>
        <row r="12">
          <cell r="C12">
            <v>0.28999999999999998</v>
          </cell>
        </row>
        <row r="13">
          <cell r="C13">
            <v>0.31</v>
          </cell>
        </row>
        <row r="14">
          <cell r="C14">
            <v>0.37</v>
          </cell>
        </row>
        <row r="20">
          <cell r="B20">
            <v>150</v>
          </cell>
        </row>
        <row r="22">
          <cell r="B22">
            <v>35</v>
          </cell>
        </row>
        <row r="27">
          <cell r="B27">
            <v>3.42</v>
          </cell>
        </row>
        <row r="28">
          <cell r="B28">
            <v>20</v>
          </cell>
        </row>
        <row r="29">
          <cell r="B29">
            <v>942</v>
          </cell>
        </row>
        <row r="30">
          <cell r="B30">
            <v>25</v>
          </cell>
        </row>
        <row r="31">
          <cell r="B31">
            <v>3</v>
          </cell>
        </row>
        <row r="32">
          <cell r="B32">
            <v>12</v>
          </cell>
        </row>
      </sheetData>
      <sheetData sheetId="1">
        <row r="5">
          <cell r="K5">
            <v>246.92191294539825</v>
          </cell>
          <cell r="L5">
            <v>9.9001541127222883E-2</v>
          </cell>
        </row>
        <row r="6">
          <cell r="K6">
            <v>283.23395896678039</v>
          </cell>
          <cell r="L6">
            <v>0.11553739220709007</v>
          </cell>
        </row>
        <row r="7">
          <cell r="K7">
            <v>315.9148003860243</v>
          </cell>
          <cell r="L7">
            <v>0.13041965817897053</v>
          </cell>
        </row>
        <row r="8">
          <cell r="K8">
            <v>355.85805100954457</v>
          </cell>
          <cell r="L8">
            <v>0.1486090943668244</v>
          </cell>
        </row>
        <row r="9">
          <cell r="K9">
            <v>395.80130163306495</v>
          </cell>
          <cell r="L9">
            <v>0.16679853055467833</v>
          </cell>
        </row>
        <row r="10">
          <cell r="K10">
            <v>432.11334765444701</v>
          </cell>
          <cell r="L10">
            <v>0.18333438163454549</v>
          </cell>
        </row>
        <row r="11">
          <cell r="K11">
            <v>468.42539367582907</v>
          </cell>
          <cell r="L11">
            <v>0.19987023271441262</v>
          </cell>
        </row>
        <row r="12">
          <cell r="K12">
            <v>501.10623509507292</v>
          </cell>
          <cell r="L12">
            <v>0.21475249868629306</v>
          </cell>
        </row>
      </sheetData>
      <sheetData sheetId="2">
        <row r="5">
          <cell r="L5">
            <v>0.12703849644400417</v>
          </cell>
        </row>
        <row r="6">
          <cell r="L6">
            <v>0.15099627778839889</v>
          </cell>
        </row>
        <row r="7">
          <cell r="L7">
            <v>0.17255828099835413</v>
          </cell>
        </row>
        <row r="8">
          <cell r="L8">
            <v>0.19891184047718827</v>
          </cell>
        </row>
        <row r="9">
          <cell r="L9">
            <v>0.22526539995602249</v>
          </cell>
        </row>
        <row r="10">
          <cell r="L10">
            <v>0.24922318130041712</v>
          </cell>
        </row>
        <row r="11">
          <cell r="L11">
            <v>0.27318096264481179</v>
          </cell>
        </row>
        <row r="12">
          <cell r="L12">
            <v>0.294742965854767</v>
          </cell>
        </row>
      </sheetData>
      <sheetData sheetId="3">
        <row r="5">
          <cell r="M5">
            <v>0.13419966539766751</v>
          </cell>
        </row>
        <row r="6">
          <cell r="M6">
            <v>0.16272765949974599</v>
          </cell>
        </row>
        <row r="7">
          <cell r="M7">
            <v>0.18840285419161665</v>
          </cell>
        </row>
        <row r="8">
          <cell r="M8">
            <v>0.21978364770390293</v>
          </cell>
        </row>
        <row r="9">
          <cell r="M9">
            <v>0.2511644412161893</v>
          </cell>
        </row>
        <row r="10">
          <cell r="M10">
            <v>0.27969243531826776</v>
          </cell>
        </row>
        <row r="11">
          <cell r="M11">
            <v>0.30822042942034616</v>
          </cell>
        </row>
        <row r="12">
          <cell r="M12">
            <v>0.33061738255264667</v>
          </cell>
        </row>
      </sheetData>
      <sheetData sheetId="4">
        <row r="5">
          <cell r="L5">
            <v>0.11972263952840977</v>
          </cell>
        </row>
        <row r="6">
          <cell r="L6">
            <v>0.13971945690710444</v>
          </cell>
        </row>
        <row r="7">
          <cell r="L7">
            <v>0.15771659254792961</v>
          </cell>
        </row>
        <row r="8">
          <cell r="L8">
            <v>0.1797130916644937</v>
          </cell>
        </row>
        <row r="9">
          <cell r="L9">
            <v>0.20170959078105782</v>
          </cell>
        </row>
        <row r="10">
          <cell r="L10">
            <v>0.22170640815975243</v>
          </cell>
        </row>
        <row r="11">
          <cell r="L11">
            <v>0.24170322553844709</v>
          </cell>
        </row>
        <row r="12">
          <cell r="L12">
            <v>0.2597003611792722</v>
          </cell>
        </row>
      </sheetData>
      <sheetData sheetId="5">
        <row r="5">
          <cell r="Q5">
            <v>0.15281153215677173</v>
          </cell>
          <cell r="R5">
            <v>0.21127454925494149</v>
          </cell>
          <cell r="W5">
            <v>0.8489529564265097</v>
          </cell>
        </row>
        <row r="6">
          <cell r="Q6">
            <v>0.17528381629747347</v>
          </cell>
          <cell r="R6">
            <v>0.27798320883803285</v>
          </cell>
          <cell r="W6">
            <v>0.92254640156564982</v>
          </cell>
        </row>
        <row r="7">
          <cell r="Q7">
            <v>0.19550887202410502</v>
          </cell>
          <cell r="R7">
            <v>0.34583413998932788</v>
          </cell>
          <cell r="W7">
            <v>0.93099462868621441</v>
          </cell>
        </row>
        <row r="8">
          <cell r="Q8">
            <v>0.22022838457887689</v>
          </cell>
          <cell r="R8">
            <v>0.43881504564110252</v>
          </cell>
          <cell r="W8">
            <v>0.9575147155603343</v>
          </cell>
        </row>
        <row r="9">
          <cell r="Q9">
            <v>0.2449478971336489</v>
          </cell>
          <cell r="R9">
            <v>0.54285314007308849</v>
          </cell>
          <cell r="W9">
            <v>0.97979158853459558</v>
          </cell>
        </row>
        <row r="10">
          <cell r="Q10">
            <v>0.26742018127435052</v>
          </cell>
          <cell r="R10">
            <v>0.64702830709325831</v>
          </cell>
          <cell r="W10">
            <v>0.92213855611845019</v>
          </cell>
        </row>
        <row r="11">
          <cell r="Q11">
            <v>0.28989246541505231</v>
          </cell>
          <cell r="R11">
            <v>0.76034164665905757</v>
          </cell>
          <cell r="W11">
            <v>0.93513698520984623</v>
          </cell>
        </row>
        <row r="12">
          <cell r="Q12">
            <v>0.3100043368965783</v>
          </cell>
          <cell r="R12">
            <v>0.86950175438596489</v>
          </cell>
          <cell r="W12">
            <v>0.83784955917994142</v>
          </cell>
        </row>
      </sheetData>
      <sheetData sheetId="6">
        <row r="5">
          <cell r="L5">
            <v>8.4078447968071318E-2</v>
          </cell>
        </row>
        <row r="6">
          <cell r="L6">
            <v>9.7273366601955721E-2</v>
          </cell>
        </row>
        <row r="7">
          <cell r="L7">
            <v>0.10914879337245167</v>
          </cell>
        </row>
        <row r="8">
          <cell r="L8">
            <v>0.12366320386972449</v>
          </cell>
        </row>
        <row r="9">
          <cell r="L9">
            <v>0.13817761436699733</v>
          </cell>
        </row>
        <row r="10">
          <cell r="L10">
            <v>0.15137253300088171</v>
          </cell>
        </row>
        <row r="11">
          <cell r="L11">
            <v>0.16456745163476608</v>
          </cell>
        </row>
        <row r="12">
          <cell r="L12">
            <v>0.17644287840526202</v>
          </cell>
        </row>
      </sheetData>
      <sheetData sheetId="7">
        <row r="5">
          <cell r="L5">
            <v>0.19816264568473804</v>
          </cell>
        </row>
        <row r="6">
          <cell r="L6">
            <v>0.2302395167174637</v>
          </cell>
        </row>
        <row r="7">
          <cell r="L7">
            <v>0.25883998916646</v>
          </cell>
        </row>
        <row r="8">
          <cell r="L8">
            <v>0.29355624128202901</v>
          </cell>
        </row>
        <row r="9">
          <cell r="L9">
            <v>0.32808366973427472</v>
          </cell>
        </row>
        <row r="10">
          <cell r="L10">
            <v>0.35935244772409597</v>
          </cell>
        </row>
        <row r="11">
          <cell r="L11">
            <v>0.3905345535368821</v>
          </cell>
        </row>
        <row r="12">
          <cell r="L12">
            <v>0.41853991678622454</v>
          </cell>
        </row>
      </sheetData>
      <sheetData sheetId="8">
        <row r="5">
          <cell r="L5">
            <v>0.15788934749629366</v>
          </cell>
        </row>
        <row r="6">
          <cell r="L6">
            <v>0.18110836918692513</v>
          </cell>
        </row>
        <row r="7">
          <cell r="L7">
            <v>0.20200548870849344</v>
          </cell>
        </row>
        <row r="8">
          <cell r="L8">
            <v>0.22754641256818794</v>
          </cell>
        </row>
        <row r="9">
          <cell r="L9">
            <v>0.25308733642788256</v>
          </cell>
        </row>
        <row r="10">
          <cell r="L10">
            <v>0.27630635811851401</v>
          </cell>
        </row>
        <row r="11">
          <cell r="L11">
            <v>0.29952537980914534</v>
          </cell>
        </row>
        <row r="12">
          <cell r="L12">
            <v>0.32042249933071365</v>
          </cell>
        </row>
      </sheetData>
      <sheetData sheetId="9">
        <row r="5">
          <cell r="L5">
            <v>0.12820922460159795</v>
          </cell>
        </row>
        <row r="6">
          <cell r="L6">
            <v>0.15070823979931375</v>
          </cell>
        </row>
        <row r="7">
          <cell r="L7">
            <v>0.17095735347725799</v>
          </cell>
        </row>
        <row r="8">
          <cell r="L8">
            <v>0.19570627019474529</v>
          </cell>
        </row>
        <row r="9">
          <cell r="L9">
            <v>0.22045518691223273</v>
          </cell>
        </row>
        <row r="10">
          <cell r="L10">
            <v>0.2429542021099485</v>
          </cell>
        </row>
        <row r="11">
          <cell r="L11">
            <v>0.26545321730766425</v>
          </cell>
        </row>
        <row r="12">
          <cell r="L12">
            <v>0.28570233098560849</v>
          </cell>
        </row>
      </sheetData>
      <sheetData sheetId="10">
        <row r="5">
          <cell r="L5">
            <v>0.12537381381508225</v>
          </cell>
        </row>
        <row r="6">
          <cell r="L6">
            <v>0.14542842857482446</v>
          </cell>
        </row>
        <row r="7">
          <cell r="L7">
            <v>0.16347758185859246</v>
          </cell>
        </row>
        <row r="8">
          <cell r="L8">
            <v>0.18553765809430886</v>
          </cell>
        </row>
        <row r="9">
          <cell r="L9">
            <v>0.20759773433002529</v>
          </cell>
        </row>
        <row r="10">
          <cell r="L10">
            <v>0.2276523490897675</v>
          </cell>
        </row>
        <row r="11">
          <cell r="L11">
            <v>0.24770696384950966</v>
          </cell>
        </row>
        <row r="12">
          <cell r="L12">
            <v>0.26575611713327757</v>
          </cell>
        </row>
      </sheetData>
      <sheetData sheetId="11">
        <row r="5">
          <cell r="L5">
            <v>0.18016328881157176</v>
          </cell>
        </row>
        <row r="6">
          <cell r="L6">
            <v>0.20665789010739119</v>
          </cell>
        </row>
        <row r="7">
          <cell r="L7">
            <v>0.23050303127362862</v>
          </cell>
        </row>
        <row r="8">
          <cell r="L8">
            <v>0.25964709269902991</v>
          </cell>
        </row>
        <row r="9">
          <cell r="L9">
            <v>0.28879115412443129</v>
          </cell>
        </row>
        <row r="10">
          <cell r="L10">
            <v>0.31528575542025067</v>
          </cell>
        </row>
        <row r="11">
          <cell r="L11">
            <v>0.34178035671606999</v>
          </cell>
        </row>
        <row r="12">
          <cell r="L12">
            <v>0.36562549788230742</v>
          </cell>
        </row>
      </sheetData>
      <sheetData sheetId="12">
        <row r="5">
          <cell r="L5">
            <v>0.21524503066384404</v>
          </cell>
        </row>
        <row r="6">
          <cell r="L6">
            <v>0.25870244106620943</v>
          </cell>
        </row>
        <row r="7">
          <cell r="L7">
            <v>0.29924526640816773</v>
          </cell>
        </row>
        <row r="8">
          <cell r="L8">
            <v>0.35063886180016635</v>
          </cell>
        </row>
        <row r="9">
          <cell r="L9">
            <v>0.40405783583028637</v>
          </cell>
        </row>
        <row r="10">
          <cell r="L10">
            <v>0.45437809946926089</v>
          </cell>
        </row>
        <row r="11">
          <cell r="L11">
            <v>0.5063722297513108</v>
          </cell>
        </row>
        <row r="12">
          <cell r="L12">
            <v>0.55459810298498535</v>
          </cell>
        </row>
      </sheetData>
      <sheetData sheetId="1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0.2</v>
          </cell>
        </row>
        <row r="9">
          <cell r="C9">
            <v>0.26</v>
          </cell>
        </row>
        <row r="20">
          <cell r="B20">
            <v>150</v>
          </cell>
        </row>
        <row r="22">
          <cell r="B22">
            <v>35</v>
          </cell>
        </row>
        <row r="27">
          <cell r="B27">
            <v>2.98</v>
          </cell>
        </row>
        <row r="28">
          <cell r="B28">
            <v>16</v>
          </cell>
        </row>
        <row r="29">
          <cell r="B29">
            <v>402</v>
          </cell>
        </row>
        <row r="30">
          <cell r="B30">
            <v>27</v>
          </cell>
        </row>
        <row r="31">
          <cell r="B31">
            <v>2</v>
          </cell>
        </row>
        <row r="32">
          <cell r="B32">
            <v>52</v>
          </cell>
        </row>
      </sheetData>
      <sheetData sheetId="1">
        <row r="5">
          <cell r="K5">
            <v>370.74728404873275</v>
          </cell>
          <cell r="L5">
            <v>0.23593566188489304</v>
          </cell>
        </row>
        <row r="6">
          <cell r="K6">
            <v>443.28479614522388</v>
          </cell>
          <cell r="L6">
            <v>0.28908411538548223</v>
          </cell>
        </row>
        <row r="7">
          <cell r="K7">
            <v>523.88203180799201</v>
          </cell>
          <cell r="L7">
            <v>0.34813795260835928</v>
          </cell>
        </row>
      </sheetData>
      <sheetData sheetId="2">
        <row r="5">
          <cell r="L5">
            <v>0.2505652204437212</v>
          </cell>
        </row>
        <row r="6">
          <cell r="L6">
            <v>0.31490001064532835</v>
          </cell>
        </row>
        <row r="7">
          <cell r="L7">
            <v>0.38638311086933647</v>
          </cell>
        </row>
      </sheetData>
      <sheetData sheetId="3">
        <row r="5">
          <cell r="M5">
            <v>0.3001831883229612</v>
          </cell>
        </row>
        <row r="6">
          <cell r="M6">
            <v>0.3844332818818173</v>
          </cell>
        </row>
        <row r="7">
          <cell r="M7">
            <v>0.46464015145605214</v>
          </cell>
        </row>
      </sheetData>
      <sheetData sheetId="4">
        <row r="5">
          <cell r="L5">
            <v>0.23898546695454101</v>
          </cell>
        </row>
        <row r="6">
          <cell r="L6">
            <v>0.2928209400503668</v>
          </cell>
        </row>
        <row r="7">
          <cell r="L7">
            <v>0.35263813237906227</v>
          </cell>
        </row>
      </sheetData>
      <sheetData sheetId="5">
        <row r="5">
          <cell r="Q5">
            <v>0.28536096598764171</v>
          </cell>
          <cell r="R5">
            <v>0.4337415561139179</v>
          </cell>
          <cell r="W5">
            <v>1.7835060374227607</v>
          </cell>
        </row>
        <row r="6">
          <cell r="Q6">
            <v>0.34119245933304981</v>
          </cell>
          <cell r="R6">
            <v>0.62007004123090814</v>
          </cell>
          <cell r="W6">
            <v>1.705962296665249</v>
          </cell>
        </row>
        <row r="7">
          <cell r="Q7">
            <v>0.38713656797945217</v>
          </cell>
          <cell r="R7">
            <v>0.79830765100671142</v>
          </cell>
          <cell r="W7">
            <v>1.4889867999209698</v>
          </cell>
        </row>
      </sheetData>
      <sheetData sheetId="6">
        <row r="5">
          <cell r="L5">
            <v>0.23059971471306279</v>
          </cell>
        </row>
        <row r="6">
          <cell r="L6">
            <v>0.2800118348934188</v>
          </cell>
        </row>
        <row r="7">
          <cell r="L7">
            <v>0.33491419064937011</v>
          </cell>
        </row>
      </sheetData>
      <sheetData sheetId="7">
        <row r="5">
          <cell r="L5">
            <v>0.38576330504641754</v>
          </cell>
        </row>
        <row r="6">
          <cell r="L6">
            <v>0.46907891597074758</v>
          </cell>
        </row>
        <row r="7">
          <cell r="L7">
            <v>0.5604920778448782</v>
          </cell>
        </row>
      </sheetData>
      <sheetData sheetId="8">
        <row r="5">
          <cell r="L5">
            <v>0.30168752538416338</v>
          </cell>
        </row>
        <row r="6">
          <cell r="L6">
            <v>0.36071334556802137</v>
          </cell>
        </row>
        <row r="7">
          <cell r="L7">
            <v>0.42629759021675262</v>
          </cell>
        </row>
      </sheetData>
      <sheetData sheetId="9">
        <row r="5">
          <cell r="L5">
            <v>0.24176316091598563</v>
          </cell>
        </row>
        <row r="6">
          <cell r="L6">
            <v>0.29478520842838585</v>
          </cell>
        </row>
        <row r="7">
          <cell r="L7">
            <v>0.35369859455327513</v>
          </cell>
        </row>
      </sheetData>
      <sheetData sheetId="10">
        <row r="5">
          <cell r="L5">
            <v>0.19261684920443534</v>
          </cell>
        </row>
        <row r="6">
          <cell r="L6">
            <v>0.23263380499637751</v>
          </cell>
        </row>
        <row r="7">
          <cell r="L7">
            <v>0.27709708920964671</v>
          </cell>
        </row>
      </sheetData>
      <sheetData sheetId="11">
        <row r="5">
          <cell r="L5">
            <v>0.29314095694596359</v>
          </cell>
        </row>
        <row r="6">
          <cell r="L6">
            <v>0.3504946224353912</v>
          </cell>
        </row>
        <row r="7">
          <cell r="L7">
            <v>0.41422091742364425</v>
          </cell>
        </row>
      </sheetData>
      <sheetData sheetId="12">
        <row r="5">
          <cell r="L5">
            <v>0.36956004236325091</v>
          </cell>
        </row>
        <row r="6">
          <cell r="L6">
            <v>0.47161471405057648</v>
          </cell>
        </row>
        <row r="7">
          <cell r="L7">
            <v>0.59055076202563694</v>
          </cell>
        </row>
      </sheetData>
      <sheetData sheetId="1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0.17</v>
          </cell>
        </row>
        <row r="8">
          <cell r="C8">
            <v>0.19</v>
          </cell>
        </row>
        <row r="9">
          <cell r="C9">
            <v>0.23</v>
          </cell>
        </row>
        <row r="10">
          <cell r="C10">
            <v>0.25</v>
          </cell>
        </row>
        <row r="11">
          <cell r="C11">
            <v>0.3</v>
          </cell>
        </row>
        <row r="12">
          <cell r="C12">
            <v>0.32</v>
          </cell>
        </row>
        <row r="13">
          <cell r="C13">
            <v>0.36</v>
          </cell>
        </row>
        <row r="14">
          <cell r="C14">
            <v>0.47</v>
          </cell>
        </row>
        <row r="20">
          <cell r="B20">
            <v>150</v>
          </cell>
        </row>
        <row r="22">
          <cell r="B22">
            <v>35</v>
          </cell>
        </row>
        <row r="27">
          <cell r="B27">
            <v>2.98</v>
          </cell>
        </row>
        <row r="28">
          <cell r="B28">
            <v>20</v>
          </cell>
        </row>
        <row r="29">
          <cell r="B29">
            <v>628</v>
          </cell>
        </row>
        <row r="30">
          <cell r="B30">
            <v>25</v>
          </cell>
        </row>
        <row r="31">
          <cell r="B31">
            <v>2</v>
          </cell>
        </row>
        <row r="32">
          <cell r="B32">
            <v>44</v>
          </cell>
        </row>
      </sheetData>
      <sheetData sheetId="1">
        <row r="5">
          <cell r="K5">
            <v>264.28009430947355</v>
          </cell>
          <cell r="L5">
            <v>0.13662419439598317</v>
          </cell>
        </row>
        <row r="6">
          <cell r="K6">
            <v>301.27930751279979</v>
          </cell>
          <cell r="L6">
            <v>0.15853100890336841</v>
          </cell>
        </row>
        <row r="7">
          <cell r="K7">
            <v>348.84972448850499</v>
          </cell>
          <cell r="L7">
            <v>0.18669691327000662</v>
          </cell>
        </row>
        <row r="8">
          <cell r="K8">
            <v>369.99213203326286</v>
          </cell>
          <cell r="L8">
            <v>0.1992150929885125</v>
          </cell>
        </row>
        <row r="9">
          <cell r="K9">
            <v>401.7057433503997</v>
          </cell>
          <cell r="L9">
            <v>0.21799236256627133</v>
          </cell>
        </row>
        <row r="10">
          <cell r="K10">
            <v>422.84815089515763</v>
          </cell>
          <cell r="L10">
            <v>0.23051054228477727</v>
          </cell>
        </row>
        <row r="11">
          <cell r="K11">
            <v>474.64704937981429</v>
          </cell>
          <cell r="L11">
            <v>0.2611800825951166</v>
          </cell>
        </row>
        <row r="12">
          <cell r="K12">
            <v>526.44594786447112</v>
          </cell>
          <cell r="L12">
            <v>0.29184962290545596</v>
          </cell>
        </row>
      </sheetData>
      <sheetData sheetId="2">
        <row r="5">
          <cell r="L5">
            <v>0.15414349743096403</v>
          </cell>
        </row>
        <row r="6">
          <cell r="L6">
            <v>0.18259499046456978</v>
          </cell>
        </row>
        <row r="7">
          <cell r="L7">
            <v>0.21917548150777719</v>
          </cell>
        </row>
        <row r="8">
          <cell r="L8">
            <v>0.23543347752698049</v>
          </cell>
        </row>
        <row r="9">
          <cell r="L9">
            <v>0.25982047155578547</v>
          </cell>
        </row>
        <row r="10">
          <cell r="L10">
            <v>0.27607846757498877</v>
          </cell>
        </row>
        <row r="11">
          <cell r="L11">
            <v>0.31591055782203681</v>
          </cell>
        </row>
        <row r="12">
          <cell r="L12">
            <v>0.3557426480690849</v>
          </cell>
        </row>
      </sheetData>
      <sheetData sheetId="3">
        <row r="5">
          <cell r="M5">
            <v>0.16693000107002398</v>
          </cell>
        </row>
        <row r="6">
          <cell r="M6">
            <v>0.201752540208612</v>
          </cell>
        </row>
        <row r="7">
          <cell r="M7">
            <v>0.24652437624393947</v>
          </cell>
        </row>
        <row r="8">
          <cell r="M8">
            <v>0.26642297003741838</v>
          </cell>
        </row>
        <row r="9">
          <cell r="M9">
            <v>0.2962708607276367</v>
          </cell>
        </row>
        <row r="10">
          <cell r="M10">
            <v>0.31616945452111567</v>
          </cell>
        </row>
        <row r="11">
          <cell r="M11">
            <v>0.36492100931513882</v>
          </cell>
        </row>
        <row r="12">
          <cell r="M12">
            <v>0.40482410087816229</v>
          </cell>
        </row>
      </sheetData>
      <sheetData sheetId="4">
        <row r="5">
          <cell r="L5">
            <v>0.14637788590728448</v>
          </cell>
        </row>
        <row r="6">
          <cell r="L6">
            <v>0.16984864237710898</v>
          </cell>
        </row>
        <row r="7">
          <cell r="L7">
            <v>0.20002532926688341</v>
          </cell>
        </row>
        <row r="8">
          <cell r="L8">
            <v>0.21343719010678314</v>
          </cell>
        </row>
        <row r="9">
          <cell r="L9">
            <v>0.23355498136663277</v>
          </cell>
        </row>
        <row r="10">
          <cell r="L10">
            <v>0.24696684220653253</v>
          </cell>
        </row>
        <row r="11">
          <cell r="L11">
            <v>0.27982590126428686</v>
          </cell>
        </row>
        <row r="12">
          <cell r="L12">
            <v>0.31268496032204124</v>
          </cell>
        </row>
      </sheetData>
      <sheetData sheetId="5">
        <row r="5">
          <cell r="Q5">
            <v>0.20117179661976903</v>
          </cell>
          <cell r="R5">
            <v>0.27855986364060603</v>
          </cell>
          <cell r="W5">
            <v>1.183363509528053</v>
          </cell>
        </row>
        <row r="6">
          <cell r="Q6">
            <v>0.22933584814653671</v>
          </cell>
          <cell r="R6">
            <v>0.36201639878733166</v>
          </cell>
          <cell r="W6">
            <v>1.2070307797186142</v>
          </cell>
        </row>
        <row r="7">
          <cell r="Q7">
            <v>0.26554677153809503</v>
          </cell>
          <cell r="R7">
            <v>0.48536270640739188</v>
          </cell>
          <cell r="W7">
            <v>1.1545511806004132</v>
          </cell>
        </row>
        <row r="8">
          <cell r="Q8">
            <v>0.28164051526767664</v>
          </cell>
          <cell r="R8">
            <v>0.54597733273558791</v>
          </cell>
          <cell r="W8">
            <v>1.1265620610707066</v>
          </cell>
        </row>
        <row r="9">
          <cell r="Q9">
            <v>0.30578113086204883</v>
          </cell>
          <cell r="R9">
            <v>0.64358470895525621</v>
          </cell>
          <cell r="W9">
            <v>1.0192704362068294</v>
          </cell>
        </row>
        <row r="10">
          <cell r="Q10">
            <v>0.32187487459163039</v>
          </cell>
          <cell r="R10">
            <v>0.71311325091995159</v>
          </cell>
          <cell r="W10">
            <v>1.0058589830988449</v>
          </cell>
        </row>
        <row r="11">
          <cell r="Q11">
            <v>0.36130454672910511</v>
          </cell>
          <cell r="R11">
            <v>0.89852715311695708</v>
          </cell>
          <cell r="W11">
            <v>1.0036237409141808</v>
          </cell>
        </row>
        <row r="12">
          <cell r="Q12">
            <v>0.38075707004060283</v>
          </cell>
          <cell r="R12">
            <v>0.9978845637583893</v>
          </cell>
          <cell r="W12">
            <v>0.81012142561830391</v>
          </cell>
        </row>
      </sheetData>
      <sheetData sheetId="6">
        <row r="5">
          <cell r="L5">
            <v>0.13219403671847585</v>
          </cell>
        </row>
        <row r="6">
          <cell r="L6">
            <v>0.15236096455207232</v>
          </cell>
        </row>
        <row r="7">
          <cell r="L7">
            <v>0.17828987176669633</v>
          </cell>
        </row>
        <row r="8">
          <cell r="L8">
            <v>0.18981383052875145</v>
          </cell>
        </row>
        <row r="9">
          <cell r="L9">
            <v>0.20709976867183416</v>
          </cell>
        </row>
        <row r="10">
          <cell r="L10">
            <v>0.2186237274338893</v>
          </cell>
        </row>
        <row r="11">
          <cell r="L11">
            <v>0.24685742640092428</v>
          </cell>
        </row>
        <row r="12">
          <cell r="L12">
            <v>0.27509112536795938</v>
          </cell>
        </row>
      </sheetData>
      <sheetData sheetId="7">
        <row r="5">
          <cell r="L5">
            <v>0.25805122845267203</v>
          </cell>
        </row>
        <row r="6">
          <cell r="L6">
            <v>0.29877103473588551</v>
          </cell>
        </row>
        <row r="7">
          <cell r="L7">
            <v>0.35045615996932078</v>
          </cell>
        </row>
        <row r="8">
          <cell r="L8">
            <v>0.37325479006486861</v>
          </cell>
        </row>
        <row r="9">
          <cell r="L9">
            <v>0.40730342462417024</v>
          </cell>
        </row>
        <row r="10">
          <cell r="L10">
            <v>0.42992039350916023</v>
          </cell>
        </row>
        <row r="11">
          <cell r="L11">
            <v>0.48511553593266332</v>
          </cell>
        </row>
        <row r="12">
          <cell r="L12">
            <v>0.54007611973683578</v>
          </cell>
        </row>
      </sheetData>
      <sheetData sheetId="8">
        <row r="5">
          <cell r="L5">
            <v>0.20111319768091604</v>
          </cell>
        </row>
        <row r="6">
          <cell r="L6">
            <v>0.22926904535624426</v>
          </cell>
        </row>
        <row r="7">
          <cell r="L7">
            <v>0.2654694209388091</v>
          </cell>
        </row>
        <row r="8">
          <cell r="L8">
            <v>0.28155847675328238</v>
          </cell>
        </row>
        <row r="9">
          <cell r="L9">
            <v>0.30569206047499231</v>
          </cell>
        </row>
        <row r="10">
          <cell r="L10">
            <v>0.32178111628946565</v>
          </cell>
        </row>
        <row r="11">
          <cell r="L11">
            <v>0.36119930303492503</v>
          </cell>
        </row>
        <row r="12">
          <cell r="L12">
            <v>0.40061748978038464</v>
          </cell>
        </row>
      </sheetData>
      <sheetData sheetId="9">
        <row r="5">
          <cell r="L5">
            <v>0.17846102513414572</v>
          </cell>
        </row>
        <row r="6">
          <cell r="L6">
            <v>0.20790152246295171</v>
          </cell>
        </row>
        <row r="7">
          <cell r="L7">
            <v>0.24575359045713094</v>
          </cell>
        </row>
        <row r="8">
          <cell r="L8">
            <v>0.26257673178787727</v>
          </cell>
        </row>
        <row r="9">
          <cell r="L9">
            <v>0.28781144378399676</v>
          </cell>
        </row>
        <row r="10">
          <cell r="L10">
            <v>0.30463458511474312</v>
          </cell>
        </row>
        <row r="11">
          <cell r="L11">
            <v>0.34585128137507148</v>
          </cell>
        </row>
        <row r="12">
          <cell r="L12">
            <v>0.38706797763540002</v>
          </cell>
        </row>
      </sheetData>
      <sheetData sheetId="10">
        <row r="5">
          <cell r="L5">
            <v>0.13481319117710291</v>
          </cell>
        </row>
        <row r="6">
          <cell r="L6">
            <v>0.15526153557389136</v>
          </cell>
        </row>
        <row r="7">
          <cell r="L7">
            <v>0.18155226408404798</v>
          </cell>
        </row>
        <row r="8">
          <cell r="L8">
            <v>0.19323703231078423</v>
          </cell>
        </row>
        <row r="9">
          <cell r="L9">
            <v>0.2107641846508887</v>
          </cell>
        </row>
        <row r="10">
          <cell r="L10">
            <v>0.22244895287762498</v>
          </cell>
        </row>
        <row r="11">
          <cell r="L11">
            <v>0.25107663503312877</v>
          </cell>
        </row>
        <row r="12">
          <cell r="L12">
            <v>0.2797043171886327</v>
          </cell>
        </row>
      </sheetData>
      <sheetData sheetId="11">
        <row r="5">
          <cell r="L5">
            <v>0.21360585337041593</v>
          </cell>
        </row>
        <row r="6">
          <cell r="L6">
            <v>0.2435106728422741</v>
          </cell>
        </row>
        <row r="7">
          <cell r="L7">
            <v>0.28195972644894896</v>
          </cell>
        </row>
        <row r="8">
          <cell r="L8">
            <v>0.29904819471858218</v>
          </cell>
        </row>
        <row r="9">
          <cell r="L9">
            <v>0.32468089712303211</v>
          </cell>
        </row>
        <row r="10">
          <cell r="L10">
            <v>0.34176936539266545</v>
          </cell>
        </row>
        <row r="11">
          <cell r="L11">
            <v>0.3836361126532668</v>
          </cell>
        </row>
        <row r="12">
          <cell r="L12">
            <v>0.42550285991386838</v>
          </cell>
        </row>
      </sheetData>
      <sheetData sheetId="12">
        <row r="5">
          <cell r="L5">
            <v>0.26623829658196496</v>
          </cell>
        </row>
        <row r="6">
          <cell r="L6">
            <v>0.31914657598887364</v>
          </cell>
        </row>
        <row r="7">
          <cell r="L7">
            <v>0.39033427880244653</v>
          </cell>
        </row>
        <row r="8">
          <cell r="L8">
            <v>0.42311536999509336</v>
          </cell>
        </row>
        <row r="9">
          <cell r="L9">
            <v>0.47360482851220842</v>
          </cell>
        </row>
        <row r="10">
          <cell r="L10">
            <v>0.5081430153423816</v>
          </cell>
        </row>
        <row r="11">
          <cell r="L11">
            <v>0.59573194325154422</v>
          </cell>
        </row>
        <row r="12">
          <cell r="L12">
            <v>0.68753965778640769</v>
          </cell>
        </row>
      </sheetData>
      <sheetData sheetId="1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0.16</v>
          </cell>
        </row>
        <row r="8">
          <cell r="C8">
            <v>0.18</v>
          </cell>
        </row>
        <row r="9">
          <cell r="C9">
            <v>0.18</v>
          </cell>
        </row>
        <row r="10">
          <cell r="C10">
            <v>0.2</v>
          </cell>
        </row>
        <row r="11">
          <cell r="C11">
            <v>0.2</v>
          </cell>
        </row>
        <row r="12">
          <cell r="C12">
            <v>0.2</v>
          </cell>
        </row>
        <row r="13">
          <cell r="C13">
            <v>0.22</v>
          </cell>
        </row>
        <row r="20">
          <cell r="B20">
            <v>150</v>
          </cell>
        </row>
        <row r="22">
          <cell r="B22">
            <v>35</v>
          </cell>
        </row>
        <row r="27">
          <cell r="B27">
            <v>2.98</v>
          </cell>
        </row>
        <row r="28">
          <cell r="B28">
            <v>20</v>
          </cell>
        </row>
        <row r="29">
          <cell r="B29">
            <v>942</v>
          </cell>
        </row>
        <row r="30">
          <cell r="B30">
            <v>25</v>
          </cell>
        </row>
        <row r="31">
          <cell r="B31">
            <v>3</v>
          </cell>
        </row>
        <row r="32">
          <cell r="B32">
            <v>12</v>
          </cell>
        </row>
      </sheetData>
      <sheetData sheetId="1">
        <row r="5">
          <cell r="K5">
            <v>303.4025683141906</v>
          </cell>
          <cell r="L5">
            <v>0.12789012791537674</v>
          </cell>
        </row>
        <row r="6">
          <cell r="K6">
            <v>317.8503096624853</v>
          </cell>
          <cell r="L6">
            <v>0.13452667868681525</v>
          </cell>
        </row>
        <row r="7">
          <cell r="K7">
            <v>353.96966303322239</v>
          </cell>
          <cell r="L7">
            <v>0.15111805561541164</v>
          </cell>
        </row>
        <row r="8">
          <cell r="K8">
            <v>393.70095174103312</v>
          </cell>
          <cell r="L8">
            <v>0.16936857023686763</v>
          </cell>
        </row>
        <row r="9">
          <cell r="K9">
            <v>429.82030511177004</v>
          </cell>
          <cell r="L9">
            <v>0.18595994716546396</v>
          </cell>
        </row>
        <row r="10">
          <cell r="K10">
            <v>462.32772314543331</v>
          </cell>
          <cell r="L10">
            <v>0.20089218640120066</v>
          </cell>
        </row>
        <row r="11">
          <cell r="K11">
            <v>502.05901185324399</v>
          </cell>
          <cell r="L11">
            <v>0.21914270102265665</v>
          </cell>
        </row>
      </sheetData>
      <sheetData sheetId="2">
        <row r="5">
          <cell r="L5">
            <v>0.16920059472353005</v>
          </cell>
        </row>
        <row r="6">
          <cell r="L6">
            <v>0.17871200070263188</v>
          </cell>
        </row>
        <row r="7">
          <cell r="L7">
            <v>0.20249051565038667</v>
          </cell>
        </row>
        <row r="8">
          <cell r="L8">
            <v>0.22864688209291692</v>
          </cell>
        </row>
        <row r="9">
          <cell r="L9">
            <v>0.25242539704067157</v>
          </cell>
        </row>
        <row r="10">
          <cell r="L10">
            <v>0.27382606049365088</v>
          </cell>
        </row>
        <row r="11">
          <cell r="L11">
            <v>0.29998242693618105</v>
          </cell>
        </row>
      </sheetData>
      <sheetData sheetId="3">
        <row r="5">
          <cell r="M5">
            <v>0.18134808592282184</v>
          </cell>
        </row>
        <row r="6">
          <cell r="M6">
            <v>0.19240743373165534</v>
          </cell>
        </row>
        <row r="7">
          <cell r="M7">
            <v>0.22005580325373927</v>
          </cell>
        </row>
        <row r="8">
          <cell r="M8">
            <v>0.2504690097280316</v>
          </cell>
        </row>
        <row r="9">
          <cell r="M9">
            <v>0.27811737925011548</v>
          </cell>
        </row>
        <row r="10">
          <cell r="M10">
            <v>0.303000911819991</v>
          </cell>
        </row>
        <row r="11">
          <cell r="M11">
            <v>0.33052135777379082</v>
          </cell>
        </row>
      </sheetData>
      <sheetData sheetId="4">
        <row r="5">
          <cell r="L5">
            <v>0.15399797461207157</v>
          </cell>
        </row>
        <row r="6">
          <cell r="L6">
            <v>0.16198932933092808</v>
          </cell>
        </row>
        <row r="7">
          <cell r="L7">
            <v>0.18196771612806956</v>
          </cell>
        </row>
        <row r="8">
          <cell r="L8">
            <v>0.20394394160492516</v>
          </cell>
        </row>
        <row r="9">
          <cell r="L9">
            <v>0.22392232840206655</v>
          </cell>
        </row>
        <row r="10">
          <cell r="L10">
            <v>0.24190287651949383</v>
          </cell>
        </row>
        <row r="11">
          <cell r="L11">
            <v>0.2638791019963494</v>
          </cell>
        </row>
      </sheetData>
      <sheetData sheetId="5">
        <row r="5">
          <cell r="Q5">
            <v>0.18876718678189455</v>
          </cell>
          <cell r="R5">
            <v>0.36999663347029554</v>
          </cell>
          <cell r="W5">
            <v>1.1797949173868409</v>
          </cell>
        </row>
        <row r="6">
          <cell r="Q6">
            <v>0.19775610043817518</v>
          </cell>
          <cell r="R6">
            <v>0.40607340272023357</v>
          </cell>
          <cell r="W6">
            <v>1.0986450024343066</v>
          </cell>
        </row>
        <row r="7">
          <cell r="Q7">
            <v>0.22022838457887689</v>
          </cell>
          <cell r="R7">
            <v>0.50360652889012436</v>
          </cell>
          <cell r="W7">
            <v>1.223491025438205</v>
          </cell>
        </row>
        <row r="8">
          <cell r="Q8">
            <v>0.2449478971336489</v>
          </cell>
          <cell r="R8">
            <v>0.62300595270132975</v>
          </cell>
          <cell r="W8">
            <v>1.2247394856682443</v>
          </cell>
        </row>
        <row r="9">
          <cell r="Q9">
            <v>0.26742018127435052</v>
          </cell>
          <cell r="R9">
            <v>0.74256268800635683</v>
          </cell>
          <cell r="W9">
            <v>1.3371009063717525</v>
          </cell>
        </row>
        <row r="10">
          <cell r="Q10">
            <v>0.28764523700098216</v>
          </cell>
          <cell r="R10">
            <v>0.85913050492875898</v>
          </cell>
          <cell r="W10">
            <v>1.4382261850049107</v>
          </cell>
        </row>
        <row r="11">
          <cell r="Q11">
            <v>0.3100043368965783</v>
          </cell>
          <cell r="R11">
            <v>0.9978845637583893</v>
          </cell>
          <cell r="W11">
            <v>1.4091106222571741</v>
          </cell>
        </row>
      </sheetData>
      <sheetData sheetId="6">
        <row r="5">
          <cell r="L5">
            <v>0.10460215108138089</v>
          </cell>
        </row>
        <row r="6">
          <cell r="L6">
            <v>0.10985211059679627</v>
          </cell>
        </row>
        <row r="7">
          <cell r="L7">
            <v>0.1229770093853348</v>
          </cell>
        </row>
        <row r="8">
          <cell r="L8">
            <v>0.13741439805272718</v>
          </cell>
        </row>
        <row r="9">
          <cell r="L9">
            <v>0.15053929684126566</v>
          </cell>
        </row>
        <row r="10">
          <cell r="L10">
            <v>0.16235170575095029</v>
          </cell>
        </row>
        <row r="11">
          <cell r="L11">
            <v>0.17678909441834265</v>
          </cell>
        </row>
      </sheetData>
      <sheetData sheetId="7">
        <row r="5">
          <cell r="L5">
            <v>0.23572619789928739</v>
          </cell>
        </row>
        <row r="6">
          <cell r="L6">
            <v>0.24753953660852956</v>
          </cell>
        </row>
        <row r="7">
          <cell r="L7">
            <v>0.27697027611423669</v>
          </cell>
        </row>
        <row r="8">
          <cell r="L8">
            <v>0.30921361831123506</v>
          </cell>
        </row>
        <row r="9">
          <cell r="L9">
            <v>0.33843803581028936</v>
          </cell>
        </row>
        <row r="10">
          <cell r="L10">
            <v>0.36468532875224025</v>
          </cell>
        </row>
        <row r="11">
          <cell r="L11">
            <v>0.39671018522664003</v>
          </cell>
        </row>
      </sheetData>
      <sheetData sheetId="8">
        <row r="5">
          <cell r="L5">
            <v>0.1773928260722093</v>
          </cell>
        </row>
        <row r="6">
          <cell r="L6">
            <v>0.1858401035042192</v>
          </cell>
        </row>
        <row r="7">
          <cell r="L7">
            <v>0.20695829708424418</v>
          </cell>
        </row>
        <row r="8">
          <cell r="L8">
            <v>0.23018831002227164</v>
          </cell>
        </row>
        <row r="9">
          <cell r="L9">
            <v>0.2513065036022965</v>
          </cell>
        </row>
        <row r="10">
          <cell r="L10">
            <v>0.2703128778243189</v>
          </cell>
        </row>
        <row r="11">
          <cell r="L11">
            <v>0.2935428907623463</v>
          </cell>
        </row>
      </sheetData>
      <sheetData sheetId="9">
        <row r="5">
          <cell r="L5">
            <v>0.16251339397692882</v>
          </cell>
        </row>
        <row r="6">
          <cell r="L6">
            <v>0.17142732179790401</v>
          </cell>
        </row>
        <row r="7">
          <cell r="L7">
            <v>0.19371214135034218</v>
          </cell>
        </row>
        <row r="8">
          <cell r="L8">
            <v>0.21822544285802417</v>
          </cell>
        </row>
        <row r="9">
          <cell r="L9">
            <v>0.24051026241046222</v>
          </cell>
        </row>
        <row r="10">
          <cell r="L10">
            <v>0.26056660000765652</v>
          </cell>
        </row>
        <row r="11">
          <cell r="L11">
            <v>0.28507990151533846</v>
          </cell>
        </row>
      </sheetData>
      <sheetData sheetId="10">
        <row r="5">
          <cell r="L5">
            <v>0.15656725810990152</v>
          </cell>
        </row>
        <row r="6">
          <cell r="L6">
            <v>0.16454653547471412</v>
          </cell>
        </row>
        <row r="7">
          <cell r="L7">
            <v>0.18449472888674587</v>
          </cell>
        </row>
        <row r="8">
          <cell r="L8">
            <v>0.20643774163998074</v>
          </cell>
        </row>
        <row r="9">
          <cell r="L9">
            <v>0.2263859350520124</v>
          </cell>
        </row>
        <row r="10">
          <cell r="L10">
            <v>0.24433930912284094</v>
          </cell>
        </row>
        <row r="11">
          <cell r="L11">
            <v>0.26628232187607576</v>
          </cell>
        </row>
      </sheetData>
      <sheetData sheetId="11">
        <row r="5">
          <cell r="L5">
            <v>0.21997495191530891</v>
          </cell>
        </row>
        <row r="6">
          <cell r="L6">
            <v>0.23044994962556165</v>
          </cell>
        </row>
        <row r="7">
          <cell r="L7">
            <v>0.25663744390119375</v>
          </cell>
        </row>
        <row r="8">
          <cell r="L8">
            <v>0.28544368760438898</v>
          </cell>
        </row>
        <row r="9">
          <cell r="L9">
            <v>0.31163118188002098</v>
          </cell>
        </row>
        <row r="10">
          <cell r="L10">
            <v>0.33519992672808979</v>
          </cell>
        </row>
        <row r="11">
          <cell r="L11">
            <v>0.36400617043128497</v>
          </cell>
        </row>
      </sheetData>
      <sheetData sheetId="12">
        <row r="5">
          <cell r="L5">
            <v>0.30722097818359223</v>
          </cell>
        </row>
        <row r="6">
          <cell r="L6">
            <v>0.32691504863932969</v>
          </cell>
        </row>
        <row r="7">
          <cell r="L7">
            <v>0.37758612573604677</v>
          </cell>
        </row>
        <row r="8">
          <cell r="L8">
            <v>0.43569354712210062</v>
          </cell>
        </row>
        <row r="9">
          <cell r="L9">
            <v>0.49067232709093606</v>
          </cell>
        </row>
        <row r="10">
          <cell r="L10">
            <v>0.54190707951796491</v>
          </cell>
        </row>
        <row r="11">
          <cell r="L11">
            <v>0.60678374827449089</v>
          </cell>
        </row>
      </sheetData>
      <sheetData sheetId="1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0.22</v>
          </cell>
        </row>
        <row r="9">
          <cell r="C9">
            <v>0.25</v>
          </cell>
        </row>
        <row r="10">
          <cell r="C10">
            <v>0.28999999999999998</v>
          </cell>
        </row>
        <row r="11">
          <cell r="C11">
            <v>0.31</v>
          </cell>
        </row>
        <row r="12">
          <cell r="C12">
            <v>0.33</v>
          </cell>
        </row>
        <row r="13">
          <cell r="C13">
            <v>0.34</v>
          </cell>
        </row>
        <row r="14">
          <cell r="C14">
            <v>0.37</v>
          </cell>
        </row>
        <row r="20">
          <cell r="B20">
            <v>200</v>
          </cell>
        </row>
        <row r="22">
          <cell r="B22">
            <v>44</v>
          </cell>
        </row>
        <row r="27">
          <cell r="B27">
            <v>5.3084743571011064</v>
          </cell>
        </row>
        <row r="28">
          <cell r="B28">
            <v>28</v>
          </cell>
        </row>
        <row r="29">
          <cell r="B29">
            <v>2463</v>
          </cell>
        </row>
        <row r="30">
          <cell r="B30">
            <v>30</v>
          </cell>
        </row>
        <row r="31">
          <cell r="B31">
            <v>4</v>
          </cell>
        </row>
        <row r="32">
          <cell r="B32">
            <v>16</v>
          </cell>
        </row>
      </sheetData>
      <sheetData sheetId="1">
        <row r="5">
          <cell r="K5">
            <v>111.43533786909821</v>
          </cell>
          <cell r="L5">
            <v>3.7198868887620064E-2</v>
          </cell>
        </row>
        <row r="6">
          <cell r="K6">
            <v>151.17196997745879</v>
          </cell>
          <cell r="L6">
            <v>5.6084396803587552E-2</v>
          </cell>
        </row>
        <row r="7">
          <cell r="K7">
            <v>201.70659994135215</v>
          </cell>
          <cell r="L7">
            <v>8.0101861653241874E-2</v>
          </cell>
        </row>
        <row r="8">
          <cell r="K8">
            <v>230.64523419418001</v>
          </cell>
          <cell r="L8">
            <v>9.3855452635522557E-2</v>
          </cell>
        </row>
        <row r="9">
          <cell r="K9">
            <v>263.90306758922088</v>
          </cell>
          <cell r="L9">
            <v>0.10966181839127793</v>
          </cell>
        </row>
        <row r="10">
          <cell r="K10">
            <v>315.73345729577818</v>
          </cell>
          <cell r="L10">
            <v>0.13429511567297467</v>
          </cell>
        </row>
        <row r="11">
          <cell r="K11">
            <v>342.08057206327823</v>
          </cell>
          <cell r="L11">
            <v>0.14681704179117055</v>
          </cell>
        </row>
        <row r="12">
          <cell r="K12">
            <v>380.5214444289748</v>
          </cell>
          <cell r="L12">
            <v>0.1650867372750956</v>
          </cell>
        </row>
      </sheetData>
      <sheetData sheetId="2">
        <row r="5">
          <cell r="L5">
            <v>3.8596968092179766E-2</v>
          </cell>
        </row>
        <row r="6">
          <cell r="L6">
            <v>6.7647653042968173E-2</v>
          </cell>
        </row>
        <row r="7">
          <cell r="L7">
            <v>0.10459254586081865</v>
          </cell>
        </row>
        <row r="8">
          <cell r="L8">
            <v>0.12574902294454501</v>
          </cell>
        </row>
        <row r="9">
          <cell r="L9">
            <v>0.15006318317509615</v>
          </cell>
        </row>
        <row r="10">
          <cell r="L10">
            <v>0.18795538093699407</v>
          </cell>
        </row>
        <row r="11">
          <cell r="L11">
            <v>0.20721724813262554</v>
          </cell>
        </row>
        <row r="12">
          <cell r="L12">
            <v>0.23532062813936647</v>
          </cell>
        </row>
      </sheetData>
      <sheetData sheetId="3">
        <row r="5">
          <cell r="M5">
            <v>3.8596968092179766E-2</v>
          </cell>
        </row>
        <row r="6">
          <cell r="M6">
            <v>6.7647653042968173E-2</v>
          </cell>
        </row>
        <row r="7">
          <cell r="M7">
            <v>0.10634972385684166</v>
          </cell>
        </row>
        <row r="8">
          <cell r="M8">
            <v>0.13185876427251048</v>
          </cell>
        </row>
        <row r="9">
          <cell r="M9">
            <v>0.16117512415320437</v>
          </cell>
        </row>
        <row r="10">
          <cell r="M10">
            <v>0.20686295773350663</v>
          </cell>
        </row>
        <row r="11">
          <cell r="M11">
            <v>0.23008760647016038</v>
          </cell>
        </row>
        <row r="12">
          <cell r="M12">
            <v>0.26397274970888446</v>
          </cell>
        </row>
      </sheetData>
      <sheetData sheetId="4">
        <row r="5">
          <cell r="L5">
            <v>4.8312819683654099E-2</v>
          </cell>
        </row>
        <row r="6">
          <cell r="L6">
            <v>7.28407994883951E-2</v>
          </cell>
        </row>
        <row r="7">
          <cell r="L7">
            <v>0.10403399119659834</v>
          </cell>
        </row>
        <row r="8">
          <cell r="L8">
            <v>0.12189675909787713</v>
          </cell>
        </row>
        <row r="9">
          <cell r="L9">
            <v>0.14242561176054078</v>
          </cell>
        </row>
        <row r="10">
          <cell r="L10">
            <v>0.17441862889715948</v>
          </cell>
        </row>
        <row r="11">
          <cell r="L11">
            <v>0.19068174594160736</v>
          </cell>
        </row>
        <row r="12">
          <cell r="L12">
            <v>0.21440990031793289</v>
          </cell>
        </row>
      </sheetData>
      <sheetData sheetId="5">
        <row r="6">
          <cell r="Q6">
            <v>0.11044982359729417</v>
          </cell>
          <cell r="R6">
            <v>7.3361377368608163E-2</v>
          </cell>
          <cell r="W6">
            <v>0.3334608062209462</v>
          </cell>
        </row>
        <row r="7">
          <cell r="Q7">
            <v>0.14737162177124677</v>
          </cell>
          <cell r="R7">
            <v>0.13060660758320314</v>
          </cell>
          <cell r="W7">
            <v>0.52242643033281255</v>
          </cell>
        </row>
        <row r="8">
          <cell r="Q8">
            <v>0.16851487371701451</v>
          </cell>
          <cell r="R8">
            <v>0.17077091367283942</v>
          </cell>
          <cell r="W8">
            <v>0.58108577143798112</v>
          </cell>
        </row>
        <row r="9">
          <cell r="Q9">
            <v>0.19281383490841922</v>
          </cell>
          <cell r="R9">
            <v>0.22357014498470335</v>
          </cell>
          <cell r="W9">
            <v>0.62198011260780395</v>
          </cell>
        </row>
        <row r="10">
          <cell r="Q10">
            <v>0.23068234585606295</v>
          </cell>
          <cell r="R10">
            <v>0.32001190997605566</v>
          </cell>
          <cell r="W10">
            <v>0.69903741168503919</v>
          </cell>
        </row>
        <row r="11">
          <cell r="Q11">
            <v>0.24993217225444855</v>
          </cell>
          <cell r="R11">
            <v>0.3756485797040216</v>
          </cell>
          <cell r="W11">
            <v>0.73509462427778982</v>
          </cell>
        </row>
        <row r="12">
          <cell r="Q12">
            <v>0.27358028479302049</v>
          </cell>
          <cell r="R12">
            <v>0.45009793258907616</v>
          </cell>
          <cell r="W12">
            <v>0.7394061751162716</v>
          </cell>
        </row>
      </sheetData>
      <sheetData sheetId="6">
        <row r="5">
          <cell r="L5">
            <v>3.2681120834482567E-2</v>
          </cell>
        </row>
        <row r="6">
          <cell r="L6">
            <v>4.5640522399196387E-2</v>
          </cell>
        </row>
        <row r="7">
          <cell r="L7">
            <v>6.2121500476060715E-2</v>
          </cell>
        </row>
        <row r="8">
          <cell r="L8">
            <v>7.1559325528624054E-2</v>
          </cell>
        </row>
        <row r="9">
          <cell r="L9">
            <v>8.2405781186047578E-2</v>
          </cell>
        </row>
        <row r="10">
          <cell r="L10">
            <v>9.9309348444369963E-2</v>
          </cell>
        </row>
        <row r="11">
          <cell r="L11">
            <v>0.10790199513401721</v>
          </cell>
        </row>
        <row r="12">
          <cell r="L12">
            <v>0.12043880751727296</v>
          </cell>
        </row>
      </sheetData>
      <sheetData sheetId="7">
        <row r="5">
          <cell r="L5">
            <v>8.7357863921345619E-2</v>
          </cell>
        </row>
        <row r="6">
          <cell r="L6">
            <v>0.13890415290354707</v>
          </cell>
        </row>
        <row r="7">
          <cell r="L7">
            <v>0.19953179125099435</v>
          </cell>
        </row>
        <row r="8">
          <cell r="L8">
            <v>0.23305036490381525</v>
          </cell>
        </row>
        <row r="9">
          <cell r="L9">
            <v>0.27095354827819368</v>
          </cell>
        </row>
        <row r="10">
          <cell r="L10">
            <v>0.32918147488740823</v>
          </cell>
        </row>
        <row r="11">
          <cell r="L11">
            <v>0.35851553204254821</v>
          </cell>
        </row>
        <row r="12">
          <cell r="L12">
            <v>0.40109206541061937</v>
          </cell>
        </row>
      </sheetData>
      <sheetData sheetId="8">
        <row r="5">
          <cell r="L5">
            <v>8.9874707166590059E-2</v>
          </cell>
        </row>
        <row r="6">
          <cell r="L6">
            <v>0.12192305235777719</v>
          </cell>
        </row>
        <row r="7">
          <cell r="L7">
            <v>0.16268018700309125</v>
          </cell>
        </row>
        <row r="8">
          <cell r="L8">
            <v>0.18601974274015148</v>
          </cell>
        </row>
        <row r="9">
          <cell r="L9">
            <v>0.21284281425886242</v>
          </cell>
        </row>
        <row r="10">
          <cell r="L10">
            <v>0.25464500363867176</v>
          </cell>
        </row>
        <row r="11">
          <cell r="L11">
            <v>0.27589444990674156</v>
          </cell>
        </row>
        <row r="12">
          <cell r="L12">
            <v>0.30689774036343337</v>
          </cell>
        </row>
      </sheetData>
      <sheetData sheetId="9">
        <row r="5">
          <cell r="L5">
            <v>4.9169776475293893E-2</v>
          </cell>
        </row>
        <row r="6">
          <cell r="L6">
            <v>7.6520963953813206E-2</v>
          </cell>
        </row>
        <row r="7">
          <cell r="L7">
            <v>0.11130453933410413</v>
          </cell>
        </row>
        <row r="8">
          <cell r="L8">
            <v>0.13122333891085189</v>
          </cell>
        </row>
        <row r="9">
          <cell r="L9">
            <v>0.15411509364830822</v>
          </cell>
        </row>
        <row r="10">
          <cell r="L10">
            <v>0.18979055557681171</v>
          </cell>
        </row>
        <row r="11">
          <cell r="L11">
            <v>0.20792558205713438</v>
          </cell>
        </row>
        <row r="12">
          <cell r="L12">
            <v>0.23438488298744109</v>
          </cell>
        </row>
      </sheetData>
      <sheetData sheetId="10">
        <row r="5">
          <cell r="L5">
            <v>6.6998497358580017E-2</v>
          </cell>
        </row>
        <row r="6">
          <cell r="L6">
            <v>9.59824202295676E-2</v>
          </cell>
        </row>
        <row r="7">
          <cell r="L7">
            <v>0.13284240909810618</v>
          </cell>
        </row>
        <row r="8">
          <cell r="L8">
            <v>0.15395026597154279</v>
          </cell>
        </row>
        <row r="9">
          <cell r="L9">
            <v>0.17820854924399976</v>
          </cell>
        </row>
        <row r="10">
          <cell r="L10">
            <v>0.21601366603224445</v>
          </cell>
        </row>
        <row r="11">
          <cell r="L11">
            <v>0.2352312670662689</v>
          </cell>
        </row>
        <row r="12">
          <cell r="L12">
            <v>0.26327006201755027</v>
          </cell>
        </row>
      </sheetData>
      <sheetData sheetId="11">
        <row r="5">
          <cell r="L5">
            <v>9.6380546573143322E-2</v>
          </cell>
        </row>
        <row r="6">
          <cell r="L6">
            <v>0.13074880349069828</v>
          </cell>
        </row>
        <row r="7">
          <cell r="L7">
            <v>0.17445626065758885</v>
          </cell>
        </row>
        <row r="8">
          <cell r="L8">
            <v>0.19948531732580826</v>
          </cell>
        </row>
        <row r="9">
          <cell r="L9">
            <v>0.22825005409376184</v>
          </cell>
        </row>
        <row r="10">
          <cell r="L10">
            <v>0.27307821529057269</v>
          </cell>
        </row>
        <row r="11">
          <cell r="L11">
            <v>0.29586586389895159</v>
          </cell>
        </row>
        <row r="12">
          <cell r="L12">
            <v>0.32911341678658623</v>
          </cell>
        </row>
      </sheetData>
      <sheetData sheetId="12">
        <row r="5">
          <cell r="L5">
            <v>7.2666319950042649E-2</v>
          </cell>
        </row>
        <row r="6">
          <cell r="L6">
            <v>0.11719465240651869</v>
          </cell>
        </row>
        <row r="7">
          <cell r="L7">
            <v>0.17635106460204125</v>
          </cell>
        </row>
        <row r="8">
          <cell r="L8">
            <v>0.21150144669289611</v>
          </cell>
        </row>
        <row r="9">
          <cell r="L9">
            <v>0.25304444925653458</v>
          </cell>
        </row>
        <row r="10">
          <cell r="L10">
            <v>0.32023073109979766</v>
          </cell>
        </row>
        <row r="11">
          <cell r="L11">
            <v>0.35552519355750478</v>
          </cell>
        </row>
        <row r="12">
          <cell r="L12">
            <v>0.40840053676760768</v>
          </cell>
        </row>
      </sheetData>
      <sheetData sheetId="1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0.35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2.8258773978663156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361.66957450902817</v>
          </cell>
          <cell r="L5">
            <v>0.24981880799060688</v>
          </cell>
        </row>
        <row r="6">
          <cell r="K6">
            <v>392.3</v>
          </cell>
          <cell r="L6">
            <v>0.27432948922960282</v>
          </cell>
        </row>
      </sheetData>
      <sheetData sheetId="2">
        <row r="5">
          <cell r="L5">
            <v>0.26728929873091839</v>
          </cell>
        </row>
        <row r="6">
          <cell r="L6">
            <v>0.29702172941567545</v>
          </cell>
        </row>
      </sheetData>
      <sheetData sheetId="3">
        <row r="5">
          <cell r="M5">
            <v>0.31773914093066064</v>
          </cell>
        </row>
        <row r="6">
          <cell r="M6">
            <v>0.35647441315660378</v>
          </cell>
        </row>
      </sheetData>
      <sheetData sheetId="4">
        <row r="5">
          <cell r="L5">
            <v>0.25478881615385329</v>
          </cell>
        </row>
        <row r="6">
          <cell r="L6">
            <v>0.27978712395237204</v>
          </cell>
        </row>
      </sheetData>
      <sheetData sheetId="5">
        <row r="5">
          <cell r="Q5">
            <v>0.28199361842550319</v>
          </cell>
          <cell r="R5">
            <v>0.43113366848373058</v>
          </cell>
          <cell r="W5">
            <v>1.4099680921275159</v>
          </cell>
        </row>
        <row r="6">
          <cell r="Q6">
            <v>0.29185886340253192</v>
          </cell>
          <cell r="R6">
            <v>0.46182682241819578</v>
          </cell>
          <cell r="W6">
            <v>0.83388246686437695</v>
          </cell>
        </row>
      </sheetData>
      <sheetData sheetId="6">
        <row r="5">
          <cell r="L5">
            <v>0.24347863384105645</v>
          </cell>
        </row>
        <row r="6">
          <cell r="L6">
            <v>0.26626281210622382</v>
          </cell>
        </row>
      </sheetData>
      <sheetData sheetId="7">
        <row r="5">
          <cell r="L5">
            <v>0.38622010388926009</v>
          </cell>
        </row>
        <row r="6">
          <cell r="L6">
            <v>0.42262897836105034</v>
          </cell>
        </row>
      </sheetData>
      <sheetData sheetId="8">
        <row r="5">
          <cell r="L5">
            <v>0.27246081076315715</v>
          </cell>
        </row>
        <row r="6">
          <cell r="L6">
            <v>0.29553599084879173</v>
          </cell>
        </row>
      </sheetData>
      <sheetData sheetId="9">
        <row r="5">
          <cell r="L5">
            <v>0.24138283874457872</v>
          </cell>
        </row>
        <row r="6">
          <cell r="L6">
            <v>0.26436809953043394</v>
          </cell>
        </row>
      </sheetData>
      <sheetData sheetId="10">
        <row r="5">
          <cell r="L5">
            <v>0.19708565182586593</v>
          </cell>
        </row>
        <row r="6">
          <cell r="L6">
            <v>0.21484833224410843</v>
          </cell>
        </row>
      </sheetData>
      <sheetData sheetId="11">
        <row r="5">
          <cell r="L5">
            <v>0.30288745462493416</v>
          </cell>
        </row>
        <row r="6">
          <cell r="L6">
            <v>0.32853952011491516</v>
          </cell>
        </row>
      </sheetData>
      <sheetData sheetId="12">
        <row r="5">
          <cell r="L5">
            <v>0.36890934795193298</v>
          </cell>
        </row>
        <row r="6">
          <cell r="L6">
            <v>0.41195283177017566</v>
          </cell>
        </row>
      </sheetData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0.25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2.8258773978663156</v>
          </cell>
        </row>
        <row r="28">
          <cell r="B28">
            <v>15.9</v>
          </cell>
        </row>
        <row r="29">
          <cell r="B29">
            <v>397.2</v>
          </cell>
        </row>
        <row r="31">
          <cell r="B31">
            <v>2</v>
          </cell>
        </row>
        <row r="32">
          <cell r="B32">
            <v>46</v>
          </cell>
        </row>
        <row r="33">
          <cell r="B33">
            <v>30</v>
          </cell>
        </row>
      </sheetData>
      <sheetData sheetId="1">
        <row r="5">
          <cell r="K5">
            <v>363.0041485847072</v>
          </cell>
          <cell r="L5">
            <v>0.25088674352315238</v>
          </cell>
        </row>
        <row r="6">
          <cell r="K6">
            <v>392.3</v>
          </cell>
          <cell r="L6">
            <v>0.27432948922960282</v>
          </cell>
        </row>
      </sheetData>
      <sheetData sheetId="2">
        <row r="5">
          <cell r="L5">
            <v>0.26858474698417545</v>
          </cell>
        </row>
        <row r="6">
          <cell r="L6">
            <v>0.29702172941567545</v>
          </cell>
        </row>
      </sheetData>
      <sheetData sheetId="3">
        <row r="5">
          <cell r="M5">
            <v>0.31942684488182999</v>
          </cell>
        </row>
        <row r="6">
          <cell r="M6">
            <v>0.35647441315660378</v>
          </cell>
        </row>
      </sheetData>
      <sheetData sheetId="4">
        <row r="5">
          <cell r="L5">
            <v>0.25587799767807279</v>
          </cell>
        </row>
        <row r="6">
          <cell r="L6">
            <v>0.27978712395237204</v>
          </cell>
        </row>
      </sheetData>
      <sheetData sheetId="5">
        <row r="5">
          <cell r="Q5">
            <v>0.28303418528316193</v>
          </cell>
          <cell r="R5">
            <v>0.43432133725167588</v>
          </cell>
          <cell r="W5">
            <v>1.4151709264158097</v>
          </cell>
        </row>
        <row r="6">
          <cell r="Q6">
            <v>0.29185886340253192</v>
          </cell>
          <cell r="R6">
            <v>0.46182682241819578</v>
          </cell>
          <cell r="W6">
            <v>1.1674354536101277</v>
          </cell>
        </row>
      </sheetData>
      <sheetData sheetId="6">
        <row r="5">
          <cell r="L5">
            <v>0.24447134527620462</v>
          </cell>
        </row>
        <row r="6">
          <cell r="L6">
            <v>0.26626281210622382</v>
          </cell>
        </row>
      </sheetData>
      <sheetData sheetId="7">
        <row r="5">
          <cell r="L5">
            <v>0.3878126857436745</v>
          </cell>
        </row>
        <row r="6">
          <cell r="L6">
            <v>0.42262897836105034</v>
          </cell>
        </row>
      </sheetData>
      <sheetData sheetId="8">
        <row r="5">
          <cell r="L5">
            <v>0.27346620120877757</v>
          </cell>
        </row>
        <row r="6">
          <cell r="L6">
            <v>0.29553599084879173</v>
          </cell>
        </row>
      </sheetData>
      <sheetData sheetId="9">
        <row r="5">
          <cell r="L5">
            <v>0.24238431138741112</v>
          </cell>
        </row>
        <row r="6">
          <cell r="L6">
            <v>0.26436809953043394</v>
          </cell>
        </row>
      </sheetData>
      <sheetData sheetId="10">
        <row r="5">
          <cell r="L5">
            <v>0.19785957554454706</v>
          </cell>
        </row>
        <row r="6">
          <cell r="L6">
            <v>0.21484833224410843</v>
          </cell>
        </row>
      </sheetData>
      <sheetData sheetId="11">
        <row r="5">
          <cell r="L5">
            <v>0.30400512050915895</v>
          </cell>
        </row>
        <row r="6">
          <cell r="L6">
            <v>0.32853952011491516</v>
          </cell>
        </row>
      </sheetData>
      <sheetData sheetId="12">
        <row r="5">
          <cell r="L5">
            <v>0.37076945398985112</v>
          </cell>
        </row>
        <row r="6">
          <cell r="L6">
            <v>0.41195283177017566</v>
          </cell>
        </row>
      </sheetData>
      <sheetData sheetId="1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0.25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2.8258773978663156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363.0041485847072</v>
          </cell>
          <cell r="L5">
            <v>0.25088674352315238</v>
          </cell>
        </row>
        <row r="6">
          <cell r="K6">
            <v>392.3</v>
          </cell>
          <cell r="L6">
            <v>0.27432948922960282</v>
          </cell>
        </row>
      </sheetData>
      <sheetData sheetId="2">
        <row r="5">
          <cell r="L5">
            <v>0.26858474698417545</v>
          </cell>
        </row>
        <row r="6">
          <cell r="L6">
            <v>0.29702172941567545</v>
          </cell>
        </row>
      </sheetData>
      <sheetData sheetId="3">
        <row r="5">
          <cell r="M5">
            <v>0.31942684488182999</v>
          </cell>
        </row>
        <row r="6">
          <cell r="M6">
            <v>0.35647441315660378</v>
          </cell>
        </row>
      </sheetData>
      <sheetData sheetId="4">
        <row r="5">
          <cell r="L5">
            <v>0.25587799767807279</v>
          </cell>
        </row>
        <row r="6">
          <cell r="L6">
            <v>0.27978712395237204</v>
          </cell>
        </row>
      </sheetData>
      <sheetData sheetId="5">
        <row r="5">
          <cell r="Q5">
            <v>0.28303418528316193</v>
          </cell>
          <cell r="R5">
            <v>0.43432133725167588</v>
          </cell>
          <cell r="W5">
            <v>1.4151709264158097</v>
          </cell>
        </row>
        <row r="6">
          <cell r="Q6">
            <v>0.29185886340253192</v>
          </cell>
          <cell r="R6">
            <v>0.46182682241819578</v>
          </cell>
          <cell r="W6">
            <v>1.1674354536101277</v>
          </cell>
        </row>
      </sheetData>
      <sheetData sheetId="6">
        <row r="5">
          <cell r="L5">
            <v>0.24447134527620462</v>
          </cell>
        </row>
        <row r="6">
          <cell r="L6">
            <v>0.26626281210622382</v>
          </cell>
        </row>
      </sheetData>
      <sheetData sheetId="7">
        <row r="5">
          <cell r="L5">
            <v>0.3878126857436745</v>
          </cell>
        </row>
        <row r="6">
          <cell r="L6">
            <v>0.42262897836105034</v>
          </cell>
        </row>
      </sheetData>
      <sheetData sheetId="8">
        <row r="5">
          <cell r="L5">
            <v>0.27346620120877757</v>
          </cell>
        </row>
        <row r="6">
          <cell r="L6">
            <v>0.29553599084879173</v>
          </cell>
        </row>
      </sheetData>
      <sheetData sheetId="9">
        <row r="5">
          <cell r="L5">
            <v>0.24238431138741112</v>
          </cell>
        </row>
        <row r="6">
          <cell r="L6">
            <v>0.26436809953043394</v>
          </cell>
        </row>
      </sheetData>
      <sheetData sheetId="10">
        <row r="5">
          <cell r="L5">
            <v>0.19785957554454706</v>
          </cell>
        </row>
        <row r="6">
          <cell r="L6">
            <v>0.21484833224410843</v>
          </cell>
        </row>
      </sheetData>
      <sheetData sheetId="11">
        <row r="5">
          <cell r="L5">
            <v>0.30400512050915895</v>
          </cell>
        </row>
        <row r="6">
          <cell r="L6">
            <v>0.32853952011491516</v>
          </cell>
        </row>
      </sheetData>
      <sheetData sheetId="12">
        <row r="5">
          <cell r="L5">
            <v>0.37076945398985112</v>
          </cell>
        </row>
        <row r="6">
          <cell r="L6">
            <v>0.41195283177017566</v>
          </cell>
        </row>
      </sheetData>
      <sheetData sheetId="1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0.3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2.8258773978663156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364.33872266038628</v>
          </cell>
          <cell r="L5">
            <v>0.25195467905569791</v>
          </cell>
        </row>
        <row r="6">
          <cell r="K6">
            <v>392.3</v>
          </cell>
          <cell r="L6">
            <v>0.27432948922960282</v>
          </cell>
        </row>
      </sheetData>
      <sheetData sheetId="2">
        <row r="5">
          <cell r="L5">
            <v>0.26988019523743262</v>
          </cell>
        </row>
        <row r="6">
          <cell r="L6">
            <v>0.29702172941567545</v>
          </cell>
        </row>
      </sheetData>
      <sheetData sheetId="3">
        <row r="5">
          <cell r="M5">
            <v>0.3211145488329995</v>
          </cell>
        </row>
        <row r="6">
          <cell r="M6">
            <v>0.35647441315660378</v>
          </cell>
        </row>
      </sheetData>
      <sheetData sheetId="4">
        <row r="5">
          <cell r="L5">
            <v>0.25696717920229234</v>
          </cell>
        </row>
        <row r="6">
          <cell r="L6">
            <v>0.27978712395237204</v>
          </cell>
        </row>
      </sheetData>
      <sheetData sheetId="5">
        <row r="5">
          <cell r="Q5">
            <v>0.28407475214082062</v>
          </cell>
          <cell r="R5">
            <v>0.4375207469727258</v>
          </cell>
          <cell r="W5">
            <v>1.4203737607041029</v>
          </cell>
        </row>
        <row r="6">
          <cell r="Q6">
            <v>0.29185886340253192</v>
          </cell>
          <cell r="R6">
            <v>0.46182682241819578</v>
          </cell>
          <cell r="W6">
            <v>0.97286287800843974</v>
          </cell>
        </row>
      </sheetData>
      <sheetData sheetId="6">
        <row r="5">
          <cell r="L5">
            <v>0.24546405671135285</v>
          </cell>
        </row>
        <row r="6">
          <cell r="L6">
            <v>0.26626281210622382</v>
          </cell>
        </row>
      </sheetData>
      <sheetData sheetId="7">
        <row r="5">
          <cell r="L5">
            <v>0.38940465548415598</v>
          </cell>
        </row>
        <row r="6">
          <cell r="L6">
            <v>0.42262897836105034</v>
          </cell>
        </row>
      </sheetData>
      <sheetData sheetId="8">
        <row r="5">
          <cell r="L5">
            <v>0.27447159165439811</v>
          </cell>
        </row>
        <row r="6">
          <cell r="L6">
            <v>0.29553599084879173</v>
          </cell>
        </row>
      </sheetData>
      <sheetData sheetId="9">
        <row r="5">
          <cell r="L5">
            <v>0.24338578403024358</v>
          </cell>
        </row>
        <row r="6">
          <cell r="L6">
            <v>0.26436809953043394</v>
          </cell>
        </row>
      </sheetData>
      <sheetData sheetId="10">
        <row r="5">
          <cell r="L5">
            <v>0.19863349926322821</v>
          </cell>
        </row>
        <row r="6">
          <cell r="L6">
            <v>0.21484833224410843</v>
          </cell>
        </row>
      </sheetData>
      <sheetData sheetId="11">
        <row r="5">
          <cell r="L5">
            <v>0.3051227863933838</v>
          </cell>
        </row>
        <row r="6">
          <cell r="L6">
            <v>0.32853952011491516</v>
          </cell>
        </row>
      </sheetData>
      <sheetData sheetId="12">
        <row r="5">
          <cell r="L5">
            <v>0.37263095470463126</v>
          </cell>
        </row>
        <row r="6">
          <cell r="L6">
            <v>0.41195283177017566</v>
          </cell>
        </row>
      </sheetData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</v>
          </cell>
        </row>
        <row r="20">
          <cell r="B20">
            <v>150</v>
          </cell>
        </row>
        <row r="22">
          <cell r="B22">
            <v>36.5</v>
          </cell>
        </row>
        <row r="27">
          <cell r="B27">
            <v>2.9208758709847928</v>
          </cell>
        </row>
        <row r="28">
          <cell r="B28">
            <v>12.7</v>
          </cell>
        </row>
        <row r="29">
          <cell r="B29">
            <v>253.4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52</v>
          </cell>
        </row>
      </sheetData>
      <sheetData sheetId="1">
        <row r="5">
          <cell r="K5">
            <v>317.10269794078823</v>
          </cell>
          <cell r="L5">
            <v>0.23181080280759936</v>
          </cell>
        </row>
        <row r="6">
          <cell r="K6">
            <v>392.3</v>
          </cell>
          <cell r="L6">
            <v>0.30460035377229411</v>
          </cell>
        </row>
      </sheetData>
      <sheetData sheetId="2">
        <row r="5">
          <cell r="L5">
            <v>0.21302068526037121</v>
          </cell>
        </row>
        <row r="6">
          <cell r="L6">
            <v>0.2922790774211681</v>
          </cell>
        </row>
      </sheetData>
      <sheetData sheetId="3">
        <row r="5">
          <cell r="M5">
            <v>0.26705922088184081</v>
          </cell>
        </row>
        <row r="6">
          <cell r="M6">
            <v>0.37829420906230976</v>
          </cell>
        </row>
      </sheetData>
      <sheetData sheetId="4">
        <row r="5">
          <cell r="L5">
            <v>0.22003405864266853</v>
          </cell>
        </row>
        <row r="6">
          <cell r="L6">
            <v>0.28912566322518846</v>
          </cell>
        </row>
      </sheetData>
      <sheetData sheetId="5">
        <row r="5">
          <cell r="Q5">
            <v>0.24661873508292353</v>
          </cell>
          <cell r="R5">
            <v>0.2533316241930651</v>
          </cell>
          <cell r="W5">
            <v>1.6441249005528236</v>
          </cell>
        </row>
        <row r="6">
          <cell r="Q6">
            <v>0.29271457269954582</v>
          </cell>
          <cell r="R6">
            <v>0.35688308472413011</v>
          </cell>
          <cell r="W6">
            <v>1.463572863497729</v>
          </cell>
        </row>
      </sheetData>
      <sheetData sheetId="6">
        <row r="5">
          <cell r="L5">
            <v>0.23677888448534648</v>
          </cell>
        </row>
        <row r="6">
          <cell r="L6">
            <v>0.30404573484725961</v>
          </cell>
        </row>
      </sheetData>
      <sheetData sheetId="7">
        <row r="5">
          <cell r="L5">
            <v>0.32848004590109303</v>
          </cell>
        </row>
        <row r="6">
          <cell r="L6">
            <v>0.42697819075524601</v>
          </cell>
        </row>
      </sheetData>
      <sheetData sheetId="8">
        <row r="5">
          <cell r="L5">
            <v>0.25140813378365084</v>
          </cell>
        </row>
        <row r="6">
          <cell r="L6">
            <v>0.31102671634078205</v>
          </cell>
        </row>
      </sheetData>
      <sheetData sheetId="9">
        <row r="5">
          <cell r="L5">
            <v>0.18866261416535396</v>
          </cell>
        </row>
        <row r="6">
          <cell r="L6">
            <v>0.23985994890838896</v>
          </cell>
        </row>
      </sheetData>
      <sheetData sheetId="10">
        <row r="5">
          <cell r="L5">
            <v>0.16697779297207394</v>
          </cell>
        </row>
        <row r="6">
          <cell r="L6">
            <v>0.20988664557260006</v>
          </cell>
        </row>
      </sheetData>
      <sheetData sheetId="11">
        <row r="5">
          <cell r="L5">
            <v>0.25182342460354623</v>
          </cell>
        </row>
        <row r="6">
          <cell r="L6">
            <v>0.31154048866029532</v>
          </cell>
        </row>
      </sheetData>
      <sheetData sheetId="12">
        <row r="5">
          <cell r="L5">
            <v>0.2689691013170048</v>
          </cell>
        </row>
        <row r="6">
          <cell r="L6">
            <v>0.36835857345606948</v>
          </cell>
        </row>
      </sheetData>
      <sheetData sheetId="1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</v>
          </cell>
        </row>
        <row r="20">
          <cell r="B20">
            <v>150</v>
          </cell>
        </row>
        <row r="22">
          <cell r="B22">
            <v>36.5</v>
          </cell>
        </row>
        <row r="27">
          <cell r="B27">
            <v>2.9208758709847928</v>
          </cell>
        </row>
        <row r="28">
          <cell r="B28">
            <v>12.7</v>
          </cell>
        </row>
        <row r="29">
          <cell r="B29">
            <v>253.4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52</v>
          </cell>
        </row>
      </sheetData>
      <sheetData sheetId="1">
        <row r="5">
          <cell r="K5">
            <v>319.13540754297276</v>
          </cell>
          <cell r="L5">
            <v>0.23377842684639971</v>
          </cell>
        </row>
        <row r="6">
          <cell r="K6">
            <v>392.3</v>
          </cell>
          <cell r="L6">
            <v>0.30460035377229411</v>
          </cell>
        </row>
      </sheetData>
      <sheetData sheetId="2">
        <row r="5">
          <cell r="L5">
            <v>0.21516317296122117</v>
          </cell>
        </row>
        <row r="6">
          <cell r="L6">
            <v>0.2922790774211681</v>
          </cell>
        </row>
      </sheetData>
      <sheetData sheetId="3">
        <row r="5">
          <cell r="M5">
            <v>0.27006608977715413</v>
          </cell>
        </row>
        <row r="6">
          <cell r="M6">
            <v>0.37829420906230976</v>
          </cell>
        </row>
      </sheetData>
      <sheetData sheetId="4">
        <row r="5">
          <cell r="L5">
            <v>0.22190172096856739</v>
          </cell>
        </row>
        <row r="6">
          <cell r="L6">
            <v>0.28912566322518846</v>
          </cell>
        </row>
      </sheetData>
      <sheetData sheetId="5">
        <row r="5">
          <cell r="Q5">
            <v>0.24819962441037818</v>
          </cell>
          <cell r="R5">
            <v>0.25658987527674482</v>
          </cell>
          <cell r="W5">
            <v>1.6546641627358547</v>
          </cell>
        </row>
        <row r="6">
          <cell r="Q6">
            <v>0.29271457269954582</v>
          </cell>
          <cell r="R6">
            <v>0.35688308472413011</v>
          </cell>
          <cell r="W6">
            <v>1.463572863497729</v>
          </cell>
        </row>
      </sheetData>
      <sheetData sheetId="6">
        <row r="5">
          <cell r="L5">
            <v>0.23859722063431765</v>
          </cell>
        </row>
        <row r="6">
          <cell r="L6">
            <v>0.30404573484725961</v>
          </cell>
        </row>
      </sheetData>
      <sheetData sheetId="7">
        <row r="5">
          <cell r="L5">
            <v>0.33119968980678799</v>
          </cell>
        </row>
        <row r="6">
          <cell r="L6">
            <v>0.42697819075524601</v>
          </cell>
        </row>
      </sheetData>
      <sheetData sheetId="8">
        <row r="5">
          <cell r="L5">
            <v>0.25301972438482806</v>
          </cell>
        </row>
        <row r="6">
          <cell r="L6">
            <v>0.31102671634078205</v>
          </cell>
        </row>
      </sheetData>
      <sheetData sheetId="9">
        <row r="5">
          <cell r="L5">
            <v>0.19004656426846372</v>
          </cell>
        </row>
        <row r="6">
          <cell r="L6">
            <v>0.23985994890838896</v>
          </cell>
        </row>
      </sheetData>
      <sheetData sheetId="10">
        <row r="5">
          <cell r="L5">
            <v>0.16813769145661173</v>
          </cell>
        </row>
        <row r="6">
          <cell r="L6">
            <v>0.20988664557260006</v>
          </cell>
        </row>
      </sheetData>
      <sheetData sheetId="11">
        <row r="5">
          <cell r="L5">
            <v>0.25343767732536382</v>
          </cell>
        </row>
        <row r="6">
          <cell r="L6">
            <v>0.31154048866029532</v>
          </cell>
        </row>
      </sheetData>
      <sheetData sheetId="12">
        <row r="5">
          <cell r="L5">
            <v>0.27162116372332756</v>
          </cell>
        </row>
        <row r="6">
          <cell r="L6">
            <v>0.36835857345606948</v>
          </cell>
        </row>
      </sheetData>
      <sheetData sheetId="13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0.25</v>
          </cell>
        </row>
        <row r="9">
          <cell r="C9">
            <v>0.3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2.9208758709847928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260.02902224680844</v>
          </cell>
          <cell r="L5">
            <v>0.1674919062651099</v>
          </cell>
        </row>
        <row r="6">
          <cell r="K6">
            <v>365.37411331090004</v>
          </cell>
          <cell r="L6">
            <v>0.251925495788488</v>
          </cell>
        </row>
        <row r="7">
          <cell r="K7">
            <v>392.3</v>
          </cell>
          <cell r="L7">
            <v>0.27350646592479266</v>
          </cell>
        </row>
      </sheetData>
      <sheetData sheetId="2">
        <row r="5">
          <cell r="L5">
            <v>0.16593842049260554</v>
          </cell>
        </row>
        <row r="6">
          <cell r="L6">
            <v>0.26816066312683373</v>
          </cell>
        </row>
        <row r="7">
          <cell r="L7">
            <v>0.2942883592014458</v>
          </cell>
        </row>
      </sheetData>
      <sheetData sheetId="3">
        <row r="5">
          <cell r="M5">
            <v>0.18715407179110796</v>
          </cell>
        </row>
        <row r="6">
          <cell r="M6">
            <v>0.3213019786086907</v>
          </cell>
        </row>
        <row r="7">
          <cell r="M7">
            <v>0.35558977789829044</v>
          </cell>
        </row>
      </sheetData>
      <sheetData sheetId="4">
        <row r="5">
          <cell r="L5">
            <v>0.17071425757771175</v>
          </cell>
        </row>
        <row r="6">
          <cell r="L6">
            <v>0.25677225208933863</v>
          </cell>
        </row>
        <row r="7">
          <cell r="L7">
            <v>0.27876841522807938</v>
          </cell>
        </row>
      </sheetData>
      <sheetData sheetId="5">
        <row r="5">
          <cell r="Q5">
            <v>0.20291053724344324</v>
          </cell>
          <cell r="R5">
            <v>0.2159647123648005</v>
          </cell>
          <cell r="W5">
            <v>1.3527369149562882</v>
          </cell>
        </row>
        <row r="6">
          <cell r="Q6">
            <v>0.28511531899847925</v>
          </cell>
          <cell r="R6">
            <v>0.42639754754765979</v>
          </cell>
          <cell r="W6">
            <v>1.140461275993917</v>
          </cell>
        </row>
        <row r="7">
          <cell r="Q7">
            <v>0.29185886340253192</v>
          </cell>
          <cell r="R7">
            <v>0.4468063816624937</v>
          </cell>
          <cell r="W7">
            <v>0.97286287800843974</v>
          </cell>
        </row>
      </sheetData>
      <sheetData sheetId="6">
        <row r="5">
          <cell r="L5">
            <v>0.1678741841935957</v>
          </cell>
        </row>
        <row r="6">
          <cell r="L6">
            <v>0.24623422313174248</v>
          </cell>
        </row>
        <row r="7">
          <cell r="L7">
            <v>0.26626281210622382</v>
          </cell>
        </row>
      </sheetData>
      <sheetData sheetId="7">
        <row r="5">
          <cell r="L5">
            <v>0.26351316056177404</v>
          </cell>
        </row>
        <row r="6">
          <cell r="L6">
            <v>0.39358361903775879</v>
          </cell>
        </row>
        <row r="7">
          <cell r="L7">
            <v>0.42599386724750998</v>
          </cell>
        </row>
      </sheetData>
      <sheetData sheetId="8">
        <row r="5">
          <cell r="L5">
            <v>0.20014638609567872</v>
          </cell>
        </row>
        <row r="6">
          <cell r="L6">
            <v>0.28123133225751779</v>
          </cell>
        </row>
        <row r="7">
          <cell r="L7">
            <v>0.30195639927765211</v>
          </cell>
        </row>
      </sheetData>
      <sheetData sheetId="9">
        <row r="5">
          <cell r="L5">
            <v>0.16506313820449167</v>
          </cell>
        </row>
        <row r="6">
          <cell r="L6">
            <v>0.24409176428260956</v>
          </cell>
        </row>
        <row r="7">
          <cell r="L7">
            <v>0.26429124210811206</v>
          </cell>
        </row>
      </sheetData>
      <sheetData sheetId="10">
        <row r="5">
          <cell r="L5">
            <v>0.1381439747701679</v>
          </cell>
        </row>
        <row r="6">
          <cell r="L6">
            <v>0.19923392556937053</v>
          </cell>
        </row>
        <row r="7">
          <cell r="L7">
            <v>0.21484833224410843</v>
          </cell>
        </row>
      </sheetData>
      <sheetData sheetId="11">
        <row r="5">
          <cell r="L5">
            <v>0.21761687204786706</v>
          </cell>
        </row>
        <row r="6">
          <cell r="L6">
            <v>0.30577960482623368</v>
          </cell>
        </row>
        <row r="7">
          <cell r="L7">
            <v>0.32831373270075848</v>
          </cell>
        </row>
      </sheetData>
      <sheetData sheetId="12">
        <row r="5">
          <cell r="L5">
            <v>0.22731064085675326</v>
          </cell>
        </row>
        <row r="6">
          <cell r="L6">
            <v>0.36886297806916946</v>
          </cell>
        </row>
        <row r="7">
          <cell r="L7">
            <v>0.4063819103105144</v>
          </cell>
        </row>
      </sheetData>
      <sheetData sheetId="1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0.25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2.9208758709847928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261.36250441217675</v>
          </cell>
          <cell r="L5">
            <v>0.16856068587932993</v>
          </cell>
        </row>
        <row r="6">
          <cell r="K6">
            <v>366.70759547626835</v>
          </cell>
          <cell r="L6">
            <v>0.25299427540270802</v>
          </cell>
        </row>
      </sheetData>
      <sheetData sheetId="2">
        <row r="5">
          <cell r="L5">
            <v>0.16723237293101356</v>
          </cell>
        </row>
        <row r="6">
          <cell r="L6">
            <v>0.26945461556524175</v>
          </cell>
        </row>
      </sheetData>
      <sheetData sheetId="3">
        <row r="5">
          <cell r="M5">
            <v>0.18885214656095087</v>
          </cell>
        </row>
        <row r="6">
          <cell r="M6">
            <v>0.3230000533785336</v>
          </cell>
        </row>
      </sheetData>
      <sheetData sheetId="4">
        <row r="5">
          <cell r="L5">
            <v>0.17180359928039066</v>
          </cell>
        </row>
        <row r="6">
          <cell r="L6">
            <v>0.25786159379201756</v>
          </cell>
        </row>
      </sheetData>
      <sheetData sheetId="5">
        <row r="5">
          <cell r="Q5">
            <v>0.20395110410110193</v>
          </cell>
          <cell r="R5">
            <v>0.21818541460108287</v>
          </cell>
          <cell r="W5">
            <v>1.3596740273406795</v>
          </cell>
        </row>
        <row r="6">
          <cell r="Q6">
            <v>0.28615588585613794</v>
          </cell>
          <cell r="R6">
            <v>0.42951561795103321</v>
          </cell>
          <cell r="W6">
            <v>1.1446235434245517</v>
          </cell>
        </row>
      </sheetData>
      <sheetData sheetId="6">
        <row r="5">
          <cell r="L5">
            <v>0.1688660834206609</v>
          </cell>
        </row>
        <row r="6">
          <cell r="L6">
            <v>0.24722612235880767</v>
          </cell>
        </row>
      </sheetData>
      <sheetData sheetId="7">
        <row r="5">
          <cell r="L5">
            <v>0.26520845210462046</v>
          </cell>
        </row>
        <row r="6">
          <cell r="L6">
            <v>0.39519438566208898</v>
          </cell>
        </row>
      </sheetData>
      <sheetData sheetId="8">
        <row r="5">
          <cell r="L5">
            <v>0.20117277781924639</v>
          </cell>
        </row>
        <row r="6">
          <cell r="L6">
            <v>0.28225772398108545</v>
          </cell>
        </row>
      </sheetData>
      <sheetData sheetId="9">
        <row r="5">
          <cell r="L5">
            <v>0.16606350055991093</v>
          </cell>
        </row>
        <row r="6">
          <cell r="L6">
            <v>0.24509212663802887</v>
          </cell>
        </row>
      </sheetData>
      <sheetData sheetId="10">
        <row r="5">
          <cell r="L5">
            <v>0.13891726528661352</v>
          </cell>
        </row>
        <row r="6">
          <cell r="L6">
            <v>0.20000721608581618</v>
          </cell>
        </row>
      </sheetData>
      <sheetData sheetId="11">
        <row r="5">
          <cell r="L5">
            <v>0.21873285600708692</v>
          </cell>
        </row>
        <row r="6">
          <cell r="L6">
            <v>0.30689558878545359</v>
          </cell>
        </row>
      </sheetData>
      <sheetData sheetId="12">
        <row r="5">
          <cell r="L5">
            <v>0.22905031355298408</v>
          </cell>
        </row>
        <row r="6">
          <cell r="L6">
            <v>0.37070824548873837</v>
          </cell>
        </row>
      </sheetData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</v>
          </cell>
        </row>
        <row r="9">
          <cell r="C9">
            <v>0.3</v>
          </cell>
        </row>
        <row r="10">
          <cell r="C10">
            <v>0.33</v>
          </cell>
        </row>
        <row r="20">
          <cell r="B20">
            <v>150</v>
          </cell>
        </row>
        <row r="22">
          <cell r="B22">
            <v>39.5</v>
          </cell>
        </row>
        <row r="27">
          <cell r="B27">
            <v>2.9208758709847928</v>
          </cell>
        </row>
        <row r="28">
          <cell r="B28">
            <v>19.100000000000001</v>
          </cell>
        </row>
        <row r="29">
          <cell r="B29">
            <v>573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40</v>
          </cell>
        </row>
      </sheetData>
      <sheetData sheetId="1">
        <row r="5">
          <cell r="K5">
            <v>187.02573904138569</v>
          </cell>
          <cell r="L5">
            <v>0.10386548783744019</v>
          </cell>
        </row>
        <row r="6">
          <cell r="K6">
            <v>261.07653927096982</v>
          </cell>
          <cell r="L6">
            <v>0.15521803357180655</v>
          </cell>
        </row>
        <row r="7">
          <cell r="K7">
            <v>336.07670873426662</v>
          </cell>
          <cell r="L7">
            <v>0.20722894527712638</v>
          </cell>
        </row>
        <row r="8">
          <cell r="K8">
            <v>392.3</v>
          </cell>
          <cell r="L8">
            <v>0.24621851901716416</v>
          </cell>
        </row>
      </sheetData>
      <sheetData sheetId="2">
        <row r="5">
          <cell r="L5">
            <v>0.10247434514056784</v>
          </cell>
        </row>
        <row r="6">
          <cell r="L6">
            <v>0.16913510332806375</v>
          </cell>
        </row>
        <row r="7">
          <cell r="L7">
            <v>0.23665048662052759</v>
          </cell>
        </row>
        <row r="8">
          <cell r="L8">
            <v>0.28726286639158216</v>
          </cell>
        </row>
      </sheetData>
      <sheetData sheetId="3">
        <row r="5">
          <cell r="M5">
            <v>0.10247434514056784</v>
          </cell>
        </row>
        <row r="6">
          <cell r="M6">
            <v>0.18555915799000014</v>
          </cell>
        </row>
        <row r="7">
          <cell r="M7">
            <v>0.27041104484597911</v>
          </cell>
        </row>
        <row r="8">
          <cell r="M8">
            <v>0.33401959911045176</v>
          </cell>
        </row>
      </sheetData>
      <sheetData sheetId="4">
        <row r="5">
          <cell r="L5">
            <v>0.11245220647895145</v>
          </cell>
        </row>
        <row r="6">
          <cell r="L6">
            <v>0.16805014566331994</v>
          </cell>
        </row>
        <row r="7">
          <cell r="L7">
            <v>0.22436087893979573</v>
          </cell>
        </row>
        <row r="8">
          <cell r="L8">
            <v>0.26657378033783419</v>
          </cell>
        </row>
      </sheetData>
      <sheetData sheetId="5">
        <row r="5">
          <cell r="Q5">
            <v>0.14814917423039506</v>
          </cell>
          <cell r="R5">
            <v>0.1355080739737812</v>
          </cell>
          <cell r="W5">
            <v>0.90338715982520801</v>
          </cell>
        </row>
        <row r="6">
          <cell r="Q6">
            <v>0.20680722291045003</v>
          </cell>
          <cell r="R6">
            <v>0.2640572571894973</v>
          </cell>
          <cell r="W6">
            <v>1.0340361145522501</v>
          </cell>
        </row>
        <row r="7">
          <cell r="Q7">
            <v>0.26621729785563381</v>
          </cell>
          <cell r="R7">
            <v>0.43756164286888011</v>
          </cell>
          <cell r="W7">
            <v>0.88739099285211276</v>
          </cell>
        </row>
        <row r="8">
          <cell r="Q8">
            <v>0.29484546616440754</v>
          </cell>
          <cell r="R8">
            <v>0.5367296786008573</v>
          </cell>
          <cell r="W8">
            <v>0.89347110958911369</v>
          </cell>
        </row>
      </sheetData>
      <sheetData sheetId="6">
        <row r="5">
          <cell r="L5">
            <v>0.10457083423101082</v>
          </cell>
        </row>
        <row r="6">
          <cell r="L6">
            <v>0.15224844195882856</v>
          </cell>
        </row>
        <row r="7">
          <cell r="L7">
            <v>0.20053730106777218</v>
          </cell>
        </row>
        <row r="8">
          <cell r="L8">
            <v>0.23673666714921462</v>
          </cell>
        </row>
      </sheetData>
      <sheetData sheetId="7">
        <row r="5">
          <cell r="L5">
            <v>0.17816304051344647</v>
          </cell>
        </row>
        <row r="6">
          <cell r="L6">
            <v>0.26957165351417106</v>
          </cell>
        </row>
        <row r="7">
          <cell r="L7">
            <v>0.35824006167094863</v>
          </cell>
        </row>
        <row r="8">
          <cell r="L8">
            <v>0.42347873544006226</v>
          </cell>
        </row>
      </sheetData>
      <sheetData sheetId="8">
        <row r="5">
          <cell r="L5">
            <v>0.14126225441748413</v>
          </cell>
        </row>
        <row r="6">
          <cell r="L6">
            <v>0.19719350235943212</v>
          </cell>
        </row>
        <row r="7">
          <cell r="L7">
            <v>0.2538418175826872</v>
          </cell>
        </row>
        <row r="8">
          <cell r="L8">
            <v>0.29630778465051877</v>
          </cell>
        </row>
      </sheetData>
      <sheetData sheetId="9">
        <row r="5">
          <cell r="L5">
            <v>0.12045195342623187</v>
          </cell>
        </row>
        <row r="6">
          <cell r="L6">
            <v>0.18111863395839592</v>
          </cell>
        </row>
        <row r="7">
          <cell r="L7">
            <v>0.24256309244610058</v>
          </cell>
        </row>
        <row r="8">
          <cell r="L8">
            <v>0.28862445085289834</v>
          </cell>
        </row>
      </sheetData>
      <sheetData sheetId="10">
        <row r="5">
          <cell r="L5">
            <v>9.7961980084099287E-2</v>
          </cell>
        </row>
        <row r="6">
          <cell r="L6">
            <v>0.14156003614041548</v>
          </cell>
        </row>
        <row r="7">
          <cell r="L7">
            <v>0.18571704163335118</v>
          </cell>
        </row>
        <row r="8">
          <cell r="L8">
            <v>0.21881899592249263</v>
          </cell>
        </row>
      </sheetData>
      <sheetData sheetId="11">
        <row r="5">
          <cell r="L5">
            <v>0.16516121781174603</v>
          </cell>
        </row>
        <row r="6">
          <cell r="L6">
            <v>0.2305549994834018</v>
          </cell>
        </row>
        <row r="7">
          <cell r="L7">
            <v>0.29678716297136087</v>
          </cell>
        </row>
        <row r="8">
          <cell r="L8">
            <v>0.34643758703827615</v>
          </cell>
        </row>
      </sheetData>
      <sheetData sheetId="12">
        <row r="5">
          <cell r="L5">
            <v>0.15494441608752402</v>
          </cell>
        </row>
        <row r="6">
          <cell r="L6">
            <v>0.25309419789992316</v>
          </cell>
        </row>
        <row r="7">
          <cell r="L7">
            <v>0.35869749118086919</v>
          </cell>
        </row>
        <row r="8">
          <cell r="L8">
            <v>0.44195087002207567</v>
          </cell>
        </row>
      </sheetData>
      <sheetData sheetId="1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0.15</v>
          </cell>
        </row>
        <row r="8">
          <cell r="C8">
            <v>0.25</v>
          </cell>
        </row>
        <row r="9">
          <cell r="C9">
            <v>0.28000000000000003</v>
          </cell>
        </row>
        <row r="20">
          <cell r="B20">
            <v>150</v>
          </cell>
        </row>
        <row r="22">
          <cell r="B22">
            <v>39.5</v>
          </cell>
        </row>
        <row r="27">
          <cell r="B27">
            <v>2.9208758709847928</v>
          </cell>
        </row>
        <row r="28">
          <cell r="B28">
            <v>19.100000000000001</v>
          </cell>
        </row>
        <row r="29">
          <cell r="B29">
            <v>573</v>
          </cell>
        </row>
        <row r="31">
          <cell r="B31">
            <v>2</v>
          </cell>
        </row>
        <row r="32">
          <cell r="B32">
            <v>40</v>
          </cell>
        </row>
        <row r="33">
          <cell r="B33">
            <v>30</v>
          </cell>
        </row>
      </sheetData>
      <sheetData sheetId="1">
        <row r="5">
          <cell r="K5">
            <v>186.07636980767307</v>
          </cell>
          <cell r="L5">
            <v>0.1032071218664868</v>
          </cell>
        </row>
        <row r="6">
          <cell r="K6">
            <v>259.17780080354459</v>
          </cell>
          <cell r="L6">
            <v>0.15390130162989973</v>
          </cell>
        </row>
        <row r="7">
          <cell r="K7">
            <v>333.22860103312883</v>
          </cell>
          <cell r="L7">
            <v>0.20525384736426619</v>
          </cell>
        </row>
      </sheetData>
      <sheetData sheetId="2">
        <row r="5">
          <cell r="L5">
            <v>0.10161972003559995</v>
          </cell>
        </row>
        <row r="6">
          <cell r="L6">
            <v>0.16742585311812797</v>
          </cell>
        </row>
        <row r="7">
          <cell r="L7">
            <v>0.23408661130562394</v>
          </cell>
        </row>
      </sheetData>
      <sheetData sheetId="3">
        <row r="5">
          <cell r="M5">
            <v>0.10161972003559995</v>
          </cell>
        </row>
        <row r="6">
          <cell r="M6">
            <v>0.18341100895567153</v>
          </cell>
        </row>
        <row r="7">
          <cell r="M7">
            <v>0.26718882129448629</v>
          </cell>
        </row>
      </sheetData>
      <sheetData sheetId="4">
        <row r="5">
          <cell r="L5">
            <v>0.11173941238684416</v>
          </cell>
        </row>
        <row r="6">
          <cell r="L6">
            <v>0.16662455747910535</v>
          </cell>
        </row>
        <row r="7">
          <cell r="L7">
            <v>0.22222249666347391</v>
          </cell>
        </row>
      </sheetData>
      <sheetData sheetId="5">
        <row r="5">
          <cell r="Q5">
            <v>0.14739714796526618</v>
          </cell>
          <cell r="R5">
            <v>0.13413584915294852</v>
          </cell>
          <cell r="W5">
            <v>0.89423899435299015</v>
          </cell>
        </row>
        <row r="6">
          <cell r="Q6">
            <v>0.20530317038019216</v>
          </cell>
          <cell r="R6">
            <v>0.26023039102249323</v>
          </cell>
          <cell r="W6">
            <v>0.82121268152076865</v>
          </cell>
        </row>
        <row r="7">
          <cell r="Q7">
            <v>0.26396121906024711</v>
          </cell>
          <cell r="R7">
            <v>0.43017676883310102</v>
          </cell>
          <cell r="W7">
            <v>0.94271863950088242</v>
          </cell>
        </row>
      </sheetData>
      <sheetData sheetId="6">
        <row r="5">
          <cell r="L5">
            <v>0.10395958284988495</v>
          </cell>
        </row>
        <row r="6">
          <cell r="L6">
            <v>0.15102593919657681</v>
          </cell>
        </row>
        <row r="7">
          <cell r="L7">
            <v>0.19870354692439463</v>
          </cell>
        </row>
      </sheetData>
      <sheetData sheetId="7">
        <row r="5">
          <cell r="L5">
            <v>0.17694613044184809</v>
          </cell>
        </row>
        <row r="6">
          <cell r="L6">
            <v>0.26729001115865386</v>
          </cell>
        </row>
        <row r="7">
          <cell r="L7">
            <v>0.35491326945201562</v>
          </cell>
        </row>
      </sheetData>
      <sheetData sheetId="8">
        <row r="5">
          <cell r="L5">
            <v>0.14054518713617711</v>
          </cell>
        </row>
        <row r="6">
          <cell r="L6">
            <v>0.19575936779681807</v>
          </cell>
        </row>
        <row r="7">
          <cell r="L7">
            <v>0.25169061573876617</v>
          </cell>
        </row>
      </sheetData>
      <sheetData sheetId="9">
        <row r="5">
          <cell r="L5">
            <v>0.1196741754706913</v>
          </cell>
        </row>
        <row r="6">
          <cell r="L6">
            <v>0.17956307804731475</v>
          </cell>
        </row>
        <row r="7">
          <cell r="L7">
            <v>0.24022975857947892</v>
          </cell>
        </row>
      </sheetData>
      <sheetData sheetId="10">
        <row r="5">
          <cell r="L5">
            <v>9.7403030647479835E-2</v>
          </cell>
        </row>
        <row r="6">
          <cell r="L6">
            <v>0.14044213726717661</v>
          </cell>
        </row>
        <row r="7">
          <cell r="L7">
            <v>0.18404019332349289</v>
          </cell>
        </row>
      </sheetData>
      <sheetData sheetId="11">
        <row r="5">
          <cell r="L5">
            <v>0.16432283599544276</v>
          </cell>
        </row>
        <row r="6">
          <cell r="L6">
            <v>0.22887823585079523</v>
          </cell>
        </row>
        <row r="7">
          <cell r="L7">
            <v>0.29427201752245108</v>
          </cell>
        </row>
      </sheetData>
      <sheetData sheetId="12">
        <row r="5">
          <cell r="L5">
            <v>0.15372554530263</v>
          </cell>
        </row>
        <row r="6">
          <cell r="L6">
            <v>0.25050161426861189</v>
          </cell>
        </row>
        <row r="7">
          <cell r="L7">
            <v>0.35457335569849135</v>
          </cell>
        </row>
      </sheetData>
      <sheetData sheetId="1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0.2</v>
          </cell>
        </row>
        <row r="8">
          <cell r="C8">
            <v>0.22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3.3538794827423906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365.47269151625068</v>
          </cell>
          <cell r="L5">
            <v>0.24787609391279472</v>
          </cell>
        </row>
        <row r="6">
          <cell r="K6">
            <v>392.3</v>
          </cell>
          <cell r="L6">
            <v>0.26952078089345077</v>
          </cell>
        </row>
      </sheetData>
      <sheetData sheetId="2">
        <row r="5">
          <cell r="L5">
            <v>0.2559318537568821</v>
          </cell>
        </row>
        <row r="6">
          <cell r="L6">
            <v>0.28192769917035537</v>
          </cell>
        </row>
      </sheetData>
      <sheetData sheetId="3">
        <row r="5">
          <cell r="M5">
            <v>0.31638565265359381</v>
          </cell>
        </row>
        <row r="6">
          <cell r="M6">
            <v>0.35162528560688727</v>
          </cell>
        </row>
      </sheetData>
      <sheetData sheetId="4">
        <row r="5">
          <cell r="L5">
            <v>0.25197930642052585</v>
          </cell>
        </row>
        <row r="6">
          <cell r="L6">
            <v>0.27398228834178312</v>
          </cell>
        </row>
      </sheetData>
      <sheetData sheetId="5">
        <row r="5">
          <cell r="Q5">
            <v>0.28615588585613794</v>
          </cell>
          <cell r="R5">
            <v>0.37406287588439796</v>
          </cell>
          <cell r="W5">
            <v>1.4307794292806897</v>
          </cell>
        </row>
        <row r="6">
          <cell r="Q6">
            <v>0.29185886340253192</v>
          </cell>
          <cell r="R6">
            <v>0.38912131038557102</v>
          </cell>
          <cell r="W6">
            <v>1.326631197284236</v>
          </cell>
        </row>
      </sheetData>
      <sheetData sheetId="6">
        <row r="5">
          <cell r="L5">
            <v>0.2463075496810074</v>
          </cell>
        </row>
        <row r="6">
          <cell r="L6">
            <v>0.26626281210622382</v>
          </cell>
        </row>
      </sheetData>
      <sheetData sheetId="7">
        <row r="5">
          <cell r="L5">
            <v>0.40653331382420199</v>
          </cell>
        </row>
        <row r="6">
          <cell r="L6">
            <v>0.44076646673889397</v>
          </cell>
        </row>
      </sheetData>
      <sheetData sheetId="8">
        <row r="5">
          <cell r="L5">
            <v>0.30775363409033601</v>
          </cell>
        </row>
        <row r="6">
          <cell r="L6">
            <v>0.33034410902974537</v>
          </cell>
        </row>
      </sheetData>
      <sheetData sheetId="9">
        <row r="5">
          <cell r="L5">
            <v>0.24388415917646628</v>
          </cell>
        </row>
        <row r="6">
          <cell r="L6">
            <v>0.26398647726050195</v>
          </cell>
        </row>
      </sheetData>
      <sheetData sheetId="10">
        <row r="5">
          <cell r="L5">
            <v>0.1992910913817868</v>
          </cell>
        </row>
        <row r="6">
          <cell r="L6">
            <v>0.21484833224410843</v>
          </cell>
        </row>
      </sheetData>
      <sheetData sheetId="11">
        <row r="5">
          <cell r="L5">
            <v>0.30500771306213503</v>
          </cell>
        </row>
        <row r="6">
          <cell r="L6">
            <v>0.32739662527960767</v>
          </cell>
        </row>
      </sheetData>
      <sheetData sheetId="12">
        <row r="5">
          <cell r="L5">
            <v>0.34704935812947924</v>
          </cell>
        </row>
        <row r="6">
          <cell r="L6">
            <v>0.38306358553276815</v>
          </cell>
        </row>
      </sheetData>
      <sheetData sheetId="1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0.17</v>
          </cell>
        </row>
        <row r="8">
          <cell r="C8">
            <v>0.21</v>
          </cell>
        </row>
        <row r="20">
          <cell r="B20">
            <v>150</v>
          </cell>
        </row>
        <row r="22">
          <cell r="B22">
            <v>38</v>
          </cell>
        </row>
        <row r="27">
          <cell r="B27">
            <v>3.3538794827423906</v>
          </cell>
        </row>
        <row r="28">
          <cell r="B28">
            <v>15.9</v>
          </cell>
        </row>
        <row r="29">
          <cell r="B29">
            <v>397.2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46</v>
          </cell>
        </row>
      </sheetData>
      <sheetData sheetId="1">
        <row r="5">
          <cell r="K5">
            <v>365.47269151625068</v>
          </cell>
          <cell r="L5">
            <v>0.24787609391279472</v>
          </cell>
        </row>
        <row r="6">
          <cell r="K6">
            <v>392.3</v>
          </cell>
          <cell r="L6">
            <v>0.26952078089345077</v>
          </cell>
        </row>
      </sheetData>
      <sheetData sheetId="2">
        <row r="5">
          <cell r="L5">
            <v>0.2559318537568821</v>
          </cell>
        </row>
        <row r="6">
          <cell r="L6">
            <v>0.28192769917035537</v>
          </cell>
        </row>
      </sheetData>
      <sheetData sheetId="3">
        <row r="5">
          <cell r="M5">
            <v>0.31638565265359381</v>
          </cell>
        </row>
        <row r="6">
          <cell r="M6">
            <v>0.35162528560688727</v>
          </cell>
        </row>
      </sheetData>
      <sheetData sheetId="4">
        <row r="5">
          <cell r="L5">
            <v>0.25197930642052585</v>
          </cell>
        </row>
        <row r="6">
          <cell r="L6">
            <v>0.27398228834178312</v>
          </cell>
        </row>
      </sheetData>
      <sheetData sheetId="5">
        <row r="5">
          <cell r="Q5">
            <v>0.28615588585613794</v>
          </cell>
          <cell r="R5">
            <v>0.37406287588439796</v>
          </cell>
          <cell r="W5">
            <v>1.6832699168008112</v>
          </cell>
        </row>
        <row r="6">
          <cell r="Q6">
            <v>0.29185886340253192</v>
          </cell>
          <cell r="R6">
            <v>0.38912131038557102</v>
          </cell>
          <cell r="W6">
            <v>1.3898041114406283</v>
          </cell>
        </row>
      </sheetData>
      <sheetData sheetId="6">
        <row r="5">
          <cell r="L5">
            <v>0.2463075496810074</v>
          </cell>
        </row>
        <row r="6">
          <cell r="L6">
            <v>0.26626281210622382</v>
          </cell>
        </row>
      </sheetData>
      <sheetData sheetId="7">
        <row r="5">
          <cell r="L5">
            <v>0.40653331382420199</v>
          </cell>
        </row>
        <row r="6">
          <cell r="L6">
            <v>0.44076646673889397</v>
          </cell>
        </row>
      </sheetData>
      <sheetData sheetId="8">
        <row r="5">
          <cell r="L5">
            <v>0.30775363409033601</v>
          </cell>
        </row>
        <row r="6">
          <cell r="L6">
            <v>0.33034410902974537</v>
          </cell>
        </row>
      </sheetData>
      <sheetData sheetId="9">
        <row r="5">
          <cell r="L5">
            <v>0.24388415917646628</v>
          </cell>
        </row>
        <row r="6">
          <cell r="L6">
            <v>0.26398647726050195</v>
          </cell>
        </row>
      </sheetData>
      <sheetData sheetId="10">
        <row r="5">
          <cell r="L5">
            <v>0.1992910913817868</v>
          </cell>
        </row>
        <row r="6">
          <cell r="L6">
            <v>0.21484833224410843</v>
          </cell>
        </row>
      </sheetData>
      <sheetData sheetId="11">
        <row r="5">
          <cell r="L5">
            <v>0.30500771306213503</v>
          </cell>
        </row>
        <row r="6">
          <cell r="L6">
            <v>0.32739662527960767</v>
          </cell>
        </row>
      </sheetData>
      <sheetData sheetId="12">
        <row r="5">
          <cell r="L5">
            <v>0.34704935812947924</v>
          </cell>
        </row>
        <row r="6">
          <cell r="L6">
            <v>0.38306358553276815</v>
          </cell>
        </row>
      </sheetData>
      <sheetData sheetId="1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0.17</v>
          </cell>
        </row>
        <row r="8">
          <cell r="C8">
            <v>0.18</v>
          </cell>
        </row>
        <row r="9">
          <cell r="C9">
            <v>0.2</v>
          </cell>
        </row>
        <row r="10">
          <cell r="C10">
            <v>0.2</v>
          </cell>
        </row>
        <row r="11">
          <cell r="C11">
            <v>0.25</v>
          </cell>
        </row>
        <row r="12">
          <cell r="C12">
            <v>0.27</v>
          </cell>
        </row>
        <row r="20">
          <cell r="B20">
            <v>150</v>
          </cell>
        </row>
        <row r="22">
          <cell r="B22">
            <v>39.5</v>
          </cell>
        </row>
        <row r="27">
          <cell r="B27">
            <v>3.3538794827423906</v>
          </cell>
        </row>
        <row r="28">
          <cell r="B28">
            <v>19.100000000000001</v>
          </cell>
        </row>
        <row r="29">
          <cell r="B29">
            <v>573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40</v>
          </cell>
        </row>
      </sheetData>
      <sheetData sheetId="1">
        <row r="5">
          <cell r="K5">
            <v>221.31013180149799</v>
          </cell>
          <cell r="L5">
            <v>0.1250242104051538</v>
          </cell>
        </row>
        <row r="6">
          <cell r="K6">
            <v>259.14092356243782</v>
          </cell>
          <cell r="L6">
            <v>0.15144280284122463</v>
          </cell>
        </row>
        <row r="7">
          <cell r="K7">
            <v>296.0259455293542</v>
          </cell>
          <cell r="L7">
            <v>0.17720093046639374</v>
          </cell>
        </row>
        <row r="8">
          <cell r="K8">
            <v>333.85673729029395</v>
          </cell>
          <cell r="L8">
            <v>0.20361952290246452</v>
          </cell>
        </row>
        <row r="9">
          <cell r="K9">
            <v>369.79598946318686</v>
          </cell>
          <cell r="L9">
            <v>0.22871718571673189</v>
          </cell>
        </row>
        <row r="10">
          <cell r="K10">
            <v>392.3</v>
          </cell>
          <cell r="L10">
            <v>0.24443253966189971</v>
          </cell>
        </row>
      </sheetData>
      <sheetData sheetId="2">
        <row r="5">
          <cell r="L5">
            <v>0.12418568445184547</v>
          </cell>
        </row>
        <row r="6">
          <cell r="L6">
            <v>0.15819691921097215</v>
          </cell>
        </row>
        <row r="7">
          <cell r="L7">
            <v>0.19135787310112068</v>
          </cell>
        </row>
        <row r="8">
          <cell r="L8">
            <v>0.22536910786024728</v>
          </cell>
        </row>
        <row r="9">
          <cell r="L9">
            <v>0.25767978088141763</v>
          </cell>
        </row>
        <row r="10">
          <cell r="L10">
            <v>0.27791169117888265</v>
          </cell>
        </row>
      </sheetData>
      <sheetData sheetId="3">
        <row r="5">
          <cell r="M5">
            <v>0.13239376928063259</v>
          </cell>
        </row>
        <row r="6">
          <cell r="M6">
            <v>0.17633003721722093</v>
          </cell>
        </row>
        <row r="7">
          <cell r="M7">
            <v>0.21916789845539458</v>
          </cell>
        </row>
        <row r="8">
          <cell r="M8">
            <v>0.26310416639198281</v>
          </cell>
        </row>
        <row r="9">
          <cell r="M9">
            <v>0.30484362093174178</v>
          </cell>
        </row>
        <row r="10">
          <cell r="M10">
            <v>0.33097953272659097</v>
          </cell>
        </row>
      </sheetData>
      <sheetData sheetId="4">
        <row r="5">
          <cell r="L5">
            <v>0.13495075566019682</v>
          </cell>
        </row>
        <row r="6">
          <cell r="L6">
            <v>0.16346690466184294</v>
          </cell>
        </row>
        <row r="7">
          <cell r="L7">
            <v>0.19127014993844793</v>
          </cell>
        </row>
        <row r="8">
          <cell r="L8">
            <v>0.21978629894009402</v>
          </cell>
        </row>
        <row r="9">
          <cell r="L9">
            <v>0.24687664049165789</v>
          </cell>
        </row>
        <row r="10">
          <cell r="L10">
            <v>0.26383974614531641</v>
          </cell>
        </row>
      </sheetData>
      <sheetData sheetId="5">
        <row r="5">
          <cell r="Q5">
            <v>0.17597414604016473</v>
          </cell>
          <cell r="R5">
            <v>0.16650607497088082</v>
          </cell>
          <cell r="W5">
            <v>0.97944749982871071</v>
          </cell>
        </row>
        <row r="6">
          <cell r="Q6">
            <v>0.20605519664532107</v>
          </cell>
          <cell r="R6">
            <v>0.228296626570857</v>
          </cell>
          <cell r="W6">
            <v>1.1447510924740061</v>
          </cell>
        </row>
        <row r="7">
          <cell r="Q7">
            <v>0.23538422098534853</v>
          </cell>
          <cell r="R7">
            <v>0.2979113459497082</v>
          </cell>
          <cell r="W7">
            <v>1.1769211049267425</v>
          </cell>
        </row>
        <row r="8">
          <cell r="Q8">
            <v>0.26546527159050493</v>
          </cell>
          <cell r="R8">
            <v>0.37892021871660619</v>
          </cell>
          <cell r="W8">
            <v>1.3273263579525245</v>
          </cell>
        </row>
        <row r="9">
          <cell r="Q9">
            <v>0.29404226966540348</v>
          </cell>
          <cell r="R9">
            <v>0.46489179720255736</v>
          </cell>
          <cell r="W9">
            <v>1.1761690786616139</v>
          </cell>
        </row>
        <row r="10">
          <cell r="Q10">
            <v>0.29484546616440754</v>
          </cell>
          <cell r="R10">
            <v>0.46743503323046587</v>
          </cell>
          <cell r="W10">
            <v>1.0920202450533611</v>
          </cell>
        </row>
      </sheetData>
      <sheetData sheetId="6">
        <row r="5">
          <cell r="L5">
            <v>0.12664484050960911</v>
          </cell>
        </row>
        <row r="6">
          <cell r="L6">
            <v>0.15100219578489021</v>
          </cell>
        </row>
        <row r="7">
          <cell r="L7">
            <v>0.17475061717828932</v>
          </cell>
        </row>
        <row r="8">
          <cell r="L8">
            <v>0.19910797245357037</v>
          </cell>
        </row>
        <row r="9">
          <cell r="L9">
            <v>0.22224745996508746</v>
          </cell>
        </row>
        <row r="10">
          <cell r="L10">
            <v>0.23673666714921462</v>
          </cell>
        </row>
      </sheetData>
      <sheetData sheetId="7">
        <row r="5">
          <cell r="L5">
            <v>0.22538674781496504</v>
          </cell>
        </row>
        <row r="6">
          <cell r="L6">
            <v>0.27452178182149056</v>
          </cell>
        </row>
        <row r="7">
          <cell r="L7">
            <v>0.32122604310317937</v>
          </cell>
        </row>
        <row r="8">
          <cell r="L8">
            <v>0.36831035592009659</v>
          </cell>
        </row>
        <row r="9">
          <cell r="L9">
            <v>0.41250311294003189</v>
          </cell>
        </row>
        <row r="10">
          <cell r="L10">
            <v>0.43997406077432616</v>
          </cell>
        </row>
      </sheetData>
      <sheetData sheetId="8">
        <row r="5">
          <cell r="L5">
            <v>0.18287249019815305</v>
          </cell>
        </row>
        <row r="6">
          <cell r="L6">
            <v>0.21413274493288006</v>
          </cell>
        </row>
        <row r="7">
          <cell r="L7">
            <v>0.24461149329923895</v>
          </cell>
        </row>
        <row r="8">
          <cell r="L8">
            <v>0.27587174803396586</v>
          </cell>
        </row>
        <row r="9">
          <cell r="L9">
            <v>0.30556899003195659</v>
          </cell>
        </row>
        <row r="10">
          <cell r="L10">
            <v>0.32416445338834615</v>
          </cell>
        </row>
      </sheetData>
      <sheetData sheetId="9">
        <row r="5">
          <cell r="L5">
            <v>0.14823245470779992</v>
          </cell>
        </row>
        <row r="6">
          <cell r="L6">
            <v>0.17916151019160051</v>
          </cell>
        </row>
        <row r="7">
          <cell r="L7">
            <v>0.20931733928830606</v>
          </cell>
        </row>
        <row r="8">
          <cell r="L8">
            <v>0.2402463947721066</v>
          </cell>
        </row>
        <row r="9">
          <cell r="L9">
            <v>0.26962899748171715</v>
          </cell>
        </row>
        <row r="10">
          <cell r="L10">
            <v>0.28802744377645673</v>
          </cell>
        </row>
      </sheetData>
      <sheetData sheetId="10">
        <row r="5">
          <cell r="L5">
            <v>0.11814721606774738</v>
          </cell>
        </row>
        <row r="6">
          <cell r="L6">
            <v>0.14042042546905978</v>
          </cell>
        </row>
        <row r="7">
          <cell r="L7">
            <v>0.16213680463533942</v>
          </cell>
        </row>
        <row r="8">
          <cell r="L8">
            <v>0.18441001403665175</v>
          </cell>
        </row>
        <row r="9">
          <cell r="L9">
            <v>0.20556956296789858</v>
          </cell>
        </row>
        <row r="10">
          <cell r="L10">
            <v>0.21881899592249263</v>
          </cell>
        </row>
      </sheetData>
      <sheetData sheetId="11">
        <row r="5">
          <cell r="L5">
            <v>0.19471858851908505</v>
          </cell>
        </row>
        <row r="6">
          <cell r="L6">
            <v>0.22800381732576627</v>
          </cell>
        </row>
        <row r="7">
          <cell r="L7">
            <v>0.2604569154122805</v>
          </cell>
        </row>
        <row r="8">
          <cell r="L8">
            <v>0.29374214421896161</v>
          </cell>
        </row>
        <row r="9">
          <cell r="L9">
            <v>0.32536311158530884</v>
          </cell>
        </row>
        <row r="10">
          <cell r="L10">
            <v>0.34516315025537397</v>
          </cell>
        </row>
      </sheetData>
      <sheetData sheetId="12">
        <row r="5">
          <cell r="L5">
            <v>0.18470782045461417</v>
          </cell>
        </row>
        <row r="6">
          <cell r="L6">
            <v>0.23362544371712252</v>
          </cell>
        </row>
        <row r="7">
          <cell r="L7">
            <v>0.28260220590087787</v>
          </cell>
        </row>
        <row r="8">
          <cell r="L8">
            <v>0.3341497358358162</v>
          </cell>
        </row>
        <row r="9">
          <cell r="L9">
            <v>0.38435328221341958</v>
          </cell>
        </row>
        <row r="10">
          <cell r="L10">
            <v>0.41640099019753685</v>
          </cell>
        </row>
      </sheetData>
      <sheetData sheetId="1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de entrada"/>
      <sheetName val="fib Model Code 2010"/>
      <sheetName val="fib Model Code 2020"/>
      <sheetName val="Sugestão"/>
      <sheetName val="Eurocode 2"/>
      <sheetName val="NBR 6118"/>
      <sheetName val="Clark (1956)"/>
      <sheetName val="Leonhardt (1977)"/>
      <sheetName val="Desayi; Ganesan (1985)"/>
      <sheetName val="Oh; Kang (1987)"/>
      <sheetName val="Caldas (1997)"/>
      <sheetName val="Gergely e Lutz (1968)"/>
      <sheetName val="fib Model Code 2020 modificado"/>
      <sheetName val="Gráficos finais"/>
    </sheetNames>
    <sheetDataSet>
      <sheetData sheetId="0">
        <row r="7">
          <cell r="C7">
            <v>0.18</v>
          </cell>
        </row>
        <row r="8">
          <cell r="C8">
            <v>0.19</v>
          </cell>
        </row>
        <row r="9">
          <cell r="C9">
            <v>0.21</v>
          </cell>
        </row>
        <row r="10">
          <cell r="C10">
            <v>0.26</v>
          </cell>
        </row>
        <row r="20">
          <cell r="B20">
            <v>150</v>
          </cell>
        </row>
        <row r="22">
          <cell r="B22">
            <v>39.5</v>
          </cell>
        </row>
        <row r="27">
          <cell r="B27">
            <v>3.3538794827423906</v>
          </cell>
        </row>
        <row r="28">
          <cell r="B28">
            <v>19.100000000000001</v>
          </cell>
        </row>
        <row r="29">
          <cell r="B29">
            <v>573</v>
          </cell>
        </row>
        <row r="30">
          <cell r="B30">
            <v>30</v>
          </cell>
        </row>
        <row r="31">
          <cell r="B31">
            <v>2</v>
          </cell>
        </row>
        <row r="32">
          <cell r="B32">
            <v>40</v>
          </cell>
        </row>
      </sheetData>
      <sheetData sheetId="1">
        <row r="5">
          <cell r="K5">
            <v>296.0259455293542</v>
          </cell>
          <cell r="L5">
            <v>0.17720093046639374</v>
          </cell>
        </row>
        <row r="6">
          <cell r="K6">
            <v>331.965197702247</v>
          </cell>
          <cell r="L6">
            <v>0.20229859328066102</v>
          </cell>
        </row>
        <row r="7">
          <cell r="K7">
            <v>369.79598946318686</v>
          </cell>
          <cell r="L7">
            <v>0.22871718571673189</v>
          </cell>
        </row>
        <row r="8">
          <cell r="K8">
            <v>392.3</v>
          </cell>
          <cell r="L8">
            <v>0.24443253966189971</v>
          </cell>
        </row>
      </sheetData>
      <sheetData sheetId="2">
        <row r="5">
          <cell r="L5">
            <v>0.19135787310112068</v>
          </cell>
        </row>
        <row r="6">
          <cell r="L6">
            <v>0.22366854612229098</v>
          </cell>
        </row>
        <row r="7">
          <cell r="L7">
            <v>0.25767978088141763</v>
          </cell>
        </row>
        <row r="8">
          <cell r="L8">
            <v>0.27791169117888265</v>
          </cell>
        </row>
      </sheetData>
      <sheetData sheetId="3">
        <row r="5">
          <cell r="M5">
            <v>0.21916789845539458</v>
          </cell>
        </row>
        <row r="6">
          <cell r="M6">
            <v>0.26090735299515344</v>
          </cell>
        </row>
        <row r="7">
          <cell r="M7">
            <v>0.30484362093174178</v>
          </cell>
        </row>
        <row r="8">
          <cell r="M8">
            <v>0.33097953272659097</v>
          </cell>
        </row>
      </sheetData>
      <sheetData sheetId="4">
        <row r="5">
          <cell r="L5">
            <v>0.19127014993844793</v>
          </cell>
        </row>
        <row r="6">
          <cell r="L6">
            <v>0.21836049149001174</v>
          </cell>
        </row>
        <row r="7">
          <cell r="L7">
            <v>0.24687664049165789</v>
          </cell>
        </row>
        <row r="8">
          <cell r="L8">
            <v>0.26383974614531641</v>
          </cell>
        </row>
      </sheetData>
      <sheetData sheetId="5">
        <row r="5">
          <cell r="Q5">
            <v>0.23538422098534853</v>
          </cell>
          <cell r="R5">
            <v>0.2979113459497082</v>
          </cell>
          <cell r="W5">
            <v>1.3076901165852697</v>
          </cell>
        </row>
        <row r="6">
          <cell r="Q6">
            <v>0.26396121906024711</v>
          </cell>
          <cell r="R6">
            <v>0.37463866868448187</v>
          </cell>
          <cell r="W6">
            <v>1.3892695740013006</v>
          </cell>
        </row>
        <row r="7">
          <cell r="Q7">
            <v>0.29404226966540348</v>
          </cell>
          <cell r="R7">
            <v>0.46489179720255736</v>
          </cell>
          <cell r="W7">
            <v>1.400201284120969</v>
          </cell>
        </row>
        <row r="8">
          <cell r="Q8">
            <v>0.29484546616440754</v>
          </cell>
          <cell r="R8">
            <v>0.46743503323046587</v>
          </cell>
          <cell r="W8">
            <v>1.1340210237092598</v>
          </cell>
        </row>
      </sheetData>
      <sheetData sheetId="6">
        <row r="5">
          <cell r="L5">
            <v>0.17475061717828932</v>
          </cell>
        </row>
        <row r="6">
          <cell r="L6">
            <v>0.19789010468980636</v>
          </cell>
        </row>
        <row r="7">
          <cell r="L7">
            <v>0.22224745996508746</v>
          </cell>
        </row>
        <row r="8">
          <cell r="L8">
            <v>0.23673666714921462</v>
          </cell>
        </row>
      </sheetData>
      <sheetData sheetId="7">
        <row r="5">
          <cell r="L5">
            <v>0.32122604310317937</v>
          </cell>
        </row>
        <row r="6">
          <cell r="L6">
            <v>0.36597148836903443</v>
          </cell>
        </row>
        <row r="7">
          <cell r="L7">
            <v>0.41250311294003189</v>
          </cell>
        </row>
        <row r="8">
          <cell r="L8">
            <v>0.43997406077432616</v>
          </cell>
        </row>
      </sheetData>
      <sheetData sheetId="8">
        <row r="5">
          <cell r="L5">
            <v>0.24461149329923895</v>
          </cell>
        </row>
        <row r="6">
          <cell r="L6">
            <v>0.27430873529722954</v>
          </cell>
        </row>
        <row r="7">
          <cell r="L7">
            <v>0.30556899003195659</v>
          </cell>
        </row>
        <row r="8">
          <cell r="L8">
            <v>0.32416445338834615</v>
          </cell>
        </row>
      </sheetData>
      <sheetData sheetId="9">
        <row r="5">
          <cell r="L5">
            <v>0.20931733928830606</v>
          </cell>
        </row>
        <row r="6">
          <cell r="L6">
            <v>0.23869994199791661</v>
          </cell>
        </row>
        <row r="7">
          <cell r="L7">
            <v>0.26962899748171715</v>
          </cell>
        </row>
        <row r="8">
          <cell r="L8">
            <v>0.28802744377645673</v>
          </cell>
        </row>
      </sheetData>
      <sheetData sheetId="10">
        <row r="5">
          <cell r="L5">
            <v>0.16213680463533942</v>
          </cell>
        </row>
        <row r="6">
          <cell r="L6">
            <v>0.18329635356658616</v>
          </cell>
        </row>
        <row r="7">
          <cell r="L7">
            <v>0.20556956296789858</v>
          </cell>
        </row>
        <row r="8">
          <cell r="L8">
            <v>0.21881899592249263</v>
          </cell>
        </row>
      </sheetData>
      <sheetData sheetId="11">
        <row r="5">
          <cell r="L5">
            <v>0.2604569154122805</v>
          </cell>
        </row>
        <row r="6">
          <cell r="L6">
            <v>0.29207788277862762</v>
          </cell>
        </row>
        <row r="7">
          <cell r="L7">
            <v>0.32536311158530884</v>
          </cell>
        </row>
        <row r="8">
          <cell r="L8">
            <v>0.34516315025537397</v>
          </cell>
        </row>
      </sheetData>
      <sheetData sheetId="12">
        <row r="5">
          <cell r="L5">
            <v>0.28260220590087787</v>
          </cell>
        </row>
        <row r="6">
          <cell r="L6">
            <v>0.33154073387908439</v>
          </cell>
        </row>
        <row r="7">
          <cell r="L7">
            <v>0.38435328221341958</v>
          </cell>
        </row>
        <row r="8">
          <cell r="L8">
            <v>0.41640099019753685</v>
          </cell>
        </row>
      </sheetData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ma Araujo" id="{AE622A8B-55F6-43E6-89DB-08DBBC183837}" userId="f49c76fb860dcad5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07-25T14:22:58.68" personId="{AE622A8B-55F6-43E6-89DB-08DBBC183837}" id="{E472DBAE-0A94-4A86-9F66-34B138E798B1}">
    <text>Adotado conforme sugestão de  Holmberg and Lindgren (1970). Holmberg Å, Lindgren S. Crack spacing and crack widths due to normal
force or bending moment. Stockholm: National Swedish Council for Building
Research, 1970;
Acef = b*2*d'</text>
  </threadedComment>
  <threadedComment ref="I2" dT="2025-07-25T14:44:10.58" personId="{AE622A8B-55F6-43E6-89DB-08DBBC183837}" id="{2582184B-879D-4E6A-B109-6D52B54436DF}">
    <text>Valor calculado analiticamente no estádio II</text>
  </threadedComment>
  <threadedComment ref="J2" dT="2025-07-25T14:43:33.28" personId="{AE622A8B-55F6-43E6-89DB-08DBBC183837}" id="{95F761DD-9748-40B1-9011-F8293D5BB53B}">
    <text>Valores entre 0,15-0,2 mm e 0,8 mm para considerar apenas a fissuração estabilizada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5-07-25T14:22:58.68" personId="{AE622A8B-55F6-43E6-89DB-08DBBC183837}" id="{B91A47BF-5AD0-4BED-832E-20A0590E2103}">
    <text>Adotado conforme sugestão de  Holmberg and Lindgren (1970). Holmberg Å, Lindgren S. Crack spacing and crack widths due to normal
force or bending moment. Stockholm: National Swedish Council for Building
Research, 1970;
Acef = b*2*d'</text>
  </threadedComment>
  <threadedComment ref="I2" dT="2025-07-25T14:44:10.58" personId="{AE622A8B-55F6-43E6-89DB-08DBBC183837}" id="{C0F1711B-0348-4CF9-A596-37D134BBAD4F}">
    <text>Valor calculado analiticamente no estádio II</text>
  </threadedComment>
  <threadedComment ref="J2" dT="2025-07-25T14:43:33.28" personId="{AE622A8B-55F6-43E6-89DB-08DBBC183837}" id="{3EC07765-3642-43AE-BCC5-EAB55673308A}">
    <text>Valores entre 0,15-0,2 mm e 0,8 mm para considerar apenas a fissuração estabilizada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" dT="2025-07-25T14:22:58.68" personId="{AE622A8B-55F6-43E6-89DB-08DBBC183837}" id="{EC3DE151-3C8A-4BFB-BEAE-6AA7A8464D04}">
    <text>Adotado conforme sugestão de  Holmberg and Lindgren (1970). Holmberg Å, Lindgren S. Crack spacing and crack widths due to normal
force or bending moment. Stockholm: National Swedish Council for Building
Research, 1970;
Acef = b*2*d'</text>
  </threadedComment>
  <threadedComment ref="I2" dT="2025-07-25T14:44:10.58" personId="{AE622A8B-55F6-43E6-89DB-08DBBC183837}" id="{095AEC1E-703F-45A6-93CF-A03070E60CE8}">
    <text>Valor calculado analiticamente no estádio II</text>
  </threadedComment>
  <threadedComment ref="J2" dT="2025-07-25T14:43:33.28" personId="{AE622A8B-55F6-43E6-89DB-08DBBC183837}" id="{E3986AF4-CE31-4DEA-957E-0E06AF483370}">
    <text>Valores entre 0,15-0,2 mm e 0,8 mm para considerar apenas a fissuração estabilizada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AD7E-C5D8-44B0-A0EE-502733B6B444}">
  <dimension ref="A1:BY363"/>
  <sheetViews>
    <sheetView zoomScale="120" zoomScaleNormal="120" workbookViewId="0">
      <pane xSplit="1" ySplit="2" topLeftCell="B307" activePane="bottomRight" state="frozen"/>
      <selection pane="topRight" activeCell="B1" sqref="B1"/>
      <selection pane="bottomLeft" activeCell="A3" sqref="A3"/>
      <selection pane="bottomRight" activeCell="AB301" sqref="AB301"/>
    </sheetView>
  </sheetViews>
  <sheetFormatPr defaultRowHeight="13.2"/>
  <cols>
    <col min="1" max="1" width="30.5546875" style="63" customWidth="1"/>
    <col min="2" max="4" width="17.5546875" customWidth="1"/>
    <col min="5" max="6" width="19.33203125" customWidth="1"/>
    <col min="7" max="8" width="19.33203125" style="1" customWidth="1"/>
    <col min="9" max="9" width="19.33203125" customWidth="1"/>
    <col min="10" max="10" width="12.21875" style="1" bestFit="1" customWidth="1"/>
    <col min="11" max="11" width="14.21875" customWidth="1"/>
    <col min="12" max="12" width="8.88671875" customWidth="1"/>
    <col min="13" max="13" width="11.88671875" customWidth="1"/>
    <col min="14" max="14" width="12.77734375" customWidth="1"/>
    <col min="15" max="15" width="8.88671875" customWidth="1"/>
    <col min="16" max="16" width="11.88671875" customWidth="1"/>
    <col min="17" max="18" width="8.88671875" customWidth="1"/>
    <col min="19" max="19" width="12.21875" customWidth="1"/>
    <col min="20" max="20" width="23.77734375" customWidth="1"/>
    <col min="21" max="21" width="26.109375" customWidth="1"/>
    <col min="22" max="22" width="8.88671875" customWidth="1"/>
    <col min="23" max="29" width="12" customWidth="1"/>
    <col min="30" max="30" width="13.33203125" style="16" customWidth="1"/>
    <col min="31" max="31" width="9.5546875" style="16" bestFit="1" customWidth="1"/>
    <col min="32" max="32" width="12.6640625" style="16" customWidth="1"/>
    <col min="33" max="33" width="12.5546875" style="16" customWidth="1"/>
    <col min="34" max="34" width="9.5546875" style="16" bestFit="1" customWidth="1"/>
    <col min="35" max="35" width="13.5546875" style="16" customWidth="1"/>
    <col min="36" max="37" width="8.88671875" style="16"/>
    <col min="38" max="38" width="12.21875" style="16" customWidth="1"/>
    <col min="39" max="39" width="22.77734375" style="16" customWidth="1"/>
    <col min="40" max="40" width="25.5546875" style="16" customWidth="1"/>
    <col min="41" max="41" width="8.88671875" style="16"/>
    <col min="42" max="42" width="11.33203125" style="16" customWidth="1"/>
    <col min="43" max="44" width="8.88671875" style="16"/>
    <col min="45" max="45" width="12.77734375" style="16" customWidth="1"/>
    <col min="46" max="47" width="8.88671875" style="16"/>
    <col min="48" max="48" width="13.5546875" style="16" customWidth="1"/>
    <col min="49" max="49" width="16.44140625" style="16" customWidth="1"/>
    <col min="50" max="50" width="8.88671875" style="16"/>
    <col min="51" max="51" width="11.109375" style="16" customWidth="1"/>
    <col min="52" max="53" width="8.88671875" style="16"/>
    <col min="54" max="54" width="12.5546875" style="16" customWidth="1"/>
    <col min="55" max="56" width="8.88671875" style="16"/>
    <col min="57" max="60" width="12.5546875" style="16" customWidth="1"/>
    <col min="61" max="61" width="8.88671875" style="16"/>
    <col min="63" max="66" width="11.21875" customWidth="1"/>
    <col min="67" max="67" width="12.5546875" customWidth="1"/>
    <col min="71" max="71" width="15.21875" customWidth="1"/>
    <col min="73" max="73" width="13.77734375" customWidth="1"/>
    <col min="75" max="75" width="24.109375" customWidth="1"/>
    <col min="77" max="77" width="15.6640625" customWidth="1"/>
  </cols>
  <sheetData>
    <row r="1" spans="1:77" s="1" customFormat="1" ht="30.6" customHeight="1">
      <c r="A1" s="94" t="s">
        <v>15</v>
      </c>
      <c r="B1" s="100" t="s">
        <v>43</v>
      </c>
      <c r="C1" s="101"/>
      <c r="D1" s="101"/>
      <c r="E1" s="101"/>
      <c r="F1" s="101"/>
      <c r="G1" s="101"/>
      <c r="H1" s="101"/>
      <c r="I1" s="101"/>
      <c r="J1" s="24" t="s">
        <v>42</v>
      </c>
      <c r="K1" s="95" t="s">
        <v>41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5" t="s">
        <v>71</v>
      </c>
      <c r="Y1" s="96"/>
      <c r="Z1" s="106"/>
      <c r="AA1" s="95" t="s">
        <v>101</v>
      </c>
      <c r="AB1" s="96"/>
      <c r="AC1" s="106"/>
      <c r="AD1" s="97" t="s">
        <v>21</v>
      </c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9"/>
      <c r="AQ1" s="91" t="s">
        <v>22</v>
      </c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80"/>
      <c r="BG1" s="80"/>
      <c r="BH1" s="80"/>
      <c r="BI1" s="84" t="s">
        <v>71</v>
      </c>
      <c r="BJ1" s="84"/>
      <c r="BK1" s="84"/>
      <c r="BL1" s="83" t="s">
        <v>101</v>
      </c>
      <c r="BM1" s="83"/>
      <c r="BN1" s="83"/>
      <c r="BO1" s="50" t="s">
        <v>107</v>
      </c>
      <c r="BS1" s="50" t="s">
        <v>53</v>
      </c>
      <c r="BU1" s="50" t="s">
        <v>55</v>
      </c>
      <c r="BW1" s="50" t="s">
        <v>70</v>
      </c>
      <c r="BY1" s="50"/>
    </row>
    <row r="2" spans="1:77" s="1" customFormat="1" ht="42.6" customHeight="1">
      <c r="A2" s="94"/>
      <c r="B2" s="3" t="s">
        <v>44</v>
      </c>
      <c r="C2" s="3" t="s">
        <v>82</v>
      </c>
      <c r="D2" s="3" t="s">
        <v>83</v>
      </c>
      <c r="E2" s="3" t="s">
        <v>48</v>
      </c>
      <c r="F2" s="3" t="s">
        <v>45</v>
      </c>
      <c r="G2" s="3" t="s">
        <v>57</v>
      </c>
      <c r="H2" s="3" t="s">
        <v>47</v>
      </c>
      <c r="I2" s="3" t="s">
        <v>46</v>
      </c>
      <c r="J2" s="3" t="s">
        <v>10</v>
      </c>
      <c r="K2" s="3" t="s">
        <v>2</v>
      </c>
      <c r="L2" s="3" t="s">
        <v>13</v>
      </c>
      <c r="M2" s="3" t="s">
        <v>37</v>
      </c>
      <c r="N2" s="3" t="s">
        <v>3</v>
      </c>
      <c r="O2" s="3" t="s">
        <v>13</v>
      </c>
      <c r="P2" s="3" t="s">
        <v>37</v>
      </c>
      <c r="Q2" s="3" t="s">
        <v>4</v>
      </c>
      <c r="R2" s="3" t="s">
        <v>13</v>
      </c>
      <c r="S2" s="3" t="s">
        <v>37</v>
      </c>
      <c r="T2" s="3" t="s">
        <v>17</v>
      </c>
      <c r="U2" s="3" t="s">
        <v>18</v>
      </c>
      <c r="V2" s="3" t="s">
        <v>13</v>
      </c>
      <c r="W2" s="3" t="s">
        <v>37</v>
      </c>
      <c r="X2" s="60" t="s">
        <v>92</v>
      </c>
      <c r="Y2" s="3" t="s">
        <v>13</v>
      </c>
      <c r="Z2" s="3" t="s">
        <v>37</v>
      </c>
      <c r="AA2" s="3" t="s">
        <v>102</v>
      </c>
      <c r="AB2" s="3" t="s">
        <v>13</v>
      </c>
      <c r="AC2" s="3" t="s">
        <v>37</v>
      </c>
      <c r="AD2" s="3" t="s">
        <v>2</v>
      </c>
      <c r="AE2" s="3" t="s">
        <v>14</v>
      </c>
      <c r="AF2" s="3" t="s">
        <v>40</v>
      </c>
      <c r="AG2" s="3" t="s">
        <v>3</v>
      </c>
      <c r="AH2" s="3" t="s">
        <v>14</v>
      </c>
      <c r="AI2" s="3" t="s">
        <v>40</v>
      </c>
      <c r="AJ2" s="3" t="s">
        <v>4</v>
      </c>
      <c r="AK2" s="3" t="s">
        <v>14</v>
      </c>
      <c r="AL2" s="3" t="s">
        <v>40</v>
      </c>
      <c r="AM2" s="3" t="s">
        <v>17</v>
      </c>
      <c r="AN2" s="3" t="s">
        <v>18</v>
      </c>
      <c r="AO2" s="3" t="s">
        <v>14</v>
      </c>
      <c r="AP2" s="3" t="s">
        <v>40</v>
      </c>
      <c r="AQ2" s="3" t="s">
        <v>5</v>
      </c>
      <c r="AR2" s="3" t="s">
        <v>13</v>
      </c>
      <c r="AS2" s="3" t="s">
        <v>37</v>
      </c>
      <c r="AT2" s="3" t="s">
        <v>6</v>
      </c>
      <c r="AU2" s="3" t="s">
        <v>13</v>
      </c>
      <c r="AV2" s="3" t="s">
        <v>37</v>
      </c>
      <c r="AW2" s="3" t="s">
        <v>11</v>
      </c>
      <c r="AX2" s="3" t="s">
        <v>13</v>
      </c>
      <c r="AY2" s="3" t="s">
        <v>37</v>
      </c>
      <c r="AZ2" s="3" t="s">
        <v>7</v>
      </c>
      <c r="BA2" s="3" t="s">
        <v>13</v>
      </c>
      <c r="BB2" s="3" t="s">
        <v>37</v>
      </c>
      <c r="BC2" s="3" t="s">
        <v>8</v>
      </c>
      <c r="BD2" s="3" t="s">
        <v>13</v>
      </c>
      <c r="BE2" s="3" t="s">
        <v>37</v>
      </c>
      <c r="BF2" s="3" t="s">
        <v>100</v>
      </c>
      <c r="BG2" s="3" t="s">
        <v>13</v>
      </c>
      <c r="BH2" s="3" t="s">
        <v>37</v>
      </c>
      <c r="BI2" s="60" t="s">
        <v>92</v>
      </c>
      <c r="BJ2" s="3" t="s">
        <v>13</v>
      </c>
      <c r="BK2" s="3" t="s">
        <v>37</v>
      </c>
      <c r="BL2" s="3" t="s">
        <v>102</v>
      </c>
      <c r="BM2" s="3" t="s">
        <v>13</v>
      </c>
      <c r="BN2" s="3" t="s">
        <v>37</v>
      </c>
      <c r="BS2" s="49" t="s">
        <v>52</v>
      </c>
      <c r="BU2" s="49" t="s">
        <v>54</v>
      </c>
      <c r="BW2" s="49" t="s">
        <v>84</v>
      </c>
      <c r="BY2" s="49"/>
    </row>
    <row r="3" spans="1:77" s="1" customFormat="1" ht="13.2" customHeight="1">
      <c r="A3" s="85" t="s">
        <v>87</v>
      </c>
      <c r="B3" s="43">
        <f>'[1]Dados de entrada'!$B$28</f>
        <v>10</v>
      </c>
      <c r="C3" s="43">
        <f>'[1]Dados de entrada'!$B$31</f>
        <v>2</v>
      </c>
      <c r="D3" s="43">
        <f>'[1]Dados de entrada'!$B$32</f>
        <v>192</v>
      </c>
      <c r="E3" s="44">
        <f>'[1]Dados de entrada'!$B$27</f>
        <v>4.0933129145061384</v>
      </c>
      <c r="F3" s="43">
        <f>'[1]Dados de entrada'!$B$30</f>
        <v>25</v>
      </c>
      <c r="G3" s="43">
        <f>'[1]Dados de entrada'!$B$22</f>
        <v>30</v>
      </c>
      <c r="H3" s="45">
        <f>'[1]Dados de entrada'!$B$29/(2*'[1]Dados de entrada'!$B$20*G3)</f>
        <v>9.8600508905852414E-3</v>
      </c>
      <c r="I3" s="26" cm="1">
        <f t="array" ref="I3:I8">'[1]Dados de entrada'!$E$7:$E$12</f>
        <v>329</v>
      </c>
      <c r="J3" s="68" cm="1">
        <f t="array" ref="J3:J8">'[1]Dados de entrada'!$C$7:$C$12</f>
        <v>0.16</v>
      </c>
      <c r="K3" s="19" cm="1">
        <f t="array" ref="K3:K8">'[1]fib Model Code 2010'!$F$5:$F$10</f>
        <v>0.10559302641079357</v>
      </c>
      <c r="L3" s="19">
        <f t="shared" ref="L3:L27" si="0">K3/J3</f>
        <v>0.65995641506745983</v>
      </c>
      <c r="M3" s="19">
        <f t="shared" ref="M3:M27" si="1">LN(L3)</f>
        <v>-0.41558148391883182</v>
      </c>
      <c r="N3" s="19" cm="1">
        <f t="array" ref="N3:N8">'[1]fib Model Code 2020'!$F$5:$F$10</f>
        <v>0.13510490358009053</v>
      </c>
      <c r="O3" s="19">
        <f t="shared" ref="O3:O27" si="2">N3/J3</f>
        <v>0.84440564737556578</v>
      </c>
      <c r="P3" s="19">
        <f t="shared" ref="P3:P27" si="3">LN(O3)</f>
        <v>-0.16912227499674348</v>
      </c>
      <c r="Q3" s="19" cm="1">
        <f t="array" ref="Q3:Q8">'[1]Eurocode 2'!$F$5:$F$10</f>
        <v>0.25661111078622123</v>
      </c>
      <c r="R3" s="19">
        <f t="shared" ref="R3:R27" si="4">Q3/J3</f>
        <v>1.6038194424138827</v>
      </c>
      <c r="S3" s="19">
        <f t="shared" ref="S3:S27" si="5">LN(R3)</f>
        <v>0.47238793603453505</v>
      </c>
      <c r="T3" s="19" cm="1">
        <f t="array" ref="T3:T8">'[1]NBR 6118'!$F$5:$F$10</f>
        <v>0.35473431521080895</v>
      </c>
      <c r="U3" s="19" cm="1">
        <f t="array" ref="U3:U8">'[1]NBR 6118'!$G$5:$G$10</f>
        <v>0.14103132240086347</v>
      </c>
      <c r="V3" s="19" cm="1">
        <f t="array" ref="V3:V8">'[1]NBR 6118'!$L$5:$L$10</f>
        <v>0.88144576500539662</v>
      </c>
      <c r="W3" s="19">
        <f t="shared" ref="W3:W27" si="6">LN(V3)</f>
        <v>-0.12619180483916118</v>
      </c>
      <c r="X3" s="19" cm="1">
        <f t="array" ref="X3:X8">[1]Sugestão!$G$5:$G$10</f>
        <v>0.23391556362468452</v>
      </c>
      <c r="Y3" s="19">
        <f>X3/J3</f>
        <v>1.4619722726542783</v>
      </c>
      <c r="Z3" s="19">
        <f t="shared" ref="Z3:Z8" si="7">LN(Y3)</f>
        <v>0.37978639579499135</v>
      </c>
      <c r="AA3" s="19" cm="1">
        <f t="array" ref="AA3:AA8">'[1]fib Model Code 2020 modificado'!$F$5:$F$10</f>
        <v>0.17169108159662622</v>
      </c>
      <c r="AB3" s="19">
        <f>AA3/J3</f>
        <v>1.0730692599789138</v>
      </c>
      <c r="AC3" s="19">
        <f t="shared" ref="AC3" si="8">LN(AB3)</f>
        <v>7.0523009542050902E-2</v>
      </c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72"/>
      <c r="BJ3" s="67"/>
      <c r="BK3" s="67"/>
      <c r="BL3" s="67"/>
      <c r="BM3" s="67"/>
      <c r="BN3" s="67"/>
      <c r="BS3" t="b">
        <f>IF(AND(B3&lt;=12.7,F3&lt;=45),TRUE,FALSE)</f>
        <v>1</v>
      </c>
      <c r="BT3"/>
      <c r="BU3" t="b">
        <f>IF(AND(B3&gt;12.7,F3&lt;=45),TRUE,FALSE)</f>
        <v>0</v>
      </c>
      <c r="BV3"/>
      <c r="BW3" t="b">
        <f>IF(AND(F3&lt;=45,C3&gt;1),TRUE,FALSE)</f>
        <v>1</v>
      </c>
      <c r="BY3" s="49"/>
    </row>
    <row r="4" spans="1:77" s="1" customFormat="1">
      <c r="A4" s="90"/>
      <c r="B4" s="43">
        <f>'[1]Dados de entrada'!$B$28</f>
        <v>10</v>
      </c>
      <c r="C4" s="43">
        <f>'[1]Dados de entrada'!$B$31</f>
        <v>2</v>
      </c>
      <c r="D4" s="43">
        <f>'[1]Dados de entrada'!$B$32</f>
        <v>192</v>
      </c>
      <c r="E4" s="44">
        <f>'[1]Dados de entrada'!$B$27</f>
        <v>4.0933129145061384</v>
      </c>
      <c r="F4" s="43">
        <f>'[1]Dados de entrada'!$B$30</f>
        <v>25</v>
      </c>
      <c r="G4" s="43">
        <f>'[1]Dados de entrada'!$B$22</f>
        <v>30</v>
      </c>
      <c r="H4" s="45">
        <f>'[1]Dados de entrada'!$B$29/(2*'[1]Dados de entrada'!$B$20*G4)</f>
        <v>9.8600508905852414E-3</v>
      </c>
      <c r="I4" s="67">
        <v>355</v>
      </c>
      <c r="J4" s="67">
        <v>0.18</v>
      </c>
      <c r="K4" s="19">
        <v>0.14926431592316147</v>
      </c>
      <c r="L4" s="19">
        <f t="shared" si="0"/>
        <v>0.82924619957311929</v>
      </c>
      <c r="M4" s="19">
        <f t="shared" si="1"/>
        <v>-0.18723818413428109</v>
      </c>
      <c r="N4" s="19">
        <v>0.14578188684173904</v>
      </c>
      <c r="O4" s="19">
        <f t="shared" si="2"/>
        <v>0.80989937134299472</v>
      </c>
      <c r="P4" s="19">
        <f t="shared" si="3"/>
        <v>-0.21084527194308281</v>
      </c>
      <c r="Q4" s="19">
        <v>0.2768904082951627</v>
      </c>
      <c r="R4" s="19">
        <f t="shared" si="4"/>
        <v>1.5382800460842374</v>
      </c>
      <c r="S4" s="19">
        <f t="shared" si="5"/>
        <v>0.43066493908819548</v>
      </c>
      <c r="T4" s="19">
        <v>0.38276803009069049</v>
      </c>
      <c r="U4" s="19">
        <v>0.16420277349219628</v>
      </c>
      <c r="V4" s="19">
        <v>0.91223763051220164</v>
      </c>
      <c r="W4" s="19">
        <f t="shared" si="6"/>
        <v>-9.1854763075456744E-2</v>
      </c>
      <c r="X4" s="19">
        <v>0.27234789872415133</v>
      </c>
      <c r="Y4" s="19">
        <f t="shared" ref="Y4:Y8" si="9">X4/J4</f>
        <v>1.5130438818008407</v>
      </c>
      <c r="Z4" s="19">
        <f t="shared" si="7"/>
        <v>0.41412343755869557</v>
      </c>
      <c r="AA4" s="19">
        <v>0.18630983572241328</v>
      </c>
      <c r="AB4" s="19">
        <f t="shared" ref="AB4:AB48" si="10">AA4/J4</f>
        <v>1.035054642902296</v>
      </c>
      <c r="AC4" s="19">
        <f t="shared" ref="AC4:AC48" si="11">LN(AB4)</f>
        <v>3.4454220398403602E-2</v>
      </c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72"/>
      <c r="BJ4" s="67"/>
      <c r="BK4" s="67"/>
      <c r="BL4" s="67"/>
      <c r="BM4" s="67"/>
      <c r="BN4" s="67"/>
      <c r="BS4" t="b">
        <f t="shared" ref="BS4:BS67" si="12">IF(AND(B4&lt;=12.7,F4&lt;=45),TRUE,FALSE)</f>
        <v>1</v>
      </c>
      <c r="BT4"/>
      <c r="BU4" t="b">
        <f t="shared" ref="BU4:BU67" si="13">IF(AND(B4&gt;12.7,F4&lt;=45),TRUE,FALSE)</f>
        <v>0</v>
      </c>
      <c r="BV4"/>
      <c r="BW4" t="b">
        <f t="shared" ref="BW4:BW67" si="14">IF(AND(F4&lt;=45,C4&gt;1),TRUE,FALSE)</f>
        <v>1</v>
      </c>
      <c r="BY4" s="49"/>
    </row>
    <row r="5" spans="1:77" s="1" customFormat="1">
      <c r="A5" s="90"/>
      <c r="B5" s="43">
        <f>'[1]Dados de entrada'!$B$28</f>
        <v>10</v>
      </c>
      <c r="C5" s="43">
        <f>'[1]Dados de entrada'!$B$31</f>
        <v>2</v>
      </c>
      <c r="D5" s="43">
        <f>'[1]Dados de entrada'!$B$32</f>
        <v>192</v>
      </c>
      <c r="E5" s="44">
        <f>'[1]Dados de entrada'!$B$27</f>
        <v>4.0933129145061384</v>
      </c>
      <c r="F5" s="43">
        <f>'[1]Dados de entrada'!$B$30</f>
        <v>25</v>
      </c>
      <c r="G5" s="43">
        <f>'[1]Dados de entrada'!$B$22</f>
        <v>30</v>
      </c>
      <c r="H5" s="45">
        <f>'[1]Dados de entrada'!$B$29/(2*'[1]Dados de entrada'!$B$20*G5)</f>
        <v>9.8600508905852414E-3</v>
      </c>
      <c r="I5" s="67">
        <v>387</v>
      </c>
      <c r="J5" s="67">
        <v>0.19</v>
      </c>
      <c r="K5" s="19">
        <v>0.20301359532299887</v>
      </c>
      <c r="L5" s="19">
        <f t="shared" si="0"/>
        <v>1.068492606963152</v>
      </c>
      <c r="M5" s="19">
        <f t="shared" si="1"/>
        <v>6.6248876673251814E-2</v>
      </c>
      <c r="N5" s="19">
        <v>0.17816486794489414</v>
      </c>
      <c r="O5" s="19">
        <f t="shared" si="2"/>
        <v>0.9377098312889165</v>
      </c>
      <c r="P5" s="19">
        <f t="shared" si="3"/>
        <v>-6.4314726140028908E-2</v>
      </c>
      <c r="Q5" s="19">
        <v>0.30184954369078304</v>
      </c>
      <c r="R5" s="19">
        <f t="shared" si="4"/>
        <v>1.5886818088988581</v>
      </c>
      <c r="S5" s="19">
        <f t="shared" si="5"/>
        <v>0.46290462137228572</v>
      </c>
      <c r="T5" s="19">
        <v>0.41727106378900625</v>
      </c>
      <c r="U5" s="19">
        <v>0.19513973563303111</v>
      </c>
      <c r="V5" s="19">
        <v>1.0270512401738479</v>
      </c>
      <c r="W5" s="19">
        <f t="shared" si="6"/>
        <v>2.6691822762999376E-2</v>
      </c>
      <c r="X5" s="19">
        <v>0.32960484603062934</v>
      </c>
      <c r="Y5" s="19">
        <f t="shared" si="9"/>
        <v>1.7347623475296281</v>
      </c>
      <c r="Z5" s="19">
        <f t="shared" si="7"/>
        <v>0.55087042852957768</v>
      </c>
      <c r="AA5" s="19">
        <v>0.22375545760782128</v>
      </c>
      <c r="AB5" s="19">
        <f t="shared" si="10"/>
        <v>1.1776603031990593</v>
      </c>
      <c r="AC5" s="19">
        <f t="shared" si="11"/>
        <v>0.16352967624034506</v>
      </c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72"/>
      <c r="BJ5" s="67"/>
      <c r="BK5" s="67"/>
      <c r="BL5" s="67"/>
      <c r="BM5" s="67"/>
      <c r="BN5" s="67"/>
      <c r="BS5" t="b">
        <f t="shared" si="12"/>
        <v>1</v>
      </c>
      <c r="BT5"/>
      <c r="BU5" t="b">
        <f t="shared" si="13"/>
        <v>0</v>
      </c>
      <c r="BV5"/>
      <c r="BW5" t="b">
        <f t="shared" si="14"/>
        <v>1</v>
      </c>
      <c r="BY5" s="49"/>
    </row>
    <row r="6" spans="1:77" s="1" customFormat="1">
      <c r="A6" s="90"/>
      <c r="B6" s="43">
        <f>'[1]Dados de entrada'!$B$28</f>
        <v>10</v>
      </c>
      <c r="C6" s="43">
        <f>'[1]Dados de entrada'!$B$31</f>
        <v>2</v>
      </c>
      <c r="D6" s="43">
        <f>'[1]Dados de entrada'!$B$32</f>
        <v>192</v>
      </c>
      <c r="E6" s="44">
        <f>'[1]Dados de entrada'!$B$27</f>
        <v>4.0933129145061384</v>
      </c>
      <c r="F6" s="43">
        <f>'[1]Dados de entrada'!$B$30</f>
        <v>25</v>
      </c>
      <c r="G6" s="43">
        <f>'[1]Dados de entrada'!$B$22</f>
        <v>30</v>
      </c>
      <c r="H6" s="45">
        <f>'[1]Dados de entrada'!$B$29/(2*'[1]Dados de entrada'!$B$20*G6)</f>
        <v>9.8600508905852414E-3</v>
      </c>
      <c r="I6" s="67">
        <v>423</v>
      </c>
      <c r="J6" s="67">
        <v>0.24</v>
      </c>
      <c r="K6" s="19">
        <v>0.26348153464781598</v>
      </c>
      <c r="L6" s="19">
        <f t="shared" si="0"/>
        <v>1.0978397276992333</v>
      </c>
      <c r="M6" s="19">
        <f t="shared" si="1"/>
        <v>9.3344364946011407E-2</v>
      </c>
      <c r="N6" s="19">
        <v>0.21512365615829276</v>
      </c>
      <c r="O6" s="19">
        <f t="shared" si="2"/>
        <v>0.89634856732621992</v>
      </c>
      <c r="P6" s="19">
        <f t="shared" si="3"/>
        <v>-0.10942591562448695</v>
      </c>
      <c r="Q6" s="19">
        <v>0.32992857101085588</v>
      </c>
      <c r="R6" s="19">
        <f t="shared" si="4"/>
        <v>1.3747023792118995</v>
      </c>
      <c r="S6" s="19">
        <f t="shared" si="5"/>
        <v>0.31823725620727678</v>
      </c>
      <c r="T6" s="19">
        <v>0.45608697669961157</v>
      </c>
      <c r="U6" s="19">
        <v>0.23313341049938655</v>
      </c>
      <c r="V6" s="19">
        <v>0.97138921041411064</v>
      </c>
      <c r="W6" s="19">
        <f t="shared" si="6"/>
        <v>-2.9028056385513337E-2</v>
      </c>
      <c r="X6" s="19">
        <v>0.39424128214962445</v>
      </c>
      <c r="Y6" s="19">
        <f t="shared" si="9"/>
        <v>1.6426720089567686</v>
      </c>
      <c r="Z6" s="19">
        <f t="shared" si="7"/>
        <v>0.49632418976364556</v>
      </c>
      <c r="AA6" s="19">
        <v>0.26668832243102214</v>
      </c>
      <c r="AB6" s="19">
        <f t="shared" si="10"/>
        <v>1.1112013434625923</v>
      </c>
      <c r="AC6" s="19">
        <f t="shared" si="11"/>
        <v>0.10544172147687755</v>
      </c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72"/>
      <c r="BJ6" s="67"/>
      <c r="BK6" s="67"/>
      <c r="BL6" s="67"/>
      <c r="BM6" s="67"/>
      <c r="BN6" s="67"/>
      <c r="BS6" t="b">
        <f t="shared" si="12"/>
        <v>1</v>
      </c>
      <c r="BT6"/>
      <c r="BU6" t="b">
        <f t="shared" si="13"/>
        <v>0</v>
      </c>
      <c r="BV6"/>
      <c r="BW6" t="b">
        <f t="shared" si="14"/>
        <v>1</v>
      </c>
      <c r="BY6" s="49"/>
    </row>
    <row r="7" spans="1:77" s="1" customFormat="1">
      <c r="A7" s="90"/>
      <c r="B7" s="43">
        <f>'[1]Dados de entrada'!$B$28</f>
        <v>10</v>
      </c>
      <c r="C7" s="43">
        <f>'[1]Dados de entrada'!$B$31</f>
        <v>2</v>
      </c>
      <c r="D7" s="43">
        <f>'[1]Dados de entrada'!$B$32</f>
        <v>192</v>
      </c>
      <c r="E7" s="44">
        <f>'[1]Dados de entrada'!$B$27</f>
        <v>4.0933129145061384</v>
      </c>
      <c r="F7" s="43">
        <f>'[1]Dados de entrada'!$B$30</f>
        <v>25</v>
      </c>
      <c r="G7" s="43">
        <f>'[1]Dados de entrada'!$B$22</f>
        <v>30</v>
      </c>
      <c r="H7" s="45">
        <f>'[1]Dados de entrada'!$B$29/(2*'[1]Dados de entrada'!$B$20*G7)</f>
        <v>9.8600508905852414E-3</v>
      </c>
      <c r="I7" s="67">
        <v>463</v>
      </c>
      <c r="J7" s="67">
        <v>0.27</v>
      </c>
      <c r="K7" s="19">
        <v>0.33066813389761274</v>
      </c>
      <c r="L7" s="19">
        <f t="shared" si="0"/>
        <v>1.2246967922133805</v>
      </c>
      <c r="M7" s="19">
        <f t="shared" si="1"/>
        <v>0.2026932967989051</v>
      </c>
      <c r="N7" s="19">
        <v>0.25618897639540233</v>
      </c>
      <c r="O7" s="19">
        <f t="shared" si="2"/>
        <v>0.94884806072371231</v>
      </c>
      <c r="P7" s="19">
        <f t="shared" si="3"/>
        <v>-5.2506597801793481E-2</v>
      </c>
      <c r="Q7" s="19">
        <v>0.36112749025538121</v>
      </c>
      <c r="R7" s="19">
        <f t="shared" si="4"/>
        <v>1.3375092231680785</v>
      </c>
      <c r="S7" s="19">
        <f t="shared" si="5"/>
        <v>0.29080909559084922</v>
      </c>
      <c r="T7" s="19">
        <v>0.49921576882250623</v>
      </c>
      <c r="U7" s="19">
        <v>0.27930953660582125</v>
      </c>
      <c r="V7" s="19">
        <v>1.0344797652067452</v>
      </c>
      <c r="W7" s="19">
        <f t="shared" si="6"/>
        <v>3.3898658038015173E-2</v>
      </c>
      <c r="X7" s="19">
        <v>0.46605954450406362</v>
      </c>
      <c r="Y7" s="19">
        <f t="shared" si="9"/>
        <v>1.7261464611261614</v>
      </c>
      <c r="Z7" s="19">
        <f t="shared" si="7"/>
        <v>0.54589144487008567</v>
      </c>
      <c r="AA7" s="19">
        <v>0.31473748653951905</v>
      </c>
      <c r="AB7" s="19">
        <f t="shared" si="10"/>
        <v>1.1656943945908111</v>
      </c>
      <c r="AC7" s="19">
        <f t="shared" si="11"/>
        <v>0.15331695631135484</v>
      </c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72"/>
      <c r="BJ7" s="67"/>
      <c r="BK7" s="67"/>
      <c r="BL7" s="67"/>
      <c r="BM7" s="67"/>
      <c r="BN7" s="67"/>
      <c r="BS7" t="b">
        <f t="shared" si="12"/>
        <v>1</v>
      </c>
      <c r="BT7"/>
      <c r="BU7" t="b">
        <f t="shared" si="13"/>
        <v>0</v>
      </c>
      <c r="BV7"/>
      <c r="BW7" t="b">
        <f t="shared" si="14"/>
        <v>1</v>
      </c>
      <c r="BY7" s="49"/>
    </row>
    <row r="8" spans="1:77" s="1" customFormat="1">
      <c r="A8" s="86"/>
      <c r="B8" s="43">
        <f>'[1]Dados de entrada'!$B$28</f>
        <v>10</v>
      </c>
      <c r="C8" s="43">
        <f>'[1]Dados de entrada'!$B$31</f>
        <v>2</v>
      </c>
      <c r="D8" s="43">
        <f>'[1]Dados de entrada'!$B$32</f>
        <v>192</v>
      </c>
      <c r="E8" s="44">
        <f>'[1]Dados de entrada'!$B$27</f>
        <v>4.0933129145061384</v>
      </c>
      <c r="F8" s="43">
        <f>'[1]Dados de entrada'!$B$30</f>
        <v>25</v>
      </c>
      <c r="G8" s="43">
        <f>'[1]Dados de entrada'!$B$22</f>
        <v>30</v>
      </c>
      <c r="H8" s="45">
        <f>'[1]Dados de entrada'!$B$29/(2*'[1]Dados de entrada'!$B$20*G8)</f>
        <v>9.8600508905852414E-3</v>
      </c>
      <c r="I8" s="67">
        <v>499</v>
      </c>
      <c r="J8" s="67">
        <v>0.31</v>
      </c>
      <c r="K8" s="19">
        <v>0.39113607322242983</v>
      </c>
      <c r="L8" s="19">
        <f t="shared" si="0"/>
        <v>1.261729268459451</v>
      </c>
      <c r="M8" s="19">
        <f t="shared" si="1"/>
        <v>0.23248321532016963</v>
      </c>
      <c r="N8" s="19">
        <v>0.29314776460880099</v>
      </c>
      <c r="O8" s="19">
        <f t="shared" si="2"/>
        <v>0.94563795035097098</v>
      </c>
      <c r="P8" s="19">
        <f t="shared" si="3"/>
        <v>-5.5895499515742311E-2</v>
      </c>
      <c r="Q8" s="19">
        <v>0.38920651757545405</v>
      </c>
      <c r="R8" s="19">
        <f t="shared" si="4"/>
        <v>1.2555048954046906</v>
      </c>
      <c r="S8" s="19">
        <f t="shared" si="5"/>
        <v>0.22753779877531674</v>
      </c>
      <c r="T8" s="19">
        <v>0.53803168173311144</v>
      </c>
      <c r="U8" s="19">
        <v>0.32443288873104836</v>
      </c>
      <c r="V8" s="19">
        <v>1.0465577055840269</v>
      </c>
      <c r="W8" s="19">
        <f t="shared" si="6"/>
        <v>4.5506402887767423E-2</v>
      </c>
      <c r="X8" s="19">
        <v>0.51228986995794201</v>
      </c>
      <c r="Y8" s="19">
        <f t="shared" si="9"/>
        <v>1.6525479676062647</v>
      </c>
      <c r="Z8" s="19">
        <f t="shared" si="7"/>
        <v>0.5023183196181934</v>
      </c>
      <c r="AA8" s="19">
        <v>0.35829311711161255</v>
      </c>
      <c r="AB8" s="19">
        <f t="shared" si="10"/>
        <v>1.1557842487471373</v>
      </c>
      <c r="AC8" s="19">
        <f t="shared" si="11"/>
        <v>0.14477911679962602</v>
      </c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72"/>
      <c r="BJ8" s="67"/>
      <c r="BK8" s="67"/>
      <c r="BL8" s="67"/>
      <c r="BM8" s="67"/>
      <c r="BN8" s="67"/>
      <c r="BS8" t="b">
        <f t="shared" si="12"/>
        <v>1</v>
      </c>
      <c r="BT8"/>
      <c r="BU8" t="b">
        <f t="shared" si="13"/>
        <v>0</v>
      </c>
      <c r="BV8"/>
      <c r="BW8" t="b">
        <f t="shared" si="14"/>
        <v>1</v>
      </c>
      <c r="BY8" s="49"/>
    </row>
    <row r="9" spans="1:77" s="1" customFormat="1" ht="13.2" customHeight="1">
      <c r="A9" s="87" t="s">
        <v>88</v>
      </c>
      <c r="B9" s="37">
        <f>'[2]Dados de entrada'!$B$28</f>
        <v>20</v>
      </c>
      <c r="C9" s="37">
        <f>'[2]Dados de entrada'!$B$31</f>
        <v>2</v>
      </c>
      <c r="D9" s="37">
        <f>'[2]Dados de entrada'!$B$32</f>
        <v>126</v>
      </c>
      <c r="E9" s="41">
        <f>'[2]Dados de entrada'!$B$27</f>
        <v>4.1203405239014401</v>
      </c>
      <c r="F9" s="37">
        <f>'[2]Dados de entrada'!$B$30</f>
        <v>25</v>
      </c>
      <c r="G9" s="37">
        <f>'[2]Dados de entrada'!$B$22</f>
        <v>39</v>
      </c>
      <c r="H9" s="42">
        <f>'[2]Dados de entrada'!$B$29/(2*'[2]Dados de entrada'!$B$20*G9)</f>
        <v>3.7274453941120611E-2</v>
      </c>
      <c r="I9" s="25" cm="1">
        <f t="array" ref="I9:I14">'[2]fib Model Code 2010'!$K$5:$K$10</f>
        <v>231.81100493873356</v>
      </c>
      <c r="J9" s="73" cm="1">
        <f t="array" ref="J9:J14">'[2]Dados de entrada'!$C$7:$C$12</f>
        <v>0.16</v>
      </c>
      <c r="K9" s="4" cm="1">
        <f t="array" ref="K9:K14">'[2]fib Model Code 2010'!$F$5:$F$10</f>
        <v>0.12445287972943968</v>
      </c>
      <c r="L9" s="4">
        <f t="shared" si="0"/>
        <v>0.77783049830899798</v>
      </c>
      <c r="M9" s="4">
        <f t="shared" si="1"/>
        <v>-0.25124664703796618</v>
      </c>
      <c r="N9" s="4" cm="1">
        <f t="array" ref="N9:N14">'[2]fib Model Code 2020'!$F$5:$F$10</f>
        <v>8.4635219130967165E-2</v>
      </c>
      <c r="O9" s="4">
        <f t="shared" si="2"/>
        <v>0.52897011956854478</v>
      </c>
      <c r="P9" s="4">
        <f t="shared" si="3"/>
        <v>-0.63682333346671349</v>
      </c>
      <c r="Q9" s="4" cm="1">
        <f t="array" ref="Q9:Q14">'[2]Eurocode 2'!$F$5:$F$10</f>
        <v>0.12401497134919563</v>
      </c>
      <c r="R9" s="4">
        <f t="shared" si="4"/>
        <v>0.77509357093247266</v>
      </c>
      <c r="S9" s="4">
        <f t="shared" si="5"/>
        <v>-0.25477152022981575</v>
      </c>
      <c r="T9" s="4" cm="1">
        <f t="array" ref="T9:T14">'[2]NBR 6118'!$F$5:$F$10</f>
        <v>0.2448371556933677</v>
      </c>
      <c r="U9" s="4" cm="1">
        <f t="array" ref="U9:U14">'[2]NBR 6118'!$G$5:$G$10</f>
        <v>0.13694660996911431</v>
      </c>
      <c r="V9" s="4" cm="1">
        <f t="array" ref="V9:V14">'[2]NBR 6118'!$L$5:$L$10</f>
        <v>0.85591631230696441</v>
      </c>
      <c r="W9" s="4">
        <f t="shared" si="6"/>
        <v>-0.1555826736163384</v>
      </c>
      <c r="X9" s="4" cm="1">
        <f t="array" ref="X9:X14">[2]Sugestão!$G$5:$G$10</f>
        <v>9.991342684503042E-2</v>
      </c>
      <c r="Y9" s="4">
        <f t="shared" ref="Y9:Y14" si="15">X9/J9</f>
        <v>0.62445891778144014</v>
      </c>
      <c r="Z9" s="4">
        <f t="shared" ref="Z9:Z14" si="16">LN(Y9)</f>
        <v>-0.47086973575741597</v>
      </c>
      <c r="AA9" s="4" cm="1">
        <f t="array" ref="AA9:AA14">'[2]fib Model Code 2020 modificado'!$F$5:$F$10</f>
        <v>0.1514588402834042</v>
      </c>
      <c r="AB9" s="4">
        <f t="shared" si="10"/>
        <v>0.94661775177127627</v>
      </c>
      <c r="AC9" s="4">
        <f t="shared" si="11"/>
        <v>-5.4859908494114554E-2</v>
      </c>
      <c r="AD9" s="73" cm="1">
        <f t="array" ref="AD9:AD14">'[2]fib Model Code 2010'!$L$5:$L$10</f>
        <v>0.12573406896410511</v>
      </c>
      <c r="AE9" s="73">
        <f>AD9/$J9</f>
        <v>0.78583793102565691</v>
      </c>
      <c r="AF9" s="73">
        <f>LN(AE9)</f>
        <v>-0.24100470243781077</v>
      </c>
      <c r="AG9" s="73" cm="1">
        <f t="array" ref="AG9:AG14">'[2]fib Model Code 2020'!$L$5:$L$10</f>
        <v>8.6159382513197727E-2</v>
      </c>
      <c r="AH9" s="73">
        <f>AG9/$J9</f>
        <v>0.53849614070748575</v>
      </c>
      <c r="AI9" s="73">
        <f>LN(AH9)</f>
        <v>-0.61897494915699114</v>
      </c>
      <c r="AJ9" s="73" cm="1">
        <f t="array" ref="AJ9:AJ14">'[2]Eurocode 2'!$L$5:$L$10</f>
        <v>0.12529165250414639</v>
      </c>
      <c r="AK9" s="73">
        <f>AJ9/$J9</f>
        <v>0.78307282815091495</v>
      </c>
      <c r="AL9" s="73">
        <f>LN(AK9)</f>
        <v>-0.24452957562966043</v>
      </c>
      <c r="AM9" s="73" cm="1">
        <f t="array" ref="AM9:AM14">'[2]NBR 6118'!$Q$5:$Q$10</f>
        <v>0.26246778690532796</v>
      </c>
      <c r="AN9" s="73" cm="1">
        <f t="array" ref="AN9:AN14">'[2]NBR 6118'!$R$5:$R$10</f>
        <v>0.15737967840740144</v>
      </c>
      <c r="AO9" s="73" cm="1">
        <f t="array" ref="AO9:AO14">'[2]NBR 6118'!$W$5:$W$10</f>
        <v>0.98362299004625897</v>
      </c>
      <c r="AP9" s="73">
        <f>LN(AO9)</f>
        <v>-1.651259554373341E-2</v>
      </c>
      <c r="AQ9" s="73" cm="1">
        <f t="array" ref="AQ9:AQ14">'[2]Clark (1956)'!$L$5:$L$10</f>
        <v>0.18100616392384755</v>
      </c>
      <c r="AR9" s="73">
        <f>AQ9/$J9</f>
        <v>1.1312885245240472</v>
      </c>
      <c r="AS9" s="73">
        <f>LN(AR9)</f>
        <v>0.12335727028003332</v>
      </c>
      <c r="AT9" s="73" cm="1">
        <f t="array" ref="AT9:AT14">'[2]Leonhardt (1977)'!$L$5:$L$10</f>
        <v>0.29637407304529567</v>
      </c>
      <c r="AU9" s="73">
        <f>AT9/$J9</f>
        <v>1.852337956533098</v>
      </c>
      <c r="AV9" s="73">
        <f>LN(AU9)</f>
        <v>0.61644860150550418</v>
      </c>
      <c r="AW9" s="73" cm="1">
        <f t="array" ref="AW9:AW14">'[2]Desayi; Ganesan (1985)'!$L$5:$L$10</f>
        <v>0.31268420853835605</v>
      </c>
      <c r="AX9" s="73">
        <f>AW9/$J9</f>
        <v>1.9542763033647252</v>
      </c>
      <c r="AY9" s="73">
        <f>LN(AX9)</f>
        <v>0.67001994759775052</v>
      </c>
      <c r="AZ9" s="73" cm="1">
        <f t="array" ref="AZ9:AZ14">'[2]Oh; Kang (1987)'!$L$5:$L$10</f>
        <v>0.18596904047926571</v>
      </c>
      <c r="BA9" s="73">
        <f>AZ9/$J9</f>
        <v>1.1623065029954107</v>
      </c>
      <c r="BB9" s="73">
        <f>LN(BA9)</f>
        <v>0.1504063955889903</v>
      </c>
      <c r="BC9" s="73" cm="1">
        <f t="array" ref="BC9:BC14">'[2]Caldas (1997)'!$L$5:$L$10</f>
        <v>0.12999764117006196</v>
      </c>
      <c r="BD9" s="73">
        <f>BC9/$J9</f>
        <v>0.81248525731288723</v>
      </c>
      <c r="BE9" s="73">
        <f>LN(BD9)</f>
        <v>-0.20765750978854144</v>
      </c>
      <c r="BF9" s="73" cm="1">
        <f t="array" ref="BF9:BF14">'[2]Gergely e Lutz (1968)'!$L$5:$L$10</f>
        <v>0.24152794750458398</v>
      </c>
      <c r="BG9" s="73">
        <f>BF9/$J9</f>
        <v>1.5095496719036499</v>
      </c>
      <c r="BH9" s="73">
        <f>LN(BG9)</f>
        <v>0.41181137581988136</v>
      </c>
      <c r="BI9" s="81" cm="1">
        <f t="array" ref="BI9:BI14">[2]Sugestão!$N$5:$N$10</f>
        <v>0.1021297239736778</v>
      </c>
      <c r="BJ9" s="73">
        <f>BI9/$J9</f>
        <v>0.63831077483548626</v>
      </c>
      <c r="BK9" s="73">
        <f>LN(BJ9)</f>
        <v>-0.44893000634327301</v>
      </c>
      <c r="BL9" s="73" cm="1">
        <f t="array" ref="BL9:BL14">'[2]fib Model Code 2020 modificado'!$L$5:$L$10</f>
        <v>0.15370893746373848</v>
      </c>
      <c r="BM9" s="73">
        <f>BL9/$J9</f>
        <v>0.96068085914836554</v>
      </c>
      <c r="BN9" s="73">
        <f>LN(BM9)</f>
        <v>-4.0113017624232097E-2</v>
      </c>
      <c r="BS9" t="b">
        <f t="shared" si="12"/>
        <v>0</v>
      </c>
      <c r="BT9"/>
      <c r="BU9" t="b">
        <f t="shared" si="13"/>
        <v>1</v>
      </c>
      <c r="BV9"/>
      <c r="BW9" t="b">
        <f t="shared" si="14"/>
        <v>1</v>
      </c>
      <c r="BY9" s="49"/>
    </row>
    <row r="10" spans="1:77" s="1" customFormat="1">
      <c r="A10" s="88"/>
      <c r="B10" s="37">
        <f>'[2]Dados de entrada'!$B$28</f>
        <v>20</v>
      </c>
      <c r="C10" s="37">
        <f>'[2]Dados de entrada'!$B$31</f>
        <v>2</v>
      </c>
      <c r="D10" s="37">
        <f>'[2]Dados de entrada'!$B$32</f>
        <v>126</v>
      </c>
      <c r="E10" s="41">
        <f>'[2]Dados de entrada'!$B$27</f>
        <v>4.1203405239014401</v>
      </c>
      <c r="F10" s="37">
        <f>'[2]Dados de entrada'!$B$30</f>
        <v>25</v>
      </c>
      <c r="G10" s="37">
        <f>'[2]Dados de entrada'!$B$22</f>
        <v>39</v>
      </c>
      <c r="H10" s="42">
        <f>'[2]Dados de entrada'!$B$29/(2*'[2]Dados de entrada'!$B$20*G10)</f>
        <v>3.7274453941120611E-2</v>
      </c>
      <c r="I10" s="25">
        <v>304.25194398208777</v>
      </c>
      <c r="J10" s="71">
        <v>0.23</v>
      </c>
      <c r="K10" s="4">
        <v>0.17255924658350918</v>
      </c>
      <c r="L10" s="4">
        <f t="shared" si="0"/>
        <v>0.75025759384134427</v>
      </c>
      <c r="M10" s="4">
        <f t="shared" si="1"/>
        <v>-0.2873386729650087</v>
      </c>
      <c r="N10" s="4">
        <v>0.14186483114083576</v>
      </c>
      <c r="O10" s="4">
        <f t="shared" si="2"/>
        <v>0.6168036136558076</v>
      </c>
      <c r="P10" s="4">
        <f t="shared" si="3"/>
        <v>-0.48320459803453814</v>
      </c>
      <c r="Q10" s="4">
        <v>0.1719520678638862</v>
      </c>
      <c r="R10" s="4">
        <f t="shared" si="4"/>
        <v>0.74761768636472259</v>
      </c>
      <c r="S10" s="4">
        <f t="shared" si="5"/>
        <v>-0.29086354615685811</v>
      </c>
      <c r="T10" s="4">
        <v>0.31722379302879811</v>
      </c>
      <c r="U10" s="4">
        <v>0.22989426751790601</v>
      </c>
      <c r="V10" s="4">
        <v>0.99954029355611307</v>
      </c>
      <c r="W10" s="4">
        <f t="shared" si="6"/>
        <v>-4.5981214128863268E-4</v>
      </c>
      <c r="X10" s="4">
        <v>0.1831314245018511</v>
      </c>
      <c r="Y10" s="4">
        <f t="shared" si="15"/>
        <v>0.79622358479065691</v>
      </c>
      <c r="Z10" s="4">
        <f t="shared" si="16"/>
        <v>-0.22787524716327878</v>
      </c>
      <c r="AA10" s="4">
        <v>0.23808772094755151</v>
      </c>
      <c r="AB10" s="4">
        <f t="shared" si="10"/>
        <v>1.0351640041197891</v>
      </c>
      <c r="AC10" s="4">
        <f t="shared" si="11"/>
        <v>3.4559872250928651E-2</v>
      </c>
      <c r="AD10" s="73">
        <v>0.17698216291811808</v>
      </c>
      <c r="AE10" s="73">
        <f t="shared" ref="AE10:AE14" si="17">AD10/$J10</f>
        <v>0.76948766486138287</v>
      </c>
      <c r="AF10" s="73">
        <f t="shared" ref="AF10:AF14" si="18">LN(AE10)</f>
        <v>-0.26203035590136398</v>
      </c>
      <c r="AG10" s="73">
        <v>0.14712654185263452</v>
      </c>
      <c r="AH10" s="73">
        <f t="shared" ref="AH10:AH14" si="19">AG10/$J10</f>
        <v>0.63968061675058485</v>
      </c>
      <c r="AI10" s="73">
        <f t="shared" ref="AI10:AI14" si="20">LN(AH10)</f>
        <v>-0.44678626351570033</v>
      </c>
      <c r="AJ10" s="73">
        <v>0.17635942142379471</v>
      </c>
      <c r="AK10" s="73">
        <f t="shared" ref="AK10:AK14" si="21">AJ10/$J10</f>
        <v>0.76678009314693352</v>
      </c>
      <c r="AL10" s="73">
        <f t="shared" ref="AL10:AL14" si="22">LN(AK10)</f>
        <v>-0.26555522909321322</v>
      </c>
      <c r="AM10" s="73">
        <v>0.34448897031324288</v>
      </c>
      <c r="AN10" s="73">
        <v>0.27111108663150013</v>
      </c>
      <c r="AO10" s="73">
        <v>1.1787438549195657</v>
      </c>
      <c r="AP10" s="73">
        <f t="shared" ref="AP10:AP14" si="23">LN(AO10)</f>
        <v>0.16444934173418158</v>
      </c>
      <c r="AQ10" s="73">
        <v>0.24436254780391009</v>
      </c>
      <c r="AR10" s="73">
        <f t="shared" ref="AR10:AR14" si="24">AQ10/$J10</f>
        <v>1.0624458600170004</v>
      </c>
      <c r="AS10" s="73">
        <f t="shared" ref="AS10:AS14" si="25">LN(AR10)</f>
        <v>6.0573665240053254E-2</v>
      </c>
      <c r="AT10" s="73">
        <v>0.44704918265926941</v>
      </c>
      <c r="AU10" s="73">
        <f t="shared" ref="AU10:AU14" si="26">AT10/$J10</f>
        <v>1.9436920985185626</v>
      </c>
      <c r="AV10" s="73">
        <f t="shared" ref="AV10:AV14" si="27">LN(AU10)</f>
        <v>0.66458930795821503</v>
      </c>
      <c r="AW10" s="73">
        <v>0.41039802370659229</v>
      </c>
      <c r="AX10" s="73">
        <f t="shared" ref="AX10:AX14" si="28">AW10/$J10</f>
        <v>1.7843392335069228</v>
      </c>
      <c r="AY10" s="73">
        <f t="shared" ref="AY10:AY14" si="29">LN(AX10)</f>
        <v>0.57904816939202375</v>
      </c>
      <c r="AZ10" s="73">
        <v>0.25620365464862777</v>
      </c>
      <c r="BA10" s="73">
        <f t="shared" ref="BA10:BA14" si="30">AZ10/$J10</f>
        <v>1.1139289332549034</v>
      </c>
      <c r="BB10" s="73">
        <f t="shared" ref="BB10:BB14" si="31">LN(BA10)</f>
        <v>0.10789334526450314</v>
      </c>
      <c r="BC10" s="73">
        <v>0.17474555573506692</v>
      </c>
      <c r="BD10" s="73">
        <f t="shared" ref="BD10:BD14" si="32">BC10/$J10</f>
        <v>0.7597632858046387</v>
      </c>
      <c r="BE10" s="73">
        <f t="shared" ref="BE10:BE14" si="33">LN(BD10)</f>
        <v>-0.27474836026391164</v>
      </c>
      <c r="BF10" s="73">
        <v>0.31700543109976642</v>
      </c>
      <c r="BG10" s="73">
        <f t="shared" ref="BG10:BG14" si="34">BF10/$J10</f>
        <v>1.3782844830424625</v>
      </c>
      <c r="BH10" s="73">
        <f t="shared" ref="BH10:BH14" si="35">LN(BG10)</f>
        <v>0.32083959761415443</v>
      </c>
      <c r="BI10" s="81">
        <v>0.19078251655555628</v>
      </c>
      <c r="BJ10" s="73">
        <f t="shared" ref="BJ10:BJ14" si="36">BI10/$J10</f>
        <v>0.82948920241546209</v>
      </c>
      <c r="BK10" s="73">
        <f t="shared" ref="BK10:BK14" si="37">LN(BJ10)</f>
        <v>-0.1869451864159109</v>
      </c>
      <c r="BL10" s="73">
        <v>0.24627331158163718</v>
      </c>
      <c r="BM10" s="73">
        <f t="shared" ref="BM10:BM14" si="38">BL10/$J10</f>
        <v>1.0707535286158139</v>
      </c>
      <c r="BN10" s="73">
        <f t="shared" ref="BN10:BN14" si="39">LN(BM10)</f>
        <v>6.8362632969798748E-2</v>
      </c>
      <c r="BS10" t="b">
        <f t="shared" si="12"/>
        <v>0</v>
      </c>
      <c r="BT10"/>
      <c r="BU10" t="b">
        <f t="shared" si="13"/>
        <v>1</v>
      </c>
      <c r="BV10"/>
      <c r="BW10" t="b">
        <f t="shared" si="14"/>
        <v>1</v>
      </c>
      <c r="BY10" s="49"/>
    </row>
    <row r="11" spans="1:77" s="1" customFormat="1">
      <c r="A11" s="88"/>
      <c r="B11" s="37">
        <f>'[2]Dados de entrada'!$B$28</f>
        <v>20</v>
      </c>
      <c r="C11" s="37">
        <f>'[2]Dados de entrada'!$B$31</f>
        <v>2</v>
      </c>
      <c r="D11" s="37">
        <f>'[2]Dados de entrada'!$B$32</f>
        <v>126</v>
      </c>
      <c r="E11" s="41">
        <f>'[2]Dados de entrada'!$B$27</f>
        <v>4.1203405239014401</v>
      </c>
      <c r="F11" s="37">
        <f>'[2]Dados de entrada'!$B$30</f>
        <v>25</v>
      </c>
      <c r="G11" s="37">
        <f>'[2]Dados de entrada'!$B$22</f>
        <v>39</v>
      </c>
      <c r="H11" s="42">
        <f>'[2]Dados de entrada'!$B$29/(2*'[2]Dados de entrada'!$B$20*G11)</f>
        <v>3.7274453941120611E-2</v>
      </c>
      <c r="I11" s="25">
        <v>314.28222784962912</v>
      </c>
      <c r="J11" s="71">
        <v>0.24</v>
      </c>
      <c r="K11" s="4">
        <v>0.1852932848684099</v>
      </c>
      <c r="L11" s="4">
        <f t="shared" si="0"/>
        <v>0.77205535361837463</v>
      </c>
      <c r="M11" s="4">
        <f t="shared" si="1"/>
        <v>-0.25869902994959071</v>
      </c>
      <c r="N11" s="4">
        <v>0.15701384608462449</v>
      </c>
      <c r="O11" s="4">
        <f t="shared" si="2"/>
        <v>0.65422435868593543</v>
      </c>
      <c r="P11" s="4">
        <f t="shared" si="3"/>
        <v>-0.42430493026052357</v>
      </c>
      <c r="Q11" s="4">
        <v>0.18464129929424544</v>
      </c>
      <c r="R11" s="4">
        <f t="shared" si="4"/>
        <v>0.76933874705935601</v>
      </c>
      <c r="S11" s="4">
        <f t="shared" si="5"/>
        <v>-0.26222390314144006</v>
      </c>
      <c r="T11" s="4">
        <v>0.33638496173523563</v>
      </c>
      <c r="U11" s="4">
        <v>0.25850549499198261</v>
      </c>
      <c r="V11" s="4">
        <v>1.0771062291332609</v>
      </c>
      <c r="W11" s="4">
        <f t="shared" si="6"/>
        <v>7.4278027602930882E-2</v>
      </c>
      <c r="X11" s="4">
        <v>0.20515971799924479</v>
      </c>
      <c r="Y11" s="4">
        <f t="shared" si="15"/>
        <v>0.85483215833018666</v>
      </c>
      <c r="Z11" s="4">
        <f t="shared" si="16"/>
        <v>-0.15685013536249609</v>
      </c>
      <c r="AA11" s="4">
        <v>0.26175551832813887</v>
      </c>
      <c r="AB11" s="4">
        <f t="shared" si="10"/>
        <v>1.0906479930339119</v>
      </c>
      <c r="AC11" s="4">
        <f t="shared" si="11"/>
        <v>8.677200862439427E-2</v>
      </c>
      <c r="AD11" s="73">
        <v>0.1840780528502122</v>
      </c>
      <c r="AE11" s="73">
        <f t="shared" si="17"/>
        <v>0.76699188687588415</v>
      </c>
      <c r="AF11" s="73">
        <f t="shared" si="18"/>
        <v>-0.26527905540761282</v>
      </c>
      <c r="AG11" s="73">
        <v>0.15556814853040268</v>
      </c>
      <c r="AH11" s="73">
        <f t="shared" si="19"/>
        <v>0.6482006188766779</v>
      </c>
      <c r="AI11" s="73">
        <f t="shared" si="20"/>
        <v>-0.43355503351322372</v>
      </c>
      <c r="AJ11" s="73">
        <v>0.18343034327420754</v>
      </c>
      <c r="AK11" s="73">
        <f t="shared" si="21"/>
        <v>0.76429309697586478</v>
      </c>
      <c r="AL11" s="73">
        <f t="shared" si="22"/>
        <v>-0.26880392859946228</v>
      </c>
      <c r="AM11" s="73">
        <v>0.35584574955433879</v>
      </c>
      <c r="AN11" s="73">
        <v>0.28928119327085311</v>
      </c>
      <c r="AO11" s="73">
        <v>1.2053383052952213</v>
      </c>
      <c r="AP11" s="73">
        <f t="shared" si="23"/>
        <v>0.18676027882169324</v>
      </c>
      <c r="AQ11" s="73">
        <v>0.25313497018730335</v>
      </c>
      <c r="AR11" s="73">
        <f t="shared" si="24"/>
        <v>1.0547290424470974</v>
      </c>
      <c r="AS11" s="73">
        <f t="shared" si="25"/>
        <v>5.3283902137394812E-2</v>
      </c>
      <c r="AT11" s="73">
        <v>0.46699968256137087</v>
      </c>
      <c r="AU11" s="73">
        <f t="shared" si="26"/>
        <v>1.9458320106723788</v>
      </c>
      <c r="AV11" s="73">
        <f t="shared" si="27"/>
        <v>0.66568965458656981</v>
      </c>
      <c r="AW11" s="73">
        <v>0.42392762888373264</v>
      </c>
      <c r="AX11" s="73">
        <f t="shared" si="28"/>
        <v>1.7663651203488862</v>
      </c>
      <c r="AY11" s="73">
        <f t="shared" si="29"/>
        <v>0.56892383072638175</v>
      </c>
      <c r="AZ11" s="73">
        <v>0.26592844737977017</v>
      </c>
      <c r="BA11" s="73">
        <f t="shared" si="30"/>
        <v>1.108035197415709</v>
      </c>
      <c r="BB11" s="73">
        <f t="shared" si="31"/>
        <v>0.10258835444121965</v>
      </c>
      <c r="BC11" s="73">
        <v>0.18094142082868298</v>
      </c>
      <c r="BD11" s="73">
        <f t="shared" si="32"/>
        <v>0.75392258678617907</v>
      </c>
      <c r="BE11" s="73">
        <f t="shared" si="33"/>
        <v>-0.28246558628996615</v>
      </c>
      <c r="BF11" s="73">
        <v>0.32745615959756097</v>
      </c>
      <c r="BG11" s="73">
        <f t="shared" si="34"/>
        <v>1.3644006649898375</v>
      </c>
      <c r="BH11" s="73">
        <f t="shared" si="35"/>
        <v>0.31071525894851265</v>
      </c>
      <c r="BI11" s="81">
        <v>0.2030575186053549</v>
      </c>
      <c r="BJ11" s="73">
        <f t="shared" si="36"/>
        <v>0.84607299418897874</v>
      </c>
      <c r="BK11" s="73">
        <f t="shared" si="37"/>
        <v>-0.16714964155069617</v>
      </c>
      <c r="BL11" s="73">
        <v>0.25948354889502412</v>
      </c>
      <c r="BM11" s="73">
        <f t="shared" si="38"/>
        <v>1.0811814537292672</v>
      </c>
      <c r="BN11" s="73">
        <f t="shared" si="39"/>
        <v>7.8054381859481672E-2</v>
      </c>
      <c r="BS11" t="b">
        <f t="shared" si="12"/>
        <v>0</v>
      </c>
      <c r="BT11"/>
      <c r="BU11" t="b">
        <f t="shared" si="13"/>
        <v>1</v>
      </c>
      <c r="BV11"/>
      <c r="BW11" t="b">
        <f t="shared" si="14"/>
        <v>1</v>
      </c>
      <c r="BY11" s="49"/>
    </row>
    <row r="12" spans="1:77" s="1" customFormat="1">
      <c r="A12" s="88"/>
      <c r="B12" s="37">
        <f>'[2]Dados de entrada'!$B$28</f>
        <v>20</v>
      </c>
      <c r="C12" s="37">
        <f>'[2]Dados de entrada'!$B$31</f>
        <v>2</v>
      </c>
      <c r="D12" s="37">
        <f>'[2]Dados de entrada'!$B$32</f>
        <v>126</v>
      </c>
      <c r="E12" s="41">
        <f>'[2]Dados de entrada'!$B$27</f>
        <v>4.1203405239014401</v>
      </c>
      <c r="F12" s="37">
        <f>'[2]Dados de entrada'!$B$30</f>
        <v>25</v>
      </c>
      <c r="G12" s="37">
        <f>'[2]Dados de entrada'!$B$22</f>
        <v>39</v>
      </c>
      <c r="H12" s="42">
        <f>'[2]Dados de entrada'!$B$29/(2*'[2]Dados de entrada'!$B$20*G12)</f>
        <v>3.7274453941120611E-2</v>
      </c>
      <c r="I12" s="25">
        <v>363.31917120205361</v>
      </c>
      <c r="J12" s="71">
        <v>0.27</v>
      </c>
      <c r="K12" s="4">
        <v>0.23835177772216301</v>
      </c>
      <c r="L12" s="4">
        <f t="shared" si="0"/>
        <v>0.88278436193393706</v>
      </c>
      <c r="M12" s="4">
        <f t="shared" si="1"/>
        <v>-0.12467431892281379</v>
      </c>
      <c r="N12" s="4">
        <v>0.22013474168374428</v>
      </c>
      <c r="O12" s="4">
        <f t="shared" si="2"/>
        <v>0.81531385808794177</v>
      </c>
      <c r="P12" s="4">
        <f t="shared" si="3"/>
        <v>-0.20418213792560305</v>
      </c>
      <c r="Q12" s="4">
        <v>0.23751309692074235</v>
      </c>
      <c r="R12" s="4">
        <f t="shared" si="4"/>
        <v>0.87967813674349016</v>
      </c>
      <c r="S12" s="4">
        <f t="shared" si="5"/>
        <v>-0.12819919211466313</v>
      </c>
      <c r="T12" s="4">
        <v>0.41622316467872511</v>
      </c>
      <c r="U12" s="4">
        <v>0.39577570281074037</v>
      </c>
      <c r="V12" s="4">
        <v>1.4658359363360753</v>
      </c>
      <c r="W12" s="4">
        <f t="shared" si="6"/>
        <v>0.38242568474345456</v>
      </c>
      <c r="X12" s="4">
        <v>0.29694427423838521</v>
      </c>
      <c r="Y12" s="4">
        <f t="shared" si="15"/>
        <v>1.0997936082903155</v>
      </c>
      <c r="Z12" s="4">
        <f t="shared" si="16"/>
        <v>9.5122533372848456E-2</v>
      </c>
      <c r="AA12" s="4">
        <v>0.36369042733173462</v>
      </c>
      <c r="AB12" s="4">
        <f t="shared" si="10"/>
        <v>1.347001582710128</v>
      </c>
      <c r="AC12" s="4">
        <f t="shared" si="11"/>
        <v>0.29788107241649581</v>
      </c>
      <c r="AD12" s="73">
        <v>0.21876907029600567</v>
      </c>
      <c r="AE12" s="73">
        <f t="shared" si="17"/>
        <v>0.81025581591113205</v>
      </c>
      <c r="AF12" s="73">
        <f t="shared" si="18"/>
        <v>-0.21040525906444935</v>
      </c>
      <c r="AG12" s="73">
        <v>0.19683822562171382</v>
      </c>
      <c r="AH12" s="73">
        <f t="shared" si="19"/>
        <v>0.72903046526560666</v>
      </c>
      <c r="AI12" s="73">
        <f t="shared" si="20"/>
        <v>-0.31603975735887635</v>
      </c>
      <c r="AJ12" s="73">
        <v>0.2179992945428926</v>
      </c>
      <c r="AK12" s="73">
        <f t="shared" si="21"/>
        <v>0.80740479460330583</v>
      </c>
      <c r="AL12" s="73">
        <f t="shared" si="22"/>
        <v>-0.21393013225629892</v>
      </c>
      <c r="AM12" s="73">
        <v>0.41136778139969671</v>
      </c>
      <c r="AN12" s="73">
        <v>0.38659584648726419</v>
      </c>
      <c r="AO12" s="73">
        <v>1.4318364684713487</v>
      </c>
      <c r="AP12" s="73">
        <f t="shared" si="23"/>
        <v>0.35895786402249819</v>
      </c>
      <c r="AQ12" s="73">
        <v>0.29602236850611502</v>
      </c>
      <c r="AR12" s="73">
        <f t="shared" si="24"/>
        <v>1.0963791426152407</v>
      </c>
      <c r="AS12" s="73">
        <f t="shared" si="25"/>
        <v>9.2013061747887134E-2</v>
      </c>
      <c r="AT12" s="73">
        <v>0.56249750889728678</v>
      </c>
      <c r="AU12" s="73">
        <f t="shared" si="26"/>
        <v>2.0833241070269879</v>
      </c>
      <c r="AV12" s="73">
        <f t="shared" si="27"/>
        <v>0.73396474644334819</v>
      </c>
      <c r="AW12" s="73">
        <v>0.49007236530530812</v>
      </c>
      <c r="AX12" s="73">
        <f t="shared" si="28"/>
        <v>1.8150828344641041</v>
      </c>
      <c r="AY12" s="73">
        <f t="shared" si="29"/>
        <v>0.59613110549859261</v>
      </c>
      <c r="AZ12" s="73">
        <v>0.31347187850980002</v>
      </c>
      <c r="BA12" s="73">
        <f t="shared" si="30"/>
        <v>1.1610069574437036</v>
      </c>
      <c r="BB12" s="73">
        <f t="shared" si="31"/>
        <v>0.1492876953280344</v>
      </c>
      <c r="BC12" s="73">
        <v>0.21123231684191718</v>
      </c>
      <c r="BD12" s="73">
        <f t="shared" si="32"/>
        <v>0.78234191422932287</v>
      </c>
      <c r="BE12" s="73">
        <f t="shared" si="33"/>
        <v>-0.24546340352193632</v>
      </c>
      <c r="BF12" s="73">
        <v>0.37854861003122303</v>
      </c>
      <c r="BG12" s="73">
        <f t="shared" si="34"/>
        <v>1.4020318890045296</v>
      </c>
      <c r="BH12" s="73">
        <f t="shared" si="35"/>
        <v>0.33792253372072323</v>
      </c>
      <c r="BI12" s="81">
        <v>0.2630686397377035</v>
      </c>
      <c r="BJ12" s="73">
        <f t="shared" si="36"/>
        <v>0.97432829532482768</v>
      </c>
      <c r="BK12" s="73">
        <f t="shared" si="37"/>
        <v>-2.6006973276117579E-2</v>
      </c>
      <c r="BL12" s="73">
        <v>0.32544523318659158</v>
      </c>
      <c r="BM12" s="73">
        <f t="shared" si="38"/>
        <v>1.2053527155058947</v>
      </c>
      <c r="BN12" s="73">
        <f t="shared" si="39"/>
        <v>0.18677223407481297</v>
      </c>
      <c r="BS12" t="b">
        <f t="shared" si="12"/>
        <v>0</v>
      </c>
      <c r="BT12"/>
      <c r="BU12" t="b">
        <f t="shared" si="13"/>
        <v>1</v>
      </c>
      <c r="BV12"/>
      <c r="BW12" t="b">
        <f t="shared" si="14"/>
        <v>1</v>
      </c>
      <c r="BY12" s="49"/>
    </row>
    <row r="13" spans="1:77" s="1" customFormat="1">
      <c r="A13" s="88"/>
      <c r="B13" s="37">
        <f>'[2]Dados de entrada'!$B$28</f>
        <v>20</v>
      </c>
      <c r="C13" s="37">
        <f>'[2]Dados de entrada'!$B$31</f>
        <v>2</v>
      </c>
      <c r="D13" s="37">
        <f>'[2]Dados de entrada'!$B$32</f>
        <v>126</v>
      </c>
      <c r="E13" s="41">
        <f>'[2]Dados de entrada'!$B$27</f>
        <v>4.1203405239014401</v>
      </c>
      <c r="F13" s="37">
        <f>'[2]Dados de entrada'!$B$30</f>
        <v>25</v>
      </c>
      <c r="G13" s="37">
        <f>'[2]Dados de entrada'!$B$22</f>
        <v>39</v>
      </c>
      <c r="H13" s="42">
        <f>'[2]Dados de entrada'!$B$29/(2*'[2]Dados de entrada'!$B$20*G13)</f>
        <v>3.7274453941120611E-2</v>
      </c>
      <c r="I13" s="25">
        <v>459.16410593633765</v>
      </c>
      <c r="J13" s="71">
        <v>0.35</v>
      </c>
      <c r="K13" s="4">
        <v>0.28009112543378217</v>
      </c>
      <c r="L13" s="4">
        <f t="shared" si="0"/>
        <v>0.80026035838223486</v>
      </c>
      <c r="M13" s="4">
        <f t="shared" si="1"/>
        <v>-0.22281815628312202</v>
      </c>
      <c r="N13" s="4">
        <v>0.26978984622171853</v>
      </c>
      <c r="O13" s="4">
        <f t="shared" si="2"/>
        <v>0.77082813206205303</v>
      </c>
      <c r="P13" s="4">
        <f t="shared" si="3"/>
        <v>-0.26028984588160603</v>
      </c>
      <c r="Q13" s="4">
        <v>0.27910557772025324</v>
      </c>
      <c r="R13" s="4">
        <f t="shared" si="4"/>
        <v>0.79744450777215214</v>
      </c>
      <c r="S13" s="4">
        <f t="shared" si="5"/>
        <v>-0.22634302947497165</v>
      </c>
      <c r="T13" s="4">
        <v>0.47902921766093681</v>
      </c>
      <c r="U13" s="4">
        <v>0.52422851642241308</v>
      </c>
      <c r="V13" s="4">
        <v>1.3686549076026766</v>
      </c>
      <c r="W13" s="4">
        <f t="shared" si="6"/>
        <v>0.31382843827166301</v>
      </c>
      <c r="X13" s="4">
        <v>0.36914812514650897</v>
      </c>
      <c r="Y13" s="4">
        <f t="shared" si="15"/>
        <v>1.0547089289900258</v>
      </c>
      <c r="Z13" s="4">
        <f t="shared" si="16"/>
        <v>5.3264832169617041E-2</v>
      </c>
      <c r="AA13" s="4">
        <v>0.44764132973168336</v>
      </c>
      <c r="AB13" s="4">
        <f t="shared" si="10"/>
        <v>1.2789752278048097</v>
      </c>
      <c r="AC13" s="4">
        <f t="shared" si="11"/>
        <v>0.24605915400007355</v>
      </c>
      <c r="AD13" s="73">
        <v>0.28657424075823829</v>
      </c>
      <c r="AE13" s="73">
        <f t="shared" si="17"/>
        <v>0.81878354502353801</v>
      </c>
      <c r="AF13" s="73">
        <f t="shared" si="18"/>
        <v>-0.19993552185084962</v>
      </c>
      <c r="AG13" s="73">
        <v>0.27750246720927635</v>
      </c>
      <c r="AH13" s="73">
        <f t="shared" si="19"/>
        <v>0.79286419202650393</v>
      </c>
      <c r="AI13" s="73">
        <f t="shared" si="20"/>
        <v>-0.23210333049225429</v>
      </c>
      <c r="AJ13" s="73">
        <v>0.28556588111350423</v>
      </c>
      <c r="AK13" s="73">
        <f t="shared" si="21"/>
        <v>0.81590251746715503</v>
      </c>
      <c r="AL13" s="73">
        <f t="shared" si="22"/>
        <v>-0.20346039504269911</v>
      </c>
      <c r="AM13" s="73">
        <v>0.51988811637016885</v>
      </c>
      <c r="AN13" s="73">
        <v>0.61747078706513392</v>
      </c>
      <c r="AO13" s="73">
        <v>1.4853946182004825</v>
      </c>
      <c r="AP13" s="73">
        <f t="shared" si="23"/>
        <v>0.39568047311500393</v>
      </c>
      <c r="AQ13" s="73">
        <v>0.37984773794742854</v>
      </c>
      <c r="AR13" s="73">
        <f t="shared" si="24"/>
        <v>1.0852792512783673</v>
      </c>
      <c r="AS13" s="73">
        <f t="shared" si="25"/>
        <v>8.1837328327409101E-2</v>
      </c>
      <c r="AT13" s="73">
        <v>0.74267835540591742</v>
      </c>
      <c r="AU13" s="73">
        <f t="shared" si="26"/>
        <v>2.1219381583026213</v>
      </c>
      <c r="AV13" s="73">
        <f t="shared" si="27"/>
        <v>0.75232989664865935</v>
      </c>
      <c r="AW13" s="73">
        <v>0.61935525922020529</v>
      </c>
      <c r="AX13" s="73">
        <f t="shared" si="28"/>
        <v>1.7695864549148723</v>
      </c>
      <c r="AY13" s="73">
        <f t="shared" si="29"/>
        <v>0.5707458779963267</v>
      </c>
      <c r="AZ13" s="73">
        <v>0.4063976757184945</v>
      </c>
      <c r="BA13" s="73">
        <f t="shared" si="30"/>
        <v>1.1611362163385557</v>
      </c>
      <c r="BB13" s="73">
        <f t="shared" si="31"/>
        <v>0.14939902256784021</v>
      </c>
      <c r="BC13" s="73">
        <v>0.27043724995869295</v>
      </c>
      <c r="BD13" s="73">
        <f t="shared" si="32"/>
        <v>0.77267785702483704</v>
      </c>
      <c r="BE13" s="73">
        <f t="shared" si="33"/>
        <v>-0.25789306107953491</v>
      </c>
      <c r="BF13" s="73">
        <v>0.47841112678792597</v>
      </c>
      <c r="BG13" s="73">
        <f t="shared" si="34"/>
        <v>1.3668889336797885</v>
      </c>
      <c r="BH13" s="73">
        <f t="shared" si="35"/>
        <v>0.31253730621845738</v>
      </c>
      <c r="BI13" s="81">
        <v>0.38036310376911198</v>
      </c>
      <c r="BJ13" s="73">
        <f t="shared" si="36"/>
        <v>1.0867517250546057</v>
      </c>
      <c r="BK13" s="73">
        <f t="shared" si="37"/>
        <v>8.3193178237338655E-2</v>
      </c>
      <c r="BL13" s="73">
        <v>0.46097815424742983</v>
      </c>
      <c r="BM13" s="73">
        <f t="shared" si="38"/>
        <v>1.3170804407069425</v>
      </c>
      <c r="BN13" s="73">
        <f t="shared" si="39"/>
        <v>0.27541749964074447</v>
      </c>
      <c r="BS13" t="b">
        <f t="shared" si="12"/>
        <v>0</v>
      </c>
      <c r="BT13"/>
      <c r="BU13" t="b">
        <f t="shared" si="13"/>
        <v>1</v>
      </c>
      <c r="BV13"/>
      <c r="BW13" t="b">
        <f t="shared" si="14"/>
        <v>1</v>
      </c>
      <c r="BY13" s="49"/>
    </row>
    <row r="14" spans="1:77" s="1" customFormat="1">
      <c r="A14" s="89"/>
      <c r="B14" s="37">
        <f>'[2]Dados de entrada'!$B$28</f>
        <v>20</v>
      </c>
      <c r="C14" s="37">
        <f>'[2]Dados de entrada'!$B$31</f>
        <v>2</v>
      </c>
      <c r="D14" s="37">
        <f>'[2]Dados de entrada'!$B$32</f>
        <v>126</v>
      </c>
      <c r="E14" s="41">
        <f>'[2]Dados de entrada'!$B$27</f>
        <v>4.1203405239014401</v>
      </c>
      <c r="F14" s="37">
        <f>'[2]Dados de entrada'!$B$30</f>
        <v>25</v>
      </c>
      <c r="G14" s="37">
        <f>'[2]Dados de entrada'!$B$22</f>
        <v>39</v>
      </c>
      <c r="H14" s="42">
        <f>'[2]Dados de entrada'!$B$29/(2*'[2]Dados de entrada'!$B$20*G14)</f>
        <v>3.7274453941120611E-2</v>
      </c>
      <c r="I14" s="25">
        <v>500</v>
      </c>
      <c r="J14" s="71">
        <v>0.4</v>
      </c>
      <c r="K14" s="4">
        <v>0.30697409514635043</v>
      </c>
      <c r="L14" s="4">
        <f t="shared" si="0"/>
        <v>0.76743523786587609</v>
      </c>
      <c r="M14" s="4">
        <f t="shared" si="1"/>
        <v>-0.26470118371181089</v>
      </c>
      <c r="N14" s="4">
        <v>0.30177109999193918</v>
      </c>
      <c r="O14" s="4">
        <f t="shared" si="2"/>
        <v>0.75442774997984796</v>
      </c>
      <c r="P14" s="4">
        <f t="shared" si="3"/>
        <v>-0.28179576416675933</v>
      </c>
      <c r="Q14" s="4">
        <v>0.30589395518434503</v>
      </c>
      <c r="R14" s="4">
        <f t="shared" si="4"/>
        <v>0.76473488796086253</v>
      </c>
      <c r="S14" s="4">
        <f t="shared" si="5"/>
        <v>-0.26822605690366047</v>
      </c>
      <c r="T14" s="4">
        <v>0.5194805738189715</v>
      </c>
      <c r="U14" s="4">
        <v>0.61650309044394636</v>
      </c>
      <c r="V14" s="4">
        <v>1.2987014345474286</v>
      </c>
      <c r="W14" s="4">
        <f t="shared" si="6"/>
        <v>0.26136486873592207</v>
      </c>
      <c r="X14" s="4">
        <v>0.41070662736493929</v>
      </c>
      <c r="Y14" s="4">
        <f t="shared" si="15"/>
        <v>1.0267665684123481</v>
      </c>
      <c r="Z14" s="4">
        <f t="shared" si="16"/>
        <v>2.6414610478508883E-2</v>
      </c>
      <c r="AA14" s="4">
        <v>0.50346540291552389</v>
      </c>
      <c r="AB14" s="4">
        <f t="shared" si="10"/>
        <v>1.2586635072888097</v>
      </c>
      <c r="AC14" s="4">
        <f t="shared" si="11"/>
        <v>0.23005044951306131</v>
      </c>
      <c r="AD14" s="73">
        <v>0.31546345400295095</v>
      </c>
      <c r="AE14" s="73">
        <f t="shared" si="17"/>
        <v>0.78865863500737732</v>
      </c>
      <c r="AF14" s="73">
        <f t="shared" si="18"/>
        <v>-0.23742170700902313</v>
      </c>
      <c r="AG14" s="73">
        <v>0.31187044328779839</v>
      </c>
      <c r="AH14" s="73">
        <f t="shared" si="19"/>
        <v>0.77967610821949596</v>
      </c>
      <c r="AI14" s="73">
        <f t="shared" si="20"/>
        <v>-0.24887669140938226</v>
      </c>
      <c r="AJ14" s="73">
        <v>0.31435344280458455</v>
      </c>
      <c r="AK14" s="73">
        <f t="shared" si="21"/>
        <v>0.78588360701146132</v>
      </c>
      <c r="AL14" s="73">
        <f t="shared" si="22"/>
        <v>-0.24094658020087267</v>
      </c>
      <c r="AM14" s="73">
        <v>0.53225468628992978</v>
      </c>
      <c r="AN14" s="73">
        <v>0.64719569928692966</v>
      </c>
      <c r="AO14" s="73">
        <v>1.3306367157248244</v>
      </c>
      <c r="AP14" s="73">
        <f t="shared" si="23"/>
        <v>0.28565756130496667</v>
      </c>
      <c r="AQ14" s="73">
        <v>0.41556255079427151</v>
      </c>
      <c r="AR14" s="73">
        <f t="shared" si="24"/>
        <v>1.0389063769856788</v>
      </c>
      <c r="AS14" s="73">
        <f t="shared" si="25"/>
        <v>3.8168599284845811E-2</v>
      </c>
      <c r="AT14" s="73">
        <v>0.81781094146393984</v>
      </c>
      <c r="AU14" s="73">
        <f t="shared" si="26"/>
        <v>2.0445273536598494</v>
      </c>
      <c r="AV14" s="73">
        <f t="shared" si="27"/>
        <v>0.71516663987703133</v>
      </c>
      <c r="AW14" s="73">
        <v>0.67443780035593404</v>
      </c>
      <c r="AX14" s="73">
        <f t="shared" si="28"/>
        <v>1.6860945008898349</v>
      </c>
      <c r="AY14" s="73">
        <f t="shared" si="29"/>
        <v>0.52241490835874438</v>
      </c>
      <c r="AZ14" s="73">
        <v>0.44598983592097036</v>
      </c>
      <c r="BA14" s="73">
        <f t="shared" si="30"/>
        <v>1.1149745898024259</v>
      </c>
      <c r="BB14" s="73">
        <f t="shared" si="31"/>
        <v>0.10883161523753478</v>
      </c>
      <c r="BC14" s="73">
        <v>0.29566222802879705</v>
      </c>
      <c r="BD14" s="73">
        <f t="shared" si="32"/>
        <v>0.73915557007199262</v>
      </c>
      <c r="BE14" s="73">
        <f t="shared" si="33"/>
        <v>-0.3022468658831538</v>
      </c>
      <c r="BF14" s="73">
        <v>0.52095876028064014</v>
      </c>
      <c r="BG14" s="73">
        <f t="shared" si="34"/>
        <v>1.3023969007016003</v>
      </c>
      <c r="BH14" s="73">
        <f t="shared" si="35"/>
        <v>0.26420633658087517</v>
      </c>
      <c r="BI14" s="81">
        <v>0.4208059706607985</v>
      </c>
      <c r="BJ14" s="73">
        <f t="shared" si="36"/>
        <v>1.0520149266519963</v>
      </c>
      <c r="BK14" s="73">
        <f t="shared" si="37"/>
        <v>5.0707303047553637E-2</v>
      </c>
      <c r="BL14" s="73">
        <v>0.52137957042962946</v>
      </c>
      <c r="BM14" s="73">
        <f t="shared" si="38"/>
        <v>1.3034489260740736</v>
      </c>
      <c r="BN14" s="73">
        <f t="shared" si="39"/>
        <v>0.26501377147884131</v>
      </c>
      <c r="BS14" t="b">
        <f t="shared" si="12"/>
        <v>0</v>
      </c>
      <c r="BT14"/>
      <c r="BU14" t="b">
        <f t="shared" si="13"/>
        <v>1</v>
      </c>
      <c r="BV14"/>
      <c r="BW14" t="b">
        <f t="shared" si="14"/>
        <v>1</v>
      </c>
      <c r="BY14" s="49"/>
    </row>
    <row r="15" spans="1:77" s="1" customFormat="1" ht="13.2" customHeight="1">
      <c r="A15" s="85" t="s">
        <v>89</v>
      </c>
      <c r="B15" s="43">
        <f>'[3]Dados de entrada'!$B$28</f>
        <v>10</v>
      </c>
      <c r="C15" s="43">
        <f>'[3]Dados de entrada'!$B$31</f>
        <v>8</v>
      </c>
      <c r="D15" s="43">
        <f>'[3]Dados de entrada'!$B$32</f>
        <v>40.700000000000003</v>
      </c>
      <c r="E15" s="44">
        <f>'[3]Dados de entrada'!$B$27</f>
        <v>4.1203405239014401</v>
      </c>
      <c r="F15" s="43">
        <f>'[3]Dados de entrada'!$B$30</f>
        <v>25</v>
      </c>
      <c r="G15" s="43">
        <f>'[3]Dados de entrada'!$B$22</f>
        <v>49</v>
      </c>
      <c r="H15" s="45">
        <f>'[3]Dados de entrada'!$B$29/(2*'[3]Dados de entrada'!$B$20*G15)</f>
        <v>3.0227185213708124E-2</v>
      </c>
      <c r="I15" s="26" cm="1">
        <f t="array" ref="I15:I17">'[3]Dados de entrada'!$E$7:$E$9</f>
        <v>344</v>
      </c>
      <c r="J15" s="68" cm="1">
        <f t="array" ref="J15:J17">'[3]Dados de entrada'!$C$7:$C$9</f>
        <v>0.16</v>
      </c>
      <c r="K15" s="19" cm="1">
        <f t="array" ref="K15:K17">'[3]fib Model Code 2010'!$F$5:$F$7</f>
        <v>0.13774499984492736</v>
      </c>
      <c r="L15" s="19">
        <f t="shared" si="0"/>
        <v>0.86090624903079593</v>
      </c>
      <c r="M15" s="19">
        <f t="shared" si="1"/>
        <v>-0.14976966662602684</v>
      </c>
      <c r="N15" s="19" cm="1">
        <f t="array" ref="N15:N17">'[3]fib Model Code 2020'!$F$5:$F$7</f>
        <v>0.14773431806580975</v>
      </c>
      <c r="O15" s="19">
        <f t="shared" si="2"/>
        <v>0.92333948791131093</v>
      </c>
      <c r="P15" s="19">
        <f t="shared" si="3"/>
        <v>-7.9758302883159646E-2</v>
      </c>
      <c r="Q15" s="19" cm="1">
        <f t="array" ref="Q15:Q17">'[3]Eurocode 2'!$F$5:$F$7</f>
        <v>0.16340398052647973</v>
      </c>
      <c r="R15" s="19">
        <f t="shared" si="4"/>
        <v>1.0212748782904983</v>
      </c>
      <c r="S15" s="19">
        <f t="shared" si="5"/>
        <v>2.1051727522531288E-2</v>
      </c>
      <c r="T15" s="19" cm="1">
        <f t="array" ref="T15:T17">'[3]NBR 6118'!$F$5:$F$7</f>
        <v>0.18353711044235185</v>
      </c>
      <c r="U15" s="19" cm="1">
        <f t="array" ref="U15:U17">'[3]NBR 6118'!$G$5:$G$7</f>
        <v>0.15317310054163621</v>
      </c>
      <c r="V15" s="19" cm="1">
        <f t="array" ref="V15:V17">'[3]NBR 6118'!$L$5:$L$7</f>
        <v>0.95733187838522638</v>
      </c>
      <c r="W15" s="19">
        <f t="shared" si="6"/>
        <v>-4.360515727587766E-2</v>
      </c>
      <c r="X15" s="19" cm="1">
        <f t="array" ref="X15:X17">[3]Sugestão!$G$5:$G$7</f>
        <v>0.19633966435220634</v>
      </c>
      <c r="Y15" s="19">
        <f t="shared" ref="Y15:Y17" si="40">X15/J15</f>
        <v>1.2271229022012897</v>
      </c>
      <c r="Z15" s="19">
        <f t="shared" ref="Z15:Z17" si="41">LN(Y15)</f>
        <v>0.20467232550584361</v>
      </c>
      <c r="AA15" s="19" cm="1">
        <f t="array" ref="AA15:AA17">'[3]fib Model Code 2020 modificado'!$F$5:$F$7</f>
        <v>0.18643002723580673</v>
      </c>
      <c r="AB15" s="19">
        <f t="shared" si="10"/>
        <v>1.165187670223792</v>
      </c>
      <c r="AC15" s="19">
        <f t="shared" si="11"/>
        <v>0.1528821643648629</v>
      </c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72"/>
      <c r="BJ15" s="67"/>
      <c r="BK15" s="67"/>
      <c r="BL15" s="67"/>
      <c r="BM15" s="67"/>
      <c r="BN15" s="67"/>
      <c r="BS15" t="b">
        <f t="shared" si="12"/>
        <v>1</v>
      </c>
      <c r="BT15"/>
      <c r="BU15" t="b">
        <f t="shared" si="13"/>
        <v>0</v>
      </c>
      <c r="BV15"/>
      <c r="BW15" t="b">
        <f t="shared" si="14"/>
        <v>1</v>
      </c>
      <c r="BY15" s="49"/>
    </row>
    <row r="16" spans="1:77" s="1" customFormat="1">
      <c r="A16" s="90"/>
      <c r="B16" s="43">
        <f>'[3]Dados de entrada'!$B$28</f>
        <v>10</v>
      </c>
      <c r="C16" s="43">
        <f>'[3]Dados de entrada'!$B$31</f>
        <v>8</v>
      </c>
      <c r="D16" s="43">
        <f>'[3]Dados de entrada'!$B$32</f>
        <v>40.700000000000003</v>
      </c>
      <c r="E16" s="44">
        <f>'[3]Dados de entrada'!$B$27</f>
        <v>4.1203405239014401</v>
      </c>
      <c r="F16" s="43">
        <f>'[3]Dados de entrada'!$B$30</f>
        <v>25</v>
      </c>
      <c r="G16" s="43">
        <f>'[3]Dados de entrada'!$B$22</f>
        <v>49</v>
      </c>
      <c r="H16" s="45">
        <f>'[3]Dados de entrada'!$B$29/(2*'[3]Dados de entrada'!$B$20*G16)</f>
        <v>3.0227185213708124E-2</v>
      </c>
      <c r="I16" s="67">
        <v>424</v>
      </c>
      <c r="J16" s="67">
        <v>0.22</v>
      </c>
      <c r="K16" s="19">
        <v>0.17563599976200805</v>
      </c>
      <c r="L16" s="19">
        <f t="shared" si="0"/>
        <v>0.79834545346367303</v>
      </c>
      <c r="M16" s="19">
        <f t="shared" si="1"/>
        <v>-0.22521387612881613</v>
      </c>
      <c r="N16" s="19">
        <v>0.20301592130730819</v>
      </c>
      <c r="O16" s="19">
        <f t="shared" si="2"/>
        <v>0.92279964230594635</v>
      </c>
      <c r="P16" s="19">
        <f t="shared" si="3"/>
        <v>-8.0343140300790483E-2</v>
      </c>
      <c r="Q16" s="19">
        <v>0.20835327247573313</v>
      </c>
      <c r="R16" s="19">
        <f t="shared" si="4"/>
        <v>0.94706032943515062</v>
      </c>
      <c r="S16" s="19">
        <f t="shared" si="5"/>
        <v>-5.4392481980257958E-2</v>
      </c>
      <c r="T16" s="19">
        <v>0.2262201593824337</v>
      </c>
      <c r="U16" s="19">
        <v>0.23270050807001413</v>
      </c>
      <c r="V16" s="19">
        <v>1.028273451738335</v>
      </c>
      <c r="W16" s="19">
        <f t="shared" si="6"/>
        <v>2.7881135296791353E-2</v>
      </c>
      <c r="X16" s="19">
        <v>0.27687469322195718</v>
      </c>
      <c r="Y16" s="19">
        <f t="shared" si="40"/>
        <v>1.2585213328270781</v>
      </c>
      <c r="Z16" s="19">
        <f t="shared" si="41"/>
        <v>0.22993748644446421</v>
      </c>
      <c r="AA16" s="19">
        <v>0.25454004422233378</v>
      </c>
      <c r="AB16" s="19">
        <f t="shared" si="10"/>
        <v>1.1570002010106082</v>
      </c>
      <c r="AC16" s="19">
        <f t="shared" si="11"/>
        <v>0.1458306219458444</v>
      </c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72"/>
      <c r="BJ16" s="67"/>
      <c r="BK16" s="67"/>
      <c r="BL16" s="67"/>
      <c r="BM16" s="67"/>
      <c r="BN16" s="67"/>
      <c r="BS16" t="b">
        <f t="shared" si="12"/>
        <v>1</v>
      </c>
      <c r="BT16"/>
      <c r="BU16" t="b">
        <f t="shared" si="13"/>
        <v>0</v>
      </c>
      <c r="BV16"/>
      <c r="BW16" t="b">
        <f t="shared" si="14"/>
        <v>1</v>
      </c>
      <c r="BY16" s="49"/>
    </row>
    <row r="17" spans="1:77" s="1" customFormat="1">
      <c r="A17" s="86"/>
      <c r="B17" s="43">
        <f>'[3]Dados de entrada'!$B$28</f>
        <v>10</v>
      </c>
      <c r="C17" s="43">
        <f>'[3]Dados de entrada'!$B$31</f>
        <v>8</v>
      </c>
      <c r="D17" s="43">
        <f>'[3]Dados de entrada'!$B$32</f>
        <v>40.700000000000003</v>
      </c>
      <c r="E17" s="44">
        <f>'[3]Dados de entrada'!$B$27</f>
        <v>4.1203405239014401</v>
      </c>
      <c r="F17" s="43">
        <f>'[3]Dados de entrada'!$B$30</f>
        <v>25</v>
      </c>
      <c r="G17" s="43">
        <f>'[3]Dados de entrada'!$B$22</f>
        <v>49</v>
      </c>
      <c r="H17" s="45">
        <f>'[3]Dados de entrada'!$B$29/(2*'[3]Dados de entrada'!$B$20*G17)</f>
        <v>3.0227185213708124E-2</v>
      </c>
      <c r="I17" s="67">
        <v>475</v>
      </c>
      <c r="J17" s="67">
        <v>0.28999999999999998</v>
      </c>
      <c r="K17" s="19">
        <v>0.19979151220914704</v>
      </c>
      <c r="L17" s="19">
        <f t="shared" si="0"/>
        <v>0.68893624899705874</v>
      </c>
      <c r="M17" s="19">
        <f t="shared" si="1"/>
        <v>-0.37260653910412883</v>
      </c>
      <c r="N17" s="19">
        <v>0.23825794337376341</v>
      </c>
      <c r="O17" s="19">
        <f t="shared" si="2"/>
        <v>0.82157911508194281</v>
      </c>
      <c r="P17" s="19">
        <f t="shared" si="3"/>
        <v>-0.19652704050350794</v>
      </c>
      <c r="Q17" s="19">
        <v>0.2370084460933822</v>
      </c>
      <c r="R17" s="19">
        <f t="shared" si="4"/>
        <v>0.81727050377028354</v>
      </c>
      <c r="S17" s="19">
        <f t="shared" si="5"/>
        <v>-0.20178514495557051</v>
      </c>
      <c r="T17" s="19">
        <v>0.25343060308173587</v>
      </c>
      <c r="U17" s="19">
        <v>0.292047059303227</v>
      </c>
      <c r="V17" s="19">
        <v>0.87389863131633061</v>
      </c>
      <c r="W17" s="19">
        <f t="shared" si="6"/>
        <v>-0.13479089252868329</v>
      </c>
      <c r="X17" s="19">
        <v>0.32821577412642344</v>
      </c>
      <c r="Y17" s="19">
        <f t="shared" si="40"/>
        <v>1.1317785314704258</v>
      </c>
      <c r="Z17" s="19">
        <f t="shared" si="41"/>
        <v>0.12379031706292763</v>
      </c>
      <c r="AA17" s="19">
        <v>0.29871443414861854</v>
      </c>
      <c r="AB17" s="19">
        <f t="shared" si="10"/>
        <v>1.030049772926271</v>
      </c>
      <c r="AC17" s="19">
        <f t="shared" si="11"/>
        <v>2.9607124303404064E-2</v>
      </c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72"/>
      <c r="BJ17" s="67"/>
      <c r="BK17" s="67"/>
      <c r="BL17" s="67"/>
      <c r="BM17" s="67"/>
      <c r="BN17" s="67"/>
      <c r="BS17" t="b">
        <f t="shared" si="12"/>
        <v>1</v>
      </c>
      <c r="BT17"/>
      <c r="BU17" t="b">
        <f t="shared" si="13"/>
        <v>0</v>
      </c>
      <c r="BV17"/>
      <c r="BW17" t="b">
        <f t="shared" si="14"/>
        <v>1</v>
      </c>
      <c r="BY17" s="49"/>
    </row>
    <row r="18" spans="1:77" s="1" customFormat="1" ht="13.8" customHeight="1">
      <c r="A18" s="87" t="s">
        <v>90</v>
      </c>
      <c r="B18" s="37">
        <f>'[4]Dados de entrada'!$B$28</f>
        <v>20</v>
      </c>
      <c r="C18" s="37">
        <f>'[4]Dados de entrada'!$B$31</f>
        <v>2</v>
      </c>
      <c r="D18" s="37">
        <f>'[4]Dados de entrada'!$B$32</f>
        <v>221</v>
      </c>
      <c r="E18" s="41">
        <f>'[4]Dados de entrada'!$B$27</f>
        <v>4.1311267633290143</v>
      </c>
      <c r="F18" s="37">
        <f>'[4]Dados de entrada'!$B$30</f>
        <v>25</v>
      </c>
      <c r="G18" s="37">
        <f>'[4]Dados de entrada'!$B$22</f>
        <v>41</v>
      </c>
      <c r="H18" s="42">
        <f>'[4]Dados de entrada'!$B$29/(2*'[4]Dados de entrada'!$B$20*G18)</f>
        <v>2.4625519567092777E-2</v>
      </c>
      <c r="I18" s="25" cm="1">
        <f t="array" ref="I18:I24">'[4]Dados de entrada'!$E$7:$E$13</f>
        <v>262</v>
      </c>
      <c r="J18" s="73" cm="1">
        <f t="array" ref="J18:J24">'[4]Dados de entrada'!$C$7:$C$13</f>
        <v>0.16</v>
      </c>
      <c r="K18" s="4" cm="1">
        <f t="array" ref="K18:K24">'[4]fib Model Code 2010'!$F$5:$F$11</f>
        <v>0.20384075008562094</v>
      </c>
      <c r="L18" s="4">
        <f t="shared" si="0"/>
        <v>1.2740046880351308</v>
      </c>
      <c r="M18" s="4">
        <f t="shared" si="1"/>
        <v>0.24216523691959904</v>
      </c>
      <c r="N18" s="4" cm="1">
        <f t="array" ref="N18:N24">'[4]fib Model Code 2020'!$F$5:$F$11</f>
        <v>0.15749040323695587</v>
      </c>
      <c r="O18" s="4">
        <f t="shared" si="2"/>
        <v>0.98431502023097417</v>
      </c>
      <c r="P18" s="4">
        <f t="shared" si="3"/>
        <v>-1.58092906534101E-2</v>
      </c>
      <c r="Q18" s="4" cm="1">
        <f t="array" ref="Q18:Q24">'[4]Eurocode 2'!$F$5:$F$11</f>
        <v>0.20246196019108278</v>
      </c>
      <c r="R18" s="4">
        <f t="shared" si="4"/>
        <v>1.2653872511942674</v>
      </c>
      <c r="S18" s="4">
        <f t="shared" si="5"/>
        <v>0.23537820275834195</v>
      </c>
      <c r="T18" s="4" cm="1">
        <f t="array" ref="T18:T24">'[4]NBR 6118'!$F$5:$F$11</f>
        <v>0.3831294106321857</v>
      </c>
      <c r="U18" s="4" cm="1">
        <f t="array" ref="U18:U24">'[4]NBR 6118'!$G$5:$G$11</f>
        <v>0.17724042582431693</v>
      </c>
      <c r="V18" s="4" cm="1">
        <f t="array" ref="V18:V24">'[4]NBR 6118'!$L$5:$L$11</f>
        <v>1.1077526614019808</v>
      </c>
      <c r="W18" s="4">
        <f t="shared" si="6"/>
        <v>0.10233333362401002</v>
      </c>
      <c r="X18" s="4" cm="1">
        <f t="array" ref="X18:X24">[4]Sugestão!$G$5:$G$11</f>
        <v>0.18660041653134951</v>
      </c>
      <c r="Y18" s="4">
        <f t="shared" ref="Y18:Y24" si="42">X18/J18</f>
        <v>1.1662526033209344</v>
      </c>
      <c r="Z18" s="4">
        <f t="shared" ref="Z18:Z24" si="43">LN(Y18)</f>
        <v>0.15379570539208862</v>
      </c>
      <c r="AA18" s="4" cm="1">
        <f t="array" ref="AA18:AA24">'[4]fib Model Code 2020 modificado'!$F$5:$F$11</f>
        <v>0.23744975146625499</v>
      </c>
      <c r="AB18" s="4">
        <f t="shared" si="10"/>
        <v>1.4840609466640937</v>
      </c>
      <c r="AC18" s="4">
        <f t="shared" si="11"/>
        <v>0.39478221308252914</v>
      </c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4"/>
      <c r="BJ18" s="71"/>
      <c r="BK18" s="71"/>
      <c r="BL18" s="71"/>
      <c r="BM18" s="71"/>
      <c r="BN18" s="71"/>
      <c r="BS18" t="b">
        <f t="shared" si="12"/>
        <v>0</v>
      </c>
      <c r="BT18"/>
      <c r="BU18" t="b">
        <f t="shared" si="13"/>
        <v>1</v>
      </c>
      <c r="BV18"/>
      <c r="BW18" t="b">
        <f t="shared" si="14"/>
        <v>1</v>
      </c>
      <c r="BY18" s="49"/>
    </row>
    <row r="19" spans="1:77" s="1" customFormat="1">
      <c r="A19" s="88"/>
      <c r="B19" s="37">
        <f>'[4]Dados de entrada'!$B$28</f>
        <v>20</v>
      </c>
      <c r="C19" s="37">
        <f>'[4]Dados de entrada'!$B$31</f>
        <v>2</v>
      </c>
      <c r="D19" s="37">
        <f>'[4]Dados de entrada'!$B$32</f>
        <v>221</v>
      </c>
      <c r="E19" s="41">
        <f>'[4]Dados de entrada'!$B$27</f>
        <v>4.1311267633290143</v>
      </c>
      <c r="F19" s="37">
        <f>'[4]Dados de entrada'!$B$30</f>
        <v>25</v>
      </c>
      <c r="G19" s="37">
        <f>'[4]Dados de entrada'!$B$22</f>
        <v>41</v>
      </c>
      <c r="H19" s="42">
        <f>'[4]Dados de entrada'!$B$29/(2*'[4]Dados de entrada'!$B$20*G19)</f>
        <v>2.4625519567092777E-2</v>
      </c>
      <c r="I19" s="71">
        <v>289</v>
      </c>
      <c r="J19" s="71">
        <v>0.19</v>
      </c>
      <c r="K19" s="4">
        <v>0.24866101282447442</v>
      </c>
      <c r="L19" s="4">
        <f t="shared" si="0"/>
        <v>1.3087421727603916</v>
      </c>
      <c r="M19" s="4">
        <f t="shared" si="1"/>
        <v>0.26906650248588393</v>
      </c>
      <c r="N19" s="4">
        <v>0.18560028619680935</v>
      </c>
      <c r="O19" s="4">
        <f t="shared" si="2"/>
        <v>0.97684361156215449</v>
      </c>
      <c r="P19" s="4">
        <f t="shared" si="3"/>
        <v>-2.3428709800903755E-2</v>
      </c>
      <c r="Q19" s="4">
        <v>0.22332636066878978</v>
      </c>
      <c r="R19" s="4">
        <f t="shared" si="4"/>
        <v>1.1754018982567882</v>
      </c>
      <c r="S19" s="4">
        <f t="shared" si="5"/>
        <v>0.1616101301830179</v>
      </c>
      <c r="T19" s="4">
        <v>0.42261221249122777</v>
      </c>
      <c r="U19" s="4">
        <v>0.21565319045033468</v>
      </c>
      <c r="V19" s="4">
        <v>1.1350167918438667</v>
      </c>
      <c r="W19" s="4">
        <f t="shared" si="6"/>
        <v>0.12664744540002137</v>
      </c>
      <c r="X19" s="4">
        <v>0.22563015696323033</v>
      </c>
      <c r="Y19" s="4">
        <f t="shared" si="42"/>
        <v>1.1875271419117386</v>
      </c>
      <c r="Z19" s="4">
        <f t="shared" si="43"/>
        <v>0.17187311301218414</v>
      </c>
      <c r="AA19" s="4">
        <v>0.27750007656846082</v>
      </c>
      <c r="AB19" s="4">
        <f t="shared" si="10"/>
        <v>1.4605267187813726</v>
      </c>
      <c r="AC19" s="4">
        <f t="shared" si="11"/>
        <v>0.37879713694834627</v>
      </c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4"/>
      <c r="BJ19" s="71"/>
      <c r="BK19" s="71"/>
      <c r="BL19" s="71"/>
      <c r="BM19" s="71"/>
      <c r="BN19" s="71"/>
      <c r="BS19" t="b">
        <f t="shared" si="12"/>
        <v>0</v>
      </c>
      <c r="BT19"/>
      <c r="BU19" t="b">
        <f t="shared" si="13"/>
        <v>1</v>
      </c>
      <c r="BV19"/>
      <c r="BW19" t="b">
        <f t="shared" si="14"/>
        <v>1</v>
      </c>
      <c r="BY19" s="49"/>
    </row>
    <row r="20" spans="1:77" s="1" customFormat="1">
      <c r="A20" s="88"/>
      <c r="B20" s="37">
        <f>'[4]Dados de entrada'!$B$28</f>
        <v>20</v>
      </c>
      <c r="C20" s="37">
        <f>'[4]Dados de entrada'!$B$31</f>
        <v>2</v>
      </c>
      <c r="D20" s="37">
        <f>'[4]Dados de entrada'!$B$32</f>
        <v>221</v>
      </c>
      <c r="E20" s="41">
        <f>'[4]Dados de entrada'!$B$27</f>
        <v>4.1311267633290143</v>
      </c>
      <c r="F20" s="37">
        <f>'[4]Dados de entrada'!$B$30</f>
        <v>25</v>
      </c>
      <c r="G20" s="37">
        <f>'[4]Dados de entrada'!$B$22</f>
        <v>41</v>
      </c>
      <c r="H20" s="42">
        <f>'[4]Dados de entrada'!$B$29/(2*'[4]Dados de entrada'!$B$20*G20)</f>
        <v>2.4625519567092777E-2</v>
      </c>
      <c r="I20" s="71">
        <v>315</v>
      </c>
      <c r="J20" s="71">
        <v>0.21</v>
      </c>
      <c r="K20" s="4">
        <v>0.29182126583225926</v>
      </c>
      <c r="L20" s="4">
        <f t="shared" si="0"/>
        <v>1.3896250753917108</v>
      </c>
      <c r="M20" s="4">
        <f t="shared" si="1"/>
        <v>0.32903398082491803</v>
      </c>
      <c r="N20" s="4">
        <v>0.21266906238037198</v>
      </c>
      <c r="O20" s="4">
        <f t="shared" si="2"/>
        <v>1.0127098208589143</v>
      </c>
      <c r="P20" s="4">
        <f t="shared" si="3"/>
        <v>1.2629729007227673E-2</v>
      </c>
      <c r="Q20" s="4">
        <v>0.24341800557324841</v>
      </c>
      <c r="R20" s="4">
        <f t="shared" si="4"/>
        <v>1.1591333598726115</v>
      </c>
      <c r="S20" s="4">
        <f t="shared" si="5"/>
        <v>0.14767262233923648</v>
      </c>
      <c r="T20" s="4">
        <v>0.46063268835549048</v>
      </c>
      <c r="U20" s="4">
        <v>0.2562012885673598</v>
      </c>
      <c r="V20" s="4">
        <v>1.2200061360350467</v>
      </c>
      <c r="W20" s="4">
        <f t="shared" si="6"/>
        <v>0.19885588826944064</v>
      </c>
      <c r="X20" s="4">
        <v>0.26321435145318967</v>
      </c>
      <c r="Y20" s="4">
        <f t="shared" si="42"/>
        <v>1.2534016735866176</v>
      </c>
      <c r="Z20" s="4">
        <f t="shared" si="43"/>
        <v>0.22586119404499483</v>
      </c>
      <c r="AA20" s="4">
        <v>0.31672053463136884</v>
      </c>
      <c r="AB20" s="4">
        <f t="shared" si="10"/>
        <v>1.5081930220541373</v>
      </c>
      <c r="AC20" s="4">
        <f t="shared" si="11"/>
        <v>0.41091226010426857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4"/>
      <c r="BJ20" s="71"/>
      <c r="BK20" s="71"/>
      <c r="BL20" s="71"/>
      <c r="BM20" s="71"/>
      <c r="BN20" s="71"/>
      <c r="BS20" t="b">
        <f t="shared" si="12"/>
        <v>0</v>
      </c>
      <c r="BT20"/>
      <c r="BU20" t="b">
        <f t="shared" si="13"/>
        <v>1</v>
      </c>
      <c r="BV20"/>
      <c r="BW20" t="b">
        <f t="shared" si="14"/>
        <v>1</v>
      </c>
      <c r="BY20" s="49"/>
    </row>
    <row r="21" spans="1:77" s="1" customFormat="1">
      <c r="A21" s="88"/>
      <c r="B21" s="37">
        <f>'[4]Dados de entrada'!$B$28</f>
        <v>20</v>
      </c>
      <c r="C21" s="37">
        <f>'[4]Dados de entrada'!$B$31</f>
        <v>2</v>
      </c>
      <c r="D21" s="37">
        <f>'[4]Dados de entrada'!$B$32</f>
        <v>221</v>
      </c>
      <c r="E21" s="41">
        <f>'[4]Dados de entrada'!$B$27</f>
        <v>4.1311267633290143</v>
      </c>
      <c r="F21" s="37">
        <f>'[4]Dados de entrada'!$B$30</f>
        <v>25</v>
      </c>
      <c r="G21" s="37">
        <f>'[4]Dados de entrada'!$B$22</f>
        <v>41</v>
      </c>
      <c r="H21" s="42">
        <f>'[4]Dados de entrada'!$B$29/(2*'[4]Dados de entrada'!$B$20*G21)</f>
        <v>2.4625519567092777E-2</v>
      </c>
      <c r="I21" s="71">
        <v>362</v>
      </c>
      <c r="J21" s="71">
        <v>0.24</v>
      </c>
      <c r="K21" s="4">
        <v>0.36984172319248576</v>
      </c>
      <c r="L21" s="4">
        <f t="shared" si="0"/>
        <v>1.5410071799686906</v>
      </c>
      <c r="M21" s="4">
        <f t="shared" si="1"/>
        <v>0.43243621561894163</v>
      </c>
      <c r="N21" s="4">
        <v>0.26160108086604289</v>
      </c>
      <c r="O21" s="4">
        <f t="shared" si="2"/>
        <v>1.090004503608512</v>
      </c>
      <c r="P21" s="4">
        <f t="shared" si="3"/>
        <v>8.6181827983445092E-2</v>
      </c>
      <c r="Q21" s="4">
        <v>0.28694335086096484</v>
      </c>
      <c r="R21" s="4">
        <f t="shared" si="4"/>
        <v>1.1955972952540201</v>
      </c>
      <c r="S21" s="4">
        <f t="shared" si="5"/>
        <v>0.17864588917518734</v>
      </c>
      <c r="T21" s="4">
        <v>0.52936201011011919</v>
      </c>
      <c r="U21" s="4">
        <v>0.33835869648799294</v>
      </c>
      <c r="V21" s="4">
        <v>1.409827902033304</v>
      </c>
      <c r="W21" s="4">
        <f t="shared" si="6"/>
        <v>0.34346764164519406</v>
      </c>
      <c r="X21" s="4">
        <v>0.33115501072350073</v>
      </c>
      <c r="Y21" s="4">
        <f t="shared" si="42"/>
        <v>1.379812544681253</v>
      </c>
      <c r="Z21" s="4">
        <f t="shared" si="43"/>
        <v>0.32194765275490922</v>
      </c>
      <c r="AA21" s="4">
        <v>0.38924611170074608</v>
      </c>
      <c r="AB21" s="4">
        <f t="shared" si="10"/>
        <v>1.6218587987531088</v>
      </c>
      <c r="AC21" s="4">
        <f t="shared" si="11"/>
        <v>0.48357289811412146</v>
      </c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4"/>
      <c r="BJ21" s="71"/>
      <c r="BK21" s="71"/>
      <c r="BL21" s="71"/>
      <c r="BM21" s="71"/>
      <c r="BN21" s="71"/>
      <c r="BS21" t="b">
        <f t="shared" si="12"/>
        <v>0</v>
      </c>
      <c r="BT21"/>
      <c r="BU21" t="b">
        <f t="shared" si="13"/>
        <v>1</v>
      </c>
      <c r="BV21"/>
      <c r="BW21" t="b">
        <f t="shared" si="14"/>
        <v>1</v>
      </c>
      <c r="BY21" s="49"/>
    </row>
    <row r="22" spans="1:77" s="1" customFormat="1">
      <c r="A22" s="88"/>
      <c r="B22" s="37">
        <f>'[4]Dados de entrada'!$B$28</f>
        <v>20</v>
      </c>
      <c r="C22" s="37">
        <f>'[4]Dados de entrada'!$B$31</f>
        <v>2</v>
      </c>
      <c r="D22" s="37">
        <f>'[4]Dados de entrada'!$B$32</f>
        <v>221</v>
      </c>
      <c r="E22" s="41">
        <f>'[4]Dados de entrada'!$B$27</f>
        <v>4.1311267633290143</v>
      </c>
      <c r="F22" s="37">
        <f>'[4]Dados de entrada'!$B$30</f>
        <v>25</v>
      </c>
      <c r="G22" s="37">
        <f>'[4]Dados de entrada'!$B$22</f>
        <v>41</v>
      </c>
      <c r="H22" s="42">
        <f>'[4]Dados de entrada'!$B$29/(2*'[4]Dados de entrada'!$B$20*G22)</f>
        <v>2.4625519567092777E-2</v>
      </c>
      <c r="I22" s="71">
        <v>405</v>
      </c>
      <c r="J22" s="71">
        <v>0.27</v>
      </c>
      <c r="K22" s="4">
        <v>0.44122214162843754</v>
      </c>
      <c r="L22" s="4">
        <f t="shared" si="0"/>
        <v>1.6341560801053241</v>
      </c>
      <c r="M22" s="4">
        <f t="shared" si="1"/>
        <v>0.49112651213633784</v>
      </c>
      <c r="N22" s="4">
        <v>0.30636867224655029</v>
      </c>
      <c r="O22" s="4">
        <f t="shared" si="2"/>
        <v>1.1346987860983344</v>
      </c>
      <c r="P22" s="4">
        <f t="shared" si="3"/>
        <v>0.12636722901458203</v>
      </c>
      <c r="Q22" s="4">
        <v>0.34232416694376744</v>
      </c>
      <c r="R22" s="4">
        <f t="shared" si="4"/>
        <v>1.2678672849769164</v>
      </c>
      <c r="S22" s="4">
        <f t="shared" si="5"/>
        <v>0.23733618569258391</v>
      </c>
      <c r="T22" s="4">
        <v>0.59224202788563052</v>
      </c>
      <c r="U22" s="4">
        <v>0.42351641579502336</v>
      </c>
      <c r="V22" s="4">
        <v>1.5685793177593457</v>
      </c>
      <c r="W22" s="4">
        <f t="shared" si="6"/>
        <v>0.45017031655034667</v>
      </c>
      <c r="X22" s="4">
        <v>0.39331348622612583</v>
      </c>
      <c r="Y22" s="4">
        <f t="shared" si="42"/>
        <v>1.4567166156523177</v>
      </c>
      <c r="Z22" s="4">
        <f t="shared" si="43"/>
        <v>0.37618500977300273</v>
      </c>
      <c r="AA22" s="4">
        <v>0.45743453954863228</v>
      </c>
      <c r="AB22" s="4">
        <f t="shared" si="10"/>
        <v>1.6942019983282677</v>
      </c>
      <c r="AC22" s="4">
        <f t="shared" si="11"/>
        <v>0.52721183252604964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4"/>
      <c r="BJ22" s="71"/>
      <c r="BK22" s="71"/>
      <c r="BL22" s="71"/>
      <c r="BM22" s="71"/>
      <c r="BN22" s="71"/>
      <c r="BS22" t="b">
        <f t="shared" si="12"/>
        <v>0</v>
      </c>
      <c r="BT22"/>
      <c r="BU22" t="b">
        <f t="shared" si="13"/>
        <v>1</v>
      </c>
      <c r="BV22"/>
      <c r="BW22" t="b">
        <f t="shared" si="14"/>
        <v>1</v>
      </c>
      <c r="BY22" s="49"/>
    </row>
    <row r="23" spans="1:77" s="1" customFormat="1">
      <c r="A23" s="88"/>
      <c r="B23" s="37">
        <f>'[4]Dados de entrada'!$B$28</f>
        <v>20</v>
      </c>
      <c r="C23" s="37">
        <f>'[4]Dados de entrada'!$B$31</f>
        <v>2</v>
      </c>
      <c r="D23" s="37">
        <f>'[4]Dados de entrada'!$B$32</f>
        <v>221</v>
      </c>
      <c r="E23" s="41">
        <f>'[4]Dados de entrada'!$B$27</f>
        <v>4.1311267633290143</v>
      </c>
      <c r="F23" s="37">
        <f>'[4]Dados de entrada'!$B$30</f>
        <v>25</v>
      </c>
      <c r="G23" s="37">
        <f>'[4]Dados de entrada'!$B$22</f>
        <v>41</v>
      </c>
      <c r="H23" s="42">
        <f>'[4]Dados de entrada'!$B$29/(2*'[4]Dados de entrada'!$B$20*G23)</f>
        <v>2.4625519567092777E-2</v>
      </c>
      <c r="I23" s="71">
        <v>451</v>
      </c>
      <c r="J23" s="71">
        <v>0.3</v>
      </c>
      <c r="K23" s="4">
        <v>0.51758258925759537</v>
      </c>
      <c r="L23" s="4">
        <f t="shared" si="0"/>
        <v>1.7252752975253181</v>
      </c>
      <c r="M23" s="4">
        <f t="shared" si="1"/>
        <v>0.54538663051805236</v>
      </c>
      <c r="N23" s="4">
        <v>0.35425958395593027</v>
      </c>
      <c r="O23" s="4">
        <f t="shared" si="2"/>
        <v>1.180865279853101</v>
      </c>
      <c r="P23" s="4">
        <f t="shared" si="3"/>
        <v>0.16624745776438246</v>
      </c>
      <c r="Q23" s="4">
        <v>0.40156876089281202</v>
      </c>
      <c r="R23" s="4">
        <f t="shared" si="4"/>
        <v>1.3385625363093734</v>
      </c>
      <c r="S23" s="4">
        <f t="shared" si="5"/>
        <v>0.29159630407429821</v>
      </c>
      <c r="T23" s="4">
        <v>0.65950902364548003</v>
      </c>
      <c r="U23" s="4">
        <v>0.52518617582151228</v>
      </c>
      <c r="V23" s="4">
        <v>1.7506205860717077</v>
      </c>
      <c r="W23" s="4">
        <f t="shared" si="6"/>
        <v>0.55997034568479898</v>
      </c>
      <c r="X23" s="4">
        <v>0.45980859955451531</v>
      </c>
      <c r="Y23" s="4">
        <f t="shared" si="42"/>
        <v>1.5326953318483845</v>
      </c>
      <c r="Z23" s="4">
        <f t="shared" si="43"/>
        <v>0.42702784031337249</v>
      </c>
      <c r="AA23" s="4">
        <v>0.53232176568436795</v>
      </c>
      <c r="AB23" s="4">
        <f t="shared" si="10"/>
        <v>1.7744058856145599</v>
      </c>
      <c r="AC23" s="4">
        <f t="shared" si="11"/>
        <v>0.57346565456887921</v>
      </c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4"/>
      <c r="BJ23" s="71"/>
      <c r="BK23" s="71"/>
      <c r="BL23" s="71"/>
      <c r="BM23" s="71"/>
      <c r="BN23" s="71"/>
      <c r="BS23" t="b">
        <f t="shared" si="12"/>
        <v>0</v>
      </c>
      <c r="BT23"/>
      <c r="BU23" t="b">
        <f t="shared" si="13"/>
        <v>1</v>
      </c>
      <c r="BV23"/>
      <c r="BW23" t="b">
        <f t="shared" si="14"/>
        <v>1</v>
      </c>
      <c r="BY23" s="49"/>
    </row>
    <row r="24" spans="1:77" s="1" customFormat="1">
      <c r="A24" s="89"/>
      <c r="B24" s="37">
        <f>'[4]Dados de entrada'!$B$28</f>
        <v>20</v>
      </c>
      <c r="C24" s="37">
        <f>'[4]Dados de entrada'!$B$31</f>
        <v>2</v>
      </c>
      <c r="D24" s="37">
        <f>'[4]Dados de entrada'!$B$32</f>
        <v>221</v>
      </c>
      <c r="E24" s="41">
        <f>'[4]Dados de entrada'!$B$27</f>
        <v>4.1311267633290143</v>
      </c>
      <c r="F24" s="37">
        <f>'[4]Dados de entrada'!$B$30</f>
        <v>25</v>
      </c>
      <c r="G24" s="37">
        <f>'[4]Dados de entrada'!$B$22</f>
        <v>41</v>
      </c>
      <c r="H24" s="42">
        <f>'[4]Dados de entrada'!$B$29/(2*'[4]Dados de entrada'!$B$20*G24)</f>
        <v>2.4625519567092777E-2</v>
      </c>
      <c r="I24" s="71">
        <v>489</v>
      </c>
      <c r="J24" s="71">
        <v>0.33</v>
      </c>
      <c r="K24" s="4">
        <v>0.58066295903820397</v>
      </c>
      <c r="L24" s="4">
        <f t="shared" si="0"/>
        <v>1.7595847243581937</v>
      </c>
      <c r="M24" s="4">
        <f t="shared" si="1"/>
        <v>0.56507782913978333</v>
      </c>
      <c r="N24" s="4">
        <v>0.39382164145498333</v>
      </c>
      <c r="O24" s="4">
        <f t="shared" si="2"/>
        <v>1.1933989134999494</v>
      </c>
      <c r="P24" s="4">
        <f t="shared" si="3"/>
        <v>0.176805465681389</v>
      </c>
      <c r="Q24" s="4">
        <v>0.45050994719854448</v>
      </c>
      <c r="R24" s="4">
        <f t="shared" si="4"/>
        <v>1.3651816581774074</v>
      </c>
      <c r="S24" s="4">
        <f t="shared" si="5"/>
        <v>0.31128750269602928</v>
      </c>
      <c r="T24" s="4">
        <v>0.71507741144709469</v>
      </c>
      <c r="U24" s="4">
        <v>0.61741605768219343</v>
      </c>
      <c r="V24" s="4">
        <v>1.8709577505521011</v>
      </c>
      <c r="W24" s="4">
        <f t="shared" si="6"/>
        <v>0.62645046582486119</v>
      </c>
      <c r="X24" s="4">
        <v>0.50910121360623528</v>
      </c>
      <c r="Y24" s="4">
        <f t="shared" si="42"/>
        <v>1.5427309503219251</v>
      </c>
      <c r="Z24" s="4">
        <f t="shared" si="43"/>
        <v>0.43355419027174547</v>
      </c>
      <c r="AA24" s="4">
        <v>0.59569884399943596</v>
      </c>
      <c r="AB24" s="4">
        <f t="shared" si="10"/>
        <v>1.8051480121195027</v>
      </c>
      <c r="AC24" s="4">
        <f t="shared" si="11"/>
        <v>0.59064258959717142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4"/>
      <c r="BJ24" s="71"/>
      <c r="BK24" s="71"/>
      <c r="BL24" s="71"/>
      <c r="BM24" s="71"/>
      <c r="BN24" s="71"/>
      <c r="BS24" t="b">
        <f t="shared" si="12"/>
        <v>0</v>
      </c>
      <c r="BT24"/>
      <c r="BU24" t="b">
        <f t="shared" si="13"/>
        <v>1</v>
      </c>
      <c r="BV24"/>
      <c r="BW24" t="b">
        <f t="shared" si="14"/>
        <v>1</v>
      </c>
      <c r="BY24" s="49"/>
    </row>
    <row r="25" spans="1:77" s="1" customFormat="1" ht="12" customHeight="1">
      <c r="A25" s="85" t="s">
        <v>91</v>
      </c>
      <c r="B25" s="43">
        <f>'[5]Dados de entrada'!$B$28</f>
        <v>10</v>
      </c>
      <c r="C25" s="43">
        <f>'[5]Dados de entrada'!$B$31</f>
        <v>8</v>
      </c>
      <c r="D25" s="43">
        <f>'[5]Dados de entrada'!$B$32</f>
        <v>87.7</v>
      </c>
      <c r="E25" s="44">
        <f>'[5]Dados de entrada'!$B$27</f>
        <v>4.1311267633290143</v>
      </c>
      <c r="F25" s="43">
        <f>'[5]Dados de entrada'!$B$30</f>
        <v>25</v>
      </c>
      <c r="G25" s="43">
        <f>'[5]Dados de entrada'!$B$22</f>
        <v>53</v>
      </c>
      <c r="H25" s="45">
        <f>'[5]Dados de entrada'!$B$29/(2*'[5]Dados de entrada'!$B$20*G25)</f>
        <v>1.9235481499632442E-2</v>
      </c>
      <c r="I25" s="26" cm="1">
        <f t="array" ref="I25:I27">'[5]fib Model Code 2010'!$K$5:$K$7</f>
        <v>322.91971563781163</v>
      </c>
      <c r="J25" s="68" cm="1">
        <f t="array" ref="J25:J27">'[5]Dados de entrada'!$C$7:$C$9</f>
        <v>0.16</v>
      </c>
      <c r="K25" s="19" cm="1">
        <f t="array" ref="K25:K27">'[5]fib Model Code 2010'!$F$5:$F$7</f>
        <v>0.17235205259814823</v>
      </c>
      <c r="L25" s="19">
        <f t="shared" si="0"/>
        <v>1.0772003287384264</v>
      </c>
      <c r="M25" s="19">
        <f t="shared" si="1"/>
        <v>7.4365387133895955E-2</v>
      </c>
      <c r="N25" s="19" cm="1">
        <f t="array" ref="N25:N27">'[5]fib Model Code 2020'!$F$5:$F$7</f>
        <v>0.13686887565872033</v>
      </c>
      <c r="O25" s="19">
        <f t="shared" si="2"/>
        <v>0.85543047286700202</v>
      </c>
      <c r="P25" s="19">
        <f t="shared" si="3"/>
        <v>-0.15615045970998526</v>
      </c>
      <c r="Q25" s="19" cm="1">
        <f t="array" ref="Q25:Q27">'[5]Eurocode 2'!$F$5:$F$7</f>
        <v>0.18999968789808919</v>
      </c>
      <c r="R25" s="19">
        <f t="shared" si="4"/>
        <v>1.1874980493630574</v>
      </c>
      <c r="S25" s="19">
        <f t="shared" si="5"/>
        <v>0.17184861428367418</v>
      </c>
      <c r="T25" s="19" cm="1">
        <f t="array" ref="T25:T27">'[5]NBR 6118'!$F$5:$F$7</f>
        <v>0.2352554933360087</v>
      </c>
      <c r="U25" s="19" cm="1">
        <f t="array" ref="U25:U27">'[5]NBR 6118'!$G$5:$G$7</f>
        <v>0.13552525305440749</v>
      </c>
      <c r="V25" s="19" cm="1">
        <f t="array" ref="V25:V27">'[5]NBR 6118'!$L$5:$L$7</f>
        <v>0.84703283159004683</v>
      </c>
      <c r="W25" s="19">
        <f t="shared" si="6"/>
        <v>-0.16601582287347014</v>
      </c>
      <c r="X25" s="19" cm="1">
        <f t="array" ref="X25:X27">[5]Sugestão!$G$5:$G$7</f>
        <v>0.22227012668197407</v>
      </c>
      <c r="Y25" s="19">
        <f t="shared" ref="Y25:Y27" si="44">X25/J25</f>
        <v>1.3891882917623379</v>
      </c>
      <c r="Z25" s="19">
        <f t="shared" ref="Z25:Z27" si="45">LN(Y25)</f>
        <v>0.32871961380903075</v>
      </c>
      <c r="AA25" s="19" cm="1">
        <f t="array" ref="AA25:AA27">'[5]fib Model Code 2020 modificado'!$F$5:$F$7</f>
        <v>0.17253130301177133</v>
      </c>
      <c r="AB25" s="19">
        <f t="shared" si="10"/>
        <v>1.0783206438235708</v>
      </c>
      <c r="AC25" s="19">
        <f t="shared" si="11"/>
        <v>7.5404871509397522E-2</v>
      </c>
      <c r="AD25" s="68" cm="1">
        <f t="array" ref="AD25:AD27">'[5]fib Model Code 2010'!$L$5:$L$7</f>
        <v>0.17110696370812956</v>
      </c>
      <c r="AE25" s="68">
        <f>AD25/J25</f>
        <v>1.0694185231758098</v>
      </c>
      <c r="AF25" s="68" cm="1">
        <f t="array" ref="AF25:AF27">LN(AE25:AE27)</f>
        <v>6.7115064474509101E-2</v>
      </c>
      <c r="AG25" s="68" cm="1">
        <f t="array" ref="AG25:AG27">'[5]fib Model Code 2020'!$L$5:$L$7</f>
        <v>0.13580672680659342</v>
      </c>
      <c r="AH25" s="68">
        <f>AG25/J25</f>
        <v>0.84879204254120888</v>
      </c>
      <c r="AI25" s="68" cm="1">
        <f t="array" ref="AI25:AI27">LN(AH25:AH27)</f>
        <v>-0.16394106667775923</v>
      </c>
      <c r="AJ25" s="68" cm="1">
        <f t="array" ref="AJ25:AJ27">'[5]Eurocode 2'!$L$5:$L$7</f>
        <v>0.18936618884976517</v>
      </c>
      <c r="AK25" s="68">
        <f>AJ25/J25</f>
        <v>1.1835386803110322</v>
      </c>
      <c r="AL25" s="68" cm="1">
        <f t="array" ref="AL25:AL27">LN(AK25:AK27)</f>
        <v>0.16850883242137513</v>
      </c>
      <c r="AM25" s="68" cm="1">
        <f t="array" ref="AM25:AM27">'[5]NBR 6118'!$Q$5:$Q$7</f>
        <v>0.2432137981836999</v>
      </c>
      <c r="AN25" s="68" cm="1">
        <f t="array" ref="AN25:AN27">'[5]NBR 6118'!$R$5:$R$7</f>
        <v>0.1448495333689632</v>
      </c>
      <c r="AO25" s="68" cm="1">
        <f t="array" ref="AO25:AO27">'[5]NBR 6118'!$W$5:$W$7</f>
        <v>0.90530958355601998</v>
      </c>
      <c r="AP25" s="68" cm="1">
        <f t="array" ref="AP25:AP27">LN(AO25:AO27)</f>
        <v>-9.9478312501300972E-2</v>
      </c>
      <c r="AQ25" s="68" cm="1">
        <f t="array" ref="AQ25:AQ27">'[5]Clark (1956)'!$L$5:$L$7</f>
        <v>0.18168753501004353</v>
      </c>
      <c r="AR25" s="68">
        <f>AQ25/J25</f>
        <v>1.1355470938127721</v>
      </c>
      <c r="AS25" s="68" cm="1">
        <f t="array" ref="AS25:AS27">LN(AR25:AR27)</f>
        <v>0.12711455577898725</v>
      </c>
      <c r="AT25" s="68" cm="1">
        <f t="array" ref="AT25:AT27">'[5]Leonhardt (1977)'!$L$5:$L$7</f>
        <v>0.25673146221285098</v>
      </c>
      <c r="AU25" s="68">
        <f>AT25/J25</f>
        <v>1.6045716388303186</v>
      </c>
      <c r="AV25" s="68" cm="1">
        <f t="array" ref="AV25:AV27">LN(AU25:AU27)</f>
        <v>0.47285682926554706</v>
      </c>
      <c r="AW25" s="68" cm="1">
        <f t="array" ref="AW25:AW27">'[5]Desayi; Ganesan (1985)'!$L$5:$L$7</f>
        <v>0.26529737942563375</v>
      </c>
      <c r="AX25" s="68">
        <f>AW25/J25</f>
        <v>1.658108621410211</v>
      </c>
      <c r="AY25" s="68" cm="1">
        <f t="array" ref="AY25:AY27">LN(AX25:AX27)</f>
        <v>0.50567756808359843</v>
      </c>
      <c r="AZ25" s="68" cm="1">
        <f t="array" ref="AZ25:AZ27">'[5]Oh; Kang (1987)'!$L$5:$L$7</f>
        <v>0.10483022583657002</v>
      </c>
      <c r="BA25" s="68">
        <f>AZ25/J25</f>
        <v>0.65518891147856262</v>
      </c>
      <c r="BB25" s="68" cm="1">
        <f t="array" ref="BB25:BB27">LN(BA25:BA27)</f>
        <v>-0.4228316704592554</v>
      </c>
      <c r="BC25" s="68" cm="1">
        <f t="array" ref="BC25:BC27">'[5]Caldas (1997)'!$L$5:$L$7</f>
        <v>0.25496881340038491</v>
      </c>
      <c r="BD25" s="68">
        <f>BC25/J25</f>
        <v>1.5935550837524057</v>
      </c>
      <c r="BE25" s="68" cm="1">
        <f t="array" ref="BE25:BE27">LN(BD25:BD27)</f>
        <v>0.46596742205464925</v>
      </c>
      <c r="BF25" s="68" cm="1">
        <f t="array" ref="BF25:BF27">'[5]Gergely e Lutz (1968)'!$L$5:$L$7</f>
        <v>0.18984252639749352</v>
      </c>
      <c r="BG25" s="68">
        <f>BF25/J25</f>
        <v>1.1865157899843344</v>
      </c>
      <c r="BH25" s="68" cm="1">
        <f t="array" ref="BH25:BH27">LN(BG25:BG27)</f>
        <v>0.17102110484081012</v>
      </c>
      <c r="BI25" s="82" cm="1">
        <f t="array" ref="BI25:BI27">[5]Sugestão!$N$5:$N$7</f>
        <v>0.22051936594500704</v>
      </c>
      <c r="BJ25" s="68">
        <f>BI25/J25</f>
        <v>1.3782460371562939</v>
      </c>
      <c r="BK25" s="68" cm="1">
        <f t="array" ref="BK25:BK27">LN(BJ25:BJ27)</f>
        <v>0.32081170321147001</v>
      </c>
      <c r="BL25" s="68" cm="1">
        <f t="array" ref="BL25:BL27">'[5]fib Model Code 2020 modificado'!$L$5:$L$7</f>
        <v>0.17131099106952305</v>
      </c>
      <c r="BM25" s="68">
        <f>BL25/J25</f>
        <v>1.0706936941845191</v>
      </c>
      <c r="BN25" s="68" cm="1">
        <f t="array" ref="BN25:BN27">LN(BM25:BM27)</f>
        <v>6.8306750732148189E-2</v>
      </c>
      <c r="BS25" t="b">
        <f t="shared" si="12"/>
        <v>1</v>
      </c>
      <c r="BT25"/>
      <c r="BU25" t="b">
        <f t="shared" si="13"/>
        <v>0</v>
      </c>
      <c r="BV25"/>
      <c r="BW25" t="b">
        <f t="shared" si="14"/>
        <v>1</v>
      </c>
      <c r="BY25" s="49"/>
    </row>
    <row r="26" spans="1:77" s="1" customFormat="1">
      <c r="A26" s="90"/>
      <c r="B26" s="43">
        <f>'[5]Dados de entrada'!$B$28</f>
        <v>10</v>
      </c>
      <c r="C26" s="43">
        <f>'[5]Dados de entrada'!$B$31</f>
        <v>8</v>
      </c>
      <c r="D26" s="43">
        <f>'[5]Dados de entrada'!$B$32</f>
        <v>87.7</v>
      </c>
      <c r="E26" s="44">
        <f>'[5]Dados de entrada'!$B$27</f>
        <v>4.1311267633290143</v>
      </c>
      <c r="F26" s="43">
        <f>'[5]Dados de entrada'!$B$30</f>
        <v>25</v>
      </c>
      <c r="G26" s="43">
        <f>'[5]Dados de entrada'!$B$22</f>
        <v>53</v>
      </c>
      <c r="H26" s="45">
        <f>'[5]Dados de entrada'!$B$29/(2*'[5]Dados de entrada'!$B$20*G26)</f>
        <v>1.9235481499632442E-2</v>
      </c>
      <c r="I26" s="26">
        <v>367.82093324078352</v>
      </c>
      <c r="J26" s="67">
        <v>0.18</v>
      </c>
      <c r="K26" s="19">
        <v>0.22882732683735557</v>
      </c>
      <c r="L26" s="19">
        <f t="shared" si="0"/>
        <v>1.2712629268741977</v>
      </c>
      <c r="M26" s="19">
        <f t="shared" si="1"/>
        <v>0.24001083696153638</v>
      </c>
      <c r="N26" s="19">
        <v>0.18504627743910806</v>
      </c>
      <c r="O26" s="19">
        <f t="shared" si="2"/>
        <v>1.0280348746617116</v>
      </c>
      <c r="P26" s="19">
        <f t="shared" si="3"/>
        <v>2.7649091225743393E-2</v>
      </c>
      <c r="Q26" s="19">
        <v>0.21873420859872611</v>
      </c>
      <c r="R26" s="19">
        <f t="shared" si="4"/>
        <v>1.2151900477707007</v>
      </c>
      <c r="S26" s="19">
        <f t="shared" si="5"/>
        <v>0.19490048247877692</v>
      </c>
      <c r="T26" s="19">
        <v>0.27083425621707169</v>
      </c>
      <c r="U26" s="19">
        <v>0.17961717851896297</v>
      </c>
      <c r="V26" s="19">
        <v>0.99787321399423878</v>
      </c>
      <c r="W26" s="19">
        <f t="shared" si="6"/>
        <v>-2.1290508268813832E-3</v>
      </c>
      <c r="X26" s="19">
        <v>0.30168188076643071</v>
      </c>
      <c r="Y26" s="19">
        <f t="shared" si="44"/>
        <v>1.6760104487023928</v>
      </c>
      <c r="Z26" s="19">
        <f t="shared" si="45"/>
        <v>0.51641623634976164</v>
      </c>
      <c r="AA26" s="19">
        <v>0.22815888553756808</v>
      </c>
      <c r="AB26" s="19">
        <f t="shared" si="10"/>
        <v>1.2675493640976006</v>
      </c>
      <c r="AC26" s="19">
        <f t="shared" si="11"/>
        <v>0.23708540175843401</v>
      </c>
      <c r="AD26" s="68">
        <v>0.22285815917347976</v>
      </c>
      <c r="AE26" s="68">
        <f t="shared" ref="AE26:AE27" si="46">AD26/J26</f>
        <v>1.2381008842971097</v>
      </c>
      <c r="AF26" s="68">
        <v>0.21357866068147988</v>
      </c>
      <c r="AG26" s="68">
        <v>0.17995415539612394</v>
      </c>
      <c r="AH26" s="68">
        <f t="shared" ref="AH26:AH27" si="47">AG26/J26</f>
        <v>0.99974530775624415</v>
      </c>
      <c r="AI26" s="68">
        <v>-2.5472468333355381E-4</v>
      </c>
      <c r="AJ26" s="68">
        <v>0.21569710653744678</v>
      </c>
      <c r="AK26" s="68">
        <f t="shared" ref="AK26:AK27" si="48">AJ26/J26</f>
        <v>1.1983172585413711</v>
      </c>
      <c r="AL26" s="68">
        <v>0.18091828812399974</v>
      </c>
      <c r="AM26" s="68">
        <v>0.2770320977406715</v>
      </c>
      <c r="AN26" s="68">
        <v>0.18793205453378584</v>
      </c>
      <c r="AO26" s="68">
        <v>1.0440669696321436</v>
      </c>
      <c r="AP26" s="68">
        <v>4.3123634560331761E-2</v>
      </c>
      <c r="AQ26" s="68">
        <v>0.21973648361278203</v>
      </c>
      <c r="AR26" s="68">
        <f t="shared" ref="AR26:AR27" si="49">AQ26/J26</f>
        <v>1.2207582422932335</v>
      </c>
      <c r="AS26" s="68">
        <v>0.1994721757641858</v>
      </c>
      <c r="AT26" s="68">
        <v>0.30109270048343972</v>
      </c>
      <c r="AU26" s="68">
        <f t="shared" ref="AU26:AU27" si="50">AT26/J26</f>
        <v>1.6727372249079986</v>
      </c>
      <c r="AV26" s="68">
        <v>0.51446134147213018</v>
      </c>
      <c r="AW26" s="68">
        <v>0.30218634837434094</v>
      </c>
      <c r="AX26" s="68">
        <f t="shared" ref="AX26:AX27" si="51">AW26/J26</f>
        <v>1.6788130465241164</v>
      </c>
      <c r="AY26" s="68">
        <v>0.51808702378622307</v>
      </c>
      <c r="AZ26" s="68">
        <v>0.12146747139241644</v>
      </c>
      <c r="BA26" s="68">
        <f t="shared" ref="BA26:BA27" si="52">AZ26/J26</f>
        <v>0.67481928551342474</v>
      </c>
      <c r="BB26" s="68">
        <v>-0.39331034911968382</v>
      </c>
      <c r="BC26" s="68">
        <v>0.29679813828389767</v>
      </c>
      <c r="BD26" s="68">
        <f t="shared" ref="BD26:BD27" si="53">BC26/J26</f>
        <v>1.6488785460216537</v>
      </c>
      <c r="BE26" s="68">
        <v>0.50009538775496487</v>
      </c>
      <c r="BF26" s="68">
        <v>0.21623967768704974</v>
      </c>
      <c r="BG26" s="68">
        <f t="shared" ref="BG26:BG27" si="54">BF26/J26</f>
        <v>1.201331542705832</v>
      </c>
      <c r="BH26" s="68">
        <v>0.18343056054343473</v>
      </c>
      <c r="BI26" s="82">
        <v>0.29328843636092294</v>
      </c>
      <c r="BJ26" s="68">
        <f t="shared" ref="BJ26:BJ27" si="55">BI26/J26</f>
        <v>1.6293802020051276</v>
      </c>
      <c r="BK26" s="68">
        <v>0.48819969833889248</v>
      </c>
      <c r="BL26" s="68">
        <v>0.22225377502577889</v>
      </c>
      <c r="BM26" s="68">
        <f t="shared" ref="BM26:BM27" si="56">BL26/J26</f>
        <v>1.2347431945876606</v>
      </c>
      <c r="BN26" s="68">
        <v>0.21086300885237019</v>
      </c>
      <c r="BS26" t="b">
        <f t="shared" si="12"/>
        <v>1</v>
      </c>
      <c r="BT26"/>
      <c r="BU26" t="b">
        <f t="shared" si="13"/>
        <v>0</v>
      </c>
      <c r="BV26"/>
      <c r="BW26" t="b">
        <f t="shared" si="14"/>
        <v>1</v>
      </c>
      <c r="BY26" s="49"/>
    </row>
    <row r="27" spans="1:77" s="1" customFormat="1">
      <c r="A27" s="86"/>
      <c r="B27" s="43">
        <f>'[5]Dados de entrada'!$B$28</f>
        <v>10</v>
      </c>
      <c r="C27" s="43">
        <f>'[5]Dados de entrada'!$B$31</f>
        <v>8</v>
      </c>
      <c r="D27" s="43">
        <f>'[5]Dados de entrada'!$B$32</f>
        <v>87.7</v>
      </c>
      <c r="E27" s="44">
        <f>'[5]Dados de entrada'!$B$27</f>
        <v>4.1311267633290143</v>
      </c>
      <c r="F27" s="43">
        <f>'[5]Dados de entrada'!$B$30</f>
        <v>25</v>
      </c>
      <c r="G27" s="43">
        <f>'[5]Dados de entrada'!$B$22</f>
        <v>53</v>
      </c>
      <c r="H27" s="45">
        <f>'[5]Dados de entrada'!$B$29/(2*'[5]Dados de entrada'!$B$20*G27)</f>
        <v>1.9235481499632442E-2</v>
      </c>
      <c r="I27" s="26">
        <v>500</v>
      </c>
      <c r="J27" s="67">
        <v>0.26</v>
      </c>
      <c r="K27" s="19">
        <v>0.34177787531577031</v>
      </c>
      <c r="L27" s="19">
        <f t="shared" si="0"/>
        <v>1.3145302896760396</v>
      </c>
      <c r="M27" s="19">
        <f t="shared" si="1"/>
        <v>0.27347940765799011</v>
      </c>
      <c r="N27" s="19">
        <v>0.28140108099988353</v>
      </c>
      <c r="O27" s="19">
        <f t="shared" si="2"/>
        <v>1.0823118499995521</v>
      </c>
      <c r="P27" s="19">
        <f t="shared" si="3"/>
        <v>7.9099355163720506E-2</v>
      </c>
      <c r="Q27" s="19">
        <v>0.28982664141017167</v>
      </c>
      <c r="R27" s="19">
        <f t="shared" si="4"/>
        <v>1.1147178515775833</v>
      </c>
      <c r="S27" s="19">
        <f t="shared" si="5"/>
        <v>0.10860132497757555</v>
      </c>
      <c r="T27" s="19">
        <v>0.34199178197919783</v>
      </c>
      <c r="U27" s="19">
        <v>0.28639934521074156</v>
      </c>
      <c r="V27" s="19">
        <v>1.1015359431182368</v>
      </c>
      <c r="W27" s="19">
        <f t="shared" si="6"/>
        <v>9.6705517793005569E-2</v>
      </c>
      <c r="X27" s="19">
        <v>0.46050538893534404</v>
      </c>
      <c r="Y27" s="19">
        <f t="shared" si="44"/>
        <v>1.7711745728282462</v>
      </c>
      <c r="Z27" s="19">
        <f t="shared" si="45"/>
        <v>0.57164292696824348</v>
      </c>
      <c r="AA27" s="19">
        <v>0.34103521936284037</v>
      </c>
      <c r="AB27" s="19">
        <f t="shared" si="10"/>
        <v>1.3116739206263091</v>
      </c>
      <c r="AC27" s="19">
        <f t="shared" si="11"/>
        <v>0.27130412352368433</v>
      </c>
      <c r="AD27" s="68">
        <v>0.37520201721244406</v>
      </c>
      <c r="AE27" s="68">
        <f t="shared" si="46"/>
        <v>1.4430846815863232</v>
      </c>
      <c r="AF27" s="68">
        <v>0.36678296246787828</v>
      </c>
      <c r="AG27" s="68">
        <v>0.30991423715562322</v>
      </c>
      <c r="AH27" s="68">
        <f t="shared" si="47"/>
        <v>1.1919778352139354</v>
      </c>
      <c r="AI27" s="68">
        <v>0.17561397385109423</v>
      </c>
      <c r="AJ27" s="68">
        <v>0.318170216250936</v>
      </c>
      <c r="AK27" s="68">
        <f t="shared" si="48"/>
        <v>1.2237316009651384</v>
      </c>
      <c r="AL27" s="68">
        <v>0.20190487978746371</v>
      </c>
      <c r="AM27" s="68">
        <v>0.36304860082717388</v>
      </c>
      <c r="AN27" s="68">
        <v>0.32275294604101767</v>
      </c>
      <c r="AO27" s="68">
        <v>1.2413574847731448</v>
      </c>
      <c r="AP27" s="68">
        <v>0.21620552660455364</v>
      </c>
      <c r="AQ27" s="68">
        <v>0.33174401449868146</v>
      </c>
      <c r="AR27" s="68">
        <f t="shared" si="49"/>
        <v>1.275938517302621</v>
      </c>
      <c r="AS27" s="68">
        <v>0.24368199982959998</v>
      </c>
      <c r="AT27" s="68">
        <v>0.42745968973439941</v>
      </c>
      <c r="AU27" s="68">
        <f t="shared" si="50"/>
        <v>1.64407572974769</v>
      </c>
      <c r="AV27" s="68">
        <v>0.49717835989647224</v>
      </c>
      <c r="AW27" s="68">
        <v>0.41077916054402924</v>
      </c>
      <c r="AX27" s="68">
        <f t="shared" si="51"/>
        <v>1.5799198482462662</v>
      </c>
      <c r="AY27" s="68">
        <v>0.45737411679405893</v>
      </c>
      <c r="AZ27" s="68">
        <v>0.17044377333729177</v>
      </c>
      <c r="BA27" s="68">
        <f t="shared" si="52"/>
        <v>0.65555297437419913</v>
      </c>
      <c r="BB27" s="68">
        <v>-0.42227616382758665</v>
      </c>
      <c r="BC27" s="68">
        <v>0.43772597472228192</v>
      </c>
      <c r="BD27" s="68">
        <f t="shared" si="53"/>
        <v>1.6835614412395459</v>
      </c>
      <c r="BE27" s="68">
        <v>0.52091145508581083</v>
      </c>
      <c r="BF27" s="68">
        <v>0.30517473532265971</v>
      </c>
      <c r="BG27" s="68">
        <f t="shared" si="54"/>
        <v>1.1737489820102296</v>
      </c>
      <c r="BH27" s="68">
        <v>0.1602028842430305</v>
      </c>
      <c r="BI27" s="82">
        <v>0.49160614061620145</v>
      </c>
      <c r="BJ27" s="68">
        <f t="shared" si="55"/>
        <v>1.8907928485238517</v>
      </c>
      <c r="BK27" s="68">
        <v>0.6369962376809295</v>
      </c>
      <c r="BL27" s="68">
        <v>0.37485186351740063</v>
      </c>
      <c r="BM27" s="68">
        <f t="shared" si="56"/>
        <v>1.4417379366053871</v>
      </c>
      <c r="BN27" s="68">
        <v>0.3658492862894685</v>
      </c>
      <c r="BS27" t="b">
        <f t="shared" si="12"/>
        <v>1</v>
      </c>
      <c r="BT27"/>
      <c r="BU27" t="b">
        <f t="shared" si="13"/>
        <v>0</v>
      </c>
      <c r="BV27"/>
      <c r="BW27" t="b">
        <f t="shared" si="14"/>
        <v>1</v>
      </c>
      <c r="BY27" s="49"/>
    </row>
    <row r="28" spans="1:77">
      <c r="A28" s="93" t="s">
        <v>9</v>
      </c>
      <c r="B28" s="37">
        <f>'[6]Dados de entrada'!$B$28</f>
        <v>10</v>
      </c>
      <c r="C28" s="37">
        <f>'[6]Dados de entrada'!$B$31</f>
        <v>4</v>
      </c>
      <c r="D28" s="41">
        <f>'[6]Leonhardt (1977)'!$B$27</f>
        <v>32.466666666666669</v>
      </c>
      <c r="E28" s="41">
        <f>'[6]Dados de entrada'!$B$27</f>
        <v>3.262</v>
      </c>
      <c r="F28" s="37">
        <f>'[6]Dados de entrada'!$B$30</f>
        <v>25</v>
      </c>
      <c r="G28" s="37">
        <f>'[6]Dados de entrada'!$B$22</f>
        <v>36</v>
      </c>
      <c r="H28" s="42">
        <f>'[6]Dados de entrada'!$B$29/('[6]Dados de entrada'!$B$20*2*G28)</f>
        <v>2.1805555555555557E-2</v>
      </c>
      <c r="I28" s="25">
        <f>'[6]fib Model Code 2010'!$K$5</f>
        <v>285.04803218471648</v>
      </c>
      <c r="J28" s="4">
        <f>'[6]Dados de entrada'!$C$7</f>
        <v>0.16</v>
      </c>
      <c r="K28" s="4">
        <f>'[6]fib Model Code 2010'!$F$5</f>
        <v>0.10601036739201174</v>
      </c>
      <c r="L28" s="4">
        <f>K28/J28</f>
        <v>0.66256479620007336</v>
      </c>
      <c r="M28" s="4">
        <f>LN(L28)</f>
        <v>-0.41163692031939775</v>
      </c>
      <c r="N28" s="4">
        <f>'[6]fib Model Code 2020'!$F$5</f>
        <v>9.3253931667024989E-2</v>
      </c>
      <c r="O28" s="4">
        <f>N28/J28</f>
        <v>0.58283707291890618</v>
      </c>
      <c r="P28" s="4">
        <f>LN(O28)</f>
        <v>-0.53984759494965995</v>
      </c>
      <c r="Q28" s="4">
        <f>'[6]Eurocode 2'!$F$5</f>
        <v>0.120309</v>
      </c>
      <c r="R28" s="4">
        <f>Q28/J28</f>
        <v>0.75193124999999994</v>
      </c>
      <c r="S28" s="4">
        <f>LN(R28)</f>
        <v>-0.28511038208396328</v>
      </c>
      <c r="T28" s="4">
        <f>'[6]NBR 6118'!$F$5</f>
        <v>0.14505628287401748</v>
      </c>
      <c r="U28" s="4">
        <f>'[6]NBR 6118'!$G$5</f>
        <v>8.2939124463519295E-2</v>
      </c>
      <c r="V28" s="4">
        <f>'[6]NBR 6118'!$L$5</f>
        <v>0.51836952789699553</v>
      </c>
      <c r="W28" s="4">
        <f>LN(V28)</f>
        <v>-0.6570669167346409</v>
      </c>
      <c r="X28" s="4" cm="1">
        <f t="array" ref="X28:X32">[6]Sugestão!$G$5:$G$9</f>
        <v>0.1036972957823218</v>
      </c>
      <c r="Y28" s="4">
        <f t="shared" ref="Y28:Y32" si="57">X28/J28</f>
        <v>0.64810809863951124</v>
      </c>
      <c r="Z28" s="4">
        <f t="shared" ref="Z28:Z32" si="58">LN(Y28)</f>
        <v>-0.43369777765445122</v>
      </c>
      <c r="AA28" s="4" cm="1">
        <f t="array" ref="AA28:AA32">'[6]fib Model Code 2020 modificado'!$F$5:$F$9</f>
        <v>0.11850023838168661</v>
      </c>
      <c r="AB28" s="4">
        <f t="shared" si="10"/>
        <v>0.74062648988554125</v>
      </c>
      <c r="AC28" s="4">
        <f t="shared" si="11"/>
        <v>-0.30025884300086192</v>
      </c>
      <c r="AD28" s="11">
        <f>'[6]fib Model Code 2010'!$L$5</f>
        <v>0.16007091811290758</v>
      </c>
      <c r="AE28" s="11">
        <f t="shared" ref="AE28:AE37" si="59">AD28/J28</f>
        <v>1.0004432382056723</v>
      </c>
      <c r="AF28" s="11">
        <f>LN(AE28)</f>
        <v>4.4314000463534838E-4</v>
      </c>
      <c r="AG28" s="11">
        <f>'[6]fib Model Code 2020'!$L$5</f>
        <v>0.13868029025440845</v>
      </c>
      <c r="AH28" s="11">
        <f t="shared" ref="AH28:AH37" si="60">AG28/J28</f>
        <v>0.86675181409005275</v>
      </c>
      <c r="AI28" s="11">
        <f>LN(AH28)</f>
        <v>-0.14300260143961246</v>
      </c>
      <c r="AJ28" s="11">
        <f>'[6]Eurocode 2'!$L$5</f>
        <v>0.1485932826557089</v>
      </c>
      <c r="AK28" s="11">
        <f t="shared" ref="AK28:AK37" si="61">AJ28/J28</f>
        <v>0.92870801659818059</v>
      </c>
      <c r="AL28" s="11">
        <f>LN(AK28)</f>
        <v>-7.3960888173060277E-2</v>
      </c>
      <c r="AM28" s="11">
        <f>'[6]NBR 6118'!$Q$5</f>
        <v>0.18440399789461248</v>
      </c>
      <c r="AN28" s="11">
        <f>'[6]NBR 6118'!$R$5</f>
        <v>0.13403771715746998</v>
      </c>
      <c r="AO28" s="11">
        <f>'[6]NBR 6118'!$W$5</f>
        <v>0.8377357322341874</v>
      </c>
      <c r="AP28" s="11">
        <f>LN(AO28)</f>
        <v>-0.1770525835641342</v>
      </c>
      <c r="AQ28" s="11">
        <f>'[6]Clark (1956)'!$L$5</f>
        <v>0.1060172840918551</v>
      </c>
      <c r="AR28" s="11">
        <f>AQ28/J28</f>
        <v>0.66260802557409437</v>
      </c>
      <c r="AS28" s="11">
        <f>LN(AR28)</f>
        <v>-0.41157167694385305</v>
      </c>
      <c r="AT28" s="11">
        <f>'[6]Leonhardt (1977)'!$L$5</f>
        <v>0.22216282542619536</v>
      </c>
      <c r="AU28" s="11">
        <f>AT28/J28</f>
        <v>1.3885176589137209</v>
      </c>
      <c r="AV28" s="11">
        <f>LN(AU28)</f>
        <v>0.32823674566275751</v>
      </c>
      <c r="AW28" s="11">
        <f>'[6]Desayi; Ganesan (1985)'!$L$5</f>
        <v>0.16892962653245996</v>
      </c>
      <c r="AX28" s="11">
        <f>AW28/J28</f>
        <v>1.0558101658278747</v>
      </c>
      <c r="AY28" s="11">
        <f>LN(AX28)</f>
        <v>5.430840191555638E-2</v>
      </c>
      <c r="AZ28" s="11">
        <f>'[6]Oh; Kang (1987)'!$L$5</f>
        <v>0.11084938491756892</v>
      </c>
      <c r="BA28" s="11">
        <f>AZ28/J28</f>
        <v>0.69280865573480577</v>
      </c>
      <c r="BB28" s="11">
        <f>LN(BA28)</f>
        <v>-0.36700142796841723</v>
      </c>
      <c r="BC28" s="11">
        <f>'[6]Caldas (1997)'!$L$5</f>
        <v>0.21176098535955973</v>
      </c>
      <c r="BD28" s="11">
        <f>BC28/J28</f>
        <v>1.3235061584972483</v>
      </c>
      <c r="BE28" s="11">
        <f>LN(BD28)</f>
        <v>0.2802843958644069</v>
      </c>
      <c r="BF28" s="11" cm="1">
        <f t="array" ref="BF28:BF37">'[6]Gergely e Lutz (1968)'!$L$5:$L$14</f>
        <v>0.1708750527360991</v>
      </c>
      <c r="BG28" s="11">
        <f>BF28/J28</f>
        <v>1.0679690796006194</v>
      </c>
      <c r="BH28" s="11">
        <f>LN(BG28)</f>
        <v>6.5758788434081658E-2</v>
      </c>
      <c r="BI28" s="11" cm="1">
        <f t="array" ref="BI28:BI37">[6]Sugestão!$N$5:$N$14</f>
        <v>0.16724728494892779</v>
      </c>
      <c r="BJ28" s="11">
        <f>BI28/J28</f>
        <v>1.0452955309307987</v>
      </c>
      <c r="BK28" s="11">
        <f>LN(BJ28)</f>
        <v>4.4299650153525466E-2</v>
      </c>
      <c r="BL28" s="11" cm="1">
        <f t="array" ref="BL28:BL37">'[6]fib Model Code 2020 modificado'!$L$5:$L$14</f>
        <v>0.17212596418336307</v>
      </c>
      <c r="BM28" s="11">
        <f>BL28/J28</f>
        <v>1.0757872761460192</v>
      </c>
      <c r="BN28" s="11">
        <f>LN(BM28)</f>
        <v>7.3052743445566157E-2</v>
      </c>
      <c r="BS28" t="b">
        <f t="shared" si="12"/>
        <v>1</v>
      </c>
      <c r="BU28" t="b">
        <f t="shared" si="13"/>
        <v>0</v>
      </c>
      <c r="BW28" t="b">
        <f t="shared" si="14"/>
        <v>1</v>
      </c>
    </row>
    <row r="29" spans="1:77">
      <c r="A29" s="93"/>
      <c r="B29" s="37">
        <f>B32</f>
        <v>10</v>
      </c>
      <c r="C29" s="37">
        <f>'[6]Dados de entrada'!$B$31</f>
        <v>4</v>
      </c>
      <c r="D29" s="41">
        <f>'[6]Leonhardt (1977)'!$B$27</f>
        <v>32.466666666666669</v>
      </c>
      <c r="E29" s="41">
        <f>'[6]Dados de entrada'!$B$27</f>
        <v>3.262</v>
      </c>
      <c r="F29" s="37">
        <f>'[6]Dados de entrada'!$B$30</f>
        <v>25</v>
      </c>
      <c r="G29" s="37">
        <f>'[6]Dados de entrada'!$B$22</f>
        <v>36</v>
      </c>
      <c r="H29" s="42">
        <f>'[6]Dados de entrada'!$B$29/('[6]Dados de entrada'!$B$20*2*G29)</f>
        <v>2.1805555555555557E-2</v>
      </c>
      <c r="I29" s="25">
        <f>'[6]fib Model Code 2010'!$K$6</f>
        <v>324.99964614446418</v>
      </c>
      <c r="J29" s="4">
        <f>'[6]Dados de entrada'!$C$8</f>
        <v>0.2</v>
      </c>
      <c r="K29" s="4">
        <f>'[6]fib Model Code 2010'!$F$6</f>
        <v>0.16627024000347668</v>
      </c>
      <c r="L29" s="4">
        <f t="shared" ref="L29:L32" si="62">K29/J29</f>
        <v>0.83135120001738338</v>
      </c>
      <c r="M29" s="4">
        <f t="shared" ref="M29:M32" si="63">LN(L29)</f>
        <v>-0.18470295004050438</v>
      </c>
      <c r="N29" s="4">
        <f>'[6]fib Model Code 2020'!$F$6</f>
        <v>0.14388949762363262</v>
      </c>
      <c r="O29" s="4">
        <f t="shared" ref="O29:O32" si="64">N29/J29</f>
        <v>0.71944748811816306</v>
      </c>
      <c r="P29" s="4">
        <f t="shared" ref="P29:P32" si="65">LN(O29)</f>
        <v>-0.32927173917061436</v>
      </c>
      <c r="Q29" s="4">
        <f>'[6]Eurocode 2'!$F$6</f>
        <v>0.15183674522292995</v>
      </c>
      <c r="R29" s="4">
        <f t="shared" ref="R29:R32" si="66">Q29/J29</f>
        <v>0.75918372611464968</v>
      </c>
      <c r="S29" s="4">
        <f t="shared" ref="S29:S48" si="67">LN(R29)</f>
        <v>-0.2755114674869627</v>
      </c>
      <c r="T29" s="4">
        <f>'[6]NBR 6118'!$F$6</f>
        <v>0.1830692123259893</v>
      </c>
      <c r="U29" s="4">
        <f>'[6]NBR 6118'!$G$6</f>
        <v>0.13210430901287551</v>
      </c>
      <c r="V29" s="4">
        <f>'[6]NBR 6118'!$L$6</f>
        <v>0.66052154506437755</v>
      </c>
      <c r="W29" s="4">
        <f t="shared" ref="W29:W48" si="68">LN(V29)</f>
        <v>-0.4147255362264301</v>
      </c>
      <c r="X29" s="4">
        <v>0.17453479559638582</v>
      </c>
      <c r="Y29" s="4">
        <f t="shared" si="57"/>
        <v>0.87267397798192903</v>
      </c>
      <c r="Z29" s="4">
        <f t="shared" si="58"/>
        <v>-0.1361932430849451</v>
      </c>
      <c r="AA29" s="4">
        <v>0.17833050906387657</v>
      </c>
      <c r="AB29" s="4">
        <f t="shared" si="10"/>
        <v>0.89165254531938276</v>
      </c>
      <c r="AC29" s="4">
        <f t="shared" si="11"/>
        <v>-0.11467874547053812</v>
      </c>
      <c r="AD29" s="11">
        <f>'[6]fib Model Code 2010'!$L$6</f>
        <v>0.19987712128481272</v>
      </c>
      <c r="AE29" s="11">
        <f t="shared" si="59"/>
        <v>0.9993856064240636</v>
      </c>
      <c r="AF29" s="11">
        <f t="shared" ref="AF29:AF87" si="69">LN(AE29)</f>
        <v>-6.1458239301210302E-4</v>
      </c>
      <c r="AG29" s="11">
        <f>'[6]fib Model Code 2020'!$L$6</f>
        <v>0.17212891101716857</v>
      </c>
      <c r="AH29" s="11">
        <f t="shared" si="60"/>
        <v>0.86064455508584281</v>
      </c>
      <c r="AI29" s="11">
        <f t="shared" ref="AI29:AI87" si="70">LN(AH29)</f>
        <v>-0.15007368779849881</v>
      </c>
      <c r="AJ29" s="11">
        <f>'[6]Eurocode 2'!$L$6</f>
        <v>0.17429163285246455</v>
      </c>
      <c r="AK29" s="11">
        <f t="shared" si="61"/>
        <v>0.8714581642623227</v>
      </c>
      <c r="AL29" s="11">
        <f t="shared" ref="AL29:AL87" si="71">LN(AK29)</f>
        <v>-0.13758741946309053</v>
      </c>
      <c r="AM29" s="11">
        <f>'[6]NBR 6118'!$Q$6</f>
        <v>0.21024959759952672</v>
      </c>
      <c r="AN29" s="11">
        <f>'[6]NBR 6118'!$R$6</f>
        <v>0.17424354747035525</v>
      </c>
      <c r="AO29" s="11">
        <f>'[6]NBR 6118'!$W$6</f>
        <v>0.87121773735177621</v>
      </c>
      <c r="AP29" s="11">
        <f t="shared" ref="AP29:AP87" si="72">LN(AO29)</f>
        <v>-0.13786334789229443</v>
      </c>
      <c r="AQ29" s="11">
        <f>'[6]Clark (1956)'!$L$6</f>
        <v>0.1358817516989633</v>
      </c>
      <c r="AR29" s="11">
        <f t="shared" ref="AR29:AR37" si="73">AQ29/J29</f>
        <v>0.67940875849481641</v>
      </c>
      <c r="AS29" s="11">
        <f t="shared" ref="AS29:AS87" si="74">LN(AR29)</f>
        <v>-0.38653233182444691</v>
      </c>
      <c r="AT29" s="11">
        <f>'[6]Leonhardt (1977)'!$L$6</f>
        <v>0.2698880415363058</v>
      </c>
      <c r="AU29" s="11">
        <f t="shared" ref="AU29:AU37" si="75">AT29/J29</f>
        <v>1.3494402076815288</v>
      </c>
      <c r="AV29" s="11">
        <f t="shared" ref="AV29:AV87" si="76">LN(AU29)</f>
        <v>0.29968984547805649</v>
      </c>
      <c r="AW29" s="11">
        <f>'[6]Desayi; Ganesan (1985)'!$L$6</f>
        <v>0.1926063773377969</v>
      </c>
      <c r="AX29" s="11">
        <f t="shared" ref="AX29:AX37" si="77">AW29/J29</f>
        <v>0.96303188668898443</v>
      </c>
      <c r="AY29" s="11">
        <f t="shared" ref="AY29:AY87" si="78">LN(AX29)</f>
        <v>-3.7668755905628501E-2</v>
      </c>
      <c r="AZ29" s="11">
        <f>'[6]Oh; Kang (1987)'!$L$6</f>
        <v>0.1290705233242212</v>
      </c>
      <c r="BA29" s="11">
        <f t="shared" ref="BA29:BA37" si="79">AZ29/J29</f>
        <v>0.64535261662110599</v>
      </c>
      <c r="BB29" s="11">
        <f t="shared" ref="BB29:BB87" si="80">LN(BA29)</f>
        <v>-0.43795841913240952</v>
      </c>
      <c r="BC29" s="11">
        <f>'[6]Caldas (1997)'!$L$6</f>
        <v>0.2466862096623729</v>
      </c>
      <c r="BD29" s="11">
        <f t="shared" ref="BD29:BD37" si="81">BC29/J29</f>
        <v>1.2334310483118645</v>
      </c>
      <c r="BE29" s="11">
        <f t="shared" ref="BE29:BE87" si="82">LN(BD29)</f>
        <v>0.20979975620463942</v>
      </c>
      <c r="BF29" s="11">
        <v>0.19482446957627678</v>
      </c>
      <c r="BG29" s="11">
        <f t="shared" ref="BG29:BG92" si="83">BF29/J29</f>
        <v>0.97412234788138385</v>
      </c>
      <c r="BH29" s="11">
        <f t="shared" ref="BH29:BH92" si="84">LN(BG29)</f>
        <v>-2.6218369387103369E-2</v>
      </c>
      <c r="BI29" s="11">
        <v>0.21404081084914578</v>
      </c>
      <c r="BJ29" s="11">
        <f t="shared" ref="BJ29:BJ60" si="85">BI29/J29</f>
        <v>1.0702040542457287</v>
      </c>
      <c r="BK29" s="11">
        <f t="shared" ref="BK29:BK60" si="86">LN(BJ29)</f>
        <v>6.7849335194496638E-2</v>
      </c>
      <c r="BL29" s="11">
        <v>0.21216296832064094</v>
      </c>
      <c r="BM29" s="11">
        <f t="shared" ref="BM29:BM92" si="87">BL29/J29</f>
        <v>1.0608148416032046</v>
      </c>
      <c r="BN29" s="11">
        <f t="shared" ref="BN29:BN92" si="88">LN(BM29)</f>
        <v>5.9037331304835711E-2</v>
      </c>
      <c r="BS29" t="b">
        <f t="shared" si="12"/>
        <v>1</v>
      </c>
      <c r="BU29" t="b">
        <f t="shared" si="13"/>
        <v>0</v>
      </c>
      <c r="BW29" t="b">
        <f t="shared" si="14"/>
        <v>1</v>
      </c>
    </row>
    <row r="30" spans="1:77">
      <c r="A30" s="93"/>
      <c r="B30" s="37">
        <f>'Dados gerais'!$B$32</f>
        <v>10</v>
      </c>
      <c r="C30" s="37">
        <f>'[6]Dados de entrada'!$B$31</f>
        <v>4</v>
      </c>
      <c r="D30" s="41">
        <f>'[6]Leonhardt (1977)'!$B$27</f>
        <v>32.466666666666669</v>
      </c>
      <c r="E30" s="41">
        <f>'[6]Dados de entrada'!$B$27</f>
        <v>3.262</v>
      </c>
      <c r="F30" s="37">
        <f>'[6]Dados de entrada'!$B$30</f>
        <v>25</v>
      </c>
      <c r="G30" s="37">
        <f>'[6]Dados de entrada'!$B$22</f>
        <v>36</v>
      </c>
      <c r="H30" s="42">
        <f>'[6]Dados de entrada'!$B$29/('[6]Dados de entrada'!$B$20*2*G30)</f>
        <v>2.1805555555555557E-2</v>
      </c>
      <c r="I30" s="25">
        <f>'[6]fib Model Code 2010'!$K$7</f>
        <v>367.6446273374533</v>
      </c>
      <c r="J30" s="4">
        <f>'[6]Dados de entrada'!$C$9</f>
        <v>0.2</v>
      </c>
      <c r="K30" s="4">
        <f>'[6]fib Model Code 2010'!$F$7</f>
        <v>0.22443775592704357</v>
      </c>
      <c r="L30" s="4">
        <f t="shared" si="62"/>
        <v>1.1221887796352177</v>
      </c>
      <c r="M30" s="4">
        <f t="shared" si="63"/>
        <v>0.11528104574190233</v>
      </c>
      <c r="N30" s="4">
        <f>'[6]fib Model Code 2020'!$F$7</f>
        <v>0.19276688420674695</v>
      </c>
      <c r="O30" s="4">
        <f t="shared" si="64"/>
        <v>0.96383442103373473</v>
      </c>
      <c r="P30" s="4">
        <f t="shared" si="65"/>
        <v>-3.6835761537582314E-2</v>
      </c>
      <c r="Q30" s="4">
        <f>'[6]Eurocode 2'!$F$7</f>
        <v>0.19570835672846768</v>
      </c>
      <c r="R30" s="4">
        <f t="shared" si="66"/>
        <v>0.97854178364233835</v>
      </c>
      <c r="S30" s="4">
        <f t="shared" si="67"/>
        <v>-2.1691791328175936E-2</v>
      </c>
      <c r="T30" s="4">
        <f>'[6]NBR 6118'!$F$7</f>
        <v>0.21976224839421207</v>
      </c>
      <c r="U30" s="4">
        <f>'[6]NBR 6118'!$G$7</f>
        <v>0.19036738197424891</v>
      </c>
      <c r="V30" s="4">
        <f>'[6]NBR 6118'!$L$7</f>
        <v>0.95183690987124447</v>
      </c>
      <c r="W30" s="4">
        <f t="shared" si="68"/>
        <v>-4.9361572027004821E-2</v>
      </c>
      <c r="X30" s="4">
        <v>0.24291266000023926</v>
      </c>
      <c r="Y30" s="4">
        <f t="shared" si="57"/>
        <v>1.2145633000011962</v>
      </c>
      <c r="Z30" s="4">
        <f t="shared" si="58"/>
        <v>0.19438458831694369</v>
      </c>
      <c r="AA30" s="4">
        <v>0.23709912339679762</v>
      </c>
      <c r="AB30" s="4">
        <f t="shared" si="10"/>
        <v>1.1854956169839881</v>
      </c>
      <c r="AC30" s="4">
        <f t="shared" si="11"/>
        <v>0.17016092932879393</v>
      </c>
      <c r="AD30" s="11">
        <f>'[6]fib Model Code 2010'!$L$7</f>
        <v>0.24236688871549797</v>
      </c>
      <c r="AE30" s="11">
        <f t="shared" si="59"/>
        <v>1.2118344435774897</v>
      </c>
      <c r="AF30" s="11">
        <f t="shared" si="69"/>
        <v>0.19213528060846424</v>
      </c>
      <c r="AG30" s="11">
        <f>'[6]fib Model Code 2020'!$L$7</f>
        <v>0.2078324949774181</v>
      </c>
      <c r="AH30" s="11">
        <f t="shared" si="60"/>
        <v>1.0391624748870905</v>
      </c>
      <c r="AI30" s="11">
        <f t="shared" si="70"/>
        <v>3.841507610632109E-2</v>
      </c>
      <c r="AJ30" s="11">
        <f>'[6]Eurocode 2'!$L$7</f>
        <v>0.21134245136241825</v>
      </c>
      <c r="AK30" s="11">
        <f t="shared" si="61"/>
        <v>1.0567122568120912</v>
      </c>
      <c r="AL30" s="11">
        <f t="shared" si="71"/>
        <v>5.5162443538385987E-2</v>
      </c>
      <c r="AM30" s="11">
        <f>'[6]NBR 6118'!$Q$7</f>
        <v>0.23783759728454748</v>
      </c>
      <c r="AN30" s="11">
        <f>'[6]NBR 6118'!$R$7</f>
        <v>0.22297048347265605</v>
      </c>
      <c r="AO30" s="11">
        <f>'[6]NBR 6118'!$W$7</f>
        <v>1.1148524173632801</v>
      </c>
      <c r="AP30" s="11">
        <f t="shared" si="72"/>
        <v>0.10872203504241161</v>
      </c>
      <c r="AQ30" s="11">
        <f>'[6]Clark (1956)'!$L$7</f>
        <v>0.16775955420093275</v>
      </c>
      <c r="AR30" s="11">
        <f t="shared" si="73"/>
        <v>0.83879777100466368</v>
      </c>
      <c r="AS30" s="11">
        <f t="shared" si="74"/>
        <v>-0.17578563732001112</v>
      </c>
      <c r="AT30" s="11">
        <f>'[6]Leonhardt (1977)'!$L$7</f>
        <v>0.31897202344812936</v>
      </c>
      <c r="AU30" s="11">
        <f t="shared" si="75"/>
        <v>1.5948601172406467</v>
      </c>
      <c r="AV30" s="11">
        <f t="shared" si="76"/>
        <v>0.46678603160130561</v>
      </c>
      <c r="AW30" s="11">
        <f>'[6]Desayi; Ganesan (1985)'!$L$7</f>
        <v>0.21787931359068463</v>
      </c>
      <c r="AX30" s="11">
        <f t="shared" si="77"/>
        <v>1.089396567953423</v>
      </c>
      <c r="AY30" s="11">
        <f t="shared" si="78"/>
        <v>8.5623935561724554E-2</v>
      </c>
      <c r="AZ30" s="11">
        <f>'[6]Oh; Kang (1987)'!$L$7</f>
        <v>0.14852005308413091</v>
      </c>
      <c r="BA30" s="11">
        <f t="shared" si="79"/>
        <v>0.74260026542065449</v>
      </c>
      <c r="BB30" s="11">
        <f t="shared" si="80"/>
        <v>-0.29759737981846374</v>
      </c>
      <c r="BC30" s="11">
        <f>'[6]Caldas (1997)'!$L$7</f>
        <v>0.28396594346874648</v>
      </c>
      <c r="BD30" s="11">
        <f t="shared" si="81"/>
        <v>1.4198297173437324</v>
      </c>
      <c r="BE30" s="11">
        <f t="shared" si="82"/>
        <v>0.35053694705893873</v>
      </c>
      <c r="BF30" s="11">
        <v>0.2203884538438822</v>
      </c>
      <c r="BG30" s="11">
        <f t="shared" si="83"/>
        <v>1.101942269219411</v>
      </c>
      <c r="BH30" s="11">
        <f t="shared" si="84"/>
        <v>9.7074322080249895E-2</v>
      </c>
      <c r="BI30" s="11">
        <v>0.26398895647297405</v>
      </c>
      <c r="BJ30" s="11">
        <f t="shared" si="85"/>
        <v>1.3199447823648702</v>
      </c>
      <c r="BK30" s="11">
        <f t="shared" si="86"/>
        <v>0.27758990418155116</v>
      </c>
      <c r="BL30" s="11">
        <v>0.25541471835064256</v>
      </c>
      <c r="BM30" s="11">
        <f t="shared" si="87"/>
        <v>1.2770735917532128</v>
      </c>
      <c r="BN30" s="11">
        <f t="shared" si="88"/>
        <v>0.24457120401422253</v>
      </c>
      <c r="BS30" t="b">
        <f t="shared" si="12"/>
        <v>1</v>
      </c>
      <c r="BU30" t="b">
        <f t="shared" si="13"/>
        <v>0</v>
      </c>
      <c r="BW30" t="b">
        <f t="shared" si="14"/>
        <v>1</v>
      </c>
    </row>
    <row r="31" spans="1:77">
      <c r="A31" s="93"/>
      <c r="B31" s="37">
        <f>'[6]Dados de entrada'!$B$28</f>
        <v>10</v>
      </c>
      <c r="C31" s="37">
        <f>'[6]Dados de entrada'!$B$31</f>
        <v>4</v>
      </c>
      <c r="D31" s="41">
        <f>'[6]Leonhardt (1977)'!$B$27</f>
        <v>32.466666666666669</v>
      </c>
      <c r="E31" s="41">
        <f>'[6]Dados de entrada'!$B$27</f>
        <v>3.262</v>
      </c>
      <c r="F31" s="37">
        <f>'[6]Dados de entrada'!$B$30</f>
        <v>25</v>
      </c>
      <c r="G31" s="37">
        <f>'[6]Dados de entrada'!$B$22</f>
        <v>36</v>
      </c>
      <c r="H31" s="42">
        <f>'[6]Dados de entrada'!$B$29/('[6]Dados de entrada'!$B$20*2*G31)</f>
        <v>2.1805555555555557E-2</v>
      </c>
      <c r="I31" s="25">
        <f>'[6]fib Model Code 2010'!$K$8</f>
        <v>410.73850306931587</v>
      </c>
      <c r="J31" s="4">
        <f>'[6]Dados de entrada'!$C$10</f>
        <v>0.24</v>
      </c>
      <c r="K31" s="4">
        <f>'[6]fib Model Code 2010'!$F$8</f>
        <v>0.26712183236016462</v>
      </c>
      <c r="L31" s="4">
        <f t="shared" si="62"/>
        <v>1.1130076348340192</v>
      </c>
      <c r="M31" s="4">
        <f t="shared" si="63"/>
        <v>0.10706593195902596</v>
      </c>
      <c r="N31" s="4">
        <f>'[6]fib Model Code 2020'!$F$8</f>
        <v>0.2286337434260107</v>
      </c>
      <c r="O31" s="4">
        <f t="shared" si="64"/>
        <v>0.95264059760837794</v>
      </c>
      <c r="P31" s="4">
        <f t="shared" si="65"/>
        <v>-4.8517573836755958E-2</v>
      </c>
      <c r="Q31" s="4">
        <f>'[6]Eurocode 2'!$F$8</f>
        <v>0.23292861150553779</v>
      </c>
      <c r="R31" s="4">
        <f t="shared" si="66"/>
        <v>0.97053588127307411</v>
      </c>
      <c r="S31" s="4">
        <f t="shared" si="67"/>
        <v>-2.99069051110523E-2</v>
      </c>
      <c r="T31" s="4">
        <f>'[6]NBR 6118'!$F$8</f>
        <v>0.24668807342269211</v>
      </c>
      <c r="U31" s="4">
        <f>'[6]NBR 6118'!$G$8</f>
        <v>0.23987371673819741</v>
      </c>
      <c r="V31" s="4">
        <f>'[6]NBR 6118'!$L$8</f>
        <v>0.99947381974248928</v>
      </c>
      <c r="W31" s="4">
        <f t="shared" si="68"/>
        <v>-5.2631873892200628E-4</v>
      </c>
      <c r="X31" s="4">
        <v>0.29308922236853463</v>
      </c>
      <c r="Y31" s="4">
        <f t="shared" si="57"/>
        <v>1.2212050932022276</v>
      </c>
      <c r="Z31" s="4">
        <f t="shared" si="58"/>
        <v>0.19983815252353054</v>
      </c>
      <c r="AA31" s="4">
        <v>0.28085906477289557</v>
      </c>
      <c r="AB31" s="4">
        <f t="shared" si="10"/>
        <v>1.1702461032203983</v>
      </c>
      <c r="AC31" s="4">
        <f t="shared" si="11"/>
        <v>0.15721407132315332</v>
      </c>
      <c r="AD31" s="11">
        <f>'[6]fib Model Code 2010'!$L$8</f>
        <v>0.28530391685597978</v>
      </c>
      <c r="AE31" s="11">
        <f t="shared" si="59"/>
        <v>1.188766320233249</v>
      </c>
      <c r="AF31" s="11">
        <f t="shared" si="69"/>
        <v>0.17291606368606077</v>
      </c>
      <c r="AG31" s="11">
        <f>'[6]fib Model Code 2020'!$L$8</f>
        <v>0.24391190613724908</v>
      </c>
      <c r="AH31" s="11">
        <f t="shared" si="60"/>
        <v>1.0162996089052045</v>
      </c>
      <c r="AI31" s="11">
        <f t="shared" si="70"/>
        <v>1.6168196339315963E-2</v>
      </c>
      <c r="AJ31" s="11">
        <f>'[6]Eurocode 2'!$L$8</f>
        <v>0.24878327848826612</v>
      </c>
      <c r="AK31" s="11">
        <f t="shared" si="61"/>
        <v>1.0365969937011088</v>
      </c>
      <c r="AL31" s="11">
        <f t="shared" si="71"/>
        <v>3.5943226615982565E-2</v>
      </c>
      <c r="AM31" s="11">
        <f>'[6]NBR 6118'!$Q$8</f>
        <v>0.26571599696625259</v>
      </c>
      <c r="AN31" s="11">
        <f>'[6]NBR 6118'!$R$8</f>
        <v>0.27830548142392658</v>
      </c>
      <c r="AO31" s="11">
        <f>'[6]NBR 6118'!$W$8</f>
        <v>1.1071499873593857</v>
      </c>
      <c r="AP31" s="11">
        <f t="shared" si="72"/>
        <v>0.10178913448477857</v>
      </c>
      <c r="AQ31" s="11">
        <f>'[6]Clark (1956)'!$L$8</f>
        <v>0.1999729125187123</v>
      </c>
      <c r="AR31" s="11">
        <f t="shared" si="73"/>
        <v>0.83322046882796796</v>
      </c>
      <c r="AS31" s="11">
        <f t="shared" si="74"/>
        <v>-0.1824570033728668</v>
      </c>
      <c r="AT31" s="11">
        <f>'[6]Leonhardt (1977)'!$L$8</f>
        <v>0.36721961962806549</v>
      </c>
      <c r="AU31" s="11">
        <f t="shared" si="75"/>
        <v>1.5300817484502729</v>
      </c>
      <c r="AV31" s="11">
        <f t="shared" si="76"/>
        <v>0.42532116433664874</v>
      </c>
      <c r="AW31" s="11">
        <f>'[6]Desayi; Ganesan (1985)'!$L$8</f>
        <v>0.24341828075149743</v>
      </c>
      <c r="AX31" s="11">
        <f t="shared" si="77"/>
        <v>1.0142428364645726</v>
      </c>
      <c r="AY31" s="11">
        <f t="shared" si="78"/>
        <v>1.4142360190221718E-2</v>
      </c>
      <c r="AZ31" s="11">
        <f>'[6]Oh; Kang (1987)'!$L$8</f>
        <v>0.16817431473625016</v>
      </c>
      <c r="BA31" s="11">
        <f t="shared" si="79"/>
        <v>0.70072631140104236</v>
      </c>
      <c r="BB31" s="11">
        <f t="shared" si="80"/>
        <v>-0.3556378941450295</v>
      </c>
      <c r="BC31" s="11">
        <f>'[6]Caldas (1997)'!$L$8</f>
        <v>0.32163809552571332</v>
      </c>
      <c r="BD31" s="11">
        <f t="shared" si="81"/>
        <v>1.3401587313571388</v>
      </c>
      <c r="BE31" s="11">
        <f t="shared" si="82"/>
        <v>0.29278806318410477</v>
      </c>
      <c r="BF31" s="11">
        <v>0.24622153268272548</v>
      </c>
      <c r="BG31" s="11">
        <f t="shared" si="83"/>
        <v>1.0259230528446894</v>
      </c>
      <c r="BH31" s="11">
        <f t="shared" si="84"/>
        <v>2.5592746708746901E-2</v>
      </c>
      <c r="BI31" s="11">
        <v>0.31446287205073714</v>
      </c>
      <c r="BJ31" s="11">
        <f t="shared" si="85"/>
        <v>1.3102619668780715</v>
      </c>
      <c r="BK31" s="11">
        <f t="shared" si="86"/>
        <v>0.270227091936867</v>
      </c>
      <c r="BL31" s="11">
        <v>0.29966262211823425</v>
      </c>
      <c r="BM31" s="11">
        <f t="shared" si="87"/>
        <v>1.248594258825976</v>
      </c>
      <c r="BN31" s="11">
        <f t="shared" si="88"/>
        <v>0.22201832554585646</v>
      </c>
      <c r="BS31" t="b">
        <f t="shared" si="12"/>
        <v>1</v>
      </c>
      <c r="BU31" t="b">
        <f t="shared" si="13"/>
        <v>0</v>
      </c>
      <c r="BW31" t="b">
        <f t="shared" si="14"/>
        <v>1</v>
      </c>
    </row>
    <row r="32" spans="1:77">
      <c r="A32" s="93"/>
      <c r="B32" s="37">
        <f>'[6]Dados de entrada'!$B$28</f>
        <v>10</v>
      </c>
      <c r="C32" s="37">
        <f>'[6]Dados de entrada'!$B$31</f>
        <v>4</v>
      </c>
      <c r="D32" s="41">
        <f>'[6]Leonhardt (1977)'!$B$27</f>
        <v>32.466666666666669</v>
      </c>
      <c r="E32" s="41">
        <f>'[6]Dados de entrada'!$B$27</f>
        <v>3.262</v>
      </c>
      <c r="F32" s="37">
        <f>'[6]Dados de entrada'!$B$30</f>
        <v>25</v>
      </c>
      <c r="G32" s="37">
        <f>'[6]Dados de entrada'!$B$22</f>
        <v>36</v>
      </c>
      <c r="H32" s="42">
        <f>'[6]Dados de entrada'!$B$29/('[6]Dados de entrada'!$B$20*2*G32)</f>
        <v>2.1805555555555557E-2</v>
      </c>
      <c r="I32" s="25">
        <f>'[6]fib Model Code 2010'!$K$9</f>
        <v>438.56996447947728</v>
      </c>
      <c r="J32" s="4">
        <f>'[6]Dados de entrada'!$C$11</f>
        <v>0.3</v>
      </c>
      <c r="K32" s="4">
        <f>'[6]fib Model Code 2010'!$F$9</f>
        <v>0.27925750114997355</v>
      </c>
      <c r="L32" s="4">
        <f t="shared" si="62"/>
        <v>0.93085833716657851</v>
      </c>
      <c r="M32" s="4">
        <f t="shared" si="63"/>
        <v>-7.1648175295151439E-2</v>
      </c>
      <c r="N32" s="4">
        <f>'[6]fib Model Code 2020'!$F$9</f>
        <v>0.23883118379227194</v>
      </c>
      <c r="O32" s="4">
        <f t="shared" si="64"/>
        <v>0.79610394597423983</v>
      </c>
      <c r="P32" s="4">
        <f t="shared" si="65"/>
        <v>-0.22802551626851084</v>
      </c>
      <c r="Q32" s="4">
        <f>'[6]Eurocode 2'!$F$9</f>
        <v>0.24351084080490085</v>
      </c>
      <c r="R32" s="4">
        <f t="shared" si="66"/>
        <v>0.81170280268300288</v>
      </c>
      <c r="S32" s="4">
        <f t="shared" si="67"/>
        <v>-0.2086210123652297</v>
      </c>
      <c r="T32" s="4">
        <f>'[6]NBR 6118'!$F$9</f>
        <v>0.25434345504843647</v>
      </c>
      <c r="U32" s="4">
        <f>'[6]NBR 6118'!$G$9</f>
        <v>0.25499254935622317</v>
      </c>
      <c r="V32" s="4">
        <f>'[6]NBR 6118'!$L$9</f>
        <v>0.84781151682812161</v>
      </c>
      <c r="W32" s="4">
        <f t="shared" si="68"/>
        <v>-0.16509693578676862</v>
      </c>
      <c r="X32" s="4">
        <v>0.30735510774775582</v>
      </c>
      <c r="Y32" s="4">
        <f t="shared" si="57"/>
        <v>1.0245170258258527</v>
      </c>
      <c r="Z32" s="4">
        <f t="shared" si="58"/>
        <v>2.4221307227203902E-2</v>
      </c>
      <c r="AA32" s="4">
        <v>0.29339871678908236</v>
      </c>
      <c r="AB32" s="4">
        <f t="shared" si="10"/>
        <v>0.97799572263027457</v>
      </c>
      <c r="AC32" s="4">
        <f t="shared" si="11"/>
        <v>-2.2249982545560196E-2</v>
      </c>
      <c r="AD32" s="11">
        <f>'[6]fib Model Code 2010'!$L$9</f>
        <v>0.31303408086337448</v>
      </c>
      <c r="AE32" s="11">
        <f t="shared" si="59"/>
        <v>1.0434469362112484</v>
      </c>
      <c r="AF32" s="11">
        <f t="shared" si="69"/>
        <v>4.2529594503982512E-2</v>
      </c>
      <c r="AG32" s="11">
        <f>'[6]fib Model Code 2020'!$L$9</f>
        <v>0.26721319251130676</v>
      </c>
      <c r="AH32" s="11">
        <f t="shared" si="60"/>
        <v>0.89071064170435588</v>
      </c>
      <c r="AI32" s="11">
        <f t="shared" si="70"/>
        <v>-0.11573566104146704</v>
      </c>
      <c r="AJ32" s="11">
        <f>'[6]Eurocode 2'!$L$9</f>
        <v>0.27296381267370967</v>
      </c>
      <c r="AK32" s="11">
        <f t="shared" si="61"/>
        <v>0.90987937557903231</v>
      </c>
      <c r="AL32" s="11">
        <f t="shared" si="71"/>
        <v>-9.4443242566095847E-2</v>
      </c>
      <c r="AM32" s="11">
        <f>'[6]NBR 6118'!$Q$9</f>
        <v>0.28372079676068723</v>
      </c>
      <c r="AN32" s="11">
        <f>'[6]NBR 6118'!$R$9</f>
        <v>0.31729899713708887</v>
      </c>
      <c r="AO32" s="11">
        <f>'[6]NBR 6118'!$W$9</f>
        <v>0.94573598920229085</v>
      </c>
      <c r="AP32" s="11">
        <f t="shared" si="72"/>
        <v>-5.5791830062169492E-2</v>
      </c>
      <c r="AQ32" s="11">
        <f>'[6]Clark (1956)'!$L$9</f>
        <v>0.22077737309894505</v>
      </c>
      <c r="AR32" s="11">
        <f t="shared" si="73"/>
        <v>0.7359245769964835</v>
      </c>
      <c r="AS32" s="11">
        <f t="shared" si="74"/>
        <v>-0.30662764241132956</v>
      </c>
      <c r="AT32" s="11">
        <f>'[6]Leonhardt (1977)'!$L$9</f>
        <v>0.39784384604502626</v>
      </c>
      <c r="AU32" s="11">
        <f t="shared" si="75"/>
        <v>1.3261461534834209</v>
      </c>
      <c r="AV32" s="11">
        <f t="shared" si="76"/>
        <v>0.28227710701962633</v>
      </c>
      <c r="AW32" s="11">
        <f>'[6]Desayi; Ganesan (1985)'!$L$9</f>
        <v>0.25991219704285579</v>
      </c>
      <c r="AX32" s="11">
        <f t="shared" si="77"/>
        <v>0.86637399014285266</v>
      </c>
      <c r="AY32" s="11">
        <f t="shared" si="78"/>
        <v>-0.14343860435672628</v>
      </c>
      <c r="AZ32" s="11">
        <f>'[6]Oh; Kang (1987)'!$L$9</f>
        <v>0.18086769205324393</v>
      </c>
      <c r="BA32" s="11">
        <f t="shared" si="79"/>
        <v>0.60289230684414652</v>
      </c>
      <c r="BB32" s="11">
        <f t="shared" si="80"/>
        <v>-0.50601669382006165</v>
      </c>
      <c r="BC32" s="11">
        <f>'[6]Caldas (1997)'!$L$9</f>
        <v>0.34596802706250462</v>
      </c>
      <c r="BD32" s="11">
        <f t="shared" si="81"/>
        <v>1.1532267568750154</v>
      </c>
      <c r="BE32" s="11">
        <f t="shared" si="82"/>
        <v>0.14256388879790083</v>
      </c>
      <c r="BF32" s="11">
        <v>0.26290539609947855</v>
      </c>
      <c r="BG32" s="11">
        <f t="shared" si="83"/>
        <v>0.87635132033159524</v>
      </c>
      <c r="BH32" s="11">
        <f t="shared" si="84"/>
        <v>-0.13198821783820094</v>
      </c>
      <c r="BI32" s="11">
        <v>0.34706060919470938</v>
      </c>
      <c r="BJ32" s="11">
        <f t="shared" si="85"/>
        <v>1.1568686973156981</v>
      </c>
      <c r="BK32" s="11">
        <f t="shared" si="86"/>
        <v>0.14571695630545584</v>
      </c>
      <c r="BL32" s="11">
        <v>0.32852835401607444</v>
      </c>
      <c r="BM32" s="11">
        <f t="shared" si="87"/>
        <v>1.0950945133869148</v>
      </c>
      <c r="BN32" s="11">
        <f t="shared" si="88"/>
        <v>9.0840673139016059E-2</v>
      </c>
      <c r="BS32" t="b">
        <f t="shared" si="12"/>
        <v>1</v>
      </c>
      <c r="BU32" t="b">
        <f t="shared" si="13"/>
        <v>0</v>
      </c>
      <c r="BW32" t="b">
        <f t="shared" si="14"/>
        <v>1</v>
      </c>
    </row>
    <row r="33" spans="1:75">
      <c r="A33" s="93"/>
      <c r="B33" s="37">
        <f>'[6]Dados de entrada'!$B$28</f>
        <v>10</v>
      </c>
      <c r="C33" s="37">
        <f>'[6]Dados de entrada'!$B$31</f>
        <v>4</v>
      </c>
      <c r="D33" s="41">
        <f>'[6]Leonhardt (1977)'!$B$27</f>
        <v>32.466666666666669</v>
      </c>
      <c r="E33" s="41">
        <f>'[6]Dados de entrada'!$B$27</f>
        <v>3.262</v>
      </c>
      <c r="F33" s="37">
        <f>'[6]Dados de entrada'!$B$30</f>
        <v>25</v>
      </c>
      <c r="G33" s="37">
        <f>'[6]Dados de entrada'!$B$22</f>
        <v>36</v>
      </c>
      <c r="H33" s="42">
        <f>'[6]Dados de entrada'!$B$29/('[6]Dados de entrada'!$B$20*2*G33)</f>
        <v>2.1805555555555557E-2</v>
      </c>
      <c r="I33" s="25">
        <f>'[6]fib Model Code 2010'!$K$10</f>
        <v>498.27293814966185</v>
      </c>
      <c r="J33" s="4">
        <f>'[6]Dados de entrada'!$C$12</f>
        <v>0.32</v>
      </c>
      <c r="K33" s="4"/>
      <c r="L33" s="4"/>
      <c r="M33" s="4"/>
      <c r="N33" s="5"/>
      <c r="O33" s="5"/>
      <c r="P33" s="5"/>
      <c r="Q33" s="5"/>
      <c r="R33" s="5"/>
      <c r="S33" s="4"/>
      <c r="T33" s="5"/>
      <c r="U33" s="5"/>
      <c r="V33" s="5"/>
      <c r="W33" s="4"/>
      <c r="X33" s="4"/>
      <c r="Y33" s="4"/>
      <c r="Z33" s="4"/>
      <c r="AA33" s="4"/>
      <c r="AB33" s="4"/>
      <c r="AC33" s="4"/>
      <c r="AD33" s="11">
        <f>'[6]fib Model Code 2010'!$L$10</f>
        <v>0.37251975526633363</v>
      </c>
      <c r="AE33" s="11">
        <f t="shared" si="59"/>
        <v>1.1641242352072925</v>
      </c>
      <c r="AF33" s="11">
        <f t="shared" si="69"/>
        <v>0.15196907489161118</v>
      </c>
      <c r="AG33" s="11">
        <f>'[6]fib Model Code 2020'!$L$10</f>
        <v>0.31719821005565602</v>
      </c>
      <c r="AH33" s="11">
        <f t="shared" si="60"/>
        <v>0.99124440642392508</v>
      </c>
      <c r="AI33" s="11">
        <f t="shared" si="70"/>
        <v>-8.7941490009049005E-3</v>
      </c>
      <c r="AJ33" s="11">
        <f>'[6]Eurocode 2'!$L$10</f>
        <v>0.32483495858764466</v>
      </c>
      <c r="AK33" s="11">
        <f t="shared" si="61"/>
        <v>1.0151092455863895</v>
      </c>
      <c r="AL33" s="11">
        <f t="shared" si="71"/>
        <v>1.4996237821532837E-2</v>
      </c>
      <c r="AM33" s="11">
        <f>'[6]NBR 6118'!$Q$10</f>
        <v>0.32234399631971627</v>
      </c>
      <c r="AN33" s="11">
        <f>'[6]NBR 6118'!$R$10</f>
        <v>0.4095675399831824</v>
      </c>
      <c r="AO33" s="11">
        <f>'[6]NBR 6118'!$W$10</f>
        <v>1.0073249884991133</v>
      </c>
      <c r="AP33" s="11">
        <f t="shared" si="72"/>
        <v>7.2982910638562286E-3</v>
      </c>
      <c r="AQ33" s="11">
        <f>'[6]Clark (1956)'!$L$10</f>
        <v>0.26540629660170212</v>
      </c>
      <c r="AR33" s="11">
        <f>AQ33/J33</f>
        <v>0.82939467688031909</v>
      </c>
      <c r="AS33" s="11">
        <f t="shared" si="74"/>
        <v>-0.18705914922720235</v>
      </c>
      <c r="AT33" s="11">
        <f>'[6]Leonhardt (1977)'!$L$10</f>
        <v>0.46249133747939219</v>
      </c>
      <c r="AU33" s="11">
        <f t="shared" si="75"/>
        <v>1.4452854296231006</v>
      </c>
      <c r="AV33" s="11">
        <f t="shared" si="76"/>
        <v>0.36830683120901608</v>
      </c>
      <c r="AW33" s="11">
        <f>'[6]Desayi; Ganesan (1985)'!$L$10</f>
        <v>0.29529430779689847</v>
      </c>
      <c r="AX33" s="11">
        <f t="shared" si="77"/>
        <v>0.9227947118653077</v>
      </c>
      <c r="AY33" s="11">
        <f t="shared" si="78"/>
        <v>-8.034848323070086E-2</v>
      </c>
      <c r="AZ33" s="11">
        <f>'[6]Oh; Kang (1987)'!$L$10</f>
        <v>0.20809703371711741</v>
      </c>
      <c r="BA33" s="11">
        <f t="shared" si="79"/>
        <v>0.65030323036599191</v>
      </c>
      <c r="BB33" s="11">
        <f t="shared" si="80"/>
        <v>-0.43031651661822801</v>
      </c>
      <c r="BC33" s="11">
        <f>'[6]Caldas (1997)'!$L$10</f>
        <v>0.39815965439142748</v>
      </c>
      <c r="BD33" s="11">
        <f t="shared" si="81"/>
        <v>1.2442489199732107</v>
      </c>
      <c r="BE33" s="11">
        <f t="shared" si="82"/>
        <v>0.2185320707418526</v>
      </c>
      <c r="BF33" s="11">
        <v>0.29869497407412599</v>
      </c>
      <c r="BG33" s="11">
        <f t="shared" si="83"/>
        <v>0.93342179398164371</v>
      </c>
      <c r="BH33" s="11">
        <f t="shared" si="84"/>
        <v>-6.8898096712175477E-2</v>
      </c>
      <c r="BI33" s="11">
        <v>0.4169880130680686</v>
      </c>
      <c r="BJ33" s="11">
        <f t="shared" si="85"/>
        <v>1.3030875408377143</v>
      </c>
      <c r="BK33" s="11">
        <f t="shared" si="86"/>
        <v>0.26473647995174204</v>
      </c>
      <c r="BL33" s="11">
        <v>0.39121503084686815</v>
      </c>
      <c r="BM33" s="11">
        <f t="shared" si="87"/>
        <v>1.222546971396463</v>
      </c>
      <c r="BN33" s="11">
        <f t="shared" si="88"/>
        <v>0.20093636403896278</v>
      </c>
      <c r="BS33" t="b">
        <f t="shared" si="12"/>
        <v>1</v>
      </c>
      <c r="BU33" t="b">
        <f t="shared" si="13"/>
        <v>0</v>
      </c>
      <c r="BW33" t="b">
        <f t="shared" si="14"/>
        <v>1</v>
      </c>
    </row>
    <row r="34" spans="1:75">
      <c r="A34" s="93"/>
      <c r="B34" s="37">
        <f>'[6]Dados de entrada'!$B$28</f>
        <v>10</v>
      </c>
      <c r="C34" s="37">
        <f>'[6]Dados de entrada'!$B$31</f>
        <v>4</v>
      </c>
      <c r="D34" s="41">
        <f>'[6]Leonhardt (1977)'!$B$27</f>
        <v>32.466666666666669</v>
      </c>
      <c r="E34" s="41">
        <f>'[6]Dados de entrada'!$B$27</f>
        <v>3.262</v>
      </c>
      <c r="F34" s="37">
        <f>'[6]Dados de entrada'!$B$30</f>
        <v>25</v>
      </c>
      <c r="G34" s="37">
        <f>'[6]Dados de entrada'!$B$22</f>
        <v>36</v>
      </c>
      <c r="H34" s="42">
        <f>'[6]Dados de entrada'!$B$29/('[6]Dados de entrada'!$B$20*2*G34)</f>
        <v>2.1805555555555557E-2</v>
      </c>
      <c r="I34" s="25">
        <f>'[6]fib Model Code 2010'!$K$11</f>
        <v>502.76188353839768</v>
      </c>
      <c r="J34" s="4">
        <f>'[6]Dados de entrada'!$C$13</f>
        <v>0.38</v>
      </c>
      <c r="K34" s="4"/>
      <c r="L34" s="4"/>
      <c r="M34" s="4"/>
      <c r="N34" s="5"/>
      <c r="O34" s="5"/>
      <c r="P34" s="5"/>
      <c r="Q34" s="5"/>
      <c r="R34" s="5"/>
      <c r="S34" s="4"/>
      <c r="T34" s="5"/>
      <c r="U34" s="5"/>
      <c r="V34" s="5"/>
      <c r="W34" s="4"/>
      <c r="X34" s="4"/>
      <c r="Y34" s="4"/>
      <c r="Z34" s="4"/>
      <c r="AA34" s="4"/>
      <c r="AB34" s="4"/>
      <c r="AC34" s="4"/>
      <c r="AD34" s="11">
        <f>'[6]fib Model Code 2010'!$L$11</f>
        <v>0.37699236236430061</v>
      </c>
      <c r="AE34" s="11">
        <f t="shared" si="59"/>
        <v>0.99208516411658054</v>
      </c>
      <c r="AF34" s="11">
        <f t="shared" si="69"/>
        <v>-7.9463244582716076E-3</v>
      </c>
      <c r="AG34" s="11">
        <f>'[6]fib Model Code 2020'!$L$11</f>
        <v>0.32095648205147187</v>
      </c>
      <c r="AH34" s="11">
        <f t="shared" si="60"/>
        <v>0.84462232118808389</v>
      </c>
      <c r="AI34" s="11">
        <f t="shared" si="70"/>
        <v>-0.16886570871395903</v>
      </c>
      <c r="AJ34" s="11">
        <f>'[6]Eurocode 2'!$L$11</f>
        <v>0.32873504474658727</v>
      </c>
      <c r="AK34" s="11">
        <f t="shared" si="61"/>
        <v>0.8650922230173349</v>
      </c>
      <c r="AL34" s="11">
        <f t="shared" si="71"/>
        <v>-0.14491916152834994</v>
      </c>
      <c r="AM34" s="11">
        <f>'[6]NBR 6118'!$Q$11</f>
        <v>0.32524799628656048</v>
      </c>
      <c r="AN34" s="11">
        <f>'[6]NBR 6118'!$R$11</f>
        <v>0.4169803767185325</v>
      </c>
      <c r="AO34" s="11">
        <f>'[6]NBR 6118'!$W$11</f>
        <v>0.85591577970147492</v>
      </c>
      <c r="AP34" s="11">
        <f t="shared" si="72"/>
        <v>-0.15558329588004285</v>
      </c>
      <c r="AQ34" s="11">
        <f>'[6]Clark (1956)'!$L$11</f>
        <v>0.26876185475980424</v>
      </c>
      <c r="AR34" s="11">
        <f t="shared" si="73"/>
        <v>0.70726803884159006</v>
      </c>
      <c r="AS34" s="11">
        <f t="shared" si="74"/>
        <v>-0.34634556351725349</v>
      </c>
      <c r="AT34" s="11">
        <f>'[6]Leonhardt (1977)'!$L$11</f>
        <v>0.46730491473949903</v>
      </c>
      <c r="AU34" s="11">
        <f t="shared" si="75"/>
        <v>1.2297497756302607</v>
      </c>
      <c r="AV34" s="11">
        <f t="shared" si="76"/>
        <v>0.20681071424178962</v>
      </c>
      <c r="AW34" s="11">
        <f>'[6]Desayi; Ganesan (1985)'!$L$11</f>
        <v>0.29795461687614988</v>
      </c>
      <c r="AX34" s="11">
        <f t="shared" si="77"/>
        <v>0.78409109704249969</v>
      </c>
      <c r="AY34" s="11">
        <f t="shared" si="78"/>
        <v>-0.24323007017459941</v>
      </c>
      <c r="AZ34" s="11">
        <f>'[6]Oh; Kang (1987)'!$L$11</f>
        <v>0.21014435263921324</v>
      </c>
      <c r="BA34" s="11">
        <f t="shared" si="79"/>
        <v>0.55301145431371901</v>
      </c>
      <c r="BB34" s="11">
        <f t="shared" si="80"/>
        <v>-0.59237656462961452</v>
      </c>
      <c r="BC34" s="11">
        <f>'[6]Caldas (1997)'!$L$11</f>
        <v>0.40208383689736166</v>
      </c>
      <c r="BD34" s="11">
        <f t="shared" si="81"/>
        <v>1.0581153602562148</v>
      </c>
      <c r="BE34" s="11">
        <f t="shared" si="82"/>
        <v>5.6489363651090897E-2</v>
      </c>
      <c r="BF34" s="11">
        <v>0.30138591978650559</v>
      </c>
      <c r="BG34" s="11">
        <f t="shared" si="83"/>
        <v>0.79312084154343576</v>
      </c>
      <c r="BH34" s="11">
        <f t="shared" si="84"/>
        <v>-0.23177968365607399</v>
      </c>
      <c r="BI34" s="11">
        <v>0.42092646353136287</v>
      </c>
      <c r="BJ34" s="11">
        <f t="shared" si="85"/>
        <v>1.1077012198193759</v>
      </c>
      <c r="BK34" s="11">
        <f t="shared" si="86"/>
        <v>0.10228689475832184</v>
      </c>
      <c r="BL34" s="11">
        <v>0.39597049671190993</v>
      </c>
      <c r="BM34" s="11">
        <f t="shared" si="87"/>
        <v>1.0420276229260788</v>
      </c>
      <c r="BN34" s="11">
        <f t="shared" si="88"/>
        <v>4.1168452505791188E-2</v>
      </c>
      <c r="BS34" t="b">
        <f t="shared" si="12"/>
        <v>1</v>
      </c>
      <c r="BU34" t="b">
        <f t="shared" si="13"/>
        <v>0</v>
      </c>
      <c r="BW34" t="b">
        <f t="shared" si="14"/>
        <v>1</v>
      </c>
    </row>
    <row r="35" spans="1:75">
      <c r="A35" s="93"/>
      <c r="B35" s="37">
        <f>'[6]Dados de entrada'!$B$28</f>
        <v>10</v>
      </c>
      <c r="C35" s="37">
        <f>'[6]Dados de entrada'!$B$31</f>
        <v>4</v>
      </c>
      <c r="D35" s="41">
        <f>'[6]Leonhardt (1977)'!$B$27</f>
        <v>32.466666666666669</v>
      </c>
      <c r="E35" s="41">
        <f>'[6]Dados de entrada'!$B$27</f>
        <v>3.262</v>
      </c>
      <c r="F35" s="37">
        <f>'[6]Dados de entrada'!$B$30</f>
        <v>25</v>
      </c>
      <c r="G35" s="37">
        <f>'[6]Dados de entrada'!$B$22</f>
        <v>36</v>
      </c>
      <c r="H35" s="42">
        <f>'[6]Dados de entrada'!$B$29/('[6]Dados de entrada'!$B$20*2*G35)</f>
        <v>2.1805555555555557E-2</v>
      </c>
      <c r="I35" s="25">
        <f>'[6]fib Model Code 2010'!$K$12</f>
        <v>538.67344664828317</v>
      </c>
      <c r="J35" s="4">
        <f>'[6]Dados de entrada'!$C$14</f>
        <v>0.42</v>
      </c>
      <c r="K35" s="4"/>
      <c r="L35" s="4"/>
      <c r="M35" s="4"/>
      <c r="N35" s="5"/>
      <c r="O35" s="5"/>
      <c r="P35" s="5"/>
      <c r="Q35" s="5"/>
      <c r="R35" s="5"/>
      <c r="S35" s="4"/>
      <c r="T35" s="5"/>
      <c r="U35" s="5"/>
      <c r="V35" s="5"/>
      <c r="W35" s="4"/>
      <c r="X35" s="4"/>
      <c r="Y35" s="4"/>
      <c r="Z35" s="4"/>
      <c r="AA35" s="4"/>
      <c r="AB35" s="4"/>
      <c r="AC35" s="4"/>
      <c r="AD35" s="11">
        <f>'[6]fib Model Code 2010'!$L$12</f>
        <v>0.41277321914803544</v>
      </c>
      <c r="AE35" s="11">
        <f t="shared" si="59"/>
        <v>0.98279337892389396</v>
      </c>
      <c r="AF35" s="11">
        <f t="shared" si="69"/>
        <v>-1.7356375309481215E-2</v>
      </c>
      <c r="AG35" s="11">
        <f>'[6]fib Model Code 2020'!$L$12</f>
        <v>0.35102265801799776</v>
      </c>
      <c r="AH35" s="11">
        <f t="shared" si="60"/>
        <v>0.83576823337618522</v>
      </c>
      <c r="AI35" s="11">
        <f t="shared" si="70"/>
        <v>-0.17940393713715932</v>
      </c>
      <c r="AJ35" s="11">
        <f>'[6]Eurocode 2'!$L$12</f>
        <v>0.35993573401812712</v>
      </c>
      <c r="AK35" s="11">
        <f t="shared" si="61"/>
        <v>0.85698984290030267</v>
      </c>
      <c r="AL35" s="11">
        <f t="shared" si="71"/>
        <v>-0.1543292123795596</v>
      </c>
      <c r="AM35" s="11">
        <f>'[6]NBR 6118'!$Q$12</f>
        <v>0.34847999602131496</v>
      </c>
      <c r="AN35" s="11">
        <f>'[6]NBR 6118'!$R$12</f>
        <v>0.47867645286566257</v>
      </c>
      <c r="AO35" s="11">
        <f>'[6]NBR 6118'!$W$12</f>
        <v>0.82971427624122618</v>
      </c>
      <c r="AP35" s="11">
        <f t="shared" si="72"/>
        <v>-0.18667388295007337</v>
      </c>
      <c r="AQ35" s="11">
        <f>'[6]Clark (1956)'!$L$12</f>
        <v>0.29560632002462056</v>
      </c>
      <c r="AR35" s="11">
        <f t="shared" si="73"/>
        <v>0.7038245714871918</v>
      </c>
      <c r="AS35" s="11">
        <f t="shared" si="74"/>
        <v>-0.3512261421050607</v>
      </c>
      <c r="AT35" s="11">
        <f>'[6]Leonhardt (1977)'!$L$12</f>
        <v>0.50562030661839974</v>
      </c>
      <c r="AU35" s="11">
        <f t="shared" si="75"/>
        <v>1.2038578729009517</v>
      </c>
      <c r="AV35" s="11">
        <f t="shared" si="76"/>
        <v>0.18553129415535066</v>
      </c>
      <c r="AW35" s="11">
        <f>'[6]Desayi; Ganesan (1985)'!$L$12</f>
        <v>0.31923708951016055</v>
      </c>
      <c r="AX35" s="11">
        <f t="shared" si="77"/>
        <v>0.76008830835752517</v>
      </c>
      <c r="AY35" s="11">
        <f t="shared" si="78"/>
        <v>-0.27432065724463056</v>
      </c>
      <c r="AZ35" s="11">
        <f>'[6]Oh; Kang (1987)'!$L$12</f>
        <v>0.2265229040159793</v>
      </c>
      <c r="BA35" s="11">
        <f t="shared" si="79"/>
        <v>0.53934024765709354</v>
      </c>
      <c r="BB35" s="11">
        <f t="shared" si="80"/>
        <v>-0.61740864998340561</v>
      </c>
      <c r="BC35" s="11">
        <f>'[6]Caldas (1997)'!$L$12</f>
        <v>0.43347729694483406</v>
      </c>
      <c r="BD35" s="11">
        <f t="shared" si="81"/>
        <v>1.0320888022496049</v>
      </c>
      <c r="BE35" s="11">
        <f t="shared" si="82"/>
        <v>3.1584712048872282E-2</v>
      </c>
      <c r="BF35" s="11">
        <v>0.32291348548554166</v>
      </c>
      <c r="BG35" s="11">
        <f t="shared" si="83"/>
        <v>0.76884163210843259</v>
      </c>
      <c r="BH35" s="11">
        <f t="shared" si="84"/>
        <v>-0.26287027072610514</v>
      </c>
      <c r="BI35" s="11">
        <v>0.45099263949788876</v>
      </c>
      <c r="BJ35" s="11">
        <f t="shared" si="85"/>
        <v>1.073791998804497</v>
      </c>
      <c r="BK35" s="11">
        <f t="shared" si="86"/>
        <v>7.11963076882908E-2</v>
      </c>
      <c r="BL35" s="11">
        <v>0.43422660798760682</v>
      </c>
      <c r="BM35" s="11">
        <f t="shared" si="87"/>
        <v>1.0338728761609686</v>
      </c>
      <c r="BN35" s="11">
        <f t="shared" si="88"/>
        <v>3.3311824776553804E-2</v>
      </c>
      <c r="BS35" t="b">
        <f t="shared" si="12"/>
        <v>1</v>
      </c>
      <c r="BU35" t="b">
        <f t="shared" si="13"/>
        <v>0</v>
      </c>
      <c r="BW35" t="b">
        <f t="shared" si="14"/>
        <v>1</v>
      </c>
    </row>
    <row r="36" spans="1:75">
      <c r="A36" s="93"/>
      <c r="B36" s="37">
        <f>'[6]Dados de entrada'!$B$28</f>
        <v>10</v>
      </c>
      <c r="C36" s="37">
        <f>'[6]Dados de entrada'!$B$31</f>
        <v>4</v>
      </c>
      <c r="D36" s="41">
        <f>'[6]Leonhardt (1977)'!$B$27</f>
        <v>32.466666666666669</v>
      </c>
      <c r="E36" s="41">
        <f>'[6]Dados de entrada'!$B$27</f>
        <v>3.262</v>
      </c>
      <c r="F36" s="37">
        <f>'[6]Dados de entrada'!$B$30</f>
        <v>25</v>
      </c>
      <c r="G36" s="37">
        <f>'[6]Dados de entrada'!$B$22</f>
        <v>36</v>
      </c>
      <c r="H36" s="42">
        <f>'[6]Dados de entrada'!$B$29/('[6]Dados de entrada'!$B$20*2*G36)</f>
        <v>2.1805555555555557E-2</v>
      </c>
      <c r="I36" s="25">
        <f>'[6]fib Model Code 2010'!$K$13</f>
        <v>628</v>
      </c>
      <c r="J36" s="4">
        <f>'[6]Dados de entrada'!$C$15</f>
        <v>0.44</v>
      </c>
      <c r="K36" s="4"/>
      <c r="L36" s="4"/>
      <c r="M36" s="4"/>
      <c r="N36" s="5"/>
      <c r="O36" s="5"/>
      <c r="P36" s="5"/>
      <c r="Q36" s="5"/>
      <c r="R36" s="5"/>
      <c r="S36" s="4"/>
      <c r="T36" s="5"/>
      <c r="U36" s="5"/>
      <c r="V36" s="5"/>
      <c r="W36" s="4"/>
      <c r="X36" s="4"/>
      <c r="Y36" s="4"/>
      <c r="Z36" s="4"/>
      <c r="AA36" s="4"/>
      <c r="AB36" s="4"/>
      <c r="AC36" s="4"/>
      <c r="AD36" s="11">
        <f>'[6]fib Model Code 2010'!$L$13</f>
        <v>0.50177465310629754</v>
      </c>
      <c r="AE36" s="11">
        <f t="shared" si="59"/>
        <v>1.1403969388779489</v>
      </c>
      <c r="AF36" s="11">
        <f t="shared" si="69"/>
        <v>0.13137639379983873</v>
      </c>
      <c r="AG36" s="11">
        <f>'[6]fib Model Code 2020'!$L$13</f>
        <v>0.42580937402192115</v>
      </c>
      <c r="AH36" s="11">
        <f t="shared" si="60"/>
        <v>0.96774857732254804</v>
      </c>
      <c r="AI36" s="11">
        <f t="shared" si="70"/>
        <v>-3.2782959613243103E-2</v>
      </c>
      <c r="AJ36" s="11">
        <f>'[6]Eurocode 2'!$L$13</f>
        <v>0.43754444256407587</v>
      </c>
      <c r="AK36" s="11">
        <f t="shared" si="61"/>
        <v>0.99441918764562698</v>
      </c>
      <c r="AL36" s="11">
        <f t="shared" si="71"/>
        <v>-5.5964432702396592E-3</v>
      </c>
      <c r="AM36" s="11">
        <f>'[6]NBR 6118'!$Q$13</f>
        <v>0.39471097380685027</v>
      </c>
      <c r="AN36" s="11">
        <f>'[6]NBR 6118'!$R$13</f>
        <v>0.61410800657888331</v>
      </c>
      <c r="AO36" s="11">
        <f>'[6]NBR 6118'!$W$13</f>
        <v>0.89707039501556884</v>
      </c>
      <c r="AP36" s="11">
        <f t="shared" si="72"/>
        <v>-0.10862094172437377</v>
      </c>
      <c r="AQ36" s="11">
        <f>'[6]Clark (1956)'!$L$13</f>
        <v>0.36237934105237524</v>
      </c>
      <c r="AR36" s="11">
        <f t="shared" si="73"/>
        <v>0.82358941148267095</v>
      </c>
      <c r="AS36" s="11">
        <f t="shared" si="74"/>
        <v>-0.1940831602944991</v>
      </c>
      <c r="AT36" s="11">
        <f>'[6]Leonhardt (1977)'!$L$13</f>
        <v>0.59974401046133252</v>
      </c>
      <c r="AU36" s="11">
        <f t="shared" si="75"/>
        <v>1.3630545692303011</v>
      </c>
      <c r="AV36" s="11">
        <f t="shared" si="76"/>
        <v>0.30972818803204794</v>
      </c>
      <c r="AW36" s="11">
        <f>'[6]Desayi; Ganesan (1985)'!$L$13</f>
        <v>0.37217518973657732</v>
      </c>
      <c r="AX36" s="11">
        <f t="shared" si="77"/>
        <v>0.84585270394676659</v>
      </c>
      <c r="AY36" s="11">
        <f t="shared" si="78"/>
        <v>-0.16741004334458073</v>
      </c>
      <c r="AZ36" s="11">
        <f>'[6]Oh; Kang (1987)'!$L$13</f>
        <v>0.26726297258118725</v>
      </c>
      <c r="BA36" s="11">
        <f t="shared" si="79"/>
        <v>0.60741584677542559</v>
      </c>
      <c r="BB36" s="11">
        <f t="shared" si="80"/>
        <v>-0.49854163718920486</v>
      </c>
      <c r="BC36" s="11">
        <f>'[6]Caldas (1997)'!$L$13</f>
        <v>0.51156550422349734</v>
      </c>
      <c r="BD36" s="11">
        <f t="shared" si="81"/>
        <v>1.1626488732352211</v>
      </c>
      <c r="BE36" s="11">
        <f t="shared" si="82"/>
        <v>0.1507009132780483</v>
      </c>
      <c r="BF36" s="11">
        <v>0.37646123109782298</v>
      </c>
      <c r="BG36" s="11">
        <f t="shared" si="83"/>
        <v>0.85559370704050675</v>
      </c>
      <c r="BH36" s="11">
        <f t="shared" si="84"/>
        <v>-0.1559596568260555</v>
      </c>
      <c r="BI36" s="11">
        <v>0.5257793555018121</v>
      </c>
      <c r="BJ36" s="11">
        <f t="shared" si="85"/>
        <v>1.1949530806859365</v>
      </c>
      <c r="BK36" s="11">
        <f t="shared" si="86"/>
        <v>0.17810692158834038</v>
      </c>
      <c r="BL36" s="11">
        <v>0.53102263920296899</v>
      </c>
      <c r="BM36" s="11">
        <f t="shared" si="87"/>
        <v>1.2068696345522023</v>
      </c>
      <c r="BN36" s="11">
        <f t="shared" si="88"/>
        <v>0.18802992845462471</v>
      </c>
      <c r="BS36" t="b">
        <f t="shared" si="12"/>
        <v>1</v>
      </c>
      <c r="BU36" t="b">
        <f t="shared" si="13"/>
        <v>0</v>
      </c>
      <c r="BW36" t="b">
        <f t="shared" si="14"/>
        <v>1</v>
      </c>
    </row>
    <row r="37" spans="1:75">
      <c r="A37" s="93"/>
      <c r="B37" s="37">
        <f>'[6]Dados de entrada'!$B$28</f>
        <v>10</v>
      </c>
      <c r="C37" s="37">
        <f>'[6]Dados de entrada'!$B$31</f>
        <v>4</v>
      </c>
      <c r="D37" s="41">
        <f>'[6]Leonhardt (1977)'!$B$27</f>
        <v>32.466666666666669</v>
      </c>
      <c r="E37" s="41">
        <f>'[6]Dados de entrada'!$B$27</f>
        <v>3.262</v>
      </c>
      <c r="F37" s="37">
        <f>'[6]Dados de entrada'!$B$30</f>
        <v>25</v>
      </c>
      <c r="G37" s="37">
        <f>'[6]Dados de entrada'!$B$22</f>
        <v>36</v>
      </c>
      <c r="H37" s="42">
        <f>'[6]Dados de entrada'!$B$29/('[6]Dados de entrada'!$B$20*2*G37)</f>
        <v>2.1805555555555557E-2</v>
      </c>
      <c r="I37" s="25">
        <f>'[6]fib Model Code 2010'!$K$14</f>
        <v>628</v>
      </c>
      <c r="J37" s="4">
        <f>'[6]Dados de entrada'!$C$16</f>
        <v>0.5</v>
      </c>
      <c r="K37" s="4"/>
      <c r="L37" s="4"/>
      <c r="M37" s="4"/>
      <c r="N37" s="5"/>
      <c r="O37" s="5"/>
      <c r="P37" s="5"/>
      <c r="Q37" s="5"/>
      <c r="R37" s="5"/>
      <c r="S37" s="4"/>
      <c r="T37" s="5"/>
      <c r="U37" s="5"/>
      <c r="V37" s="5"/>
      <c r="W37" s="4"/>
      <c r="X37" s="4"/>
      <c r="Y37" s="4"/>
      <c r="Z37" s="4"/>
      <c r="AA37" s="4"/>
      <c r="AB37" s="4"/>
      <c r="AC37" s="4"/>
      <c r="AD37" s="11">
        <f>'[6]fib Model Code 2010'!$L$14</f>
        <v>0.50177465310629754</v>
      </c>
      <c r="AE37" s="11">
        <f t="shared" si="59"/>
        <v>1.0035493062125951</v>
      </c>
      <c r="AF37" s="11">
        <f t="shared" si="69"/>
        <v>3.5430222899538863E-3</v>
      </c>
      <c r="AG37" s="11">
        <f>'[6]fib Model Code 2020'!$L$14</f>
        <v>0.42580937402192115</v>
      </c>
      <c r="AH37" s="11">
        <f t="shared" si="60"/>
        <v>0.8516187480438423</v>
      </c>
      <c r="AI37" s="11">
        <f t="shared" si="70"/>
        <v>-0.16061633112312798</v>
      </c>
      <c r="AJ37" s="11">
        <f>'[6]Eurocode 2'!$L$14</f>
        <v>0.43754444256407587</v>
      </c>
      <c r="AK37" s="11">
        <f t="shared" si="61"/>
        <v>0.87508888512815175</v>
      </c>
      <c r="AL37" s="11">
        <f t="shared" si="71"/>
        <v>-0.13342981478012456</v>
      </c>
      <c r="AM37" s="11">
        <f>'[6]NBR 6118'!$Q$14</f>
        <v>0.39471097380685027</v>
      </c>
      <c r="AN37" s="11">
        <f>'[6]NBR 6118'!$R$14</f>
        <v>0.61410800657888331</v>
      </c>
      <c r="AO37" s="11">
        <f>'[6]NBR 6118'!$W$14</f>
        <v>0.78942194761370055</v>
      </c>
      <c r="AP37" s="11">
        <f t="shared" si="72"/>
        <v>-0.23645431323425872</v>
      </c>
      <c r="AQ37" s="11">
        <f>'[6]Clark (1956)'!$L$14</f>
        <v>0.36237934105237524</v>
      </c>
      <c r="AR37" s="11">
        <f t="shared" si="73"/>
        <v>0.72475868210475047</v>
      </c>
      <c r="AS37" s="11">
        <f t="shared" si="74"/>
        <v>-0.32191653180438395</v>
      </c>
      <c r="AT37" s="11">
        <f>'[6]Leonhardt (1977)'!$L$14</f>
        <v>0.59974401046133252</v>
      </c>
      <c r="AU37" s="11">
        <f t="shared" si="75"/>
        <v>1.199488020922665</v>
      </c>
      <c r="AV37" s="11">
        <f t="shared" si="76"/>
        <v>0.18189481652216308</v>
      </c>
      <c r="AW37" s="11">
        <f>'[6]Desayi; Ganesan (1985)'!$L$14</f>
        <v>0.37217518973657732</v>
      </c>
      <c r="AX37" s="11">
        <f t="shared" si="77"/>
        <v>0.74435037947315463</v>
      </c>
      <c r="AY37" s="11">
        <f t="shared" si="78"/>
        <v>-0.29524341485446559</v>
      </c>
      <c r="AZ37" s="11">
        <f>'[6]Oh; Kang (1987)'!$L$14</f>
        <v>0.26726297258118725</v>
      </c>
      <c r="BA37" s="11">
        <f t="shared" si="79"/>
        <v>0.53452594516237451</v>
      </c>
      <c r="BB37" s="11">
        <f t="shared" si="80"/>
        <v>-0.6263750086990898</v>
      </c>
      <c r="BC37" s="11">
        <f>'[6]Caldas (1997)'!$L$14</f>
        <v>0.51156550422349734</v>
      </c>
      <c r="BD37" s="11">
        <f t="shared" si="81"/>
        <v>1.0231310084469947</v>
      </c>
      <c r="BE37" s="11">
        <f t="shared" si="82"/>
        <v>2.2867541768163469E-2</v>
      </c>
      <c r="BF37" s="11">
        <v>0.37646123109782298</v>
      </c>
      <c r="BG37" s="11">
        <f t="shared" si="83"/>
        <v>0.75292246219564596</v>
      </c>
      <c r="BH37" s="11">
        <f t="shared" si="84"/>
        <v>-0.28379302833594039</v>
      </c>
      <c r="BI37" s="11">
        <v>0.5257793555018121</v>
      </c>
      <c r="BJ37" s="11">
        <f t="shared" si="85"/>
        <v>1.0515587110036242</v>
      </c>
      <c r="BK37" s="11">
        <f t="shared" si="86"/>
        <v>5.0273550078455527E-2</v>
      </c>
      <c r="BL37" s="11">
        <v>0.53102263920296899</v>
      </c>
      <c r="BM37" s="11">
        <f t="shared" si="87"/>
        <v>1.062045278405938</v>
      </c>
      <c r="BN37" s="11">
        <f t="shared" si="88"/>
        <v>6.0196556944739778E-2</v>
      </c>
      <c r="BS37" t="b">
        <f t="shared" si="12"/>
        <v>1</v>
      </c>
      <c r="BU37" t="b">
        <f t="shared" si="13"/>
        <v>0</v>
      </c>
      <c r="BW37" t="b">
        <f t="shared" si="14"/>
        <v>1</v>
      </c>
    </row>
    <row r="38" spans="1:75">
      <c r="A38" s="85" t="s">
        <v>16</v>
      </c>
      <c r="B38" s="43">
        <f>'[7]Dados de entrada'!$B$26</f>
        <v>10</v>
      </c>
      <c r="C38" s="43">
        <f>'[7]Dados de entrada'!$B$29</f>
        <v>4</v>
      </c>
      <c r="D38" s="44">
        <f>'[7]Leonhardt (1977)'!$B$25</f>
        <v>32.466666666666669</v>
      </c>
      <c r="E38" s="44">
        <f>'[7]Dados de entrada'!$B$25</f>
        <v>3.5139999999999993</v>
      </c>
      <c r="F38" s="43">
        <f>'[7]Dados de entrada'!$B$28</f>
        <v>25</v>
      </c>
      <c r="G38" s="43">
        <f>'[7]Dados de entrada'!$B$20</f>
        <v>36</v>
      </c>
      <c r="H38" s="45">
        <f>'[7]Dados de entrada'!$B$27/(2*'[7]Dados de entrada'!$B$18*G38)</f>
        <v>2.1805555555555557E-2</v>
      </c>
      <c r="I38" s="26">
        <f>'[7]fib Model Code 2010'!$K$7</f>
        <v>321.47187644259361</v>
      </c>
      <c r="J38" s="19">
        <f>'[7]Dados de entrada'!$C$9</f>
        <v>0.24</v>
      </c>
      <c r="K38" s="19">
        <f>'[7]fib Model Code 2010'!$F$7</f>
        <v>0.19627326631154038</v>
      </c>
      <c r="L38" s="19">
        <f>K38/J38</f>
        <v>0.81780527629808497</v>
      </c>
      <c r="M38" s="19">
        <f>LN(L38)</f>
        <v>-0.20113101925278834</v>
      </c>
      <c r="N38" s="19">
        <f>'[7]fib Model Code 2020'!$F$7</f>
        <v>0.16925116501167611</v>
      </c>
      <c r="O38" s="19">
        <f t="shared" ref="O38:O48" si="89">N38/J38</f>
        <v>0.70521318754865048</v>
      </c>
      <c r="P38" s="19">
        <f>LN(O38)</f>
        <v>-0.34925512819559495</v>
      </c>
      <c r="Q38" s="19">
        <f>'[7]Eurocode 2'!$F$7</f>
        <v>0.17126581148890535</v>
      </c>
      <c r="R38" s="19">
        <f t="shared" ref="R38:R48" si="90">Q38/J38</f>
        <v>0.71360754787043901</v>
      </c>
      <c r="S38" s="19">
        <f t="shared" si="67"/>
        <v>-0.33742212059957494</v>
      </c>
      <c r="T38" s="19">
        <f>'[7]NBR 6118'!$F$7</f>
        <v>0.20649479255901723</v>
      </c>
      <c r="U38" s="19">
        <f>'[7]NBR 6118'!$G$7</f>
        <v>0.15602233219784434</v>
      </c>
      <c r="V38" s="19">
        <f>'[7]NBR 6118'!$L$7</f>
        <v>0.65009305082435143</v>
      </c>
      <c r="W38" s="19">
        <f t="shared" si="68"/>
        <v>-0.43063977122378305</v>
      </c>
      <c r="X38" s="19" cm="1">
        <f t="array" ref="X38:X43">[7]Sugestão!$G$7:$G$12</f>
        <v>0.21474422554616154</v>
      </c>
      <c r="Y38" s="19">
        <f t="shared" ref="Y38:Y43" si="91">X38/J38</f>
        <v>0.89476760644233977</v>
      </c>
      <c r="Z38" s="19">
        <f t="shared" ref="Z38:Z43" si="92">LN(Y38)</f>
        <v>-0.11119125203047892</v>
      </c>
      <c r="AA38" s="19" cm="1">
        <f t="array" ref="AA38:AA43">'[7]fib Model Code 2020 modificado'!$F$7:$F$12</f>
        <v>0.20734643281634355</v>
      </c>
      <c r="AB38" s="19">
        <f t="shared" si="10"/>
        <v>0.86394347006809813</v>
      </c>
      <c r="AC38" s="19">
        <f t="shared" si="11"/>
        <v>-0.14624794048052045</v>
      </c>
      <c r="AD38" s="20">
        <f>'[7]fib Model Code 2010'!$L$7</f>
        <v>0.18922989304623691</v>
      </c>
      <c r="AE38" s="20">
        <f t="shared" ref="AE38:AE94" si="93">AD38/J38</f>
        <v>0.78845788769265379</v>
      </c>
      <c r="AF38" s="20">
        <f t="shared" si="69"/>
        <v>-0.23767628213130265</v>
      </c>
      <c r="AG38" s="20">
        <f>'[7]fib Model Code 2020'!$L$7</f>
        <v>0.16333872081928372</v>
      </c>
      <c r="AH38" s="20">
        <f t="shared" ref="AH38:AH94" si="94">AG38/J38</f>
        <v>0.68057800341368213</v>
      </c>
      <c r="AI38" s="20">
        <f t="shared" si="70"/>
        <v>-0.38481283684154943</v>
      </c>
      <c r="AJ38" s="20">
        <f>'[7]Eurocode 2'!$L$7</f>
        <v>0.16758074432571601</v>
      </c>
      <c r="AK38" s="20">
        <f t="shared" ref="AK38:AK102" si="95">AJ38/J38</f>
        <v>0.69825310135715013</v>
      </c>
      <c r="AL38" s="20">
        <f t="shared" si="71"/>
        <v>-0.35917363255246476</v>
      </c>
      <c r="AM38" s="20">
        <f>'[7]NBR 6118'!$Q$7</f>
        <v>0.20908799761278896</v>
      </c>
      <c r="AN38" s="20">
        <f>'[7]NBR 6118'!$R$7</f>
        <v>0.15996566082219832</v>
      </c>
      <c r="AO38" s="20">
        <f>'[7]NBR 6118'!$W$7</f>
        <v>0.66652358675915968</v>
      </c>
      <c r="AP38" s="20">
        <f t="shared" si="72"/>
        <v>-0.40567975100356307</v>
      </c>
      <c r="AQ38" s="20">
        <f>'[7]Clark (1956)'!$L$7</f>
        <v>0.13324468767213826</v>
      </c>
      <c r="AR38" s="20">
        <f>AQ38/J38</f>
        <v>0.5551861986339095</v>
      </c>
      <c r="AS38" s="20">
        <f t="shared" si="74"/>
        <v>-0.58845172846683524</v>
      </c>
      <c r="AT38" s="20">
        <f>'[7]Leonhardt (1977)'!$L$7</f>
        <v>0.26595117250432371</v>
      </c>
      <c r="AU38" s="20">
        <f>AT38/J38</f>
        <v>1.1081298854346822</v>
      </c>
      <c r="AV38" s="20">
        <f t="shared" si="76"/>
        <v>0.10267380657631871</v>
      </c>
      <c r="AW38" s="20">
        <f>'[7]Desayi; Ganesan (1985)'!$L$7</f>
        <v>0.19995733054196627</v>
      </c>
      <c r="AX38" s="20">
        <f>AW38/J38</f>
        <v>0.83315554392485947</v>
      </c>
      <c r="AY38" s="20">
        <f t="shared" si="78"/>
        <v>-0.18253492684589387</v>
      </c>
      <c r="AZ38" s="20">
        <f>'[7]Oh; Kang (1987)'!$L$7</f>
        <v>0.12790720519573359</v>
      </c>
      <c r="BA38" s="20">
        <f>AZ38/J38</f>
        <v>0.53294668831555669</v>
      </c>
      <c r="BB38" s="20">
        <f t="shared" si="80"/>
        <v>-0.62933388174085103</v>
      </c>
      <c r="BC38" s="20">
        <f>'[7]Caldas (1997)'!$L$7</f>
        <v>0.24360227547511745</v>
      </c>
      <c r="BD38" s="20">
        <f>BC38/J38</f>
        <v>1.0150094811463228</v>
      </c>
      <c r="BE38" s="20">
        <f t="shared" si="82"/>
        <v>1.4897953480983432E-2</v>
      </c>
      <c r="BF38" s="20" cm="1">
        <f t="array" ref="BF38:BF43">'[7]Gergely e Lutz (1968)'!$L$7:$L$12</f>
        <v>0.19246157522098073</v>
      </c>
      <c r="BG38" s="20">
        <f t="shared" si="83"/>
        <v>0.80192323008741973</v>
      </c>
      <c r="BH38" s="20">
        <f t="shared" si="84"/>
        <v>-0.22074239878038707</v>
      </c>
      <c r="BI38" s="20" cm="1">
        <f t="array" ref="BI38:BI43">[7]Sugestão!$N$7:$N$12</f>
        <v>0.20633910593613325</v>
      </c>
      <c r="BJ38" s="20">
        <f t="shared" si="85"/>
        <v>0.85974627473388854</v>
      </c>
      <c r="BK38" s="20">
        <f t="shared" si="86"/>
        <v>-0.15111796264351221</v>
      </c>
      <c r="BL38" s="20" cm="1">
        <f t="array" ref="BL38:BL43">'[7]fib Model Code 2020 modificado'!$L$7:$L$12</f>
        <v>0.20031653478615891</v>
      </c>
      <c r="BM38" s="20">
        <f t="shared" si="87"/>
        <v>0.8346522282756621</v>
      </c>
      <c r="BN38" s="20">
        <f t="shared" si="88"/>
        <v>-0.18074013397165514</v>
      </c>
      <c r="BS38" t="b">
        <f t="shared" si="12"/>
        <v>1</v>
      </c>
      <c r="BU38" t="b">
        <f t="shared" si="13"/>
        <v>0</v>
      </c>
      <c r="BW38" t="b">
        <f t="shared" si="14"/>
        <v>1</v>
      </c>
    </row>
    <row r="39" spans="1:75">
      <c r="A39" s="90"/>
      <c r="B39" s="43">
        <f>'[7]Dados de entrada'!$B$26</f>
        <v>10</v>
      </c>
      <c r="C39" s="43">
        <f>'[7]Dados de entrada'!$B$29</f>
        <v>4</v>
      </c>
      <c r="D39" s="44">
        <f>'[7]Leonhardt (1977)'!$B$25</f>
        <v>32.466666666666669</v>
      </c>
      <c r="E39" s="44">
        <f>'[7]Dados de entrada'!$B$25</f>
        <v>3.5139999999999993</v>
      </c>
      <c r="F39" s="43">
        <f>'[7]Dados de entrada'!$B$28</f>
        <v>25</v>
      </c>
      <c r="G39" s="43">
        <f>'[7]Dados de entrada'!$B$20</f>
        <v>36</v>
      </c>
      <c r="H39" s="45">
        <f>'[7]Dados de entrada'!$B$27/(2*'[7]Dados de entrada'!$B$18*G39)</f>
        <v>2.1805555555555557E-2</v>
      </c>
      <c r="I39" s="26">
        <f>'[7]fib Model Code 2010'!$K$8</f>
        <v>357.19097382510409</v>
      </c>
      <c r="J39" s="19">
        <f>'[7]Dados de entrada'!$C$10</f>
        <v>0.3</v>
      </c>
      <c r="K39" s="19">
        <f>'[7]fib Model Code 2010'!$F$8</f>
        <v>0.31720045444376804</v>
      </c>
      <c r="L39" s="19">
        <f t="shared" ref="L39:L48" si="96">K39/J39</f>
        <v>1.0573348481458935</v>
      </c>
      <c r="M39" s="19">
        <f t="shared" ref="M39:M43" si="97">LN(L39)</f>
        <v>5.5751447776126541E-2</v>
      </c>
      <c r="N39" s="19">
        <f>'[7]fib Model Code 2020'!$F$8</f>
        <v>0.27076151016075245</v>
      </c>
      <c r="O39" s="19">
        <f t="shared" si="89"/>
        <v>0.90253836720250824</v>
      </c>
      <c r="P39" s="19">
        <f t="shared" ref="P39:P48" si="98">LN(O39)</f>
        <v>-0.10254407754297309</v>
      </c>
      <c r="Q39" s="19">
        <f>'[7]Eurocode 2'!$F$8</f>
        <v>0.27659686506976372</v>
      </c>
      <c r="R39" s="19">
        <f t="shared" si="90"/>
        <v>0.92198955023254581</v>
      </c>
      <c r="S39" s="19">
        <f t="shared" si="67"/>
        <v>-8.1221389293951521E-2</v>
      </c>
      <c r="T39" s="19">
        <f>'[7]NBR 6118'!$F$8</f>
        <v>0.28277767322380504</v>
      </c>
      <c r="U39" s="19">
        <f>'[7]NBR 6118'!$G$8</f>
        <v>0.29258953635709389</v>
      </c>
      <c r="V39" s="19">
        <f>'[7]NBR 6118'!$L$8</f>
        <v>0.94259224407935016</v>
      </c>
      <c r="W39" s="19">
        <f t="shared" si="68"/>
        <v>-5.9121492746865505E-2</v>
      </c>
      <c r="X39" s="19">
        <v>0.35905114242684505</v>
      </c>
      <c r="Y39" s="19">
        <f t="shared" si="91"/>
        <v>1.1968371414228169</v>
      </c>
      <c r="Z39" s="19">
        <f t="shared" si="92"/>
        <v>0.17968236169939464</v>
      </c>
      <c r="AA39" s="19">
        <v>0.33008483361448443</v>
      </c>
      <c r="AB39" s="19">
        <f t="shared" si="10"/>
        <v>1.1002827787149481</v>
      </c>
      <c r="AC39" s="19">
        <f t="shared" si="11"/>
        <v>9.5567218326137154E-2</v>
      </c>
      <c r="AD39" s="20">
        <f>'[7]fib Model Code 2010'!$L$8</f>
        <v>0.2248189846147983</v>
      </c>
      <c r="AE39" s="20">
        <f t="shared" si="93"/>
        <v>0.749396615382661</v>
      </c>
      <c r="AF39" s="20">
        <f t="shared" si="69"/>
        <v>-0.28848690906901686</v>
      </c>
      <c r="AG39" s="20">
        <f>'[7]fib Model Code 2020'!$L$8</f>
        <v>0.19321340015703939</v>
      </c>
      <c r="AH39" s="20">
        <f t="shared" si="94"/>
        <v>0.64404466719013131</v>
      </c>
      <c r="AI39" s="20">
        <f t="shared" si="70"/>
        <v>-0.43998719629211991</v>
      </c>
      <c r="AJ39" s="20">
        <f>'[7]Eurocode 2'!$L$8</f>
        <v>0.19604078582316281</v>
      </c>
      <c r="AK39" s="20">
        <f t="shared" si="95"/>
        <v>0.65346928607720944</v>
      </c>
      <c r="AL39" s="20">
        <f t="shared" si="71"/>
        <v>-0.42545974613909499</v>
      </c>
      <c r="AM39" s="20">
        <f>'[7]NBR 6118'!$Q$8</f>
        <v>0.23231999734754327</v>
      </c>
      <c r="AN39" s="20">
        <f>'[7]NBR 6118'!$R$8</f>
        <v>0.1974884701508621</v>
      </c>
      <c r="AO39" s="20">
        <f>'[7]NBR 6118'!$W$8</f>
        <v>0.65829490050287365</v>
      </c>
      <c r="AP39" s="20">
        <f t="shared" si="72"/>
        <v>-0.41810227100212038</v>
      </c>
      <c r="AQ39" s="20">
        <f>'[7]Clark (1956)'!$L$8</f>
        <v>0.15994528174100089</v>
      </c>
      <c r="AR39" s="20">
        <f t="shared" ref="AR39:AR102" si="99">AQ39/J39</f>
        <v>0.53315093913666967</v>
      </c>
      <c r="AS39" s="20">
        <f t="shared" si="74"/>
        <v>-0.62895070703273326</v>
      </c>
      <c r="AT39" s="20">
        <f>'[7]Leonhardt (1977)'!$L$8</f>
        <v>0.30872458220891225</v>
      </c>
      <c r="AU39" s="20">
        <f t="shared" ref="AU39:AU101" si="100">AT39/J39</f>
        <v>1.0290819406963743</v>
      </c>
      <c r="AV39" s="20">
        <f t="shared" si="76"/>
        <v>2.8667085067677216E-2</v>
      </c>
      <c r="AW39" s="20">
        <f>'[7]Desayi; Ganesan (1985)'!$L$8</f>
        <v>0.22217481171329587</v>
      </c>
      <c r="AX39" s="20">
        <f t="shared" ref="AX39:AX102" si="101">AW39/J39</f>
        <v>0.74058270571098628</v>
      </c>
      <c r="AY39" s="20">
        <f t="shared" si="78"/>
        <v>-0.30031796250227721</v>
      </c>
      <c r="AZ39" s="20">
        <f>'[7]Oh; Kang (1987)'!$L$8</f>
        <v>0.14425493211719229</v>
      </c>
      <c r="BA39" s="20">
        <f t="shared" ref="BA39:BA102" si="102">AZ39/J39</f>
        <v>0.48084977372397431</v>
      </c>
      <c r="BB39" s="20">
        <f t="shared" si="80"/>
        <v>-0.73220037839883378</v>
      </c>
      <c r="BC39" s="20">
        <f>'[7]Caldas (1997)'!$L$8</f>
        <v>0.27482748427982534</v>
      </c>
      <c r="BD39" s="20">
        <f t="shared" ref="BD39:BD102" si="103">BC39/J39</f>
        <v>0.91609161426608454</v>
      </c>
      <c r="BE39" s="20">
        <f t="shared" si="82"/>
        <v>-8.7638903734902768E-2</v>
      </c>
      <c r="BF39" s="20">
        <v>0.21384619468997865</v>
      </c>
      <c r="BG39" s="20">
        <f t="shared" si="83"/>
        <v>0.71282064896659547</v>
      </c>
      <c r="BH39" s="20">
        <f t="shared" si="84"/>
        <v>-0.3385254344367703</v>
      </c>
      <c r="BI39" s="20">
        <v>0.24880889422913266</v>
      </c>
      <c r="BJ39" s="20">
        <f t="shared" si="85"/>
        <v>0.82936298076377557</v>
      </c>
      <c r="BK39" s="20">
        <f t="shared" si="86"/>
        <v>-0.18709736592076373</v>
      </c>
      <c r="BL39" s="20">
        <v>0.23597162927781823</v>
      </c>
      <c r="BM39" s="20">
        <f t="shared" si="87"/>
        <v>0.7865720975927275</v>
      </c>
      <c r="BN39" s="20">
        <f t="shared" si="88"/>
        <v>-0.24007089178148311</v>
      </c>
      <c r="BS39" t="b">
        <f t="shared" si="12"/>
        <v>1</v>
      </c>
      <c r="BU39" t="b">
        <f t="shared" si="13"/>
        <v>0</v>
      </c>
      <c r="BW39" t="b">
        <f t="shared" si="14"/>
        <v>1</v>
      </c>
    </row>
    <row r="40" spans="1:75">
      <c r="A40" s="90"/>
      <c r="B40" s="43">
        <f>'[7]Dados de entrada'!$B$26</f>
        <v>10</v>
      </c>
      <c r="C40" s="43">
        <f>'[7]Dados de entrada'!$B$29</f>
        <v>4</v>
      </c>
      <c r="D40" s="44">
        <f>'[7]Leonhardt (1977)'!$B$25</f>
        <v>32.466666666666669</v>
      </c>
      <c r="E40" s="44">
        <f>'[7]Dados de entrada'!$B$25</f>
        <v>3.5139999999999993</v>
      </c>
      <c r="F40" s="43">
        <f>'[7]Dados de entrada'!$B$28</f>
        <v>25</v>
      </c>
      <c r="G40" s="43">
        <f>'[7]Dados de entrada'!$B$20</f>
        <v>36</v>
      </c>
      <c r="H40" s="45">
        <f>'[7]Dados de entrada'!$B$27/(2*'[7]Dados de entrada'!$B$18*G40)</f>
        <v>2.1805555555555557E-2</v>
      </c>
      <c r="I40" s="26">
        <f>'[7]fib Model Code 2010'!$K$9</f>
        <v>370.58563534354545</v>
      </c>
      <c r="J40" s="19">
        <f>'[7]Dados de entrada'!$C$11</f>
        <v>0.3</v>
      </c>
      <c r="K40" s="19">
        <f>'[7]fib Model Code 2010'!$F$9</f>
        <v>0.34534942670121238</v>
      </c>
      <c r="L40" s="19">
        <f t="shared" si="96"/>
        <v>1.1511647556707081</v>
      </c>
      <c r="M40" s="19">
        <f t="shared" si="97"/>
        <v>0.14077426082589703</v>
      </c>
      <c r="N40" s="19">
        <f>'[7]fib Model Code 2020'!$F$9</f>
        <v>0.29439070334368261</v>
      </c>
      <c r="O40" s="19">
        <f t="shared" si="89"/>
        <v>0.98130234447894205</v>
      </c>
      <c r="P40" s="19">
        <f t="shared" si="98"/>
        <v>-1.8874666616380882E-2</v>
      </c>
      <c r="Q40" s="19">
        <f>'[7]Eurocode 2'!$F$9</f>
        <v>0.30114259749942857</v>
      </c>
      <c r="R40" s="19">
        <f t="shared" si="90"/>
        <v>1.0038086583314285</v>
      </c>
      <c r="S40" s="19">
        <f t="shared" si="67"/>
        <v>3.801423755818449E-3</v>
      </c>
      <c r="T40" s="19">
        <f>'[7]NBR 6118'!$F$9</f>
        <v>0.30053451289498884</v>
      </c>
      <c r="U40" s="19">
        <f>'[7]NBR 6118'!$G$9</f>
        <v>0.33048919342577127</v>
      </c>
      <c r="V40" s="19">
        <f>'[7]NBR 6118'!$L$9</f>
        <v>1.0017817096499628</v>
      </c>
      <c r="W40" s="19">
        <f t="shared" si="68"/>
        <v>1.7801242881480734E-3</v>
      </c>
      <c r="X40" s="19">
        <v>0.39264235927867475</v>
      </c>
      <c r="Y40" s="19">
        <f t="shared" si="91"/>
        <v>1.3088078642622492</v>
      </c>
      <c r="Z40" s="19">
        <f t="shared" si="92"/>
        <v>0.269116695606124</v>
      </c>
      <c r="AA40" s="19">
        <v>0.35920928997779389</v>
      </c>
      <c r="AB40" s="19">
        <f t="shared" si="10"/>
        <v>1.1973642999259797</v>
      </c>
      <c r="AC40" s="19">
        <f t="shared" si="11"/>
        <v>0.18012272440453497</v>
      </c>
      <c r="AD40" s="20">
        <f>'[7]fib Model Code 2010'!$L$9</f>
        <v>0.23816489395300877</v>
      </c>
      <c r="AE40" s="20">
        <f t="shared" si="93"/>
        <v>0.79388297984336265</v>
      </c>
      <c r="AF40" s="20">
        <f t="shared" si="69"/>
        <v>-0.23081920914650289</v>
      </c>
      <c r="AG40" s="20">
        <f>'[7]fib Model Code 2020'!$L$9</f>
        <v>0.20441640490869767</v>
      </c>
      <c r="AH40" s="20">
        <f t="shared" si="94"/>
        <v>0.6813880163623256</v>
      </c>
      <c r="AI40" s="20">
        <f t="shared" si="70"/>
        <v>-0.3836233606984063</v>
      </c>
      <c r="AJ40" s="20">
        <f>'[7]Eurocode 2'!$L$9</f>
        <v>0.20767833751244857</v>
      </c>
      <c r="AK40" s="20">
        <f t="shared" si="95"/>
        <v>0.69226112504149528</v>
      </c>
      <c r="AL40" s="20">
        <f t="shared" si="71"/>
        <v>-0.3677920462165814</v>
      </c>
      <c r="AM40" s="20">
        <f>'[7]NBR 6118'!$Q$9</f>
        <v>0.24103199724807614</v>
      </c>
      <c r="AN40" s="20">
        <f>'[7]NBR 6118'!$R$9</f>
        <v>0.21257782357332636</v>
      </c>
      <c r="AO40" s="20">
        <f>'[7]NBR 6118'!$W$9</f>
        <v>0.70859274524442117</v>
      </c>
      <c r="AP40" s="20">
        <f t="shared" si="72"/>
        <v>-0.34447432475668799</v>
      </c>
      <c r="AQ40" s="20">
        <f>'[7]Clark (1956)'!$L$9</f>
        <v>0.1699580045168243</v>
      </c>
      <c r="AR40" s="20">
        <f t="shared" si="99"/>
        <v>0.56652668172274767</v>
      </c>
      <c r="AS40" s="20">
        <f t="shared" si="74"/>
        <v>-0.56823110037740721</v>
      </c>
      <c r="AT40" s="20">
        <f>'[7]Leonhardt (1977)'!$L$9</f>
        <v>0.32445331455853083</v>
      </c>
      <c r="AU40" s="20">
        <f t="shared" si="100"/>
        <v>1.081511048528436</v>
      </c>
      <c r="AV40" s="20">
        <f t="shared" si="76"/>
        <v>7.8359182288924564E-2</v>
      </c>
      <c r="AW40" s="20">
        <f>'[7]Desayi; Ganesan (1985)'!$L$9</f>
        <v>0.23050636715254444</v>
      </c>
      <c r="AX40" s="20">
        <f t="shared" si="101"/>
        <v>0.76835455717514811</v>
      </c>
      <c r="AY40" s="20">
        <f t="shared" si="78"/>
        <v>-0.2635039893795611</v>
      </c>
      <c r="AZ40" s="20">
        <f>'[7]Oh; Kang (1987)'!$L$9</f>
        <v>0.15038532971273924</v>
      </c>
      <c r="BA40" s="20">
        <f t="shared" si="102"/>
        <v>0.50128443237579745</v>
      </c>
      <c r="BB40" s="20">
        <f t="shared" si="80"/>
        <v>-0.69058160970156823</v>
      </c>
      <c r="BC40" s="20">
        <f>'[7]Caldas (1997)'!$L$9</f>
        <v>0.28653693758159071</v>
      </c>
      <c r="BD40" s="20">
        <f t="shared" si="103"/>
        <v>0.95512312527196908</v>
      </c>
      <c r="BE40" s="20">
        <f t="shared" si="82"/>
        <v>-4.5915019825421378E-2</v>
      </c>
      <c r="BF40" s="20">
        <v>0.22186542699085282</v>
      </c>
      <c r="BG40" s="20">
        <f t="shared" si="83"/>
        <v>0.73955142330284274</v>
      </c>
      <c r="BH40" s="20">
        <f t="shared" si="84"/>
        <v>-0.30171146131405407</v>
      </c>
      <c r="BI40" s="20">
        <v>0.26473506483900733</v>
      </c>
      <c r="BJ40" s="20">
        <f t="shared" si="85"/>
        <v>0.8824502161300245</v>
      </c>
      <c r="BK40" s="20">
        <f t="shared" si="86"/>
        <v>-0.12505290408317252</v>
      </c>
      <c r="BL40" s="20">
        <v>0.24942849030937828</v>
      </c>
      <c r="BM40" s="20">
        <f t="shared" si="87"/>
        <v>0.83142830103126097</v>
      </c>
      <c r="BN40" s="20">
        <f t="shared" si="88"/>
        <v>-0.1846102125321526</v>
      </c>
      <c r="BS40" t="b">
        <f t="shared" si="12"/>
        <v>1</v>
      </c>
      <c r="BU40" t="b">
        <f t="shared" si="13"/>
        <v>0</v>
      </c>
      <c r="BW40" t="b">
        <f t="shared" si="14"/>
        <v>1</v>
      </c>
    </row>
    <row r="41" spans="1:75">
      <c r="A41" s="90"/>
      <c r="B41" s="43">
        <f>'[7]Dados de entrada'!$B$26</f>
        <v>10</v>
      </c>
      <c r="C41" s="43">
        <f>'[7]Dados de entrada'!$B$29</f>
        <v>4</v>
      </c>
      <c r="D41" s="44">
        <f>'[7]Leonhardt (1977)'!$B$25</f>
        <v>32.466666666666669</v>
      </c>
      <c r="E41" s="44">
        <f>'[7]Dados de entrada'!$B$25</f>
        <v>3.5139999999999993</v>
      </c>
      <c r="F41" s="43">
        <f>'[7]Dados de entrada'!$B$28</f>
        <v>25</v>
      </c>
      <c r="G41" s="43">
        <f>'[7]Dados de entrada'!$B$20</f>
        <v>36</v>
      </c>
      <c r="H41" s="45">
        <f>'[7]Dados de entrada'!$B$27/(2*'[7]Dados de entrada'!$B$18*G41)</f>
        <v>2.1805555555555557E-2</v>
      </c>
      <c r="I41" s="26">
        <f>'[7]fib Model Code 2010'!$K$10</f>
        <v>392.91007120761441</v>
      </c>
      <c r="J41" s="19">
        <f>'[7]Dados de entrada'!$C$12</f>
        <v>0.3</v>
      </c>
      <c r="K41" s="19">
        <f>'[7]fib Model Code 2010'!$F$10</f>
        <v>0.37235393743121814</v>
      </c>
      <c r="L41" s="19">
        <f t="shared" si="96"/>
        <v>1.2411797914373939</v>
      </c>
      <c r="M41" s="19">
        <f t="shared" si="97"/>
        <v>0.21606237198789821</v>
      </c>
      <c r="N41" s="19">
        <f>'[7]fib Model Code 2020'!$F$10</f>
        <v>0.31705919706394858</v>
      </c>
      <c r="O41" s="19">
        <f t="shared" si="89"/>
        <v>1.056863990213162</v>
      </c>
      <c r="P41" s="19">
        <f t="shared" si="98"/>
        <v>5.5306023313702823E-2</v>
      </c>
      <c r="Q41" s="19">
        <f>'[7]Eurocode 2'!$F$10</f>
        <v>0.3246903664449694</v>
      </c>
      <c r="R41" s="19">
        <f t="shared" si="90"/>
        <v>1.0823012214832315</v>
      </c>
      <c r="S41" s="19">
        <f t="shared" si="67"/>
        <v>7.9089534917820004E-2</v>
      </c>
      <c r="T41" s="19">
        <f>'[7]NBR 6118'!$F$10</f>
        <v>0.31756940720821414</v>
      </c>
      <c r="U41" s="19">
        <f>'[7]NBR 6118'!$G$10</f>
        <v>0.36901657541675875</v>
      </c>
      <c r="V41" s="19">
        <f>'[7]NBR 6118'!$L$10</f>
        <v>1.0585646906940471</v>
      </c>
      <c r="W41" s="19">
        <f t="shared" si="68"/>
        <v>5.6913925166072854E-2</v>
      </c>
      <c r="X41" s="19">
        <v>0.42259259028446483</v>
      </c>
      <c r="Y41" s="19">
        <f t="shared" si="91"/>
        <v>1.4086419676148829</v>
      </c>
      <c r="Z41" s="19">
        <f t="shared" si="92"/>
        <v>0.34262609673376399</v>
      </c>
      <c r="AA41" s="19">
        <v>0.38734620987899537</v>
      </c>
      <c r="AB41" s="19">
        <f t="shared" si="10"/>
        <v>1.2911540329299847</v>
      </c>
      <c r="AC41" s="19">
        <f t="shared" si="11"/>
        <v>0.25553641762876506</v>
      </c>
      <c r="AD41" s="20">
        <f>'[7]fib Model Code 2010'!$L$10</f>
        <v>0.26040807618335954</v>
      </c>
      <c r="AE41" s="20">
        <f t="shared" si="93"/>
        <v>0.86802692061119846</v>
      </c>
      <c r="AF41" s="20">
        <f t="shared" si="69"/>
        <v>-0.14153255027369696</v>
      </c>
      <c r="AG41" s="20">
        <f>'[7]fib Model Code 2020'!$L$10</f>
        <v>0.22308807949479487</v>
      </c>
      <c r="AH41" s="20">
        <f t="shared" si="94"/>
        <v>0.74362693164931626</v>
      </c>
      <c r="AI41" s="20">
        <f t="shared" si="70"/>
        <v>-0.29621580586531637</v>
      </c>
      <c r="AJ41" s="20">
        <f>'[7]Eurocode 2'!$L$10</f>
        <v>0.22707425699459161</v>
      </c>
      <c r="AK41" s="20">
        <f t="shared" si="95"/>
        <v>0.75691418998197202</v>
      </c>
      <c r="AL41" s="20">
        <f t="shared" si="71"/>
        <v>-0.27850538734377533</v>
      </c>
      <c r="AM41" s="20">
        <f>'[7]NBR 6118'!$Q$10</f>
        <v>0.25555199708229764</v>
      </c>
      <c r="AN41" s="20">
        <f>'[7]NBR 6118'!$R$10</f>
        <v>0.23896104888254321</v>
      </c>
      <c r="AO41" s="20">
        <f>'[7]NBR 6118'!$W$10</f>
        <v>0.79653682960847738</v>
      </c>
      <c r="AP41" s="20">
        <f t="shared" si="72"/>
        <v>-0.22748191139347032</v>
      </c>
      <c r="AQ41" s="20">
        <f>'[7]Clark (1956)'!$L$10</f>
        <v>0.18664587580986336</v>
      </c>
      <c r="AR41" s="20">
        <f t="shared" si="99"/>
        <v>0.6221529193662112</v>
      </c>
      <c r="AS41" s="20">
        <f t="shared" si="74"/>
        <v>-0.47456936538830069</v>
      </c>
      <c r="AT41" s="20">
        <f>'[7]Leonhardt (1977)'!$L$10</f>
        <v>0.350359144881568</v>
      </c>
      <c r="AU41" s="20">
        <f t="shared" si="100"/>
        <v>1.1678638162718933</v>
      </c>
      <c r="AV41" s="20">
        <f t="shared" si="76"/>
        <v>0.15517628195060762</v>
      </c>
      <c r="AW41" s="20">
        <f>'[7]Desayi; Ganesan (1985)'!$L$10</f>
        <v>0.24439229288462541</v>
      </c>
      <c r="AX41" s="20">
        <f t="shared" si="101"/>
        <v>0.81464097628208476</v>
      </c>
      <c r="AY41" s="20">
        <f t="shared" si="78"/>
        <v>-0.20500778269795253</v>
      </c>
      <c r="AZ41" s="20">
        <f>'[7]Oh; Kang (1987)'!$L$10</f>
        <v>0.1606026590386509</v>
      </c>
      <c r="BA41" s="20">
        <f t="shared" si="102"/>
        <v>0.53534219679550299</v>
      </c>
      <c r="BB41" s="20">
        <f t="shared" si="80"/>
        <v>-0.62484911637742258</v>
      </c>
      <c r="BC41" s="20">
        <f>'[7]Caldas (1997)'!$L$10</f>
        <v>0.30605269308453309</v>
      </c>
      <c r="BD41" s="20">
        <f t="shared" si="103"/>
        <v>1.0201756436151104</v>
      </c>
      <c r="BE41" s="20">
        <f t="shared" si="82"/>
        <v>1.9974812094183763E-2</v>
      </c>
      <c r="BF41" s="20">
        <v>0.23523081415897645</v>
      </c>
      <c r="BG41" s="20">
        <f t="shared" si="83"/>
        <v>0.78410271386325492</v>
      </c>
      <c r="BH41" s="20">
        <f t="shared" si="84"/>
        <v>-0.24321525463244556</v>
      </c>
      <c r="BI41" s="20">
        <v>0.29127868252213185</v>
      </c>
      <c r="BJ41" s="20">
        <f t="shared" si="85"/>
        <v>0.97092894174043953</v>
      </c>
      <c r="BK41" s="20">
        <f t="shared" si="86"/>
        <v>-2.9501993862518203E-2</v>
      </c>
      <c r="BL41" s="20">
        <v>0.27196107760099414</v>
      </c>
      <c r="BM41" s="20">
        <f t="shared" si="87"/>
        <v>0.9065369253366472</v>
      </c>
      <c r="BN41" s="20">
        <f t="shared" si="88"/>
        <v>-9.8123515654732693E-2</v>
      </c>
      <c r="BS41" t="b">
        <f t="shared" si="12"/>
        <v>1</v>
      </c>
      <c r="BU41" t="b">
        <f t="shared" si="13"/>
        <v>0</v>
      </c>
      <c r="BW41" t="b">
        <f t="shared" si="14"/>
        <v>1</v>
      </c>
    </row>
    <row r="42" spans="1:75">
      <c r="A42" s="90"/>
      <c r="B42" s="43">
        <f>'[7]Dados de entrada'!$B$26</f>
        <v>10</v>
      </c>
      <c r="C42" s="43">
        <f>'[7]Dados de entrada'!$B$29</f>
        <v>4</v>
      </c>
      <c r="D42" s="44">
        <f>'[7]Leonhardt (1977)'!$B$25</f>
        <v>32.466666666666669</v>
      </c>
      <c r="E42" s="44">
        <f>'[7]Dados de entrada'!$B$25</f>
        <v>3.5139999999999993</v>
      </c>
      <c r="F42" s="43">
        <f>'[7]Dados de entrada'!$B$28</f>
        <v>25</v>
      </c>
      <c r="G42" s="43">
        <f>'[7]Dados de entrada'!$B$20</f>
        <v>36</v>
      </c>
      <c r="H42" s="45">
        <f>'[7]Dados de entrada'!$B$27/(2*'[7]Dados de entrada'!$B$18*G42)</f>
        <v>2.1805555555555557E-2</v>
      </c>
      <c r="I42" s="26">
        <f>'[7]fib Model Code 2010'!$K$11</f>
        <v>424.16428141731097</v>
      </c>
      <c r="J42" s="19">
        <f>'[7]Dados de entrada'!$C$13</f>
        <v>0.38</v>
      </c>
      <c r="K42" s="19">
        <f>'[7]fib Model Code 2010'!$F$11</f>
        <v>0.39978069783796638</v>
      </c>
      <c r="L42" s="19">
        <f t="shared" si="96"/>
        <v>1.0520544679946484</v>
      </c>
      <c r="M42" s="19">
        <f t="shared" si="97"/>
        <v>5.0744888635517058E-2</v>
      </c>
      <c r="N42" s="19">
        <f>'[7]fib Model Code 2020'!$F$11</f>
        <v>0.34008214135142972</v>
      </c>
      <c r="O42" s="19">
        <f t="shared" si="89"/>
        <v>0.89495300355639396</v>
      </c>
      <c r="P42" s="19">
        <f t="shared" si="98"/>
        <v>-0.11098407207883554</v>
      </c>
      <c r="Q42" s="19">
        <f>'[7]Eurocode 2'!$F$11</f>
        <v>0.34860633453785528</v>
      </c>
      <c r="R42" s="19">
        <f t="shared" si="90"/>
        <v>0.91738509088909281</v>
      </c>
      <c r="S42" s="19">
        <f t="shared" si="67"/>
        <v>-8.6227948434561497E-2</v>
      </c>
      <c r="T42" s="19">
        <f>'[7]NBR 6118'!$F$11</f>
        <v>0.3348706636373473</v>
      </c>
      <c r="U42" s="19">
        <f>'[7]NBR 6118'!$G$11</f>
        <v>0.41032007275004712</v>
      </c>
      <c r="V42" s="19">
        <f>'[7]NBR 6118'!$L$11</f>
        <v>0.88123858851933501</v>
      </c>
      <c r="W42" s="19">
        <f t="shared" si="68"/>
        <v>-0.12642687413741796</v>
      </c>
      <c r="X42" s="19">
        <v>0.44561553457194603</v>
      </c>
      <c r="Y42" s="19">
        <f t="shared" si="91"/>
        <v>1.1726724593998579</v>
      </c>
      <c r="Z42" s="19">
        <f t="shared" si="92"/>
        <v>0.15928529743027303</v>
      </c>
      <c r="AA42" s="19">
        <v>0.41612013113985652</v>
      </c>
      <c r="AB42" s="19">
        <f t="shared" si="10"/>
        <v>1.0950529766838328</v>
      </c>
      <c r="AC42" s="19">
        <f t="shared" si="11"/>
        <v>9.0802742631344566E-2</v>
      </c>
      <c r="AD42" s="20">
        <f>'[7]fib Model Code 2010'!$L$11</f>
        <v>0.29154853130585062</v>
      </c>
      <c r="AE42" s="20">
        <f t="shared" si="93"/>
        <v>0.76723297712065952</v>
      </c>
      <c r="AF42" s="20">
        <f t="shared" si="69"/>
        <v>-0.26496477260276791</v>
      </c>
      <c r="AG42" s="20">
        <f>'[7]fib Model Code 2020'!$L$11</f>
        <v>0.24922842391533095</v>
      </c>
      <c r="AH42" s="20">
        <f t="shared" si="94"/>
        <v>0.6558642734613972</v>
      </c>
      <c r="AI42" s="20">
        <f t="shared" si="70"/>
        <v>-0.42180141165613427</v>
      </c>
      <c r="AJ42" s="20">
        <f>'[7]Eurocode 2'!$L$11</f>
        <v>0.25422854426959185</v>
      </c>
      <c r="AK42" s="20">
        <f t="shared" si="95"/>
        <v>0.66902248491997851</v>
      </c>
      <c r="AL42" s="20">
        <f t="shared" si="71"/>
        <v>-0.4019376096728462</v>
      </c>
      <c r="AM42" s="20">
        <f>'[7]NBR 6118'!$Q$11</f>
        <v>0.27587999685020764</v>
      </c>
      <c r="AN42" s="20">
        <f>'[7]NBR 6118'!$R$11</f>
        <v>0.27848960048617671</v>
      </c>
      <c r="AO42" s="20">
        <f>'[7]NBR 6118'!$W$11</f>
        <v>0.72599999171107277</v>
      </c>
      <c r="AP42" s="20">
        <f t="shared" si="72"/>
        <v>-0.32020527557459616</v>
      </c>
      <c r="AQ42" s="20">
        <f>'[7]Clark (1956)'!$L$11</f>
        <v>0.21000889562011807</v>
      </c>
      <c r="AR42" s="20">
        <f t="shared" si="99"/>
        <v>0.55265498847399486</v>
      </c>
      <c r="AS42" s="20">
        <f t="shared" si="74"/>
        <v>-0.59302136280432605</v>
      </c>
      <c r="AT42" s="20">
        <f>'[7]Leonhardt (1977)'!$L$11</f>
        <v>0.38608135403252564</v>
      </c>
      <c r="AU42" s="20">
        <f t="shared" si="100"/>
        <v>1.0160035632434885</v>
      </c>
      <c r="AV42" s="20">
        <f t="shared" si="76"/>
        <v>1.5876856279558007E-2</v>
      </c>
      <c r="AW42" s="20">
        <f>'[7]Desayi; Ganesan (1985)'!$L$11</f>
        <v>0.26383258890953881</v>
      </c>
      <c r="AX42" s="20">
        <f t="shared" si="101"/>
        <v>0.69429628660404952</v>
      </c>
      <c r="AY42" s="20">
        <f t="shared" si="78"/>
        <v>-0.36485648363984857</v>
      </c>
      <c r="AZ42" s="20">
        <f>'[7]Oh; Kang (1987)'!$L$11</f>
        <v>0.17490692009492717</v>
      </c>
      <c r="BA42" s="20">
        <f t="shared" si="102"/>
        <v>0.46028136867086095</v>
      </c>
      <c r="BB42" s="20">
        <f t="shared" si="80"/>
        <v>-0.77591730546985738</v>
      </c>
      <c r="BC42" s="20">
        <f>'[7]Caldas (1997)'!$L$11</f>
        <v>0.33337475078865242</v>
      </c>
      <c r="BD42" s="20">
        <f t="shared" si="103"/>
        <v>0.87730197575961166</v>
      </c>
      <c r="BE42" s="20">
        <f t="shared" si="82"/>
        <v>-0.13090401775913266</v>
      </c>
      <c r="BF42" s="20">
        <v>0.25394235619434957</v>
      </c>
      <c r="BG42" s="20">
        <f t="shared" si="83"/>
        <v>0.66826935840618307</v>
      </c>
      <c r="BH42" s="20">
        <f t="shared" si="84"/>
        <v>-0.40306395557434171</v>
      </c>
      <c r="BI42" s="20">
        <v>0.32843974727850617</v>
      </c>
      <c r="BJ42" s="20">
        <f t="shared" si="85"/>
        <v>0.86431512441712144</v>
      </c>
      <c r="BK42" s="20">
        <f t="shared" si="86"/>
        <v>-0.14581784934029612</v>
      </c>
      <c r="BL42" s="20">
        <v>0.30372611951118927</v>
      </c>
      <c r="BM42" s="20">
        <f t="shared" si="87"/>
        <v>0.79927926187155074</v>
      </c>
      <c r="BN42" s="20">
        <f t="shared" si="88"/>
        <v>-0.22404488004950443</v>
      </c>
      <c r="BS42" t="b">
        <f t="shared" si="12"/>
        <v>1</v>
      </c>
      <c r="BU42" t="b">
        <f t="shared" si="13"/>
        <v>0</v>
      </c>
      <c r="BW42" t="b">
        <f t="shared" si="14"/>
        <v>1</v>
      </c>
    </row>
    <row r="43" spans="1:75">
      <c r="A43" s="86"/>
      <c r="B43" s="43">
        <f>'[7]Dados de entrada'!$B$26</f>
        <v>10</v>
      </c>
      <c r="C43" s="43">
        <f>'[7]Dados de entrada'!$B$29</f>
        <v>4</v>
      </c>
      <c r="D43" s="44">
        <f>'[7]Leonhardt (1977)'!$B$25</f>
        <v>32.466666666666669</v>
      </c>
      <c r="E43" s="44">
        <f>'[7]Dados de entrada'!$B$25</f>
        <v>3.5139999999999993</v>
      </c>
      <c r="F43" s="43">
        <f>'[7]Dados de entrada'!$B$28</f>
        <v>25</v>
      </c>
      <c r="G43" s="43">
        <f>'[7]Dados de entrada'!$B$20</f>
        <v>36</v>
      </c>
      <c r="H43" s="45">
        <f>'[7]Dados de entrada'!$B$27/(2*'[7]Dados de entrada'!$B$18*G43)</f>
        <v>2.1805555555555557E-2</v>
      </c>
      <c r="I43" s="26">
        <f>'[7]fib Model Code 2010'!$K$12</f>
        <v>491.13758900951802</v>
      </c>
      <c r="J43" s="19">
        <f>'[7]Dados de entrada'!$C$14</f>
        <v>0.44</v>
      </c>
      <c r="K43" s="19">
        <f>'[7]fib Model Code 2010'!$F$12</f>
        <v>0.49464235464347078</v>
      </c>
      <c r="L43" s="19">
        <f t="shared" si="96"/>
        <v>1.1241871696442518</v>
      </c>
      <c r="M43" s="19">
        <f t="shared" si="97"/>
        <v>0.11706025864422184</v>
      </c>
      <c r="N43" s="19">
        <f>'[7]fib Model Code 2020'!$F$12</f>
        <v>0.41971220364321704</v>
      </c>
      <c r="O43" s="19">
        <f t="shared" si="89"/>
        <v>0.95389137191640239</v>
      </c>
      <c r="P43" s="19">
        <f t="shared" si="98"/>
        <v>-4.7205479932786829E-2</v>
      </c>
      <c r="Q43" s="19">
        <f>'[7]Eurocode 2'!$F$12</f>
        <v>0.43132512172792148</v>
      </c>
      <c r="R43" s="19">
        <f t="shared" si="90"/>
        <v>0.98028436756345794</v>
      </c>
      <c r="S43" s="19">
        <f t="shared" si="67"/>
        <v>-1.9912578425856545E-2</v>
      </c>
      <c r="T43" s="19">
        <f>'[7]NBR 6118'!$F$12</f>
        <v>0.39471097380685027</v>
      </c>
      <c r="U43" s="19">
        <f>'[7]NBR 6118'!$G$12</f>
        <v>0.57006838857721054</v>
      </c>
      <c r="V43" s="19">
        <f>'[7]NBR 6118'!$L$12</f>
        <v>0.89707039501556884</v>
      </c>
      <c r="W43" s="19">
        <f t="shared" si="68"/>
        <v>-0.10862094172437377</v>
      </c>
      <c r="X43" s="19">
        <v>0.52524559686373329</v>
      </c>
      <c r="Y43" s="19">
        <f t="shared" si="91"/>
        <v>1.1937399928721211</v>
      </c>
      <c r="Z43" s="19">
        <f t="shared" si="92"/>
        <v>0.17709122984331713</v>
      </c>
      <c r="AA43" s="19">
        <v>0.51717240138633225</v>
      </c>
      <c r="AB43" s="19">
        <f t="shared" si="10"/>
        <v>1.1753918213325734</v>
      </c>
      <c r="AC43" s="19">
        <f t="shared" si="11"/>
        <v>0.16160155697293066</v>
      </c>
      <c r="AD43" s="20">
        <f>'[7]fib Model Code 2010'!$L$12</f>
        <v>0.35827807799690314</v>
      </c>
      <c r="AE43" s="20">
        <f t="shared" si="93"/>
        <v>0.81426835908387074</v>
      </c>
      <c r="AF43" s="20">
        <f t="shared" si="69"/>
        <v>-0.20546528784771548</v>
      </c>
      <c r="AG43" s="20">
        <f>'[7]fib Model Code 2020'!$L$12</f>
        <v>0.30524344767362266</v>
      </c>
      <c r="AH43" s="20">
        <f t="shared" si="94"/>
        <v>0.69373510834914243</v>
      </c>
      <c r="AI43" s="20">
        <f t="shared" si="70"/>
        <v>-0.3656650795945563</v>
      </c>
      <c r="AJ43" s="20">
        <f>'[7]Eurocode 2'!$L$12</f>
        <v>0.31241630271602105</v>
      </c>
      <c r="AK43" s="20">
        <f t="shared" si="95"/>
        <v>0.71003705162732056</v>
      </c>
      <c r="AL43" s="20">
        <f t="shared" si="71"/>
        <v>-0.34243812491779374</v>
      </c>
      <c r="AM43" s="20">
        <f>'[7]NBR 6118'!$Q$12</f>
        <v>0.31943999635287207</v>
      </c>
      <c r="AN43" s="20">
        <f>'[7]NBR 6118'!$R$12</f>
        <v>0.37337663887897365</v>
      </c>
      <c r="AO43" s="20">
        <f>'[7]NBR 6118'!$W$12</f>
        <v>0.72599999171107288</v>
      </c>
      <c r="AP43" s="20">
        <f t="shared" si="72"/>
        <v>-0.32020527557459599</v>
      </c>
      <c r="AQ43" s="20">
        <f>'[7]Clark (1956)'!$L$12</f>
        <v>0.26007250949923538</v>
      </c>
      <c r="AR43" s="20">
        <f t="shared" si="99"/>
        <v>0.59107388522553495</v>
      </c>
      <c r="AS43" s="20">
        <f t="shared" si="74"/>
        <v>-0.52581425208796095</v>
      </c>
      <c r="AT43" s="20">
        <f>'[7]Leonhardt (1977)'!$L$12</f>
        <v>0.46101058349859836</v>
      </c>
      <c r="AU43" s="20">
        <f t="shared" si="100"/>
        <v>1.0477513261331781</v>
      </c>
      <c r="AV43" s="20">
        <f t="shared" si="76"/>
        <v>4.6646273518428115E-2</v>
      </c>
      <c r="AW43" s="20">
        <f>'[7]Desayi; Ganesan (1985)'!$L$12</f>
        <v>0.30549036610578179</v>
      </c>
      <c r="AX43" s="20">
        <f t="shared" si="101"/>
        <v>0.69429628660404952</v>
      </c>
      <c r="AY43" s="20">
        <f t="shared" si="78"/>
        <v>-0.36485648363984857</v>
      </c>
      <c r="AZ43" s="20">
        <f>'[7]Oh; Kang (1987)'!$L$12</f>
        <v>0.20555890807266211</v>
      </c>
      <c r="BA43" s="20">
        <f t="shared" si="102"/>
        <v>0.46717933652877752</v>
      </c>
      <c r="BB43" s="20">
        <f t="shared" si="80"/>
        <v>-0.76104207676647428</v>
      </c>
      <c r="BC43" s="20">
        <f>'[7]Caldas (1997)'!$L$12</f>
        <v>0.39192201729747961</v>
      </c>
      <c r="BD43" s="20">
        <f t="shared" si="103"/>
        <v>0.89073185749427186</v>
      </c>
      <c r="BE43" s="20">
        <f t="shared" si="82"/>
        <v>-0.11571184237774197</v>
      </c>
      <c r="BF43" s="20">
        <v>0.29403851769872058</v>
      </c>
      <c r="BG43" s="20">
        <f t="shared" si="83"/>
        <v>0.66826935840618318</v>
      </c>
      <c r="BH43" s="20">
        <f t="shared" si="84"/>
        <v>-0.40306395557434155</v>
      </c>
      <c r="BI43" s="20">
        <v>0.40807060032787995</v>
      </c>
      <c r="BJ43" s="20">
        <f t="shared" si="85"/>
        <v>0.92743318256336349</v>
      </c>
      <c r="BK43" s="20">
        <f t="shared" si="86"/>
        <v>-7.5334527458528838E-2</v>
      </c>
      <c r="BL43" s="20">
        <v>0.37265607243348686</v>
      </c>
      <c r="BM43" s="20">
        <f t="shared" si="87"/>
        <v>0.84694561916701561</v>
      </c>
      <c r="BN43" s="20">
        <f t="shared" si="88"/>
        <v>-0.16611879044436137</v>
      </c>
      <c r="BS43" t="b">
        <f t="shared" si="12"/>
        <v>1</v>
      </c>
      <c r="BU43" t="b">
        <f t="shared" si="13"/>
        <v>0</v>
      </c>
      <c r="BW43" t="b">
        <f t="shared" si="14"/>
        <v>1</v>
      </c>
    </row>
    <row r="44" spans="1:75">
      <c r="A44" s="87" t="s">
        <v>19</v>
      </c>
      <c r="B44" s="37">
        <f>'[8]Dados de entrada'!$B$28</f>
        <v>16</v>
      </c>
      <c r="C44" s="37">
        <f>'[8]Dados de entrada'!$B$31</f>
        <v>4</v>
      </c>
      <c r="D44" s="41">
        <f>'[8]Leonhardt (1977)'!$B$27</f>
        <v>37</v>
      </c>
      <c r="E44" s="41">
        <f>'[8]Dados de entrada'!$B$27</f>
        <v>4.2587999999999999</v>
      </c>
      <c r="F44" s="37">
        <f>'[8]Dados de entrada'!$B$30</f>
        <v>20</v>
      </c>
      <c r="G44" s="37">
        <f>'[8]Dados de entrada'!$B$22</f>
        <v>54</v>
      </c>
      <c r="H44" s="42">
        <f>'[8]Dados de entrada'!$B$29/('[8]Dados de entrada'!$B$20*2*G44)</f>
        <v>5.9259259259259262E-2</v>
      </c>
      <c r="I44" s="25">
        <f>'[8]fib Model Code 2010'!$K$6</f>
        <v>136.24998634844746</v>
      </c>
      <c r="J44" s="4">
        <f>'[8]Dados de entrada'!$C$8</f>
        <v>0.18</v>
      </c>
      <c r="K44" s="4">
        <f>'[8]fib Model Code 2010'!$F$6</f>
        <v>4.1165901693089819E-2</v>
      </c>
      <c r="L44" s="4">
        <f t="shared" si="96"/>
        <v>0.228699453850499</v>
      </c>
      <c r="M44" s="4">
        <f t="shared" ref="M44:M48" si="104">LN(L44)</f>
        <v>-1.4753465660170357</v>
      </c>
      <c r="N44" s="4">
        <f>'[8]fib Model Code 2020'!$F$6</f>
        <v>4.7218905272675429E-2</v>
      </c>
      <c r="O44" s="4">
        <f t="shared" si="89"/>
        <v>0.26232725151486352</v>
      </c>
      <c r="P44" s="4">
        <f t="shared" si="98"/>
        <v>-1.3381625030535678</v>
      </c>
      <c r="Q44" s="4">
        <f>'[8]Eurocode 2'!$F$6</f>
        <v>4.8247002117823221E-2</v>
      </c>
      <c r="R44" s="4">
        <f t="shared" si="90"/>
        <v>0.26803890065457348</v>
      </c>
      <c r="S44" s="4">
        <f t="shared" si="67"/>
        <v>-1.3166231573085989</v>
      </c>
      <c r="T44" s="4">
        <f>'[8]NBR 6118'!$F$6</f>
        <v>4.7470443812921731E-2</v>
      </c>
      <c r="U44" s="4">
        <f>'[8]NBR 6118'!$G$6</f>
        <v>4.0432978303747535E-2</v>
      </c>
      <c r="V44" s="4">
        <f>'[8]NBR 6118'!$L$6</f>
        <v>0.22462765724304187</v>
      </c>
      <c r="W44" s="4">
        <f t="shared" si="68"/>
        <v>-1.493311104263167</v>
      </c>
      <c r="X44" s="4" cm="1">
        <f t="array" ref="X44:X48">[8]Sugestão!$G$6:$G$10</f>
        <v>4.7218905272675429E-2</v>
      </c>
      <c r="Y44" s="4">
        <f t="shared" ref="Y44:Y48" si="105">X44/J44</f>
        <v>0.26232725151486352</v>
      </c>
      <c r="Z44" s="4">
        <f t="shared" ref="Z44:Z48" si="106">LN(Y44)</f>
        <v>-1.3381625030535678</v>
      </c>
      <c r="AA44" s="4" cm="1">
        <f t="array" ref="AA44:AA48">'[8]fib Model Code 2020 modificado'!$F$6:$F$10</f>
        <v>7.4847281758756032E-2</v>
      </c>
      <c r="AB44" s="4">
        <f t="shared" si="10"/>
        <v>0.41581823199308909</v>
      </c>
      <c r="AC44" s="4">
        <f t="shared" si="11"/>
        <v>-0.87750705653229211</v>
      </c>
      <c r="AD44" s="11">
        <f>'[8]fib Model Code 2010'!$L$6</f>
        <v>3.8537839874132902E-2</v>
      </c>
      <c r="AE44" s="11">
        <f t="shared" si="93"/>
        <v>0.21409911041184945</v>
      </c>
      <c r="AF44" s="11">
        <f t="shared" si="69"/>
        <v>-1.5413162384075121</v>
      </c>
      <c r="AG44" s="11">
        <f>'[8]fib Model Code 2020'!$L$6</f>
        <v>4.3068885937083114E-2</v>
      </c>
      <c r="AH44" s="11">
        <f t="shared" si="94"/>
        <v>0.23927158853935063</v>
      </c>
      <c r="AI44" s="11">
        <f t="shared" si="70"/>
        <v>-1.4301560184906759</v>
      </c>
      <c r="AJ44" s="11">
        <f>'[8]Eurocode 2'!$L$6</f>
        <v>4.5166877574692683E-2</v>
      </c>
      <c r="AK44" s="11">
        <f t="shared" si="95"/>
        <v>0.25092709763718157</v>
      </c>
      <c r="AL44" s="11">
        <f t="shared" si="71"/>
        <v>-1.3825928296990753</v>
      </c>
      <c r="AM44" s="11">
        <f>'[8]NBR 6118'!$Q$6</f>
        <v>4.8418033582336178E-2</v>
      </c>
      <c r="AN44" s="11">
        <f>'[8]NBR 6118'!$R$6</f>
        <v>4.2063309858943153E-2</v>
      </c>
      <c r="AO44" s="11">
        <f>'[8]NBR 6118'!$W$6</f>
        <v>0.2336850547719064</v>
      </c>
      <c r="AP44" s="11">
        <f t="shared" si="72"/>
        <v>-1.4537809899661704</v>
      </c>
      <c r="AQ44" s="11">
        <f>'[8]Clark (1956)'!$L$6</f>
        <v>5.3334062616951713E-2</v>
      </c>
      <c r="AR44" s="11">
        <f t="shared" si="99"/>
        <v>0.29630034787195397</v>
      </c>
      <c r="AS44" s="11">
        <f t="shared" si="74"/>
        <v>-1.2163816503501377</v>
      </c>
      <c r="AT44" s="11">
        <f>'[8]Leonhardt (1977)'!$L$6</f>
        <v>7.6553053078508113E-2</v>
      </c>
      <c r="AU44" s="11">
        <f t="shared" si="100"/>
        <v>0.42529473932504508</v>
      </c>
      <c r="AV44" s="11">
        <f t="shared" si="76"/>
        <v>-0.8549728461264775</v>
      </c>
      <c r="AW44" s="11">
        <f>'[8]Desayi; Ganesan (1985)'!$L$6</f>
        <v>0.11739335717932614</v>
      </c>
      <c r="AX44" s="11">
        <f t="shared" si="101"/>
        <v>0.65218531766292298</v>
      </c>
      <c r="AY44" s="11">
        <f t="shared" si="78"/>
        <v>-0.42742652789668834</v>
      </c>
      <c r="AZ44" s="11">
        <f>'[8]Oh; Kang (1987)'!$L$6</f>
        <v>5.3755393196897358E-2</v>
      </c>
      <c r="BA44" s="11">
        <f t="shared" si="102"/>
        <v>0.29864107331609646</v>
      </c>
      <c r="BB44" s="11">
        <f t="shared" si="80"/>
        <v>-1.2085128503690858</v>
      </c>
      <c r="BC44" s="11">
        <f>'[8]Caldas (1997)'!$L$6</f>
        <v>5.8045479214654826E-2</v>
      </c>
      <c r="BD44" s="11">
        <f t="shared" si="103"/>
        <v>0.32247488452586015</v>
      </c>
      <c r="BE44" s="11">
        <f t="shared" si="82"/>
        <v>-1.1317300232181084</v>
      </c>
      <c r="BF44" s="11" cm="1">
        <f t="array" ref="BF44:BF48">'[8]Gergely e Lutz (1968)'!$L$6:$L$10</f>
        <v>0.10489888158351161</v>
      </c>
      <c r="BG44" s="11">
        <f t="shared" si="83"/>
        <v>0.58277156435284228</v>
      </c>
      <c r="BH44" s="11">
        <f t="shared" si="84"/>
        <v>-0.53995999728443711</v>
      </c>
      <c r="BI44" s="11" cm="1">
        <f t="array" ref="BI44:BI48">[8]Sugestão!$N$6:$N$10</f>
        <v>4.3068885937083114E-2</v>
      </c>
      <c r="BJ44" s="11">
        <f t="shared" si="85"/>
        <v>0.23927158853935063</v>
      </c>
      <c r="BK44" s="11">
        <f t="shared" si="86"/>
        <v>-1.4301560184906759</v>
      </c>
      <c r="BL44" s="11" cm="1">
        <f t="array" ref="BL44:BL48">'[8]fib Model Code 2020 modificado'!$L$6:$L$10</f>
        <v>6.9035374486631218E-2</v>
      </c>
      <c r="BM44" s="11">
        <f t="shared" si="87"/>
        <v>0.38352985825906233</v>
      </c>
      <c r="BN44" s="11">
        <f t="shared" si="88"/>
        <v>-0.95833780394593038</v>
      </c>
      <c r="BS44" t="b">
        <f t="shared" si="12"/>
        <v>0</v>
      </c>
      <c r="BU44" t="b">
        <f t="shared" si="13"/>
        <v>1</v>
      </c>
      <c r="BW44" t="b">
        <f t="shared" si="14"/>
        <v>1</v>
      </c>
    </row>
    <row r="45" spans="1:75">
      <c r="A45" s="88"/>
      <c r="B45" s="37">
        <f>'[8]Dados de entrada'!$B$28</f>
        <v>16</v>
      </c>
      <c r="C45" s="37">
        <f>'[8]Dados de entrada'!$B$31</f>
        <v>4</v>
      </c>
      <c r="D45" s="41">
        <f>'[8]Leonhardt (1977)'!$B$27</f>
        <v>37</v>
      </c>
      <c r="E45" s="41">
        <f>'[8]Dados de entrada'!$B$27</f>
        <v>4.2587999999999999</v>
      </c>
      <c r="F45" s="37">
        <f>'[8]Dados de entrada'!$B$30</f>
        <v>20</v>
      </c>
      <c r="G45" s="37">
        <f>'[8]Dados de entrada'!$B$22</f>
        <v>54</v>
      </c>
      <c r="H45" s="42">
        <f>'[8]Dados de entrada'!$B$29/('[8]Dados de entrada'!$B$20*2*G45)</f>
        <v>5.9259259259259262E-2</v>
      </c>
      <c r="I45" s="25">
        <f>'[8]fib Model Code 2010'!$K$7</f>
        <v>196.14009023787494</v>
      </c>
      <c r="J45" s="4">
        <f>'[8]Dados de entrada'!$C$9</f>
        <v>0.2</v>
      </c>
      <c r="K45" s="4">
        <f>'[8]fib Model Code 2010'!$F$7</f>
        <v>7.1162880353613608E-2</v>
      </c>
      <c r="L45" s="4">
        <f t="shared" si="96"/>
        <v>0.355814401768068</v>
      </c>
      <c r="M45" s="4">
        <f t="shared" si="104"/>
        <v>-1.0333460274249255</v>
      </c>
      <c r="N45" s="4">
        <f>'[8]fib Model Code 2020'!$F$7</f>
        <v>9.4587669794330878E-2</v>
      </c>
      <c r="O45" s="4">
        <f t="shared" si="89"/>
        <v>0.47293834897165438</v>
      </c>
      <c r="P45" s="4">
        <f t="shared" si="98"/>
        <v>-0.74879023942573453</v>
      </c>
      <c r="Q45" s="4">
        <f>'[8]Eurocode 2'!$F$7</f>
        <v>8.3403873058063779E-2</v>
      </c>
      <c r="R45" s="4">
        <f t="shared" si="90"/>
        <v>0.41701936529031886</v>
      </c>
      <c r="S45" s="4">
        <f t="shared" si="67"/>
        <v>-0.87462261871648872</v>
      </c>
      <c r="T45" s="4">
        <f>'[8]NBR 6118'!$F$7</f>
        <v>7.3461353475032062E-2</v>
      </c>
      <c r="U45" s="4">
        <f>'[8]NBR 6118'!$G$7</f>
        <v>9.6829346307253997E-2</v>
      </c>
      <c r="V45" s="4">
        <f>'[8]NBR 6118'!$L$7</f>
        <v>0.36730676737516027</v>
      </c>
      <c r="W45" s="4">
        <f t="shared" si="68"/>
        <v>-1.0015579016729386</v>
      </c>
      <c r="X45" s="4">
        <v>9.8472202649949075E-2</v>
      </c>
      <c r="Y45" s="4">
        <f t="shared" si="105"/>
        <v>0.49236101324974535</v>
      </c>
      <c r="Z45" s="4">
        <f t="shared" si="106"/>
        <v>-0.70854306479727103</v>
      </c>
      <c r="AA45" s="4">
        <v>0.14358810864818483</v>
      </c>
      <c r="AB45" s="4">
        <f t="shared" si="10"/>
        <v>0.71794054324092416</v>
      </c>
      <c r="AC45" s="4">
        <f t="shared" si="11"/>
        <v>-0.3313685222194071</v>
      </c>
      <c r="AD45" s="11">
        <f>'[8]fib Model Code 2010'!$L$7</f>
        <v>6.1464945828186207E-2</v>
      </c>
      <c r="AE45" s="11">
        <f t="shared" si="93"/>
        <v>0.30732472914093101</v>
      </c>
      <c r="AF45" s="11">
        <f t="shared" si="69"/>
        <v>-1.1798503407731995</v>
      </c>
      <c r="AG45" s="11">
        <f>'[8]fib Model Code 2020'!$L$7</f>
        <v>7.927348825357626E-2</v>
      </c>
      <c r="AH45" s="11">
        <f t="shared" si="94"/>
        <v>0.39636744126788126</v>
      </c>
      <c r="AI45" s="11">
        <f t="shared" si="70"/>
        <v>-0.9254136159544446</v>
      </c>
      <c r="AJ45" s="11">
        <f>'[8]Eurocode 2'!$L$7</f>
        <v>7.2037760612011156E-2</v>
      </c>
      <c r="AK45" s="11">
        <f t="shared" si="95"/>
        <v>0.36018880306005574</v>
      </c>
      <c r="AL45" s="11">
        <f t="shared" si="71"/>
        <v>-1.0211269320647629</v>
      </c>
      <c r="AM45" s="11">
        <f>'[8]NBR 6118'!$Q$7</f>
        <v>6.9700685706440002E-2</v>
      </c>
      <c r="AN45" s="11">
        <f>'[8]NBR 6118'!$R$7</f>
        <v>8.7169238073822417E-2</v>
      </c>
      <c r="AO45" s="11">
        <f>'[8]NBR 6118'!$W$7</f>
        <v>0.34850342853220001</v>
      </c>
      <c r="AP45" s="11">
        <f t="shared" si="72"/>
        <v>-1.0541072108609408</v>
      </c>
      <c r="AQ45" s="11">
        <f>'[8]Clark (1956)'!$L$7</f>
        <v>7.9691697338688736E-2</v>
      </c>
      <c r="AR45" s="11">
        <f t="shared" si="99"/>
        <v>0.39845848669344364</v>
      </c>
      <c r="AS45" s="11">
        <f t="shared" si="74"/>
        <v>-0.92015196009693245</v>
      </c>
      <c r="AT45" s="11">
        <f>'[8]Leonhardt (1977)'!$L$7</f>
        <v>0.12704734905426315</v>
      </c>
      <c r="AU45" s="11">
        <f t="shared" si="100"/>
        <v>0.63523674527131568</v>
      </c>
      <c r="AV45" s="11">
        <f t="shared" si="76"/>
        <v>-0.45375752237331368</v>
      </c>
      <c r="AW45" s="11">
        <f>'[8]Desayi; Ganesan (1985)'!$L$7</f>
        <v>0.16899483286254643</v>
      </c>
      <c r="AX45" s="11">
        <f t="shared" si="101"/>
        <v>0.84497416431273209</v>
      </c>
      <c r="AY45" s="11">
        <f t="shared" si="78"/>
        <v>-0.1684492268702131</v>
      </c>
      <c r="AZ45" s="11">
        <f>'[8]Oh; Kang (1987)'!$L$7</f>
        <v>8.7413694740726702E-2</v>
      </c>
      <c r="BA45" s="11">
        <f t="shared" si="102"/>
        <v>0.4370684737036335</v>
      </c>
      <c r="BB45" s="11">
        <f t="shared" si="80"/>
        <v>-0.82766540576387437</v>
      </c>
      <c r="BC45" s="11">
        <f>'[8]Caldas (1997)'!$L$7</f>
        <v>8.825052032231516E-2</v>
      </c>
      <c r="BD45" s="11">
        <f t="shared" si="103"/>
        <v>0.44125260161157576</v>
      </c>
      <c r="BE45" s="11">
        <f t="shared" si="82"/>
        <v>-0.81813777474844074</v>
      </c>
      <c r="BF45" s="11">
        <v>0.15100828008175848</v>
      </c>
      <c r="BG45" s="11">
        <f t="shared" si="83"/>
        <v>0.75504140040879242</v>
      </c>
      <c r="BH45" s="11">
        <f t="shared" si="84"/>
        <v>-0.28098269625796179</v>
      </c>
      <c r="BI45" s="11">
        <v>7.9717100228499774E-2</v>
      </c>
      <c r="BJ45" s="11">
        <f t="shared" si="85"/>
        <v>0.39858550114249885</v>
      </c>
      <c r="BK45" s="11">
        <f t="shared" si="86"/>
        <v>-0.91983324631935226</v>
      </c>
      <c r="BL45" s="11">
        <v>0.12088101288805375</v>
      </c>
      <c r="BM45" s="11">
        <f t="shared" si="87"/>
        <v>0.60440506444026876</v>
      </c>
      <c r="BN45" s="11">
        <f t="shared" si="88"/>
        <v>-0.50351066933297228</v>
      </c>
      <c r="BS45" t="b">
        <f t="shared" si="12"/>
        <v>0</v>
      </c>
      <c r="BU45" t="b">
        <f t="shared" si="13"/>
        <v>1</v>
      </c>
      <c r="BW45" t="b">
        <f t="shared" si="14"/>
        <v>1</v>
      </c>
    </row>
    <row r="46" spans="1:75">
      <c r="A46" s="88"/>
      <c r="B46" s="37">
        <f>'[8]Dados de entrada'!$B$28</f>
        <v>16</v>
      </c>
      <c r="C46" s="37">
        <f>'[8]Dados de entrada'!$B$31</f>
        <v>4</v>
      </c>
      <c r="D46" s="41">
        <f>'[8]Leonhardt (1977)'!$B$27</f>
        <v>37</v>
      </c>
      <c r="E46" s="41">
        <f>'[8]Dados de entrada'!$B$27</f>
        <v>4.2587999999999999</v>
      </c>
      <c r="F46" s="37">
        <f>'[8]Dados de entrada'!$B$30</f>
        <v>20</v>
      </c>
      <c r="G46" s="37">
        <f>'[8]Dados de entrada'!$B$22</f>
        <v>54</v>
      </c>
      <c r="H46" s="42">
        <f>'[8]Dados de entrada'!$B$29/('[8]Dados de entrada'!$B$20*2*G46)</f>
        <v>5.9259259259259262E-2</v>
      </c>
      <c r="I46" s="25">
        <f>'[8]fib Model Code 2010'!$K$8</f>
        <v>237.31453666185638</v>
      </c>
      <c r="J46" s="4">
        <f>'[8]Dados de entrada'!$C$10</f>
        <v>0.26</v>
      </c>
      <c r="K46" s="4">
        <f>'[8]fib Model Code 2010'!$F$8</f>
        <v>8.1576339266852468E-2</v>
      </c>
      <c r="L46" s="4">
        <f t="shared" si="96"/>
        <v>0.31375515102635565</v>
      </c>
      <c r="M46" s="4">
        <f t="shared" si="104"/>
        <v>-1.1591423710570283</v>
      </c>
      <c r="N46" s="4">
        <f>'[8]fib Model Code 2020'!$F$8</f>
        <v>0.11103174866972422</v>
      </c>
      <c r="O46" s="4">
        <f t="shared" si="89"/>
        <v>0.42704518719124701</v>
      </c>
      <c r="P46" s="4">
        <f t="shared" si="98"/>
        <v>-0.85086544654870488</v>
      </c>
      <c r="Q46" s="4">
        <f>'[8]Eurocode 2'!$F$8</f>
        <v>9.5608589912965961E-2</v>
      </c>
      <c r="R46" s="4">
        <f t="shared" si="90"/>
        <v>0.36772534581909982</v>
      </c>
      <c r="S46" s="4">
        <f t="shared" si="67"/>
        <v>-1.000418962348592</v>
      </c>
      <c r="T46" s="4">
        <f>'[8]NBR 6118'!$F$8</f>
        <v>8.2484104497629954E-2</v>
      </c>
      <c r="U46" s="4">
        <f>'[8]NBR 6118'!$G$8</f>
        <v>0.12207582730659658</v>
      </c>
      <c r="V46" s="4">
        <f>'[8]NBR 6118'!$L$8</f>
        <v>0.31724655576011518</v>
      </c>
      <c r="W46" s="4">
        <f t="shared" si="68"/>
        <v>-1.148076028994673</v>
      </c>
      <c r="X46" s="4">
        <v>0.1186110773729398</v>
      </c>
      <c r="Y46" s="4">
        <f t="shared" si="105"/>
        <v>0.45619645143438381</v>
      </c>
      <c r="Z46" s="4">
        <f t="shared" si="106"/>
        <v>-0.78483174769260688</v>
      </c>
      <c r="AA46" s="4">
        <v>0.16848481552690869</v>
      </c>
      <c r="AB46" s="4">
        <f t="shared" si="10"/>
        <v>0.64801852125734105</v>
      </c>
      <c r="AC46" s="4">
        <f t="shared" si="11"/>
        <v>-0.4338360008510706</v>
      </c>
      <c r="AD46" s="11">
        <f>'[8]fib Model Code 2010'!$L$8</f>
        <v>7.7227331171597871E-2</v>
      </c>
      <c r="AE46" s="11">
        <f t="shared" si="93"/>
        <v>0.29702819681383796</v>
      </c>
      <c r="AF46" s="11">
        <f t="shared" si="69"/>
        <v>-1.2139282059187058</v>
      </c>
      <c r="AG46" s="11">
        <f>'[8]fib Model Code 2020'!$L$8</f>
        <v>0.10416415234616534</v>
      </c>
      <c r="AH46" s="11">
        <f t="shared" si="94"/>
        <v>0.40063135517755899</v>
      </c>
      <c r="AI46" s="11">
        <f t="shared" si="70"/>
        <v>-0.91471358827530758</v>
      </c>
      <c r="AJ46" s="11">
        <f>'[8]Eurocode 2'!$L$8</f>
        <v>9.0511492700167645E-2</v>
      </c>
      <c r="AK46" s="11">
        <f t="shared" si="95"/>
        <v>0.34812112576987553</v>
      </c>
      <c r="AL46" s="11">
        <f t="shared" si="71"/>
        <v>-1.0552047972102689</v>
      </c>
      <c r="AM46" s="11">
        <f>'[8]NBR 6118'!$Q$8</f>
        <v>8.4332509041761372E-2</v>
      </c>
      <c r="AN46" s="11">
        <f>'[8]NBR 6118'!$R$8</f>
        <v>0.12760837895228047</v>
      </c>
      <c r="AO46" s="11">
        <f>'[8]NBR 6118'!$W$8</f>
        <v>0.3243558040067745</v>
      </c>
      <c r="AP46" s="11">
        <f t="shared" si="72"/>
        <v>-1.1259142052122484</v>
      </c>
      <c r="AQ46" s="11">
        <f>'[8]Clark (1956)'!$L$8</f>
        <v>9.7812571209882959E-2</v>
      </c>
      <c r="AR46" s="11">
        <f t="shared" si="99"/>
        <v>0.37620219696108831</v>
      </c>
      <c r="AS46" s="11">
        <f t="shared" si="74"/>
        <v>-0.97762852225695784</v>
      </c>
      <c r="AT46" s="11">
        <f>'[8]Leonhardt (1977)'!$L$8</f>
        <v>0.15974057213838819</v>
      </c>
      <c r="AU46" s="11">
        <f t="shared" si="100"/>
        <v>0.6143868159168776</v>
      </c>
      <c r="AV46" s="11">
        <f t="shared" si="76"/>
        <v>-0.48713055584753456</v>
      </c>
      <c r="AW46" s="11">
        <f>'[8]Desayi; Ganesan (1985)'!$L$8</f>
        <v>0.20447084739476043</v>
      </c>
      <c r="AX46" s="11">
        <f t="shared" si="101"/>
        <v>0.78642633613369395</v>
      </c>
      <c r="AY46" s="11">
        <f t="shared" si="78"/>
        <v>-0.24025622122152007</v>
      </c>
      <c r="AZ46" s="11">
        <f>'[8]Oh; Kang (1987)'!$L$8</f>
        <v>0.11055377705210942</v>
      </c>
      <c r="BA46" s="11">
        <f t="shared" si="102"/>
        <v>0.42520683481580546</v>
      </c>
      <c r="BB46" s="11">
        <f t="shared" si="80"/>
        <v>-0.85517955828839542</v>
      </c>
      <c r="BC46" s="11">
        <f>'[8]Caldas (1997)'!$L$8</f>
        <v>0.10901648608383162</v>
      </c>
      <c r="BD46" s="11">
        <f t="shared" si="103"/>
        <v>0.41929417724550622</v>
      </c>
      <c r="BE46" s="11">
        <f t="shared" si="82"/>
        <v>-0.86918251174776207</v>
      </c>
      <c r="BF46" s="11">
        <v>0.18270849154930321</v>
      </c>
      <c r="BG46" s="11">
        <f t="shared" si="83"/>
        <v>0.70272496749732005</v>
      </c>
      <c r="BH46" s="11">
        <f t="shared" si="84"/>
        <v>-0.35278969060926907</v>
      </c>
      <c r="BI46" s="11">
        <v>0.11020041095274997</v>
      </c>
      <c r="BJ46" s="11">
        <f t="shared" si="85"/>
        <v>0.42384773443365376</v>
      </c>
      <c r="BK46" s="11">
        <f t="shared" si="86"/>
        <v>-0.85838100514985582</v>
      </c>
      <c r="BL46" s="11">
        <v>0.15802235697078507</v>
      </c>
      <c r="BM46" s="11">
        <f t="shared" si="87"/>
        <v>0.60777829604148104</v>
      </c>
      <c r="BN46" s="11">
        <f t="shared" si="88"/>
        <v>-0.49794510818362009</v>
      </c>
      <c r="BS46" t="b">
        <f t="shared" si="12"/>
        <v>0</v>
      </c>
      <c r="BU46" t="b">
        <f t="shared" si="13"/>
        <v>1</v>
      </c>
      <c r="BW46" t="b">
        <f t="shared" si="14"/>
        <v>1</v>
      </c>
    </row>
    <row r="47" spans="1:75">
      <c r="A47" s="88"/>
      <c r="B47" s="37">
        <f>'[8]Dados de entrada'!$B$28</f>
        <v>16</v>
      </c>
      <c r="C47" s="37">
        <f>'[8]Dados de entrada'!$B$31</f>
        <v>4</v>
      </c>
      <c r="D47" s="41">
        <f>'[8]Leonhardt (1977)'!$B$27</f>
        <v>37</v>
      </c>
      <c r="E47" s="41">
        <f>'[8]Dados de entrada'!$B$27</f>
        <v>4.2587999999999999</v>
      </c>
      <c r="F47" s="37">
        <f>'[8]Dados de entrada'!$B$30</f>
        <v>20</v>
      </c>
      <c r="G47" s="37">
        <f>'[8]Dados de entrada'!$B$22</f>
        <v>54</v>
      </c>
      <c r="H47" s="42">
        <f>'[8]Dados de entrada'!$B$29/('[8]Dados de entrada'!$B$20*2*G47)</f>
        <v>5.9259259259259262E-2</v>
      </c>
      <c r="I47" s="25">
        <f>'[8]fib Model Code 2010'!$K$9</f>
        <v>305.43952983608006</v>
      </c>
      <c r="J47" s="4">
        <f>'[8]Dados de entrada'!$C$11</f>
        <v>0.44</v>
      </c>
      <c r="K47" s="4">
        <f>'[8]fib Model Code 2010'!$F$9</f>
        <v>0.11678004738399565</v>
      </c>
      <c r="L47" s="4">
        <f t="shared" si="96"/>
        <v>0.26540919859999013</v>
      </c>
      <c r="M47" s="4">
        <f t="shared" si="104"/>
        <v>-1.3264824983026249</v>
      </c>
      <c r="N47" s="4">
        <f>'[8]fib Model Code 2020'!$F$9</f>
        <v>0.16662255262907633</v>
      </c>
      <c r="O47" s="4">
        <f t="shared" si="89"/>
        <v>0.37868761961153713</v>
      </c>
      <c r="P47" s="4">
        <f t="shared" si="98"/>
        <v>-0.97104363641881863</v>
      </c>
      <c r="Q47" s="4">
        <f>'[8]Eurocode 2'!$F$9</f>
        <v>0.13686781928065758</v>
      </c>
      <c r="R47" s="4">
        <f t="shared" si="90"/>
        <v>0.31106322563785815</v>
      </c>
      <c r="S47" s="4">
        <f t="shared" si="67"/>
        <v>-1.1677590895941883</v>
      </c>
      <c r="T47" s="4">
        <f>'[8]NBR 6118'!$F$9</f>
        <v>0.11298638967103922</v>
      </c>
      <c r="U47" s="4">
        <f>'[8]NBR 6118'!$G$9</f>
        <v>0.22905586254657026</v>
      </c>
      <c r="V47" s="4">
        <f>'[8]NBR 6118'!$L$9</f>
        <v>0.25678724925236185</v>
      </c>
      <c r="W47" s="4">
        <f t="shared" si="68"/>
        <v>-1.3595073608431281</v>
      </c>
      <c r="X47" s="4">
        <v>0.18669249714543817</v>
      </c>
      <c r="Y47" s="4">
        <f t="shared" si="105"/>
        <v>0.42430112987599583</v>
      </c>
      <c r="Z47" s="4">
        <f t="shared" si="106"/>
        <v>-0.8573118638596664</v>
      </c>
      <c r="AA47" s="4">
        <v>0.25659384305000366</v>
      </c>
      <c r="AB47" s="4">
        <f t="shared" si="10"/>
        <v>0.58316782511364462</v>
      </c>
      <c r="AC47" s="4">
        <f t="shared" si="11"/>
        <v>-0.53928026936780726</v>
      </c>
      <c r="AD47" s="11">
        <f>'[8]fib Model Code 2010'!$L$9</f>
        <v>0.10330691419433347</v>
      </c>
      <c r="AE47" s="11">
        <f t="shared" si="93"/>
        <v>0.23478844135075788</v>
      </c>
      <c r="AF47" s="11">
        <f t="shared" si="69"/>
        <v>-1.4490704198772328</v>
      </c>
      <c r="AG47" s="11">
        <f>'[8]fib Model Code 2020'!$L$9</f>
        <v>0.14534688748117627</v>
      </c>
      <c r="AH47" s="11">
        <f t="shared" si="94"/>
        <v>0.33033383518449155</v>
      </c>
      <c r="AI47" s="11">
        <f t="shared" si="70"/>
        <v>-1.1076515140948995</v>
      </c>
      <c r="AJ47" s="11">
        <f>'[8]Eurocode 2'!$L$9</f>
        <v>0.12107712215511736</v>
      </c>
      <c r="AK47" s="11">
        <f t="shared" si="95"/>
        <v>0.27517527762526672</v>
      </c>
      <c r="AL47" s="11">
        <f t="shared" si="71"/>
        <v>-1.2903470111687962</v>
      </c>
      <c r="AM47" s="11">
        <f>'[8]NBR 6118'!$Q$9</f>
        <v>0.10854152583292943</v>
      </c>
      <c r="AN47" s="11">
        <f>'[8]NBR 6118'!$R$9</f>
        <v>0.21138832303946115</v>
      </c>
      <c r="AO47" s="11">
        <f>'[8]NBR 6118'!$W$9</f>
        <v>0.24668528598393052</v>
      </c>
      <c r="AP47" s="11">
        <f t="shared" si="72"/>
        <v>-1.3996419005821465</v>
      </c>
      <c r="AQ47" s="11">
        <f>'[8]Clark (1956)'!$L$9</f>
        <v>0.12779438070585877</v>
      </c>
      <c r="AR47" s="11">
        <f t="shared" si="99"/>
        <v>0.2904417743314972</v>
      </c>
      <c r="AS47" s="11">
        <f t="shared" si="74"/>
        <v>-1.2363521553732812</v>
      </c>
      <c r="AT47" s="11">
        <f>'[8]Leonhardt (1977)'!$L$9</f>
        <v>0.21221936042033682</v>
      </c>
      <c r="AU47" s="11">
        <f t="shared" si="100"/>
        <v>0.48231672822803823</v>
      </c>
      <c r="AV47" s="11">
        <f t="shared" si="76"/>
        <v>-0.72915426822912321</v>
      </c>
      <c r="AW47" s="11">
        <f>'[8]Desayi; Ganesan (1985)'!$L$9</f>
        <v>0.26316752598442344</v>
      </c>
      <c r="AX47" s="11">
        <f t="shared" si="101"/>
        <v>0.59810801360096233</v>
      </c>
      <c r="AY47" s="11">
        <f t="shared" si="78"/>
        <v>-0.5139839165914184</v>
      </c>
      <c r="AZ47" s="11">
        <f>'[8]Oh; Kang (1987)'!$L$9</f>
        <v>0.14884009505821524</v>
      </c>
      <c r="BA47" s="11">
        <f t="shared" si="102"/>
        <v>0.33827294331412555</v>
      </c>
      <c r="BB47" s="11">
        <f t="shared" si="80"/>
        <v>-1.0839021847736803</v>
      </c>
      <c r="BC47" s="11">
        <f>'[8]Caldas (1997)'!$L$9</f>
        <v>0.14337472034379523</v>
      </c>
      <c r="BD47" s="11">
        <f t="shared" si="103"/>
        <v>0.32585163714498916</v>
      </c>
      <c r="BE47" s="11">
        <f t="shared" si="82"/>
        <v>-1.1213131019874627</v>
      </c>
      <c r="BF47" s="11">
        <v>0.235157932341059</v>
      </c>
      <c r="BG47" s="11">
        <f t="shared" si="83"/>
        <v>0.5344498462296795</v>
      </c>
      <c r="BH47" s="11">
        <f t="shared" si="84"/>
        <v>-0.62651738597916729</v>
      </c>
      <c r="BI47" s="11">
        <v>0.16063643415105472</v>
      </c>
      <c r="BJ47" s="11">
        <f t="shared" si="85"/>
        <v>0.36508280488876071</v>
      </c>
      <c r="BK47" s="11">
        <f t="shared" si="86"/>
        <v>-1.0076310884201651</v>
      </c>
      <c r="BL47" s="11">
        <v>0.22215390817295699</v>
      </c>
      <c r="BM47" s="11">
        <f t="shared" si="87"/>
        <v>0.50489524584762957</v>
      </c>
      <c r="BN47" s="11">
        <f t="shared" si="88"/>
        <v>-0.68340430518926776</v>
      </c>
      <c r="BS47" t="b">
        <f t="shared" si="12"/>
        <v>0</v>
      </c>
      <c r="BU47" t="b">
        <f t="shared" si="13"/>
        <v>1</v>
      </c>
      <c r="BW47" t="b">
        <f t="shared" si="14"/>
        <v>1</v>
      </c>
    </row>
    <row r="48" spans="1:75">
      <c r="A48" s="88"/>
      <c r="B48" s="37">
        <f>'[8]Dados de entrada'!$B$28</f>
        <v>16</v>
      </c>
      <c r="C48" s="37">
        <f>'[8]Dados de entrada'!$B$31</f>
        <v>4</v>
      </c>
      <c r="D48" s="41">
        <f>'[8]Leonhardt (1977)'!$B$27</f>
        <v>37</v>
      </c>
      <c r="E48" s="41">
        <f>'[8]Dados de entrada'!$B$27</f>
        <v>4.2587999999999999</v>
      </c>
      <c r="F48" s="37">
        <f>'[8]Dados de entrada'!$B$30</f>
        <v>20</v>
      </c>
      <c r="G48" s="37">
        <f>'[8]Dados de entrada'!$B$22</f>
        <v>54</v>
      </c>
      <c r="H48" s="42">
        <f>'[8]Dados de entrada'!$B$29/('[8]Dados de entrada'!$B$20*2*G48)</f>
        <v>5.9259259259259262E-2</v>
      </c>
      <c r="I48" s="25">
        <f>'[8]fib Model Code 2010'!$K$10</f>
        <v>405.00682755225324</v>
      </c>
      <c r="J48" s="4">
        <f>'[8]Dados de entrada'!$C$12</f>
        <v>0.6</v>
      </c>
      <c r="K48" s="4">
        <f>'[8]fib Model Code 2010'!$F$10</f>
        <v>0.16604969627200622</v>
      </c>
      <c r="L48" s="4">
        <f t="shared" si="96"/>
        <v>0.27674949378667707</v>
      </c>
      <c r="M48" s="4">
        <f t="shared" si="104"/>
        <v>-1.2846425365308285</v>
      </c>
      <c r="N48" s="4">
        <f>'[8]fib Model Code 2020'!$F$10</f>
        <v>0.2444251347708627</v>
      </c>
      <c r="O48" s="4">
        <f t="shared" si="89"/>
        <v>0.40737522461810449</v>
      </c>
      <c r="P48" s="4">
        <f t="shared" si="98"/>
        <v>-0.89802059044535631</v>
      </c>
      <c r="Q48" s="4">
        <f>'[8]Eurocode 2'!$F$10</f>
        <v>0.19461252440012006</v>
      </c>
      <c r="R48" s="4">
        <f t="shared" si="90"/>
        <v>0.32435420733353343</v>
      </c>
      <c r="S48" s="4">
        <f t="shared" si="67"/>
        <v>-1.1259191278223919</v>
      </c>
      <c r="T48" s="4">
        <f>'[8]NBR 6118'!$F$10</f>
        <v>0.15567612212124116</v>
      </c>
      <c r="U48" s="4">
        <f>'[8]NBR 6118'!$G$10</f>
        <v>0.43484367582730649</v>
      </c>
      <c r="V48" s="4">
        <f>'[8]NBR 6118'!$L$10</f>
        <v>0.25946020353540195</v>
      </c>
      <c r="W48" s="4">
        <f t="shared" si="68"/>
        <v>-1.3491519463818511</v>
      </c>
      <c r="X48" s="4">
        <v>0.28197642680496121</v>
      </c>
      <c r="Y48" s="4">
        <f t="shared" si="105"/>
        <v>0.46996071134160206</v>
      </c>
      <c r="Z48" s="4">
        <f t="shared" si="106"/>
        <v>-0.75510618066232149</v>
      </c>
      <c r="AA48" s="4">
        <v>0.39012736540307075</v>
      </c>
      <c r="AB48" s="4">
        <f t="shared" si="10"/>
        <v>0.65021227567178463</v>
      </c>
      <c r="AC48" s="4">
        <f t="shared" si="11"/>
        <v>-0.43045639145083603</v>
      </c>
      <c r="AD48" s="11">
        <f>'[8]fib Model Code 2010'!$L$10</f>
        <v>0.14142322784294711</v>
      </c>
      <c r="AE48" s="11">
        <f t="shared" si="93"/>
        <v>0.23570537973824521</v>
      </c>
      <c r="AF48" s="11">
        <f t="shared" si="69"/>
        <v>-1.4451726447852735</v>
      </c>
      <c r="AG48" s="11">
        <f>'[8]fib Model Code 2020'!$L$10</f>
        <v>0.20553703883234614</v>
      </c>
      <c r="AH48" s="11">
        <f t="shared" si="94"/>
        <v>0.34256173138724361</v>
      </c>
      <c r="AI48" s="11">
        <f t="shared" si="70"/>
        <v>-1.071303399893718</v>
      </c>
      <c r="AJ48" s="11">
        <f>'[8]Eurocode 2'!$L$10</f>
        <v>0.16574996520465934</v>
      </c>
      <c r="AK48" s="11">
        <f t="shared" si="95"/>
        <v>0.27624994200776559</v>
      </c>
      <c r="AL48" s="11">
        <f t="shared" si="71"/>
        <v>-1.2864492360768369</v>
      </c>
      <c r="AM48" s="11">
        <f>'[8]NBR 6118'!$Q$10</f>
        <v>0.14392393498925204</v>
      </c>
      <c r="AN48" s="11">
        <f>'[8]NBR 6118'!$R$10</f>
        <v>0.37166802296900547</v>
      </c>
      <c r="AO48" s="11">
        <f>'[8]NBR 6118'!$W$10</f>
        <v>0.23987322498208674</v>
      </c>
      <c r="AP48" s="11">
        <f t="shared" si="72"/>
        <v>-1.4276447244436661</v>
      </c>
      <c r="AQ48" s="11">
        <f>'[8]Clark (1956)'!$L$10</f>
        <v>0.17161394843074659</v>
      </c>
      <c r="AR48" s="11">
        <f t="shared" si="99"/>
        <v>0.28602324738457768</v>
      </c>
      <c r="AS48" s="11">
        <f t="shared" si="74"/>
        <v>-1.2516821869042349</v>
      </c>
      <c r="AT48" s="11">
        <f>'[8]Leonhardt (1977)'!$L$10</f>
        <v>0.28716680216592066</v>
      </c>
      <c r="AU48" s="11">
        <f t="shared" si="100"/>
        <v>0.47861133694320113</v>
      </c>
      <c r="AV48" s="11">
        <f t="shared" si="76"/>
        <v>-0.73686641606755887</v>
      </c>
      <c r="AW48" s="11">
        <f>'[8]Desayi; Ganesan (1985)'!$L$10</f>
        <v>0.34895497930777719</v>
      </c>
      <c r="AX48" s="11">
        <f t="shared" si="101"/>
        <v>0.58159163217962873</v>
      </c>
      <c r="AY48" s="11">
        <f t="shared" si="78"/>
        <v>-0.54198674045293782</v>
      </c>
      <c r="AZ48" s="11">
        <f>'[8]Oh; Kang (1987)'!$L$10</f>
        <v>0.20479702137483155</v>
      </c>
      <c r="BA48" s="11">
        <f t="shared" si="102"/>
        <v>0.34132836895805257</v>
      </c>
      <c r="BB48" s="11">
        <f t="shared" si="80"/>
        <v>-1.0749103062247649</v>
      </c>
      <c r="BC48" s="11">
        <f>'[8]Caldas (1997)'!$L$10</f>
        <v>0.19359060118528054</v>
      </c>
      <c r="BD48" s="11">
        <f t="shared" si="103"/>
        <v>0.32265100197546759</v>
      </c>
      <c r="BE48" s="11">
        <f t="shared" si="82"/>
        <v>-1.1311840291488338</v>
      </c>
      <c r="BF48" s="11">
        <v>0.31181480734439448</v>
      </c>
      <c r="BG48" s="11">
        <f t="shared" si="83"/>
        <v>0.51969134557399088</v>
      </c>
      <c r="BH48" s="11">
        <f t="shared" si="84"/>
        <v>-0.65452020984068648</v>
      </c>
      <c r="BI48" s="11">
        <v>0.23435062190242334</v>
      </c>
      <c r="BJ48" s="11">
        <f t="shared" si="85"/>
        <v>0.39058436983737227</v>
      </c>
      <c r="BK48" s="11">
        <f t="shared" si="86"/>
        <v>-0.94011127711754783</v>
      </c>
      <c r="BL48" s="11">
        <v>0.32189306206178087</v>
      </c>
      <c r="BM48" s="11">
        <f t="shared" si="87"/>
        <v>0.53648843676963476</v>
      </c>
      <c r="BN48" s="11">
        <f t="shared" si="88"/>
        <v>-0.62271027022914471</v>
      </c>
      <c r="BS48" t="b">
        <f t="shared" si="12"/>
        <v>0</v>
      </c>
      <c r="BU48" t="b">
        <f t="shared" si="13"/>
        <v>1</v>
      </c>
      <c r="BW48" t="b">
        <f t="shared" si="14"/>
        <v>1</v>
      </c>
    </row>
    <row r="49" spans="1:75">
      <c r="A49" s="90" t="s">
        <v>20</v>
      </c>
      <c r="B49" s="67">
        <f>'[9]Dados de entrada'!$B$28</f>
        <v>12</v>
      </c>
      <c r="C49" s="67">
        <f>'[9]Dados de entrada'!$B$31</f>
        <v>4</v>
      </c>
      <c r="D49" s="67">
        <f>'[9]Dados de entrada'!$B$32</f>
        <v>79.3</v>
      </c>
      <c r="E49" s="68">
        <f>'[9]Dados de entrada'!$B$27</f>
        <v>2.6933292113182881</v>
      </c>
      <c r="F49" s="67">
        <f>'[9]Dados de entrada'!$B$30</f>
        <v>32</v>
      </c>
      <c r="G49" s="67">
        <f>'[9]Dados de entrada'!$B$22</f>
        <v>38</v>
      </c>
      <c r="H49" s="69">
        <f>'[9]Dados de entrada'!$B$29/('[9]Dados de entrada'!$B$20*2*G49)</f>
        <v>1.6992481203007517E-2</v>
      </c>
      <c r="I49" s="26">
        <f>'[9]fib Model Code 2010'!$K$6</f>
        <v>300.43295624924116</v>
      </c>
      <c r="J49" s="19">
        <f>'[9]Dados de entrada'!$C$8</f>
        <v>0.36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20">
        <f>'[9]fib Model Code 2010'!$L$6</f>
        <v>0.26398215376277612</v>
      </c>
      <c r="AE49" s="20">
        <f t="shared" si="93"/>
        <v>0.73328376045215593</v>
      </c>
      <c r="AF49" s="20">
        <f t="shared" si="69"/>
        <v>-0.31022252997220456</v>
      </c>
      <c r="AG49" s="20">
        <f>'[9]fib Model Code 2020'!$L$6</f>
        <v>0.26271820049061689</v>
      </c>
      <c r="AH49" s="20">
        <f t="shared" si="94"/>
        <v>0.72977277914060246</v>
      </c>
      <c r="AI49" s="20">
        <f t="shared" si="70"/>
        <v>-0.31502205474282968</v>
      </c>
      <c r="AJ49" s="20">
        <f>'[9]Eurocode 2'!$L$6</f>
        <v>0.23331596795328791</v>
      </c>
      <c r="AK49" s="20">
        <f t="shared" si="95"/>
        <v>0.64809991098135533</v>
      </c>
      <c r="AL49" s="20">
        <f t="shared" si="71"/>
        <v>-0.43371041090173135</v>
      </c>
      <c r="AM49" s="20">
        <f>'[9]NBR 6118'!$Q$6</f>
        <v>0.27932606045708902</v>
      </c>
      <c r="AN49" s="20">
        <f>'[9]NBR 6118'!$R$6</f>
        <v>0.22693428965131127</v>
      </c>
      <c r="AO49" s="20">
        <f>'[9]NBR 6118'!$W$6</f>
        <v>0.63037302680919793</v>
      </c>
      <c r="AP49" s="20">
        <f t="shared" si="72"/>
        <v>-0.46144352877583311</v>
      </c>
      <c r="AQ49" s="20">
        <f>'[9]Clark (1956)'!$L$6</f>
        <v>0.19901621546256626</v>
      </c>
      <c r="AR49" s="20">
        <f t="shared" si="99"/>
        <v>0.55282282072935074</v>
      </c>
      <c r="AS49" s="20">
        <f t="shared" si="74"/>
        <v>-0.59271772530885025</v>
      </c>
      <c r="AT49" s="20">
        <f>'[9]Leonhardt (1977)'!$L$6</f>
        <v>0.34838263613442921</v>
      </c>
      <c r="AU49" s="20">
        <f t="shared" si="100"/>
        <v>0.967729544817859</v>
      </c>
      <c r="AV49" s="20">
        <f t="shared" si="76"/>
        <v>-3.2802626593171152E-2</v>
      </c>
      <c r="AW49" s="20">
        <f>'[9]Desayi; Ganesan (1985)'!$L$6</f>
        <v>0.24008937879822945</v>
      </c>
      <c r="AX49" s="20">
        <f t="shared" si="101"/>
        <v>0.66691494110619298</v>
      </c>
      <c r="AY49" s="20">
        <f t="shared" si="78"/>
        <v>-0.40509276577688508</v>
      </c>
      <c r="AZ49" s="20">
        <f>'[9]Oh; Kang (1987)'!$L$6</f>
        <v>0.15276891917136376</v>
      </c>
      <c r="BA49" s="20">
        <f t="shared" si="102"/>
        <v>0.42435810880934377</v>
      </c>
      <c r="BB49" s="20">
        <f t="shared" si="80"/>
        <v>-0.85717758397243671</v>
      </c>
      <c r="BC49" s="20">
        <f>'[9]Caldas (1997)'!$L$6</f>
        <v>0.25002482779531143</v>
      </c>
      <c r="BD49" s="20">
        <f t="shared" si="103"/>
        <v>0.69451341054253179</v>
      </c>
      <c r="BE49" s="20">
        <f t="shared" si="82"/>
        <v>-0.36454380733769237</v>
      </c>
      <c r="BF49" s="20" cm="1">
        <f t="array" ref="BF49:BF53">'[9]Gergely e Lutz (1968)'!$L$6:$L$10</f>
        <v>0.23257512149335927</v>
      </c>
      <c r="BG49" s="20">
        <f t="shared" si="83"/>
        <v>0.64604200414822022</v>
      </c>
      <c r="BH49" s="20">
        <f t="shared" si="84"/>
        <v>-0.43689075541209771</v>
      </c>
      <c r="BI49" s="20" cm="1">
        <f t="array" ref="BI49:BI53">[9]Sugestão!$M$6:$M$10</f>
        <v>0.34403441271139223</v>
      </c>
      <c r="BJ49" s="20">
        <f t="shared" si="85"/>
        <v>0.95565114642053406</v>
      </c>
      <c r="BK49" s="20">
        <f t="shared" si="86"/>
        <v>-4.536234212839782E-2</v>
      </c>
      <c r="BL49" s="20" cm="1">
        <f t="array" ref="BL49:BL53">'[9]fib Model Code 2020 modificado'!$L$6:$L$10</f>
        <v>0.31027905774682607</v>
      </c>
      <c r="BM49" s="20">
        <f t="shared" si="87"/>
        <v>0.86188627151896136</v>
      </c>
      <c r="BN49" s="20">
        <f t="shared" si="88"/>
        <v>-0.14863195261556214</v>
      </c>
      <c r="BS49" t="b">
        <f t="shared" si="12"/>
        <v>1</v>
      </c>
      <c r="BU49" t="b">
        <f t="shared" si="13"/>
        <v>0</v>
      </c>
      <c r="BW49" t="b">
        <f t="shared" si="14"/>
        <v>1</v>
      </c>
    </row>
    <row r="50" spans="1:75">
      <c r="A50" s="90"/>
      <c r="B50" s="67">
        <f>'[9]Dados de entrada'!$B$28</f>
        <v>12</v>
      </c>
      <c r="C50" s="67">
        <f>'[9]Dados de entrada'!$B$31</f>
        <v>4</v>
      </c>
      <c r="D50" s="67">
        <f>'[9]Dados de entrada'!$B$32</f>
        <v>79.3</v>
      </c>
      <c r="E50" s="68">
        <f>'[9]Dados de entrada'!$B$27</f>
        <v>2.6933292113182881</v>
      </c>
      <c r="F50" s="67">
        <f>'[9]Dados de entrada'!$B$30</f>
        <v>32</v>
      </c>
      <c r="G50" s="67">
        <f>'[9]Dados de entrada'!$B$22</f>
        <v>38</v>
      </c>
      <c r="H50" s="69">
        <f>'[9]Dados de entrada'!$B$29/('[9]Dados de entrada'!$B$20*2*G50)</f>
        <v>1.6992481203007517E-2</v>
      </c>
      <c r="I50" s="26">
        <f>'[9]fib Model Code 2010'!$K$7</f>
        <v>386.27094374902435</v>
      </c>
      <c r="J50" s="19">
        <f>'[9]Dados de entrada'!$C$9</f>
        <v>0.43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20">
        <f>'[9]fib Model Code 2010'!$L$7</f>
        <v>0.39669046774087013</v>
      </c>
      <c r="AE50" s="20">
        <f t="shared" si="93"/>
        <v>0.92253597149039568</v>
      </c>
      <c r="AF50" s="20">
        <f t="shared" si="69"/>
        <v>-8.0628910342157217E-2</v>
      </c>
      <c r="AG50" s="20">
        <f>'[9]fib Model Code 2020'!$L$7</f>
        <v>0.39776006136079389</v>
      </c>
      <c r="AH50" s="20">
        <f t="shared" si="94"/>
        <v>0.92502339851347415</v>
      </c>
      <c r="AI50" s="20">
        <f t="shared" si="70"/>
        <v>-7.7936246099400114E-2</v>
      </c>
      <c r="AJ50" s="20">
        <f>'[9]Eurocode 2'!$L$7</f>
        <v>0.3321075898906467</v>
      </c>
      <c r="AK50" s="20">
        <f t="shared" si="95"/>
        <v>0.77234323230382951</v>
      </c>
      <c r="AL50" s="20">
        <f t="shared" si="71"/>
        <v>-0.25832622633346053</v>
      </c>
      <c r="AM50" s="20">
        <f>'[9]NBR 6118'!$Q$7</f>
        <v>0.35913350630197144</v>
      </c>
      <c r="AN50" s="20">
        <f>'[9]NBR 6118'!$R$7</f>
        <v>0.37513627472971839</v>
      </c>
      <c r="AO50" s="20">
        <f>'[9]NBR 6118'!$W$7</f>
        <v>0.83519420070225914</v>
      </c>
      <c r="AP50" s="20">
        <f t="shared" si="72"/>
        <v>-0.18009100548148663</v>
      </c>
      <c r="AQ50" s="20">
        <f>'[9]Clark (1956)'!$L$7</f>
        <v>0.29782409498510426</v>
      </c>
      <c r="AR50" s="20">
        <f t="shared" si="99"/>
        <v>0.69261417438396344</v>
      </c>
      <c r="AS50" s="20">
        <f t="shared" si="74"/>
        <v>-0.36728218175403676</v>
      </c>
      <c r="AT50" s="20">
        <f>'[9]Leonhardt (1977)'!$L$7</f>
        <v>0.52320849591990093</v>
      </c>
      <c r="AU50" s="20">
        <f t="shared" si="100"/>
        <v>1.2167639439997697</v>
      </c>
      <c r="AV50" s="20">
        <f t="shared" si="76"/>
        <v>0.19619482970255542</v>
      </c>
      <c r="AW50" s="20">
        <f>'[9]Desayi; Ganesan (1985)'!$L$7</f>
        <v>0.30868634416915214</v>
      </c>
      <c r="AX50" s="20">
        <f t="shared" si="101"/>
        <v>0.7178752189980282</v>
      </c>
      <c r="AY50" s="20">
        <f t="shared" si="78"/>
        <v>-0.3314595147334316</v>
      </c>
      <c r="AZ50" s="20">
        <f>'[9]Oh; Kang (1987)'!$L$7</f>
        <v>0.20312113558454717</v>
      </c>
      <c r="BA50" s="20">
        <f t="shared" si="102"/>
        <v>0.47237473391755158</v>
      </c>
      <c r="BB50" s="20">
        <f t="shared" si="80"/>
        <v>-0.74998268059911721</v>
      </c>
      <c r="BC50" s="20">
        <f>'[9]Caldas (1997)'!$L$7</f>
        <v>0.33594505364732091</v>
      </c>
      <c r="BD50" s="20">
        <f t="shared" si="103"/>
        <v>0.78126756662167651</v>
      </c>
      <c r="BE50" s="20">
        <f t="shared" si="82"/>
        <v>-0.24683759290856988</v>
      </c>
      <c r="BF50" s="20">
        <v>0.2990251562057476</v>
      </c>
      <c r="BG50" s="20">
        <f t="shared" si="83"/>
        <v>0.69540734001336657</v>
      </c>
      <c r="BH50" s="20">
        <f t="shared" si="84"/>
        <v>-0.36325750436864412</v>
      </c>
      <c r="BI50" s="20">
        <v>0.5422958223217913</v>
      </c>
      <c r="BJ50" s="20">
        <f t="shared" si="85"/>
        <v>1.2611530751669566</v>
      </c>
      <c r="BK50" s="20">
        <f t="shared" si="86"/>
        <v>0.23202644150036136</v>
      </c>
      <c r="BL50" s="20">
        <v>0.46590305794093373</v>
      </c>
      <c r="BM50" s="20">
        <f t="shared" si="87"/>
        <v>1.0834954835835668</v>
      </c>
      <c r="BN50" s="20">
        <f t="shared" si="88"/>
        <v>8.019237362709053E-2</v>
      </c>
      <c r="BS50" t="b">
        <f t="shared" si="12"/>
        <v>1</v>
      </c>
      <c r="BU50" t="b">
        <f t="shared" si="13"/>
        <v>0</v>
      </c>
      <c r="BW50" t="b">
        <f t="shared" si="14"/>
        <v>1</v>
      </c>
    </row>
    <row r="51" spans="1:75">
      <c r="A51" s="90"/>
      <c r="B51" s="67">
        <f>'[9]Dados de entrada'!$B$28</f>
        <v>12</v>
      </c>
      <c r="C51" s="67">
        <f>'[9]Dados de entrada'!$B$31</f>
        <v>4</v>
      </c>
      <c r="D51" s="67">
        <f>'[9]Dados de entrada'!$B$32</f>
        <v>79.3</v>
      </c>
      <c r="E51" s="68">
        <f>'[9]Dados de entrada'!$B$27</f>
        <v>2.6933292113182881</v>
      </c>
      <c r="F51" s="67">
        <f>'[9]Dados de entrada'!$B$30</f>
        <v>32</v>
      </c>
      <c r="G51" s="67">
        <f>'[9]Dados de entrada'!$B$22</f>
        <v>38</v>
      </c>
      <c r="H51" s="69">
        <f>'[9]Dados de entrada'!$B$29/('[9]Dados de entrada'!$B$20*2*G51)</f>
        <v>1.6992481203007517E-2</v>
      </c>
      <c r="I51" s="26">
        <f>'[9]fib Model Code 2010'!$K$8</f>
        <v>500</v>
      </c>
      <c r="J51" s="19">
        <f>'[9]Dados de entrada'!$C$10</f>
        <v>0.56000000000000005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>
        <f>'[9]fib Model Code 2010'!$L$8</f>
        <v>0.57251927902823763</v>
      </c>
      <c r="AE51" s="20">
        <f t="shared" si="93"/>
        <v>1.0223558554075671</v>
      </c>
      <c r="AF51" s="20">
        <f t="shared" si="69"/>
        <v>2.2109626290697983E-2</v>
      </c>
      <c r="AG51" s="20">
        <f>'[9]fib Model Code 2020'!$L$8</f>
        <v>0.57668065163185067</v>
      </c>
      <c r="AH51" s="20">
        <f t="shared" si="94"/>
        <v>1.0297868779140189</v>
      </c>
      <c r="AI51" s="20">
        <f t="shared" si="70"/>
        <v>2.9351866185171948E-2</v>
      </c>
      <c r="AJ51" s="20">
        <f>'[9]Eurocode 2'!$L$8</f>
        <v>0.47931073062285534</v>
      </c>
      <c r="AK51" s="20">
        <f t="shared" si="95"/>
        <v>0.8559120189693844</v>
      </c>
      <c r="AL51" s="20">
        <f t="shared" si="71"/>
        <v>-0.15558768970060524</v>
      </c>
      <c r="AM51" s="20">
        <f>'[9]NBR 6118'!$Q$8</f>
        <v>0.45193571713743219</v>
      </c>
      <c r="AN51" s="20">
        <f>'[9]NBR 6118'!$R$8</f>
        <v>0.59406031512087509</v>
      </c>
      <c r="AO51" s="20">
        <f>'[9]NBR 6118'!$W$8</f>
        <v>0.8070280663168431</v>
      </c>
      <c r="AP51" s="20">
        <f t="shared" si="72"/>
        <v>-0.21439683273350046</v>
      </c>
      <c r="AQ51" s="20">
        <f>'[9]Clark (1956)'!$L$8</f>
        <v>0.42873730970005475</v>
      </c>
      <c r="AR51" s="20">
        <f t="shared" si="99"/>
        <v>0.76560233875009764</v>
      </c>
      <c r="AS51" s="20">
        <f t="shared" si="74"/>
        <v>-0.26709238405430497</v>
      </c>
      <c r="AT51" s="20">
        <f>'[9]Leonhardt (1977)'!$L$8</f>
        <v>0.73742133167676249</v>
      </c>
      <c r="AU51" s="20">
        <f t="shared" si="100"/>
        <v>1.3168238065656472</v>
      </c>
      <c r="AV51" s="20">
        <f t="shared" si="76"/>
        <v>0.27522262988238244</v>
      </c>
      <c r="AW51" s="20">
        <f>'[9]Desayi; Ganesan (1985)'!$L$8</f>
        <v>0.39957230690605344</v>
      </c>
      <c r="AX51" s="20">
        <f t="shared" si="101"/>
        <v>0.71352197661795247</v>
      </c>
      <c r="AY51" s="20">
        <f t="shared" si="78"/>
        <v>-0.33754204139319705</v>
      </c>
      <c r="AZ51" s="20">
        <f>'[9]Oh; Kang (1987)'!$L$8</f>
        <v>0.26983414015994794</v>
      </c>
      <c r="BA51" s="20">
        <f t="shared" si="102"/>
        <v>0.48184667885704985</v>
      </c>
      <c r="BB51" s="20">
        <f t="shared" si="80"/>
        <v>-0.73012930919162833</v>
      </c>
      <c r="BC51" s="20">
        <f>'[9]Caldas (1997)'!$L$8</f>
        <v>0.44978306970104531</v>
      </c>
      <c r="BD51" s="20">
        <f t="shared" si="103"/>
        <v>0.80318405303758089</v>
      </c>
      <c r="BE51" s="20">
        <f t="shared" si="82"/>
        <v>-0.21917138452765161</v>
      </c>
      <c r="BF51" s="20">
        <v>0.38706659282148359</v>
      </c>
      <c r="BG51" s="20">
        <f t="shared" si="83"/>
        <v>0.69119034432407778</v>
      </c>
      <c r="BH51" s="20">
        <f t="shared" si="84"/>
        <v>-0.36934003102840957</v>
      </c>
      <c r="BI51" s="20">
        <v>0.78660896418685322</v>
      </c>
      <c r="BJ51" s="20">
        <f t="shared" si="85"/>
        <v>1.4046588646193807</v>
      </c>
      <c r="BK51" s="20">
        <f t="shared" si="86"/>
        <v>0.33979447232213122</v>
      </c>
      <c r="BL51" s="20">
        <v>0.67688057522388723</v>
      </c>
      <c r="BM51" s="20">
        <f t="shared" si="87"/>
        <v>1.2087153128997985</v>
      </c>
      <c r="BN51" s="20">
        <f t="shared" si="88"/>
        <v>0.18955807070332925</v>
      </c>
      <c r="BS51" t="b">
        <f t="shared" si="12"/>
        <v>1</v>
      </c>
      <c r="BU51" t="b">
        <f t="shared" si="13"/>
        <v>0</v>
      </c>
      <c r="BW51" t="b">
        <f t="shared" si="14"/>
        <v>1</v>
      </c>
    </row>
    <row r="52" spans="1:75">
      <c r="A52" s="90"/>
      <c r="B52" s="67">
        <f>'[9]Dados de entrada'!$B$28</f>
        <v>12</v>
      </c>
      <c r="C52" s="67">
        <f>'[9]Dados de entrada'!$B$31</f>
        <v>4</v>
      </c>
      <c r="D52" s="67">
        <f>'[9]Dados de entrada'!$B$32</f>
        <v>79.3</v>
      </c>
      <c r="E52" s="68">
        <f>'[9]Dados de entrada'!$B$27</f>
        <v>2.6933292113182881</v>
      </c>
      <c r="F52" s="67">
        <f>'[9]Dados de entrada'!$B$30</f>
        <v>32</v>
      </c>
      <c r="G52" s="67">
        <f>'[9]Dados de entrada'!$B$22</f>
        <v>38</v>
      </c>
      <c r="H52" s="69">
        <f>'[9]Dados de entrada'!$B$29/('[9]Dados de entrada'!$B$20*2*G52)</f>
        <v>1.6992481203007517E-2</v>
      </c>
      <c r="I52" s="26">
        <f>'[9]fib Model Code 2010'!$K$9</f>
        <v>500</v>
      </c>
      <c r="J52" s="19">
        <f>'[9]Dados de entrada'!$C$11</f>
        <v>0.71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0">
        <f>'[9]fib Model Code 2010'!$L$9</f>
        <v>0.57251927902823763</v>
      </c>
      <c r="AE52" s="20">
        <f t="shared" si="93"/>
        <v>0.80636518172991223</v>
      </c>
      <c r="AF52" s="20">
        <f t="shared" si="69"/>
        <v>-0.21521856001546805</v>
      </c>
      <c r="AG52" s="20">
        <f>'[9]fib Model Code 2020'!$L$9</f>
        <v>0.57668065163185067</v>
      </c>
      <c r="AH52" s="20">
        <f t="shared" si="94"/>
        <v>0.81222626990401503</v>
      </c>
      <c r="AI52" s="20">
        <f t="shared" si="70"/>
        <v>-0.2079763201209941</v>
      </c>
      <c r="AJ52" s="20">
        <f>'[9]Eurocode 2'!$L$9</f>
        <v>0.47931073062285534</v>
      </c>
      <c r="AK52" s="20">
        <f t="shared" si="95"/>
        <v>0.67508553608852873</v>
      </c>
      <c r="AL52" s="20">
        <f t="shared" si="71"/>
        <v>-0.39291587600677114</v>
      </c>
      <c r="AM52" s="20">
        <f>'[9]NBR 6118'!$Q$9</f>
        <v>0.45193571713743219</v>
      </c>
      <c r="AN52" s="20">
        <f>'[9]NBR 6118'!$R$9</f>
        <v>0.59406031512087509</v>
      </c>
      <c r="AO52" s="20">
        <f>'[9]NBR 6118'!$W$9</f>
        <v>0.63652917906680595</v>
      </c>
      <c r="AP52" s="20">
        <f t="shared" si="72"/>
        <v>-0.45172501903966644</v>
      </c>
      <c r="AQ52" s="20">
        <f>'[9]Clark (1956)'!$L$9</f>
        <v>0.42873730970005475</v>
      </c>
      <c r="AR52" s="20">
        <f t="shared" si="99"/>
        <v>0.60385536577472498</v>
      </c>
      <c r="AS52" s="20">
        <f t="shared" si="74"/>
        <v>-0.50442057036047105</v>
      </c>
      <c r="AT52" s="20">
        <f>'[9]Leonhardt (1977)'!$L$9</f>
        <v>0.73742133167676249</v>
      </c>
      <c r="AU52" s="20">
        <f t="shared" si="100"/>
        <v>1.0386215939109331</v>
      </c>
      <c r="AV52" s="20">
        <f t="shared" si="76"/>
        <v>3.7894443576216311E-2</v>
      </c>
      <c r="AW52" s="20">
        <f>'[9]Desayi; Ganesan (1985)'!$L$9</f>
        <v>0.39957230690605344</v>
      </c>
      <c r="AX52" s="20">
        <f t="shared" si="101"/>
        <v>0.56277789705077952</v>
      </c>
      <c r="AY52" s="20">
        <f t="shared" si="78"/>
        <v>-0.57487022769936302</v>
      </c>
      <c r="AZ52" s="20">
        <f>'[9]Oh; Kang (1987)'!$L$9</f>
        <v>0.26983414015994794</v>
      </c>
      <c r="BA52" s="20">
        <f t="shared" si="102"/>
        <v>0.38004808473232105</v>
      </c>
      <c r="BB52" s="20">
        <f t="shared" si="80"/>
        <v>-0.96745749549779447</v>
      </c>
      <c r="BC52" s="20">
        <f>'[9]Caldas (1997)'!$L$9</f>
        <v>0.44978306970104531</v>
      </c>
      <c r="BD52" s="20">
        <f t="shared" si="103"/>
        <v>0.63349728126907789</v>
      </c>
      <c r="BE52" s="20">
        <f t="shared" si="82"/>
        <v>-0.45649957083381776</v>
      </c>
      <c r="BF52" s="20">
        <v>0.38706659282148359</v>
      </c>
      <c r="BG52" s="20">
        <f t="shared" si="83"/>
        <v>0.54516421524152625</v>
      </c>
      <c r="BH52" s="20">
        <f t="shared" si="84"/>
        <v>-0.60666821733457554</v>
      </c>
      <c r="BI52" s="20">
        <v>0.78660896418685322</v>
      </c>
      <c r="BJ52" s="20">
        <f t="shared" si="85"/>
        <v>1.1078999495589483</v>
      </c>
      <c r="BK52" s="20">
        <f t="shared" si="86"/>
        <v>0.10246628601596518</v>
      </c>
      <c r="BL52" s="20">
        <v>0.67688057522388723</v>
      </c>
      <c r="BM52" s="20">
        <f t="shared" si="87"/>
        <v>0.9533529228505454</v>
      </c>
      <c r="BN52" s="20">
        <f t="shared" si="88"/>
        <v>-4.7770115602836824E-2</v>
      </c>
      <c r="BS52" t="b">
        <f t="shared" si="12"/>
        <v>1</v>
      </c>
      <c r="BU52" t="b">
        <f t="shared" si="13"/>
        <v>0</v>
      </c>
      <c r="BW52" t="b">
        <f t="shared" si="14"/>
        <v>1</v>
      </c>
    </row>
    <row r="53" spans="1:75">
      <c r="A53" s="86"/>
      <c r="B53" s="67">
        <f>'[9]Dados de entrada'!$B$28</f>
        <v>12</v>
      </c>
      <c r="C53" s="67">
        <f>'[9]Dados de entrada'!$B$31</f>
        <v>4</v>
      </c>
      <c r="D53" s="67">
        <f>'[9]Dados de entrada'!$B$32</f>
        <v>79.3</v>
      </c>
      <c r="E53" s="68">
        <f>'[9]Dados de entrada'!$B$27</f>
        <v>2.6933292113182881</v>
      </c>
      <c r="F53" s="67">
        <f>'[9]Dados de entrada'!$B$30</f>
        <v>32</v>
      </c>
      <c r="G53" s="67">
        <f>'[9]Dados de entrada'!$B$22</f>
        <v>38</v>
      </c>
      <c r="H53" s="69">
        <f>'[9]Dados de entrada'!$B$29/('[9]Dados de entrada'!$B$20*2*G53)</f>
        <v>1.6992481203007517E-2</v>
      </c>
      <c r="I53" s="26">
        <f>'[9]fib Model Code 2010'!$K$10</f>
        <v>500</v>
      </c>
      <c r="J53" s="19">
        <f>'[9]Dados de entrada'!$C$12</f>
        <v>0.79</v>
      </c>
      <c r="K53" s="19"/>
      <c r="L53" s="19"/>
      <c r="M53" s="19"/>
      <c r="N53" s="21"/>
      <c r="O53" s="21"/>
      <c r="P53" s="21"/>
      <c r="Q53" s="21"/>
      <c r="R53" s="21"/>
      <c r="S53" s="19"/>
      <c r="T53" s="21"/>
      <c r="U53" s="21"/>
      <c r="V53" s="21"/>
      <c r="W53" s="19"/>
      <c r="X53" s="19"/>
      <c r="Y53" s="19"/>
      <c r="Z53" s="19"/>
      <c r="AA53" s="19"/>
      <c r="AB53" s="19"/>
      <c r="AC53" s="19"/>
      <c r="AD53" s="20">
        <f>'[9]fib Model Code 2010'!$L$10</f>
        <v>0.57251927902823763</v>
      </c>
      <c r="AE53" s="20">
        <f t="shared" si="93"/>
        <v>0.72470794813700967</v>
      </c>
      <c r="AF53" s="20">
        <f t="shared" si="69"/>
        <v>-0.32198653544117417</v>
      </c>
      <c r="AG53" s="20">
        <f>'[9]fib Model Code 2020'!$L$10</f>
        <v>0.57668065163185067</v>
      </c>
      <c r="AH53" s="20">
        <f t="shared" si="94"/>
        <v>0.72997550839474767</v>
      </c>
      <c r="AI53" s="20">
        <f t="shared" si="70"/>
        <v>-0.31474429554670019</v>
      </c>
      <c r="AJ53" s="20">
        <f>'[9]Eurocode 2'!$L$10</f>
        <v>0.47931073062285534</v>
      </c>
      <c r="AK53" s="20">
        <f t="shared" si="95"/>
        <v>0.60672244382639917</v>
      </c>
      <c r="AL53" s="20">
        <f t="shared" si="71"/>
        <v>-0.49968385143247734</v>
      </c>
      <c r="AM53" s="20">
        <f>'[9]NBR 6118'!$Q$10</f>
        <v>0.45193571713743219</v>
      </c>
      <c r="AN53" s="20">
        <f>'[9]NBR 6118'!$R$10</f>
        <v>0.59406031512087509</v>
      </c>
      <c r="AO53" s="20">
        <f>'[9]NBR 6118'!$W$10</f>
        <v>0.57207052802206604</v>
      </c>
      <c r="AP53" s="20">
        <f t="shared" si="72"/>
        <v>-0.55849299446537271</v>
      </c>
      <c r="AQ53" s="20">
        <f>'[9]Clark (1956)'!$L$10</f>
        <v>0.42873730970005475</v>
      </c>
      <c r="AR53" s="20">
        <f t="shared" si="99"/>
        <v>0.54270545531652492</v>
      </c>
      <c r="AS53" s="20">
        <f t="shared" si="74"/>
        <v>-0.61118854578617721</v>
      </c>
      <c r="AT53" s="20">
        <f>'[9]Leonhardt (1977)'!$L$10</f>
        <v>0.73742133167676249</v>
      </c>
      <c r="AU53" s="20">
        <f t="shared" si="100"/>
        <v>0.93344472364147146</v>
      </c>
      <c r="AV53" s="20">
        <f t="shared" si="76"/>
        <v>-6.8873531849489841E-2</v>
      </c>
      <c r="AW53" s="20">
        <f>'[9]Desayi; Ganesan (1985)'!$L$10</f>
        <v>0.39957230690605344</v>
      </c>
      <c r="AX53" s="20">
        <f t="shared" si="101"/>
        <v>0.50578773026082713</v>
      </c>
      <c r="AY53" s="20">
        <f t="shared" si="78"/>
        <v>-0.68163820312506918</v>
      </c>
      <c r="AZ53" s="20">
        <f>'[9]Oh; Kang (1987)'!$L$10</f>
        <v>0.26983414015994794</v>
      </c>
      <c r="BA53" s="20">
        <f t="shared" si="102"/>
        <v>0.34156220273411131</v>
      </c>
      <c r="BB53" s="20">
        <f t="shared" si="80"/>
        <v>-1.0742254709235006</v>
      </c>
      <c r="BC53" s="20">
        <f>'[9]Caldas (1997)'!$L$10</f>
        <v>0.44978306970104531</v>
      </c>
      <c r="BD53" s="20">
        <f t="shared" si="103"/>
        <v>0.56934565784942437</v>
      </c>
      <c r="BE53" s="20">
        <f t="shared" si="82"/>
        <v>-0.56326754625952402</v>
      </c>
      <c r="BF53" s="20">
        <v>0.38706659282148359</v>
      </c>
      <c r="BG53" s="20">
        <f t="shared" si="83"/>
        <v>0.48995771243225766</v>
      </c>
      <c r="BH53" s="20">
        <f t="shared" si="84"/>
        <v>-0.71343619276028181</v>
      </c>
      <c r="BI53" s="20">
        <v>0.78660896418685322</v>
      </c>
      <c r="BJ53" s="20">
        <f t="shared" si="85"/>
        <v>0.99570754960361163</v>
      </c>
      <c r="BK53" s="20">
        <f t="shared" si="86"/>
        <v>-4.3016894097410502E-3</v>
      </c>
      <c r="BL53" s="20">
        <v>0.67688057522388723</v>
      </c>
      <c r="BM53" s="20">
        <f t="shared" si="87"/>
        <v>0.85681085471378127</v>
      </c>
      <c r="BN53" s="20">
        <f t="shared" si="88"/>
        <v>-0.15453809102854293</v>
      </c>
      <c r="BS53" t="b">
        <f t="shared" si="12"/>
        <v>1</v>
      </c>
      <c r="BU53" t="b">
        <f t="shared" si="13"/>
        <v>0</v>
      </c>
      <c r="BW53" t="b">
        <f t="shared" si="14"/>
        <v>1</v>
      </c>
    </row>
    <row r="54" spans="1:75" ht="15.6" customHeight="1">
      <c r="A54" s="87" t="s">
        <v>23</v>
      </c>
      <c r="B54" s="37">
        <f>'[10]Dados de entrada'!$B$28</f>
        <v>25</v>
      </c>
      <c r="C54" s="37">
        <f>'[10]Dados de entrada'!$B$31</f>
        <v>4</v>
      </c>
      <c r="D54" s="37">
        <f>'[10]Dados de entrada'!$B$32</f>
        <v>62</v>
      </c>
      <c r="E54" s="41">
        <f>'[10]Dados de entrada'!$B$27</f>
        <v>2.6933292113182881</v>
      </c>
      <c r="F54" s="37">
        <f>'[10]Dados de entrada'!$B$30</f>
        <v>32</v>
      </c>
      <c r="G54" s="37">
        <f>'[10]Dados de entrada'!$B$22</f>
        <v>44.5</v>
      </c>
      <c r="H54" s="42">
        <f>'[10]Dados de entrada'!$B$29/('[10]Dados de entrada'!$B$20*2*G54)</f>
        <v>6.3049759229534513E-2</v>
      </c>
      <c r="I54" s="25">
        <f>'[10]fib Model Code 2010'!$K$5</f>
        <v>85.210124180795688</v>
      </c>
      <c r="J54" s="4">
        <f>'[10]Dados de entrada'!$C$7</f>
        <v>0.15</v>
      </c>
      <c r="K54" s="22"/>
      <c r="L54" s="22"/>
      <c r="M54" s="22"/>
      <c r="N54" s="22"/>
      <c r="O54" s="22"/>
      <c r="P54" s="22"/>
      <c r="Q54" s="22"/>
      <c r="R54" s="22"/>
      <c r="S54" s="4"/>
      <c r="T54" s="22"/>
      <c r="U54" s="22"/>
      <c r="V54" s="22"/>
      <c r="W54" s="4"/>
      <c r="X54" s="4"/>
      <c r="Y54" s="4"/>
      <c r="Z54" s="4"/>
      <c r="AA54" s="4"/>
      <c r="AB54" s="4"/>
      <c r="AC54" s="4"/>
      <c r="AD54" s="11">
        <f>'[10]fib Model Code 2010'!$L$5</f>
        <v>4.2830419555331803E-2</v>
      </c>
      <c r="AE54" s="11">
        <f t="shared" si="93"/>
        <v>0.2855361303688787</v>
      </c>
      <c r="AF54" s="11">
        <f t="shared" si="69"/>
        <v>-1.2533867066885216</v>
      </c>
      <c r="AG54" s="11">
        <f>'[10]fib Model Code 2020'!$L$5</f>
        <v>4.1078708915824935E-2</v>
      </c>
      <c r="AH54" s="11">
        <f t="shared" si="94"/>
        <v>0.2738580594388329</v>
      </c>
      <c r="AI54" s="11">
        <f t="shared" si="70"/>
        <v>-1.2951453380637448</v>
      </c>
      <c r="AJ54" s="11">
        <f>'[10]Eurocode 2'!$L$5</f>
        <v>4.7759122106798169E-2</v>
      </c>
      <c r="AK54" s="11">
        <f t="shared" si="95"/>
        <v>0.31839414737865446</v>
      </c>
      <c r="AL54" s="11">
        <f t="shared" si="71"/>
        <v>-1.1444652065292953</v>
      </c>
      <c r="AM54" s="11">
        <f>'[10]NBR 6118'!$Q$5</f>
        <v>8.3899400744937097E-2</v>
      </c>
      <c r="AN54" s="11">
        <f>'[10]NBR 6118'!$R$5</f>
        <v>3.9488243261364124E-2</v>
      </c>
      <c r="AO54" s="11">
        <f>'[10]NBR 6118'!$W$5</f>
        <v>0.26325495507576085</v>
      </c>
      <c r="AP54" s="11">
        <f t="shared" si="72"/>
        <v>-1.3346323054452507</v>
      </c>
      <c r="AQ54" s="11">
        <f>'[10]Clark (1956)'!$L$5</f>
        <v>3.4841196424858105E-2</v>
      </c>
      <c r="AR54" s="11">
        <f t="shared" si="99"/>
        <v>0.23227464283238738</v>
      </c>
      <c r="AS54" s="11">
        <f t="shared" si="74"/>
        <v>-1.4598348021488183</v>
      </c>
      <c r="AT54" s="11">
        <f>'[10]Leonhardt (1977)'!$L$5</f>
        <v>3.3217082876863327E-2</v>
      </c>
      <c r="AU54" s="11">
        <f t="shared" si="100"/>
        <v>0.22144721917908886</v>
      </c>
      <c r="AV54" s="11">
        <f t="shared" si="76"/>
        <v>-1.5075710060225986</v>
      </c>
      <c r="AW54" s="11">
        <f>'[10]Desayi; Ganesan (1985)'!$L$5</f>
        <v>6.3652881508084999E-2</v>
      </c>
      <c r="AX54" s="11">
        <f t="shared" si="101"/>
        <v>0.42435254338723333</v>
      </c>
      <c r="AY54" s="11">
        <f t="shared" si="78"/>
        <v>-0.85719069897717037</v>
      </c>
      <c r="AZ54" s="11">
        <f>'[10]Oh; Kang (1987)'!$L$5</f>
        <v>3.4441476106329125E-2</v>
      </c>
      <c r="BA54" s="11">
        <f t="shared" si="102"/>
        <v>0.22960984070886084</v>
      </c>
      <c r="BB54" s="11">
        <f t="shared" si="80"/>
        <v>-1.471373755224969</v>
      </c>
      <c r="BC54" s="11">
        <f>'[10]Caldas (1997)'!$L$5</f>
        <v>6.7581379984200246E-2</v>
      </c>
      <c r="BD54" s="11">
        <f t="shared" si="103"/>
        <v>0.45054253322800164</v>
      </c>
      <c r="BE54" s="11">
        <f t="shared" si="82"/>
        <v>-0.7973027930097154</v>
      </c>
      <c r="BF54" s="11" cm="1">
        <f t="array" ref="BF54:BF60">'[10]Gergely e Lutz (1968)'!$L$5:$L$11</f>
        <v>7.6910474837279794E-2</v>
      </c>
      <c r="BG54" s="11">
        <f t="shared" si="83"/>
        <v>0.51273649891519868</v>
      </c>
      <c r="BH54" s="11">
        <f t="shared" si="84"/>
        <v>-0.66799321311214577</v>
      </c>
      <c r="BI54" s="11" cm="1">
        <f t="array" ref="BI54:BI60">[10]Sugestão!$M$5:$M$11</f>
        <v>4.1078708915824935E-2</v>
      </c>
      <c r="BJ54" s="11">
        <f t="shared" si="85"/>
        <v>0.2738580594388329</v>
      </c>
      <c r="BK54" s="11">
        <f t="shared" si="86"/>
        <v>-1.2951453380637448</v>
      </c>
      <c r="BL54" s="11" cm="1">
        <f t="array" ref="BL54:BL60">'[10]fib Model Code 2020 modificado'!$L$5:$L$11</f>
        <v>7.0068154643554523E-2</v>
      </c>
      <c r="BM54" s="11">
        <f t="shared" si="87"/>
        <v>0.46712103095703017</v>
      </c>
      <c r="BN54" s="11">
        <f t="shared" si="88"/>
        <v>-0.76116688795964538</v>
      </c>
      <c r="BS54" t="b">
        <f t="shared" si="12"/>
        <v>0</v>
      </c>
      <c r="BU54" t="b">
        <f t="shared" si="13"/>
        <v>1</v>
      </c>
      <c r="BW54" t="b">
        <f t="shared" si="14"/>
        <v>1</v>
      </c>
    </row>
    <row r="55" spans="1:75">
      <c r="A55" s="88"/>
      <c r="B55" s="37">
        <f>'[10]Dados de entrada'!$B$28</f>
        <v>25</v>
      </c>
      <c r="C55" s="37">
        <f>'[10]Dados de entrada'!$B$31</f>
        <v>4</v>
      </c>
      <c r="D55" s="37">
        <f>'[10]Dados de entrada'!$B$32</f>
        <v>62</v>
      </c>
      <c r="E55" s="41">
        <f>'[10]Dados de entrada'!$B$27</f>
        <v>2.6933292113182881</v>
      </c>
      <c r="F55" s="37">
        <f>'[10]Dados de entrada'!$B$30</f>
        <v>32</v>
      </c>
      <c r="G55" s="37">
        <f>'[10]Dados de entrada'!$B$22</f>
        <v>44.5</v>
      </c>
      <c r="H55" s="42">
        <f>'[10]Dados de entrada'!$B$29/('[10]Dados de entrada'!$B$20*2*G55)</f>
        <v>6.3049759229534513E-2</v>
      </c>
      <c r="I55" s="25">
        <f>'[10]fib Model Code 2010'!$K$6</f>
        <v>106.51265522599461</v>
      </c>
      <c r="J55" s="4">
        <f>'[10]Dados de entrada'!$C$8</f>
        <v>0.2</v>
      </c>
      <c r="K55" s="22"/>
      <c r="L55" s="22"/>
      <c r="M55" s="22"/>
      <c r="N55" s="22"/>
      <c r="O55" s="22"/>
      <c r="P55" s="22"/>
      <c r="Q55" s="22"/>
      <c r="R55" s="22"/>
      <c r="S55" s="4"/>
      <c r="T55" s="22"/>
      <c r="U55" s="22"/>
      <c r="V55" s="22"/>
      <c r="W55" s="4"/>
      <c r="X55" s="4"/>
      <c r="Y55" s="4"/>
      <c r="Z55" s="4"/>
      <c r="AA55" s="4"/>
      <c r="AB55" s="4"/>
      <c r="AC55" s="4"/>
      <c r="AD55" s="11">
        <f>'[10]fib Model Code 2010'!$L$6</f>
        <v>6.3227388513615201E-2</v>
      </c>
      <c r="AE55" s="11">
        <f t="shared" si="93"/>
        <v>0.31613694256807601</v>
      </c>
      <c r="AF55" s="11">
        <f t="shared" si="69"/>
        <v>-1.1515797967124553</v>
      </c>
      <c r="AG55" s="11">
        <f>'[10]fib Model Code 2020'!$L$6</f>
        <v>6.128577010593881E-2</v>
      </c>
      <c r="AH55" s="11">
        <f t="shared" si="94"/>
        <v>0.30642885052969404</v>
      </c>
      <c r="AI55" s="11">
        <f t="shared" si="70"/>
        <v>-1.1827696858562335</v>
      </c>
      <c r="AJ55" s="11">
        <f>'[10]Eurocode 2'!$L$6</f>
        <v>6.1685729194447148E-2</v>
      </c>
      <c r="AK55" s="11">
        <f t="shared" si="95"/>
        <v>0.30842864597223574</v>
      </c>
      <c r="AL55" s="11">
        <f t="shared" si="71"/>
        <v>-1.1762647558340895</v>
      </c>
      <c r="AM55" s="11">
        <f>'[10]NBR 6118'!$Q$6</f>
        <v>0.10487425093117136</v>
      </c>
      <c r="AN55" s="11">
        <f>'[10]NBR 6118'!$R$6</f>
        <v>6.1700380095881441E-2</v>
      </c>
      <c r="AO55" s="11">
        <f>'[10]NBR 6118'!$W$6</f>
        <v>0.30850190047940718</v>
      </c>
      <c r="AP55" s="11">
        <f t="shared" si="72"/>
        <v>-1.1760272752686123</v>
      </c>
      <c r="AQ55" s="11">
        <f>'[10]Clark (1956)'!$L$6</f>
        <v>4.8609340041895432E-2</v>
      </c>
      <c r="AR55" s="11">
        <f t="shared" si="99"/>
        <v>0.24304670020947716</v>
      </c>
      <c r="AS55" s="11">
        <f t="shared" si="74"/>
        <v>-1.4145016721741657</v>
      </c>
      <c r="AT55" s="11">
        <f>'[10]Leonhardt (1977)'!$L$6</f>
        <v>8.3108795017623249E-2</v>
      </c>
      <c r="AU55" s="11">
        <f t="shared" si="100"/>
        <v>0.41554397508811625</v>
      </c>
      <c r="AV55" s="11">
        <f t="shared" si="76"/>
        <v>-0.87816683373309734</v>
      </c>
      <c r="AW55" s="11">
        <f>'[10]Desayi; Ganesan (1985)'!$L$6</f>
        <v>7.9566101885106238E-2</v>
      </c>
      <c r="AX55" s="11">
        <f t="shared" si="101"/>
        <v>0.39783050942553116</v>
      </c>
      <c r="AY55" s="11">
        <f t="shared" si="78"/>
        <v>-0.92172922011474168</v>
      </c>
      <c r="AZ55" s="11">
        <f>'[10]Oh; Kang (1987)'!$L$6</f>
        <v>5.0669934384026352E-2</v>
      </c>
      <c r="BA55" s="11">
        <f t="shared" si="102"/>
        <v>0.25334967192013175</v>
      </c>
      <c r="BB55" s="11">
        <f t="shared" si="80"/>
        <v>-1.372984642027973</v>
      </c>
      <c r="BC55" s="11">
        <f>'[10]Caldas (1997)'!$L$6</f>
        <v>9.0550252029073575E-2</v>
      </c>
      <c r="BD55" s="11">
        <f t="shared" si="103"/>
        <v>0.45275126014536787</v>
      </c>
      <c r="BE55" s="11">
        <f t="shared" si="82"/>
        <v>-0.7924123989085885</v>
      </c>
      <c r="BF55" s="11">
        <v>9.6138093546599732E-2</v>
      </c>
      <c r="BG55" s="11">
        <f t="shared" si="83"/>
        <v>0.48069046773299862</v>
      </c>
      <c r="BH55" s="11">
        <f t="shared" si="84"/>
        <v>-0.73253173424971718</v>
      </c>
      <c r="BI55" s="11">
        <v>6.128577010593881E-2</v>
      </c>
      <c r="BJ55" s="11">
        <f t="shared" si="85"/>
        <v>0.30642885052969404</v>
      </c>
      <c r="BK55" s="11">
        <f t="shared" si="86"/>
        <v>-1.1827696858562335</v>
      </c>
      <c r="BL55" s="11">
        <v>9.9804834478334159E-2</v>
      </c>
      <c r="BM55" s="11">
        <f t="shared" si="87"/>
        <v>0.49902417239167079</v>
      </c>
      <c r="BN55" s="11">
        <f t="shared" si="88"/>
        <v>-0.69510074273720313</v>
      </c>
      <c r="BS55" t="b">
        <f t="shared" si="12"/>
        <v>0</v>
      </c>
      <c r="BU55" t="b">
        <f t="shared" si="13"/>
        <v>1</v>
      </c>
      <c r="BW55" t="b">
        <f t="shared" si="14"/>
        <v>1</v>
      </c>
    </row>
    <row r="56" spans="1:75">
      <c r="A56" s="88"/>
      <c r="B56" s="37">
        <f>'[10]Dados de entrada'!$B$28</f>
        <v>25</v>
      </c>
      <c r="C56" s="37">
        <f>'[10]Dados de entrada'!$B$31</f>
        <v>4</v>
      </c>
      <c r="D56" s="37">
        <f>'[10]Dados de entrada'!$B$32</f>
        <v>62</v>
      </c>
      <c r="E56" s="41">
        <f>'[10]Dados de entrada'!$B$27</f>
        <v>2.6933292113182881</v>
      </c>
      <c r="F56" s="37">
        <f>'[10]Dados de entrada'!$B$30</f>
        <v>32</v>
      </c>
      <c r="G56" s="37">
        <f>'[10]Dados de entrada'!$B$22</f>
        <v>44.5</v>
      </c>
      <c r="H56" s="42">
        <f>'[10]Dados de entrada'!$B$29/('[10]Dados de entrada'!$B$20*2*G56)</f>
        <v>6.3049759229534513E-2</v>
      </c>
      <c r="I56" s="25">
        <f>'[10]fib Model Code 2010'!$K$7</f>
        <v>191.72277940679027</v>
      </c>
      <c r="J56" s="4">
        <f>'[10]Dados de entrada'!$C$9</f>
        <v>0.25</v>
      </c>
      <c r="K56" s="22"/>
      <c r="L56" s="22"/>
      <c r="M56" s="22"/>
      <c r="N56" s="22"/>
      <c r="O56" s="22"/>
      <c r="P56" s="22"/>
      <c r="Q56" s="22"/>
      <c r="R56" s="22"/>
      <c r="S56" s="4"/>
      <c r="T56" s="22"/>
      <c r="U56" s="22"/>
      <c r="V56" s="22"/>
      <c r="W56" s="4"/>
      <c r="X56" s="4"/>
      <c r="Y56" s="4"/>
      <c r="Z56" s="4"/>
      <c r="AA56" s="4"/>
      <c r="AB56" s="4"/>
      <c r="AC56" s="4"/>
      <c r="AD56" s="11">
        <f>'[10]fib Model Code 2010'!$L$7</f>
        <v>0.14481526434674882</v>
      </c>
      <c r="AE56" s="11">
        <f t="shared" si="93"/>
        <v>0.57926105738699529</v>
      </c>
      <c r="AF56" s="11">
        <f t="shared" si="69"/>
        <v>-0.54600202670727149</v>
      </c>
      <c r="AG56" s="11">
        <f>'[10]fib Model Code 2020'!$L$7</f>
        <v>0.16398254239550109</v>
      </c>
      <c r="AH56" s="11">
        <f t="shared" si="94"/>
        <v>0.65593016958200434</v>
      </c>
      <c r="AI56" s="11">
        <f t="shared" si="70"/>
        <v>-0.42170094451204465</v>
      </c>
      <c r="AJ56" s="11">
        <f>'[10]Eurocode 2'!$L$7</f>
        <v>0.14128426603911076</v>
      </c>
      <c r="AK56" s="11">
        <f t="shared" si="95"/>
        <v>0.56513706415644305</v>
      </c>
      <c r="AL56" s="11">
        <f t="shared" si="71"/>
        <v>-0.57068698582890554</v>
      </c>
      <c r="AM56" s="11">
        <f>'[10]NBR 6118'!$Q$7</f>
        <v>0.18877365167610849</v>
      </c>
      <c r="AN56" s="11">
        <f>'[10]NBR 6118'!$R$7</f>
        <v>0.19990923151065582</v>
      </c>
      <c r="AO56" s="11">
        <f>'[10]NBR 6118'!$W$7</f>
        <v>0.75509460670443396</v>
      </c>
      <c r="AP56" s="11">
        <f t="shared" si="72"/>
        <v>-0.28091223069007532</v>
      </c>
      <c r="AQ56" s="11">
        <f>'[10]Clark (1956)'!$L$7</f>
        <v>0.10368191451004474</v>
      </c>
      <c r="AR56" s="11">
        <f t="shared" si="99"/>
        <v>0.41472765804017897</v>
      </c>
      <c r="AS56" s="11">
        <f t="shared" si="74"/>
        <v>-0.88013321986120718</v>
      </c>
      <c r="AT56" s="11">
        <f>'[10]Leonhardt (1977)'!$L$7</f>
        <v>0.24160162736185395</v>
      </c>
      <c r="AU56" s="11">
        <f t="shared" si="100"/>
        <v>0.9664065094474158</v>
      </c>
      <c r="AV56" s="11">
        <f t="shared" si="76"/>
        <v>-3.417071605500871E-2</v>
      </c>
      <c r="AW56" s="11">
        <f>'[10]Desayi; Ganesan (1985)'!$L$7</f>
        <v>0.14321898339319122</v>
      </c>
      <c r="AX56" s="11">
        <f t="shared" si="101"/>
        <v>0.57287593357276489</v>
      </c>
      <c r="AY56" s="11">
        <f t="shared" si="78"/>
        <v>-0.55708610652683244</v>
      </c>
      <c r="AZ56" s="11">
        <f>'[10]Oh; Kang (1987)'!$L$7</f>
        <v>0.11558376749481522</v>
      </c>
      <c r="BA56" s="11">
        <f t="shared" si="102"/>
        <v>0.46233506997926088</v>
      </c>
      <c r="BB56" s="11">
        <f t="shared" si="80"/>
        <v>-0.77146539107874768</v>
      </c>
      <c r="BC56" s="11">
        <f>'[10]Caldas (1997)'!$L$7</f>
        <v>0.18242574020856681</v>
      </c>
      <c r="BD56" s="11">
        <f t="shared" si="103"/>
        <v>0.72970296083426722</v>
      </c>
      <c r="BE56" s="11">
        <f t="shared" si="82"/>
        <v>-0.3151177306139335</v>
      </c>
      <c r="BF56" s="11">
        <v>0.1730485683838795</v>
      </c>
      <c r="BG56" s="11">
        <f t="shared" si="83"/>
        <v>0.69219427353551799</v>
      </c>
      <c r="BH56" s="11">
        <f t="shared" si="84"/>
        <v>-0.367888620661808</v>
      </c>
      <c r="BI56" s="11">
        <v>0.16438242054594365</v>
      </c>
      <c r="BJ56" s="11">
        <f t="shared" si="85"/>
        <v>0.65752968218377461</v>
      </c>
      <c r="BK56" s="11">
        <f t="shared" si="86"/>
        <v>-0.41926537194343655</v>
      </c>
      <c r="BL56" s="11">
        <v>0.24974911019749291</v>
      </c>
      <c r="BM56" s="11">
        <f t="shared" si="87"/>
        <v>0.99899644078997163</v>
      </c>
      <c r="BN56" s="11">
        <f t="shared" si="88"/>
        <v>-1.0040631127313955E-3</v>
      </c>
      <c r="BS56" t="b">
        <f t="shared" si="12"/>
        <v>0</v>
      </c>
      <c r="BU56" t="b">
        <f t="shared" si="13"/>
        <v>1</v>
      </c>
      <c r="BW56" t="b">
        <f t="shared" si="14"/>
        <v>1</v>
      </c>
    </row>
    <row r="57" spans="1:75">
      <c r="A57" s="88"/>
      <c r="B57" s="37">
        <f>'[10]Dados de entrada'!$B$28</f>
        <v>25</v>
      </c>
      <c r="C57" s="37">
        <f>'[10]Dados de entrada'!$B$31</f>
        <v>4</v>
      </c>
      <c r="D57" s="37">
        <f>'[10]Dados de entrada'!$B$32</f>
        <v>62</v>
      </c>
      <c r="E57" s="41">
        <f>'[10]Dados de entrada'!$B$27</f>
        <v>2.6933292113182881</v>
      </c>
      <c r="F57" s="37">
        <f>'[10]Dados de entrada'!$B$30</f>
        <v>32</v>
      </c>
      <c r="G57" s="37">
        <f>'[10]Dados de entrada'!$B$22</f>
        <v>44.5</v>
      </c>
      <c r="H57" s="42">
        <f>'[10]Dados de entrada'!$B$29/('[10]Dados de entrada'!$B$20*2*G57)</f>
        <v>6.3049759229534513E-2</v>
      </c>
      <c r="I57" s="25">
        <f>'[10]fib Model Code 2010'!$K$8</f>
        <v>276.93290358758594</v>
      </c>
      <c r="J57" s="4">
        <f>'[10]Dados de entrada'!$C$10</f>
        <v>0.36</v>
      </c>
      <c r="K57" s="22"/>
      <c r="L57" s="22"/>
      <c r="M57" s="22"/>
      <c r="N57" s="22"/>
      <c r="O57" s="22"/>
      <c r="P57" s="22"/>
      <c r="Q57" s="22"/>
      <c r="R57" s="22"/>
      <c r="S57" s="4"/>
      <c r="T57" s="22"/>
      <c r="U57" s="22"/>
      <c r="V57" s="22"/>
      <c r="W57" s="4"/>
      <c r="X57" s="4"/>
      <c r="Y57" s="4"/>
      <c r="Z57" s="4"/>
      <c r="AA57" s="4"/>
      <c r="AB57" s="4"/>
      <c r="AC57" s="4"/>
      <c r="AD57" s="11">
        <f>'[10]fib Model Code 2010'!$L$8</f>
        <v>0.22640314017988247</v>
      </c>
      <c r="AE57" s="11">
        <f t="shared" si="93"/>
        <v>0.62889761161078472</v>
      </c>
      <c r="AF57" s="11">
        <f t="shared" si="69"/>
        <v>-0.46378681516483156</v>
      </c>
      <c r="AG57" s="11">
        <f>'[10]fib Model Code 2020'!$L$8</f>
        <v>0.2666793146850634</v>
      </c>
      <c r="AH57" s="11">
        <f t="shared" si="94"/>
        <v>0.74077587412517609</v>
      </c>
      <c r="AI57" s="11">
        <f t="shared" si="70"/>
        <v>-0.30005716350612049</v>
      </c>
      <c r="AJ57" s="11">
        <f>'[10]Eurocode 2'!$L$8</f>
        <v>0.22088280288377435</v>
      </c>
      <c r="AK57" s="11">
        <f t="shared" si="95"/>
        <v>0.61356334134381763</v>
      </c>
      <c r="AL57" s="11">
        <f t="shared" si="71"/>
        <v>-0.48847177428646599</v>
      </c>
      <c r="AM57" s="11">
        <f>'[10]NBR 6118'!$Q$8</f>
        <v>0.27267305242104556</v>
      </c>
      <c r="AN57" s="11">
        <f>'[10]NBR 6118'!$R$8</f>
        <v>0.41709456944815854</v>
      </c>
      <c r="AO57" s="11">
        <f>'[10]NBR 6118'!$W$8</f>
        <v>0.75742514561401542</v>
      </c>
      <c r="AP57" s="11">
        <f t="shared" si="72"/>
        <v>-0.27783056415266738</v>
      </c>
      <c r="AQ57" s="11">
        <f>'[10]Clark (1956)'!$L$8</f>
        <v>0.15875448897819405</v>
      </c>
      <c r="AR57" s="11">
        <f t="shared" si="99"/>
        <v>0.4409846916060946</v>
      </c>
      <c r="AS57" s="11">
        <f t="shared" si="74"/>
        <v>-0.81874511704914821</v>
      </c>
      <c r="AT57" s="11">
        <f>'[10]Leonhardt (1977)'!$L$8</f>
        <v>0.37987340556759402</v>
      </c>
      <c r="AU57" s="11">
        <f t="shared" si="100"/>
        <v>1.0552039043544279</v>
      </c>
      <c r="AV57" s="11">
        <f t="shared" si="76"/>
        <v>5.3734022522564318E-2</v>
      </c>
      <c r="AW57" s="11">
        <f>'[10]Desayi; Ganesan (1985)'!$L$8</f>
        <v>0.20687186490127621</v>
      </c>
      <c r="AX57" s="11">
        <f t="shared" si="101"/>
        <v>0.57464406917021171</v>
      </c>
      <c r="AY57" s="11">
        <f t="shared" si="78"/>
        <v>-0.55400443998942428</v>
      </c>
      <c r="AZ57" s="11">
        <f>'[10]Oh; Kang (1987)'!$L$8</f>
        <v>0.18049760060560405</v>
      </c>
      <c r="BA57" s="11">
        <f t="shared" si="102"/>
        <v>0.50138222390445575</v>
      </c>
      <c r="BB57" s="11">
        <f t="shared" si="80"/>
        <v>-0.6903865468093181</v>
      </c>
      <c r="BC57" s="11">
        <f>'[10]Caldas (1997)'!$L$8</f>
        <v>0.27430122838806004</v>
      </c>
      <c r="BD57" s="11">
        <f t="shared" si="103"/>
        <v>0.76194785663350018</v>
      </c>
      <c r="BE57" s="11">
        <f t="shared" si="82"/>
        <v>-0.27187715525173284</v>
      </c>
      <c r="BF57" s="11">
        <v>0.24995904322115928</v>
      </c>
      <c r="BG57" s="11">
        <f t="shared" si="83"/>
        <v>0.69433067561433137</v>
      </c>
      <c r="BH57" s="11">
        <f t="shared" si="84"/>
        <v>-0.36480695412439978</v>
      </c>
      <c r="BI57" s="11">
        <v>0.28713401134859573</v>
      </c>
      <c r="BJ57" s="11">
        <f t="shared" si="85"/>
        <v>0.79759447596832145</v>
      </c>
      <c r="BK57" s="11">
        <f t="shared" si="86"/>
        <v>-0.22615498617554139</v>
      </c>
      <c r="BL57" s="11">
        <v>0.41429983207814519</v>
      </c>
      <c r="BM57" s="11">
        <f t="shared" si="87"/>
        <v>1.1508328668837366</v>
      </c>
      <c r="BN57" s="11">
        <f t="shared" si="88"/>
        <v>0.14048591231847962</v>
      </c>
      <c r="BS57" t="b">
        <f t="shared" si="12"/>
        <v>0</v>
      </c>
      <c r="BU57" t="b">
        <f t="shared" si="13"/>
        <v>1</v>
      </c>
      <c r="BW57" t="b">
        <f t="shared" si="14"/>
        <v>1</v>
      </c>
    </row>
    <row r="58" spans="1:75">
      <c r="A58" s="88"/>
      <c r="B58" s="37">
        <f>'[10]Dados de entrada'!$B$28</f>
        <v>25</v>
      </c>
      <c r="C58" s="37">
        <f>'[10]Dados de entrada'!$B$31</f>
        <v>4</v>
      </c>
      <c r="D58" s="37">
        <f>'[10]Dados de entrada'!$B$32</f>
        <v>62</v>
      </c>
      <c r="E58" s="41">
        <f>'[10]Dados de entrada'!$B$27</f>
        <v>2.6933292113182881</v>
      </c>
      <c r="F58" s="37">
        <f>'[10]Dados de entrada'!$B$30</f>
        <v>32</v>
      </c>
      <c r="G58" s="37">
        <f>'[10]Dados de entrada'!$B$22</f>
        <v>44.5</v>
      </c>
      <c r="H58" s="42">
        <f>'[10]Dados de entrada'!$B$29/('[10]Dados de entrada'!$B$20*2*G58)</f>
        <v>6.3049759229534513E-2</v>
      </c>
      <c r="I58" s="25">
        <f>'[10]fib Model Code 2010'!$K$9</f>
        <v>362.14302776838161</v>
      </c>
      <c r="J58" s="4">
        <f>'[10]Dados de entrada'!$C$11</f>
        <v>0.47</v>
      </c>
      <c r="K58" s="22"/>
      <c r="L58" s="22"/>
      <c r="M58" s="22"/>
      <c r="N58" s="22"/>
      <c r="O58" s="22"/>
      <c r="P58" s="22"/>
      <c r="Q58" s="22"/>
      <c r="R58" s="22"/>
      <c r="S58" s="4"/>
      <c r="T58" s="22"/>
      <c r="U58" s="22"/>
      <c r="V58" s="22"/>
      <c r="W58" s="4"/>
      <c r="X58" s="4"/>
      <c r="Y58" s="4"/>
      <c r="Z58" s="4"/>
      <c r="AA58" s="4"/>
      <c r="AB58" s="4"/>
      <c r="AC58" s="4"/>
      <c r="AD58" s="11">
        <f>'[10]fib Model Code 2010'!$L$9</f>
        <v>0.30799101601301604</v>
      </c>
      <c r="AE58" s="11">
        <f t="shared" si="93"/>
        <v>0.65530003407024695</v>
      </c>
      <c r="AF58" s="11">
        <f t="shared" si="69"/>
        <v>-0.42266208094485608</v>
      </c>
      <c r="AG58" s="11">
        <f>'[10]fib Model Code 2020'!$L$9</f>
        <v>0.36937608697462571</v>
      </c>
      <c r="AH58" s="11">
        <f t="shared" si="94"/>
        <v>0.78590656803111858</v>
      </c>
      <c r="AI58" s="11">
        <f t="shared" si="70"/>
        <v>-0.24091736380796797</v>
      </c>
      <c r="AJ58" s="11">
        <f>'[10]Eurocode 2'!$L$9</f>
        <v>0.30048133972843794</v>
      </c>
      <c r="AK58" s="11">
        <f t="shared" si="95"/>
        <v>0.63932199942220835</v>
      </c>
      <c r="AL58" s="11">
        <f t="shared" si="71"/>
        <v>-0.44734704006649034</v>
      </c>
      <c r="AM58" s="11">
        <f>'[10]NBR 6118'!$Q$9</f>
        <v>0.35657245316598268</v>
      </c>
      <c r="AN58" s="11">
        <f>'[10]NBR 6118'!$R$9</f>
        <v>0.71325639390838957</v>
      </c>
      <c r="AO58" s="11">
        <f>'[10]NBR 6118'!$W$9</f>
        <v>0.75866479397017594</v>
      </c>
      <c r="AP58" s="11">
        <f t="shared" si="72"/>
        <v>-0.27619524081193647</v>
      </c>
      <c r="AQ58" s="11">
        <f>'[10]Clark (1956)'!$L$9</f>
        <v>0.21382706344634334</v>
      </c>
      <c r="AR58" s="11">
        <f t="shared" si="99"/>
        <v>0.45495119882200713</v>
      </c>
      <c r="AS58" s="11">
        <f t="shared" si="74"/>
        <v>-0.78756512111969956</v>
      </c>
      <c r="AT58" s="11">
        <f>'[10]Leonhardt (1977)'!$L$9</f>
        <v>0.51219781490907224</v>
      </c>
      <c r="AU58" s="11">
        <f t="shared" si="100"/>
        <v>1.0897825849129197</v>
      </c>
      <c r="AV58" s="11">
        <f t="shared" si="76"/>
        <v>8.5978212962943681E-2</v>
      </c>
      <c r="AW58" s="11">
        <f>'[10]Desayi; Ganesan (1985)'!$L$9</f>
        <v>0.27052474640936119</v>
      </c>
      <c r="AX58" s="11">
        <f t="shared" si="101"/>
        <v>0.57558456682842807</v>
      </c>
      <c r="AY58" s="11">
        <f t="shared" si="78"/>
        <v>-0.55236911664869359</v>
      </c>
      <c r="AZ58" s="11">
        <f>'[10]Oh; Kang (1987)'!$L$9</f>
        <v>0.24541143371639296</v>
      </c>
      <c r="BA58" s="11">
        <f t="shared" si="102"/>
        <v>0.52215198663062334</v>
      </c>
      <c r="BB58" s="11">
        <f t="shared" si="80"/>
        <v>-0.64979657135133373</v>
      </c>
      <c r="BC58" s="11">
        <f>'[10]Caldas (1997)'!$L$9</f>
        <v>0.36617671656755335</v>
      </c>
      <c r="BD58" s="11">
        <f t="shared" si="103"/>
        <v>0.77909939695224117</v>
      </c>
      <c r="BE58" s="11">
        <f t="shared" si="82"/>
        <v>-0.24961664567688951</v>
      </c>
      <c r="BF58" s="11">
        <v>0.32686951805843906</v>
      </c>
      <c r="BG58" s="11">
        <f t="shared" si="83"/>
        <v>0.69546705969880651</v>
      </c>
      <c r="BH58" s="11">
        <f t="shared" si="84"/>
        <v>-0.3631716307836691</v>
      </c>
      <c r="BI58" s="11">
        <v>0.40988560215124781</v>
      </c>
      <c r="BJ58" s="11">
        <f t="shared" si="85"/>
        <v>0.87209702585371884</v>
      </c>
      <c r="BK58" s="11">
        <f t="shared" si="86"/>
        <v>-0.13685459308213208</v>
      </c>
      <c r="BL58" s="11">
        <v>0.59345700012029101</v>
      </c>
      <c r="BM58" s="11">
        <f t="shared" si="87"/>
        <v>1.2626744683410447</v>
      </c>
      <c r="BN58" s="11">
        <f t="shared" si="88"/>
        <v>0.23323206536502195</v>
      </c>
      <c r="BS58" t="b">
        <f t="shared" si="12"/>
        <v>0</v>
      </c>
      <c r="BU58" t="b">
        <f t="shared" si="13"/>
        <v>1</v>
      </c>
      <c r="BW58" t="b">
        <f t="shared" si="14"/>
        <v>1</v>
      </c>
    </row>
    <row r="59" spans="1:75">
      <c r="A59" s="88"/>
      <c r="B59" s="37">
        <f>'[10]Dados de entrada'!$B$28</f>
        <v>25</v>
      </c>
      <c r="C59" s="37">
        <f>'[10]Dados de entrada'!$B$31</f>
        <v>4</v>
      </c>
      <c r="D59" s="37">
        <f>'[10]Dados de entrada'!$B$32</f>
        <v>62</v>
      </c>
      <c r="E59" s="41">
        <f>'[10]Dados de entrada'!$B$27</f>
        <v>2.6933292113182881</v>
      </c>
      <c r="F59" s="37">
        <f>'[10]Dados de entrada'!$B$30</f>
        <v>32</v>
      </c>
      <c r="G59" s="37">
        <f>'[10]Dados de entrada'!$B$22</f>
        <v>44.5</v>
      </c>
      <c r="H59" s="42">
        <f>'[10]Dados de entrada'!$B$29/('[10]Dados de entrada'!$B$20*2*G59)</f>
        <v>6.3049759229534513E-2</v>
      </c>
      <c r="I59" s="25">
        <f>'[10]fib Model Code 2010'!$K$10</f>
        <v>426.05062090397843</v>
      </c>
      <c r="J59" s="4">
        <f>'[10]Dados de entrada'!$C$12</f>
        <v>0.56999999999999995</v>
      </c>
      <c r="K59" s="22"/>
      <c r="L59" s="22"/>
      <c r="M59" s="22"/>
      <c r="N59" s="22"/>
      <c r="O59" s="22"/>
      <c r="P59" s="22"/>
      <c r="Q59" s="22"/>
      <c r="R59" s="22"/>
      <c r="S59" s="4"/>
      <c r="T59" s="22"/>
      <c r="U59" s="22"/>
      <c r="V59" s="22"/>
      <c r="W59" s="4"/>
      <c r="X59" s="4"/>
      <c r="Y59" s="4"/>
      <c r="Z59" s="4"/>
      <c r="AA59" s="4"/>
      <c r="AB59" s="4"/>
      <c r="AC59" s="4"/>
      <c r="AD59" s="11">
        <f>'[10]fib Model Code 2010'!$L$10</f>
        <v>0.36918192288786633</v>
      </c>
      <c r="AE59" s="11">
        <f t="shared" si="93"/>
        <v>0.64768758401380067</v>
      </c>
      <c r="AF59" s="11">
        <f t="shared" si="69"/>
        <v>-0.43434682232422761</v>
      </c>
      <c r="AG59" s="11">
        <f>'[10]fib Model Code 2020'!$L$10</f>
        <v>0.44639866619179752</v>
      </c>
      <c r="AH59" s="11">
        <f t="shared" si="94"/>
        <v>0.78315555472245191</v>
      </c>
      <c r="AI59" s="11">
        <f t="shared" si="70"/>
        <v>-0.24442393768755888</v>
      </c>
      <c r="AJ59" s="11">
        <f>'[10]Eurocode 2'!$L$10</f>
        <v>0.36018024236193569</v>
      </c>
      <c r="AK59" s="11">
        <f t="shared" si="95"/>
        <v>0.63189516203848373</v>
      </c>
      <c r="AL59" s="11">
        <f t="shared" si="71"/>
        <v>-0.45903178144586182</v>
      </c>
      <c r="AM59" s="11">
        <f>'[10]NBR 6118'!$Q$10</f>
        <v>0.41949700372468546</v>
      </c>
      <c r="AN59" s="11">
        <f>'[10]NBR 6118'!$R$10</f>
        <v>0.98720608153410305</v>
      </c>
      <c r="AO59" s="11">
        <f>'[10]NBR 6118'!$W$10</f>
        <v>0.735959655657343</v>
      </c>
      <c r="AP59" s="11">
        <f t="shared" si="72"/>
        <v>-0.30657997743865312</v>
      </c>
      <c r="AQ59" s="11">
        <f>'[10]Clark (1956)'!$L$10</f>
        <v>0.25513149429745535</v>
      </c>
      <c r="AR59" s="11">
        <f t="shared" si="99"/>
        <v>0.44759911280255327</v>
      </c>
      <c r="AS59" s="11">
        <f t="shared" si="74"/>
        <v>-0.80385728466752593</v>
      </c>
      <c r="AT59" s="11">
        <f>'[10]Leonhardt (1977)'!$L$10</f>
        <v>0.60968478954745375</v>
      </c>
      <c r="AU59" s="11">
        <f t="shared" si="100"/>
        <v>1.0696224378025505</v>
      </c>
      <c r="AV59" s="11">
        <f t="shared" si="76"/>
        <v>6.7305724336642073E-2</v>
      </c>
      <c r="AW59" s="11">
        <f>'[10]Desayi; Ganesan (1985)'!$L$10</f>
        <v>0.31826440754042495</v>
      </c>
      <c r="AX59" s="11">
        <f t="shared" si="101"/>
        <v>0.55835860972004381</v>
      </c>
      <c r="AY59" s="11">
        <f t="shared" si="78"/>
        <v>-0.58275385327541007</v>
      </c>
      <c r="AZ59" s="11">
        <f>'[10]Oh; Kang (1987)'!$L$10</f>
        <v>0.29409680854948467</v>
      </c>
      <c r="BA59" s="11">
        <f t="shared" si="102"/>
        <v>0.51595931324471001</v>
      </c>
      <c r="BB59" s="11">
        <f t="shared" si="80"/>
        <v>-0.66172736691037237</v>
      </c>
      <c r="BC59" s="11">
        <f>'[10]Caldas (1997)'!$L$10</f>
        <v>0.43508333270217331</v>
      </c>
      <c r="BD59" s="11">
        <f t="shared" si="103"/>
        <v>0.76330409245995323</v>
      </c>
      <c r="BE59" s="11">
        <f t="shared" si="82"/>
        <v>-0.27009877865670839</v>
      </c>
      <c r="BF59" s="11">
        <v>0.38455237418639893</v>
      </c>
      <c r="BG59" s="11">
        <f t="shared" si="83"/>
        <v>0.67465328804631397</v>
      </c>
      <c r="BH59" s="11">
        <f t="shared" si="84"/>
        <v>-0.39355636741038558</v>
      </c>
      <c r="BI59" s="11">
        <v>0.50194929525323695</v>
      </c>
      <c r="BJ59" s="11">
        <f t="shared" si="85"/>
        <v>0.88061279868988951</v>
      </c>
      <c r="BK59" s="11">
        <f t="shared" si="86"/>
        <v>-0.1271372517099022</v>
      </c>
      <c r="BL59" s="11">
        <v>0.73741035644538055</v>
      </c>
      <c r="BM59" s="11">
        <f t="shared" si="87"/>
        <v>1.2937023797287379</v>
      </c>
      <c r="BN59" s="11">
        <f t="shared" si="88"/>
        <v>0.25750816941497356</v>
      </c>
      <c r="BS59" t="b">
        <f t="shared" si="12"/>
        <v>0</v>
      </c>
      <c r="BU59" t="b">
        <f t="shared" si="13"/>
        <v>1</v>
      </c>
      <c r="BW59" t="b">
        <f t="shared" si="14"/>
        <v>1</v>
      </c>
    </row>
    <row r="60" spans="1:75">
      <c r="A60" s="89"/>
      <c r="B60" s="37">
        <f>'[10]Dados de entrada'!$B$28</f>
        <v>25</v>
      </c>
      <c r="C60" s="37">
        <f>'[10]Dados de entrada'!$B$31</f>
        <v>4</v>
      </c>
      <c r="D60" s="37">
        <f>'[10]Dados de entrada'!$B$32</f>
        <v>62</v>
      </c>
      <c r="E60" s="41">
        <f>'[10]Dados de entrada'!$B$27</f>
        <v>2.6933292113182881</v>
      </c>
      <c r="F60" s="37">
        <f>'[10]Dados de entrada'!$B$30</f>
        <v>32</v>
      </c>
      <c r="G60" s="37">
        <f>'[10]Dados de entrada'!$B$22</f>
        <v>44.5</v>
      </c>
      <c r="H60" s="42">
        <f>'[10]Dados de entrada'!$B$29/('[10]Dados de entrada'!$B$20*2*G60)</f>
        <v>6.3049759229534513E-2</v>
      </c>
      <c r="I60" s="25">
        <f>'[10]fib Model Code 2010'!$K$11</f>
        <v>500</v>
      </c>
      <c r="J60" s="4">
        <f>'[10]Dados de entrada'!$C$13</f>
        <v>0.78</v>
      </c>
      <c r="K60" s="22"/>
      <c r="L60" s="22"/>
      <c r="M60" s="22"/>
      <c r="N60" s="22"/>
      <c r="O60" s="22"/>
      <c r="P60" s="22"/>
      <c r="Q60" s="22"/>
      <c r="R60" s="22"/>
      <c r="S60" s="4"/>
      <c r="T60" s="22"/>
      <c r="U60" s="22"/>
      <c r="V60" s="22"/>
      <c r="W60" s="4"/>
      <c r="X60" s="4"/>
      <c r="Y60" s="4"/>
      <c r="Z60" s="4"/>
      <c r="AA60" s="4"/>
      <c r="AB60" s="4"/>
      <c r="AC60" s="4"/>
      <c r="AD60" s="11">
        <f>'[10]fib Model Code 2010'!$L$11</f>
        <v>0.43998774341245744</v>
      </c>
      <c r="AE60" s="11">
        <f t="shared" si="93"/>
        <v>0.56408685052879159</v>
      </c>
      <c r="AF60" s="11">
        <f t="shared" si="69"/>
        <v>-0.57254704904009135</v>
      </c>
      <c r="AG60" s="11">
        <f>'[10]fib Model Code 2020'!$L$11</f>
        <v>0.53552378622876884</v>
      </c>
      <c r="AH60" s="11">
        <f t="shared" si="94"/>
        <v>0.68656895670354978</v>
      </c>
      <c r="AI60" s="11">
        <f t="shared" si="70"/>
        <v>-0.37604861205445683</v>
      </c>
      <c r="AJ60" s="11">
        <f>'[10]Eurocode 2'!$L$11</f>
        <v>0.42925962034905629</v>
      </c>
      <c r="AK60" s="11">
        <f t="shared" si="95"/>
        <v>0.55033284660135418</v>
      </c>
      <c r="AL60" s="11">
        <f t="shared" si="71"/>
        <v>-0.59723200816172572</v>
      </c>
      <c r="AM60" s="11">
        <f>'[10]NBR 6118'!$Q$11</f>
        <v>0.46969896597778604</v>
      </c>
      <c r="AN60" s="11">
        <f>'[10]NBR 6118'!$R$11</f>
        <v>1.2376256565018231</v>
      </c>
      <c r="AO60" s="11">
        <f>'[10]NBR 6118'!$W$11</f>
        <v>0.60217816150998205</v>
      </c>
      <c r="AP60" s="11">
        <f t="shared" si="72"/>
        <v>-0.50720192810555742</v>
      </c>
      <c r="AQ60" s="11">
        <f>'[10]Clark (1956)'!$L$11</f>
        <v>0.30292608122351122</v>
      </c>
      <c r="AR60" s="11">
        <f t="shared" si="99"/>
        <v>0.38836677079937337</v>
      </c>
      <c r="AS60" s="11">
        <f t="shared" si="74"/>
        <v>-0.94580510029450993</v>
      </c>
      <c r="AT60" s="11">
        <f>'[10]Leonhardt (1977)'!$L$11</f>
        <v>0.72144924936846344</v>
      </c>
      <c r="AU60" s="11">
        <f t="shared" si="100"/>
        <v>0.92493493508777358</v>
      </c>
      <c r="AV60" s="11">
        <f t="shared" si="76"/>
        <v>-7.8031884389367201E-2</v>
      </c>
      <c r="AW60" s="11">
        <f>'[10]Desayi; Ganesan (1985)'!$L$11</f>
        <v>0.37350539105557851</v>
      </c>
      <c r="AX60" s="11">
        <f t="shared" si="101"/>
        <v>0.47885306545586986</v>
      </c>
      <c r="AY60" s="11">
        <f t="shared" si="78"/>
        <v>-0.73636148133118862</v>
      </c>
      <c r="AZ60" s="11">
        <f>'[10]Oh; Kang (1987)'!$L$11</f>
        <v>0.35043210555128729</v>
      </c>
      <c r="BA60" s="11">
        <f t="shared" si="102"/>
        <v>0.44927193019395806</v>
      </c>
      <c r="BB60" s="11">
        <f t="shared" si="80"/>
        <v>-0.80012693938699853</v>
      </c>
      <c r="BC60" s="11">
        <f>'[10]Caldas (1997)'!$L$11</f>
        <v>0.51481723017428416</v>
      </c>
      <c r="BD60" s="11">
        <f t="shared" si="103"/>
        <v>0.66002208996703093</v>
      </c>
      <c r="BE60" s="11">
        <f t="shared" si="82"/>
        <v>-0.41548197487474542</v>
      </c>
      <c r="BF60" s="11">
        <v>0.45129892472691385</v>
      </c>
      <c r="BG60" s="11">
        <f t="shared" si="83"/>
        <v>0.57858836503450495</v>
      </c>
      <c r="BH60" s="11">
        <f t="shared" si="84"/>
        <v>-0.54716399546616412</v>
      </c>
      <c r="BI60" s="11">
        <v>0.60260898148478304</v>
      </c>
      <c r="BJ60" s="11">
        <f t="shared" si="85"/>
        <v>0.77257561728818336</v>
      </c>
      <c r="BK60" s="11">
        <f t="shared" si="86"/>
        <v>-0.25802538854360785</v>
      </c>
      <c r="BL60" s="11">
        <v>0.91423712194495588</v>
      </c>
      <c r="BM60" s="11">
        <f t="shared" si="87"/>
        <v>1.1720988742884049</v>
      </c>
      <c r="BN60" s="11">
        <f t="shared" si="88"/>
        <v>0.15879605132370966</v>
      </c>
      <c r="BS60" t="b">
        <f t="shared" si="12"/>
        <v>0</v>
      </c>
      <c r="BU60" t="b">
        <f t="shared" si="13"/>
        <v>1</v>
      </c>
      <c r="BW60" t="b">
        <f t="shared" si="14"/>
        <v>1</v>
      </c>
    </row>
    <row r="61" spans="1:75" ht="12.6" customHeight="1">
      <c r="A61" s="85" t="s">
        <v>27</v>
      </c>
      <c r="B61" s="43">
        <f>'[11]Dados de entrada'!$B$28</f>
        <v>12</v>
      </c>
      <c r="C61" s="43">
        <f>'[11]Dados de entrada'!$B$31</f>
        <v>4</v>
      </c>
      <c r="D61" s="43">
        <f>'[11]Dados de entrada'!$B$32</f>
        <v>79.3</v>
      </c>
      <c r="E61" s="44">
        <f>'[11]Dados de entrada'!$B$27</f>
        <v>2.6933292113182881</v>
      </c>
      <c r="F61" s="43">
        <f>'[11]Dados de entrada'!$B$30</f>
        <v>32</v>
      </c>
      <c r="G61" s="43">
        <f>'[11]Dados de entrada'!$B$22</f>
        <v>38</v>
      </c>
      <c r="H61" s="45">
        <f>'[11]Dados de entrada'!$B$29/('[11]Dados de entrada'!$B$20*2*G61)</f>
        <v>1.6992481203007517E-2</v>
      </c>
      <c r="I61" s="26">
        <f>'[11]fib Model Code 2010'!$K$5</f>
        <v>214.59496874945796</v>
      </c>
      <c r="J61" s="19">
        <f>'[11]Dados de entrada'!$C$7</f>
        <v>0.21</v>
      </c>
      <c r="K61" s="23"/>
      <c r="L61" s="23"/>
      <c r="M61" s="23"/>
      <c r="N61" s="23"/>
      <c r="O61" s="23"/>
      <c r="P61" s="23"/>
      <c r="Q61" s="23"/>
      <c r="R61" s="23"/>
      <c r="S61" s="19"/>
      <c r="T61" s="23"/>
      <c r="U61" s="23"/>
      <c r="V61" s="23"/>
      <c r="W61" s="19"/>
      <c r="X61" s="19"/>
      <c r="Y61" s="19"/>
      <c r="Z61" s="19"/>
      <c r="AA61" s="19"/>
      <c r="AB61" s="19"/>
      <c r="AC61" s="19"/>
      <c r="AD61" s="20">
        <f>'[11]fib Model Code 2010'!$L$5</f>
        <v>0.13127383978468207</v>
      </c>
      <c r="AE61" s="20">
        <f t="shared" si="93"/>
        <v>0.6251135227842004</v>
      </c>
      <c r="AF61" s="20">
        <f t="shared" si="69"/>
        <v>-0.46982200928491852</v>
      </c>
      <c r="AG61" s="20">
        <f>'[11]fib Model Code 2020'!$L$5</f>
        <v>0.13504186087017703</v>
      </c>
      <c r="AH61" s="20">
        <f t="shared" si="94"/>
        <v>0.64305648033417639</v>
      </c>
      <c r="AI61" s="20">
        <f t="shared" si="70"/>
        <v>-0.44152271982423791</v>
      </c>
      <c r="AJ61" s="20">
        <f>'[11]Eurocode 2'!$L$5</f>
        <v>0.16665426282377707</v>
      </c>
      <c r="AK61" s="20">
        <f t="shared" si="95"/>
        <v>0.79359172773227182</v>
      </c>
      <c r="AL61" s="20">
        <f t="shared" si="71"/>
        <v>-0.23118614679025729</v>
      </c>
      <c r="AM61" s="20">
        <f>'[11]NBR 6118'!$Q$5</f>
        <v>0.19951861461220641</v>
      </c>
      <c r="AN61" s="20">
        <f>'[11]NBR 6118'!$R$5</f>
        <v>0.11578280084250574</v>
      </c>
      <c r="AO61" s="20">
        <f>'[11]NBR 6118'!$W$5</f>
        <v>0.55134667067859877</v>
      </c>
      <c r="AP61" s="20">
        <f t="shared" si="72"/>
        <v>-0.59539150128557194</v>
      </c>
      <c r="AQ61" s="20">
        <f>'[11]Clark (1956)'!$L$5</f>
        <v>0.1002083359400282</v>
      </c>
      <c r="AR61" s="20">
        <f t="shared" si="99"/>
        <v>0.47718255209537241</v>
      </c>
      <c r="AS61" s="20">
        <f t="shared" si="74"/>
        <v>-0.73985615251279757</v>
      </c>
      <c r="AT61" s="20">
        <f>'[11]Leonhardt (1977)'!$L$5</f>
        <v>0.14720598903748519</v>
      </c>
      <c r="AU61" s="20">
        <f t="shared" si="100"/>
        <v>0.7009809001785009</v>
      </c>
      <c r="AV61" s="20">
        <f t="shared" si="76"/>
        <v>-0.35527463885440264</v>
      </c>
      <c r="AW61" s="20">
        <f>'[11]Desayi; Ganesan (1985)'!$L$5</f>
        <v>0.17149241342730673</v>
      </c>
      <c r="AX61" s="20">
        <f t="shared" si="101"/>
        <v>0.81663054013003211</v>
      </c>
      <c r="AY61" s="20">
        <f t="shared" si="78"/>
        <v>-0.20256850166541113</v>
      </c>
      <c r="AZ61" s="20">
        <f>'[11]Oh; Kang (1987)'!$L$5</f>
        <v>0.10241670275818041</v>
      </c>
      <c r="BA61" s="20">
        <f t="shared" si="102"/>
        <v>0.48769858456276388</v>
      </c>
      <c r="BB61" s="20">
        <f t="shared" si="80"/>
        <v>-0.71805771854066391</v>
      </c>
      <c r="BC61" s="20">
        <f>'[11]Caldas (1997)'!$L$5</f>
        <v>0.16410460194330204</v>
      </c>
      <c r="BD61" s="20">
        <f t="shared" si="103"/>
        <v>0.78145048544429541</v>
      </c>
      <c r="BE61" s="20">
        <f t="shared" si="82"/>
        <v>-0.24660348948445898</v>
      </c>
      <c r="BF61" s="20" cm="1">
        <f t="array" ref="BF61:BF65">'[11]Gergely e Lutz (1968)'!$L$5:$L$9</f>
        <v>0.1661250867809709</v>
      </c>
      <c r="BG61" s="20">
        <f t="shared" si="83"/>
        <v>0.79107184181414725</v>
      </c>
      <c r="BH61" s="20">
        <f t="shared" si="84"/>
        <v>-0.23436649130062359</v>
      </c>
      <c r="BI61" s="20" cm="1">
        <f t="array" ref="BI61:BI65">[11]Sugestão!$M$5:$M$9</f>
        <v>0.15250358684376383</v>
      </c>
      <c r="BJ61" s="20">
        <f t="shared" ref="BJ61:BJ65" si="107">BI61/J61</f>
        <v>0.72620755639887546</v>
      </c>
      <c r="BK61" s="20">
        <f t="shared" ref="BK61:BK65" si="108">LN(BJ61)</f>
        <v>-0.31991941465962392</v>
      </c>
      <c r="BL61" s="20" cm="1">
        <f t="array" ref="BL61:BL65">'[11]fib Model Code 2020 modificado'!$L$5:$L$9</f>
        <v>0.16512872234246168</v>
      </c>
      <c r="BM61" s="20">
        <f t="shared" si="87"/>
        <v>0.78632724924981756</v>
      </c>
      <c r="BN61" s="20">
        <f t="shared" si="88"/>
        <v>-0.24038222555548358</v>
      </c>
      <c r="BS61" t="b">
        <f t="shared" si="12"/>
        <v>1</v>
      </c>
      <c r="BU61" t="b">
        <f t="shared" si="13"/>
        <v>0</v>
      </c>
      <c r="BW61" t="b">
        <f t="shared" si="14"/>
        <v>1</v>
      </c>
    </row>
    <row r="62" spans="1:75" ht="12.6" customHeight="1">
      <c r="A62" s="90"/>
      <c r="B62" s="43">
        <f>'[11]Dados de entrada'!$B$28</f>
        <v>12</v>
      </c>
      <c r="C62" s="43">
        <f>'[11]Dados de entrada'!$B$31</f>
        <v>4</v>
      </c>
      <c r="D62" s="43">
        <f>'[11]Dados de entrada'!$B$32</f>
        <v>79.3</v>
      </c>
      <c r="E62" s="44">
        <f>'[11]Dados de entrada'!$B$27</f>
        <v>2.6933292113182881</v>
      </c>
      <c r="F62" s="43">
        <f>'[11]Dados de entrada'!$B$30</f>
        <v>32</v>
      </c>
      <c r="G62" s="43">
        <f>'[11]Dados de entrada'!$B$22</f>
        <v>38</v>
      </c>
      <c r="H62" s="45">
        <f>'[11]Dados de entrada'!$B$29/('[11]Dados de entrada'!$B$20*2*G62)</f>
        <v>1.6992481203007517E-2</v>
      </c>
      <c r="I62" s="26">
        <f>'[11]fib Model Code 2010'!$K$6</f>
        <v>257.51396249934959</v>
      </c>
      <c r="J62" s="19">
        <f>'[11]Dados de entrada'!$C$8</f>
        <v>0.31</v>
      </c>
      <c r="K62" s="23"/>
      <c r="L62" s="23"/>
      <c r="M62" s="23"/>
      <c r="N62" s="23"/>
      <c r="O62" s="23"/>
      <c r="P62" s="23"/>
      <c r="Q62" s="23"/>
      <c r="R62" s="23"/>
      <c r="S62" s="19"/>
      <c r="T62" s="23"/>
      <c r="U62" s="23"/>
      <c r="V62" s="23"/>
      <c r="W62" s="19"/>
      <c r="X62" s="19"/>
      <c r="Y62" s="19"/>
      <c r="Z62" s="19"/>
      <c r="AA62" s="19"/>
      <c r="AB62" s="19"/>
      <c r="AC62" s="19"/>
      <c r="AD62" s="20">
        <f>'[11]fib Model Code 2010'!$L$6</f>
        <v>0.19762799677372914</v>
      </c>
      <c r="AE62" s="20">
        <f t="shared" si="93"/>
        <v>0.63750966701202949</v>
      </c>
      <c r="AF62" s="20">
        <f t="shared" si="69"/>
        <v>-0.4501858381240888</v>
      </c>
      <c r="AG62" s="20">
        <f>'[11]fib Model Code 2020'!$L$6</f>
        <v>0.19519727005552842</v>
      </c>
      <c r="AH62" s="20">
        <f t="shared" si="94"/>
        <v>0.62966861308234978</v>
      </c>
      <c r="AI62" s="20">
        <f t="shared" si="70"/>
        <v>-0.46256160896926429</v>
      </c>
      <c r="AJ62" s="20">
        <f>'[11]Eurocode 2'!$L$6</f>
        <v>0.1999851153885325</v>
      </c>
      <c r="AK62" s="20">
        <f t="shared" si="95"/>
        <v>0.64511327544687902</v>
      </c>
      <c r="AL62" s="20">
        <f t="shared" si="71"/>
        <v>-0.43832935675802592</v>
      </c>
      <c r="AM62" s="20">
        <f>'[11]NBR 6118'!$Q$6</f>
        <v>0.23942233753464767</v>
      </c>
      <c r="AN62" s="20">
        <f>'[11]NBR 6118'!$R$6</f>
        <v>0.16672723321320823</v>
      </c>
      <c r="AO62" s="20">
        <f>'[11]NBR 6118'!$W$6</f>
        <v>0.5378297845587362</v>
      </c>
      <c r="AP62" s="20">
        <f t="shared" si="72"/>
        <v>-0.6202131544593863</v>
      </c>
      <c r="AQ62" s="20">
        <f>'[11]Clark (1956)'!$L$6</f>
        <v>0.14961227570129726</v>
      </c>
      <c r="AR62" s="20">
        <f t="shared" si="99"/>
        <v>0.48262024419773308</v>
      </c>
      <c r="AS62" s="20">
        <f t="shared" si="74"/>
        <v>-0.72852517847843901</v>
      </c>
      <c r="AT62" s="20">
        <f>'[11]Leonhardt (1977)'!$L$6</f>
        <v>0.25273508520685833</v>
      </c>
      <c r="AU62" s="20">
        <f t="shared" si="100"/>
        <v>0.81527446840922047</v>
      </c>
      <c r="AV62" s="20">
        <f t="shared" si="76"/>
        <v>-0.20423045138165921</v>
      </c>
      <c r="AW62" s="20">
        <f>'[11]Desayi; Ganesan (1985)'!$L$6</f>
        <v>0.20579089611276813</v>
      </c>
      <c r="AX62" s="20">
        <f t="shared" si="101"/>
        <v>0.66384160036376816</v>
      </c>
      <c r="AY62" s="20">
        <f t="shared" si="78"/>
        <v>-0.40971171163317954</v>
      </c>
      <c r="AZ62" s="20">
        <f>'[11]Oh; Kang (1987)'!$L$6</f>
        <v>0.1275928109647721</v>
      </c>
      <c r="BA62" s="20">
        <f t="shared" si="102"/>
        <v>0.41158971278958739</v>
      </c>
      <c r="BB62" s="20">
        <f t="shared" si="80"/>
        <v>-0.88772826855715514</v>
      </c>
      <c r="BC62" s="20">
        <f>'[11]Caldas (1997)'!$L$6</f>
        <v>0.20706471486930678</v>
      </c>
      <c r="BD62" s="20">
        <f t="shared" si="103"/>
        <v>0.667950693126796</v>
      </c>
      <c r="BE62" s="20">
        <f t="shared" si="82"/>
        <v>-0.40354092085421872</v>
      </c>
      <c r="BF62" s="20">
        <v>0.19935010413716509</v>
      </c>
      <c r="BG62" s="20">
        <f t="shared" si="83"/>
        <v>0.64306485205537123</v>
      </c>
      <c r="BH62" s="20">
        <f t="shared" si="84"/>
        <v>-0.44150970126839234</v>
      </c>
      <c r="BI62" s="20">
        <v>0.24490370790619276</v>
      </c>
      <c r="BJ62" s="20">
        <f t="shared" si="107"/>
        <v>0.79001196098771853</v>
      </c>
      <c r="BK62" s="20">
        <f t="shared" si="108"/>
        <v>-0.23570719314490299</v>
      </c>
      <c r="BL62" s="20">
        <v>0.2336326114772746</v>
      </c>
      <c r="BM62" s="20">
        <f t="shared" si="87"/>
        <v>0.75365358541056326</v>
      </c>
      <c r="BN62" s="20">
        <f t="shared" si="88"/>
        <v>-0.28282245234215203</v>
      </c>
      <c r="BS62" t="b">
        <f t="shared" si="12"/>
        <v>1</v>
      </c>
      <c r="BU62" t="b">
        <f t="shared" si="13"/>
        <v>0</v>
      </c>
      <c r="BW62" t="b">
        <f t="shared" si="14"/>
        <v>1</v>
      </c>
    </row>
    <row r="63" spans="1:75" ht="12.6" customHeight="1">
      <c r="A63" s="90"/>
      <c r="B63" s="43">
        <f>'[11]Dados de entrada'!$B$28</f>
        <v>12</v>
      </c>
      <c r="C63" s="43">
        <f>'[11]Dados de entrada'!$B$31</f>
        <v>4</v>
      </c>
      <c r="D63" s="43">
        <f>'[11]Dados de entrada'!$B$32</f>
        <v>79.3</v>
      </c>
      <c r="E63" s="44">
        <f>'[11]Dados de entrada'!$B$27</f>
        <v>2.6933292113182881</v>
      </c>
      <c r="F63" s="43">
        <f>'[11]Dados de entrada'!$B$30</f>
        <v>32</v>
      </c>
      <c r="G63" s="43">
        <f>'[11]Dados de entrada'!$B$22</f>
        <v>38</v>
      </c>
      <c r="H63" s="45">
        <f>'[11]Dados de entrada'!$B$29/('[11]Dados de entrada'!$B$20*2*G63)</f>
        <v>1.6992481203007517E-2</v>
      </c>
      <c r="I63" s="26">
        <f>'[11]fib Model Code 2010'!$K$7</f>
        <v>300.43295624924116</v>
      </c>
      <c r="J63" s="19">
        <f>'[11]Dados de entrada'!$C$9</f>
        <v>0.38</v>
      </c>
      <c r="K63" s="23"/>
      <c r="L63" s="23"/>
      <c r="M63" s="23"/>
      <c r="N63" s="23"/>
      <c r="O63" s="23"/>
      <c r="P63" s="23"/>
      <c r="Q63" s="23"/>
      <c r="R63" s="23"/>
      <c r="S63" s="19"/>
      <c r="T63" s="23"/>
      <c r="U63" s="23"/>
      <c r="V63" s="23"/>
      <c r="W63" s="19"/>
      <c r="X63" s="19"/>
      <c r="Y63" s="19"/>
      <c r="Z63" s="19"/>
      <c r="AA63" s="19"/>
      <c r="AB63" s="19"/>
      <c r="AC63" s="19"/>
      <c r="AD63" s="20">
        <f>'[11]fib Model Code 2010'!$L$7</f>
        <v>0.26398215376277612</v>
      </c>
      <c r="AE63" s="20">
        <f t="shared" si="93"/>
        <v>0.69468987832309503</v>
      </c>
      <c r="AF63" s="20">
        <f t="shared" si="69"/>
        <v>-0.36428975124248042</v>
      </c>
      <c r="AG63" s="20">
        <f>'[11]fib Model Code 2020'!$L$7</f>
        <v>0.26271820049061689</v>
      </c>
      <c r="AH63" s="20">
        <f t="shared" si="94"/>
        <v>0.69136368550162342</v>
      </c>
      <c r="AI63" s="20">
        <f t="shared" si="70"/>
        <v>-0.36908927601310537</v>
      </c>
      <c r="AJ63" s="20">
        <f>'[11]Eurocode 2'!$L$7</f>
        <v>0.23331596795328791</v>
      </c>
      <c r="AK63" s="20">
        <f t="shared" si="95"/>
        <v>0.61398938935075764</v>
      </c>
      <c r="AL63" s="20">
        <f t="shared" si="71"/>
        <v>-0.48777763217200715</v>
      </c>
      <c r="AM63" s="20">
        <f>'[11]NBR 6118'!$Q$7</f>
        <v>0.27932606045708902</v>
      </c>
      <c r="AN63" s="20">
        <f>'[11]NBR 6118'!$R$7</f>
        <v>0.22693428965131127</v>
      </c>
      <c r="AO63" s="20">
        <f>'[11]NBR 6118'!$W$7</f>
        <v>0.59719549908239811</v>
      </c>
      <c r="AP63" s="20">
        <f t="shared" si="72"/>
        <v>-0.5155107500461088</v>
      </c>
      <c r="AQ63" s="20">
        <f>'[11]Clark (1956)'!$L$7</f>
        <v>0.19901621546256626</v>
      </c>
      <c r="AR63" s="20">
        <f t="shared" si="99"/>
        <v>0.52372688279622703</v>
      </c>
      <c r="AS63" s="20">
        <f t="shared" si="74"/>
        <v>-0.64678494657912589</v>
      </c>
      <c r="AT63" s="20">
        <f>'[11]Leonhardt (1977)'!$L$7</f>
        <v>0.34838263613442921</v>
      </c>
      <c r="AU63" s="20">
        <f t="shared" si="100"/>
        <v>0.91679641088007691</v>
      </c>
      <c r="AV63" s="20">
        <f t="shared" si="76"/>
        <v>-8.6869847863446967E-2</v>
      </c>
      <c r="AW63" s="20">
        <f>'[11]Desayi; Ganesan (1985)'!$L$7</f>
        <v>0.24008937879822945</v>
      </c>
      <c r="AX63" s="20">
        <f t="shared" si="101"/>
        <v>0.63181415473218272</v>
      </c>
      <c r="AY63" s="20">
        <f t="shared" si="78"/>
        <v>-0.45915998704716099</v>
      </c>
      <c r="AZ63" s="20">
        <f>'[11]Oh; Kang (1987)'!$L$7</f>
        <v>0.15276891917136376</v>
      </c>
      <c r="BA63" s="20">
        <f t="shared" si="102"/>
        <v>0.40202347150358886</v>
      </c>
      <c r="BB63" s="20">
        <f t="shared" si="80"/>
        <v>-0.91124480524271245</v>
      </c>
      <c r="BC63" s="20">
        <f>'[11]Caldas (1997)'!$L$7</f>
        <v>0.25002482779531143</v>
      </c>
      <c r="BD63" s="20">
        <f t="shared" si="103"/>
        <v>0.65796007314555638</v>
      </c>
      <c r="BE63" s="20">
        <f t="shared" si="82"/>
        <v>-0.41861102860796823</v>
      </c>
      <c r="BF63" s="20">
        <v>0.23257512149335927</v>
      </c>
      <c r="BG63" s="20">
        <f t="shared" si="83"/>
        <v>0.61203979340357706</v>
      </c>
      <c r="BH63" s="20">
        <f t="shared" si="84"/>
        <v>-0.49095797668237345</v>
      </c>
      <c r="BI63" s="20">
        <v>0.34403441271139223</v>
      </c>
      <c r="BJ63" s="20">
        <f t="shared" si="107"/>
        <v>0.90535371766155848</v>
      </c>
      <c r="BK63" s="20">
        <f t="shared" si="108"/>
        <v>-9.9429563398673704E-2</v>
      </c>
      <c r="BL63" s="20">
        <v>0.31027905774682607</v>
      </c>
      <c r="BM63" s="20">
        <f t="shared" si="87"/>
        <v>0.81652383617585811</v>
      </c>
      <c r="BN63" s="20">
        <f t="shared" si="88"/>
        <v>-0.20269917388583794</v>
      </c>
      <c r="BS63" t="b">
        <f t="shared" si="12"/>
        <v>1</v>
      </c>
      <c r="BU63" t="b">
        <f t="shared" si="13"/>
        <v>0</v>
      </c>
      <c r="BW63" t="b">
        <f t="shared" si="14"/>
        <v>1</v>
      </c>
    </row>
    <row r="64" spans="1:75">
      <c r="A64" s="90"/>
      <c r="B64" s="43">
        <f>'[11]Dados de entrada'!$B$28</f>
        <v>12</v>
      </c>
      <c r="C64" s="43">
        <f>'[11]Dados de entrada'!$B$31</f>
        <v>4</v>
      </c>
      <c r="D64" s="43">
        <f>'[11]Dados de entrada'!$B$32</f>
        <v>79.3</v>
      </c>
      <c r="E64" s="44">
        <f>'[11]Dados de entrada'!$B$27</f>
        <v>2.6933292113182881</v>
      </c>
      <c r="F64" s="43">
        <f>'[11]Dados de entrada'!$B$30</f>
        <v>32</v>
      </c>
      <c r="G64" s="43">
        <f>'[11]Dados de entrada'!$B$22</f>
        <v>38</v>
      </c>
      <c r="H64" s="45">
        <f>'[11]Dados de entrada'!$B$29/('[11]Dados de entrada'!$B$20*2*G64)</f>
        <v>1.6992481203007517E-2</v>
      </c>
      <c r="I64" s="26">
        <f>'[11]fib Model Code 2010'!$K$8</f>
        <v>386.27094374902435</v>
      </c>
      <c r="J64" s="19">
        <f>'[11]Dados de entrada'!$C$10</f>
        <v>0.52</v>
      </c>
      <c r="K64" s="23"/>
      <c r="L64" s="23"/>
      <c r="M64" s="23"/>
      <c r="N64" s="23"/>
      <c r="O64" s="23"/>
      <c r="P64" s="23"/>
      <c r="Q64" s="23"/>
      <c r="R64" s="23"/>
      <c r="S64" s="19"/>
      <c r="T64" s="23"/>
      <c r="U64" s="23"/>
      <c r="V64" s="23"/>
      <c r="W64" s="19"/>
      <c r="X64" s="19"/>
      <c r="Y64" s="19"/>
      <c r="Z64" s="19"/>
      <c r="AA64" s="19"/>
      <c r="AB64" s="19"/>
      <c r="AC64" s="19"/>
      <c r="AD64" s="20">
        <f>'[11]fib Model Code 2010'!$L$8</f>
        <v>0.39669046774087013</v>
      </c>
      <c r="AE64" s="20">
        <f t="shared" si="93"/>
        <v>0.76286628411705792</v>
      </c>
      <c r="AF64" s="20">
        <f t="shared" si="69"/>
        <v>-0.27067251323002223</v>
      </c>
      <c r="AG64" s="20">
        <f>'[11]fib Model Code 2020'!$L$8</f>
        <v>0.39776006136079389</v>
      </c>
      <c r="AH64" s="20">
        <f t="shared" si="94"/>
        <v>0.76492319492460359</v>
      </c>
      <c r="AI64" s="20">
        <f t="shared" si="70"/>
        <v>-0.26797984898726507</v>
      </c>
      <c r="AJ64" s="20">
        <f>'[11]Eurocode 2'!$L$8</f>
        <v>0.3321075898906467</v>
      </c>
      <c r="AK64" s="20">
        <f t="shared" si="95"/>
        <v>0.63866844209739748</v>
      </c>
      <c r="AL64" s="20">
        <f t="shared" si="71"/>
        <v>-0.44836982922132546</v>
      </c>
      <c r="AM64" s="20">
        <f>'[11]NBR 6118'!$Q$8</f>
        <v>0.35913350630197144</v>
      </c>
      <c r="AN64" s="20">
        <f>'[11]NBR 6118'!$R$8</f>
        <v>0.37513627472971839</v>
      </c>
      <c r="AO64" s="20">
        <f>'[11]NBR 6118'!$W$8</f>
        <v>0.69064135827302198</v>
      </c>
      <c r="AP64" s="20">
        <f t="shared" si="72"/>
        <v>-0.37013460836935158</v>
      </c>
      <c r="AQ64" s="20">
        <f>'[11]Clark (1956)'!$L$8</f>
        <v>0.29782409498510426</v>
      </c>
      <c r="AR64" s="20">
        <f t="shared" si="99"/>
        <v>0.5727386442021235</v>
      </c>
      <c r="AS64" s="20">
        <f t="shared" si="74"/>
        <v>-0.55732578464190197</v>
      </c>
      <c r="AT64" s="20">
        <f>'[11]Leonhardt (1977)'!$L$8</f>
        <v>0.52320849591990093</v>
      </c>
      <c r="AU64" s="20">
        <f t="shared" si="100"/>
        <v>1.006170184461348</v>
      </c>
      <c r="AV64" s="20">
        <f t="shared" si="76"/>
        <v>6.1512268146904367E-3</v>
      </c>
      <c r="AW64" s="20">
        <f>'[11]Desayi; Ganesan (1985)'!$L$8</f>
        <v>0.30868634416915214</v>
      </c>
      <c r="AX64" s="20">
        <f t="shared" si="101"/>
        <v>0.59362758494067713</v>
      </c>
      <c r="AY64" s="20">
        <f t="shared" si="78"/>
        <v>-0.52150311762129653</v>
      </c>
      <c r="AZ64" s="20">
        <f>'[11]Oh; Kang (1987)'!$L$8</f>
        <v>0.20312113558454717</v>
      </c>
      <c r="BA64" s="20">
        <f t="shared" si="102"/>
        <v>0.39061756843182144</v>
      </c>
      <c r="BB64" s="20">
        <f t="shared" si="80"/>
        <v>-0.94002628348698225</v>
      </c>
      <c r="BC64" s="20">
        <f>'[11]Caldas (1997)'!$L$8</f>
        <v>0.33594505364732091</v>
      </c>
      <c r="BD64" s="20">
        <f t="shared" si="103"/>
        <v>0.64604818009100173</v>
      </c>
      <c r="BE64" s="20">
        <f t="shared" si="82"/>
        <v>-0.43688119579643481</v>
      </c>
      <c r="BF64" s="20">
        <v>0.2990251562057476</v>
      </c>
      <c r="BG64" s="20">
        <f t="shared" si="83"/>
        <v>0.57504837731874536</v>
      </c>
      <c r="BH64" s="20">
        <f t="shared" si="84"/>
        <v>-0.55330110725650916</v>
      </c>
      <c r="BI64" s="20">
        <v>0.5422958223217913</v>
      </c>
      <c r="BJ64" s="20">
        <f t="shared" si="107"/>
        <v>1.0428765813880601</v>
      </c>
      <c r="BK64" s="20">
        <f t="shared" si="108"/>
        <v>4.1982838612496201E-2</v>
      </c>
      <c r="BL64" s="20">
        <v>0.46590305794093373</v>
      </c>
      <c r="BM64" s="20">
        <f t="shared" si="87"/>
        <v>0.89596741911718025</v>
      </c>
      <c r="BN64" s="20">
        <f t="shared" si="88"/>
        <v>-0.10985122926077442</v>
      </c>
      <c r="BS64" t="b">
        <f t="shared" si="12"/>
        <v>1</v>
      </c>
      <c r="BU64" t="b">
        <f t="shared" si="13"/>
        <v>0</v>
      </c>
      <c r="BW64" t="b">
        <f t="shared" si="14"/>
        <v>1</v>
      </c>
    </row>
    <row r="65" spans="1:75">
      <c r="A65" s="86"/>
      <c r="B65" s="43">
        <f>'[11]Dados de entrada'!$B$28</f>
        <v>12</v>
      </c>
      <c r="C65" s="43">
        <f>'[11]Dados de entrada'!$B$31</f>
        <v>4</v>
      </c>
      <c r="D65" s="43">
        <f>'[11]Dados de entrada'!$B$32</f>
        <v>79.3</v>
      </c>
      <c r="E65" s="44">
        <f>'[11]Dados de entrada'!$B$27</f>
        <v>2.6933292113182881</v>
      </c>
      <c r="F65" s="43">
        <f>'[11]Dados de entrada'!$B$30</f>
        <v>32</v>
      </c>
      <c r="G65" s="43">
        <f>'[11]Dados de entrada'!$B$22</f>
        <v>38</v>
      </c>
      <c r="H65" s="45">
        <f>'[11]Dados de entrada'!$B$29/('[11]Dados de entrada'!$B$20*2*G65)</f>
        <v>1.6992481203007517E-2</v>
      </c>
      <c r="I65" s="26">
        <f>'[11]fib Model Code 2010'!$K$9</f>
        <v>500</v>
      </c>
      <c r="J65" s="19">
        <f>'[11]Dados de entrada'!$C$11</f>
        <v>0.74</v>
      </c>
      <c r="K65" s="23"/>
      <c r="L65" s="23"/>
      <c r="M65" s="23"/>
      <c r="N65" s="23"/>
      <c r="O65" s="23"/>
      <c r="P65" s="23"/>
      <c r="Q65" s="23"/>
      <c r="R65" s="23"/>
      <c r="S65" s="19"/>
      <c r="T65" s="23"/>
      <c r="U65" s="23"/>
      <c r="V65" s="23"/>
      <c r="W65" s="19"/>
      <c r="X65" s="19"/>
      <c r="Y65" s="19"/>
      <c r="Z65" s="19"/>
      <c r="AA65" s="19"/>
      <c r="AB65" s="19"/>
      <c r="AC65" s="19"/>
      <c r="AD65" s="20">
        <f>'[11]fib Model Code 2010'!$L$9</f>
        <v>0.57251927902823763</v>
      </c>
      <c r="AE65" s="20">
        <f t="shared" si="93"/>
        <v>0.77367470138951033</v>
      </c>
      <c r="AF65" s="20">
        <f t="shared" si="69"/>
        <v>-0.25660377617832242</v>
      </c>
      <c r="AG65" s="20">
        <f>'[11]fib Model Code 2020'!$L$9</f>
        <v>0.57668065163185067</v>
      </c>
      <c r="AH65" s="20">
        <f t="shared" si="94"/>
        <v>0.77929817788087929</v>
      </c>
      <c r="AI65" s="20">
        <f t="shared" si="70"/>
        <v>-0.24936153628384841</v>
      </c>
      <c r="AJ65" s="20">
        <f>'[11]Eurocode 2'!$L$9</f>
        <v>0.47931073062285534</v>
      </c>
      <c r="AK65" s="20">
        <f t="shared" si="95"/>
        <v>0.6477172035443991</v>
      </c>
      <c r="AL65" s="20">
        <f t="shared" si="71"/>
        <v>-0.43430109216962559</v>
      </c>
      <c r="AM65" s="20">
        <f>'[11]NBR 6118'!$Q$9</f>
        <v>0.45193571713743219</v>
      </c>
      <c r="AN65" s="20">
        <f>'[11]NBR 6118'!$R$9</f>
        <v>0.59406031512087509</v>
      </c>
      <c r="AO65" s="20">
        <f>'[11]NBR 6118'!$W$9</f>
        <v>0.61072394207761105</v>
      </c>
      <c r="AP65" s="20">
        <f t="shared" si="72"/>
        <v>-0.4931102352025209</v>
      </c>
      <c r="AQ65" s="20">
        <f>'[11]Clark (1956)'!$L$9</f>
        <v>0.42873730970005475</v>
      </c>
      <c r="AR65" s="20">
        <f t="shared" si="99"/>
        <v>0.57937474283791179</v>
      </c>
      <c r="AS65" s="20">
        <f t="shared" si="74"/>
        <v>-0.54580578652332534</v>
      </c>
      <c r="AT65" s="20">
        <f>'[11]Leonhardt (1977)'!$L$9</f>
        <v>0.73742133167676249</v>
      </c>
      <c r="AU65" s="20">
        <f t="shared" si="100"/>
        <v>0.99651531307670604</v>
      </c>
      <c r="AV65" s="20">
        <f t="shared" si="76"/>
        <v>-3.4907725866380785E-3</v>
      </c>
      <c r="AW65" s="20">
        <f>'[11]Desayi; Ganesan (1985)'!$L$9</f>
        <v>0.39957230690605344</v>
      </c>
      <c r="AX65" s="20">
        <f t="shared" si="101"/>
        <v>0.53996257690007221</v>
      </c>
      <c r="AY65" s="20">
        <f t="shared" si="78"/>
        <v>-0.61625544386221742</v>
      </c>
      <c r="AZ65" s="20">
        <f>'[11]Oh; Kang (1987)'!$L$9</f>
        <v>0.26983414015994794</v>
      </c>
      <c r="BA65" s="20">
        <f t="shared" si="102"/>
        <v>0.3646407299458756</v>
      </c>
      <c r="BB65" s="20">
        <f t="shared" si="80"/>
        <v>-1.0088427116606489</v>
      </c>
      <c r="BC65" s="20">
        <f>'[11]Caldas (1997)'!$L$9</f>
        <v>0.44978306970104531</v>
      </c>
      <c r="BD65" s="20">
        <f t="shared" si="103"/>
        <v>0.60781495905546667</v>
      </c>
      <c r="BE65" s="20">
        <f t="shared" si="82"/>
        <v>-0.49788478699667205</v>
      </c>
      <c r="BF65" s="20">
        <v>0.38706659282148359</v>
      </c>
      <c r="BG65" s="20">
        <f t="shared" si="83"/>
        <v>0.52306296327227508</v>
      </c>
      <c r="BH65" s="20">
        <f t="shared" si="84"/>
        <v>-0.64805343349743005</v>
      </c>
      <c r="BI65" s="20">
        <v>0.78660896418685322</v>
      </c>
      <c r="BJ65" s="20">
        <f t="shared" si="107"/>
        <v>1.0629850867389909</v>
      </c>
      <c r="BK65" s="20">
        <f t="shared" si="108"/>
        <v>6.1081069853110834E-2</v>
      </c>
      <c r="BL65" s="20">
        <v>0.67688057522388723</v>
      </c>
      <c r="BM65" s="20">
        <f t="shared" si="87"/>
        <v>0.91470348003228008</v>
      </c>
      <c r="BN65" s="20">
        <f t="shared" si="88"/>
        <v>-8.9155331765691112E-2</v>
      </c>
      <c r="BS65" t="b">
        <f t="shared" si="12"/>
        <v>1</v>
      </c>
      <c r="BU65" t="b">
        <f t="shared" si="13"/>
        <v>0</v>
      </c>
      <c r="BW65" t="b">
        <f t="shared" si="14"/>
        <v>1</v>
      </c>
    </row>
    <row r="66" spans="1:75" ht="12.6" customHeight="1">
      <c r="A66" s="87" t="s">
        <v>28</v>
      </c>
      <c r="B66" s="37">
        <f>'[12]Dados de entrada'!$B$28</f>
        <v>12</v>
      </c>
      <c r="C66" s="37">
        <f>'[12]Dados de entrada'!$B$31</f>
        <v>4</v>
      </c>
      <c r="D66" s="37">
        <f>'[12]Dados de entrada'!$B$32</f>
        <v>79.3</v>
      </c>
      <c r="E66" s="41">
        <f>'[12]Dados de entrada'!$B$27</f>
        <v>2.6933292113182881</v>
      </c>
      <c r="F66" s="37">
        <f>'[12]Dados de entrada'!$B$30</f>
        <v>32</v>
      </c>
      <c r="G66" s="37">
        <f>'[12]Dados de entrada'!$B$22</f>
        <v>38</v>
      </c>
      <c r="H66" s="42">
        <f>'[12]Dados de entrada'!$B$29/('[12]Dados de entrada'!$B$20*2*G66)</f>
        <v>1.6992481203007517E-2</v>
      </c>
      <c r="I66" s="25">
        <f>'[12]fib Model Code 2010'!$K$5</f>
        <v>214.59496874945796</v>
      </c>
      <c r="J66" s="4">
        <f>'[12]Dados de entrada'!$C$7</f>
        <v>0.17</v>
      </c>
      <c r="K66" s="22"/>
      <c r="L66" s="22"/>
      <c r="M66" s="22"/>
      <c r="N66" s="22"/>
      <c r="O66" s="22"/>
      <c r="P66" s="22"/>
      <c r="Q66" s="22"/>
      <c r="R66" s="22"/>
      <c r="S66" s="4"/>
      <c r="T66" s="22"/>
      <c r="U66" s="22"/>
      <c r="V66" s="22"/>
      <c r="W66" s="4"/>
      <c r="X66" s="4"/>
      <c r="Y66" s="4"/>
      <c r="Z66" s="4"/>
      <c r="AA66" s="4"/>
      <c r="AB66" s="4"/>
      <c r="AC66" s="4"/>
      <c r="AD66" s="11">
        <f>'[12]fib Model Code 2010'!$L$5</f>
        <v>0.13127383978468207</v>
      </c>
      <c r="AE66" s="11">
        <f t="shared" si="93"/>
        <v>0.77219905755695328</v>
      </c>
      <c r="AF66" s="11">
        <f t="shared" si="69"/>
        <v>-0.25851291561771178</v>
      </c>
      <c r="AG66" s="11">
        <f>'[12]fib Model Code 2020'!$L$5</f>
        <v>0.13504186087017703</v>
      </c>
      <c r="AH66" s="11">
        <f t="shared" si="94"/>
        <v>0.79436388747162956</v>
      </c>
      <c r="AI66" s="11">
        <f t="shared" si="70"/>
        <v>-0.23021362615703111</v>
      </c>
      <c r="AJ66" s="11">
        <f>'[12]Eurocode 2'!$L$5</f>
        <v>0.16665426282377707</v>
      </c>
      <c r="AK66" s="11">
        <f t="shared" si="95"/>
        <v>0.98031919308104154</v>
      </c>
      <c r="AL66" s="11">
        <f t="shared" si="71"/>
        <v>-1.9877053123050485E-2</v>
      </c>
      <c r="AM66" s="11">
        <f>'[12]NBR 6118'!$Q$5</f>
        <v>0.19951861461220641</v>
      </c>
      <c r="AN66" s="11">
        <f>'[12]NBR 6118'!$R$5</f>
        <v>0.11578280084250574</v>
      </c>
      <c r="AO66" s="11">
        <f>'[12]NBR 6118'!$W$5</f>
        <v>0.68107529907356312</v>
      </c>
      <c r="AP66" s="11">
        <f t="shared" si="72"/>
        <v>-0.38408240761836515</v>
      </c>
      <c r="AQ66" s="11">
        <f>'[12]Clark (1956)'!$L$5</f>
        <v>0.1002083359400282</v>
      </c>
      <c r="AR66" s="11">
        <f t="shared" si="99"/>
        <v>0.58946079964722464</v>
      </c>
      <c r="AS66" s="11">
        <f t="shared" si="74"/>
        <v>-0.52854705884559083</v>
      </c>
      <c r="AT66" s="11">
        <f>'[12]Leonhardt (1977)'!$L$5</f>
        <v>0.14720598903748519</v>
      </c>
      <c r="AU66" s="11">
        <f t="shared" si="100"/>
        <v>0.8659175825734422</v>
      </c>
      <c r="AV66" s="11">
        <f t="shared" si="76"/>
        <v>-0.14396554518719579</v>
      </c>
      <c r="AW66" s="11">
        <f>'[12]Desayi; Ganesan (1985)'!$L$5</f>
        <v>0.17149241342730673</v>
      </c>
      <c r="AX66" s="11">
        <f t="shared" si="101"/>
        <v>1.0087789025135689</v>
      </c>
      <c r="AY66" s="11">
        <f t="shared" si="78"/>
        <v>8.740592001795661E-3</v>
      </c>
      <c r="AZ66" s="11">
        <f>'[12]Oh; Kang (1987)'!$L$5</f>
        <v>0.10241670275818041</v>
      </c>
      <c r="BA66" s="11">
        <f t="shared" si="102"/>
        <v>0.60245119269517877</v>
      </c>
      <c r="BB66" s="11">
        <f t="shared" si="80"/>
        <v>-0.50674862487345718</v>
      </c>
      <c r="BC66" s="11">
        <f>'[12]Caldas (1997)'!$L$5</f>
        <v>0.16410460194330204</v>
      </c>
      <c r="BD66" s="11">
        <f t="shared" si="103"/>
        <v>0.96532118790177657</v>
      </c>
      <c r="BE66" s="11">
        <f t="shared" si="82"/>
        <v>-3.5294395817252168E-2</v>
      </c>
      <c r="BF66" s="11" cm="1">
        <f t="array" ref="BF66:BF69">'[12]Gergely e Lutz (1968)'!$L$5:$L$8</f>
        <v>0.1661250867809709</v>
      </c>
      <c r="BG66" s="11">
        <f t="shared" si="83"/>
        <v>0.97720639282924049</v>
      </c>
      <c r="BH66" s="11">
        <f t="shared" si="84"/>
        <v>-2.3057397633416899E-2</v>
      </c>
      <c r="BI66" s="11" cm="1">
        <f t="array" ref="BI66:BI69">[12]Sugestão!$M$5:$M$8</f>
        <v>0.15250358684376383</v>
      </c>
      <c r="BJ66" s="11">
        <f t="shared" ref="BJ66:BJ69" si="109">BI66/J66</f>
        <v>0.89707992261037539</v>
      </c>
      <c r="BK66" s="11">
        <f t="shared" ref="BK66:BK69" si="110">LN(BJ66)</f>
        <v>-0.10861032099241721</v>
      </c>
      <c r="BL66" s="11" cm="1">
        <f t="array" ref="BL66:BL69">'[12]fib Model Code 2020 modificado'!$L$5:$L$8</f>
        <v>0.16512872234246168</v>
      </c>
      <c r="BM66" s="11">
        <f t="shared" si="87"/>
        <v>0.97134542554389214</v>
      </c>
      <c r="BN66" s="11">
        <f t="shared" si="88"/>
        <v>-2.9073131888276812E-2</v>
      </c>
      <c r="BS66" t="b">
        <f t="shared" si="12"/>
        <v>1</v>
      </c>
      <c r="BU66" t="b">
        <f t="shared" si="13"/>
        <v>0</v>
      </c>
      <c r="BW66" t="b">
        <f t="shared" si="14"/>
        <v>1</v>
      </c>
    </row>
    <row r="67" spans="1:75">
      <c r="A67" s="88"/>
      <c r="B67" s="37">
        <f>'[12]Dados de entrada'!$B$28</f>
        <v>12</v>
      </c>
      <c r="C67" s="37">
        <f>'[12]Dados de entrada'!$B$31</f>
        <v>4</v>
      </c>
      <c r="D67" s="37">
        <f>'[12]Dados de entrada'!$B$32</f>
        <v>79.3</v>
      </c>
      <c r="E67" s="41">
        <f>'[12]Dados de entrada'!$B$27</f>
        <v>2.6933292113182881</v>
      </c>
      <c r="F67" s="37">
        <f>'[12]Dados de entrada'!$B$30</f>
        <v>32</v>
      </c>
      <c r="G67" s="37">
        <f>'[12]Dados de entrada'!$B$22</f>
        <v>38</v>
      </c>
      <c r="H67" s="42">
        <f>'[12]Dados de entrada'!$B$29/('[12]Dados de entrada'!$B$20*2*G67)</f>
        <v>1.6992481203007517E-2</v>
      </c>
      <c r="I67" s="25">
        <f>'[12]fib Model Code 2010'!$K$6</f>
        <v>300.43295624924116</v>
      </c>
      <c r="J67" s="4">
        <f>'[12]Dados de entrada'!$C$8</f>
        <v>0.36</v>
      </c>
      <c r="K67" s="22"/>
      <c r="L67" s="22"/>
      <c r="M67" s="22"/>
      <c r="N67" s="22"/>
      <c r="O67" s="22"/>
      <c r="P67" s="22"/>
      <c r="Q67" s="22"/>
      <c r="R67" s="22"/>
      <c r="S67" s="4"/>
      <c r="T67" s="22"/>
      <c r="U67" s="22"/>
      <c r="V67" s="22"/>
      <c r="W67" s="4"/>
      <c r="X67" s="4"/>
      <c r="Y67" s="4"/>
      <c r="Z67" s="4"/>
      <c r="AA67" s="4"/>
      <c r="AB67" s="4"/>
      <c r="AC67" s="4"/>
      <c r="AD67" s="11">
        <f>'[12]fib Model Code 2010'!$L$6</f>
        <v>0.26398215376277612</v>
      </c>
      <c r="AE67" s="11">
        <f t="shared" si="93"/>
        <v>0.73328376045215593</v>
      </c>
      <c r="AF67" s="11">
        <f t="shared" si="69"/>
        <v>-0.31022252997220456</v>
      </c>
      <c r="AG67" s="11">
        <f>'[12]fib Model Code 2020'!$L$6</f>
        <v>0.26271820049061689</v>
      </c>
      <c r="AH67" s="11">
        <f t="shared" si="94"/>
        <v>0.72977277914060246</v>
      </c>
      <c r="AI67" s="11">
        <f t="shared" si="70"/>
        <v>-0.31502205474282968</v>
      </c>
      <c r="AJ67" s="11">
        <f>'[12]Eurocode 2'!$L$6</f>
        <v>0.23331596795328791</v>
      </c>
      <c r="AK67" s="11">
        <f t="shared" si="95"/>
        <v>0.64809991098135533</v>
      </c>
      <c r="AL67" s="11">
        <f t="shared" si="71"/>
        <v>-0.43371041090173135</v>
      </c>
      <c r="AM67" s="11">
        <f>'[12]NBR 6118'!$Q$6</f>
        <v>0.27932606045708902</v>
      </c>
      <c r="AN67" s="11">
        <f>'[12]NBR 6118'!$R$6</f>
        <v>0.22693428965131127</v>
      </c>
      <c r="AO67" s="11">
        <f>'[12]NBR 6118'!$W$6</f>
        <v>0.63037302680919793</v>
      </c>
      <c r="AP67" s="11">
        <f t="shared" si="72"/>
        <v>-0.46144352877583311</v>
      </c>
      <c r="AQ67" s="11">
        <f>'[12]Clark (1956)'!$L$6</f>
        <v>0.19901621546256626</v>
      </c>
      <c r="AR67" s="11">
        <f t="shared" si="99"/>
        <v>0.55282282072935074</v>
      </c>
      <c r="AS67" s="11">
        <f t="shared" si="74"/>
        <v>-0.59271772530885025</v>
      </c>
      <c r="AT67" s="11">
        <f>'[12]Leonhardt (1977)'!$L$6</f>
        <v>0.34838263613442921</v>
      </c>
      <c r="AU67" s="11">
        <f t="shared" si="100"/>
        <v>0.967729544817859</v>
      </c>
      <c r="AV67" s="11">
        <f t="shared" si="76"/>
        <v>-3.2802626593171152E-2</v>
      </c>
      <c r="AW67" s="11">
        <f>'[12]Desayi; Ganesan (1985)'!$L$6</f>
        <v>0.24008937879822945</v>
      </c>
      <c r="AX67" s="11">
        <f t="shared" si="101"/>
        <v>0.66691494110619298</v>
      </c>
      <c r="AY67" s="11">
        <f t="shared" si="78"/>
        <v>-0.40509276577688508</v>
      </c>
      <c r="AZ67" s="11">
        <f>'[12]Oh; Kang (1987)'!$L$6</f>
        <v>0.15276891917136376</v>
      </c>
      <c r="BA67" s="11">
        <f t="shared" si="102"/>
        <v>0.42435810880934377</v>
      </c>
      <c r="BB67" s="11">
        <f t="shared" si="80"/>
        <v>-0.85717758397243671</v>
      </c>
      <c r="BC67" s="11">
        <f>'[12]Caldas (1997)'!$L$6</f>
        <v>0.25002482779531143</v>
      </c>
      <c r="BD67" s="11">
        <f t="shared" si="103"/>
        <v>0.69451341054253179</v>
      </c>
      <c r="BE67" s="11">
        <f t="shared" si="82"/>
        <v>-0.36454380733769237</v>
      </c>
      <c r="BF67" s="11">
        <v>0.23257512149335927</v>
      </c>
      <c r="BG67" s="11">
        <f t="shared" si="83"/>
        <v>0.64604200414822022</v>
      </c>
      <c r="BH67" s="11">
        <f t="shared" si="84"/>
        <v>-0.43689075541209771</v>
      </c>
      <c r="BI67" s="11">
        <v>0.34403441271139223</v>
      </c>
      <c r="BJ67" s="11">
        <f t="shared" si="109"/>
        <v>0.95565114642053406</v>
      </c>
      <c r="BK67" s="11">
        <f t="shared" si="110"/>
        <v>-4.536234212839782E-2</v>
      </c>
      <c r="BL67" s="11">
        <v>0.31027905774682607</v>
      </c>
      <c r="BM67" s="11">
        <f t="shared" si="87"/>
        <v>0.86188627151896136</v>
      </c>
      <c r="BN67" s="11">
        <f t="shared" si="88"/>
        <v>-0.14863195261556214</v>
      </c>
      <c r="BS67" t="b">
        <f t="shared" si="12"/>
        <v>1</v>
      </c>
      <c r="BU67" t="b">
        <f t="shared" si="13"/>
        <v>0</v>
      </c>
      <c r="BW67" t="b">
        <f t="shared" si="14"/>
        <v>1</v>
      </c>
    </row>
    <row r="68" spans="1:75">
      <c r="A68" s="88"/>
      <c r="B68" s="37">
        <f>'[12]Dados de entrada'!$B$28</f>
        <v>12</v>
      </c>
      <c r="C68" s="37">
        <f>'[12]Dados de entrada'!$B$31</f>
        <v>4</v>
      </c>
      <c r="D68" s="37">
        <f>'[12]Dados de entrada'!$B$32</f>
        <v>79.3</v>
      </c>
      <c r="E68" s="41">
        <f>'[12]Dados de entrada'!$B$27</f>
        <v>2.6933292113182881</v>
      </c>
      <c r="F68" s="37">
        <f>'[12]Dados de entrada'!$B$30</f>
        <v>32</v>
      </c>
      <c r="G68" s="37">
        <f>'[12]Dados de entrada'!$B$22</f>
        <v>38</v>
      </c>
      <c r="H68" s="42">
        <f>'[12]Dados de entrada'!$B$29/('[12]Dados de entrada'!$B$20*2*G68)</f>
        <v>1.6992481203007517E-2</v>
      </c>
      <c r="I68" s="25">
        <f>'[12]fib Model Code 2010'!$K$7</f>
        <v>386.27094374902435</v>
      </c>
      <c r="J68" s="4">
        <f>'[12]Dados de entrada'!$C$9</f>
        <v>0.56000000000000005</v>
      </c>
      <c r="K68" s="22"/>
      <c r="L68" s="22"/>
      <c r="M68" s="22"/>
      <c r="N68" s="22"/>
      <c r="O68" s="22"/>
      <c r="P68" s="22"/>
      <c r="Q68" s="22"/>
      <c r="R68" s="22"/>
      <c r="S68" s="4"/>
      <c r="T68" s="22"/>
      <c r="U68" s="22"/>
      <c r="V68" s="22"/>
      <c r="W68" s="4"/>
      <c r="X68" s="4"/>
      <c r="Y68" s="4"/>
      <c r="Z68" s="4"/>
      <c r="AA68" s="4"/>
      <c r="AB68" s="4"/>
      <c r="AC68" s="4"/>
      <c r="AD68" s="11">
        <f>'[12]fib Model Code 2010'!$L$7</f>
        <v>0.39669046774087013</v>
      </c>
      <c r="AE68" s="11">
        <f t="shared" si="93"/>
        <v>0.70837583525155379</v>
      </c>
      <c r="AF68" s="11">
        <f t="shared" si="69"/>
        <v>-0.34478048538374406</v>
      </c>
      <c r="AG68" s="11">
        <f>'[12]fib Model Code 2020'!$L$7</f>
        <v>0.39776006136079389</v>
      </c>
      <c r="AH68" s="11">
        <f t="shared" si="94"/>
        <v>0.71028582385856043</v>
      </c>
      <c r="AI68" s="11">
        <f t="shared" si="70"/>
        <v>-0.34208782114098701</v>
      </c>
      <c r="AJ68" s="11">
        <f>'[12]Eurocode 2'!$L$7</f>
        <v>0.3321075898906467</v>
      </c>
      <c r="AK68" s="11">
        <f t="shared" si="95"/>
        <v>0.59304926766186905</v>
      </c>
      <c r="AL68" s="11">
        <f t="shared" si="71"/>
        <v>-0.5224778013750474</v>
      </c>
      <c r="AM68" s="11">
        <f>'[12]NBR 6118'!$Q$7</f>
        <v>0.35913350630197144</v>
      </c>
      <c r="AN68" s="11">
        <f>'[12]NBR 6118'!$R$7</f>
        <v>0.37513627472971839</v>
      </c>
      <c r="AO68" s="11">
        <f>'[12]NBR 6118'!$W$7</f>
        <v>0.64130983268209174</v>
      </c>
      <c r="AP68" s="11">
        <f t="shared" si="72"/>
        <v>-0.44424258052307358</v>
      </c>
      <c r="AQ68" s="11">
        <f>'[12]Clark (1956)'!$L$7</f>
        <v>0.29782409498510426</v>
      </c>
      <c r="AR68" s="11">
        <f t="shared" si="99"/>
        <v>0.53182874104482902</v>
      </c>
      <c r="AS68" s="11">
        <f t="shared" si="74"/>
        <v>-0.63143375679562364</v>
      </c>
      <c r="AT68" s="11">
        <f>'[12]Leonhardt (1977)'!$L$7</f>
        <v>0.52320849591990093</v>
      </c>
      <c r="AU68" s="11">
        <f t="shared" si="100"/>
        <v>0.93430088557125157</v>
      </c>
      <c r="AV68" s="11">
        <f t="shared" si="76"/>
        <v>-6.795674533903158E-2</v>
      </c>
      <c r="AW68" s="11">
        <f>'[12]Desayi; Ganesan (1985)'!$L$7</f>
        <v>0.30868634416915214</v>
      </c>
      <c r="AX68" s="11">
        <f t="shared" si="101"/>
        <v>0.55122561458777164</v>
      </c>
      <c r="AY68" s="11">
        <f t="shared" si="78"/>
        <v>-0.59561108977501842</v>
      </c>
      <c r="AZ68" s="11">
        <f>'[12]Oh; Kang (1987)'!$L$7</f>
        <v>0.20312113558454717</v>
      </c>
      <c r="BA68" s="11">
        <f t="shared" si="102"/>
        <v>0.36271631354383421</v>
      </c>
      <c r="BB68" s="11">
        <f t="shared" si="80"/>
        <v>-1.014134255640704</v>
      </c>
      <c r="BC68" s="11">
        <f>'[12]Caldas (1997)'!$L$7</f>
        <v>0.33594505364732091</v>
      </c>
      <c r="BD68" s="11">
        <f t="shared" si="103"/>
        <v>0.599901881513073</v>
      </c>
      <c r="BE68" s="11">
        <f t="shared" si="82"/>
        <v>-0.51098916795015681</v>
      </c>
      <c r="BF68" s="11">
        <v>0.2990251562057476</v>
      </c>
      <c r="BG68" s="11">
        <f t="shared" si="83"/>
        <v>0.53397349322454923</v>
      </c>
      <c r="BH68" s="11">
        <f t="shared" si="84"/>
        <v>-0.62740907941023105</v>
      </c>
      <c r="BI68" s="11">
        <v>0.5422958223217913</v>
      </c>
      <c r="BJ68" s="11">
        <f t="shared" si="109"/>
        <v>0.9683853970031987</v>
      </c>
      <c r="BK68" s="11">
        <f t="shared" si="110"/>
        <v>-3.2125133541225592E-2</v>
      </c>
      <c r="BL68" s="11">
        <v>0.46590305794093373</v>
      </c>
      <c r="BM68" s="11">
        <f t="shared" si="87"/>
        <v>0.83196974632309584</v>
      </c>
      <c r="BN68" s="11">
        <f t="shared" si="88"/>
        <v>-0.18395920141449643</v>
      </c>
      <c r="BS68" t="b">
        <f t="shared" ref="BS68:BS131" si="111">IF(AND(B68&lt;=12.7,F68&lt;=45),TRUE,FALSE)</f>
        <v>1</v>
      </c>
      <c r="BU68" t="b">
        <f t="shared" ref="BU68:BU131" si="112">IF(AND(B68&gt;12.7,F68&lt;=45),TRUE,FALSE)</f>
        <v>0</v>
      </c>
      <c r="BW68" t="b">
        <f t="shared" ref="BW68:BW131" si="113">IF(AND(F68&lt;=45,C68&gt;1),TRUE,FALSE)</f>
        <v>1</v>
      </c>
    </row>
    <row r="69" spans="1:75">
      <c r="A69" s="89"/>
      <c r="B69" s="37">
        <f>'[12]Dados de entrada'!$B$28</f>
        <v>12</v>
      </c>
      <c r="C69" s="37">
        <f>'[12]Dados de entrada'!$B$31</f>
        <v>4</v>
      </c>
      <c r="D69" s="37">
        <f>'[12]Dados de entrada'!$B$32</f>
        <v>79.3</v>
      </c>
      <c r="E69" s="41">
        <f>'[12]Dados de entrada'!$B$27</f>
        <v>2.6933292113182881</v>
      </c>
      <c r="F69" s="37">
        <f>'[12]Dados de entrada'!$B$30</f>
        <v>32</v>
      </c>
      <c r="G69" s="37">
        <f>'[12]Dados de entrada'!$B$22</f>
        <v>38</v>
      </c>
      <c r="H69" s="42">
        <f>'[12]Dados de entrada'!$B$29/('[12]Dados de entrada'!$B$20*2*G69)</f>
        <v>1.6992481203007517E-2</v>
      </c>
      <c r="I69" s="25">
        <f>'[12]fib Model Code 2010'!$K$8</f>
        <v>500</v>
      </c>
      <c r="J69" s="4">
        <f>'[12]Dados de entrada'!$C$10</f>
        <v>0.78</v>
      </c>
      <c r="K69" s="22"/>
      <c r="L69" s="22"/>
      <c r="M69" s="22"/>
      <c r="N69" s="22"/>
      <c r="O69" s="22"/>
      <c r="P69" s="22"/>
      <c r="Q69" s="22"/>
      <c r="R69" s="22"/>
      <c r="S69" s="4"/>
      <c r="T69" s="22"/>
      <c r="U69" s="22"/>
      <c r="V69" s="22"/>
      <c r="W69" s="4"/>
      <c r="X69" s="4"/>
      <c r="Y69" s="4"/>
      <c r="Z69" s="4"/>
      <c r="AA69" s="4"/>
      <c r="AB69" s="4"/>
      <c r="AC69" s="4"/>
      <c r="AD69" s="11">
        <f>'[12]fib Model Code 2010'!$L$8</f>
        <v>0.57251927902823763</v>
      </c>
      <c r="AE69" s="11">
        <f t="shared" si="93"/>
        <v>0.73399907567722766</v>
      </c>
      <c r="AF69" s="11">
        <f t="shared" si="69"/>
        <v>-0.30924750966374454</v>
      </c>
      <c r="AG69" s="11">
        <f>'[12]fib Model Code 2020'!$L$8</f>
        <v>0.57668065163185067</v>
      </c>
      <c r="AH69" s="11">
        <f t="shared" si="94"/>
        <v>0.73933416875878288</v>
      </c>
      <c r="AI69" s="11">
        <f t="shared" si="70"/>
        <v>-0.30200526976927045</v>
      </c>
      <c r="AJ69" s="11">
        <f>'[12]Eurocode 2'!$L$8</f>
        <v>0.47931073062285534</v>
      </c>
      <c r="AK69" s="11">
        <f t="shared" si="95"/>
        <v>0.61450093669596839</v>
      </c>
      <c r="AL69" s="11">
        <f t="shared" si="71"/>
        <v>-0.4869448256550476</v>
      </c>
      <c r="AM69" s="11">
        <f>'[12]NBR 6118'!$Q$8</f>
        <v>0.45193571713743219</v>
      </c>
      <c r="AN69" s="11">
        <f>'[12]NBR 6118'!$R$8</f>
        <v>0.59406031512087509</v>
      </c>
      <c r="AO69" s="11">
        <f>'[12]NBR 6118'!$W$8</f>
        <v>0.57940476556081044</v>
      </c>
      <c r="AP69" s="11">
        <f t="shared" si="72"/>
        <v>-0.5457539686879429</v>
      </c>
      <c r="AQ69" s="11">
        <f>'[12]Clark (1956)'!$L$8</f>
        <v>0.42873730970005475</v>
      </c>
      <c r="AR69" s="11">
        <f t="shared" si="99"/>
        <v>0.54966321756417269</v>
      </c>
      <c r="AS69" s="11">
        <f t="shared" si="74"/>
        <v>-0.5984495200087474</v>
      </c>
      <c r="AT69" s="11">
        <f>'[12]Leonhardt (1977)'!$L$8</f>
        <v>0.73742133167676249</v>
      </c>
      <c r="AU69" s="11">
        <f t="shared" si="100"/>
        <v>0.94541196368815705</v>
      </c>
      <c r="AV69" s="11">
        <f t="shared" si="76"/>
        <v>-5.6134506072060025E-2</v>
      </c>
      <c r="AW69" s="11">
        <f>'[12]Desayi; Ganesan (1985)'!$L$8</f>
        <v>0.39957230690605344</v>
      </c>
      <c r="AX69" s="11">
        <f t="shared" si="101"/>
        <v>0.51227218834109411</v>
      </c>
      <c r="AY69" s="11">
        <f t="shared" si="78"/>
        <v>-0.66889917734763948</v>
      </c>
      <c r="AZ69" s="11">
        <f>'[12]Oh; Kang (1987)'!$L$8</f>
        <v>0.26983414015994794</v>
      </c>
      <c r="BA69" s="11">
        <f t="shared" si="102"/>
        <v>0.34594120533326661</v>
      </c>
      <c r="BB69" s="11">
        <f t="shared" si="80"/>
        <v>-1.0614864451460706</v>
      </c>
      <c r="BC69" s="11">
        <f>'[12]Caldas (1997)'!$L$8</f>
        <v>0.44978306970104531</v>
      </c>
      <c r="BD69" s="11">
        <f t="shared" si="103"/>
        <v>0.57664496115518626</v>
      </c>
      <c r="BE69" s="11">
        <f t="shared" si="82"/>
        <v>-0.55052852048209411</v>
      </c>
      <c r="BF69" s="11">
        <v>0.38706659282148359</v>
      </c>
      <c r="BG69" s="11">
        <f t="shared" si="83"/>
        <v>0.49623922156600458</v>
      </c>
      <c r="BH69" s="11">
        <f t="shared" si="84"/>
        <v>-0.700697166982852</v>
      </c>
      <c r="BI69" s="11">
        <v>0.78660896418685322</v>
      </c>
      <c r="BJ69" s="11">
        <f t="shared" si="109"/>
        <v>1.0084730310087862</v>
      </c>
      <c r="BK69" s="11">
        <f t="shared" si="110"/>
        <v>8.4373363676887268E-3</v>
      </c>
      <c r="BL69" s="11">
        <v>0.67688057522388723</v>
      </c>
      <c r="BM69" s="11">
        <f t="shared" si="87"/>
        <v>0.86779560926139387</v>
      </c>
      <c r="BN69" s="11">
        <f t="shared" si="88"/>
        <v>-0.14179906525111316</v>
      </c>
      <c r="BS69" t="b">
        <f t="shared" si="111"/>
        <v>1</v>
      </c>
      <c r="BU69" t="b">
        <f t="shared" si="112"/>
        <v>0</v>
      </c>
      <c r="BW69" t="b">
        <f t="shared" si="113"/>
        <v>1</v>
      </c>
    </row>
    <row r="70" spans="1:75">
      <c r="A70" s="85" t="s">
        <v>29</v>
      </c>
      <c r="B70" s="43">
        <f>'[13]Dados de entrada'!$B$28</f>
        <v>12</v>
      </c>
      <c r="C70" s="43">
        <f>'[13]Dados de entrada'!$B$31</f>
        <v>4</v>
      </c>
      <c r="D70" s="43">
        <f>'[13]Dados de entrada'!$B$32</f>
        <v>46</v>
      </c>
      <c r="E70" s="44">
        <f>'[13]Dados de entrada'!$B$27</f>
        <v>2.6933292113182881</v>
      </c>
      <c r="F70" s="43">
        <f>'[13]Dados de entrada'!$B$30</f>
        <v>82</v>
      </c>
      <c r="G70" s="43">
        <f>'[13]Dados de entrada'!$B$22</f>
        <v>88</v>
      </c>
      <c r="H70" s="45">
        <f>'[13]Dados de entrada'!$B$29/('[13]Dados de entrada'!$B$20*2*G70)</f>
        <v>7.3376623376623373E-3</v>
      </c>
      <c r="I70" s="26">
        <f>'[13]fib Model Code 2010'!$K$6</f>
        <v>245.19477048546645</v>
      </c>
      <c r="J70" s="19">
        <f>'[13]Dados de entrada'!$C$8</f>
        <v>0.31</v>
      </c>
      <c r="K70" s="23"/>
      <c r="L70" s="23"/>
      <c r="M70" s="23"/>
      <c r="N70" s="23"/>
      <c r="O70" s="23"/>
      <c r="P70" s="23"/>
      <c r="Q70" s="23"/>
      <c r="R70" s="23"/>
      <c r="S70" s="19"/>
      <c r="T70" s="23"/>
      <c r="U70" s="23"/>
      <c r="V70" s="23"/>
      <c r="W70" s="19"/>
      <c r="X70" s="19"/>
      <c r="Y70" s="19"/>
      <c r="Z70" s="19"/>
      <c r="AA70" s="19"/>
      <c r="AB70" s="19"/>
      <c r="AC70" s="19"/>
      <c r="AD70" s="20">
        <f>'[13]fib Model Code 2010'!$L$6</f>
        <v>0.18691065801267578</v>
      </c>
      <c r="AE70" s="20">
        <f t="shared" si="93"/>
        <v>0.6029376064925025</v>
      </c>
      <c r="AF70" s="20">
        <f t="shared" si="69"/>
        <v>-0.50594155942859187</v>
      </c>
      <c r="AG70" s="20">
        <f>'[13]fib Model Code 2020'!$L$6</f>
        <v>0.28097015142574805</v>
      </c>
      <c r="AH70" s="20">
        <f t="shared" si="94"/>
        <v>0.90635532717983247</v>
      </c>
      <c r="AI70" s="20">
        <f t="shared" si="70"/>
        <v>-9.8323856471645613E-2</v>
      </c>
      <c r="AJ70" s="20">
        <f>'[13]Eurocode 2'!$L$6</f>
        <v>0.35190889482744719</v>
      </c>
      <c r="AK70" s="20">
        <f t="shared" si="95"/>
        <v>1.1351899833143457</v>
      </c>
      <c r="AL70" s="20">
        <f t="shared" si="71"/>
        <v>0.12680002310590274</v>
      </c>
      <c r="AM70" s="20">
        <f>'[13]NBR 6118'!$Q$6</f>
        <v>0.42115359778442191</v>
      </c>
      <c r="AN70" s="20">
        <f>'[13]NBR 6118'!$R$6</f>
        <v>0.15160704695540023</v>
      </c>
      <c r="AO70" s="20">
        <f>'[13]NBR 6118'!$W$6</f>
        <v>0.4890549901787104</v>
      </c>
      <c r="AP70" s="20">
        <f t="shared" si="72"/>
        <v>-0.71528034147659081</v>
      </c>
      <c r="AQ70" s="20">
        <f>'[13]Clark (1956)'!$L$6</f>
        <v>0.35388215107782112</v>
      </c>
      <c r="AR70" s="20">
        <f t="shared" si="99"/>
        <v>1.1415553260574876</v>
      </c>
      <c r="AS70" s="20">
        <f t="shared" si="74"/>
        <v>0.13239165366906505</v>
      </c>
      <c r="AT70" s="20">
        <f>'[13]Leonhardt (1977)'!$L$6</f>
        <v>4.2260284514019641E-2</v>
      </c>
      <c r="AU70" s="20">
        <f t="shared" si="100"/>
        <v>0.13632349843232142</v>
      </c>
      <c r="AV70" s="20">
        <f t="shared" si="76"/>
        <v>-1.9927245528477908</v>
      </c>
      <c r="AW70" s="20">
        <f>'[13]Desayi; Ganesan (1985)'!$L$6</f>
        <v>0.43368023499729708</v>
      </c>
      <c r="AX70" s="20">
        <f t="shared" si="101"/>
        <v>1.3989684999912808</v>
      </c>
      <c r="AY70" s="20">
        <f t="shared" si="78"/>
        <v>0.33573517934070435</v>
      </c>
      <c r="AZ70" s="20">
        <f>'[13]Oh; Kang (1987)'!$L$6</f>
        <v>0.15711776961185428</v>
      </c>
      <c r="BA70" s="20">
        <f t="shared" si="102"/>
        <v>0.50683151487694933</v>
      </c>
      <c r="BB70" s="20">
        <f t="shared" si="80"/>
        <v>-0.67957664841769327</v>
      </c>
      <c r="BC70" s="20">
        <f>'[13]Caldas (1997)'!$L$6</f>
        <v>0.27873857274862496</v>
      </c>
      <c r="BD70" s="20">
        <f t="shared" si="103"/>
        <v>0.89915668628588696</v>
      </c>
      <c r="BE70" s="20">
        <f t="shared" si="82"/>
        <v>-0.10629797016893293</v>
      </c>
      <c r="BF70" s="20" cm="1">
        <f t="array" ref="BF70:BF71">'[13]Gergely e Lutz (1968)'!$L$6:$L$7</f>
        <v>0.38870614788651509</v>
      </c>
      <c r="BG70" s="20">
        <f t="shared" si="83"/>
        <v>1.2538907996339197</v>
      </c>
      <c r="BH70" s="20">
        <f t="shared" si="84"/>
        <v>0.22625135678726055</v>
      </c>
      <c r="BI70" s="20" cm="1">
        <f t="array" ref="BI70:BI71">[13]Sugestão!$M$6:$M$7</f>
        <v>0.36254631705594237</v>
      </c>
      <c r="BJ70" s="20">
        <f t="shared" ref="BJ70:BJ71" si="114">BI70/J70</f>
        <v>1.169504248567556</v>
      </c>
      <c r="BK70" s="20">
        <f t="shared" ref="BK70:BK71" si="115">LN(BJ70)</f>
        <v>0.15657993984230092</v>
      </c>
      <c r="BL70" s="20" cm="1">
        <f t="array" ref="BL70:BL71">'[13]fib Model Code 2020 modificado'!$L$6:$L$7</f>
        <v>0.30371204517585998</v>
      </c>
      <c r="BM70" s="20">
        <f t="shared" si="87"/>
        <v>0.97971627476083867</v>
      </c>
      <c r="BN70" s="20">
        <f t="shared" si="88"/>
        <v>-2.0492264785401716E-2</v>
      </c>
      <c r="BS70" t="b">
        <f t="shared" si="111"/>
        <v>0</v>
      </c>
      <c r="BU70" t="b">
        <f t="shared" si="112"/>
        <v>0</v>
      </c>
      <c r="BW70" t="b">
        <f t="shared" si="113"/>
        <v>0</v>
      </c>
    </row>
    <row r="71" spans="1:75">
      <c r="A71" s="86"/>
      <c r="B71" s="43">
        <f>'[13]Dados de entrada'!$B$28</f>
        <v>12</v>
      </c>
      <c r="C71" s="43">
        <f>'[13]Dados de entrada'!$B$31</f>
        <v>4</v>
      </c>
      <c r="D71" s="43">
        <f>'[13]Dados de entrada'!$B$32</f>
        <v>46</v>
      </c>
      <c r="E71" s="44">
        <f>'[13]Dados de entrada'!$B$27</f>
        <v>2.6933292113182881</v>
      </c>
      <c r="F71" s="43">
        <f>'[13]Dados de entrada'!$B$30</f>
        <v>82</v>
      </c>
      <c r="G71" s="43">
        <f>'[13]Dados de entrada'!$B$22</f>
        <v>88</v>
      </c>
      <c r="H71" s="45">
        <f>'[13]Dados de entrada'!$B$29/('[13]Dados de entrada'!$B$20*2*G71)</f>
        <v>7.3376623376623373E-3</v>
      </c>
      <c r="I71" s="26">
        <f>'[13]fib Model Code 2010'!$K$7</f>
        <v>294.23372458255977</v>
      </c>
      <c r="J71" s="19">
        <f>'[13]Dados de entrada'!$C$9</f>
        <v>0.44</v>
      </c>
      <c r="K71" s="23"/>
      <c r="L71" s="23"/>
      <c r="M71" s="23"/>
      <c r="N71" s="23"/>
      <c r="O71" s="23"/>
      <c r="P71" s="23"/>
      <c r="Q71" s="23"/>
      <c r="R71" s="23"/>
      <c r="S71" s="19"/>
      <c r="T71" s="23"/>
      <c r="U71" s="23"/>
      <c r="V71" s="23"/>
      <c r="W71" s="19"/>
      <c r="X71" s="19"/>
      <c r="Y71" s="19"/>
      <c r="Z71" s="19"/>
      <c r="AA71" s="19"/>
      <c r="AB71" s="19"/>
      <c r="AC71" s="19"/>
      <c r="AD71" s="20">
        <f>'[13]fib Model Code 2010'!$L$7</f>
        <v>0.30709427182839427</v>
      </c>
      <c r="AE71" s="20">
        <f t="shared" si="93"/>
        <v>0.69794152688271427</v>
      </c>
      <c r="AF71" s="20">
        <f t="shared" si="69"/>
        <v>-0.35961995210320075</v>
      </c>
      <c r="AG71" s="20">
        <f>'[13]fib Model Code 2020'!$L$7</f>
        <v>0.38177508410215444</v>
      </c>
      <c r="AH71" s="20">
        <f t="shared" si="94"/>
        <v>0.86767064568671459</v>
      </c>
      <c r="AI71" s="20">
        <f t="shared" si="70"/>
        <v>-0.14194307678062457</v>
      </c>
      <c r="AJ71" s="20">
        <f>'[13]Eurocode 2'!$L$7</f>
        <v>0.42229067379293672</v>
      </c>
      <c r="AK71" s="20">
        <f t="shared" si="95"/>
        <v>0.95975153134758351</v>
      </c>
      <c r="AL71" s="20">
        <f t="shared" si="71"/>
        <v>-4.108084953325724E-2</v>
      </c>
      <c r="AM71" s="20">
        <f>'[13]NBR 6118'!$Q$7</f>
        <v>0.50538431734130629</v>
      </c>
      <c r="AN71" s="20">
        <f>'[13]NBR 6118'!$R$7</f>
        <v>0.21831414761577628</v>
      </c>
      <c r="AO71" s="20">
        <f>'[13]NBR 6118'!$W$7</f>
        <v>0.49616851730858247</v>
      </c>
      <c r="AP71" s="20">
        <f t="shared" si="72"/>
        <v>-0.70083965732179665</v>
      </c>
      <c r="AQ71" s="20">
        <f>'[13]Clark (1956)'!$L$7</f>
        <v>0.48460524761713825</v>
      </c>
      <c r="AR71" s="20">
        <f t="shared" si="99"/>
        <v>1.1013755627662232</v>
      </c>
      <c r="AS71" s="20">
        <f t="shared" si="74"/>
        <v>9.6559910171574989E-2</v>
      </c>
      <c r="AT71" s="20">
        <f>'[13]Leonhardt (1977)'!$L$7</f>
        <v>0.27291843309892705</v>
      </c>
      <c r="AU71" s="20">
        <f t="shared" si="100"/>
        <v>0.62026916613392513</v>
      </c>
      <c r="AV71" s="20">
        <f t="shared" si="76"/>
        <v>-0.47760175622835138</v>
      </c>
      <c r="AW71" s="20">
        <f>'[13]Desayi; Ganesan (1985)'!$L$7</f>
        <v>0.52041628199675649</v>
      </c>
      <c r="AX71" s="20">
        <f t="shared" si="101"/>
        <v>1.1827642772653557</v>
      </c>
      <c r="AY71" s="20">
        <f t="shared" si="78"/>
        <v>0.16785430670154419</v>
      </c>
      <c r="AZ71" s="20">
        <f>'[13]Oh; Kang (1987)'!$L$7</f>
        <v>0.19466692875272593</v>
      </c>
      <c r="BA71" s="20">
        <f t="shared" si="102"/>
        <v>0.4424248380743771</v>
      </c>
      <c r="BB71" s="20">
        <f t="shared" si="80"/>
        <v>-0.81548468642059957</v>
      </c>
      <c r="BC71" s="20">
        <f>'[13]Caldas (1997)'!$L$7</f>
        <v>0.34899935700575707</v>
      </c>
      <c r="BD71" s="20">
        <f t="shared" si="103"/>
        <v>0.79318035683126609</v>
      </c>
      <c r="BE71" s="20">
        <f t="shared" si="82"/>
        <v>-0.23170464710195776</v>
      </c>
      <c r="BF71" s="20">
        <v>0.46644737746381815</v>
      </c>
      <c r="BG71" s="20">
        <f t="shared" si="83"/>
        <v>1.0601076760541321</v>
      </c>
      <c r="BH71" s="20">
        <f t="shared" si="84"/>
        <v>5.8370484148100289E-2</v>
      </c>
      <c r="BI71" s="20">
        <v>0.5503677050597654</v>
      </c>
      <c r="BJ71" s="20">
        <f t="shared" si="114"/>
        <v>1.2508356933176485</v>
      </c>
      <c r="BK71" s="20">
        <f t="shared" si="115"/>
        <v>0.2238118825852228</v>
      </c>
      <c r="BL71" s="20">
        <v>0.41010471120266756</v>
      </c>
      <c r="BM71" s="20">
        <f t="shared" si="87"/>
        <v>0.93205616182424444</v>
      </c>
      <c r="BN71" s="20">
        <f t="shared" si="88"/>
        <v>-7.0362206644001238E-2</v>
      </c>
      <c r="BS71" t="b">
        <f t="shared" si="111"/>
        <v>0</v>
      </c>
      <c r="BU71" t="b">
        <f t="shared" si="112"/>
        <v>0</v>
      </c>
      <c r="BW71" t="b">
        <f t="shared" si="113"/>
        <v>0</v>
      </c>
    </row>
    <row r="72" spans="1:75">
      <c r="A72" s="87" t="s">
        <v>30</v>
      </c>
      <c r="B72" s="37">
        <f>'[14]Dados de entrada'!$B$28</f>
        <v>12</v>
      </c>
      <c r="C72" s="37">
        <f>'[14]Dados de entrada'!$B$31</f>
        <v>4</v>
      </c>
      <c r="D72" s="37">
        <f>'[14]Dados de entrada'!$B$32</f>
        <v>46</v>
      </c>
      <c r="E72" s="41">
        <f>'[14]Dados de entrada'!$B$27</f>
        <v>2.6933292113182881</v>
      </c>
      <c r="F72" s="37">
        <f>'[14]Dados de entrada'!$B$30</f>
        <v>82</v>
      </c>
      <c r="G72" s="37">
        <f>'[14]Dados de entrada'!$B$22</f>
        <v>88</v>
      </c>
      <c r="H72" s="42">
        <f>'[14]Dados de entrada'!$B$29/('[14]Dados de entrada'!$B$20*2*G72)</f>
        <v>7.3376623376623373E-3</v>
      </c>
      <c r="I72" s="25">
        <f>'[14]fib Model Code 2010'!$K$5</f>
        <v>196.15581638837318</v>
      </c>
      <c r="J72" s="4">
        <f>'[14]Dados de entrada'!$C$7</f>
        <v>0.14000000000000001</v>
      </c>
      <c r="K72" s="22"/>
      <c r="L72" s="22"/>
      <c r="M72" s="22"/>
      <c r="N72" s="22"/>
      <c r="O72" s="22"/>
      <c r="P72" s="22"/>
      <c r="Q72" s="22"/>
      <c r="R72" s="22"/>
      <c r="S72" s="4"/>
      <c r="T72" s="22"/>
      <c r="U72" s="22"/>
      <c r="V72" s="22"/>
      <c r="W72" s="4"/>
      <c r="X72" s="4"/>
      <c r="Y72" s="4"/>
      <c r="Z72" s="4"/>
      <c r="AA72" s="4"/>
      <c r="AB72" s="4"/>
      <c r="AC72" s="4"/>
      <c r="AD72" s="11">
        <f>'[14]fib Model Code 2010'!$L$5</f>
        <v>6.672704419695745E-2</v>
      </c>
      <c r="AE72" s="11">
        <f t="shared" si="93"/>
        <v>0.47662174426398174</v>
      </c>
      <c r="AF72" s="11">
        <f t="shared" si="69"/>
        <v>-0.74103209164026129</v>
      </c>
      <c r="AG72" s="11">
        <f>'[14]fib Model Code 2020'!$L$5</f>
        <v>0.22477612114059844</v>
      </c>
      <c r="AH72" s="11">
        <f t="shared" si="94"/>
        <v>1.6055437224328459</v>
      </c>
      <c r="AI72" s="11">
        <f t="shared" si="70"/>
        <v>0.47346246708403217</v>
      </c>
      <c r="AJ72" s="11">
        <f>'[14]Eurocode 2'!$L$5</f>
        <v>0.28152711586195778</v>
      </c>
      <c r="AK72" s="11">
        <f t="shared" si="95"/>
        <v>2.0109079704425552</v>
      </c>
      <c r="AL72" s="11">
        <f t="shared" si="71"/>
        <v>0.69858634666158059</v>
      </c>
      <c r="AM72" s="11">
        <f>'[14]NBR 6118'!$Q$5</f>
        <v>0.33692287822753753</v>
      </c>
      <c r="AN72" s="11">
        <f>'[14]NBR 6118'!$R$5</f>
        <v>9.7028510051456116E-2</v>
      </c>
      <c r="AO72" s="11">
        <f>'[14]NBR 6118'!$W$5</f>
        <v>0.69306078608182931</v>
      </c>
      <c r="AP72" s="11">
        <f t="shared" si="72"/>
        <v>-0.36663756923512308</v>
      </c>
      <c r="AQ72" s="11">
        <f>'[14]Clark (1956)'!$L$5</f>
        <v>0.22315905453850413</v>
      </c>
      <c r="AR72" s="11">
        <f t="shared" si="99"/>
        <v>1.5939932467036007</v>
      </c>
      <c r="AS72" s="11">
        <f t="shared" si="74"/>
        <v>0.46624234366118189</v>
      </c>
      <c r="AT72" s="11"/>
      <c r="AU72" s="11"/>
      <c r="AV72" s="11"/>
      <c r="AW72" s="11">
        <f>'[14]Desayi; Ganesan (1985)'!$L$5</f>
        <v>0.34694418799783772</v>
      </c>
      <c r="AX72" s="11">
        <f t="shared" si="101"/>
        <v>2.4781727714131265</v>
      </c>
      <c r="AY72" s="11">
        <f t="shared" si="78"/>
        <v>0.90752150289638245</v>
      </c>
      <c r="AZ72" s="11">
        <f>'[14]Oh; Kang (1987)'!$L$5</f>
        <v>0.11956861047098272</v>
      </c>
      <c r="BA72" s="11">
        <f t="shared" si="102"/>
        <v>0.8540615033641622</v>
      </c>
      <c r="BB72" s="11">
        <f t="shared" si="80"/>
        <v>-0.15775206979591594</v>
      </c>
      <c r="BC72" s="11">
        <f>'[14]Caldas (1997)'!$L$5</f>
        <v>0.20847778849149301</v>
      </c>
      <c r="BD72" s="11">
        <f t="shared" si="103"/>
        <v>1.4891270606535214</v>
      </c>
      <c r="BE72" s="11">
        <f t="shared" si="82"/>
        <v>0.3981900829380064</v>
      </c>
      <c r="BF72" s="11" cm="1">
        <f t="array" ref="BF72:BF74">'[14]Gergely e Lutz (1968)'!$L$5:$L$7</f>
        <v>0.31096491830921213</v>
      </c>
      <c r="BG72" s="11">
        <f t="shared" si="83"/>
        <v>2.2211779879229434</v>
      </c>
      <c r="BH72" s="11">
        <f t="shared" si="84"/>
        <v>0.79803768034293843</v>
      </c>
      <c r="BI72" s="11" cm="1">
        <f t="array" ref="BI72:BI74">[14]Sugestão!$M$5:$M$7</f>
        <v>0.23202964291580305</v>
      </c>
      <c r="BJ72" s="11">
        <f t="shared" ref="BJ72:BJ74" si="116">BI72/J72</f>
        <v>1.657354592255736</v>
      </c>
      <c r="BK72" s="11">
        <f t="shared" ref="BK72:BK74" si="117">LN(BJ72)</f>
        <v>0.50522271208376879</v>
      </c>
      <c r="BL72" s="11" cm="1">
        <f t="array" ref="BL72:BL74">'[14]fib Model Code 2020 modificado'!$L$5:$L$7</f>
        <v>0.24227673307376879</v>
      </c>
      <c r="BM72" s="11">
        <f t="shared" si="87"/>
        <v>1.7305480933840627</v>
      </c>
      <c r="BN72" s="11">
        <f t="shared" si="88"/>
        <v>0.54843817531879135</v>
      </c>
      <c r="BS72" t="b">
        <f t="shared" si="111"/>
        <v>0</v>
      </c>
      <c r="BU72" t="b">
        <f t="shared" si="112"/>
        <v>0</v>
      </c>
      <c r="BW72" t="b">
        <f t="shared" si="113"/>
        <v>0</v>
      </c>
    </row>
    <row r="73" spans="1:75">
      <c r="A73" s="88"/>
      <c r="B73" s="37">
        <f>'[14]Dados de entrada'!$B$28</f>
        <v>12</v>
      </c>
      <c r="C73" s="37">
        <f>'[14]Dados de entrada'!$B$31</f>
        <v>4</v>
      </c>
      <c r="D73" s="37">
        <f>'[14]Dados de entrada'!$B$32</f>
        <v>46</v>
      </c>
      <c r="E73" s="41">
        <f>'[14]Dados de entrada'!$B$27</f>
        <v>2.6933292113182881</v>
      </c>
      <c r="F73" s="37">
        <f>'[14]Dados de entrada'!$B$30</f>
        <v>82</v>
      </c>
      <c r="G73" s="37">
        <f>'[14]Dados de entrada'!$B$22</f>
        <v>88</v>
      </c>
      <c r="H73" s="42">
        <f>'[14]Dados de entrada'!$B$29/('[14]Dados de entrada'!$B$20*2*G73)</f>
        <v>7.3376623376623373E-3</v>
      </c>
      <c r="I73" s="25">
        <f>'[14]fib Model Code 2010'!$K$6</f>
        <v>245.19477048546645</v>
      </c>
      <c r="J73" s="4">
        <f>'[14]Dados de entrada'!$C$8</f>
        <v>0.31</v>
      </c>
      <c r="K73" s="22"/>
      <c r="L73" s="22"/>
      <c r="M73" s="22"/>
      <c r="N73" s="22"/>
      <c r="O73" s="22"/>
      <c r="P73" s="22"/>
      <c r="Q73" s="22"/>
      <c r="R73" s="22"/>
      <c r="S73" s="4"/>
      <c r="T73" s="22"/>
      <c r="U73" s="22"/>
      <c r="V73" s="22"/>
      <c r="W73" s="4"/>
      <c r="X73" s="4"/>
      <c r="Y73" s="4"/>
      <c r="Z73" s="4"/>
      <c r="AA73" s="4"/>
      <c r="AB73" s="4"/>
      <c r="AC73" s="4"/>
      <c r="AD73" s="11">
        <f>'[14]fib Model Code 2010'!$L$6</f>
        <v>0.18691065801267578</v>
      </c>
      <c r="AE73" s="11">
        <f t="shared" si="93"/>
        <v>0.6029376064925025</v>
      </c>
      <c r="AF73" s="11">
        <f t="shared" si="69"/>
        <v>-0.50594155942859187</v>
      </c>
      <c r="AG73" s="11">
        <f>'[14]fib Model Code 2020'!$L$6</f>
        <v>0.28097015142574805</v>
      </c>
      <c r="AH73" s="11">
        <f t="shared" si="94"/>
        <v>0.90635532717983247</v>
      </c>
      <c r="AI73" s="11">
        <f t="shared" si="70"/>
        <v>-9.8323856471645613E-2</v>
      </c>
      <c r="AJ73" s="11">
        <f>'[14]Eurocode 2'!$L$6</f>
        <v>0.35190889482744719</v>
      </c>
      <c r="AK73" s="11">
        <f t="shared" si="95"/>
        <v>1.1351899833143457</v>
      </c>
      <c r="AL73" s="11">
        <f t="shared" si="71"/>
        <v>0.12680002310590274</v>
      </c>
      <c r="AM73" s="11">
        <f>'[14]NBR 6118'!$Q$6</f>
        <v>0.42115359778442191</v>
      </c>
      <c r="AN73" s="11">
        <f>'[14]NBR 6118'!$R$6</f>
        <v>0.15160704695540023</v>
      </c>
      <c r="AO73" s="11">
        <f>'[14]NBR 6118'!$W$6</f>
        <v>0.4890549901787104</v>
      </c>
      <c r="AP73" s="11">
        <f t="shared" si="72"/>
        <v>-0.71528034147659081</v>
      </c>
      <c r="AQ73" s="11">
        <f>'[14]Clark (1956)'!$L$6</f>
        <v>0.35388215107782112</v>
      </c>
      <c r="AR73" s="11">
        <f t="shared" si="99"/>
        <v>1.1415553260574876</v>
      </c>
      <c r="AS73" s="11">
        <f t="shared" si="74"/>
        <v>0.13239165366906505</v>
      </c>
      <c r="AT73" s="11">
        <f>'[14]Leonhardt (1977)'!$L$6</f>
        <v>4.2260284514019641E-2</v>
      </c>
      <c r="AU73" s="11">
        <f t="shared" si="100"/>
        <v>0.13632349843232142</v>
      </c>
      <c r="AV73" s="11">
        <f t="shared" si="76"/>
        <v>-1.9927245528477908</v>
      </c>
      <c r="AW73" s="11">
        <f>'[14]Desayi; Ganesan (1985)'!$L$6</f>
        <v>0.43368023499729708</v>
      </c>
      <c r="AX73" s="11">
        <f t="shared" si="101"/>
        <v>1.3989684999912808</v>
      </c>
      <c r="AY73" s="11">
        <f t="shared" si="78"/>
        <v>0.33573517934070435</v>
      </c>
      <c r="AZ73" s="11">
        <f>'[14]Oh; Kang (1987)'!$L$6</f>
        <v>0.15711776961185428</v>
      </c>
      <c r="BA73" s="11">
        <f t="shared" si="102"/>
        <v>0.50683151487694933</v>
      </c>
      <c r="BB73" s="11">
        <f t="shared" si="80"/>
        <v>-0.67957664841769327</v>
      </c>
      <c r="BC73" s="11">
        <f>'[14]Caldas (1997)'!$L$6</f>
        <v>0.27873857274862496</v>
      </c>
      <c r="BD73" s="11">
        <f t="shared" si="103"/>
        <v>0.89915668628588696</v>
      </c>
      <c r="BE73" s="11">
        <f t="shared" si="82"/>
        <v>-0.10629797016893293</v>
      </c>
      <c r="BF73" s="11">
        <v>0.38870614788651509</v>
      </c>
      <c r="BG73" s="11">
        <f t="shared" si="83"/>
        <v>1.2538907996339197</v>
      </c>
      <c r="BH73" s="11">
        <f t="shared" si="84"/>
        <v>0.22625135678726055</v>
      </c>
      <c r="BI73" s="11">
        <v>0.36254631705594237</v>
      </c>
      <c r="BJ73" s="11">
        <f t="shared" si="116"/>
        <v>1.169504248567556</v>
      </c>
      <c r="BK73" s="11">
        <f t="shared" si="117"/>
        <v>0.15657993984230092</v>
      </c>
      <c r="BL73" s="11">
        <v>0.30371204517585998</v>
      </c>
      <c r="BM73" s="11">
        <f t="shared" si="87"/>
        <v>0.97971627476083867</v>
      </c>
      <c r="BN73" s="11">
        <f t="shared" si="88"/>
        <v>-2.0492264785401716E-2</v>
      </c>
      <c r="BS73" t="b">
        <f t="shared" si="111"/>
        <v>0</v>
      </c>
      <c r="BU73" t="b">
        <f t="shared" si="112"/>
        <v>0</v>
      </c>
      <c r="BW73" t="b">
        <f t="shared" si="113"/>
        <v>0</v>
      </c>
    </row>
    <row r="74" spans="1:75">
      <c r="A74" s="89"/>
      <c r="B74" s="37">
        <f>'[14]Dados de entrada'!$B$28</f>
        <v>12</v>
      </c>
      <c r="C74" s="37">
        <f>'[14]Dados de entrada'!$B$31</f>
        <v>4</v>
      </c>
      <c r="D74" s="37">
        <f>'[14]Dados de entrada'!$B$32</f>
        <v>46</v>
      </c>
      <c r="E74" s="41">
        <f>'[14]Dados de entrada'!$B$27</f>
        <v>2.6933292113182881</v>
      </c>
      <c r="F74" s="37">
        <f>'[14]Dados de entrada'!$B$30</f>
        <v>82</v>
      </c>
      <c r="G74" s="37">
        <f>'[14]Dados de entrada'!$B$22</f>
        <v>88</v>
      </c>
      <c r="H74" s="42">
        <f>'[14]Dados de entrada'!$B$29/('[14]Dados de entrada'!$B$20*2*G74)</f>
        <v>7.3376623376623373E-3</v>
      </c>
      <c r="I74" s="25">
        <f>'[14]fib Model Code 2010'!$K$7</f>
        <v>294.23372458255977</v>
      </c>
      <c r="J74" s="4">
        <f>'[14]Dados de entrada'!$C$9</f>
        <v>0.4</v>
      </c>
      <c r="K74" s="22"/>
      <c r="L74" s="22"/>
      <c r="M74" s="22"/>
      <c r="N74" s="22"/>
      <c r="O74" s="22"/>
      <c r="P74" s="22"/>
      <c r="Q74" s="22"/>
      <c r="R74" s="22"/>
      <c r="S74" s="4"/>
      <c r="T74" s="22"/>
      <c r="U74" s="22"/>
      <c r="V74" s="22"/>
      <c r="W74" s="4"/>
      <c r="X74" s="4"/>
      <c r="Y74" s="4"/>
      <c r="Z74" s="4"/>
      <c r="AA74" s="4"/>
      <c r="AB74" s="4"/>
      <c r="AC74" s="4"/>
      <c r="AD74" s="11">
        <f>'[14]fib Model Code 2010'!$L$7</f>
        <v>0.30709427182839427</v>
      </c>
      <c r="AE74" s="11">
        <f t="shared" si="93"/>
        <v>0.76773567957098565</v>
      </c>
      <c r="AF74" s="11">
        <f t="shared" si="69"/>
        <v>-0.26430977229887598</v>
      </c>
      <c r="AG74" s="11">
        <f>'[14]fib Model Code 2020'!$L$7</f>
        <v>0.38177508410215444</v>
      </c>
      <c r="AH74" s="11">
        <f t="shared" si="94"/>
        <v>0.95443771025538604</v>
      </c>
      <c r="AI74" s="11">
        <f t="shared" si="70"/>
        <v>-4.6632896976299715E-2</v>
      </c>
      <c r="AJ74" s="11">
        <f>'[14]Eurocode 2'!$L$7</f>
        <v>0.42229067379293672</v>
      </c>
      <c r="AK74" s="11">
        <f t="shared" si="95"/>
        <v>1.0557266844823416</v>
      </c>
      <c r="AL74" s="11">
        <f t="shared" si="71"/>
        <v>5.4229330271067411E-2</v>
      </c>
      <c r="AM74" s="11">
        <f>'[14]NBR 6118'!$Q$7</f>
        <v>0.50538431734130629</v>
      </c>
      <c r="AN74" s="11">
        <f>'[14]NBR 6118'!$R$7</f>
        <v>0.21831414761577628</v>
      </c>
      <c r="AO74" s="11">
        <f>'[14]NBR 6118'!$W$7</f>
        <v>0.54578536903944064</v>
      </c>
      <c r="AP74" s="11">
        <f t="shared" si="72"/>
        <v>-0.60552947751747188</v>
      </c>
      <c r="AQ74" s="11">
        <f>'[14]Clark (1956)'!$L$7</f>
        <v>0.48460524761713825</v>
      </c>
      <c r="AR74" s="11">
        <f t="shared" si="99"/>
        <v>1.2115131190428456</v>
      </c>
      <c r="AS74" s="11">
        <f t="shared" si="74"/>
        <v>0.19187008997589997</v>
      </c>
      <c r="AT74" s="11">
        <f>'[14]Leonhardt (1977)'!$L$7</f>
        <v>0.27291843309892705</v>
      </c>
      <c r="AU74" s="11">
        <f t="shared" si="100"/>
        <v>0.68229608274731757</v>
      </c>
      <c r="AV74" s="11">
        <f t="shared" si="76"/>
        <v>-0.38229157642402661</v>
      </c>
      <c r="AW74" s="11">
        <f>'[14]Desayi; Ganesan (1985)'!$L$7</f>
        <v>0.52041628199675649</v>
      </c>
      <c r="AX74" s="11">
        <f t="shared" si="101"/>
        <v>1.3010407049918911</v>
      </c>
      <c r="AY74" s="11">
        <f t="shared" si="78"/>
        <v>0.26316448650586888</v>
      </c>
      <c r="AZ74" s="11">
        <f>'[14]Oh; Kang (1987)'!$L$7</f>
        <v>0.19466692875272593</v>
      </c>
      <c r="BA74" s="11">
        <f t="shared" si="102"/>
        <v>0.48666732188181477</v>
      </c>
      <c r="BB74" s="11">
        <f t="shared" si="80"/>
        <v>-0.7201745066162748</v>
      </c>
      <c r="BC74" s="11">
        <f>'[14]Caldas (1997)'!$L$7</f>
        <v>0.34899935700575707</v>
      </c>
      <c r="BD74" s="11">
        <f t="shared" si="103"/>
        <v>0.87249839251439265</v>
      </c>
      <c r="BE74" s="11">
        <f t="shared" si="82"/>
        <v>-0.13639446729763294</v>
      </c>
      <c r="BF74" s="11">
        <v>0.46644737746381815</v>
      </c>
      <c r="BG74" s="11">
        <f t="shared" si="83"/>
        <v>1.1661184436595453</v>
      </c>
      <c r="BH74" s="11">
        <f t="shared" si="84"/>
        <v>0.15368066395242511</v>
      </c>
      <c r="BI74" s="11">
        <v>0.5503677050597654</v>
      </c>
      <c r="BJ74" s="11">
        <f t="shared" si="116"/>
        <v>1.3759192626494134</v>
      </c>
      <c r="BK74" s="11">
        <f t="shared" si="117"/>
        <v>0.31912206238954771</v>
      </c>
      <c r="BL74" s="11">
        <v>0.41010471120266756</v>
      </c>
      <c r="BM74" s="11">
        <f t="shared" si="87"/>
        <v>1.0252617780066688</v>
      </c>
      <c r="BN74" s="11">
        <f t="shared" si="88"/>
        <v>2.4947973160323576E-2</v>
      </c>
      <c r="BS74" t="b">
        <f t="shared" si="111"/>
        <v>0</v>
      </c>
      <c r="BU74" t="b">
        <f t="shared" si="112"/>
        <v>0</v>
      </c>
      <c r="BW74" t="b">
        <f t="shared" si="113"/>
        <v>0</v>
      </c>
    </row>
    <row r="75" spans="1:75">
      <c r="A75" s="85" t="s">
        <v>31</v>
      </c>
      <c r="B75" s="43">
        <f>'[15]Dados de entrada'!$B$28</f>
        <v>12</v>
      </c>
      <c r="C75" s="43">
        <f>'[15]Dados de entrada'!$B$31</f>
        <v>4</v>
      </c>
      <c r="D75" s="43">
        <f>'[15]Dados de entrada'!$B$32</f>
        <v>46</v>
      </c>
      <c r="E75" s="44">
        <f>'[15]Dados de entrada'!$B$27</f>
        <v>2.6933292113182881</v>
      </c>
      <c r="F75" s="43">
        <f>'[15]Dados de entrada'!$B$30</f>
        <v>82</v>
      </c>
      <c r="G75" s="43">
        <f>'[15]Dados de entrada'!$B$22</f>
        <v>88</v>
      </c>
      <c r="H75" s="45">
        <f>'[15]Dados de entrada'!$B$29/('[15]Dados de entrada'!$B$20*2*G75)</f>
        <v>7.3376623376623373E-3</v>
      </c>
      <c r="I75" s="26">
        <f>'[15]fib Model Code 2010'!$K$5</f>
        <v>196.15581638837318</v>
      </c>
      <c r="J75" s="19">
        <f>'[15]Dados de entrada'!$C$7</f>
        <v>0.25</v>
      </c>
      <c r="K75" s="23"/>
      <c r="L75" s="23"/>
      <c r="M75" s="23"/>
      <c r="N75" s="23"/>
      <c r="O75" s="23"/>
      <c r="P75" s="23"/>
      <c r="Q75" s="23"/>
      <c r="R75" s="23"/>
      <c r="S75" s="19"/>
      <c r="T75" s="23"/>
      <c r="U75" s="23"/>
      <c r="V75" s="23"/>
      <c r="W75" s="19"/>
      <c r="X75" s="19"/>
      <c r="Y75" s="19"/>
      <c r="Z75" s="19"/>
      <c r="AA75" s="19"/>
      <c r="AB75" s="19"/>
      <c r="AC75" s="19"/>
      <c r="AD75" s="20">
        <f>'[15]fib Model Code 2010'!$L$5</f>
        <v>6.672704419695745E-2</v>
      </c>
      <c r="AE75" s="20">
        <f t="shared" si="93"/>
        <v>0.2669081767878298</v>
      </c>
      <c r="AF75" s="20">
        <f t="shared" si="69"/>
        <v>-1.3208505868932032</v>
      </c>
      <c r="AG75" s="20">
        <f>'[15]fib Model Code 2020'!$L$5</f>
        <v>0.22477612114059844</v>
      </c>
      <c r="AH75" s="20">
        <f t="shared" si="94"/>
        <v>0.89910448456239378</v>
      </c>
      <c r="AI75" s="20">
        <f t="shared" si="70"/>
        <v>-0.10635602816890991</v>
      </c>
      <c r="AJ75" s="20">
        <f>'[15]Eurocode 2'!$L$5</f>
        <v>0.28152711586195778</v>
      </c>
      <c r="AK75" s="20">
        <f t="shared" si="95"/>
        <v>1.1261084634478311</v>
      </c>
      <c r="AL75" s="20">
        <f t="shared" si="71"/>
        <v>0.11876785140863862</v>
      </c>
      <c r="AM75" s="20">
        <f>'[15]NBR 6118'!$Q$5</f>
        <v>0.33692287822753753</v>
      </c>
      <c r="AN75" s="20">
        <f>'[15]NBR 6118'!$R$5</f>
        <v>9.7028510051456116E-2</v>
      </c>
      <c r="AO75" s="20">
        <f>'[15]NBR 6118'!$W$5</f>
        <v>0.38811404020582446</v>
      </c>
      <c r="AP75" s="20">
        <f t="shared" si="72"/>
        <v>-0.94645606448806507</v>
      </c>
      <c r="AQ75" s="20">
        <f>'[15]Clark (1956)'!$L$5</f>
        <v>0.22315905453850413</v>
      </c>
      <c r="AR75" s="20">
        <f t="shared" si="99"/>
        <v>0.8926362181540165</v>
      </c>
      <c r="AS75" s="20">
        <f t="shared" si="74"/>
        <v>-0.1135761515917601</v>
      </c>
      <c r="AT75" s="20"/>
      <c r="AU75" s="20"/>
      <c r="AV75" s="20"/>
      <c r="AW75" s="20">
        <f>'[15]Desayi; Ganesan (1985)'!$L$5</f>
        <v>0.34694418799783772</v>
      </c>
      <c r="AX75" s="20">
        <f t="shared" si="101"/>
        <v>1.3877767519913509</v>
      </c>
      <c r="AY75" s="20">
        <f t="shared" si="78"/>
        <v>0.32770300764344035</v>
      </c>
      <c r="AZ75" s="20">
        <f>'[15]Oh; Kang (1987)'!$L$5</f>
        <v>0.11956861047098272</v>
      </c>
      <c r="BA75" s="20">
        <f t="shared" si="102"/>
        <v>0.47827444188393087</v>
      </c>
      <c r="BB75" s="20">
        <f t="shared" si="80"/>
        <v>-0.73757056504885798</v>
      </c>
      <c r="BC75" s="20">
        <f>'[15]Caldas (1997)'!$L$5</f>
        <v>0.20847778849149301</v>
      </c>
      <c r="BD75" s="20">
        <f t="shared" si="103"/>
        <v>0.83391115396597204</v>
      </c>
      <c r="BE75" s="20">
        <f t="shared" si="82"/>
        <v>-0.18162841231493565</v>
      </c>
      <c r="BF75" s="20" cm="1">
        <f t="array" ref="BF75:BF77">'[15]Gergely e Lutz (1968)'!$L$5:$L$7</f>
        <v>0.31096491830921213</v>
      </c>
      <c r="BG75" s="20">
        <f t="shared" si="83"/>
        <v>1.2438596732368485</v>
      </c>
      <c r="BH75" s="20">
        <f t="shared" si="84"/>
        <v>0.21821918508999646</v>
      </c>
      <c r="BI75" s="20" cm="1">
        <f t="array" ref="BI75:BI77">[15]Sugestão!$M$5:$M$7</f>
        <v>0.23202964291580305</v>
      </c>
      <c r="BJ75" s="20">
        <f t="shared" ref="BJ75:BJ77" si="118">BI75/J75</f>
        <v>0.92811857166321221</v>
      </c>
      <c r="BK75" s="20">
        <f t="shared" ref="BK75:BK77" si="119">LN(BJ75)</f>
        <v>-7.4595783169173313E-2</v>
      </c>
      <c r="BL75" s="20" cm="1">
        <f t="array" ref="BL75:BL77">'[15]fib Model Code 2020 modificado'!$L$5:$L$7</f>
        <v>0.24227673307376879</v>
      </c>
      <c r="BM75" s="20">
        <f t="shared" si="87"/>
        <v>0.96910693229507516</v>
      </c>
      <c r="BN75" s="20">
        <f t="shared" si="88"/>
        <v>-3.1380319934150719E-2</v>
      </c>
      <c r="BS75" t="b">
        <f t="shared" si="111"/>
        <v>0</v>
      </c>
      <c r="BU75" t="b">
        <f t="shared" si="112"/>
        <v>0</v>
      </c>
      <c r="BW75" t="b">
        <f t="shared" si="113"/>
        <v>0</v>
      </c>
    </row>
    <row r="76" spans="1:75">
      <c r="A76" s="90"/>
      <c r="B76" s="43">
        <f>'[15]Dados de entrada'!$B$28</f>
        <v>12</v>
      </c>
      <c r="C76" s="43">
        <f>'[15]Dados de entrada'!$B$31</f>
        <v>4</v>
      </c>
      <c r="D76" s="43">
        <f>'[15]Dados de entrada'!$B$32</f>
        <v>46</v>
      </c>
      <c r="E76" s="44">
        <f>'[15]Dados de entrada'!$B$27</f>
        <v>2.6933292113182881</v>
      </c>
      <c r="F76" s="43">
        <f>'[15]Dados de entrada'!$B$30</f>
        <v>82</v>
      </c>
      <c r="G76" s="43">
        <f>'[15]Dados de entrada'!$B$22</f>
        <v>88</v>
      </c>
      <c r="H76" s="45">
        <f>'[15]Dados de entrada'!$B$29/('[15]Dados de entrada'!$B$20*2*G76)</f>
        <v>7.3376623376623373E-3</v>
      </c>
      <c r="I76" s="26">
        <f>'[15]fib Model Code 2010'!$K$6</f>
        <v>245.19477048546645</v>
      </c>
      <c r="J76" s="19">
        <f>'[15]Dados de entrada'!$C$8</f>
        <v>0.44</v>
      </c>
      <c r="K76" s="23"/>
      <c r="L76" s="23"/>
      <c r="M76" s="23"/>
      <c r="N76" s="23"/>
      <c r="O76" s="23"/>
      <c r="P76" s="23"/>
      <c r="Q76" s="23"/>
      <c r="R76" s="23"/>
      <c r="S76" s="19"/>
      <c r="T76" s="23"/>
      <c r="U76" s="23"/>
      <c r="V76" s="23"/>
      <c r="W76" s="19"/>
      <c r="X76" s="19"/>
      <c r="Y76" s="19"/>
      <c r="Z76" s="19"/>
      <c r="AA76" s="19"/>
      <c r="AB76" s="19"/>
      <c r="AC76" s="19"/>
      <c r="AD76" s="20">
        <f>'[15]fib Model Code 2010'!$L$6</f>
        <v>0.18691065801267578</v>
      </c>
      <c r="AE76" s="20">
        <f t="shared" si="93"/>
        <v>0.42479695002880857</v>
      </c>
      <c r="AF76" s="20">
        <f t="shared" si="69"/>
        <v>-0.85614398886170684</v>
      </c>
      <c r="AG76" s="20">
        <f>'[15]fib Model Code 2020'!$L$6</f>
        <v>0.28097015142574805</v>
      </c>
      <c r="AH76" s="20">
        <f t="shared" si="94"/>
        <v>0.63856852596760916</v>
      </c>
      <c r="AI76" s="20">
        <f t="shared" si="70"/>
        <v>-0.44852628590476068</v>
      </c>
      <c r="AJ76" s="20">
        <f>'[15]Eurocode 2'!$L$6</f>
        <v>0.35190889482744719</v>
      </c>
      <c r="AK76" s="20">
        <f t="shared" si="95"/>
        <v>0.79979294278965274</v>
      </c>
      <c r="AL76" s="20">
        <f t="shared" si="71"/>
        <v>-0.22340240632721209</v>
      </c>
      <c r="AM76" s="20">
        <f>'[15]NBR 6118'!$Q$6</f>
        <v>0.42115359778442191</v>
      </c>
      <c r="AN76" s="20">
        <f>'[15]NBR 6118'!$R$6</f>
        <v>0.15160704695540023</v>
      </c>
      <c r="AO76" s="20">
        <f>'[15]NBR 6118'!$W$6</f>
        <v>0.34456147035318235</v>
      </c>
      <c r="AP76" s="20">
        <f t="shared" si="72"/>
        <v>-1.0654827709097057</v>
      </c>
      <c r="AQ76" s="20">
        <f>'[15]Clark (1956)'!$L$6</f>
        <v>0.35388215107782112</v>
      </c>
      <c r="AR76" s="20">
        <f t="shared" si="99"/>
        <v>0.80427761608595705</v>
      </c>
      <c r="AS76" s="20">
        <f t="shared" si="74"/>
        <v>-0.21781077576404997</v>
      </c>
      <c r="AT76" s="20">
        <f>'[15]Leonhardt (1977)'!$L$6</f>
        <v>4.2260284514019641E-2</v>
      </c>
      <c r="AU76" s="20">
        <f t="shared" si="100"/>
        <v>9.6046101168226455E-2</v>
      </c>
      <c r="AV76" s="20">
        <f t="shared" si="76"/>
        <v>-2.3429269822809058</v>
      </c>
      <c r="AW76" s="20">
        <f>'[15]Desayi; Ganesan (1985)'!$L$6</f>
        <v>0.43368023499729708</v>
      </c>
      <c r="AX76" s="20">
        <f t="shared" si="101"/>
        <v>0.98563689772112972</v>
      </c>
      <c r="AY76" s="20">
        <f t="shared" si="78"/>
        <v>-1.4467250092410485E-2</v>
      </c>
      <c r="AZ76" s="20">
        <f>'[15]Oh; Kang (1987)'!$L$6</f>
        <v>0.15711776961185428</v>
      </c>
      <c r="BA76" s="20">
        <f t="shared" si="102"/>
        <v>0.35708584002694155</v>
      </c>
      <c r="BB76" s="20">
        <f t="shared" si="80"/>
        <v>-1.0297790778508082</v>
      </c>
      <c r="BC76" s="20">
        <f>'[15]Caldas (1997)'!$L$6</f>
        <v>0.27873857274862496</v>
      </c>
      <c r="BD76" s="20">
        <f t="shared" si="103"/>
        <v>0.63349675624687485</v>
      </c>
      <c r="BE76" s="20">
        <f t="shared" si="82"/>
        <v>-0.45650039960204797</v>
      </c>
      <c r="BF76" s="20">
        <v>0.38870614788651509</v>
      </c>
      <c r="BG76" s="20">
        <f t="shared" si="83"/>
        <v>0.88342306337844334</v>
      </c>
      <c r="BH76" s="20">
        <f t="shared" si="84"/>
        <v>-0.12395107264585446</v>
      </c>
      <c r="BI76" s="20">
        <v>0.36254631705594237</v>
      </c>
      <c r="BJ76" s="20">
        <f t="shared" si="118"/>
        <v>0.82396890239986897</v>
      </c>
      <c r="BK76" s="20">
        <f t="shared" si="119"/>
        <v>-0.19362248959081399</v>
      </c>
      <c r="BL76" s="20">
        <v>0.30371204517585998</v>
      </c>
      <c r="BM76" s="20">
        <f t="shared" si="87"/>
        <v>0.69025464812695447</v>
      </c>
      <c r="BN76" s="20">
        <f t="shared" si="88"/>
        <v>-0.3706946942185167</v>
      </c>
      <c r="BS76" t="b">
        <f t="shared" si="111"/>
        <v>0</v>
      </c>
      <c r="BU76" t="b">
        <f t="shared" si="112"/>
        <v>0</v>
      </c>
      <c r="BW76" t="b">
        <f t="shared" si="113"/>
        <v>0</v>
      </c>
    </row>
    <row r="77" spans="1:75">
      <c r="A77" s="86"/>
      <c r="B77" s="43">
        <f>'[15]Dados de entrada'!$B$28</f>
        <v>12</v>
      </c>
      <c r="C77" s="43">
        <f>'[15]Dados de entrada'!$B$31</f>
        <v>4</v>
      </c>
      <c r="D77" s="43">
        <f>'[15]Dados de entrada'!$B$32</f>
        <v>46</v>
      </c>
      <c r="E77" s="44">
        <f>'[15]Dados de entrada'!$B$27</f>
        <v>2.6933292113182881</v>
      </c>
      <c r="F77" s="43">
        <f>'[15]Dados de entrada'!$B$30</f>
        <v>82</v>
      </c>
      <c r="G77" s="43">
        <f>'[15]Dados de entrada'!$B$22</f>
        <v>88</v>
      </c>
      <c r="H77" s="45">
        <f>'[15]Dados de entrada'!$B$29/('[15]Dados de entrada'!$B$20*2*G77)</f>
        <v>7.3376623376623373E-3</v>
      </c>
      <c r="I77" s="26">
        <f>'[15]fib Model Code 2010'!$K$7</f>
        <v>294.23372458255977</v>
      </c>
      <c r="J77" s="19">
        <f>'[15]Dados de entrada'!$C$9</f>
        <v>0.56000000000000005</v>
      </c>
      <c r="K77" s="23"/>
      <c r="L77" s="23"/>
      <c r="M77" s="23"/>
      <c r="N77" s="23"/>
      <c r="O77" s="23"/>
      <c r="P77" s="23"/>
      <c r="Q77" s="23"/>
      <c r="R77" s="23"/>
      <c r="S77" s="19"/>
      <c r="T77" s="23"/>
      <c r="U77" s="23"/>
      <c r="V77" s="23"/>
      <c r="W77" s="19"/>
      <c r="X77" s="19"/>
      <c r="Y77" s="19"/>
      <c r="Z77" s="19"/>
      <c r="AA77" s="19"/>
      <c r="AB77" s="19"/>
      <c r="AC77" s="19"/>
      <c r="AD77" s="20">
        <f>'[15]fib Model Code 2010'!$L$7</f>
        <v>0.30709427182839427</v>
      </c>
      <c r="AE77" s="20">
        <f t="shared" si="93"/>
        <v>0.54838262826498974</v>
      </c>
      <c r="AF77" s="20">
        <f t="shared" si="69"/>
        <v>-0.60078200892008893</v>
      </c>
      <c r="AG77" s="20">
        <f>'[15]fib Model Code 2020'!$L$7</f>
        <v>0.38177508410215444</v>
      </c>
      <c r="AH77" s="20">
        <f t="shared" si="94"/>
        <v>0.68174122161099004</v>
      </c>
      <c r="AI77" s="20">
        <f t="shared" si="70"/>
        <v>-0.38310513359751264</v>
      </c>
      <c r="AJ77" s="20">
        <f>'[15]Eurocode 2'!$L$7</f>
        <v>0.42229067379293672</v>
      </c>
      <c r="AK77" s="20">
        <f t="shared" si="95"/>
        <v>0.75409048891595831</v>
      </c>
      <c r="AL77" s="20">
        <f t="shared" si="71"/>
        <v>-0.28224290635014554</v>
      </c>
      <c r="AM77" s="20">
        <f>'[15]NBR 6118'!$Q$7</f>
        <v>0.50538431734130629</v>
      </c>
      <c r="AN77" s="20">
        <f>'[15]NBR 6118'!$R$7</f>
        <v>0.21831414761577628</v>
      </c>
      <c r="AO77" s="20">
        <f>'[15]NBR 6118'!$W$7</f>
        <v>0.38984669217102902</v>
      </c>
      <c r="AP77" s="20">
        <f t="shared" si="72"/>
        <v>-0.94200171413868483</v>
      </c>
      <c r="AQ77" s="20">
        <f>'[15]Clark (1956)'!$L$7</f>
        <v>0.48460524761713825</v>
      </c>
      <c r="AR77" s="20">
        <f t="shared" si="99"/>
        <v>0.86536651360203254</v>
      </c>
      <c r="AS77" s="20">
        <f t="shared" si="74"/>
        <v>-0.14460214664531304</v>
      </c>
      <c r="AT77" s="20">
        <f>'[15]Leonhardt (1977)'!$L$7</f>
        <v>0.27291843309892705</v>
      </c>
      <c r="AU77" s="20">
        <f t="shared" si="100"/>
        <v>0.48735434481951256</v>
      </c>
      <c r="AV77" s="20">
        <f t="shared" si="76"/>
        <v>-0.71876381304523951</v>
      </c>
      <c r="AW77" s="20">
        <f>'[15]Desayi; Ganesan (1985)'!$L$7</f>
        <v>0.52041628199675649</v>
      </c>
      <c r="AX77" s="20">
        <f t="shared" si="101"/>
        <v>0.92931478927992217</v>
      </c>
      <c r="AY77" s="20">
        <f t="shared" si="78"/>
        <v>-7.3307750115344072E-2</v>
      </c>
      <c r="AZ77" s="20">
        <f>'[15]Oh; Kang (1987)'!$L$7</f>
        <v>0.19466692875272593</v>
      </c>
      <c r="BA77" s="20">
        <f t="shared" si="102"/>
        <v>0.3476195156298677</v>
      </c>
      <c r="BB77" s="20">
        <f t="shared" si="80"/>
        <v>-1.0566467432374878</v>
      </c>
      <c r="BC77" s="20">
        <f>'[15]Caldas (1997)'!$L$7</f>
        <v>0.34899935700575707</v>
      </c>
      <c r="BD77" s="20">
        <f t="shared" si="103"/>
        <v>0.6232131375102804</v>
      </c>
      <c r="BE77" s="20">
        <f t="shared" si="82"/>
        <v>-0.472866703918846</v>
      </c>
      <c r="BF77" s="20">
        <v>0.46644737746381815</v>
      </c>
      <c r="BG77" s="20">
        <f t="shared" si="83"/>
        <v>0.83294174547110378</v>
      </c>
      <c r="BH77" s="20">
        <f t="shared" si="84"/>
        <v>-0.18279157266878784</v>
      </c>
      <c r="BI77" s="20">
        <v>0.5503677050597654</v>
      </c>
      <c r="BJ77" s="20">
        <f t="shared" si="118"/>
        <v>0.98279947332100959</v>
      </c>
      <c r="BK77" s="20">
        <f t="shared" si="119"/>
        <v>-1.7350174231665235E-2</v>
      </c>
      <c r="BL77" s="20">
        <v>0.41010471120266756</v>
      </c>
      <c r="BM77" s="20">
        <f t="shared" si="87"/>
        <v>0.7323298414333349</v>
      </c>
      <c r="BN77" s="20">
        <f t="shared" si="88"/>
        <v>-0.31152426346088935</v>
      </c>
      <c r="BS77" t="b">
        <f t="shared" si="111"/>
        <v>0</v>
      </c>
      <c r="BU77" t="b">
        <f t="shared" si="112"/>
        <v>0</v>
      </c>
      <c r="BW77" t="b">
        <f t="shared" si="113"/>
        <v>0</v>
      </c>
    </row>
    <row r="78" spans="1:75">
      <c r="A78" s="87" t="s">
        <v>32</v>
      </c>
      <c r="B78" s="37">
        <f>'[16]Dados de entrada'!$B$28</f>
        <v>25</v>
      </c>
      <c r="C78" s="37">
        <f>'[16]Dados de entrada'!$B$31</f>
        <v>4</v>
      </c>
      <c r="D78" s="37">
        <f>'[16]Dados de entrada'!$B$32</f>
        <v>62</v>
      </c>
      <c r="E78" s="41">
        <f>'[16]Dados de entrada'!$B$27</f>
        <v>2.6933292113182881</v>
      </c>
      <c r="F78" s="37">
        <f>'[16]Dados de entrada'!$B$30</f>
        <v>32</v>
      </c>
      <c r="G78" s="37">
        <f>'[16]Dados de entrada'!$B$22</f>
        <v>44.5</v>
      </c>
      <c r="H78" s="42">
        <f>'[16]Dados de entrada'!$B$29/('[16]Dados de entrada'!$B$20*2*G78)</f>
        <v>6.3049759229534513E-2</v>
      </c>
      <c r="I78" s="25">
        <f>'[16]fib Model Code 2010'!$K$6</f>
        <v>213.02531045198921</v>
      </c>
      <c r="J78" s="4">
        <f>'[16]Dados de entrada'!$C$8</f>
        <v>0.23</v>
      </c>
      <c r="K78" s="22"/>
      <c r="L78" s="22"/>
      <c r="M78" s="22"/>
      <c r="N78" s="22"/>
      <c r="O78" s="22"/>
      <c r="P78" s="22"/>
      <c r="Q78" s="22"/>
      <c r="R78" s="22"/>
      <c r="S78" s="4"/>
      <c r="T78" s="22"/>
      <c r="U78" s="22"/>
      <c r="V78" s="22"/>
      <c r="W78" s="4"/>
      <c r="X78" s="4"/>
      <c r="Y78" s="4"/>
      <c r="Z78" s="4"/>
      <c r="AA78" s="4"/>
      <c r="AB78" s="4"/>
      <c r="AC78" s="4"/>
      <c r="AD78" s="11">
        <f>'[16]fib Model Code 2010'!$L$6</f>
        <v>0.16521223330503229</v>
      </c>
      <c r="AE78" s="11">
        <f t="shared" si="93"/>
        <v>0.71831405784796643</v>
      </c>
      <c r="AF78" s="11">
        <f t="shared" si="69"/>
        <v>-0.33084839909474717</v>
      </c>
      <c r="AG78" s="11">
        <f>'[16]fib Model Code 2020'!$L$6</f>
        <v>0.18965673546789175</v>
      </c>
      <c r="AH78" s="11">
        <f t="shared" si="94"/>
        <v>0.82459450203431195</v>
      </c>
      <c r="AI78" s="11">
        <f t="shared" si="70"/>
        <v>-0.19286352616509389</v>
      </c>
      <c r="AJ78" s="11">
        <f>'[16]Eurocode 2'!$L$6</f>
        <v>0.16118390025027668</v>
      </c>
      <c r="AK78" s="11">
        <f t="shared" si="95"/>
        <v>0.70079956630555074</v>
      </c>
      <c r="AL78" s="11">
        <f t="shared" si="71"/>
        <v>-0.35553335821638155</v>
      </c>
      <c r="AM78" s="11">
        <f>'[16]NBR 6118'!$Q$6</f>
        <v>0.20974850186234273</v>
      </c>
      <c r="AN78" s="11">
        <f>'[16]NBR 6118'!$R$6</f>
        <v>0.24680152038352576</v>
      </c>
      <c r="AO78" s="11">
        <f>'[16]NBR 6118'!$W$6</f>
        <v>0.91195000809714222</v>
      </c>
      <c r="AP78" s="11">
        <f t="shared" si="72"/>
        <v>-9.2170106093198215E-2</v>
      </c>
      <c r="AQ78" s="11">
        <f>'[16]Clark (1956)'!$L$6</f>
        <v>0.11745005812708208</v>
      </c>
      <c r="AR78" s="11">
        <f t="shared" si="99"/>
        <v>0.51065242663948729</v>
      </c>
      <c r="AS78" s="11">
        <f t="shared" si="74"/>
        <v>-0.67206610290922553</v>
      </c>
      <c r="AT78" s="11">
        <f>'[16]Leonhardt (1977)'!$L$6</f>
        <v>0.27711743382603071</v>
      </c>
      <c r="AU78" s="11">
        <f t="shared" si="100"/>
        <v>1.2048584079392639</v>
      </c>
      <c r="AV78" s="11">
        <f t="shared" si="76"/>
        <v>0.1863620562536645</v>
      </c>
      <c r="AW78" s="11">
        <f>'[16]Desayi; Ganesan (1985)'!$L$6</f>
        <v>0.15913220377021248</v>
      </c>
      <c r="AX78" s="11">
        <f t="shared" si="101"/>
        <v>0.69187914682701079</v>
      </c>
      <c r="AY78" s="11">
        <f t="shared" si="78"/>
        <v>-0.36834398192995499</v>
      </c>
      <c r="AZ78" s="11">
        <f>'[16]Oh; Kang (1987)'!$L$6</f>
        <v>0.13181222577251248</v>
      </c>
      <c r="BA78" s="11">
        <f t="shared" si="102"/>
        <v>0.57309663379353248</v>
      </c>
      <c r="BB78" s="11">
        <f t="shared" si="80"/>
        <v>-0.55670093112249719</v>
      </c>
      <c r="BC78" s="11">
        <f>'[16]Caldas (1997)'!$L$6</f>
        <v>0.20539461225344013</v>
      </c>
      <c r="BD78" s="11">
        <f t="shared" si="103"/>
        <v>0.89302005327582668</v>
      </c>
      <c r="BE78" s="11">
        <f t="shared" si="82"/>
        <v>-0.11314624228181817</v>
      </c>
      <c r="BF78" s="11" cm="1">
        <f t="array" ref="BF78:BF81">'[16]Gergely e Lutz (1968)'!$L$6:$L$9</f>
        <v>0.19227618709319946</v>
      </c>
      <c r="BG78" s="11">
        <f t="shared" si="83"/>
        <v>0.8359834221443454</v>
      </c>
      <c r="BH78" s="11">
        <f t="shared" si="84"/>
        <v>-0.1791464960649306</v>
      </c>
      <c r="BI78" s="11" cm="1">
        <f t="array" ref="BI78:BI81">[16]Sugestão!$M$6:$M$9</f>
        <v>0.1950703182466067</v>
      </c>
      <c r="BJ78" s="11">
        <f t="shared" ref="BJ78:BJ81" si="120">BI78/J78</f>
        <v>0.84813181846350738</v>
      </c>
      <c r="BK78" s="11">
        <f t="shared" ref="BK78:BK81" si="121">LN(BJ78)</f>
        <v>-0.1647192089694525</v>
      </c>
      <c r="BL78" s="11" cm="1">
        <f t="array" ref="BL78:BL81">'[16]fib Model Code 2020 modificado'!$L$6:$L$9</f>
        <v>0.28951743634001603</v>
      </c>
      <c r="BM78" s="11">
        <f t="shared" si="87"/>
        <v>1.2587714623478958</v>
      </c>
      <c r="BN78" s="11">
        <f t="shared" si="88"/>
        <v>0.2301362154299206</v>
      </c>
      <c r="BS78" t="b">
        <f t="shared" si="111"/>
        <v>0</v>
      </c>
      <c r="BU78" t="b">
        <f t="shared" si="112"/>
        <v>1</v>
      </c>
      <c r="BW78" t="b">
        <f t="shared" si="113"/>
        <v>1</v>
      </c>
    </row>
    <row r="79" spans="1:75">
      <c r="A79" s="88"/>
      <c r="B79" s="37">
        <f>'[16]Dados de entrada'!$B$28</f>
        <v>25</v>
      </c>
      <c r="C79" s="37">
        <f>'[16]Dados de entrada'!$B$31</f>
        <v>4</v>
      </c>
      <c r="D79" s="37">
        <f>'[16]Dados de entrada'!$B$32</f>
        <v>62</v>
      </c>
      <c r="E79" s="41">
        <f>'[16]Dados de entrada'!$B$27</f>
        <v>2.6933292113182881</v>
      </c>
      <c r="F79" s="37">
        <f>'[16]Dados de entrada'!$B$30</f>
        <v>32</v>
      </c>
      <c r="G79" s="37">
        <f>'[16]Dados de entrada'!$B$22</f>
        <v>44.5</v>
      </c>
      <c r="H79" s="42">
        <f>'[16]Dados de entrada'!$B$29/('[16]Dados de entrada'!$B$20*2*G79)</f>
        <v>6.3049759229534513E-2</v>
      </c>
      <c r="I79" s="25">
        <f>'[16]fib Model Code 2010'!$K$7</f>
        <v>319.53796567798378</v>
      </c>
      <c r="J79" s="4">
        <f>'[16]Dados de entrada'!$C$9</f>
        <v>0.35</v>
      </c>
      <c r="K79" s="22"/>
      <c r="L79" s="22"/>
      <c r="M79" s="22"/>
      <c r="N79" s="22"/>
      <c r="O79" s="22"/>
      <c r="P79" s="22"/>
      <c r="Q79" s="22"/>
      <c r="R79" s="22"/>
      <c r="S79" s="4"/>
      <c r="T79" s="22"/>
      <c r="U79" s="22"/>
      <c r="V79" s="22"/>
      <c r="W79" s="4"/>
      <c r="X79" s="4"/>
      <c r="Y79" s="4"/>
      <c r="Z79" s="4"/>
      <c r="AA79" s="4"/>
      <c r="AB79" s="4"/>
      <c r="AC79" s="4"/>
      <c r="AD79" s="11">
        <f>'[16]fib Model Code 2010'!$L$7</f>
        <v>0.26719707809644927</v>
      </c>
      <c r="AE79" s="11">
        <f t="shared" si="93"/>
        <v>0.76342022313271229</v>
      </c>
      <c r="AF79" s="11">
        <f t="shared" si="69"/>
        <v>-0.26994664814853875</v>
      </c>
      <c r="AG79" s="11">
        <f>'[16]fib Model Code 2020'!$L$7</f>
        <v>0.31802770082984461</v>
      </c>
      <c r="AH79" s="11">
        <f t="shared" si="94"/>
        <v>0.90865057379955605</v>
      </c>
      <c r="AI79" s="11">
        <f t="shared" si="70"/>
        <v>-9.5794665969283863E-2</v>
      </c>
      <c r="AJ79" s="11">
        <f>'[16]Eurocode 2'!$L$7</f>
        <v>0.26068207130610616</v>
      </c>
      <c r="AK79" s="11">
        <f t="shared" si="95"/>
        <v>0.74480591801744622</v>
      </c>
      <c r="AL79" s="11">
        <f t="shared" si="71"/>
        <v>-0.29463160727017296</v>
      </c>
      <c r="AM79" s="11">
        <f>'[16]NBR 6118'!$Q$7</f>
        <v>0.31462275279351415</v>
      </c>
      <c r="AN79" s="11">
        <f>'[16]NBR 6118'!$R$7</f>
        <v>0.55530342086293294</v>
      </c>
      <c r="AO79" s="11">
        <f>'[16]NBR 6118'!$W$7</f>
        <v>0.89892215083861193</v>
      </c>
      <c r="AP79" s="11">
        <f t="shared" si="72"/>
        <v>-0.10655884354529746</v>
      </c>
      <c r="AQ79" s="11">
        <f>'[16]Clark (1956)'!$L$7</f>
        <v>0.18629077621226869</v>
      </c>
      <c r="AR79" s="11">
        <f t="shared" si="99"/>
        <v>0.53225936060648205</v>
      </c>
      <c r="AS79" s="11">
        <f t="shared" si="74"/>
        <v>-0.63062438850273106</v>
      </c>
      <c r="AT79" s="11">
        <f>'[16]Leonhardt (1977)'!$L$7</f>
        <v>0.44648166290315272</v>
      </c>
      <c r="AU79" s="11">
        <f t="shared" si="100"/>
        <v>1.2756618940090079</v>
      </c>
      <c r="AV79" s="11">
        <f t="shared" si="76"/>
        <v>0.24346517646378568</v>
      </c>
      <c r="AW79" s="11">
        <f>'[16]Desayi; Ganesan (1985)'!$L$7</f>
        <v>0.23869830565531872</v>
      </c>
      <c r="AX79" s="11">
        <f t="shared" si="101"/>
        <v>0.68199515901519636</v>
      </c>
      <c r="AY79" s="11">
        <f t="shared" si="78"/>
        <v>-0.38273271938205455</v>
      </c>
      <c r="AZ79" s="11">
        <f>'[16]Oh; Kang (1987)'!$L$7</f>
        <v>0.21295451716099853</v>
      </c>
      <c r="BA79" s="11">
        <f t="shared" si="102"/>
        <v>0.60844147760285294</v>
      </c>
      <c r="BB79" s="11">
        <f t="shared" si="80"/>
        <v>-0.49685454603116808</v>
      </c>
      <c r="BC79" s="11">
        <f>'[16]Caldas (1997)'!$L$7</f>
        <v>0.32023897247780675</v>
      </c>
      <c r="BD79" s="11">
        <f t="shared" si="103"/>
        <v>0.9149684927937336</v>
      </c>
      <c r="BE79" s="11">
        <f t="shared" si="82"/>
        <v>-8.8865648404692327E-2</v>
      </c>
      <c r="BF79" s="11">
        <v>0.28841428063979918</v>
      </c>
      <c r="BG79" s="11">
        <f t="shared" si="83"/>
        <v>0.82404080182799766</v>
      </c>
      <c r="BH79" s="11">
        <f t="shared" si="84"/>
        <v>-0.19353523351703014</v>
      </c>
      <c r="BI79" s="11">
        <v>0.34850980674992177</v>
      </c>
      <c r="BJ79" s="11">
        <f t="shared" si="120"/>
        <v>0.99574230499977656</v>
      </c>
      <c r="BK79" s="11">
        <f t="shared" si="121"/>
        <v>-4.2667847938019435E-3</v>
      </c>
      <c r="BL79" s="11">
        <v>0.50205261032903148</v>
      </c>
      <c r="BM79" s="11">
        <f t="shared" si="87"/>
        <v>1.4344360295115186</v>
      </c>
      <c r="BN79" s="11">
        <f t="shared" si="88"/>
        <v>0.36077176116923532</v>
      </c>
      <c r="BS79" t="b">
        <f t="shared" si="111"/>
        <v>0</v>
      </c>
      <c r="BU79" t="b">
        <f t="shared" si="112"/>
        <v>1</v>
      </c>
      <c r="BW79" t="b">
        <f t="shared" si="113"/>
        <v>1</v>
      </c>
    </row>
    <row r="80" spans="1:75">
      <c r="A80" s="88"/>
      <c r="B80" s="37">
        <f>'[16]Dados de entrada'!$B$28</f>
        <v>25</v>
      </c>
      <c r="C80" s="37">
        <f>'[16]Dados de entrada'!$B$31</f>
        <v>4</v>
      </c>
      <c r="D80" s="37">
        <f>'[16]Dados de entrada'!$B$32</f>
        <v>62</v>
      </c>
      <c r="E80" s="41">
        <f>'[16]Dados de entrada'!$B$27</f>
        <v>2.6933292113182881</v>
      </c>
      <c r="F80" s="37">
        <f>'[16]Dados de entrada'!$B$30</f>
        <v>32</v>
      </c>
      <c r="G80" s="37">
        <f>'[16]Dados de entrada'!$B$22</f>
        <v>44.5</v>
      </c>
      <c r="H80" s="42">
        <f>'[16]Dados de entrada'!$B$29/('[16]Dados de entrada'!$B$20*2*G80)</f>
        <v>6.3049759229534513E-2</v>
      </c>
      <c r="I80" s="25">
        <f>'[16]fib Model Code 2010'!$K$8</f>
        <v>426.05062090397843</v>
      </c>
      <c r="J80" s="4">
        <f>'[16]Dados de entrada'!$C$10</f>
        <v>0.49</v>
      </c>
      <c r="K80" s="22"/>
      <c r="L80" s="22"/>
      <c r="M80" s="22"/>
      <c r="N80" s="22"/>
      <c r="O80" s="22"/>
      <c r="P80" s="22"/>
      <c r="Q80" s="22"/>
      <c r="R80" s="22"/>
      <c r="S80" s="4"/>
      <c r="T80" s="22"/>
      <c r="U80" s="22"/>
      <c r="V80" s="22"/>
      <c r="W80" s="4"/>
      <c r="X80" s="4"/>
      <c r="Y80" s="4"/>
      <c r="Z80" s="4"/>
      <c r="AA80" s="4"/>
      <c r="AB80" s="4"/>
      <c r="AC80" s="4"/>
      <c r="AD80" s="11">
        <f>'[16]fib Model Code 2010'!$L$8</f>
        <v>0.36918192288786633</v>
      </c>
      <c r="AE80" s="11">
        <f t="shared" si="93"/>
        <v>0.75343249568952309</v>
      </c>
      <c r="AF80" s="11">
        <f t="shared" si="69"/>
        <v>-0.28311585260030425</v>
      </c>
      <c r="AG80" s="11">
        <f>'[16]fib Model Code 2020'!$L$8</f>
        <v>0.44639866619179752</v>
      </c>
      <c r="AH80" s="11">
        <f t="shared" si="94"/>
        <v>0.91101768610570921</v>
      </c>
      <c r="AI80" s="11">
        <f t="shared" si="70"/>
        <v>-9.3192967963635506E-2</v>
      </c>
      <c r="AJ80" s="11">
        <f>'[16]Eurocode 2'!$L$8</f>
        <v>0.36018024236193569</v>
      </c>
      <c r="AK80" s="11">
        <f t="shared" si="95"/>
        <v>0.73506171910599116</v>
      </c>
      <c r="AL80" s="11">
        <f t="shared" si="71"/>
        <v>-0.30780081172193846</v>
      </c>
      <c r="AM80" s="11">
        <f>'[16]NBR 6118'!$Q$8</f>
        <v>0.41949700372468546</v>
      </c>
      <c r="AN80" s="11">
        <f>'[16]NBR 6118'!$R$8</f>
        <v>0.98720608153410305</v>
      </c>
      <c r="AO80" s="11">
        <f>'[16]NBR 6118'!$W$8</f>
        <v>0.85611633413201116</v>
      </c>
      <c r="AP80" s="11">
        <f t="shared" si="72"/>
        <v>-0.1553490077147297</v>
      </c>
      <c r="AQ80" s="11">
        <f>'[16]Clark (1956)'!$L$8</f>
        <v>0.25513149429745535</v>
      </c>
      <c r="AR80" s="11">
        <f t="shared" si="99"/>
        <v>0.52067651897439871</v>
      </c>
      <c r="AS80" s="11">
        <f t="shared" si="74"/>
        <v>-0.65262631494360235</v>
      </c>
      <c r="AT80" s="11">
        <f>'[16]Leonhardt (1977)'!$L$8</f>
        <v>0.60968478954745375</v>
      </c>
      <c r="AU80" s="11">
        <f t="shared" si="100"/>
        <v>1.2442546725458241</v>
      </c>
      <c r="AV80" s="11">
        <f t="shared" si="76"/>
        <v>0.21853669406056567</v>
      </c>
      <c r="AW80" s="11">
        <f>'[16]Desayi; Ganesan (1985)'!$L$8</f>
        <v>0.31826440754042495</v>
      </c>
      <c r="AX80" s="11">
        <f t="shared" si="101"/>
        <v>0.64951919906209177</v>
      </c>
      <c r="AY80" s="11">
        <f t="shared" si="78"/>
        <v>-0.4315228835514866</v>
      </c>
      <c r="AZ80" s="11">
        <f>'[16]Oh; Kang (1987)'!$L$8</f>
        <v>0.29409680854948467</v>
      </c>
      <c r="BA80" s="11">
        <f t="shared" si="102"/>
        <v>0.60019756846833605</v>
      </c>
      <c r="BB80" s="11">
        <f t="shared" si="80"/>
        <v>-0.5104963971864489</v>
      </c>
      <c r="BC80" s="11">
        <f>'[16]Caldas (1997)'!$L$8</f>
        <v>0.43508333270217331</v>
      </c>
      <c r="BD80" s="11">
        <f t="shared" si="103"/>
        <v>0.88792516877994554</v>
      </c>
      <c r="BE80" s="11">
        <f t="shared" si="82"/>
        <v>-0.11886780893278491</v>
      </c>
      <c r="BF80" s="11">
        <v>0.38455237418639893</v>
      </c>
      <c r="BG80" s="11">
        <f t="shared" si="83"/>
        <v>0.78480076364571216</v>
      </c>
      <c r="BH80" s="11">
        <f t="shared" si="84"/>
        <v>-0.24232539768646202</v>
      </c>
      <c r="BI80" s="11">
        <v>0.50194929525323695</v>
      </c>
      <c r="BJ80" s="11">
        <f t="shared" si="120"/>
        <v>1.0243863168433407</v>
      </c>
      <c r="BK80" s="11">
        <f t="shared" si="121"/>
        <v>2.4093718014021173E-2</v>
      </c>
      <c r="BL80" s="11">
        <v>0.73741035644538055</v>
      </c>
      <c r="BM80" s="11">
        <f t="shared" si="87"/>
        <v>1.504919094786491</v>
      </c>
      <c r="BN80" s="11">
        <f t="shared" si="88"/>
        <v>0.40873913913889709</v>
      </c>
      <c r="BS80" t="b">
        <f t="shared" si="111"/>
        <v>0</v>
      </c>
      <c r="BU80" t="b">
        <f t="shared" si="112"/>
        <v>1</v>
      </c>
      <c r="BW80" t="b">
        <f t="shared" si="113"/>
        <v>1</v>
      </c>
    </row>
    <row r="81" spans="1:75">
      <c r="A81" s="89"/>
      <c r="B81" s="37">
        <f>'[16]Dados de entrada'!$B$28</f>
        <v>25</v>
      </c>
      <c r="C81" s="37">
        <f>'[16]Dados de entrada'!$B$31</f>
        <v>4</v>
      </c>
      <c r="D81" s="37">
        <f>'[16]Dados de entrada'!$B$32</f>
        <v>62</v>
      </c>
      <c r="E81" s="41">
        <f>'[16]Dados de entrada'!$B$27</f>
        <v>2.6933292113182881</v>
      </c>
      <c r="F81" s="37">
        <f>'[16]Dados de entrada'!$B$30</f>
        <v>32</v>
      </c>
      <c r="G81" s="37">
        <f>'[16]Dados de entrada'!$B$22</f>
        <v>44.5</v>
      </c>
      <c r="H81" s="42">
        <f>'[16]Dados de entrada'!$B$29/('[16]Dados de entrada'!$B$20*2*G81)</f>
        <v>6.3049759229534513E-2</v>
      </c>
      <c r="I81" s="25">
        <f>'[16]fib Model Code 2010'!$K$9</f>
        <v>500</v>
      </c>
      <c r="J81" s="4">
        <f>'[16]Dados de entrada'!$C$11</f>
        <v>0.67</v>
      </c>
      <c r="K81" s="22"/>
      <c r="L81" s="22"/>
      <c r="M81" s="22"/>
      <c r="N81" s="22"/>
      <c r="O81" s="22"/>
      <c r="P81" s="22"/>
      <c r="Q81" s="22"/>
      <c r="R81" s="22"/>
      <c r="S81" s="4"/>
      <c r="T81" s="22"/>
      <c r="U81" s="22"/>
      <c r="V81" s="22"/>
      <c r="W81" s="4"/>
      <c r="X81" s="4"/>
      <c r="Y81" s="4"/>
      <c r="Z81" s="4"/>
      <c r="AA81" s="4"/>
      <c r="AB81" s="4"/>
      <c r="AC81" s="4"/>
      <c r="AD81" s="11">
        <f>'[16]fib Model Code 2010'!$L$9</f>
        <v>0.43998774341245744</v>
      </c>
      <c r="AE81" s="11">
        <f t="shared" si="93"/>
        <v>0.65669812449620513</v>
      </c>
      <c r="AF81" s="11">
        <f t="shared" si="69"/>
        <v>-0.42053084174146571</v>
      </c>
      <c r="AG81" s="11">
        <f>'[16]fib Model Code 2020'!$L$9</f>
        <v>0.53552378622876884</v>
      </c>
      <c r="AH81" s="11">
        <f t="shared" si="94"/>
        <v>0.79928923317726686</v>
      </c>
      <c r="AI81" s="11">
        <f t="shared" si="70"/>
        <v>-0.22403240475583119</v>
      </c>
      <c r="AJ81" s="11">
        <f>'[16]Eurocode 2'!$L$9</f>
        <v>0.42925962034905629</v>
      </c>
      <c r="AK81" s="11">
        <f t="shared" si="95"/>
        <v>0.64068600052097946</v>
      </c>
      <c r="AL81" s="11">
        <f t="shared" si="71"/>
        <v>-0.44521580086310014</v>
      </c>
      <c r="AM81" s="11">
        <f>'[16]NBR 6118'!$Q$9</f>
        <v>0.46969896597778604</v>
      </c>
      <c r="AN81" s="11">
        <f>'[16]NBR 6118'!$R$9</f>
        <v>1.2376256565018231</v>
      </c>
      <c r="AO81" s="11">
        <f>'[16]NBR 6118'!$W$9</f>
        <v>0.70104323280266567</v>
      </c>
      <c r="AP81" s="11">
        <f t="shared" si="72"/>
        <v>-0.35518572080693178</v>
      </c>
      <c r="AQ81" s="11">
        <f>'[16]Clark (1956)'!$L$9</f>
        <v>0.30292608122351122</v>
      </c>
      <c r="AR81" s="11">
        <f t="shared" si="99"/>
        <v>0.45212847943807644</v>
      </c>
      <c r="AS81" s="11">
        <f t="shared" si="74"/>
        <v>-0.79378889299588429</v>
      </c>
      <c r="AT81" s="11">
        <f>'[16]Leonhardt (1977)'!$L$9</f>
        <v>0.72144924936846344</v>
      </c>
      <c r="AU81" s="11">
        <f t="shared" si="100"/>
        <v>1.0767899244305423</v>
      </c>
      <c r="AV81" s="11">
        <f t="shared" si="76"/>
        <v>7.3984322909258438E-2</v>
      </c>
      <c r="AW81" s="11">
        <f>'[16]Desayi; Ganesan (1985)'!$L$9</f>
        <v>0.37350539105557851</v>
      </c>
      <c r="AX81" s="11">
        <f t="shared" si="101"/>
        <v>0.5574707329187738</v>
      </c>
      <c r="AY81" s="11">
        <f t="shared" si="78"/>
        <v>-0.58434527403256309</v>
      </c>
      <c r="AZ81" s="11">
        <f>'[16]Oh; Kang (1987)'!$L$9</f>
        <v>0.35043210555128729</v>
      </c>
      <c r="BA81" s="11">
        <f t="shared" si="102"/>
        <v>0.52303299336013021</v>
      </c>
      <c r="BB81" s="11">
        <f t="shared" si="80"/>
        <v>-0.648110732088373</v>
      </c>
      <c r="BC81" s="11">
        <f>'[16]Caldas (1997)'!$L$9</f>
        <v>0.51481723017428416</v>
      </c>
      <c r="BD81" s="11">
        <f t="shared" si="103"/>
        <v>0.76838392563325986</v>
      </c>
      <c r="BE81" s="11">
        <f t="shared" si="82"/>
        <v>-0.26346576757611978</v>
      </c>
      <c r="BF81" s="11">
        <v>0.45129892472691385</v>
      </c>
      <c r="BG81" s="11">
        <f t="shared" si="83"/>
        <v>0.67358048466703557</v>
      </c>
      <c r="BH81" s="11">
        <f t="shared" si="84"/>
        <v>-0.39514778816753848</v>
      </c>
      <c r="BI81" s="11">
        <v>0.60260898148478304</v>
      </c>
      <c r="BJ81" s="11">
        <f t="shared" si="120"/>
        <v>0.89941639027579556</v>
      </c>
      <c r="BK81" s="11">
        <f t="shared" si="121"/>
        <v>-0.10600918124498218</v>
      </c>
      <c r="BL81" s="11">
        <v>0.91423712194495588</v>
      </c>
      <c r="BM81" s="11">
        <f t="shared" si="87"/>
        <v>1.3645330178282922</v>
      </c>
      <c r="BN81" s="11">
        <f t="shared" si="88"/>
        <v>0.3108122586223353</v>
      </c>
      <c r="BS81" t="b">
        <f t="shared" si="111"/>
        <v>0</v>
      </c>
      <c r="BU81" t="b">
        <f t="shared" si="112"/>
        <v>1</v>
      </c>
      <c r="BW81" t="b">
        <f t="shared" si="113"/>
        <v>1</v>
      </c>
    </row>
    <row r="82" spans="1:75">
      <c r="A82" s="85" t="s">
        <v>33</v>
      </c>
      <c r="B82" s="43">
        <f>'[17]Dados de entrada'!$B$28</f>
        <v>25</v>
      </c>
      <c r="C82" s="43">
        <f>'[17]Dados de entrada'!$B$31</f>
        <v>4</v>
      </c>
      <c r="D82" s="43">
        <f>'[17]Dados de entrada'!$B$32</f>
        <v>62</v>
      </c>
      <c r="E82" s="44">
        <f>'[17]Dados de entrada'!$B$27</f>
        <v>2.6933292113182881</v>
      </c>
      <c r="F82" s="43">
        <f>'[17]Dados de entrada'!$B$30</f>
        <v>32</v>
      </c>
      <c r="G82" s="43">
        <f>'[17]Dados de entrada'!$B$22</f>
        <v>44.5</v>
      </c>
      <c r="H82" s="45">
        <f>'[17]Dados de entrada'!$B$29/('[17]Dados de entrada'!$B$20*2*G82)</f>
        <v>6.3049759229534513E-2</v>
      </c>
      <c r="I82" s="26">
        <f>'[17]fib Model Code 2010'!$K$6</f>
        <v>213.02531045198921</v>
      </c>
      <c r="J82" s="19">
        <f>'[17]Dados de entrada'!$C$8</f>
        <v>0.27</v>
      </c>
      <c r="K82" s="23"/>
      <c r="L82" s="23"/>
      <c r="M82" s="23"/>
      <c r="N82" s="23"/>
      <c r="O82" s="23"/>
      <c r="P82" s="23"/>
      <c r="Q82" s="23"/>
      <c r="R82" s="23"/>
      <c r="S82" s="19"/>
      <c r="T82" s="23"/>
      <c r="U82" s="23"/>
      <c r="V82" s="23"/>
      <c r="W82" s="19"/>
      <c r="X82" s="19"/>
      <c r="Y82" s="19"/>
      <c r="Z82" s="19"/>
      <c r="AA82" s="19"/>
      <c r="AB82" s="19"/>
      <c r="AC82" s="19"/>
      <c r="AD82" s="20">
        <f>'[17]fib Model Code 2010'!$L$6</f>
        <v>0.16521223330503229</v>
      </c>
      <c r="AE82" s="20">
        <f t="shared" si="93"/>
        <v>0.61189716038900843</v>
      </c>
      <c r="AF82" s="20">
        <f t="shared" si="69"/>
        <v>-0.49119104916992656</v>
      </c>
      <c r="AG82" s="20">
        <f>'[17]fib Model Code 2020'!$L$6</f>
        <v>0.18965673546789175</v>
      </c>
      <c r="AH82" s="20">
        <f t="shared" si="94"/>
        <v>0.70243235358478417</v>
      </c>
      <c r="AI82" s="20">
        <f t="shared" si="70"/>
        <v>-0.3532061762402734</v>
      </c>
      <c r="AJ82" s="20">
        <f>'[17]Eurocode 2'!$L$6</f>
        <v>0.16118390025027668</v>
      </c>
      <c r="AK82" s="20">
        <f t="shared" si="95"/>
        <v>0.59697740833435808</v>
      </c>
      <c r="AL82" s="20">
        <f t="shared" si="71"/>
        <v>-0.51587600829156088</v>
      </c>
      <c r="AM82" s="20">
        <f>'[17]NBR 6118'!$Q$6</f>
        <v>0.20974850186234273</v>
      </c>
      <c r="AN82" s="20">
        <f>'[17]NBR 6118'!$R$6</f>
        <v>0.24680152038352576</v>
      </c>
      <c r="AO82" s="20">
        <f>'[17]NBR 6118'!$W$6</f>
        <v>0.77684630319386194</v>
      </c>
      <c r="AP82" s="20">
        <f t="shared" si="72"/>
        <v>-0.25251275616837754</v>
      </c>
      <c r="AQ82" s="20">
        <f>'[17]Clark (1956)'!$L$6</f>
        <v>0.11745005812708208</v>
      </c>
      <c r="AR82" s="20">
        <f t="shared" si="99"/>
        <v>0.43500021528548916</v>
      </c>
      <c r="AS82" s="20">
        <f t="shared" si="74"/>
        <v>-0.83240875298440498</v>
      </c>
      <c r="AT82" s="20">
        <f>'[17]Leonhardt (1977)'!$L$6</f>
        <v>0.27711743382603071</v>
      </c>
      <c r="AU82" s="20">
        <f t="shared" si="100"/>
        <v>1.026360866022336</v>
      </c>
      <c r="AV82" s="20">
        <f t="shared" si="76"/>
        <v>2.6019406178485215E-2</v>
      </c>
      <c r="AW82" s="20">
        <f>'[17]Desayi; Ganesan (1985)'!$L$6</f>
        <v>0.15913220377021248</v>
      </c>
      <c r="AX82" s="20">
        <f t="shared" si="101"/>
        <v>0.58937853248226835</v>
      </c>
      <c r="AY82" s="20">
        <f t="shared" si="78"/>
        <v>-0.52868663200513455</v>
      </c>
      <c r="AZ82" s="20">
        <f>'[17]Oh; Kang (1987)'!$L$6</f>
        <v>0.13181222577251248</v>
      </c>
      <c r="BA82" s="20">
        <f t="shared" si="102"/>
        <v>0.48819342878708322</v>
      </c>
      <c r="BB82" s="20">
        <f t="shared" si="80"/>
        <v>-0.71704358119767664</v>
      </c>
      <c r="BC82" s="20">
        <f>'[17]Caldas (1997)'!$L$6</f>
        <v>0.20539461225344013</v>
      </c>
      <c r="BD82" s="20">
        <f t="shared" si="103"/>
        <v>0.7607207861238523</v>
      </c>
      <c r="BE82" s="20">
        <f t="shared" si="82"/>
        <v>-0.27348889235699764</v>
      </c>
      <c r="BF82" s="20" cm="1">
        <f t="array" ref="BF82:BF85">'[17]Gergely e Lutz (1968)'!$L$6:$L$9</f>
        <v>0.19227618709319946</v>
      </c>
      <c r="BG82" s="20">
        <f t="shared" si="83"/>
        <v>0.71213402627110911</v>
      </c>
      <c r="BH82" s="20">
        <f t="shared" si="84"/>
        <v>-0.33948914614010989</v>
      </c>
      <c r="BI82" s="20" cm="1">
        <f t="array" ref="BI82:BI85">[17]Sugestão!$M$6:$M$9</f>
        <v>0.1950703182466067</v>
      </c>
      <c r="BJ82" s="20">
        <f t="shared" ref="BJ82:BJ85" si="122">BI82/J82</f>
        <v>0.72248266017261731</v>
      </c>
      <c r="BK82" s="20">
        <f t="shared" ref="BK82:BK85" si="123">LN(BJ82)</f>
        <v>-0.32506185904463203</v>
      </c>
      <c r="BL82" s="20" cm="1">
        <f t="array" ref="BL82:BL85">'[17]fib Model Code 2020 modificado'!$L$6:$L$9</f>
        <v>0.28951743634001603</v>
      </c>
      <c r="BM82" s="20">
        <f t="shared" si="87"/>
        <v>1.0722868012593185</v>
      </c>
      <c r="BN82" s="20">
        <f t="shared" si="88"/>
        <v>6.9793565354741086E-2</v>
      </c>
      <c r="BS82" t="b">
        <f t="shared" si="111"/>
        <v>0</v>
      </c>
      <c r="BU82" t="b">
        <f t="shared" si="112"/>
        <v>1</v>
      </c>
      <c r="BW82" t="b">
        <f t="shared" si="113"/>
        <v>1</v>
      </c>
    </row>
    <row r="83" spans="1:75">
      <c r="A83" s="90"/>
      <c r="B83" s="43">
        <f>'[17]Dados de entrada'!$B$28</f>
        <v>25</v>
      </c>
      <c r="C83" s="43">
        <f>'[17]Dados de entrada'!$B$31</f>
        <v>4</v>
      </c>
      <c r="D83" s="43">
        <f>'[17]Dados de entrada'!$B$32</f>
        <v>62</v>
      </c>
      <c r="E83" s="44">
        <f>'[17]Dados de entrada'!$B$27</f>
        <v>2.6933292113182881</v>
      </c>
      <c r="F83" s="43">
        <f>'[17]Dados de entrada'!$B$30</f>
        <v>32</v>
      </c>
      <c r="G83" s="43">
        <f>'[17]Dados de entrada'!$B$22</f>
        <v>44.5</v>
      </c>
      <c r="H83" s="45">
        <f>'[17]Dados de entrada'!$B$29/('[17]Dados de entrada'!$B$20*2*G83)</f>
        <v>6.3049759229534513E-2</v>
      </c>
      <c r="I83" s="26">
        <f>'[17]fib Model Code 2010'!$K$7</f>
        <v>319.53796567798378</v>
      </c>
      <c r="J83" s="19">
        <f>'[17]Dados de entrada'!$C$9</f>
        <v>0.4</v>
      </c>
      <c r="K83" s="23"/>
      <c r="L83" s="23"/>
      <c r="M83" s="23"/>
      <c r="N83" s="23"/>
      <c r="O83" s="23"/>
      <c r="P83" s="23"/>
      <c r="Q83" s="23"/>
      <c r="R83" s="23"/>
      <c r="S83" s="19"/>
      <c r="T83" s="23"/>
      <c r="U83" s="23"/>
      <c r="V83" s="23"/>
      <c r="W83" s="19"/>
      <c r="X83" s="19"/>
      <c r="Y83" s="19"/>
      <c r="Z83" s="19"/>
      <c r="AA83" s="19"/>
      <c r="AB83" s="19"/>
      <c r="AC83" s="19"/>
      <c r="AD83" s="20">
        <f>'[17]fib Model Code 2010'!$L$7</f>
        <v>0.26719707809644927</v>
      </c>
      <c r="AE83" s="20">
        <f t="shared" si="93"/>
        <v>0.66799269524112315</v>
      </c>
      <c r="AF83" s="20">
        <f t="shared" si="69"/>
        <v>-0.40347804077306154</v>
      </c>
      <c r="AG83" s="20">
        <f>'[17]fib Model Code 2020'!$L$7</f>
        <v>0.31802770082984461</v>
      </c>
      <c r="AH83" s="20">
        <f t="shared" si="94"/>
        <v>0.79506925207461143</v>
      </c>
      <c r="AI83" s="20">
        <f t="shared" si="70"/>
        <v>-0.22932605859380664</v>
      </c>
      <c r="AJ83" s="20">
        <f>'[17]Eurocode 2'!$L$7</f>
        <v>0.26068207130610616</v>
      </c>
      <c r="AK83" s="20">
        <f t="shared" si="95"/>
        <v>0.65170517826526531</v>
      </c>
      <c r="AL83" s="20">
        <f t="shared" si="71"/>
        <v>-0.42816299989469581</v>
      </c>
      <c r="AM83" s="20">
        <f>'[17]NBR 6118'!$Q$7</f>
        <v>0.31462275279351415</v>
      </c>
      <c r="AN83" s="20">
        <f>'[17]NBR 6118'!$R$7</f>
        <v>0.55530342086293294</v>
      </c>
      <c r="AO83" s="20">
        <f>'[17]NBR 6118'!$W$7</f>
        <v>0.78655688198378537</v>
      </c>
      <c r="AP83" s="20">
        <f t="shared" si="72"/>
        <v>-0.24009023616982017</v>
      </c>
      <c r="AQ83" s="20">
        <f>'[17]Clark (1956)'!$L$7</f>
        <v>0.18629077621226869</v>
      </c>
      <c r="AR83" s="20">
        <f t="shared" si="99"/>
        <v>0.46572694053067171</v>
      </c>
      <c r="AS83" s="20">
        <f t="shared" si="74"/>
        <v>-0.76415578112725391</v>
      </c>
      <c r="AT83" s="20">
        <f>'[17]Leonhardt (1977)'!$L$7</f>
        <v>0.44648166290315272</v>
      </c>
      <c r="AU83" s="20">
        <f t="shared" si="100"/>
        <v>1.1162041572578818</v>
      </c>
      <c r="AV83" s="20">
        <f t="shared" si="76"/>
        <v>0.109933783839263</v>
      </c>
      <c r="AW83" s="20">
        <f>'[17]Desayi; Ganesan (1985)'!$L$7</f>
        <v>0.23869830565531872</v>
      </c>
      <c r="AX83" s="20">
        <f t="shared" si="101"/>
        <v>0.59674576413829672</v>
      </c>
      <c r="AY83" s="20">
        <f t="shared" si="78"/>
        <v>-0.5162641120065774</v>
      </c>
      <c r="AZ83" s="20">
        <f>'[17]Oh; Kang (1987)'!$L$7</f>
        <v>0.21295451716099853</v>
      </c>
      <c r="BA83" s="20">
        <f t="shared" si="102"/>
        <v>0.53238629290249628</v>
      </c>
      <c r="BB83" s="20">
        <f t="shared" si="80"/>
        <v>-0.63038593865569081</v>
      </c>
      <c r="BC83" s="20">
        <f>'[17]Caldas (1997)'!$L$7</f>
        <v>0.32023897247780675</v>
      </c>
      <c r="BD83" s="20">
        <f t="shared" si="103"/>
        <v>0.80059743119451687</v>
      </c>
      <c r="BE83" s="20">
        <f t="shared" si="82"/>
        <v>-0.22239704102921498</v>
      </c>
      <c r="BF83" s="20">
        <v>0.28841428063979918</v>
      </c>
      <c r="BG83" s="20">
        <f t="shared" si="83"/>
        <v>0.72103570159949792</v>
      </c>
      <c r="BH83" s="20">
        <f t="shared" si="84"/>
        <v>-0.3270666261415528</v>
      </c>
      <c r="BI83" s="20">
        <v>0.34850980674992177</v>
      </c>
      <c r="BJ83" s="20">
        <f t="shared" si="122"/>
        <v>0.87127451687480439</v>
      </c>
      <c r="BK83" s="20">
        <f t="shared" si="123"/>
        <v>-0.13779817741832467</v>
      </c>
      <c r="BL83" s="20">
        <v>0.50205261032903148</v>
      </c>
      <c r="BM83" s="20">
        <f t="shared" si="87"/>
        <v>1.2551315258225786</v>
      </c>
      <c r="BN83" s="20">
        <f t="shared" si="88"/>
        <v>0.22724036854471252</v>
      </c>
      <c r="BS83" t="b">
        <f t="shared" si="111"/>
        <v>0</v>
      </c>
      <c r="BU83" t="b">
        <f t="shared" si="112"/>
        <v>1</v>
      </c>
      <c r="BW83" t="b">
        <f t="shared" si="113"/>
        <v>1</v>
      </c>
    </row>
    <row r="84" spans="1:75">
      <c r="A84" s="90"/>
      <c r="B84" s="43">
        <f>'[17]Dados de entrada'!$B$28</f>
        <v>25</v>
      </c>
      <c r="C84" s="43">
        <f>'[17]Dados de entrada'!$B$31</f>
        <v>4</v>
      </c>
      <c r="D84" s="43">
        <f>'[17]Dados de entrada'!$B$32</f>
        <v>62</v>
      </c>
      <c r="E84" s="44">
        <f>'[17]Dados de entrada'!$B$27</f>
        <v>2.6933292113182881</v>
      </c>
      <c r="F84" s="43">
        <f>'[17]Dados de entrada'!$B$30</f>
        <v>32</v>
      </c>
      <c r="G84" s="43">
        <f>'[17]Dados de entrada'!$B$22</f>
        <v>44.5</v>
      </c>
      <c r="H84" s="45">
        <f>'[17]Dados de entrada'!$B$29/('[17]Dados de entrada'!$B$20*2*G84)</f>
        <v>6.3049759229534513E-2</v>
      </c>
      <c r="I84" s="26">
        <f>'[17]fib Model Code 2010'!$K$8</f>
        <v>426.05062090397843</v>
      </c>
      <c r="J84" s="19">
        <f>'[17]Dados de entrada'!$C$10</f>
        <v>0.53</v>
      </c>
      <c r="K84" s="23"/>
      <c r="L84" s="23"/>
      <c r="M84" s="23"/>
      <c r="N84" s="23"/>
      <c r="O84" s="23"/>
      <c r="P84" s="23"/>
      <c r="Q84" s="23"/>
      <c r="R84" s="23"/>
      <c r="S84" s="19"/>
      <c r="T84" s="23"/>
      <c r="U84" s="23"/>
      <c r="V84" s="23"/>
      <c r="W84" s="19"/>
      <c r="X84" s="19"/>
      <c r="Y84" s="19"/>
      <c r="Z84" s="19"/>
      <c r="AA84" s="19"/>
      <c r="AB84" s="19"/>
      <c r="AC84" s="19"/>
      <c r="AD84" s="20">
        <f>'[17]fib Model Code 2010'!$L$8</f>
        <v>0.36918192288786633</v>
      </c>
      <c r="AE84" s="20">
        <f t="shared" si="93"/>
        <v>0.69656966582616286</v>
      </c>
      <c r="AF84" s="20">
        <f t="shared" si="69"/>
        <v>-0.36158746804179948</v>
      </c>
      <c r="AG84" s="20">
        <f>'[17]fib Model Code 2020'!$L$8</f>
        <v>0.44639866619179752</v>
      </c>
      <c r="AH84" s="20">
        <f t="shared" si="94"/>
        <v>0.84226163432414625</v>
      </c>
      <c r="AI84" s="20">
        <f t="shared" si="70"/>
        <v>-0.17166458340513074</v>
      </c>
      <c r="AJ84" s="20">
        <f>'[17]Eurocode 2'!$L$8</f>
        <v>0.36018024236193569</v>
      </c>
      <c r="AK84" s="20">
        <f t="shared" si="95"/>
        <v>0.67958536294704841</v>
      </c>
      <c r="AL84" s="20">
        <f t="shared" si="71"/>
        <v>-0.38627242716343368</v>
      </c>
      <c r="AM84" s="20">
        <f>'[17]NBR 6118'!$Q$8</f>
        <v>0.41949700372468546</v>
      </c>
      <c r="AN84" s="20">
        <f>'[17]NBR 6118'!$R$8</f>
        <v>0.98720608153410305</v>
      </c>
      <c r="AO84" s="20">
        <f>'[17]NBR 6118'!$W$8</f>
        <v>0.79150378061261406</v>
      </c>
      <c r="AP84" s="20">
        <f t="shared" si="72"/>
        <v>-0.23382062315622498</v>
      </c>
      <c r="AQ84" s="20">
        <f>'[17]Clark (1956)'!$L$8</f>
        <v>0.25513149429745535</v>
      </c>
      <c r="AR84" s="20">
        <f t="shared" si="99"/>
        <v>0.48138017791972704</v>
      </c>
      <c r="AS84" s="20">
        <f t="shared" si="74"/>
        <v>-0.73109793038509774</v>
      </c>
      <c r="AT84" s="20">
        <f>'[17]Leonhardt (1977)'!$L$8</f>
        <v>0.60968478954745375</v>
      </c>
      <c r="AU84" s="20">
        <f t="shared" si="100"/>
        <v>1.1503486595234975</v>
      </c>
      <c r="AV84" s="20">
        <f t="shared" si="76"/>
        <v>0.14006507861907022</v>
      </c>
      <c r="AW84" s="20">
        <f>'[17]Desayi; Ganesan (1985)'!$L$8</f>
        <v>0.31826440754042495</v>
      </c>
      <c r="AX84" s="20">
        <f t="shared" si="101"/>
        <v>0.60049888215174518</v>
      </c>
      <c r="AY84" s="20">
        <f t="shared" si="78"/>
        <v>-0.50999449899298188</v>
      </c>
      <c r="AZ84" s="20">
        <f>'[17]Oh; Kang (1987)'!$L$8</f>
        <v>0.29409680854948467</v>
      </c>
      <c r="BA84" s="20">
        <f t="shared" si="102"/>
        <v>0.5548996387726125</v>
      </c>
      <c r="BB84" s="20">
        <f t="shared" si="80"/>
        <v>-0.58896801262794429</v>
      </c>
      <c r="BC84" s="20">
        <f>'[17]Caldas (1997)'!$L$8</f>
        <v>0.43508333270217331</v>
      </c>
      <c r="BD84" s="20">
        <f t="shared" si="103"/>
        <v>0.82091194849466653</v>
      </c>
      <c r="BE84" s="20">
        <f t="shared" si="82"/>
        <v>-0.19733942437428026</v>
      </c>
      <c r="BF84" s="20">
        <v>0.38455237418639893</v>
      </c>
      <c r="BG84" s="20">
        <f t="shared" si="83"/>
        <v>0.72557051733282818</v>
      </c>
      <c r="BH84" s="20">
        <f t="shared" si="84"/>
        <v>-0.32079701312795733</v>
      </c>
      <c r="BI84" s="20">
        <v>0.50194929525323695</v>
      </c>
      <c r="BJ84" s="20">
        <f t="shared" si="122"/>
        <v>0.94707414198723949</v>
      </c>
      <c r="BK84" s="20">
        <f t="shared" si="123"/>
        <v>-5.4377897427474065E-2</v>
      </c>
      <c r="BL84" s="20">
        <v>0.73741035644538055</v>
      </c>
      <c r="BM84" s="20">
        <f t="shared" si="87"/>
        <v>1.3913402951799632</v>
      </c>
      <c r="BN84" s="20">
        <f t="shared" si="88"/>
        <v>0.3302675236974017</v>
      </c>
      <c r="BS84" t="b">
        <f t="shared" si="111"/>
        <v>0</v>
      </c>
      <c r="BU84" t="b">
        <f t="shared" si="112"/>
        <v>1</v>
      </c>
      <c r="BW84" t="b">
        <f t="shared" si="113"/>
        <v>1</v>
      </c>
    </row>
    <row r="85" spans="1:75">
      <c r="A85" s="86"/>
      <c r="B85" s="43">
        <f>'[17]Dados de entrada'!$B$28</f>
        <v>25</v>
      </c>
      <c r="C85" s="43">
        <f>'[17]Dados de entrada'!$B$31</f>
        <v>4</v>
      </c>
      <c r="D85" s="43">
        <f>'[17]Dados de entrada'!$B$32</f>
        <v>62</v>
      </c>
      <c r="E85" s="44">
        <f>'[17]Dados de entrada'!$B$27</f>
        <v>2.6933292113182881</v>
      </c>
      <c r="F85" s="43">
        <f>'[17]Dados de entrada'!$B$30</f>
        <v>32</v>
      </c>
      <c r="G85" s="43">
        <f>'[17]Dados de entrada'!$B$22</f>
        <v>44.5</v>
      </c>
      <c r="H85" s="45">
        <f>'[17]Dados de entrada'!$B$29/('[17]Dados de entrada'!$B$20*2*G85)</f>
        <v>6.3049759229534513E-2</v>
      </c>
      <c r="I85" s="26">
        <f>'[17]fib Model Code 2010'!$K$9</f>
        <v>500</v>
      </c>
      <c r="J85" s="19">
        <f>'[17]Dados de entrada'!$C$11</f>
        <v>0.72</v>
      </c>
      <c r="K85" s="23"/>
      <c r="L85" s="23"/>
      <c r="M85" s="23"/>
      <c r="N85" s="23"/>
      <c r="O85" s="23"/>
      <c r="P85" s="23"/>
      <c r="Q85" s="23"/>
      <c r="R85" s="23"/>
      <c r="S85" s="19"/>
      <c r="T85" s="23"/>
      <c r="U85" s="23"/>
      <c r="V85" s="23"/>
      <c r="W85" s="19"/>
      <c r="X85" s="19"/>
      <c r="Y85" s="19"/>
      <c r="Z85" s="19"/>
      <c r="AA85" s="19"/>
      <c r="AB85" s="19"/>
      <c r="AC85" s="19"/>
      <c r="AD85" s="20">
        <f>'[17]fib Model Code 2010'!$L$9</f>
        <v>0.43998774341245744</v>
      </c>
      <c r="AE85" s="20">
        <f t="shared" si="93"/>
        <v>0.61109408807285759</v>
      </c>
      <c r="AF85" s="20">
        <f t="shared" si="69"/>
        <v>-0.49250434136655491</v>
      </c>
      <c r="AG85" s="20">
        <f>'[17]fib Model Code 2020'!$L$9</f>
        <v>0.53552378622876884</v>
      </c>
      <c r="AH85" s="20">
        <f t="shared" si="94"/>
        <v>0.74378303642884569</v>
      </c>
      <c r="AI85" s="20">
        <f t="shared" si="70"/>
        <v>-0.29600590438092028</v>
      </c>
      <c r="AJ85" s="20">
        <f>'[17]Eurocode 2'!$L$9</f>
        <v>0.42925962034905629</v>
      </c>
      <c r="AK85" s="20">
        <f t="shared" si="95"/>
        <v>0.59619391715146708</v>
      </c>
      <c r="AL85" s="20">
        <f t="shared" si="71"/>
        <v>-0.51718930048818923</v>
      </c>
      <c r="AM85" s="20">
        <f>'[17]NBR 6118'!$Q$9</f>
        <v>0.46969896597778604</v>
      </c>
      <c r="AN85" s="20">
        <f>'[17]NBR 6118'!$R$9</f>
        <v>1.2376256565018231</v>
      </c>
      <c r="AO85" s="20">
        <f>'[17]NBR 6118'!$W$9</f>
        <v>0.65235967496914726</v>
      </c>
      <c r="AP85" s="20">
        <f t="shared" si="72"/>
        <v>-0.42715922043202098</v>
      </c>
      <c r="AQ85" s="20">
        <f>'[17]Clark (1956)'!$L$9</f>
        <v>0.30292608122351122</v>
      </c>
      <c r="AR85" s="20">
        <f t="shared" si="99"/>
        <v>0.42073066836598783</v>
      </c>
      <c r="AS85" s="20">
        <f t="shared" si="74"/>
        <v>-0.86576239262097343</v>
      </c>
      <c r="AT85" s="20">
        <f>'[17]Leonhardt (1977)'!$L$9</f>
        <v>0.72144924936846344</v>
      </c>
      <c r="AU85" s="20">
        <f t="shared" si="100"/>
        <v>1.0020128463450881</v>
      </c>
      <c r="AV85" s="20">
        <f t="shared" si="76"/>
        <v>2.0108232841693128E-3</v>
      </c>
      <c r="AW85" s="20">
        <f>'[17]Desayi; Ganesan (1985)'!$L$9</f>
        <v>0.37350539105557851</v>
      </c>
      <c r="AX85" s="20">
        <f t="shared" si="101"/>
        <v>0.51875748757719242</v>
      </c>
      <c r="AY85" s="20">
        <f t="shared" si="78"/>
        <v>-0.65631877365765212</v>
      </c>
      <c r="AZ85" s="20">
        <f>'[17]Oh; Kang (1987)'!$L$9</f>
        <v>0.35043210555128729</v>
      </c>
      <c r="BA85" s="20">
        <f t="shared" si="102"/>
        <v>0.48671125771012125</v>
      </c>
      <c r="BB85" s="20">
        <f t="shared" si="80"/>
        <v>-0.72008423171346214</v>
      </c>
      <c r="BC85" s="20">
        <f>'[17]Caldas (1997)'!$L$9</f>
        <v>0.51481723017428416</v>
      </c>
      <c r="BD85" s="20">
        <f t="shared" si="103"/>
        <v>0.71502393079761695</v>
      </c>
      <c r="BE85" s="20">
        <f t="shared" si="82"/>
        <v>-0.33543926720120881</v>
      </c>
      <c r="BF85" s="20">
        <v>0.45129892472691385</v>
      </c>
      <c r="BG85" s="20">
        <f t="shared" si="83"/>
        <v>0.62680406212071371</v>
      </c>
      <c r="BH85" s="20">
        <f t="shared" si="84"/>
        <v>-0.46712128779262768</v>
      </c>
      <c r="BI85" s="20">
        <v>0.60260898148478304</v>
      </c>
      <c r="BJ85" s="20">
        <f t="shared" si="122"/>
        <v>0.83695691872886535</v>
      </c>
      <c r="BK85" s="20">
        <f t="shared" si="123"/>
        <v>-0.17798268087007138</v>
      </c>
      <c r="BL85" s="20">
        <v>0.91423712194495588</v>
      </c>
      <c r="BM85" s="20">
        <f t="shared" si="87"/>
        <v>1.2697737804791054</v>
      </c>
      <c r="BN85" s="20">
        <f t="shared" si="88"/>
        <v>0.23883875899724619</v>
      </c>
      <c r="BS85" t="b">
        <f t="shared" si="111"/>
        <v>0</v>
      </c>
      <c r="BU85" t="b">
        <f t="shared" si="112"/>
        <v>1</v>
      </c>
      <c r="BW85" t="b">
        <f t="shared" si="113"/>
        <v>1</v>
      </c>
    </row>
    <row r="86" spans="1:75">
      <c r="A86" s="87" t="s">
        <v>34</v>
      </c>
      <c r="B86" s="37">
        <f>'[18]Dados de entrada'!$B$28</f>
        <v>25</v>
      </c>
      <c r="C86" s="37">
        <f>'[18]Dados de entrada'!$B$31</f>
        <v>4</v>
      </c>
      <c r="D86" s="37">
        <f>'[18]Dados de entrada'!$B$32</f>
        <v>28.7</v>
      </c>
      <c r="E86" s="41">
        <f>'[18]Dados de entrada'!$B$27</f>
        <v>2.6933292113182881</v>
      </c>
      <c r="F86" s="37">
        <f>'[18]Dados de entrada'!$B$30</f>
        <v>82</v>
      </c>
      <c r="G86" s="37">
        <f>'[18]Dados de entrada'!$B$22</f>
        <v>94.5</v>
      </c>
      <c r="H86" s="42">
        <f>'[18]Dados de entrada'!$B$29/('[18]Dados de entrada'!$B$20*2*G86)</f>
        <v>2.9690098261526833E-2</v>
      </c>
      <c r="I86" s="25">
        <f>'[18]fib Model Code 2010'!$K$5</f>
        <v>73.404459497833727</v>
      </c>
      <c r="J86" s="4">
        <f>'[18]Dados de entrada'!$C$7</f>
        <v>0.15</v>
      </c>
      <c r="K86" s="22"/>
      <c r="L86" s="22"/>
      <c r="M86" s="22"/>
      <c r="N86" s="22"/>
      <c r="O86" s="22"/>
      <c r="P86" s="22"/>
      <c r="Q86" s="22"/>
      <c r="R86" s="22"/>
      <c r="S86" s="4"/>
      <c r="T86" s="22"/>
      <c r="U86" s="22"/>
      <c r="V86" s="22"/>
      <c r="W86" s="4"/>
      <c r="X86" s="4"/>
      <c r="Y86" s="4"/>
      <c r="Z86" s="4"/>
      <c r="AA86" s="4"/>
      <c r="AB86" s="4"/>
      <c r="AC86" s="4"/>
      <c r="AD86" s="11">
        <f>'[18]fib Model Code 2010'!$L$5</f>
        <v>4.7185627719411878E-2</v>
      </c>
      <c r="AE86" s="11">
        <f t="shared" si="93"/>
        <v>0.31457085146274588</v>
      </c>
      <c r="AF86" s="11">
        <f t="shared" si="69"/>
        <v>-1.1565459453436009</v>
      </c>
      <c r="AG86" s="11">
        <f>'[18]fib Model Code 2020'!$L$5</f>
        <v>7.2012387274581896E-2</v>
      </c>
      <c r="AH86" s="11">
        <f t="shared" si="94"/>
        <v>0.48008258183054597</v>
      </c>
      <c r="AI86" s="11">
        <f t="shared" si="70"/>
        <v>-0.73379714439802268</v>
      </c>
      <c r="AJ86" s="11">
        <f>'[18]Eurocode 2'!$L$5</f>
        <v>7.9181431687268183E-2</v>
      </c>
      <c r="AK86" s="11">
        <f t="shared" si="95"/>
        <v>0.52787621124845463</v>
      </c>
      <c r="AL86" s="11">
        <f t="shared" si="71"/>
        <v>-0.63889347115627482</v>
      </c>
      <c r="AM86" s="11">
        <f>'[18]NBR 6118'!$Q$5</f>
        <v>0.10855043654205788</v>
      </c>
      <c r="AN86" s="11">
        <f>'[18]NBR 6118'!$R$5</f>
        <v>2.9399600977995204E-2</v>
      </c>
      <c r="AO86" s="11">
        <f>'[18]NBR 6118'!$W$5</f>
        <v>0.19599733985330137</v>
      </c>
      <c r="AP86" s="11">
        <f t="shared" si="72"/>
        <v>-1.6296541920207566</v>
      </c>
      <c r="AQ86" s="11">
        <f>'[18]Clark (1956)'!$L$5</f>
        <v>6.2554745306432749E-2</v>
      </c>
      <c r="AR86" s="11">
        <f t="shared" si="99"/>
        <v>0.41703163537621835</v>
      </c>
      <c r="AS86" s="11">
        <f t="shared" si="74"/>
        <v>-0.8745931958493246</v>
      </c>
      <c r="AT86" s="11"/>
      <c r="AU86" s="11"/>
      <c r="AV86" s="11"/>
      <c r="AW86" s="11">
        <f>'[18]Desayi; Ganesan (1985)'!$L$5</f>
        <v>0.11120342777150033</v>
      </c>
      <c r="AX86" s="11">
        <f t="shared" si="101"/>
        <v>0.74135618514333557</v>
      </c>
      <c r="AY86" s="11">
        <f t="shared" si="78"/>
        <v>-0.29927408747158663</v>
      </c>
      <c r="AZ86" s="11">
        <f>'[18]Oh; Kang (1987)'!$L$5</f>
        <v>3.564409320642116E-2</v>
      </c>
      <c r="BA86" s="11">
        <f t="shared" si="102"/>
        <v>0.23762728804280775</v>
      </c>
      <c r="BB86" s="11">
        <f t="shared" si="80"/>
        <v>-1.4370518494232345</v>
      </c>
      <c r="BC86" s="11">
        <f>'[18]Caldas (1997)'!$L$5</f>
        <v>7.5900154724817107E-2</v>
      </c>
      <c r="BD86" s="11">
        <f t="shared" si="103"/>
        <v>0.50600103149878073</v>
      </c>
      <c r="BE86" s="11">
        <f t="shared" si="82"/>
        <v>-0.6812165711616095</v>
      </c>
      <c r="BF86" s="11" cm="1">
        <f t="array" ref="BF86:BF88">'[18]Gergely e Lutz (1968)'!$L$5:$L$7</f>
        <v>0.13298387889396704</v>
      </c>
      <c r="BG86" s="11">
        <f t="shared" si="83"/>
        <v>0.886559192626447</v>
      </c>
      <c r="BH86" s="11">
        <f t="shared" si="84"/>
        <v>-0.12040738454474414</v>
      </c>
      <c r="BI86" s="11" cm="1">
        <f t="array" ref="BI86:BI88">[18]Sugestão!$M$5:$M$7</f>
        <v>7.2012387274581896E-2</v>
      </c>
      <c r="BJ86" s="11">
        <f t="shared" ref="BJ86:BJ88" si="124">BI86/J86</f>
        <v>0.48008258183054597</v>
      </c>
      <c r="BK86" s="11">
        <f t="shared" ref="BK86:BK88" si="125">LN(BJ86)</f>
        <v>-0.73379714439802268</v>
      </c>
      <c r="BL86" s="11" cm="1">
        <f t="array" ref="BL86:BL88">'[18]fib Model Code 2020 modificado'!$L$5:$L$7</f>
        <v>8.752938551150434E-2</v>
      </c>
      <c r="BM86" s="11">
        <f t="shared" si="87"/>
        <v>0.58352923674336232</v>
      </c>
      <c r="BN86" s="11">
        <f t="shared" si="88"/>
        <v>-0.53866072269524989</v>
      </c>
      <c r="BS86" t="b">
        <f t="shared" si="111"/>
        <v>0</v>
      </c>
      <c r="BU86" t="b">
        <f t="shared" si="112"/>
        <v>0</v>
      </c>
      <c r="BW86" t="b">
        <f t="shared" si="113"/>
        <v>0</v>
      </c>
    </row>
    <row r="87" spans="1:75">
      <c r="A87" s="102"/>
      <c r="B87" s="37">
        <f>'[18]Dados de entrada'!$B$28</f>
        <v>25</v>
      </c>
      <c r="C87" s="37">
        <f>'[18]Dados de entrada'!$B$31</f>
        <v>4</v>
      </c>
      <c r="D87" s="37">
        <f>'[18]Dados de entrada'!$B$32</f>
        <v>28.7</v>
      </c>
      <c r="E87" s="41">
        <f>'[18]Dados de entrada'!$B$27</f>
        <v>2.6933292113182881</v>
      </c>
      <c r="F87" s="37">
        <f>'[18]Dados de entrada'!$B$30</f>
        <v>82</v>
      </c>
      <c r="G87" s="37">
        <f>'[18]Dados de entrada'!$B$22</f>
        <v>94.5</v>
      </c>
      <c r="H87" s="42">
        <f>'[18]Dados de entrada'!$B$29/('[18]Dados de entrada'!$B$20*2*G87)</f>
        <v>2.9690098261526833E-2</v>
      </c>
      <c r="I87" s="25">
        <f>'[18]fib Model Code 2010'!$K$6</f>
        <v>122.34076582972288</v>
      </c>
      <c r="J87" s="4">
        <f>'[18]Dados de entrada'!$C$8</f>
        <v>0.3</v>
      </c>
      <c r="K87" s="22"/>
      <c r="L87" s="22"/>
      <c r="M87" s="22"/>
      <c r="N87" s="22"/>
      <c r="O87" s="22"/>
      <c r="P87" s="22"/>
      <c r="Q87" s="22"/>
      <c r="R87" s="22"/>
      <c r="S87" s="4"/>
      <c r="T87" s="22"/>
      <c r="U87" s="22"/>
      <c r="V87" s="22"/>
      <c r="W87" s="4"/>
      <c r="X87" s="4"/>
      <c r="Y87" s="4"/>
      <c r="Z87" s="4"/>
      <c r="AA87" s="4"/>
      <c r="AB87" s="4"/>
      <c r="AC87" s="4"/>
      <c r="AD87" s="11">
        <f>'[18]fib Model Code 2010'!$L$6</f>
        <v>0.11960450596181522</v>
      </c>
      <c r="AE87" s="11">
        <f t="shared" si="93"/>
        <v>0.39868168653938407</v>
      </c>
      <c r="AF87" s="11">
        <f t="shared" si="69"/>
        <v>-0.91959195858335119</v>
      </c>
      <c r="AG87" s="11">
        <f>'[18]fib Model Code 2020'!$L$6</f>
        <v>0.12002064545763651</v>
      </c>
      <c r="AH87" s="11">
        <f t="shared" si="94"/>
        <v>0.4000688181921217</v>
      </c>
      <c r="AI87" s="11">
        <f t="shared" si="70"/>
        <v>-0.91611870119197714</v>
      </c>
      <c r="AJ87" s="11">
        <f>'[18]Eurocode 2'!$L$6</f>
        <v>0.14530367170291708</v>
      </c>
      <c r="AK87" s="11">
        <f t="shared" si="95"/>
        <v>0.48434557234305697</v>
      </c>
      <c r="AL87" s="11">
        <f t="shared" si="71"/>
        <v>-0.72495663459251536</v>
      </c>
      <c r="AM87" s="11">
        <f>'[18]NBR 6118'!$Q$6</f>
        <v>0.18091739423676312</v>
      </c>
      <c r="AN87" s="11">
        <f>'[18]NBR 6118'!$R$6</f>
        <v>8.1665558272208852E-2</v>
      </c>
      <c r="AO87" s="11">
        <f>'[18]NBR 6118'!$W$6</f>
        <v>0.27221852757402953</v>
      </c>
      <c r="AP87" s="11">
        <f t="shared" si="72"/>
        <v>-1.301150125048721</v>
      </c>
      <c r="AQ87" s="11">
        <f>'[18]Clark (1956)'!$L$6</f>
        <v>0.12972038637164129</v>
      </c>
      <c r="AR87" s="11">
        <f t="shared" si="99"/>
        <v>0.432401287905471</v>
      </c>
      <c r="AS87" s="11">
        <f t="shared" si="74"/>
        <v>-0.83840121471673001</v>
      </c>
      <c r="AT87" s="11">
        <f>'[18]Leonhardt (1977)'!$L$6</f>
        <v>0.11551729509434719</v>
      </c>
      <c r="AU87" s="11">
        <f t="shared" si="100"/>
        <v>0.38505765031449063</v>
      </c>
      <c r="AV87" s="11">
        <f t="shared" si="76"/>
        <v>-0.95436221482782979</v>
      </c>
      <c r="AW87" s="11">
        <f>'[18]Desayi; Ganesan (1985)'!$L$6</f>
        <v>0.18533904628583389</v>
      </c>
      <c r="AX87" s="11">
        <f t="shared" si="101"/>
        <v>0.61779682095277966</v>
      </c>
      <c r="AY87" s="11">
        <f t="shared" si="78"/>
        <v>-0.48159564426554125</v>
      </c>
      <c r="AZ87" s="11">
        <f>'[18]Oh; Kang (1987)'!$L$6</f>
        <v>8.7861380667245123E-2</v>
      </c>
      <c r="BA87" s="11">
        <f t="shared" si="102"/>
        <v>0.2928712688908171</v>
      </c>
      <c r="BB87" s="11">
        <f t="shared" si="80"/>
        <v>-1.2280221218313416</v>
      </c>
      <c r="BC87" s="11">
        <f>'[18]Caldas (1997)'!$L$6</f>
        <v>0.14891108881475229</v>
      </c>
      <c r="BD87" s="11">
        <f t="shared" si="103"/>
        <v>0.49637029604917432</v>
      </c>
      <c r="BE87" s="11">
        <f t="shared" si="82"/>
        <v>-0.70043306618267731</v>
      </c>
      <c r="BF87" s="11">
        <v>0.22163979815661172</v>
      </c>
      <c r="BG87" s="11">
        <f t="shared" si="83"/>
        <v>0.73879932718870578</v>
      </c>
      <c r="BH87" s="11">
        <f t="shared" si="84"/>
        <v>-0.30272894133869888</v>
      </c>
      <c r="BI87" s="11">
        <v>0.12002064545763651</v>
      </c>
      <c r="BJ87" s="11">
        <f t="shared" si="124"/>
        <v>0.4000688181921217</v>
      </c>
      <c r="BK87" s="11">
        <f t="shared" si="125"/>
        <v>-0.91611870119197714</v>
      </c>
      <c r="BL87" s="11">
        <v>0.14795456285584677</v>
      </c>
      <c r="BM87" s="11">
        <f t="shared" si="87"/>
        <v>0.49318187618615589</v>
      </c>
      <c r="BN87" s="11">
        <f t="shared" si="88"/>
        <v>-0.70687725575937221</v>
      </c>
      <c r="BS87" t="b">
        <f t="shared" si="111"/>
        <v>0</v>
      </c>
      <c r="BU87" t="b">
        <f t="shared" si="112"/>
        <v>0</v>
      </c>
      <c r="BW87" t="b">
        <f t="shared" si="113"/>
        <v>0</v>
      </c>
    </row>
    <row r="88" spans="1:75">
      <c r="A88" s="103"/>
      <c r="B88" s="37">
        <f>'[18]Dados de entrada'!$B$28</f>
        <v>25</v>
      </c>
      <c r="C88" s="37">
        <f>'[18]Dados de entrada'!$B$31</f>
        <v>4</v>
      </c>
      <c r="D88" s="37">
        <f>'[18]Dados de entrada'!$B$32</f>
        <v>28.7</v>
      </c>
      <c r="E88" s="41">
        <f>'[18]Dados de entrada'!$B$27</f>
        <v>2.6933292113182881</v>
      </c>
      <c r="F88" s="37">
        <f>'[18]Dados de entrada'!$B$30</f>
        <v>82</v>
      </c>
      <c r="G88" s="37">
        <f>'[18]Dados de entrada'!$B$22</f>
        <v>94.5</v>
      </c>
      <c r="H88" s="42">
        <f>'[18]Dados de entrada'!$B$29/('[18]Dados de entrada'!$B$20*2*G88)</f>
        <v>2.9690098261526833E-2</v>
      </c>
      <c r="I88" s="25">
        <f>'[18]fib Model Code 2010'!$K$7</f>
        <v>244.68153165944577</v>
      </c>
      <c r="J88" s="4">
        <f>'[18]Dados de entrada'!$C$9</f>
        <v>0.56999999999999995</v>
      </c>
      <c r="K88" s="22"/>
      <c r="L88" s="22"/>
      <c r="M88" s="22"/>
      <c r="N88" s="22"/>
      <c r="O88" s="22"/>
      <c r="P88" s="22"/>
      <c r="Q88" s="22"/>
      <c r="R88" s="22"/>
      <c r="S88" s="4"/>
      <c r="T88" s="22"/>
      <c r="U88" s="22"/>
      <c r="V88" s="22"/>
      <c r="W88" s="4"/>
      <c r="X88" s="4"/>
      <c r="Y88" s="4"/>
      <c r="Z88" s="4"/>
      <c r="AA88" s="4"/>
      <c r="AB88" s="4"/>
      <c r="AC88" s="4"/>
      <c r="AD88" s="11">
        <f>'[18]fib Model Code 2010'!$L$7</f>
        <v>0.30065170156782367</v>
      </c>
      <c r="AE88" s="11">
        <f t="shared" si="93"/>
        <v>0.52745912555758545</v>
      </c>
      <c r="AF88" s="11">
        <f t="shared" ref="AF88:AF143" si="126">LN(AE88)</f>
        <v>-0.63968390372882022</v>
      </c>
      <c r="AG88" s="11">
        <f>'[18]fib Model Code 2020'!$L$7</f>
        <v>0.41855958413210198</v>
      </c>
      <c r="AH88" s="11">
        <f t="shared" si="94"/>
        <v>0.73431505988088075</v>
      </c>
      <c r="AI88" s="11">
        <f t="shared" ref="AI88:AI143" si="127">LN(AH88)</f>
        <v>-0.30881710556849157</v>
      </c>
      <c r="AJ88" s="11">
        <f>'[18]Eurocode 2'!$L$7</f>
        <v>0.36525209305643985</v>
      </c>
      <c r="AK88" s="11">
        <f t="shared" si="95"/>
        <v>0.64079314571305246</v>
      </c>
      <c r="AL88" s="11">
        <f t="shared" ref="AL88:AL143" si="128">LN(AK88)</f>
        <v>-0.44504857973798462</v>
      </c>
      <c r="AM88" s="11">
        <f>'[18]NBR 6118'!$Q$7</f>
        <v>0.36183478847352624</v>
      </c>
      <c r="AN88" s="11">
        <f>'[18]NBR 6118'!$R$7</f>
        <v>0.32666223308883541</v>
      </c>
      <c r="AO88" s="11">
        <f>'[18]NBR 6118'!$W$7</f>
        <v>0.57309163699795695</v>
      </c>
      <c r="AP88" s="11">
        <f t="shared" ref="AP88:AP151" si="129">LN(AO88)</f>
        <v>-0.55670965010122508</v>
      </c>
      <c r="AQ88" s="11">
        <f>'[18]Clark (1956)'!$L$7</f>
        <v>0.29763448903466261</v>
      </c>
      <c r="AR88" s="11">
        <f t="shared" si="99"/>
        <v>0.52216577023625022</v>
      </c>
      <c r="AS88" s="11">
        <f t="shared" ref="AS88:AS143" si="130">LN(AR88)</f>
        <v>-0.64977017401098969</v>
      </c>
      <c r="AT88" s="11">
        <f>'[18]Leonhardt (1977)'!$L$7</f>
        <v>0.46460103612345982</v>
      </c>
      <c r="AU88" s="11">
        <f t="shared" si="100"/>
        <v>0.81508953705870146</v>
      </c>
      <c r="AV88" s="11">
        <f t="shared" ref="AV88:AV140" si="131">LN(AU88)</f>
        <v>-0.20445731035387879</v>
      </c>
      <c r="AW88" s="11">
        <f>'[18]Desayi; Ganesan (1985)'!$L$7</f>
        <v>0.37067809257166778</v>
      </c>
      <c r="AX88" s="11">
        <f t="shared" si="101"/>
        <v>0.65031244310818914</v>
      </c>
      <c r="AY88" s="11">
        <f t="shared" ref="AY88:AY140" si="132">LN(AX88)</f>
        <v>-0.43030234987799065</v>
      </c>
      <c r="AZ88" s="11">
        <f>'[18]Oh; Kang (1987)'!$L$7</f>
        <v>0.218404599319305</v>
      </c>
      <c r="BA88" s="11">
        <f t="shared" si="102"/>
        <v>0.38316596371807898</v>
      </c>
      <c r="BB88" s="11">
        <f t="shared" ref="BB88:BB140" si="133">LN(BA88)</f>
        <v>-0.95928705802525971</v>
      </c>
      <c r="BC88" s="11">
        <f>'[18]Caldas (1997)'!$L$7</f>
        <v>0.33143842403959017</v>
      </c>
      <c r="BD88" s="11">
        <f t="shared" si="103"/>
        <v>0.58147091936770212</v>
      </c>
      <c r="BE88" s="11">
        <f t="shared" ref="BE88:BE140" si="134">LN(BD88)</f>
        <v>-0.54219431795975292</v>
      </c>
      <c r="BF88" s="11">
        <v>0.44327959631322345</v>
      </c>
      <c r="BG88" s="11">
        <f t="shared" si="83"/>
        <v>0.77768350230390082</v>
      </c>
      <c r="BH88" s="11">
        <f t="shared" si="84"/>
        <v>-0.25143564695114834</v>
      </c>
      <c r="BI88" s="11">
        <v>0.45337197684693187</v>
      </c>
      <c r="BJ88" s="11">
        <f t="shared" si="124"/>
        <v>0.79538943306479282</v>
      </c>
      <c r="BK88" s="11">
        <f t="shared" si="125"/>
        <v>-0.22892343135488699</v>
      </c>
      <c r="BL88" s="11">
        <v>0.4847886872785534</v>
      </c>
      <c r="BM88" s="11">
        <f t="shared" si="87"/>
        <v>0.85050646890974291</v>
      </c>
      <c r="BN88" s="11">
        <f t="shared" si="88"/>
        <v>-0.16192326116721797</v>
      </c>
      <c r="BS88" t="b">
        <f t="shared" si="111"/>
        <v>0</v>
      </c>
      <c r="BU88" t="b">
        <f t="shared" si="112"/>
        <v>0</v>
      </c>
      <c r="BW88" t="b">
        <f t="shared" si="113"/>
        <v>0</v>
      </c>
    </row>
    <row r="89" spans="1:75">
      <c r="A89" s="85" t="s">
        <v>35</v>
      </c>
      <c r="B89" s="43">
        <f>'[19]Dados de entrada'!$B$28</f>
        <v>25</v>
      </c>
      <c r="C89" s="43">
        <f>'[19]Dados de entrada'!$B$31</f>
        <v>4</v>
      </c>
      <c r="D89" s="43">
        <f>'[19]Dados de entrada'!$B$32</f>
        <v>28.7</v>
      </c>
      <c r="E89" s="44">
        <f>'[19]Dados de entrada'!$B$27</f>
        <v>2.6933292113182881</v>
      </c>
      <c r="F89" s="43">
        <f>'[19]Dados de entrada'!$B$30</f>
        <v>82</v>
      </c>
      <c r="G89" s="43">
        <f>'[19]Dados de entrada'!$B$22</f>
        <v>94.5</v>
      </c>
      <c r="H89" s="45">
        <f>'[19]Dados de entrada'!$B$29/('[19]Dados de entrada'!$B$20*2*G89)</f>
        <v>2.9690098261526833E-2</v>
      </c>
      <c r="I89" s="26">
        <f>'[19]fib Model Code 2010'!$K$5</f>
        <v>73.404459497833727</v>
      </c>
      <c r="J89" s="19">
        <f>'[19]Dados de entrada'!$C$7</f>
        <v>0.15</v>
      </c>
      <c r="K89" s="23"/>
      <c r="L89" s="23"/>
      <c r="M89" s="23"/>
      <c r="N89" s="23"/>
      <c r="O89" s="23"/>
      <c r="P89" s="23"/>
      <c r="Q89" s="23"/>
      <c r="R89" s="23"/>
      <c r="S89" s="19"/>
      <c r="T89" s="23"/>
      <c r="U89" s="23"/>
      <c r="V89" s="23"/>
      <c r="W89" s="19"/>
      <c r="X89" s="19"/>
      <c r="Y89" s="19"/>
      <c r="Z89" s="19"/>
      <c r="AA89" s="19"/>
      <c r="AB89" s="19"/>
      <c r="AC89" s="19"/>
      <c r="AD89" s="20">
        <f>'[19]fib Model Code 2010'!$L$5</f>
        <v>4.7185627719411878E-2</v>
      </c>
      <c r="AE89" s="20">
        <f t="shared" si="93"/>
        <v>0.31457085146274588</v>
      </c>
      <c r="AF89" s="20">
        <f t="shared" si="126"/>
        <v>-1.1565459453436009</v>
      </c>
      <c r="AG89" s="20">
        <f>'[19]fib Model Code 2020'!$L$5</f>
        <v>7.2012387274581896E-2</v>
      </c>
      <c r="AH89" s="20">
        <f t="shared" si="94"/>
        <v>0.48008258183054597</v>
      </c>
      <c r="AI89" s="20">
        <f t="shared" si="127"/>
        <v>-0.73379714439802268</v>
      </c>
      <c r="AJ89" s="20">
        <f>'[19]Eurocode 2'!$L$5</f>
        <v>7.9181431687268183E-2</v>
      </c>
      <c r="AK89" s="20">
        <f t="shared" si="95"/>
        <v>0.52787621124845463</v>
      </c>
      <c r="AL89" s="20">
        <f t="shared" si="128"/>
        <v>-0.63889347115627482</v>
      </c>
      <c r="AM89" s="20">
        <f>'[19]NBR 6118'!$Q$5</f>
        <v>0.10855043654205788</v>
      </c>
      <c r="AN89" s="20">
        <f>'[19]NBR 6118'!$R$5</f>
        <v>2.9399600977995204E-2</v>
      </c>
      <c r="AO89" s="20">
        <f>'[19]NBR 6118'!$W$5</f>
        <v>0.19599733985330137</v>
      </c>
      <c r="AP89" s="20">
        <f t="shared" si="129"/>
        <v>-1.6296541920207566</v>
      </c>
      <c r="AQ89" s="20">
        <f>'[19]Clark (1956)'!$L$5</f>
        <v>6.2554745306432749E-2</v>
      </c>
      <c r="AR89" s="20">
        <f t="shared" si="99"/>
        <v>0.41703163537621835</v>
      </c>
      <c r="AS89" s="20">
        <f t="shared" si="130"/>
        <v>-0.8745931958493246</v>
      </c>
      <c r="AT89" s="20"/>
      <c r="AU89" s="20"/>
      <c r="AV89" s="20"/>
      <c r="AW89" s="20">
        <f>'[19]Desayi; Ganesan (1985)'!$L$5</f>
        <v>0.11120342777150033</v>
      </c>
      <c r="AX89" s="20">
        <f t="shared" si="101"/>
        <v>0.74135618514333557</v>
      </c>
      <c r="AY89" s="20">
        <f t="shared" si="132"/>
        <v>-0.29927408747158663</v>
      </c>
      <c r="AZ89" s="20">
        <f>'[19]Oh; Kang (1987)'!$L$5</f>
        <v>3.564409320642116E-2</v>
      </c>
      <c r="BA89" s="20">
        <f t="shared" si="102"/>
        <v>0.23762728804280775</v>
      </c>
      <c r="BB89" s="20">
        <f t="shared" si="133"/>
        <v>-1.4370518494232345</v>
      </c>
      <c r="BC89" s="20">
        <f>'[19]Caldas (1997)'!$L$5</f>
        <v>7.5900154724817107E-2</v>
      </c>
      <c r="BD89" s="20">
        <f t="shared" si="103"/>
        <v>0.50600103149878073</v>
      </c>
      <c r="BE89" s="20">
        <f t="shared" si="134"/>
        <v>-0.6812165711616095</v>
      </c>
      <c r="BF89" s="20" cm="1">
        <f t="array" ref="BF89:BF91">'[19]Gergely e Lutz (1968)'!$L$5:$L$7</f>
        <v>0.13298387889396704</v>
      </c>
      <c r="BG89" s="20">
        <f t="shared" si="83"/>
        <v>0.886559192626447</v>
      </c>
      <c r="BH89" s="20">
        <f t="shared" si="84"/>
        <v>-0.12040738454474414</v>
      </c>
      <c r="BI89" s="20" cm="1">
        <f t="array" ref="BI89:BI91">[19]Sugestão!$M$5:$M$7</f>
        <v>7.2012387274581896E-2</v>
      </c>
      <c r="BJ89" s="20">
        <f t="shared" ref="BJ89:BJ91" si="135">BI89/J89</f>
        <v>0.48008258183054597</v>
      </c>
      <c r="BK89" s="20">
        <f t="shared" ref="BK89:BK91" si="136">LN(BJ89)</f>
        <v>-0.73379714439802268</v>
      </c>
      <c r="BL89" s="20" cm="1">
        <f t="array" ref="BL89:BL91">'[19]fib Model Code 2020 modificado'!$L$5:$L$7</f>
        <v>8.752938551150434E-2</v>
      </c>
      <c r="BM89" s="20">
        <f t="shared" si="87"/>
        <v>0.58352923674336232</v>
      </c>
      <c r="BN89" s="20">
        <f t="shared" si="88"/>
        <v>-0.53866072269524989</v>
      </c>
      <c r="BS89" t="b">
        <f t="shared" si="111"/>
        <v>0</v>
      </c>
      <c r="BU89" t="b">
        <f t="shared" si="112"/>
        <v>0</v>
      </c>
      <c r="BW89" t="b">
        <f t="shared" si="113"/>
        <v>0</v>
      </c>
    </row>
    <row r="90" spans="1:75">
      <c r="A90" s="90"/>
      <c r="B90" s="43">
        <f>'[19]Dados de entrada'!$B$28</f>
        <v>25</v>
      </c>
      <c r="C90" s="43">
        <f>'[19]Dados de entrada'!$B$31</f>
        <v>4</v>
      </c>
      <c r="D90" s="43">
        <f>'[19]Dados de entrada'!$B$32</f>
        <v>28.7</v>
      </c>
      <c r="E90" s="44">
        <f>'[19]Dados de entrada'!$B$27</f>
        <v>2.6933292113182881</v>
      </c>
      <c r="F90" s="43">
        <f>'[19]Dados de entrada'!$B$30</f>
        <v>82</v>
      </c>
      <c r="G90" s="43">
        <f>'[19]Dados de entrada'!$B$22</f>
        <v>94.5</v>
      </c>
      <c r="H90" s="45">
        <f>'[19]Dados de entrada'!$B$29/('[19]Dados de entrada'!$B$20*2*G90)</f>
        <v>2.9690098261526833E-2</v>
      </c>
      <c r="I90" s="26">
        <f>'[19]fib Model Code 2010'!$K$6</f>
        <v>122.34076582972288</v>
      </c>
      <c r="J90" s="19">
        <f>'[19]Dados de entrada'!$C$8</f>
        <v>0.26</v>
      </c>
      <c r="K90" s="23"/>
      <c r="L90" s="23"/>
      <c r="M90" s="23"/>
      <c r="N90" s="23"/>
      <c r="O90" s="23"/>
      <c r="P90" s="23"/>
      <c r="Q90" s="23"/>
      <c r="R90" s="23"/>
      <c r="S90" s="19"/>
      <c r="T90" s="23"/>
      <c r="U90" s="23"/>
      <c r="V90" s="23"/>
      <c r="W90" s="19"/>
      <c r="X90" s="19"/>
      <c r="Y90" s="19"/>
      <c r="Z90" s="19"/>
      <c r="AA90" s="19"/>
      <c r="AB90" s="19"/>
      <c r="AC90" s="19"/>
      <c r="AD90" s="20">
        <f>'[19]fib Model Code 2010'!$L$6</f>
        <v>0.11960450596181522</v>
      </c>
      <c r="AE90" s="20">
        <f t="shared" si="93"/>
        <v>0.46001733062236622</v>
      </c>
      <c r="AF90" s="20">
        <f t="shared" si="126"/>
        <v>-0.77649111494267786</v>
      </c>
      <c r="AG90" s="20">
        <f>'[19]fib Model Code 2020'!$L$6</f>
        <v>0.12002064545763651</v>
      </c>
      <c r="AH90" s="20">
        <f t="shared" si="94"/>
        <v>0.46161786714475578</v>
      </c>
      <c r="AI90" s="20">
        <f t="shared" si="127"/>
        <v>-0.77301785755130392</v>
      </c>
      <c r="AJ90" s="20">
        <f>'[19]Eurocode 2'!$L$6</f>
        <v>0.14530367170291708</v>
      </c>
      <c r="AK90" s="20">
        <f t="shared" si="95"/>
        <v>0.55886027578045028</v>
      </c>
      <c r="AL90" s="20">
        <f t="shared" si="128"/>
        <v>-0.58185579095184214</v>
      </c>
      <c r="AM90" s="20">
        <f>'[19]NBR 6118'!$Q$6</f>
        <v>0.18091739423676312</v>
      </c>
      <c r="AN90" s="20">
        <f>'[19]NBR 6118'!$R$6</f>
        <v>8.1665558272208852E-2</v>
      </c>
      <c r="AO90" s="20">
        <f>'[19]NBR 6118'!$W$6</f>
        <v>0.31409830104695713</v>
      </c>
      <c r="AP90" s="20">
        <f t="shared" si="129"/>
        <v>-1.1580492814080476</v>
      </c>
      <c r="AQ90" s="20">
        <f>'[19]Clark (1956)'!$L$6</f>
        <v>0.12972038637164129</v>
      </c>
      <c r="AR90" s="20">
        <f t="shared" si="99"/>
        <v>0.49892456296785109</v>
      </c>
      <c r="AS90" s="20">
        <f t="shared" si="130"/>
        <v>-0.6953003710760568</v>
      </c>
      <c r="AT90" s="20">
        <f>'[19]Leonhardt (1977)'!$L$6</f>
        <v>0.11551729509434719</v>
      </c>
      <c r="AU90" s="20">
        <f t="shared" si="100"/>
        <v>0.44429728882441227</v>
      </c>
      <c r="AV90" s="20">
        <f t="shared" si="131"/>
        <v>-0.81126137118715635</v>
      </c>
      <c r="AW90" s="20">
        <f>'[19]Desayi; Ganesan (1985)'!$L$6</f>
        <v>0.18533904628583389</v>
      </c>
      <c r="AX90" s="20">
        <f t="shared" si="101"/>
        <v>0.71284248571474573</v>
      </c>
      <c r="AY90" s="20">
        <f t="shared" si="132"/>
        <v>-0.33849480062486792</v>
      </c>
      <c r="AZ90" s="20">
        <f>'[19]Oh; Kang (1987)'!$L$6</f>
        <v>8.7861380667245123E-2</v>
      </c>
      <c r="BA90" s="20">
        <f t="shared" si="102"/>
        <v>0.33792838718171198</v>
      </c>
      <c r="BB90" s="20">
        <f t="shared" si="133"/>
        <v>-1.0849212781906685</v>
      </c>
      <c r="BC90" s="20">
        <f>'[19]Caldas (1997)'!$L$6</f>
        <v>0.14891108881475229</v>
      </c>
      <c r="BD90" s="20">
        <f t="shared" si="103"/>
        <v>0.57273495697981647</v>
      </c>
      <c r="BE90" s="20">
        <f t="shared" si="134"/>
        <v>-0.5573322225420041</v>
      </c>
      <c r="BF90" s="20">
        <v>0.22163979815661172</v>
      </c>
      <c r="BG90" s="20">
        <f t="shared" si="83"/>
        <v>0.85246076214081434</v>
      </c>
      <c r="BH90" s="20">
        <f t="shared" si="84"/>
        <v>-0.15962809769802555</v>
      </c>
      <c r="BI90" s="20">
        <v>0.12002064545763651</v>
      </c>
      <c r="BJ90" s="20">
        <f t="shared" si="135"/>
        <v>0.46161786714475578</v>
      </c>
      <c r="BK90" s="20">
        <f t="shared" si="136"/>
        <v>-0.77301785755130392</v>
      </c>
      <c r="BL90" s="20">
        <v>0.14795456285584677</v>
      </c>
      <c r="BM90" s="20">
        <f t="shared" si="87"/>
        <v>0.56905601098402603</v>
      </c>
      <c r="BN90" s="20">
        <f t="shared" si="88"/>
        <v>-0.56377641211869889</v>
      </c>
      <c r="BS90" t="b">
        <f t="shared" si="111"/>
        <v>0</v>
      </c>
      <c r="BU90" t="b">
        <f t="shared" si="112"/>
        <v>0</v>
      </c>
      <c r="BW90" t="b">
        <f t="shared" si="113"/>
        <v>0</v>
      </c>
    </row>
    <row r="91" spans="1:75">
      <c r="A91" s="86"/>
      <c r="B91" s="43">
        <f>'[19]Dados de entrada'!$B$28</f>
        <v>25</v>
      </c>
      <c r="C91" s="43">
        <f>'[19]Dados de entrada'!$B$31</f>
        <v>4</v>
      </c>
      <c r="D91" s="43">
        <f>'[19]Dados de entrada'!$B$32</f>
        <v>28.7</v>
      </c>
      <c r="E91" s="44">
        <f>'[19]Dados de entrada'!$B$27</f>
        <v>2.6933292113182881</v>
      </c>
      <c r="F91" s="43">
        <f>'[19]Dados de entrada'!$B$30</f>
        <v>82</v>
      </c>
      <c r="G91" s="43">
        <f>'[19]Dados de entrada'!$B$22</f>
        <v>94.5</v>
      </c>
      <c r="H91" s="45">
        <f>'[19]Dados de entrada'!$B$29/('[19]Dados de entrada'!$B$20*2*G91)</f>
        <v>2.9690098261526833E-2</v>
      </c>
      <c r="I91" s="26">
        <f>'[19]fib Model Code 2010'!$K$7</f>
        <v>244.68153165944577</v>
      </c>
      <c r="J91" s="19">
        <f>'[19]Dados de entrada'!$C$9</f>
        <v>0.6</v>
      </c>
      <c r="K91" s="23"/>
      <c r="L91" s="23"/>
      <c r="M91" s="23"/>
      <c r="N91" s="23"/>
      <c r="O91" s="23"/>
      <c r="P91" s="23"/>
      <c r="Q91" s="23"/>
      <c r="R91" s="23"/>
      <c r="S91" s="19"/>
      <c r="T91" s="23"/>
      <c r="U91" s="23"/>
      <c r="V91" s="23"/>
      <c r="W91" s="19"/>
      <c r="X91" s="19"/>
      <c r="Y91" s="19"/>
      <c r="Z91" s="19"/>
      <c r="AA91" s="19"/>
      <c r="AB91" s="19"/>
      <c r="AC91" s="19"/>
      <c r="AD91" s="20">
        <f>'[19]fib Model Code 2010'!$L$7</f>
        <v>0.30065170156782367</v>
      </c>
      <c r="AE91" s="20">
        <f t="shared" si="93"/>
        <v>0.50108616927970617</v>
      </c>
      <c r="AF91" s="20">
        <f t="shared" si="126"/>
        <v>-0.69097719811637082</v>
      </c>
      <c r="AG91" s="20">
        <f>'[19]fib Model Code 2020'!$L$7</f>
        <v>0.41855958413210198</v>
      </c>
      <c r="AH91" s="20">
        <f t="shared" si="94"/>
        <v>0.69759930688683669</v>
      </c>
      <c r="AI91" s="20">
        <f t="shared" si="127"/>
        <v>-0.3601103999560421</v>
      </c>
      <c r="AJ91" s="20">
        <f>'[19]Eurocode 2'!$L$7</f>
        <v>0.36525209305643985</v>
      </c>
      <c r="AK91" s="20">
        <f t="shared" si="95"/>
        <v>0.60875348842739974</v>
      </c>
      <c r="AL91" s="20">
        <f t="shared" si="128"/>
        <v>-0.49634187412553527</v>
      </c>
      <c r="AM91" s="20">
        <f>'[19]NBR 6118'!$Q$7</f>
        <v>0.36183478847352624</v>
      </c>
      <c r="AN91" s="20">
        <f>'[19]NBR 6118'!$R$7</f>
        <v>0.32666223308883541</v>
      </c>
      <c r="AO91" s="20">
        <f>'[19]NBR 6118'!$W$7</f>
        <v>0.54443705514805907</v>
      </c>
      <c r="AP91" s="20">
        <f t="shared" si="129"/>
        <v>-0.60800294448877568</v>
      </c>
      <c r="AQ91" s="20">
        <f>'[19]Clark (1956)'!$L$7</f>
        <v>0.29763448903466261</v>
      </c>
      <c r="AR91" s="20">
        <f t="shared" si="99"/>
        <v>0.4960574817244377</v>
      </c>
      <c r="AS91" s="20">
        <f t="shared" si="130"/>
        <v>-0.70106346839854017</v>
      </c>
      <c r="AT91" s="20">
        <f>'[19]Leonhardt (1977)'!$L$7</f>
        <v>0.46460103612345982</v>
      </c>
      <c r="AU91" s="20">
        <f t="shared" si="100"/>
        <v>0.77433506020576637</v>
      </c>
      <c r="AV91" s="20">
        <f t="shared" si="131"/>
        <v>-0.25575060474142935</v>
      </c>
      <c r="AW91" s="20">
        <f>'[19]Desayi; Ganesan (1985)'!$L$7</f>
        <v>0.37067809257166778</v>
      </c>
      <c r="AX91" s="20">
        <f t="shared" si="101"/>
        <v>0.61779682095277966</v>
      </c>
      <c r="AY91" s="20">
        <f t="shared" si="132"/>
        <v>-0.48159564426554125</v>
      </c>
      <c r="AZ91" s="20">
        <f>'[19]Oh; Kang (1987)'!$L$7</f>
        <v>0.218404599319305</v>
      </c>
      <c r="BA91" s="20">
        <f t="shared" si="102"/>
        <v>0.36400766553217501</v>
      </c>
      <c r="BB91" s="20">
        <f t="shared" si="133"/>
        <v>-1.0105803524128103</v>
      </c>
      <c r="BC91" s="20">
        <f>'[19]Caldas (1997)'!$L$7</f>
        <v>0.33143842403959017</v>
      </c>
      <c r="BD91" s="20">
        <f t="shared" si="103"/>
        <v>0.55239737339931694</v>
      </c>
      <c r="BE91" s="20">
        <f t="shared" si="134"/>
        <v>-0.59348761234730352</v>
      </c>
      <c r="BF91" s="20">
        <v>0.44327959631322345</v>
      </c>
      <c r="BG91" s="20">
        <f t="shared" si="83"/>
        <v>0.73879932718870578</v>
      </c>
      <c r="BH91" s="20">
        <f t="shared" si="84"/>
        <v>-0.30272894133869888</v>
      </c>
      <c r="BI91" s="20">
        <v>0.45337197684693187</v>
      </c>
      <c r="BJ91" s="20">
        <f t="shared" si="135"/>
        <v>0.75561996141155319</v>
      </c>
      <c r="BK91" s="20">
        <f t="shared" si="136"/>
        <v>-0.2802167257424375</v>
      </c>
      <c r="BL91" s="20">
        <v>0.4847886872785534</v>
      </c>
      <c r="BM91" s="20">
        <f t="shared" si="87"/>
        <v>0.8079811454642557</v>
      </c>
      <c r="BN91" s="20">
        <f t="shared" si="88"/>
        <v>-0.21321655555476857</v>
      </c>
      <c r="BS91" t="b">
        <f t="shared" si="111"/>
        <v>0</v>
      </c>
      <c r="BU91" t="b">
        <f t="shared" si="112"/>
        <v>0</v>
      </c>
      <c r="BW91" t="b">
        <f t="shared" si="113"/>
        <v>0</v>
      </c>
    </row>
    <row r="92" spans="1:75">
      <c r="A92" s="87" t="s">
        <v>36</v>
      </c>
      <c r="B92" s="37">
        <f>'[20]Dados de entrada'!$B$28</f>
        <v>25</v>
      </c>
      <c r="C92" s="37">
        <f>'[20]Dados de entrada'!$B$31</f>
        <v>4</v>
      </c>
      <c r="D92" s="37">
        <f>'[20]Dados de entrada'!$B$32</f>
        <v>28.7</v>
      </c>
      <c r="E92" s="41">
        <f>'[20]Dados de entrada'!$B$27</f>
        <v>2.6933292113182881</v>
      </c>
      <c r="F92" s="37">
        <f>'[20]Dados de entrada'!$B$30</f>
        <v>82</v>
      </c>
      <c r="G92" s="37">
        <f>'[20]Dados de entrada'!$B$22</f>
        <v>94.5</v>
      </c>
      <c r="H92" s="42">
        <f>'[20]Dados de entrada'!$B$29/('[20]Dados de entrada'!$B$20*2*G92)</f>
        <v>2.9690098261526833E-2</v>
      </c>
      <c r="I92" s="25">
        <f>'[20]fib Model Code 2010'!$K$5</f>
        <v>73.404459497833727</v>
      </c>
      <c r="J92" s="4">
        <f>'[20]Dados de entrada'!$C$7</f>
        <v>0.16</v>
      </c>
      <c r="K92" s="22"/>
      <c r="L92" s="22"/>
      <c r="M92" s="22"/>
      <c r="N92" s="22"/>
      <c r="O92" s="22"/>
      <c r="P92" s="22"/>
      <c r="Q92" s="22"/>
      <c r="R92" s="22"/>
      <c r="S92" s="4"/>
      <c r="T92" s="22"/>
      <c r="U92" s="22"/>
      <c r="V92" s="22"/>
      <c r="W92" s="4"/>
      <c r="X92" s="4"/>
      <c r="Y92" s="4"/>
      <c r="Z92" s="4"/>
      <c r="AA92" s="4"/>
      <c r="AB92" s="4"/>
      <c r="AC92" s="4"/>
      <c r="AD92" s="11">
        <f>'[20]fib Model Code 2010'!$L$5</f>
        <v>4.7185627719411878E-2</v>
      </c>
      <c r="AE92" s="11">
        <f t="shared" si="93"/>
        <v>0.29491017324632424</v>
      </c>
      <c r="AF92" s="11">
        <f t="shared" si="126"/>
        <v>-1.2210844664811722</v>
      </c>
      <c r="AG92" s="11">
        <f>'[20]fib Model Code 2020'!$L$5</f>
        <v>7.2012387274581896E-2</v>
      </c>
      <c r="AH92" s="11">
        <f t="shared" si="94"/>
        <v>0.45007742046613686</v>
      </c>
      <c r="AI92" s="11">
        <f t="shared" si="127"/>
        <v>-0.79833566553559387</v>
      </c>
      <c r="AJ92" s="11">
        <f>'[20]Eurocode 2'!$L$5</f>
        <v>7.9181431687268183E-2</v>
      </c>
      <c r="AK92" s="11">
        <f t="shared" si="95"/>
        <v>0.49488394804542613</v>
      </c>
      <c r="AL92" s="11">
        <f t="shared" si="128"/>
        <v>-0.70343199229384612</v>
      </c>
      <c r="AM92" s="11">
        <f>'[20]NBR 6118'!$Q$5</f>
        <v>0.10855043654205788</v>
      </c>
      <c r="AN92" s="11">
        <f>'[20]NBR 6118'!$R$5</f>
        <v>2.9399600977995204E-2</v>
      </c>
      <c r="AO92" s="11">
        <f>'[20]NBR 6118'!$W$5</f>
        <v>0.18374750611247001</v>
      </c>
      <c r="AP92" s="11">
        <f t="shared" si="129"/>
        <v>-1.6941927131583279</v>
      </c>
      <c r="AQ92" s="11">
        <f>'[20]Clark (1956)'!$L$5</f>
        <v>6.2554745306432749E-2</v>
      </c>
      <c r="AR92" s="11">
        <f t="shared" si="99"/>
        <v>0.39096715816520466</v>
      </c>
      <c r="AS92" s="11">
        <f t="shared" si="130"/>
        <v>-0.93913171698689579</v>
      </c>
      <c r="AT92" s="11"/>
      <c r="AU92" s="11"/>
      <c r="AV92" s="11"/>
      <c r="AW92" s="11">
        <f>'[20]Desayi; Ganesan (1985)'!$L$5</f>
        <v>0.11120342777150033</v>
      </c>
      <c r="AX92" s="11">
        <f t="shared" si="101"/>
        <v>0.69502142357187702</v>
      </c>
      <c r="AY92" s="11">
        <f t="shared" si="132"/>
        <v>-0.36381260860915793</v>
      </c>
      <c r="AZ92" s="11">
        <f>'[20]Oh; Kang (1987)'!$L$5</f>
        <v>3.564409320642116E-2</v>
      </c>
      <c r="BA92" s="11">
        <f t="shared" si="102"/>
        <v>0.22277558254013224</v>
      </c>
      <c r="BB92" s="11">
        <f t="shared" si="133"/>
        <v>-1.5015903705608056</v>
      </c>
      <c r="BC92" s="11">
        <f>'[20]Caldas (1997)'!$L$5</f>
        <v>7.5900154724817107E-2</v>
      </c>
      <c r="BD92" s="11">
        <f t="shared" si="103"/>
        <v>0.47437596703010693</v>
      </c>
      <c r="BE92" s="11">
        <f t="shared" si="134"/>
        <v>-0.74575509229918069</v>
      </c>
      <c r="BF92" s="11" cm="1">
        <f t="array" ref="BF92:BF94">'[20]Gergely e Lutz (1968)'!$L$5:$L$7</f>
        <v>0.13298387889396704</v>
      </c>
      <c r="BG92" s="11">
        <f t="shared" si="83"/>
        <v>0.83114924308729399</v>
      </c>
      <c r="BH92" s="11">
        <f t="shared" si="84"/>
        <v>-0.18494590568231542</v>
      </c>
      <c r="BI92" s="11" cm="1">
        <f t="array" ref="BI92:BI94">[20]Sugestão!$M$5:$M$7</f>
        <v>7.2012387274581896E-2</v>
      </c>
      <c r="BJ92" s="11">
        <f t="shared" ref="BJ92:BJ94" si="137">BI92/J92</f>
        <v>0.45007742046613686</v>
      </c>
      <c r="BK92" s="11">
        <f t="shared" ref="BK92:BK94" si="138">LN(BJ92)</f>
        <v>-0.79833566553559387</v>
      </c>
      <c r="BL92" s="11" cm="1">
        <f t="array" ref="BL92:BL94">'[20]fib Model Code 2020 modificado'!$L$5:$L$7</f>
        <v>8.752938551150434E-2</v>
      </c>
      <c r="BM92" s="11">
        <f t="shared" si="87"/>
        <v>0.54705865944690213</v>
      </c>
      <c r="BN92" s="11">
        <f t="shared" si="88"/>
        <v>-0.60319924383282109</v>
      </c>
      <c r="BS92" t="b">
        <f t="shared" si="111"/>
        <v>0</v>
      </c>
      <c r="BU92" t="b">
        <f t="shared" si="112"/>
        <v>0</v>
      </c>
      <c r="BW92" t="b">
        <f t="shared" si="113"/>
        <v>0</v>
      </c>
    </row>
    <row r="93" spans="1:75">
      <c r="A93" s="88"/>
      <c r="B93" s="37">
        <f>'[20]Dados de entrada'!$B$28</f>
        <v>25</v>
      </c>
      <c r="C93" s="37">
        <f>'[20]Dados de entrada'!$B$31</f>
        <v>4</v>
      </c>
      <c r="D93" s="37">
        <f>'[20]Dados de entrada'!$B$32</f>
        <v>28.7</v>
      </c>
      <c r="E93" s="41">
        <f>'[20]Dados de entrada'!$B$27</f>
        <v>2.6933292113182881</v>
      </c>
      <c r="F93" s="37">
        <f>'[20]Dados de entrada'!$B$30</f>
        <v>82</v>
      </c>
      <c r="G93" s="37">
        <f>'[20]Dados de entrada'!$B$22</f>
        <v>94.5</v>
      </c>
      <c r="H93" s="42">
        <f>'[20]Dados de entrada'!$B$29/('[20]Dados de entrada'!$B$20*2*G93)</f>
        <v>2.9690098261526833E-2</v>
      </c>
      <c r="I93" s="25">
        <f>'[20]fib Model Code 2010'!$K$6</f>
        <v>122.34076582972288</v>
      </c>
      <c r="J93" s="4">
        <f>'[20]Dados de entrada'!$C$8</f>
        <v>0.27</v>
      </c>
      <c r="K93" s="22"/>
      <c r="L93" s="22"/>
      <c r="M93" s="22"/>
      <c r="N93" s="22"/>
      <c r="O93" s="22"/>
      <c r="P93" s="22"/>
      <c r="Q93" s="22"/>
      <c r="R93" s="22"/>
      <c r="S93" s="4"/>
      <c r="T93" s="22"/>
      <c r="U93" s="22"/>
      <c r="V93" s="22"/>
      <c r="W93" s="4"/>
      <c r="X93" s="4"/>
      <c r="Y93" s="4"/>
      <c r="Z93" s="4"/>
      <c r="AA93" s="4"/>
      <c r="AB93" s="4"/>
      <c r="AC93" s="4"/>
      <c r="AD93" s="11">
        <f>'[20]fib Model Code 2010'!$L$6</f>
        <v>0.11960450596181522</v>
      </c>
      <c r="AE93" s="11">
        <f t="shared" si="93"/>
        <v>0.44297965171042675</v>
      </c>
      <c r="AF93" s="11">
        <f t="shared" si="126"/>
        <v>-0.81423144292552485</v>
      </c>
      <c r="AG93" s="11">
        <f>'[20]fib Model Code 2020'!$L$6</f>
        <v>0.12002064545763651</v>
      </c>
      <c r="AH93" s="11">
        <f t="shared" si="94"/>
        <v>0.44452090910235742</v>
      </c>
      <c r="AI93" s="11">
        <f t="shared" si="127"/>
        <v>-0.81075818553415091</v>
      </c>
      <c r="AJ93" s="11">
        <f>'[20]Eurocode 2'!$L$6</f>
        <v>0.14530367170291708</v>
      </c>
      <c r="AK93" s="11">
        <f t="shared" si="95"/>
        <v>0.53816174704784103</v>
      </c>
      <c r="AL93" s="11">
        <f t="shared" si="128"/>
        <v>-0.61959611893468913</v>
      </c>
      <c r="AM93" s="11">
        <f>'[20]NBR 6118'!$Q$6</f>
        <v>0.18091739423676312</v>
      </c>
      <c r="AN93" s="11">
        <f>'[20]NBR 6118'!$R$6</f>
        <v>8.1665558272208852E-2</v>
      </c>
      <c r="AO93" s="11">
        <f>'[20]NBR 6118'!$W$6</f>
        <v>0.30246503063781055</v>
      </c>
      <c r="AP93" s="11">
        <f t="shared" si="129"/>
        <v>-1.1957896093908948</v>
      </c>
      <c r="AQ93" s="11">
        <f>'[20]Clark (1956)'!$L$6</f>
        <v>0.12972038637164129</v>
      </c>
      <c r="AR93" s="11">
        <f t="shared" si="99"/>
        <v>0.48044587545052331</v>
      </c>
      <c r="AS93" s="11">
        <f t="shared" si="130"/>
        <v>-0.73304069905890379</v>
      </c>
      <c r="AT93" s="11">
        <f>'[20]Leonhardt (1977)'!$L$6</f>
        <v>0.11551729509434719</v>
      </c>
      <c r="AU93" s="11">
        <f t="shared" si="100"/>
        <v>0.42784183368276735</v>
      </c>
      <c r="AV93" s="11">
        <f t="shared" si="131"/>
        <v>-0.84900169917000345</v>
      </c>
      <c r="AW93" s="11">
        <f>'[20]Desayi; Ganesan (1985)'!$L$6</f>
        <v>0.18533904628583389</v>
      </c>
      <c r="AX93" s="11">
        <f t="shared" si="101"/>
        <v>0.68644091216975511</v>
      </c>
      <c r="AY93" s="11">
        <f t="shared" si="132"/>
        <v>-0.37623512860771502</v>
      </c>
      <c r="AZ93" s="11">
        <f>'[20]Oh; Kang (1987)'!$L$6</f>
        <v>8.7861380667245123E-2</v>
      </c>
      <c r="BA93" s="11">
        <f t="shared" si="102"/>
        <v>0.32541252098979673</v>
      </c>
      <c r="BB93" s="11">
        <f t="shared" si="133"/>
        <v>-1.1226616061735155</v>
      </c>
      <c r="BC93" s="11">
        <f>'[20]Caldas (1997)'!$L$6</f>
        <v>0.14891108881475229</v>
      </c>
      <c r="BD93" s="11">
        <f t="shared" si="103"/>
        <v>0.55152255116574922</v>
      </c>
      <c r="BE93" s="11">
        <f t="shared" si="134"/>
        <v>-0.59507255052485108</v>
      </c>
      <c r="BF93" s="11">
        <v>0.22163979815661172</v>
      </c>
      <c r="BG93" s="11">
        <f t="shared" ref="BG93:BG156" si="139">BF93/J93</f>
        <v>0.82088814132078414</v>
      </c>
      <c r="BH93" s="11">
        <f t="shared" ref="BH93:BH156" si="140">LN(BG93)</f>
        <v>-0.19736842568087262</v>
      </c>
      <c r="BI93" s="11">
        <v>0.12002064545763651</v>
      </c>
      <c r="BJ93" s="11">
        <f t="shared" si="137"/>
        <v>0.44452090910235742</v>
      </c>
      <c r="BK93" s="11">
        <f t="shared" si="138"/>
        <v>-0.81075818553415091</v>
      </c>
      <c r="BL93" s="11">
        <v>0.14795456285584677</v>
      </c>
      <c r="BM93" s="11">
        <f t="shared" ref="BM93:BM156" si="141">BL93/J93</f>
        <v>0.54797986242906205</v>
      </c>
      <c r="BN93" s="11">
        <f t="shared" ref="BN93:BN156" si="142">LN(BM93)</f>
        <v>-0.60151674010154599</v>
      </c>
      <c r="BS93" t="b">
        <f t="shared" si="111"/>
        <v>0</v>
      </c>
      <c r="BU93" t="b">
        <f t="shared" si="112"/>
        <v>0</v>
      </c>
      <c r="BW93" t="b">
        <f t="shared" si="113"/>
        <v>0</v>
      </c>
    </row>
    <row r="94" spans="1:75">
      <c r="A94" s="89"/>
      <c r="B94" s="37">
        <f>'[20]Dados de entrada'!$B$28</f>
        <v>25</v>
      </c>
      <c r="C94" s="37">
        <f>'[20]Dados de entrada'!$B$31</f>
        <v>4</v>
      </c>
      <c r="D94" s="37">
        <f>'[20]Dados de entrada'!$B$32</f>
        <v>28.7</v>
      </c>
      <c r="E94" s="41">
        <f>'[20]Dados de entrada'!$B$27</f>
        <v>2.6933292113182881</v>
      </c>
      <c r="F94" s="37">
        <f>'[20]Dados de entrada'!$B$30</f>
        <v>82</v>
      </c>
      <c r="G94" s="37">
        <f>'[20]Dados de entrada'!$B$22</f>
        <v>94.5</v>
      </c>
      <c r="H94" s="42">
        <f>'[20]Dados de entrada'!$B$29/('[20]Dados de entrada'!$B$20*2*G94)</f>
        <v>2.9690098261526833E-2</v>
      </c>
      <c r="I94" s="25">
        <f>'[20]fib Model Code 2010'!$K$7</f>
        <v>244.68153165944577</v>
      </c>
      <c r="J94" s="4">
        <f>'[20]Dados de entrada'!$C$9</f>
        <v>0.59</v>
      </c>
      <c r="K94" s="22"/>
      <c r="L94" s="22"/>
      <c r="M94" s="22"/>
      <c r="N94" s="22"/>
      <c r="O94" s="22"/>
      <c r="P94" s="22"/>
      <c r="Q94" s="22"/>
      <c r="R94" s="22"/>
      <c r="S94" s="4"/>
      <c r="T94" s="22"/>
      <c r="U94" s="22"/>
      <c r="V94" s="22"/>
      <c r="W94" s="4"/>
      <c r="X94" s="4"/>
      <c r="Y94" s="4"/>
      <c r="Z94" s="4"/>
      <c r="AA94" s="4"/>
      <c r="AB94" s="4"/>
      <c r="AC94" s="4"/>
      <c r="AD94" s="11">
        <f>'[20]fib Model Code 2010'!$L$7</f>
        <v>0.30065170156782367</v>
      </c>
      <c r="AE94" s="11">
        <f t="shared" si="93"/>
        <v>0.50957915519970121</v>
      </c>
      <c r="AF94" s="11">
        <f t="shared" si="126"/>
        <v>-0.67417007979998955</v>
      </c>
      <c r="AG94" s="11">
        <f>'[20]fib Model Code 2020'!$L$7</f>
        <v>0.41855958413210198</v>
      </c>
      <c r="AH94" s="11">
        <f t="shared" si="94"/>
        <v>0.70942302395271528</v>
      </c>
      <c r="AI94" s="11">
        <f t="shared" si="127"/>
        <v>-0.3433032816396609</v>
      </c>
      <c r="AJ94" s="11">
        <f>'[20]Eurocode 2'!$L$7</f>
        <v>0.36525209305643985</v>
      </c>
      <c r="AK94" s="11">
        <f t="shared" si="95"/>
        <v>0.61907134416345744</v>
      </c>
      <c r="AL94" s="11">
        <f t="shared" si="128"/>
        <v>-0.47953475580915395</v>
      </c>
      <c r="AM94" s="11">
        <f>'[20]NBR 6118'!$Q$7</f>
        <v>0.36183478847352624</v>
      </c>
      <c r="AN94" s="11">
        <f>'[20]NBR 6118'!$R$7</f>
        <v>0.32666223308883541</v>
      </c>
      <c r="AO94" s="11">
        <f>'[20]NBR 6118'!$W$7</f>
        <v>0.55366480184548372</v>
      </c>
      <c r="AP94" s="11">
        <f t="shared" si="129"/>
        <v>-0.59119582617239452</v>
      </c>
      <c r="AQ94" s="11">
        <f>'[20]Clark (1956)'!$L$7</f>
        <v>0.29763448903466261</v>
      </c>
      <c r="AR94" s="11">
        <f t="shared" si="99"/>
        <v>0.50446523565197054</v>
      </c>
      <c r="AS94" s="11">
        <f t="shared" si="130"/>
        <v>-0.6842563500821589</v>
      </c>
      <c r="AT94" s="11">
        <f>'[20]Leonhardt (1977)'!$L$7</f>
        <v>0.46460103612345982</v>
      </c>
      <c r="AU94" s="11">
        <f t="shared" si="100"/>
        <v>0.78745938326010145</v>
      </c>
      <c r="AV94" s="11">
        <f t="shared" si="131"/>
        <v>-0.23894348642504804</v>
      </c>
      <c r="AW94" s="11">
        <f>'[20]Desayi; Ganesan (1985)'!$L$7</f>
        <v>0.37067809257166778</v>
      </c>
      <c r="AX94" s="11">
        <f t="shared" si="101"/>
        <v>0.62826795351130138</v>
      </c>
      <c r="AY94" s="11">
        <f t="shared" si="132"/>
        <v>-0.46478852594915993</v>
      </c>
      <c r="AZ94" s="11">
        <f>'[20]Oh; Kang (1987)'!$L$7</f>
        <v>0.218404599319305</v>
      </c>
      <c r="BA94" s="11">
        <f t="shared" si="102"/>
        <v>0.37017728698187291</v>
      </c>
      <c r="BB94" s="11">
        <f t="shared" si="133"/>
        <v>-0.99377323409642904</v>
      </c>
      <c r="BC94" s="11">
        <f>'[20]Caldas (1997)'!$L$7</f>
        <v>0.33143842403959017</v>
      </c>
      <c r="BD94" s="11">
        <f t="shared" si="103"/>
        <v>0.56176004074506813</v>
      </c>
      <c r="BE94" s="11">
        <f t="shared" si="134"/>
        <v>-0.57668049403092225</v>
      </c>
      <c r="BF94" s="11">
        <v>0.44327959631322345</v>
      </c>
      <c r="BG94" s="11">
        <f t="shared" si="139"/>
        <v>0.75132134968342956</v>
      </c>
      <c r="BH94" s="11">
        <f t="shared" si="140"/>
        <v>-0.28592182302231767</v>
      </c>
      <c r="BI94" s="11">
        <v>0.45337197684693187</v>
      </c>
      <c r="BJ94" s="11">
        <f t="shared" si="137"/>
        <v>0.7684270794015795</v>
      </c>
      <c r="BK94" s="11">
        <f t="shared" si="138"/>
        <v>-0.26340960742605629</v>
      </c>
      <c r="BL94" s="11">
        <v>0.4847886872785534</v>
      </c>
      <c r="BM94" s="11">
        <f t="shared" si="141"/>
        <v>0.82167574115009057</v>
      </c>
      <c r="BN94" s="11">
        <f t="shared" si="142"/>
        <v>-0.1964094372383873</v>
      </c>
      <c r="BS94" t="b">
        <f t="shared" si="111"/>
        <v>0</v>
      </c>
      <c r="BU94" t="b">
        <f t="shared" si="112"/>
        <v>0</v>
      </c>
      <c r="BW94" t="b">
        <f t="shared" si="113"/>
        <v>0</v>
      </c>
    </row>
    <row r="95" spans="1:75" ht="13.2" customHeight="1">
      <c r="A95" s="104" t="s">
        <v>49</v>
      </c>
      <c r="B95" s="35">
        <f>'[21]Dados de entrada'!$B$28</f>
        <v>9.52</v>
      </c>
      <c r="C95" s="35">
        <f>'[21]Dados de entrada'!$B$31</f>
        <v>3</v>
      </c>
      <c r="D95" s="35">
        <f>'[21]Dados de entrada'!$B$32</f>
        <v>22.2</v>
      </c>
      <c r="E95" s="36">
        <f>'[21]Dados de entrada'!$B$27</f>
        <v>3.5641600019995088</v>
      </c>
      <c r="F95" s="35">
        <f>'[21]Dados de entrada'!$B$30</f>
        <v>20.64</v>
      </c>
      <c r="G95" s="35">
        <f>'[21]Dados de entrada'!$B$22</f>
        <v>25.4</v>
      </c>
      <c r="H95" s="34">
        <f>'[21]Dados de entrada'!$B$29/('[21]Dados de entrada'!$B$20*2*G95)</f>
        <v>3.666618444348E-2</v>
      </c>
      <c r="I95" s="27">
        <f>'[21]fib Model Code 2010'!$K$5</f>
        <v>295.47063165325955</v>
      </c>
      <c r="J95" s="19">
        <f>'[21]Dados de entrada'!$C$7</f>
        <v>0.15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0">
        <f>'[21]fib Model Code 2010'!$L$5</f>
        <v>0.13329381492770445</v>
      </c>
      <c r="AE95" s="20">
        <f>AD95/J95</f>
        <v>0.88862543285136308</v>
      </c>
      <c r="AF95" s="20">
        <f t="shared" si="126"/>
        <v>-0.11807946763021653</v>
      </c>
      <c r="AG95" s="20">
        <f>'[21]fib Model Code 2020'!$L$5</f>
        <v>0.12366214399887077</v>
      </c>
      <c r="AH95" s="20">
        <f>AG95/J95</f>
        <v>0.82441429332580518</v>
      </c>
      <c r="AI95" s="28">
        <f t="shared" si="127"/>
        <v>-0.19308209226338424</v>
      </c>
      <c r="AJ95" s="20">
        <f>'[21]Eurocode 2'!$L$5</f>
        <v>0.13033571952634693</v>
      </c>
      <c r="AK95" s="20">
        <f t="shared" si="95"/>
        <v>0.86890479684231292</v>
      </c>
      <c r="AL95" s="20">
        <f t="shared" si="128"/>
        <v>-0.14052171456030249</v>
      </c>
      <c r="AM95" s="20">
        <f>'[21]NBR 6118'!$Q$5</f>
        <v>0.14133750002718667</v>
      </c>
      <c r="AN95" s="20">
        <f>'[21]NBR 6118'!$R$5</f>
        <v>0.13684830482913171</v>
      </c>
      <c r="AO95" s="20">
        <f>'[21]NBR 6118'!$W$5</f>
        <v>0.91232203219421149</v>
      </c>
      <c r="AP95" s="20">
        <f t="shared" si="129"/>
        <v>-9.1762245758763614E-2</v>
      </c>
      <c r="AQ95" s="20">
        <f>'[21]Clark (1956)'!$L$5</f>
        <v>0.10572052130096984</v>
      </c>
      <c r="AR95" s="20">
        <f t="shared" si="99"/>
        <v>0.70480347533979903</v>
      </c>
      <c r="AS95" s="20">
        <f t="shared" si="130"/>
        <v>-0.34983627341347223</v>
      </c>
      <c r="AT95" s="20">
        <f>'[21]Leonhardt (1977)'!$L$5</f>
        <v>0.20816075063164449</v>
      </c>
      <c r="AU95" s="20">
        <f t="shared" si="100"/>
        <v>1.3877383375442967</v>
      </c>
      <c r="AV95" s="20">
        <f t="shared" si="131"/>
        <v>0.32767532669354998</v>
      </c>
      <c r="AW95" s="20">
        <f>'[21]Desayi; Ganesan (1985)'!$L$5</f>
        <v>0.141040005310795</v>
      </c>
      <c r="AX95" s="20">
        <f t="shared" si="101"/>
        <v>0.94026670207196672</v>
      </c>
      <c r="AY95" s="20">
        <f t="shared" si="132"/>
        <v>-6.1591718352110983E-2</v>
      </c>
      <c r="AZ95" s="20">
        <f>'[21]Oh; Kang (1987)'!$L$5</f>
        <v>9.7608122271360079E-2</v>
      </c>
      <c r="BA95" s="20">
        <f t="shared" si="102"/>
        <v>0.65072081514240054</v>
      </c>
      <c r="BB95" s="20">
        <f t="shared" si="133"/>
        <v>-0.42967458414635706</v>
      </c>
      <c r="BC95" s="20">
        <f>'[21]Caldas (1997)'!$L$5</f>
        <v>0.12185310734004789</v>
      </c>
      <c r="BD95" s="20">
        <f t="shared" si="103"/>
        <v>0.81235404893365271</v>
      </c>
      <c r="BE95" s="20">
        <f t="shared" si="134"/>
        <v>-0.20781901299567745</v>
      </c>
      <c r="BF95" s="20" cm="1">
        <f t="array" ref="BF95:BF96">'[21]Gergely e Lutz (1968)'!$L$5:$L$6</f>
        <v>0.1396639404957189</v>
      </c>
      <c r="BG95" s="20">
        <f t="shared" si="139"/>
        <v>0.93109293663812598</v>
      </c>
      <c r="BH95" s="20">
        <f t="shared" si="140"/>
        <v>-7.1396182156459334E-2</v>
      </c>
      <c r="BI95" s="20" cm="1">
        <f t="array" ref="BI95:BI96">[21]Sugestão!$M$5:$M$6</f>
        <v>0.14576285622789853</v>
      </c>
      <c r="BJ95" s="20">
        <f t="shared" ref="BJ95:BJ96" si="143">BI95/J95</f>
        <v>0.97175237485265686</v>
      </c>
      <c r="BK95" s="20">
        <f t="shared" ref="BK95:BK96" si="144">LN(BJ95)</f>
        <v>-2.8654265360167332E-2</v>
      </c>
      <c r="BL95" s="20" cm="1">
        <f t="array" ref="BL95:BL96">'[21]fib Model Code 2020 modificado'!$L$5:$L$6</f>
        <v>0.15911300985022608</v>
      </c>
      <c r="BM95" s="20">
        <f t="shared" si="141"/>
        <v>1.0607533990015072</v>
      </c>
      <c r="BN95" s="20">
        <f t="shared" si="142"/>
        <v>5.8979409433138535E-2</v>
      </c>
      <c r="BS95" t="b">
        <f t="shared" si="111"/>
        <v>1</v>
      </c>
      <c r="BU95" t="b">
        <f t="shared" si="112"/>
        <v>0</v>
      </c>
      <c r="BW95" t="b">
        <f t="shared" si="113"/>
        <v>1</v>
      </c>
    </row>
    <row r="96" spans="1:75">
      <c r="A96" s="105"/>
      <c r="B96" s="35">
        <f>'[21]Dados de entrada'!$B$28</f>
        <v>9.52</v>
      </c>
      <c r="C96" s="35">
        <f>'[21]Dados de entrada'!$B$31</f>
        <v>3</v>
      </c>
      <c r="D96" s="35">
        <f>'[21]Dados de entrada'!$B$32</f>
        <v>22.2</v>
      </c>
      <c r="E96" s="36">
        <f>'[21]Dados de entrada'!$B$27</f>
        <v>3.5641600019995088</v>
      </c>
      <c r="F96" s="35">
        <f>'[21]Dados de entrada'!$B$30</f>
        <v>20.64</v>
      </c>
      <c r="G96" s="35">
        <f>'[21]Dados de entrada'!$B$22</f>
        <v>25.4</v>
      </c>
      <c r="H96" s="34">
        <f>'[21]Dados de entrada'!$B$29/('[21]Dados de entrada'!$B$20*2*G96)</f>
        <v>3.666618444348E-2</v>
      </c>
      <c r="I96" s="27">
        <f>'[21]fib Model Code 2010'!$K$6</f>
        <v>343.86668338956935</v>
      </c>
      <c r="J96" s="19">
        <f>'[21]Dados de entrada'!$C$8</f>
        <v>0.17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0">
        <f>'[21]fib Model Code 2010'!$L$6</f>
        <v>0.1630033372764875</v>
      </c>
      <c r="AE96" s="20">
        <f>AD96/J96</f>
        <v>0.95884316044992635</v>
      </c>
      <c r="AF96" s="20">
        <f t="shared" si="126"/>
        <v>-4.2027762364210491E-2</v>
      </c>
      <c r="AG96" s="20">
        <f>'[21]fib Model Code 2020'!$L$6</f>
        <v>0.1537022961834705</v>
      </c>
      <c r="AH96" s="20">
        <f>AG96/J96</f>
        <v>0.90413115402041466</v>
      </c>
      <c r="AI96" s="28">
        <f t="shared" si="127"/>
        <v>-0.10078084723232916</v>
      </c>
      <c r="AJ96" s="20">
        <f>'[21]Eurocode 2'!$L$6</f>
        <v>0.15938591944907343</v>
      </c>
      <c r="AK96" s="20">
        <f t="shared" si="95"/>
        <v>0.93756423205337303</v>
      </c>
      <c r="AL96" s="20">
        <f t="shared" si="128"/>
        <v>-6.447000929429654E-2</v>
      </c>
      <c r="AM96" s="20">
        <f>'[21]NBR 6118'!$Q$6</f>
        <v>0.16448760779026034</v>
      </c>
      <c r="AN96" s="20">
        <f>'[21]NBR 6118'!$R$6</f>
        <v>0.18534931298386784</v>
      </c>
      <c r="AO96" s="20">
        <f>'[21]NBR 6118'!$W$6</f>
        <v>0.96757416347211955</v>
      </c>
      <c r="AP96" s="20">
        <f t="shared" si="129"/>
        <v>-3.2963202264480761E-2</v>
      </c>
      <c r="AQ96" s="20">
        <f>'[21]Clark (1956)'!$L$6</f>
        <v>0.12620235173470354</v>
      </c>
      <c r="AR96" s="20">
        <f t="shared" si="99"/>
        <v>0.74236677491002079</v>
      </c>
      <c r="AS96" s="20">
        <f t="shared" si="130"/>
        <v>-0.29791185213497512</v>
      </c>
      <c r="AT96" s="20">
        <f>'[21]Leonhardt (1977)'!$L$6</f>
        <v>0.25338034839322776</v>
      </c>
      <c r="AU96" s="20">
        <f t="shared" si="100"/>
        <v>1.4904726376072219</v>
      </c>
      <c r="AV96" s="20">
        <f t="shared" si="131"/>
        <v>0.399093276105839</v>
      </c>
      <c r="AW96" s="20">
        <f>'[21]Desayi; Ganesan (1985)'!$L$6</f>
        <v>0.16414138549101145</v>
      </c>
      <c r="AX96" s="20">
        <f t="shared" si="101"/>
        <v>0.96553756171183203</v>
      </c>
      <c r="AY96" s="20">
        <f t="shared" si="132"/>
        <v>-3.5070273974052116E-2</v>
      </c>
      <c r="AZ96" s="20">
        <f>'[21]Oh; Kang (1987)'!$L$6</f>
        <v>0.11609888852796953</v>
      </c>
      <c r="BA96" s="20">
        <f t="shared" si="102"/>
        <v>0.68293463839982071</v>
      </c>
      <c r="BB96" s="20">
        <f t="shared" si="133"/>
        <v>-0.38135612179474321</v>
      </c>
      <c r="BC96" s="20">
        <f>'[21]Caldas (1997)'!$L$6</f>
        <v>0.14354614769334423</v>
      </c>
      <c r="BD96" s="20">
        <f t="shared" si="103"/>
        <v>0.84438910407849543</v>
      </c>
      <c r="BE96" s="20">
        <f t="shared" si="134"/>
        <v>-0.16914186683530957</v>
      </c>
      <c r="BF96" s="20">
        <v>0.16253993074932804</v>
      </c>
      <c r="BG96" s="20">
        <f t="shared" si="139"/>
        <v>0.95611723970192963</v>
      </c>
      <c r="BH96" s="20">
        <f t="shared" si="140"/>
        <v>-4.4874737778400474E-2</v>
      </c>
      <c r="BI96" s="20">
        <v>0.18594638321687937</v>
      </c>
      <c r="BJ96" s="20">
        <f t="shared" si="143"/>
        <v>1.0938022542169374</v>
      </c>
      <c r="BK96" s="20">
        <f t="shared" si="144"/>
        <v>8.9659932832541686E-2</v>
      </c>
      <c r="BL96" s="20">
        <v>0.19746391718770373</v>
      </c>
      <c r="BM96" s="20">
        <f t="shared" si="141"/>
        <v>1.1615524540453159</v>
      </c>
      <c r="BN96" s="20">
        <f t="shared" si="142"/>
        <v>0.14975743281586301</v>
      </c>
      <c r="BS96" t="b">
        <f t="shared" si="111"/>
        <v>1</v>
      </c>
      <c r="BU96" t="b">
        <f t="shared" si="112"/>
        <v>0</v>
      </c>
      <c r="BW96" t="b">
        <f t="shared" si="113"/>
        <v>1</v>
      </c>
    </row>
    <row r="97" spans="1:75">
      <c r="A97" s="87" t="s">
        <v>50</v>
      </c>
      <c r="B97" s="38">
        <f>'[22]Dados de entrada'!$B$28</f>
        <v>12.7</v>
      </c>
      <c r="C97" s="38">
        <f>'[22]Dados de entrada'!$B$31</f>
        <v>3</v>
      </c>
      <c r="D97" s="38">
        <f>'[22]Dados de entrada'!$B$32</f>
        <v>19.05</v>
      </c>
      <c r="E97" s="39">
        <f>'[22]Dados de entrada'!$B$27</f>
        <v>3.9766081638229425</v>
      </c>
      <c r="F97" s="38">
        <f>'[22]Dados de entrada'!$B$30</f>
        <v>19.05</v>
      </c>
      <c r="G97" s="38">
        <f>'[22]Dados de entrada'!$B$22</f>
        <v>25.4</v>
      </c>
      <c r="H97" s="40">
        <f>'[22]Dados de entrada'!$B$29/('[22]Dados de entrada'!$B$20*2*G97)</f>
        <v>6.6667355556933344E-2</v>
      </c>
      <c r="I97" s="30">
        <f>'[22]fib Model Code 2010'!$K$5</f>
        <v>303.25602523129726</v>
      </c>
      <c r="J97" s="31">
        <f>'[22]Dados de entrada'!$C$7</f>
        <v>0.15</v>
      </c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29">
        <f>'[22]fib Model Code 2010'!$L$5</f>
        <v>0.11767813019457772</v>
      </c>
      <c r="AE97" s="29">
        <f t="shared" ref="AE97:AE143" si="145">AD97/J97</f>
        <v>0.78452086796385145</v>
      </c>
      <c r="AF97" s="29">
        <f t="shared" si="126"/>
        <v>-0.24268210682650171</v>
      </c>
      <c r="AG97" s="29">
        <f>'[22]fib Model Code 2020'!$L$5</f>
        <v>0.12257101888901509</v>
      </c>
      <c r="AH97" s="29">
        <f t="shared" ref="AH97:AH143" si="146">AG97/J97</f>
        <v>0.81714012592676732</v>
      </c>
      <c r="AI97" s="33">
        <f t="shared" si="127"/>
        <v>-0.20194468606650531</v>
      </c>
      <c r="AJ97" s="29">
        <f>'[22]Eurocode 2'!$L$5</f>
        <v>0.12444951194564861</v>
      </c>
      <c r="AK97" s="29">
        <f t="shared" si="95"/>
        <v>0.82966341297099078</v>
      </c>
      <c r="AL97" s="29">
        <f t="shared" si="128"/>
        <v>-0.18673518698059274</v>
      </c>
      <c r="AM97" s="29">
        <f>'[22]NBR 6118'!$Q$5</f>
        <v>0.14698610892576175</v>
      </c>
      <c r="AN97" s="29">
        <f>'[22]NBR 6118'!$R$5</f>
        <v>0.17649154312756957</v>
      </c>
      <c r="AO97" s="29">
        <f>'[22]NBR 6118'!$W$5</f>
        <v>0.97990739283841166</v>
      </c>
      <c r="AP97" s="29">
        <f t="shared" si="129"/>
        <v>-2.0297208886313617E-2</v>
      </c>
      <c r="AQ97" s="29">
        <f>'[22]Clark (1956)'!$L$5</f>
        <v>8.5929874012790203E-2</v>
      </c>
      <c r="AR97" s="29">
        <f t="shared" si="99"/>
        <v>0.57286582675193476</v>
      </c>
      <c r="AS97" s="29">
        <f t="shared" si="130"/>
        <v>-0.55710374893314141</v>
      </c>
      <c r="AT97" s="29">
        <f>'[22]Leonhardt (1977)'!$L$5</f>
        <v>0.22278344779495962</v>
      </c>
      <c r="AU97" s="29">
        <f t="shared" si="100"/>
        <v>1.485222985299731</v>
      </c>
      <c r="AV97" s="29">
        <f t="shared" si="131"/>
        <v>0.39556491943300848</v>
      </c>
      <c r="AW97" s="29">
        <f>'[22]Desayi; Ganesan (1985)'!$L$5</f>
        <v>0.14363438998836361</v>
      </c>
      <c r="AX97" s="29">
        <f t="shared" si="101"/>
        <v>0.9575625999224241</v>
      </c>
      <c r="AY97" s="29">
        <f t="shared" si="132"/>
        <v>-4.3364181555358469E-2</v>
      </c>
      <c r="AZ97" s="29">
        <f>'[22]Oh; Kang (1987)'!$L$5</f>
        <v>0.1096602547768438</v>
      </c>
      <c r="BA97" s="29">
        <f t="shared" si="102"/>
        <v>0.73106836517895868</v>
      </c>
      <c r="BB97" s="29">
        <f t="shared" si="133"/>
        <v>-0.31324830078871158</v>
      </c>
      <c r="BC97" s="29">
        <f>'[22]Caldas (1997)'!$L$5</f>
        <v>0.12691535141382154</v>
      </c>
      <c r="BD97" s="29">
        <f t="shared" si="103"/>
        <v>0.84610234275881036</v>
      </c>
      <c r="BE97" s="29">
        <f t="shared" si="134"/>
        <v>-0.16711495416435537</v>
      </c>
      <c r="BF97" s="29" cm="1">
        <f t="array" ref="BF97:BF99">'[22]Gergely e Lutz (1968)'!$L$5:$L$7</f>
        <v>0.14556964857609481</v>
      </c>
      <c r="BG97" s="11">
        <f t="shared" si="139"/>
        <v>0.97046432384063208</v>
      </c>
      <c r="BH97" s="11">
        <f t="shared" si="140"/>
        <v>-2.9980637645738203E-2</v>
      </c>
      <c r="BI97" s="11" cm="1">
        <f t="array" ref="BI97:BI99">[22]Sugestão!$M$5:$M$7</f>
        <v>0.13878769380193201</v>
      </c>
      <c r="BJ97" s="11">
        <f t="shared" ref="BJ97:BJ99" si="147">BI97/J97</f>
        <v>0.92525129201288014</v>
      </c>
      <c r="BK97" s="11">
        <f t="shared" ref="BK97:BK99" si="148">LN(BJ97)</f>
        <v>-7.7689911323569005E-2</v>
      </c>
      <c r="BL97" s="11" cm="1">
        <f t="array" ref="BL97:BL99">'[22]fib Model Code 2020 modificado'!$L$5:$L$7</f>
        <v>0.1798635205970209</v>
      </c>
      <c r="BM97" s="11">
        <f t="shared" si="141"/>
        <v>1.1990901373134728</v>
      </c>
      <c r="BN97" s="11">
        <f t="shared" si="142"/>
        <v>0.18156305029517936</v>
      </c>
      <c r="BS97" t="b">
        <f t="shared" si="111"/>
        <v>1</v>
      </c>
      <c r="BU97" t="b">
        <f t="shared" si="112"/>
        <v>0</v>
      </c>
      <c r="BW97" t="b">
        <f t="shared" si="113"/>
        <v>1</v>
      </c>
    </row>
    <row r="98" spans="1:75">
      <c r="A98" s="88"/>
      <c r="B98" s="38">
        <f>'[22]Dados de entrada'!$B$28</f>
        <v>12.7</v>
      </c>
      <c r="C98" s="38">
        <f>'[22]Dados de entrada'!$B$31</f>
        <v>3</v>
      </c>
      <c r="D98" s="38">
        <f>'[22]Dados de entrada'!$B$32</f>
        <v>19.05</v>
      </c>
      <c r="E98" s="39">
        <f>'[22]Dados de entrada'!$B$27</f>
        <v>3.9766081638229425</v>
      </c>
      <c r="F98" s="38">
        <f>'[22]Dados de entrada'!$B$30</f>
        <v>19.05</v>
      </c>
      <c r="G98" s="38">
        <f>'[22]Dados de entrada'!$B$22</f>
        <v>25.4</v>
      </c>
      <c r="H98" s="40">
        <f>'[22]Dados de entrada'!$B$29/('[22]Dados de entrada'!$B$20*2*G98)</f>
        <v>6.6667355556933344E-2</v>
      </c>
      <c r="I98" s="30">
        <f>'[22]fib Model Code 2010'!$K$6</f>
        <v>347.81022799039772</v>
      </c>
      <c r="J98" s="31">
        <f>'[22]Dados de entrada'!$C$8</f>
        <v>0.17</v>
      </c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29">
        <f>'[22]fib Model Code 2010'!$L$6</f>
        <v>0.13840455251524975</v>
      </c>
      <c r="AE98" s="29">
        <f t="shared" si="145"/>
        <v>0.81414442656029251</v>
      </c>
      <c r="AF98" s="29">
        <f t="shared" si="126"/>
        <v>-0.20561750051137187</v>
      </c>
      <c r="AG98" s="29">
        <f>'[22]fib Model Code 2020'!$L$6</f>
        <v>0.1465765794133671</v>
      </c>
      <c r="AH98" s="29">
        <f t="shared" si="146"/>
        <v>0.86221517301980644</v>
      </c>
      <c r="AI98" s="33">
        <f t="shared" si="127"/>
        <v>-0.14825041879587109</v>
      </c>
      <c r="AJ98" s="29">
        <f>'[22]Eurocode 2'!$L$6</f>
        <v>0.14636856468656209</v>
      </c>
      <c r="AK98" s="29">
        <f t="shared" si="95"/>
        <v>0.86099155697977692</v>
      </c>
      <c r="AL98" s="29">
        <f t="shared" si="128"/>
        <v>-0.14967058066546288</v>
      </c>
      <c r="AM98" s="29">
        <f>'[22]NBR 6118'!$Q$6</f>
        <v>0.16858122445513909</v>
      </c>
      <c r="AN98" s="29">
        <f>'[22]NBR 6118'!$R$6</f>
        <v>0.23216124372145697</v>
      </c>
      <c r="AO98" s="29">
        <f>'[22]NBR 6118'!$W$6</f>
        <v>0.99165426150081815</v>
      </c>
      <c r="AP98" s="29">
        <f t="shared" si="129"/>
        <v>-8.3807591596996266E-3</v>
      </c>
      <c r="AQ98" s="29">
        <f>'[22]Clark (1956)'!$L$6</f>
        <v>9.9764479324658137E-2</v>
      </c>
      <c r="AR98" s="29">
        <f t="shared" si="99"/>
        <v>0.58684987838034197</v>
      </c>
      <c r="AS98" s="29">
        <f t="shared" si="130"/>
        <v>-0.53298623567749792</v>
      </c>
      <c r="AT98" s="29">
        <f>'[22]Leonhardt (1977)'!$L$6</f>
        <v>0.26112007113741192</v>
      </c>
      <c r="AU98" s="29">
        <f t="shared" si="100"/>
        <v>1.5360004184553642</v>
      </c>
      <c r="AV98" s="29">
        <f t="shared" si="131"/>
        <v>0.42918190715732102</v>
      </c>
      <c r="AW98" s="29">
        <f>'[22]Desayi; Ganesan (1985)'!$L$6</f>
        <v>0.16473707287764924</v>
      </c>
      <c r="AX98" s="29">
        <f t="shared" si="101"/>
        <v>0.96904160516264248</v>
      </c>
      <c r="AY98" s="29">
        <f t="shared" si="132"/>
        <v>-3.1447731828744829E-2</v>
      </c>
      <c r="AZ98" s="29">
        <f>'[22]Oh; Kang (1987)'!$L$6</f>
        <v>0.12821946998055819</v>
      </c>
      <c r="BA98" s="29">
        <f t="shared" si="102"/>
        <v>0.75423217635622464</v>
      </c>
      <c r="BB98" s="29">
        <f t="shared" si="133"/>
        <v>-0.28205503217183431</v>
      </c>
      <c r="BC98" s="29">
        <f>'[22]Caldas (1997)'!$L$6</f>
        <v>0.14694396331799323</v>
      </c>
      <c r="BD98" s="29">
        <f t="shared" si="103"/>
        <v>0.86437625481172475</v>
      </c>
      <c r="BE98" s="29">
        <f t="shared" si="134"/>
        <v>-0.14574712486586036</v>
      </c>
      <c r="BF98" s="29">
        <v>0.16695665855646888</v>
      </c>
      <c r="BG98" s="11">
        <f t="shared" si="139"/>
        <v>0.98209799150864041</v>
      </c>
      <c r="BH98" s="11">
        <f t="shared" si="140"/>
        <v>-1.8064187919124685E-2</v>
      </c>
      <c r="BI98" s="11">
        <v>0.16917412974027912</v>
      </c>
      <c r="BJ98" s="11">
        <f t="shared" si="147"/>
        <v>0.99514193964870068</v>
      </c>
      <c r="BK98" s="11">
        <f t="shared" si="148"/>
        <v>-4.869899084236547E-3</v>
      </c>
      <c r="BL98" s="11">
        <v>0.21633572234418399</v>
      </c>
      <c r="BM98" s="11">
        <f t="shared" si="141"/>
        <v>1.272563072612847</v>
      </c>
      <c r="BN98" s="11">
        <f t="shared" si="142"/>
        <v>0.2410330341181974</v>
      </c>
      <c r="BS98" t="b">
        <f t="shared" si="111"/>
        <v>1</v>
      </c>
      <c r="BU98" t="b">
        <f t="shared" si="112"/>
        <v>0</v>
      </c>
      <c r="BW98" t="b">
        <f t="shared" si="113"/>
        <v>1</v>
      </c>
    </row>
    <row r="99" spans="1:75">
      <c r="A99" s="89"/>
      <c r="B99" s="38">
        <f>'[22]Dados de entrada'!$B$28</f>
        <v>12.7</v>
      </c>
      <c r="C99" s="38">
        <f>'[22]Dados de entrada'!$B$31</f>
        <v>3</v>
      </c>
      <c r="D99" s="38">
        <f>'[22]Dados de entrada'!$B$32</f>
        <v>19.05</v>
      </c>
      <c r="E99" s="39">
        <f>'[22]Dados de entrada'!$B$27</f>
        <v>3.9766081638229425</v>
      </c>
      <c r="F99" s="38">
        <f>'[22]Dados de entrada'!$B$30</f>
        <v>19.05</v>
      </c>
      <c r="G99" s="38">
        <f>'[22]Dados de entrada'!$B$22</f>
        <v>25.4</v>
      </c>
      <c r="H99" s="40">
        <f>'[22]Dados de entrada'!$B$29/('[22]Dados de entrada'!$B$20*2*G99)</f>
        <v>6.6667355556933344E-2</v>
      </c>
      <c r="I99" s="30">
        <f>'[22]fib Model Code 2010'!$K$7</f>
        <v>411.04845126137917</v>
      </c>
      <c r="J99" s="31">
        <f>'[22]Dados de entrada'!$C$9</f>
        <v>0.2</v>
      </c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29">
        <f>'[22]fib Model Code 2010'!$L$7</f>
        <v>0.16782270032523594</v>
      </c>
      <c r="AE99" s="29">
        <f t="shared" si="145"/>
        <v>0.8391135016261797</v>
      </c>
      <c r="AF99" s="29">
        <f t="shared" si="126"/>
        <v>-0.17540929963113275</v>
      </c>
      <c r="AG99" s="29">
        <f>'[22]fib Model Code 2020'!$L$7</f>
        <v>0.18064898789954423</v>
      </c>
      <c r="AH99" s="29">
        <f t="shared" si="146"/>
        <v>0.90324493949772111</v>
      </c>
      <c r="AI99" s="33">
        <f t="shared" si="127"/>
        <v>-0.10176151151896513</v>
      </c>
      <c r="AJ99" s="29">
        <f>'[22]Eurocode 2'!$L$7</f>
        <v>0.17747947825431035</v>
      </c>
      <c r="AK99" s="29">
        <f t="shared" si="95"/>
        <v>0.88739739127155171</v>
      </c>
      <c r="AL99" s="29">
        <f t="shared" si="128"/>
        <v>-0.11946237978522381</v>
      </c>
      <c r="AM99" s="29">
        <f>'[22]NBR 6118'!$Q$7</f>
        <v>0.19817501382220473</v>
      </c>
      <c r="AN99" s="29">
        <f>'[22]NBR 6118'!$R$7</f>
        <v>0.32082566870426454</v>
      </c>
      <c r="AO99" s="29">
        <f>'[22]NBR 6118'!$W$7</f>
        <v>0.99087506911102363</v>
      </c>
      <c r="AP99" s="29">
        <f t="shared" si="129"/>
        <v>-9.1668180773502601E-3</v>
      </c>
      <c r="AQ99" s="29">
        <f>'[22]Clark (1956)'!$L$7</f>
        <v>0.11940069331569654</v>
      </c>
      <c r="AR99" s="29">
        <f t="shared" si="99"/>
        <v>0.59700346657848269</v>
      </c>
      <c r="AS99" s="29">
        <f t="shared" si="130"/>
        <v>-0.51583235894226842</v>
      </c>
      <c r="AT99" s="29">
        <f>'[22]Leonhardt (1977)'!$L$7</f>
        <v>0.31456154155224142</v>
      </c>
      <c r="AU99" s="29">
        <f t="shared" si="100"/>
        <v>1.572807707761207</v>
      </c>
      <c r="AV99" s="29">
        <f t="shared" si="131"/>
        <v>0.45286237106076538</v>
      </c>
      <c r="AW99" s="29">
        <f>'[22]Desayi; Ganesan (1985)'!$L$7</f>
        <v>0.19468926794631275</v>
      </c>
      <c r="AX99" s="29">
        <f t="shared" si="101"/>
        <v>0.97344633973156369</v>
      </c>
      <c r="AY99" s="29">
        <f t="shared" si="132"/>
        <v>-2.6912576663353442E-2</v>
      </c>
      <c r="AZ99" s="29">
        <f>'[22]Oh; Kang (1987)'!$L$7</f>
        <v>0.15456158188260449</v>
      </c>
      <c r="BA99" s="29">
        <f t="shared" si="102"/>
        <v>0.77280790941302246</v>
      </c>
      <c r="BB99" s="29">
        <f t="shared" si="133"/>
        <v>-0.25772476138850359</v>
      </c>
      <c r="BC99" s="29">
        <f>'[22]Caldas (1997)'!$L$7</f>
        <v>0.17537167053681754</v>
      </c>
      <c r="BD99" s="29">
        <f t="shared" si="103"/>
        <v>0.87685835268408763</v>
      </c>
      <c r="BE99" s="29">
        <f t="shared" si="134"/>
        <v>-0.13140981312776381</v>
      </c>
      <c r="BF99" s="29">
        <v>0.19731241465764507</v>
      </c>
      <c r="BG99" s="11">
        <f t="shared" si="139"/>
        <v>0.98656207328822532</v>
      </c>
      <c r="BH99" s="11">
        <f t="shared" si="140"/>
        <v>-1.3529032753733227E-2</v>
      </c>
      <c r="BI99" s="11">
        <v>0.2123032646205138</v>
      </c>
      <c r="BJ99" s="11">
        <f t="shared" si="147"/>
        <v>1.0615163231025688</v>
      </c>
      <c r="BK99" s="11">
        <f t="shared" si="148"/>
        <v>5.9698379435847999E-2</v>
      </c>
      <c r="BL99" s="11">
        <v>0.26988391754629426</v>
      </c>
      <c r="BM99" s="11">
        <f t="shared" si="141"/>
        <v>1.3494195877314712</v>
      </c>
      <c r="BN99" s="11">
        <f t="shared" si="142"/>
        <v>0.29967456498805617</v>
      </c>
      <c r="BS99" t="b">
        <f t="shared" si="111"/>
        <v>1</v>
      </c>
      <c r="BU99" t="b">
        <f t="shared" si="112"/>
        <v>0</v>
      </c>
      <c r="BW99" t="b">
        <f t="shared" si="113"/>
        <v>1</v>
      </c>
    </row>
    <row r="100" spans="1:75">
      <c r="A100" s="104" t="s">
        <v>51</v>
      </c>
      <c r="B100" s="35">
        <f>'[23]Dados de entrada'!$B$28</f>
        <v>15.9</v>
      </c>
      <c r="C100" s="35">
        <f>'[23]Dados de entrada'!$B$31</f>
        <v>3</v>
      </c>
      <c r="D100" s="35">
        <f>'[23]Dados de entrada'!$B$32</f>
        <v>15.9</v>
      </c>
      <c r="E100" s="36">
        <f>'[23]Dados de entrada'!$B$27</f>
        <v>3.9766081638229425</v>
      </c>
      <c r="F100" s="35">
        <f>'[23]Dados de entrada'!$B$30</f>
        <v>17.46</v>
      </c>
      <c r="G100" s="35">
        <f>'[23]Dados de entrada'!$B$22</f>
        <v>25.4</v>
      </c>
      <c r="H100" s="34">
        <f>'[23]Dados de entrada'!$B$29/('[23]Dados de entrada'!$B$20*2*G100)</f>
        <v>0.10333354000041334</v>
      </c>
      <c r="I100" s="27">
        <f>'[23]fib Model Code 2010'!$K$5</f>
        <v>289.73492291565424</v>
      </c>
      <c r="J100" s="19">
        <f>'[23]Dados de entrada'!$C$7</f>
        <v>0.16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0">
        <f>'[23]fib Model Code 2010'!$L$5</f>
        <v>9.633661918313291E-2</v>
      </c>
      <c r="AE100" s="20">
        <f t="shared" si="145"/>
        <v>0.60210386989458065</v>
      </c>
      <c r="AF100" s="54">
        <f t="shared" si="126"/>
        <v>-0.50732530720373925</v>
      </c>
      <c r="AG100" s="20">
        <f>'[23]fib Model Code 2020'!$L$5</f>
        <v>0.11125206827518069</v>
      </c>
      <c r="AH100" s="20">
        <f t="shared" si="146"/>
        <v>0.69532542671987929</v>
      </c>
      <c r="AI100" s="28">
        <f t="shared" si="127"/>
        <v>-0.36337530312271304</v>
      </c>
      <c r="AJ100" s="20">
        <f>'[23]Eurocode 2'!$L$5</f>
        <v>0.10731930169564004</v>
      </c>
      <c r="AK100" s="20">
        <f t="shared" si="95"/>
        <v>0.67074563559775024</v>
      </c>
      <c r="AL100" s="20">
        <f t="shared" si="128"/>
        <v>-0.39936529644710628</v>
      </c>
      <c r="AM100" s="20">
        <f>'[23]NBR 6118'!$Q$5</f>
        <v>0.14464187891341146</v>
      </c>
      <c r="AN100" s="20">
        <f>'[23]NBR 6118'!$R$5</f>
        <v>0.20413587615404677</v>
      </c>
      <c r="AO100" s="20">
        <f>'[23]NBR 6118'!$W$5</f>
        <v>0.90401174320882161</v>
      </c>
      <c r="AP100" s="20">
        <f t="shared" si="129"/>
        <v>-0.10091292839908832</v>
      </c>
      <c r="AQ100" s="20">
        <f>'[23]Clark (1956)'!$L$5</f>
        <v>6.8099250668552158E-2</v>
      </c>
      <c r="AR100" s="20">
        <f t="shared" si="99"/>
        <v>0.42562031667845096</v>
      </c>
      <c r="AS100" s="20">
        <f t="shared" si="130"/>
        <v>-0.85420760553754482</v>
      </c>
      <c r="AT100" s="20">
        <f>'[23]Leonhardt (1977)'!$L$5</f>
        <v>0.21246038370039774</v>
      </c>
      <c r="AU100" s="20">
        <f t="shared" si="100"/>
        <v>1.3278773981274858</v>
      </c>
      <c r="AV100" s="20">
        <f t="shared" si="131"/>
        <v>0.28358172610529103</v>
      </c>
      <c r="AW100" s="20">
        <f>'[23]Desayi; Ganesan (1985)'!$L$5</f>
        <v>0.13793919159603718</v>
      </c>
      <c r="AX100" s="20">
        <f t="shared" si="101"/>
        <v>0.86211994747523235</v>
      </c>
      <c r="AY100" s="20">
        <f t="shared" si="132"/>
        <v>-0.14836086779564969</v>
      </c>
      <c r="AZ100" s="20">
        <f>'[23]Oh; Kang (1987)'!$L$5</f>
        <v>0.11256531755015997</v>
      </c>
      <c r="BA100" s="20">
        <f t="shared" si="102"/>
        <v>0.70353323468849982</v>
      </c>
      <c r="BB100" s="20">
        <f t="shared" si="133"/>
        <v>-0.35164016162671341</v>
      </c>
      <c r="BC100" s="20">
        <f>'[23]Caldas (1997)'!$L$5</f>
        <v>0.12149822076563109</v>
      </c>
      <c r="BD100" s="20">
        <f t="shared" si="103"/>
        <v>0.75936387978519426</v>
      </c>
      <c r="BE100" s="20">
        <f t="shared" si="134"/>
        <v>-0.27527419646471774</v>
      </c>
      <c r="BF100" s="20" cm="1">
        <f t="array" ref="BF100:BF101">'[23]Gergely e Lutz (1968)'!$L$5:$L$6</f>
        <v>0.14147730104921094</v>
      </c>
      <c r="BG100" s="20">
        <f t="shared" si="139"/>
        <v>0.88423313155756833</v>
      </c>
      <c r="BH100" s="20">
        <f t="shared" si="140"/>
        <v>-0.12303452763200602</v>
      </c>
      <c r="BI100" s="20" cm="1">
        <f t="array" ref="BI100:BI101">[23]Sugestão!$M$5:$M$6</f>
        <v>0.12007419362751766</v>
      </c>
      <c r="BJ100" s="20">
        <f t="shared" ref="BJ100" si="149">BI100/J100</f>
        <v>0.75046371017198532</v>
      </c>
      <c r="BK100" s="20">
        <f t="shared" ref="BK100" si="150">LN(BJ100)</f>
        <v>-0.28706398327894123</v>
      </c>
      <c r="BL100" s="20" cm="1">
        <f t="array" ref="BL100:BL101">[23]Sugestão!$M$5:$M$6</f>
        <v>0.12007419362751766</v>
      </c>
      <c r="BM100" s="20">
        <f t="shared" si="141"/>
        <v>0.75046371017198532</v>
      </c>
      <c r="BN100" s="20">
        <f t="shared" si="142"/>
        <v>-0.28706398327894123</v>
      </c>
      <c r="BS100" t="b">
        <f t="shared" si="111"/>
        <v>0</v>
      </c>
      <c r="BU100" t="b">
        <f t="shared" si="112"/>
        <v>1</v>
      </c>
      <c r="BW100" t="b">
        <f t="shared" si="113"/>
        <v>1</v>
      </c>
    </row>
    <row r="101" spans="1:75">
      <c r="A101" s="105"/>
      <c r="B101" s="35">
        <f>'[23]Dados de entrada'!$B$28</f>
        <v>15.9</v>
      </c>
      <c r="C101" s="35">
        <f>'[23]Dados de entrada'!$B$31</f>
        <v>3</v>
      </c>
      <c r="D101" s="35">
        <f>'[23]Dados de entrada'!$B$32</f>
        <v>15.9</v>
      </c>
      <c r="E101" s="36">
        <f>'[23]Dados de entrada'!$B$27</f>
        <v>3.9766081638229425</v>
      </c>
      <c r="F101" s="35">
        <f>'[23]Dados de entrada'!$B$30</f>
        <v>17.46</v>
      </c>
      <c r="G101" s="35">
        <f>'[23]Dados de entrada'!$B$22</f>
        <v>25.4</v>
      </c>
      <c r="H101" s="34">
        <f>'[23]Dados de entrada'!$B$29/('[23]Dados de entrada'!$B$20*2*G101)</f>
        <v>0.10333354000041334</v>
      </c>
      <c r="I101" s="27">
        <f>'[23]fib Model Code 2010'!$K$6</f>
        <v>379.98022677462848</v>
      </c>
      <c r="J101" s="19">
        <f>'[23]Dados de entrada'!$C$8</f>
        <v>0.21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0">
        <f>'[23]fib Model Code 2010'!$L$6</f>
        <v>0.13048666289426775</v>
      </c>
      <c r="AE101" s="20">
        <f t="shared" si="145"/>
        <v>0.62136506140127501</v>
      </c>
      <c r="AF101" s="54">
        <f t="shared" si="126"/>
        <v>-0.47583650922142617</v>
      </c>
      <c r="AG101" s="20">
        <f>'[23]fib Model Code 2020'!$L$6</f>
        <v>0.1537594628733715</v>
      </c>
      <c r="AH101" s="20">
        <f t="shared" si="146"/>
        <v>0.73218791844462616</v>
      </c>
      <c r="AI101" s="28">
        <f t="shared" si="127"/>
        <v>-0.31171807878090957</v>
      </c>
      <c r="AJ101" s="20">
        <f>'[23]Eurocode 2'!$L$6</f>
        <v>0.14536255954536384</v>
      </c>
      <c r="AK101" s="20">
        <f t="shared" si="95"/>
        <v>0.69220266450173262</v>
      </c>
      <c r="AL101" s="20">
        <f t="shared" si="128"/>
        <v>-0.36787649846479326</v>
      </c>
      <c r="AM101" s="20">
        <f>'[23]NBR 6118'!$Q$6</f>
        <v>0.18969426742742493</v>
      </c>
      <c r="AN101" s="20">
        <f>'[23]NBR 6118'!$R$6</f>
        <v>0.35110712372639064</v>
      </c>
      <c r="AO101" s="20">
        <f>'[23]NBR 6118'!$W$6</f>
        <v>0.90330603536869014</v>
      </c>
      <c r="AP101" s="20">
        <f t="shared" si="129"/>
        <v>-0.10169387338215935</v>
      </c>
      <c r="AQ101" s="20">
        <f>'[23]Clark (1956)'!$L$6</f>
        <v>9.0733600949242044E-2</v>
      </c>
      <c r="AR101" s="20">
        <f t="shared" si="99"/>
        <v>0.43206476642496211</v>
      </c>
      <c r="AS101" s="20">
        <f t="shared" si="130"/>
        <v>-0.83917977969524371</v>
      </c>
      <c r="AT101" s="20">
        <f>'[23]Leonhardt (1977)'!$L$6</f>
        <v>0.28578159863879343</v>
      </c>
      <c r="AU101" s="20">
        <f t="shared" si="100"/>
        <v>1.3608647554228259</v>
      </c>
      <c r="AV101" s="20">
        <f t="shared" si="131"/>
        <v>0.30812034725687804</v>
      </c>
      <c r="AW101" s="20">
        <f>'[23]Desayi; Ganesan (1985)'!$L$6</f>
        <v>0.18090385783086843</v>
      </c>
      <c r="AX101" s="20">
        <f t="shared" si="101"/>
        <v>0.86144694205175443</v>
      </c>
      <c r="AY101" s="20">
        <f t="shared" si="132"/>
        <v>-0.14914181277872107</v>
      </c>
      <c r="AZ101" s="20">
        <f>'[23]Oh; Kang (1987)'!$L$6</f>
        <v>0.15324241295874669</v>
      </c>
      <c r="BA101" s="20">
        <f t="shared" si="102"/>
        <v>0.72972577599403188</v>
      </c>
      <c r="BB101" s="20">
        <f t="shared" si="133"/>
        <v>-0.31508646473682583</v>
      </c>
      <c r="BC101" s="20">
        <f>'[23]Caldas (1997)'!$L$6</f>
        <v>0.16214997104322221</v>
      </c>
      <c r="BD101" s="20">
        <f t="shared" si="103"/>
        <v>0.77214271925343914</v>
      </c>
      <c r="BE101" s="20">
        <f t="shared" si="134"/>
        <v>-0.2585858765443475</v>
      </c>
      <c r="BF101" s="20">
        <v>0.18554400137601432</v>
      </c>
      <c r="BG101" s="20">
        <f t="shared" si="139"/>
        <v>0.88354286369530632</v>
      </c>
      <c r="BH101" s="20">
        <f t="shared" si="140"/>
        <v>-0.12381547261507747</v>
      </c>
      <c r="BI101" s="20">
        <v>0.17056620402683209</v>
      </c>
      <c r="BJ101" s="20">
        <f t="shared" ref="BJ101" si="151">BI101/J101</f>
        <v>0.81222001917539099</v>
      </c>
      <c r="BK101" s="20">
        <f t="shared" ref="BK101" si="152">LN(BJ101)</f>
        <v>-0.20798401594777038</v>
      </c>
      <c r="BL101" s="20">
        <v>0.17056620402683209</v>
      </c>
      <c r="BM101" s="20">
        <f t="shared" si="141"/>
        <v>0.81222001917539099</v>
      </c>
      <c r="BN101" s="20">
        <f t="shared" si="142"/>
        <v>-0.20798401594777038</v>
      </c>
      <c r="BS101" t="b">
        <f t="shared" si="111"/>
        <v>0</v>
      </c>
      <c r="BU101" t="b">
        <f t="shared" si="112"/>
        <v>1</v>
      </c>
      <c r="BW101" t="b">
        <f t="shared" si="113"/>
        <v>1</v>
      </c>
    </row>
    <row r="102" spans="1:75">
      <c r="A102" s="87" t="s">
        <v>58</v>
      </c>
      <c r="B102" s="5">
        <f>'[24]Dados de entrada'!$B$28</f>
        <v>16</v>
      </c>
      <c r="C102" s="5">
        <f>'[24]Dados de entrada'!$B$31</f>
        <v>2</v>
      </c>
      <c r="D102" s="5">
        <f>'[24]Dados de entrada'!$B$32</f>
        <v>138</v>
      </c>
      <c r="E102" s="11">
        <f>'[24]Dados de entrada'!$B$27</f>
        <v>3.2689999999999997</v>
      </c>
      <c r="F102" s="5">
        <f>'[24]Dados de entrada'!$B$30</f>
        <v>40</v>
      </c>
      <c r="G102" s="12">
        <f>'[24]Dados de entrada'!$B$22</f>
        <v>48</v>
      </c>
      <c r="H102" s="52">
        <f>'[24]Dados de entrada'!$B$29/(2*'[24]Dados de entrada'!$B$20*G102)</f>
        <v>1.6666666666666666E-2</v>
      </c>
      <c r="I102" s="53">
        <f>'[24]fib Model Code 2010'!$K$5</f>
        <v>185.27396447016579</v>
      </c>
      <c r="J102" s="4">
        <f>'[24]Dados de entrada'!$C$7</f>
        <v>0.15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11">
        <f>'[24]fib Model Code 2010'!$L$5</f>
        <v>9.7763317902372596E-2</v>
      </c>
      <c r="AE102" s="11">
        <f t="shared" si="145"/>
        <v>0.65175545268248403</v>
      </c>
      <c r="AF102" s="29">
        <f t="shared" si="126"/>
        <v>-0.42808585998567211</v>
      </c>
      <c r="AG102" s="11">
        <f>'[24]fib Model Code 2020'!$L$5</f>
        <v>0.12206155113118464</v>
      </c>
      <c r="AH102" s="11">
        <f t="shared" si="146"/>
        <v>0.81374367420789762</v>
      </c>
      <c r="AI102" s="55">
        <f t="shared" si="127"/>
        <v>-0.20610985912042065</v>
      </c>
      <c r="AJ102" s="11">
        <f>'[24]Eurocode 2'!$L$5</f>
        <v>0.16208568924502412</v>
      </c>
      <c r="AK102" s="11">
        <f t="shared" si="95"/>
        <v>1.0805712616334942</v>
      </c>
      <c r="AL102" s="11">
        <f t="shared" si="128"/>
        <v>7.7489847250465288E-2</v>
      </c>
      <c r="AM102" s="11">
        <f>'[24]NBR 6118'!$Q$5</f>
        <v>0.25148969879103655</v>
      </c>
      <c r="AN102" s="11">
        <f>'[24]NBR 6118'!$R$5</f>
        <v>9.5278931346240325E-2</v>
      </c>
      <c r="AO102" s="11">
        <f>'[24]NBR 6118'!$W$5</f>
        <v>0.63519287564160221</v>
      </c>
      <c r="AP102" s="11">
        <f t="shared" si="129"/>
        <v>-0.45382658504157763</v>
      </c>
      <c r="AQ102" s="11">
        <f>'[24]Clark (1956)'!$L$5</f>
        <v>0.17060852360291542</v>
      </c>
      <c r="AR102" s="11">
        <f t="shared" si="99"/>
        <v>1.1373901573527696</v>
      </c>
      <c r="AS102" s="11">
        <f t="shared" si="130"/>
        <v>0.12873630221567392</v>
      </c>
      <c r="AT102" s="11"/>
      <c r="AU102" s="11"/>
      <c r="AV102" s="11"/>
      <c r="AW102" s="11">
        <f>'[24]Desayi; Ganesan (1985)'!$L$5</f>
        <v>0.26244074176287685</v>
      </c>
      <c r="AX102" s="11">
        <f t="shared" si="101"/>
        <v>1.7496049450858457</v>
      </c>
      <c r="AY102" s="11">
        <f t="shared" si="132"/>
        <v>0.55939001678580358</v>
      </c>
      <c r="AZ102" s="11">
        <f>'[24]Oh; Kang (1987)'!$L$5</f>
        <v>0.13855918503325088</v>
      </c>
      <c r="BA102" s="11">
        <f t="shared" si="102"/>
        <v>0.9237279002216725</v>
      </c>
      <c r="BB102" s="11">
        <f t="shared" si="133"/>
        <v>-7.9337730987859817E-2</v>
      </c>
      <c r="BC102" s="11">
        <f>'[24]Caldas (1997)'!$L$5</f>
        <v>0.13532727526154789</v>
      </c>
      <c r="BD102" s="11">
        <f t="shared" si="103"/>
        <v>0.90218183507698602</v>
      </c>
      <c r="BE102" s="11">
        <f t="shared" si="134"/>
        <v>-0.10293918824180626</v>
      </c>
      <c r="BF102" s="11" cm="1">
        <f t="array" ref="BF102:BF109">'[24]Gergely e Lutz (1968)'!$L$5:$L$12</f>
        <v>0.20548680545764142</v>
      </c>
      <c r="BG102" s="11">
        <f t="shared" si="139"/>
        <v>1.3699120363842763</v>
      </c>
      <c r="BH102" s="11">
        <f t="shared" si="140"/>
        <v>0.31474653075989822</v>
      </c>
      <c r="BI102" s="11" cm="1">
        <f t="array" ref="BI102:BI109">[24]Sugestão!$M$5:$M$12</f>
        <v>0.12206155113118464</v>
      </c>
      <c r="BJ102" s="11">
        <f t="shared" ref="BJ102:BJ109" si="153">BI102/J102</f>
        <v>0.81374367420789762</v>
      </c>
      <c r="BK102" s="11">
        <f t="shared" ref="BK102:BK109" si="154">LN(BJ102)</f>
        <v>-0.20610985912042065</v>
      </c>
      <c r="BL102" s="11" cm="1">
        <f t="array" ref="BL102:BL109">'[24]fib Model Code 2020 modificado'!$L$5:$L$12</f>
        <v>0.15330156588362995</v>
      </c>
      <c r="BM102" s="11">
        <f t="shared" si="141"/>
        <v>1.0220104392241998</v>
      </c>
      <c r="BN102" s="11">
        <f t="shared" si="142"/>
        <v>2.1771706234432819E-2</v>
      </c>
      <c r="BS102" t="b">
        <f t="shared" si="111"/>
        <v>0</v>
      </c>
      <c r="BU102" t="b">
        <f t="shared" si="112"/>
        <v>1</v>
      </c>
      <c r="BW102" t="b">
        <f t="shared" si="113"/>
        <v>1</v>
      </c>
    </row>
    <row r="103" spans="1:75">
      <c r="A103" s="88"/>
      <c r="B103" s="5">
        <f>'[24]Dados de entrada'!$B$28</f>
        <v>16</v>
      </c>
      <c r="C103" s="5">
        <f>'[24]Dados de entrada'!$B$31</f>
        <v>2</v>
      </c>
      <c r="D103" s="5">
        <f>'[24]Dados de entrada'!$B$32</f>
        <v>138</v>
      </c>
      <c r="E103" s="11">
        <f>'[24]Dados de entrada'!$B$27</f>
        <v>3.2689999999999997</v>
      </c>
      <c r="F103" s="5">
        <f>'[24]Dados de entrada'!$B$30</f>
        <v>40</v>
      </c>
      <c r="G103" s="12">
        <f>'[24]Dados de entrada'!$B$22</f>
        <v>48</v>
      </c>
      <c r="H103" s="52">
        <f>'[24]Dados de entrada'!$B$29/(2*'[24]Dados de entrada'!$B$20*G103)</f>
        <v>1.6666666666666666E-2</v>
      </c>
      <c r="I103" s="53">
        <f>'[24]fib Model Code 2010'!$K$6</f>
        <v>211.76759699968991</v>
      </c>
      <c r="J103" s="4">
        <f>'[24]Dados de entrada'!$C$8</f>
        <v>0.2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11">
        <f>'[24]fib Model Code 2010'!$L$6</f>
        <v>0.14204371000539809</v>
      </c>
      <c r="AE103" s="11">
        <f t="shared" si="145"/>
        <v>0.71021855002699041</v>
      </c>
      <c r="AF103" s="29">
        <f t="shared" si="126"/>
        <v>-0.34218253937326715</v>
      </c>
      <c r="AG103" s="11">
        <f>'[24]fib Model Code 2020'!$L$6</f>
        <v>0.13951599429000236</v>
      </c>
      <c r="AH103" s="11">
        <f t="shared" si="146"/>
        <v>0.69757997145001172</v>
      </c>
      <c r="AI103" s="55">
        <f t="shared" si="127"/>
        <v>-0.36013811745031177</v>
      </c>
      <c r="AJ103" s="11">
        <f>'[24]Eurocode 2'!$L$6</f>
        <v>0.18526346655136439</v>
      </c>
      <c r="AK103" s="11">
        <f t="shared" ref="AK103:AK143" si="155">AJ103/J103</f>
        <v>0.92631733275682193</v>
      </c>
      <c r="AL103" s="11">
        <f t="shared" si="128"/>
        <v>-7.6538411079425814E-2</v>
      </c>
      <c r="AM103" s="11">
        <f>'[24]NBR 6118'!$Q$6</f>
        <v>0.28745198676703199</v>
      </c>
      <c r="AN103" s="11">
        <f>'[24]NBR 6118'!$R$6</f>
        <v>0.12447642459592428</v>
      </c>
      <c r="AO103" s="11">
        <f>'[24]NBR 6118'!$W$6</f>
        <v>0.62238212297962137</v>
      </c>
      <c r="AP103" s="11">
        <f t="shared" si="129"/>
        <v>-0.47420102924957774</v>
      </c>
      <c r="AQ103" s="11">
        <f>'[24]Clark (1956)'!$L$6</f>
        <v>0.21206575978511477</v>
      </c>
      <c r="AR103" s="11">
        <f t="shared" ref="AR103:AR143" si="156">AQ103/J103</f>
        <v>1.0603287989255739</v>
      </c>
      <c r="AS103" s="11">
        <f t="shared" si="130"/>
        <v>5.85790476913636E-2</v>
      </c>
      <c r="AT103" s="11">
        <f>'[24]Leonhardt (1977)'!$L$6</f>
        <v>3.3635138842762015E-2</v>
      </c>
      <c r="AU103" s="11">
        <f t="shared" ref="AU103:AU140" si="157">AT103/J103</f>
        <v>0.16817569421381007</v>
      </c>
      <c r="AV103" s="11">
        <f t="shared" si="131"/>
        <v>-1.7827460471538494</v>
      </c>
      <c r="AW103" s="11">
        <f>'[24]Desayi; Ganesan (1985)'!$L$6</f>
        <v>0.29996899670644184</v>
      </c>
      <c r="AX103" s="11">
        <f t="shared" ref="AX103:AX140" si="158">AW103/J103</f>
        <v>1.4998449835322092</v>
      </c>
      <c r="AY103" s="11">
        <f t="shared" si="132"/>
        <v>0.40536175845591249</v>
      </c>
      <c r="AZ103" s="11">
        <f>'[24]Oh; Kang (1987)'!$L$6</f>
        <v>0.16382824232957854</v>
      </c>
      <c r="BA103" s="11">
        <f t="shared" ref="BA103:BA140" si="159">AZ103/J103</f>
        <v>0.81914121164789266</v>
      </c>
      <c r="BB103" s="11">
        <f t="shared" si="133"/>
        <v>-0.19949879039712101</v>
      </c>
      <c r="BC103" s="11">
        <f>'[24]Caldas (1997)'!$L$6</f>
        <v>0.15835952502381526</v>
      </c>
      <c r="BD103" s="11">
        <f t="shared" ref="BD103:BD140" si="160">BC103/J103</f>
        <v>0.79179762511907625</v>
      </c>
      <c r="BE103" s="11">
        <f t="shared" si="134"/>
        <v>-0.23344944365904</v>
      </c>
      <c r="BF103" s="11">
        <v>0.23487081485706898</v>
      </c>
      <c r="BG103" s="11">
        <f t="shared" si="139"/>
        <v>1.1743540742853449</v>
      </c>
      <c r="BH103" s="11">
        <f t="shared" si="140"/>
        <v>0.16071827243000716</v>
      </c>
      <c r="BI103" s="11">
        <v>0.1554803880682081</v>
      </c>
      <c r="BJ103" s="11">
        <f t="shared" si="153"/>
        <v>0.77740194034104049</v>
      </c>
      <c r="BK103" s="11">
        <f t="shared" si="154"/>
        <v>-0.2517977646306222</v>
      </c>
      <c r="BL103" s="11">
        <v>0.17656917887867599</v>
      </c>
      <c r="BM103" s="11">
        <f t="shared" si="141"/>
        <v>0.8828458943933799</v>
      </c>
      <c r="BN103" s="11">
        <f t="shared" si="142"/>
        <v>-0.12460461864525313</v>
      </c>
      <c r="BS103" t="b">
        <f t="shared" si="111"/>
        <v>0</v>
      </c>
      <c r="BU103" t="b">
        <f t="shared" si="112"/>
        <v>1</v>
      </c>
      <c r="BW103" t="b">
        <f t="shared" si="113"/>
        <v>1</v>
      </c>
    </row>
    <row r="104" spans="1:75">
      <c r="A104" s="88"/>
      <c r="B104" s="5">
        <f>'[24]Dados de entrada'!$B$28</f>
        <v>16</v>
      </c>
      <c r="C104" s="5">
        <f>'[24]Dados de entrada'!$B$31</f>
        <v>2</v>
      </c>
      <c r="D104" s="5">
        <f>'[24]Dados de entrada'!$B$32</f>
        <v>138</v>
      </c>
      <c r="E104" s="11">
        <f>'[24]Dados de entrada'!$B$27</f>
        <v>3.2689999999999997</v>
      </c>
      <c r="F104" s="5">
        <f>'[24]Dados de entrada'!$B$30</f>
        <v>40</v>
      </c>
      <c r="G104" s="12">
        <f>'[24]Dados de entrada'!$B$22</f>
        <v>48</v>
      </c>
      <c r="H104" s="52">
        <f>'[24]Dados de entrada'!$B$29/(2*'[24]Dados de entrada'!$B$20*G104)</f>
        <v>1.6666666666666666E-2</v>
      </c>
      <c r="I104" s="53">
        <f>'[24]fib Model Code 2010'!$K$7</f>
        <v>238.26122952921415</v>
      </c>
      <c r="J104" s="4">
        <f>'[24]Dados de entrada'!$C$9</f>
        <v>0.25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11">
        <f>'[24]fib Model Code 2010'!$L$7</f>
        <v>0.18632410210842379</v>
      </c>
      <c r="AE104" s="11">
        <f t="shared" si="145"/>
        <v>0.74529640843369516</v>
      </c>
      <c r="AF104" s="29">
        <f t="shared" si="126"/>
        <v>-0.29397327605995072</v>
      </c>
      <c r="AG104" s="11">
        <f>'[24]fib Model Code 2020'!$L$7</f>
        <v>0.15697043744882017</v>
      </c>
      <c r="AH104" s="11">
        <f t="shared" si="146"/>
        <v>0.62788174979528066</v>
      </c>
      <c r="AI104" s="55">
        <f t="shared" si="127"/>
        <v>-0.465403426748281</v>
      </c>
      <c r="AJ104" s="11">
        <f>'[24]Eurocode 2'!$L$7</f>
        <v>0.20844124385770482</v>
      </c>
      <c r="AK104" s="11">
        <f t="shared" si="155"/>
        <v>0.83376497543081929</v>
      </c>
      <c r="AL104" s="11">
        <f t="shared" si="128"/>
        <v>-0.18180372037739501</v>
      </c>
      <c r="AM104" s="11">
        <f>'[24]NBR 6118'!$Q$7</f>
        <v>0.32341427474302747</v>
      </c>
      <c r="AN104" s="11">
        <f>'[24]NBR 6118'!$R$7</f>
        <v>0.15757047544565747</v>
      </c>
      <c r="AO104" s="11">
        <f>'[24]NBR 6118'!$W$7</f>
        <v>0.63028190178262988</v>
      </c>
      <c r="AP104" s="11">
        <f t="shared" si="129"/>
        <v>-0.46158809653130695</v>
      </c>
      <c r="AQ104" s="11">
        <f>'[24]Clark (1956)'!$L$7</f>
        <v>0.25352299596731431</v>
      </c>
      <c r="AR104" s="11">
        <f t="shared" si="156"/>
        <v>1.0140919838692573</v>
      </c>
      <c r="AS104" s="11">
        <f t="shared" si="130"/>
        <v>1.3993614929743825E-2</v>
      </c>
      <c r="AT104" s="11">
        <f>'[24]Leonhardt (1977)'!$L$7</f>
        <v>0.15698056442293562</v>
      </c>
      <c r="AU104" s="11">
        <f t="shared" si="157"/>
        <v>0.62792225769174248</v>
      </c>
      <c r="AV104" s="11">
        <f t="shared" si="131"/>
        <v>-0.46533891366147068</v>
      </c>
      <c r="AW104" s="11">
        <f>'[24]Desayi; Ganesan (1985)'!$L$7</f>
        <v>0.33749725165000705</v>
      </c>
      <c r="AX104" s="11">
        <f t="shared" si="158"/>
        <v>1.3499890066000282</v>
      </c>
      <c r="AY104" s="11">
        <f t="shared" si="132"/>
        <v>0.3000964491579432</v>
      </c>
      <c r="AZ104" s="11">
        <f>'[24]Oh; Kang (1987)'!$L$7</f>
        <v>0.1890972996259063</v>
      </c>
      <c r="BA104" s="11">
        <f t="shared" si="159"/>
        <v>0.75638919850362518</v>
      </c>
      <c r="BB104" s="11">
        <f t="shared" si="133"/>
        <v>-0.27919922243778567</v>
      </c>
      <c r="BC104" s="11">
        <f>'[24]Caldas (1997)'!$L$7</f>
        <v>0.1813917747860827</v>
      </c>
      <c r="BD104" s="11">
        <f t="shared" si="160"/>
        <v>0.72556709914433082</v>
      </c>
      <c r="BE104" s="11">
        <f t="shared" si="134"/>
        <v>-0.32080172417459901</v>
      </c>
      <c r="BF104" s="11">
        <v>0.26425482425649671</v>
      </c>
      <c r="BG104" s="11">
        <f t="shared" si="139"/>
        <v>1.0570192970259868</v>
      </c>
      <c r="BH104" s="11">
        <f t="shared" si="140"/>
        <v>5.545296313203793E-2</v>
      </c>
      <c r="BI104" s="11">
        <v>0.19681733910587482</v>
      </c>
      <c r="BJ104" s="11">
        <f t="shared" si="153"/>
        <v>0.78726935642349927</v>
      </c>
      <c r="BK104" s="11">
        <f t="shared" si="154"/>
        <v>-0.23918483191235115</v>
      </c>
      <c r="BL104" s="11">
        <v>0.20017356508671053</v>
      </c>
      <c r="BM104" s="11">
        <f t="shared" si="141"/>
        <v>0.8006942603468421</v>
      </c>
      <c r="BN104" s="11">
        <f t="shared" si="142"/>
        <v>-0.22227610222343122</v>
      </c>
      <c r="BS104" t="b">
        <f t="shared" si="111"/>
        <v>0</v>
      </c>
      <c r="BU104" t="b">
        <f t="shared" si="112"/>
        <v>1</v>
      </c>
      <c r="BW104" t="b">
        <f t="shared" si="113"/>
        <v>1</v>
      </c>
    </row>
    <row r="105" spans="1:75">
      <c r="A105" s="88"/>
      <c r="B105" s="5">
        <f>'[24]Dados de entrada'!$B$28</f>
        <v>16</v>
      </c>
      <c r="C105" s="5">
        <f>'[24]Dados de entrada'!$B$31</f>
        <v>2</v>
      </c>
      <c r="D105" s="5">
        <f>'[24]Dados de entrada'!$B$32</f>
        <v>138</v>
      </c>
      <c r="E105" s="11">
        <f>'[24]Dados de entrada'!$B$27</f>
        <v>3.2689999999999997</v>
      </c>
      <c r="F105" s="5">
        <f>'[24]Dados de entrada'!$B$30</f>
        <v>40</v>
      </c>
      <c r="G105" s="12">
        <f>'[24]Dados de entrada'!$B$22</f>
        <v>48</v>
      </c>
      <c r="H105" s="52">
        <f>'[24]Dados de entrada'!$B$29/(2*'[24]Dados de entrada'!$B$20*G105)</f>
        <v>1.6666666666666666E-2</v>
      </c>
      <c r="I105" s="53">
        <f>'[24]fib Model Code 2010'!$K$8</f>
        <v>264.70949624961241</v>
      </c>
      <c r="J105" s="4">
        <f>'[24]Dados de entrada'!$C$10</f>
        <v>0.28000000000000003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11">
        <f>'[24]fib Model Code 2010'!$L$8</f>
        <v>0.2305286716222319</v>
      </c>
      <c r="AE105" s="11">
        <f t="shared" si="145"/>
        <v>0.82331668436511385</v>
      </c>
      <c r="AF105" s="29">
        <f t="shared" si="126"/>
        <v>-0.19441435965156958</v>
      </c>
      <c r="AG105" s="11">
        <f>'[24]fib Model Code 2020'!$L$8</f>
        <v>0.17439499286250298</v>
      </c>
      <c r="AH105" s="11">
        <f t="shared" si="146"/>
        <v>0.62283926022322489</v>
      </c>
      <c r="AI105" s="55">
        <f t="shared" si="127"/>
        <v>-0.47346680275731473</v>
      </c>
      <c r="AJ105" s="11">
        <f>'[24]Eurocode 2'!$L$8</f>
        <v>0.23157933318920554</v>
      </c>
      <c r="AK105" s="11">
        <f t="shared" si="155"/>
        <v>0.8270690471043054</v>
      </c>
      <c r="AL105" s="11">
        <f t="shared" si="128"/>
        <v>-0.18986709638642885</v>
      </c>
      <c r="AM105" s="11">
        <f>'[24]NBR 6118'!$Q$8</f>
        <v>0.35931498345878993</v>
      </c>
      <c r="AN105" s="11">
        <f>'[24]NBR 6118'!$R$8</f>
        <v>0.19449441343113166</v>
      </c>
      <c r="AO105" s="11">
        <f>'[24]NBR 6118'!$W$8</f>
        <v>0.69462290511118441</v>
      </c>
      <c r="AP105" s="11">
        <f t="shared" si="129"/>
        <v>-0.36438616324237139</v>
      </c>
      <c r="AQ105" s="11">
        <f>'[24]Clark (1956)'!$L$8</f>
        <v>0.29490924373139349</v>
      </c>
      <c r="AR105" s="11">
        <f t="shared" si="156"/>
        <v>1.0532472990406909</v>
      </c>
      <c r="AS105" s="11">
        <f t="shared" si="130"/>
        <v>5.1878057468944944E-2</v>
      </c>
      <c r="AT105" s="11">
        <f>'[24]Leonhardt (1977)'!$L$8</f>
        <v>0.26892161187916835</v>
      </c>
      <c r="AU105" s="11">
        <f t="shared" si="157"/>
        <v>0.96043432813988694</v>
      </c>
      <c r="AV105" s="11">
        <f t="shared" si="131"/>
        <v>-4.0369671687937536E-2</v>
      </c>
      <c r="AW105" s="11">
        <f>'[24]Desayi; Ganesan (1985)'!$L$8</f>
        <v>0.37496124588305235</v>
      </c>
      <c r="AX105" s="11">
        <f t="shared" si="158"/>
        <v>1.3391473067251869</v>
      </c>
      <c r="AY105" s="11">
        <f t="shared" si="132"/>
        <v>0.29203307314890942</v>
      </c>
      <c r="AZ105" s="11">
        <f>'[24]Oh; Kang (1987)'!$L$8</f>
        <v>0.21432308798850738</v>
      </c>
      <c r="BA105" s="11">
        <f t="shared" si="159"/>
        <v>0.76543959995895483</v>
      </c>
      <c r="BB105" s="11">
        <f t="shared" si="133"/>
        <v>-0.26730496972898987</v>
      </c>
      <c r="BC105" s="11">
        <f>'[24]Caldas (1997)'!$L$8</f>
        <v>0.20438458576451057</v>
      </c>
      <c r="BD105" s="11">
        <f t="shared" si="160"/>
        <v>0.72994494915896624</v>
      </c>
      <c r="BE105" s="11">
        <f t="shared" si="134"/>
        <v>-0.3147861597943416</v>
      </c>
      <c r="BF105" s="11">
        <v>0.29358851857133628</v>
      </c>
      <c r="BG105" s="11">
        <f t="shared" si="139"/>
        <v>1.048530423469058</v>
      </c>
      <c r="BH105" s="11">
        <f t="shared" si="140"/>
        <v>4.7389587123004062E-2</v>
      </c>
      <c r="BI105" s="11">
        <v>0.24293810635657515</v>
      </c>
      <c r="BJ105" s="11">
        <f t="shared" si="153"/>
        <v>0.86763609413062548</v>
      </c>
      <c r="BK105" s="11">
        <f t="shared" si="154"/>
        <v>-0.14198289862341568</v>
      </c>
      <c r="BL105" s="11">
        <v>0.22407344153222955</v>
      </c>
      <c r="BM105" s="11">
        <f t="shared" si="141"/>
        <v>0.80026229118653402</v>
      </c>
      <c r="BN105" s="11">
        <f t="shared" si="142"/>
        <v>-0.22281574106669294</v>
      </c>
      <c r="BS105" t="b">
        <f t="shared" si="111"/>
        <v>0</v>
      </c>
      <c r="BU105" t="b">
        <f t="shared" si="112"/>
        <v>1</v>
      </c>
      <c r="BW105" t="b">
        <f t="shared" si="113"/>
        <v>1</v>
      </c>
    </row>
    <row r="106" spans="1:75">
      <c r="A106" s="88"/>
      <c r="B106" s="5">
        <f>'[24]Dados de entrada'!$B$28</f>
        <v>16</v>
      </c>
      <c r="C106" s="5">
        <f>'[24]Dados de entrada'!$B$31</f>
        <v>2</v>
      </c>
      <c r="D106" s="5">
        <f>'[24]Dados de entrada'!$B$32</f>
        <v>138</v>
      </c>
      <c r="E106" s="11">
        <f>'[24]Dados de entrada'!$B$27</f>
        <v>3.2689999999999997</v>
      </c>
      <c r="F106" s="5">
        <f>'[24]Dados de entrada'!$B$30</f>
        <v>40</v>
      </c>
      <c r="G106" s="12">
        <f>'[24]Dados de entrada'!$B$22</f>
        <v>48</v>
      </c>
      <c r="H106" s="52">
        <f>'[24]Dados de entrada'!$B$29/(2*'[24]Dados de entrada'!$B$20*G106)</f>
        <v>1.6666666666666666E-2</v>
      </c>
      <c r="I106" s="53">
        <f>'[24]fib Model Code 2010'!$K$9</f>
        <v>291.15776297001077</v>
      </c>
      <c r="J106" s="4">
        <f>'[24]Dados de entrada'!$C$11</f>
        <v>0.28000000000000003</v>
      </c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11">
        <f>'[24]fib Model Code 2010'!$L$9</f>
        <v>0.27473324113604009</v>
      </c>
      <c r="AE106" s="11">
        <f t="shared" si="145"/>
        <v>0.98119014691442874</v>
      </c>
      <c r="AF106" s="29">
        <f t="shared" si="126"/>
        <v>-1.8989008521002271E-2</v>
      </c>
      <c r="AG106" s="11">
        <f>'[24]fib Model Code 2020'!$L$9</f>
        <v>0.19711643896364461</v>
      </c>
      <c r="AH106" s="11">
        <f t="shared" si="146"/>
        <v>0.70398728201301641</v>
      </c>
      <c r="AI106" s="55">
        <f t="shared" si="127"/>
        <v>-0.35099498830969444</v>
      </c>
      <c r="AJ106" s="11">
        <f>'[24]Eurocode 2'!$L$9</f>
        <v>0.25471742252070634</v>
      </c>
      <c r="AK106" s="11">
        <f t="shared" si="155"/>
        <v>0.90970508043109399</v>
      </c>
      <c r="AL106" s="11">
        <f t="shared" si="128"/>
        <v>-9.4634819437282774E-2</v>
      </c>
      <c r="AM106" s="11">
        <f>'[24]NBR 6118'!$Q$9</f>
        <v>0.39521569217455249</v>
      </c>
      <c r="AN106" s="11">
        <f>'[24]NBR 6118'!$R$9</f>
        <v>0.23530157606629135</v>
      </c>
      <c r="AO106" s="11">
        <f>'[24]NBR 6118'!$W$9</f>
        <v>0.84036277166532614</v>
      </c>
      <c r="AP106" s="11">
        <f t="shared" si="129"/>
        <v>-0.17392160934407982</v>
      </c>
      <c r="AQ106" s="11">
        <f>'[24]Clark (1956)'!$L$9</f>
        <v>0.33629549149547283</v>
      </c>
      <c r="AR106" s="11">
        <f t="shared" si="156"/>
        <v>1.2010553267695456</v>
      </c>
      <c r="AS106" s="11">
        <f t="shared" si="130"/>
        <v>0.18320060928869467</v>
      </c>
      <c r="AT106" s="11">
        <f>'[24]Leonhardt (1977)'!$L$9</f>
        <v>0.37272851383387728</v>
      </c>
      <c r="AU106" s="11">
        <f t="shared" si="157"/>
        <v>1.3311732636924187</v>
      </c>
      <c r="AV106" s="11">
        <f t="shared" si="131"/>
        <v>0.28606070651744248</v>
      </c>
      <c r="AW106" s="11">
        <f>'[24]Desayi; Ganesan (1985)'!$L$9</f>
        <v>0.41242524011609777</v>
      </c>
      <c r="AX106" s="11">
        <f t="shared" si="158"/>
        <v>1.4729472861289206</v>
      </c>
      <c r="AY106" s="11">
        <f t="shared" si="132"/>
        <v>0.38726535009805546</v>
      </c>
      <c r="AZ106" s="11">
        <f>'[24]Oh; Kang (1987)'!$L$9</f>
        <v>0.23954887635110861</v>
      </c>
      <c r="BA106" s="11">
        <f t="shared" si="159"/>
        <v>0.85553170125395928</v>
      </c>
      <c r="BB106" s="11">
        <f t="shared" si="133"/>
        <v>-0.15603213051649811</v>
      </c>
      <c r="BC106" s="11">
        <f>'[24]Caldas (1997)'!$L$9</f>
        <v>0.22737739674293855</v>
      </c>
      <c r="BD106" s="11">
        <f t="shared" si="160"/>
        <v>0.81206213122478044</v>
      </c>
      <c r="BE106" s="11">
        <f t="shared" si="134"/>
        <v>-0.20817842546100543</v>
      </c>
      <c r="BF106" s="11">
        <v>0.32292221288617595</v>
      </c>
      <c r="BG106" s="11">
        <f t="shared" si="139"/>
        <v>1.1532936174506283</v>
      </c>
      <c r="BH106" s="11">
        <f t="shared" si="140"/>
        <v>0.14262186407215016</v>
      </c>
      <c r="BI106" s="11">
        <v>0.29732680364536013</v>
      </c>
      <c r="BJ106" s="11">
        <f t="shared" si="153"/>
        <v>1.0618814415905717</v>
      </c>
      <c r="BK106" s="11">
        <f t="shared" si="154"/>
        <v>6.0042279667516692E-2</v>
      </c>
      <c r="BL106" s="11">
        <v>0.25360582953271715</v>
      </c>
      <c r="BM106" s="11">
        <f t="shared" si="141"/>
        <v>0.90573510547398972</v>
      </c>
      <c r="BN106" s="11">
        <f t="shared" si="142"/>
        <v>-9.9008393753986026E-2</v>
      </c>
      <c r="BS106" t="b">
        <f t="shared" si="111"/>
        <v>0</v>
      </c>
      <c r="BU106" t="b">
        <f t="shared" si="112"/>
        <v>1</v>
      </c>
      <c r="BW106" t="b">
        <f t="shared" si="113"/>
        <v>1</v>
      </c>
    </row>
    <row r="107" spans="1:75">
      <c r="A107" s="88"/>
      <c r="B107" s="5">
        <f>'[24]Dados de entrada'!$B$28</f>
        <v>16</v>
      </c>
      <c r="C107" s="5">
        <f>'[24]Dados de entrada'!$B$31</f>
        <v>2</v>
      </c>
      <c r="D107" s="5">
        <f>'[24]Dados de entrada'!$B$32</f>
        <v>138</v>
      </c>
      <c r="E107" s="11">
        <f>'[24]Dados de entrada'!$B$27</f>
        <v>3.2689999999999997</v>
      </c>
      <c r="F107" s="5">
        <f>'[24]Dados de entrada'!$B$30</f>
        <v>40</v>
      </c>
      <c r="G107" s="12">
        <f>'[24]Dados de entrada'!$B$22</f>
        <v>48</v>
      </c>
      <c r="H107" s="52">
        <f>'[24]Dados de entrada'!$B$29/(2*'[24]Dados de entrada'!$B$20*G107)</f>
        <v>1.6666666666666666E-2</v>
      </c>
      <c r="I107" s="53">
        <f>'[24]fib Model Code 2010'!$K$10</f>
        <v>317.65139549953489</v>
      </c>
      <c r="J107" s="4">
        <f>'[24]Dados de entrada'!$C$12</f>
        <v>0.3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11">
        <f>'[24]fib Model Code 2010'!$L$10</f>
        <v>0.31901363323906562</v>
      </c>
      <c r="AE107" s="11">
        <f t="shared" si="145"/>
        <v>1.0633787774635521</v>
      </c>
      <c r="AF107" s="29">
        <f t="shared" si="126"/>
        <v>6.1451364641963775E-2</v>
      </c>
      <c r="AG107" s="11">
        <f>'[24]fib Model Code 2020'!$L$10</f>
        <v>0.24075254686068898</v>
      </c>
      <c r="AH107" s="11">
        <f t="shared" si="146"/>
        <v>0.80250848953562992</v>
      </c>
      <c r="AI107" s="55">
        <f t="shared" si="127"/>
        <v>-0.22001284517332384</v>
      </c>
      <c r="AJ107" s="11">
        <f>'[24]Eurocode 2'!$L$10</f>
        <v>0.27830327743026689</v>
      </c>
      <c r="AK107" s="11">
        <f t="shared" si="155"/>
        <v>0.92767759143422301</v>
      </c>
      <c r="AL107" s="11">
        <f t="shared" si="128"/>
        <v>-7.5071029584763624E-2</v>
      </c>
      <c r="AM107" s="11">
        <f>'[24]NBR 6118'!$Q$10</f>
        <v>0.43117798015054798</v>
      </c>
      <c r="AN107" s="11">
        <f>'[24]NBR 6118'!$R$10</f>
        <v>0.28007195534082957</v>
      </c>
      <c r="AO107" s="11">
        <f>'[24]NBR 6118'!$W$10</f>
        <v>0.93357318446943194</v>
      </c>
      <c r="AP107" s="11">
        <f t="shared" si="129"/>
        <v>-6.8735921141413484E-2</v>
      </c>
      <c r="AQ107" s="11">
        <f>'[24]Clark (1956)'!$L$10</f>
        <v>0.37775272767767221</v>
      </c>
      <c r="AR107" s="11">
        <f t="shared" si="156"/>
        <v>1.2591757589255741</v>
      </c>
      <c r="AS107" s="11">
        <f t="shared" si="130"/>
        <v>0.23045734732477283</v>
      </c>
      <c r="AT107" s="11">
        <f>'[24]Leonhardt (1977)'!$L$10</f>
        <v>0.47059657553398709</v>
      </c>
      <c r="AU107" s="11">
        <f t="shared" si="157"/>
        <v>1.568655251779957</v>
      </c>
      <c r="AV107" s="11">
        <f t="shared" si="131"/>
        <v>0.45021872480222774</v>
      </c>
      <c r="AW107" s="11">
        <f>'[24]Desayi; Ganesan (1985)'!$L$10</f>
        <v>0.44995349505966281</v>
      </c>
      <c r="AX107" s="11">
        <f t="shared" si="158"/>
        <v>1.4998449835322094</v>
      </c>
      <c r="AY107" s="11">
        <f t="shared" si="132"/>
        <v>0.40536175845591266</v>
      </c>
      <c r="AZ107" s="11">
        <f>'[24]Oh; Kang (1987)'!$L$10</f>
        <v>0.26481793364743622</v>
      </c>
      <c r="BA107" s="11">
        <f t="shared" si="159"/>
        <v>0.88272644549145407</v>
      </c>
      <c r="BB107" s="11">
        <f t="shared" si="133"/>
        <v>-0.12473992763193092</v>
      </c>
      <c r="BC107" s="11">
        <f>'[24]Caldas (1997)'!$L$10</f>
        <v>0.25040964650520592</v>
      </c>
      <c r="BD107" s="11">
        <f t="shared" si="160"/>
        <v>0.83469882168401976</v>
      </c>
      <c r="BE107" s="11">
        <f t="shared" si="134"/>
        <v>-0.18068431179048972</v>
      </c>
      <c r="BF107" s="11">
        <v>0.35230622228560349</v>
      </c>
      <c r="BG107" s="11">
        <f t="shared" si="139"/>
        <v>1.1743540742853451</v>
      </c>
      <c r="BH107" s="11">
        <f t="shared" si="140"/>
        <v>0.16071827243000736</v>
      </c>
      <c r="BI107" s="11">
        <v>0.36721458076330876</v>
      </c>
      <c r="BJ107" s="11">
        <f t="shared" si="153"/>
        <v>1.2240486025443627</v>
      </c>
      <c r="BK107" s="11">
        <f t="shared" si="154"/>
        <v>0.20216389126287471</v>
      </c>
      <c r="BL107" s="11">
        <v>0.30440104678502228</v>
      </c>
      <c r="BM107" s="11">
        <f t="shared" si="141"/>
        <v>1.0146701559500744</v>
      </c>
      <c r="BN107" s="11">
        <f t="shared" si="142"/>
        <v>1.4563590172402144E-2</v>
      </c>
      <c r="BS107" t="b">
        <f t="shared" si="111"/>
        <v>0</v>
      </c>
      <c r="BU107" t="b">
        <f t="shared" si="112"/>
        <v>1</v>
      </c>
      <c r="BW107" t="b">
        <f t="shared" si="113"/>
        <v>1</v>
      </c>
    </row>
    <row r="108" spans="1:75">
      <c r="A108" s="88"/>
      <c r="B108" s="5">
        <f>'[24]Dados de entrada'!$B$28</f>
        <v>16</v>
      </c>
      <c r="C108" s="5">
        <f>'[24]Dados de entrada'!$B$31</f>
        <v>2</v>
      </c>
      <c r="D108" s="5">
        <f>'[24]Dados de entrada'!$B$32</f>
        <v>138</v>
      </c>
      <c r="E108" s="11">
        <f>'[24]Dados de entrada'!$B$27</f>
        <v>3.2689999999999997</v>
      </c>
      <c r="F108" s="5">
        <f>'[24]Dados de entrada'!$B$30</f>
        <v>40</v>
      </c>
      <c r="G108" s="12">
        <f>'[24]Dados de entrada'!$B$22</f>
        <v>48</v>
      </c>
      <c r="H108" s="52">
        <f>'[24]Dados de entrada'!$B$29/(2*'[24]Dados de entrada'!$B$20*G108)</f>
        <v>1.6666666666666666E-2</v>
      </c>
      <c r="I108" s="53">
        <f>'[24]fib Model Code 2010'!$K$11</f>
        <v>344.14502802905912</v>
      </c>
      <c r="J108" s="4">
        <f>'[24]Dados de entrada'!$C$13</f>
        <v>0.33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11">
        <f>'[24]fib Model Code 2010'!$L$11</f>
        <v>0.36329402534209126</v>
      </c>
      <c r="AE108" s="11">
        <f t="shared" si="145"/>
        <v>1.100890985885125</v>
      </c>
      <c r="AF108" s="29">
        <f t="shared" si="126"/>
        <v>9.6119839110044972E-2</v>
      </c>
      <c r="AG108" s="11">
        <f>'[24]fib Model Code 2020'!$L$11</f>
        <v>0.28438865475773345</v>
      </c>
      <c r="AH108" s="11">
        <f t="shared" si="146"/>
        <v>0.86178380229616192</v>
      </c>
      <c r="AI108" s="55">
        <f t="shared" si="127"/>
        <v>-0.14875084917758616</v>
      </c>
      <c r="AJ108" s="11">
        <f>'[24]Eurocode 2'!$L$11</f>
        <v>0.31693290627416754</v>
      </c>
      <c r="AK108" s="11">
        <f t="shared" si="155"/>
        <v>0.96040274628535616</v>
      </c>
      <c r="AL108" s="11">
        <f t="shared" si="128"/>
        <v>-4.0402555116682344E-2</v>
      </c>
      <c r="AM108" s="11">
        <f>'[24]NBR 6118'!$Q$11</f>
        <v>0.46714026812654336</v>
      </c>
      <c r="AN108" s="11">
        <f>'[24]NBR 6118'!$R$11</f>
        <v>0.32873889221541702</v>
      </c>
      <c r="AO108" s="11">
        <f>'[24]NBR 6118'!$W$11</f>
        <v>0.99617846125883946</v>
      </c>
      <c r="AP108" s="11">
        <f t="shared" si="129"/>
        <v>-3.8288594772718301E-3</v>
      </c>
      <c r="AQ108" s="11">
        <f>'[24]Clark (1956)'!$L$11</f>
        <v>0.41920996385987175</v>
      </c>
      <c r="AR108" s="11">
        <f t="shared" si="156"/>
        <v>1.2703332238177931</v>
      </c>
      <c r="AS108" s="11">
        <f t="shared" si="130"/>
        <v>0.23927924701352823</v>
      </c>
      <c r="AT108" s="11">
        <f>'[24]Leonhardt (1977)'!$L$11</f>
        <v>0.56375561051767764</v>
      </c>
      <c r="AU108" s="11">
        <f t="shared" si="157"/>
        <v>1.7083503349020535</v>
      </c>
      <c r="AV108" s="11">
        <f t="shared" si="131"/>
        <v>0.53552818844462735</v>
      </c>
      <c r="AW108" s="11">
        <f>'[24]Desayi; Ganesan (1985)'!$L$11</f>
        <v>0.48748175000322802</v>
      </c>
      <c r="AX108" s="11">
        <f t="shared" si="158"/>
        <v>1.477217424252206</v>
      </c>
      <c r="AY108" s="11">
        <f t="shared" si="132"/>
        <v>0.39016019938582114</v>
      </c>
      <c r="AZ108" s="11">
        <f>'[24]Oh; Kang (1987)'!$L$11</f>
        <v>0.290086990943764</v>
      </c>
      <c r="BA108" s="11">
        <f t="shared" si="159"/>
        <v>0.87905148770837571</v>
      </c>
      <c r="BB108" s="11">
        <f t="shared" si="133"/>
        <v>-0.12891180769004307</v>
      </c>
      <c r="BC108" s="11">
        <f>'[24]Caldas (1997)'!$L$11</f>
        <v>0.27344189626747334</v>
      </c>
      <c r="BD108" s="11">
        <f t="shared" si="160"/>
        <v>0.82861180687113134</v>
      </c>
      <c r="BE108" s="11">
        <f t="shared" si="134"/>
        <v>-0.18800350025965021</v>
      </c>
      <c r="BF108" s="11">
        <v>0.38169023168503119</v>
      </c>
      <c r="BG108" s="11">
        <f t="shared" si="139"/>
        <v>1.1566370657122156</v>
      </c>
      <c r="BH108" s="11">
        <f t="shared" si="140"/>
        <v>0.14551671335991564</v>
      </c>
      <c r="BI108" s="11">
        <v>0.43710235788125756</v>
      </c>
      <c r="BJ108" s="11">
        <f t="shared" si="153"/>
        <v>1.3245525996401744</v>
      </c>
      <c r="BK108" s="11">
        <f t="shared" si="154"/>
        <v>0.2810747417690676</v>
      </c>
      <c r="BL108" s="11">
        <v>0.35553303725031593</v>
      </c>
      <c r="BM108" s="11">
        <f t="shared" si="141"/>
        <v>1.0773728401524725</v>
      </c>
      <c r="BN108" s="11">
        <f t="shared" si="142"/>
        <v>7.4525522251983889E-2</v>
      </c>
      <c r="BS108" t="b">
        <f t="shared" si="111"/>
        <v>0</v>
      </c>
      <c r="BU108" t="b">
        <f t="shared" si="112"/>
        <v>1</v>
      </c>
      <c r="BW108" t="b">
        <f t="shared" si="113"/>
        <v>1</v>
      </c>
    </row>
    <row r="109" spans="1:75">
      <c r="A109" s="89"/>
      <c r="B109" s="5">
        <f>'[24]Dados de entrada'!$B$28</f>
        <v>16</v>
      </c>
      <c r="C109" s="5">
        <f>'[24]Dados de entrada'!$B$31</f>
        <v>2</v>
      </c>
      <c r="D109" s="5">
        <f>'[24]Dados de entrada'!$B$32</f>
        <v>138</v>
      </c>
      <c r="E109" s="11">
        <f>'[24]Dados de entrada'!$B$27</f>
        <v>3.2689999999999997</v>
      </c>
      <c r="F109" s="5">
        <f>'[24]Dados de entrada'!$B$30</f>
        <v>40</v>
      </c>
      <c r="G109" s="12">
        <f>'[24]Dados de entrada'!$B$22</f>
        <v>48</v>
      </c>
      <c r="H109" s="52">
        <f>'[24]Dados de entrada'!$B$29/(2*'[24]Dados de entrada'!$B$20*G109)</f>
        <v>1.6666666666666666E-2</v>
      </c>
      <c r="I109" s="53">
        <f>'[24]fib Model Code 2010'!$K$12</f>
        <v>370.54792894033159</v>
      </c>
      <c r="J109" s="4">
        <f>'[24]Dados de entrada'!$C$14</f>
        <v>0.33</v>
      </c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11">
        <f>'[24]fib Model Code 2010'!$L$12</f>
        <v>0.407422772266682</v>
      </c>
      <c r="AE109" s="11">
        <f t="shared" si="145"/>
        <v>1.2346144614141878</v>
      </c>
      <c r="AF109" s="29">
        <f t="shared" si="126"/>
        <v>0.21075874434999933</v>
      </c>
      <c r="AG109" s="11">
        <f>'[24]fib Model Code 2020'!$L$12</f>
        <v>0.32787532392910324</v>
      </c>
      <c r="AH109" s="11">
        <f t="shared" si="146"/>
        <v>0.9935615876639492</v>
      </c>
      <c r="AI109" s="55">
        <f t="shared" si="127"/>
        <v>-6.4592283087356941E-3</v>
      </c>
      <c r="AJ109" s="11">
        <f>'[24]Eurocode 2'!$L$12</f>
        <v>0.35543024186860289</v>
      </c>
      <c r="AK109" s="11">
        <f t="shared" si="155"/>
        <v>1.0770613389957664</v>
      </c>
      <c r="AL109" s="11">
        <f t="shared" si="128"/>
        <v>7.4236350123272205E-2</v>
      </c>
      <c r="AM109" s="11">
        <f>'[24]NBR 6118'!$Q$12</f>
        <v>0.50297939758207311</v>
      </c>
      <c r="AN109" s="11">
        <f>'[24]NBR 6118'!$R$12</f>
        <v>0.3811157253849613</v>
      </c>
      <c r="AO109" s="11">
        <f>'[24]NBR 6118'!$W$12</f>
        <v>1.1548961375301856</v>
      </c>
      <c r="AP109" s="11">
        <f t="shared" si="129"/>
        <v>0.14401041571404261</v>
      </c>
      <c r="AQ109" s="11">
        <f>'[24]Clark (1956)'!$L$12</f>
        <v>0.46052522320583089</v>
      </c>
      <c r="AR109" s="11">
        <f t="shared" si="156"/>
        <v>1.3955309794116086</v>
      </c>
      <c r="AS109" s="11">
        <f t="shared" si="130"/>
        <v>0.3332749732545407</v>
      </c>
      <c r="AT109" s="11">
        <f>'[24]Leonhardt (1977)'!$L$12</f>
        <v>0.65291447916542988</v>
      </c>
      <c r="AU109" s="11">
        <f t="shared" si="157"/>
        <v>1.9785287247437269</v>
      </c>
      <c r="AV109" s="11">
        <f t="shared" si="131"/>
        <v>0.68235350018309915</v>
      </c>
      <c r="AW109" s="11">
        <f>'[24]Desayi; Ganesan (1985)'!$L$12</f>
        <v>0.5248814835257537</v>
      </c>
      <c r="AX109" s="11">
        <f t="shared" si="158"/>
        <v>1.5905499500780413</v>
      </c>
      <c r="AY109" s="11">
        <f t="shared" si="132"/>
        <v>0.46407983698147859</v>
      </c>
      <c r="AZ109" s="11">
        <f>'[24]Oh; Kang (1987)'!$L$12</f>
        <v>0.31526951037263856</v>
      </c>
      <c r="BA109" s="11">
        <f t="shared" si="159"/>
        <v>0.9553621526443592</v>
      </c>
      <c r="BB109" s="11">
        <f t="shared" si="133"/>
        <v>-4.5664792957514799E-2</v>
      </c>
      <c r="BC109" s="11">
        <f>'[24]Caldas (1997)'!$L$12</f>
        <v>0.29639526846206188</v>
      </c>
      <c r="BD109" s="11">
        <f t="shared" si="160"/>
        <v>0.89816748018806625</v>
      </c>
      <c r="BE109" s="11">
        <f t="shared" si="134"/>
        <v>-0.10739872451937732</v>
      </c>
      <c r="BF109" s="11">
        <v>0.41097361091528284</v>
      </c>
      <c r="BG109" s="11">
        <f t="shared" si="139"/>
        <v>1.2453745785311601</v>
      </c>
      <c r="BH109" s="11">
        <f t="shared" si="140"/>
        <v>0.21943635095557323</v>
      </c>
      <c r="BI109" s="11">
        <v>0.50675079329674777</v>
      </c>
      <c r="BJ109" s="11">
        <f t="shared" si="153"/>
        <v>1.5356084645355992</v>
      </c>
      <c r="BK109" s="11">
        <f t="shared" si="154"/>
        <v>0.42892669633014646</v>
      </c>
      <c r="BL109" s="11">
        <v>0.40682496334771351</v>
      </c>
      <c r="BM109" s="11">
        <f t="shared" si="141"/>
        <v>1.2328029192354955</v>
      </c>
      <c r="BN109" s="11">
        <f t="shared" si="142"/>
        <v>0.20929037299265207</v>
      </c>
      <c r="BS109" t="b">
        <f t="shared" si="111"/>
        <v>0</v>
      </c>
      <c r="BU109" t="b">
        <f t="shared" si="112"/>
        <v>1</v>
      </c>
      <c r="BW109" t="b">
        <f t="shared" si="113"/>
        <v>1</v>
      </c>
    </row>
    <row r="110" spans="1:75">
      <c r="A110" s="85" t="s">
        <v>59</v>
      </c>
      <c r="B110" s="21">
        <f>'[25]Dados de entrada'!$B$28</f>
        <v>16</v>
      </c>
      <c r="C110" s="21">
        <f>'[25]Dados de entrada'!$B$31</f>
        <v>2</v>
      </c>
      <c r="D110" s="21">
        <f>'[25]Dados de entrada'!$B$32</f>
        <v>138</v>
      </c>
      <c r="E110" s="20">
        <f>'[25]Dados de entrada'!$B$27</f>
        <v>3.2689999999999997</v>
      </c>
      <c r="F110" s="21">
        <f>'[25]Dados de entrada'!$B$30</f>
        <v>40</v>
      </c>
      <c r="G110" s="56">
        <f>'[25]Dados de entrada'!$B$22</f>
        <v>48</v>
      </c>
      <c r="H110" s="57">
        <f>'[25]Dados de entrada'!$B$29/(2*'[25]Dados de entrada'!$B$20*G110)</f>
        <v>1.6666666666666666E-2</v>
      </c>
      <c r="I110" s="27">
        <f>'[25]fib Model Code 2010'!$K$5</f>
        <v>211.76759699968991</v>
      </c>
      <c r="J110" s="19">
        <f>'[25]Dados de entrada'!$C$7</f>
        <v>0.15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0">
        <f>'[25]fib Model Code 2010'!$L$5</f>
        <v>0.14204371000539809</v>
      </c>
      <c r="AE110" s="20">
        <f t="shared" si="145"/>
        <v>0.94695806670265392</v>
      </c>
      <c r="AF110" s="54">
        <f t="shared" si="126"/>
        <v>-5.450046692148619E-2</v>
      </c>
      <c r="AG110" s="20">
        <f>'[25]fib Model Code 2020'!$L$5</f>
        <v>0.13951599429000236</v>
      </c>
      <c r="AH110" s="20">
        <f t="shared" si="146"/>
        <v>0.93010662860001581</v>
      </c>
      <c r="AI110" s="28">
        <f t="shared" si="127"/>
        <v>-7.245604499853063E-2</v>
      </c>
      <c r="AJ110" s="20">
        <f>'[25]Eurocode 2'!$L$5</f>
        <v>0.18526346655136439</v>
      </c>
      <c r="AK110" s="20">
        <f t="shared" si="155"/>
        <v>1.2350897770090961</v>
      </c>
      <c r="AL110" s="20">
        <f t="shared" si="128"/>
        <v>0.21114366137235524</v>
      </c>
      <c r="AM110" s="20">
        <f>'[25]NBR 6118'!$Q$5</f>
        <v>0.28745198676703199</v>
      </c>
      <c r="AN110" s="20">
        <f>'[25]NBR 6118'!$R$5</f>
        <v>0.12447642459592428</v>
      </c>
      <c r="AO110" s="20">
        <f>'[25]NBR 6118'!$W$5</f>
        <v>0.82984283063949527</v>
      </c>
      <c r="AP110" s="20">
        <f t="shared" si="129"/>
        <v>-0.18651895679779668</v>
      </c>
      <c r="AQ110" s="20">
        <f>'[25]Clark (1956)'!$L$5</f>
        <v>0.21206575978511477</v>
      </c>
      <c r="AR110" s="20">
        <f t="shared" si="156"/>
        <v>1.4137717319007652</v>
      </c>
      <c r="AS110" s="20">
        <f t="shared" si="130"/>
        <v>0.34626112014314459</v>
      </c>
      <c r="AT110" s="20">
        <f>'[25]Leonhardt (1977)'!$L$5</f>
        <v>3.3635138842762015E-2</v>
      </c>
      <c r="AU110" s="20">
        <f t="shared" si="157"/>
        <v>0.22423425895174678</v>
      </c>
      <c r="AV110" s="20">
        <f t="shared" si="131"/>
        <v>-1.4950639747020684</v>
      </c>
      <c r="AW110" s="20">
        <f>'[25]Desayi; Ganesan (1985)'!$L$5</f>
        <v>0.29996899670644184</v>
      </c>
      <c r="AX110" s="20">
        <f t="shared" si="158"/>
        <v>1.9997933113762789</v>
      </c>
      <c r="AY110" s="20">
        <f t="shared" si="132"/>
        <v>0.69304383090769339</v>
      </c>
      <c r="AZ110" s="20">
        <f>'[25]Oh; Kang (1987)'!$L$5</f>
        <v>0.16382824232957854</v>
      </c>
      <c r="BA110" s="20">
        <f t="shared" si="159"/>
        <v>1.0921882821971904</v>
      </c>
      <c r="BB110" s="20">
        <f t="shared" si="133"/>
        <v>8.8183282054660125E-2</v>
      </c>
      <c r="BC110" s="20">
        <f>'[25]Caldas (1997)'!$L$5</f>
        <v>0.15835952502381526</v>
      </c>
      <c r="BD110" s="20">
        <f t="shared" si="160"/>
        <v>1.0557301668254351</v>
      </c>
      <c r="BE110" s="20">
        <f t="shared" si="134"/>
        <v>5.4232628792741003E-2</v>
      </c>
      <c r="BF110" s="20" cm="1">
        <f t="array" ref="BF110:BF116">'[25]Gergely e Lutz (1968)'!$L$5:$L$11</f>
        <v>0.23487081485706898</v>
      </c>
      <c r="BG110" s="20">
        <f t="shared" si="139"/>
        <v>1.56580543238046</v>
      </c>
      <c r="BH110" s="20">
        <f t="shared" si="140"/>
        <v>0.4484003448817882</v>
      </c>
      <c r="BI110" s="20" cm="1">
        <f t="array" ref="BI110:BI116">[25]Sugestão!$M$5:$M$11</f>
        <v>0.1554803880682081</v>
      </c>
      <c r="BJ110" s="20">
        <f t="shared" ref="BJ110:BJ116" si="161">BI110/J110</f>
        <v>1.0365359204547206</v>
      </c>
      <c r="BK110" s="20">
        <f t="shared" ref="BK110:BK116" si="162">LN(BJ110)</f>
        <v>3.5884307821158749E-2</v>
      </c>
      <c r="BL110" s="20" cm="1">
        <f t="array" ref="BL110:BL116">'[25]fib Model Code 2020 modificado'!$L$5:$L$11</f>
        <v>0.17656917887867599</v>
      </c>
      <c r="BM110" s="20">
        <f t="shared" si="141"/>
        <v>1.1771278591911734</v>
      </c>
      <c r="BN110" s="20">
        <f t="shared" si="142"/>
        <v>0.16307745380652791</v>
      </c>
      <c r="BS110" t="b">
        <f t="shared" si="111"/>
        <v>0</v>
      </c>
      <c r="BU110" t="b">
        <f t="shared" si="112"/>
        <v>1</v>
      </c>
      <c r="BW110" t="b">
        <f t="shared" si="113"/>
        <v>1</v>
      </c>
    </row>
    <row r="111" spans="1:75">
      <c r="A111" s="90"/>
      <c r="B111" s="21">
        <f>'[25]Dados de entrada'!$B$28</f>
        <v>16</v>
      </c>
      <c r="C111" s="21">
        <f>'[25]Dados de entrada'!$B$31</f>
        <v>2</v>
      </c>
      <c r="D111" s="21">
        <f>'[25]Dados de entrada'!$B$32</f>
        <v>138</v>
      </c>
      <c r="E111" s="20">
        <f>'[25]Dados de entrada'!$B$27</f>
        <v>3.2689999999999997</v>
      </c>
      <c r="F111" s="21">
        <f>'[25]Dados de entrada'!$B$30</f>
        <v>40</v>
      </c>
      <c r="G111" s="56">
        <f>'[25]Dados de entrada'!$B$22</f>
        <v>48</v>
      </c>
      <c r="H111" s="57">
        <f>'[25]Dados de entrada'!$B$29/(2*'[25]Dados de entrada'!$B$20*G111)</f>
        <v>1.6666666666666666E-2</v>
      </c>
      <c r="I111" s="27">
        <f>'[25]fib Model Code 2010'!$K$6</f>
        <v>238.26122952921415</v>
      </c>
      <c r="J111" s="19">
        <f>'[25]Dados de entrada'!$C$8</f>
        <v>0.18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0">
        <f>'[25]fib Model Code 2010'!$L$6</f>
        <v>0.18632410210842379</v>
      </c>
      <c r="AE111" s="20">
        <f t="shared" si="145"/>
        <v>1.0351339006023543</v>
      </c>
      <c r="AF111" s="54">
        <f t="shared" si="126"/>
        <v>3.4530790912085309E-2</v>
      </c>
      <c r="AG111" s="20">
        <f>'[25]fib Model Code 2020'!$L$6</f>
        <v>0.15697043744882017</v>
      </c>
      <c r="AH111" s="20">
        <f t="shared" si="146"/>
        <v>0.87205798582677874</v>
      </c>
      <c r="AI111" s="28">
        <f t="shared" si="127"/>
        <v>-0.1368993597762449</v>
      </c>
      <c r="AJ111" s="20">
        <f>'[25]Eurocode 2'!$L$6</f>
        <v>0.20844124385770482</v>
      </c>
      <c r="AK111" s="20">
        <f t="shared" si="155"/>
        <v>1.1580069103205823</v>
      </c>
      <c r="AL111" s="20">
        <f t="shared" si="128"/>
        <v>0.14670034659464104</v>
      </c>
      <c r="AM111" s="20">
        <f>'[25]NBR 6118'!$Q$6</f>
        <v>0.32341427474302747</v>
      </c>
      <c r="AN111" s="20">
        <f>'[25]NBR 6118'!$R$6</f>
        <v>0.15757047544565747</v>
      </c>
      <c r="AO111" s="20">
        <f>'[25]NBR 6118'!$W$6</f>
        <v>0.87539153025365268</v>
      </c>
      <c r="AP111" s="20">
        <f t="shared" si="129"/>
        <v>-0.13308402955927079</v>
      </c>
      <c r="AQ111" s="20">
        <f>'[25]Clark (1956)'!$L$6</f>
        <v>0.25352299596731431</v>
      </c>
      <c r="AR111" s="20">
        <f t="shared" si="156"/>
        <v>1.4084610887073017</v>
      </c>
      <c r="AS111" s="20">
        <f t="shared" si="130"/>
        <v>0.34249768190177987</v>
      </c>
      <c r="AT111" s="20">
        <f>'[25]Leonhardt (1977)'!$L$6</f>
        <v>0.15698056442293562</v>
      </c>
      <c r="AU111" s="20">
        <f t="shared" si="157"/>
        <v>0.87211424679408678</v>
      </c>
      <c r="AV111" s="20">
        <f t="shared" si="131"/>
        <v>-0.13683484668943466</v>
      </c>
      <c r="AW111" s="20">
        <f>'[25]Desayi; Ganesan (1985)'!$L$6</f>
        <v>0.33749725165000705</v>
      </c>
      <c r="AX111" s="20">
        <f t="shared" si="158"/>
        <v>1.8749847313889281</v>
      </c>
      <c r="AY111" s="20">
        <f t="shared" si="132"/>
        <v>0.62860051612997925</v>
      </c>
      <c r="AZ111" s="20">
        <f>'[25]Oh; Kang (1987)'!$L$6</f>
        <v>0.1890972996259063</v>
      </c>
      <c r="BA111" s="20">
        <f t="shared" si="159"/>
        <v>1.0505405534772572</v>
      </c>
      <c r="BB111" s="20">
        <f t="shared" si="133"/>
        <v>4.9304844534250346E-2</v>
      </c>
      <c r="BC111" s="20">
        <f>'[25]Caldas (1997)'!$L$6</f>
        <v>0.1813917747860827</v>
      </c>
      <c r="BD111" s="20">
        <f t="shared" si="160"/>
        <v>1.0077320821449041</v>
      </c>
      <c r="BE111" s="20">
        <f t="shared" si="134"/>
        <v>7.7023427974372031E-3</v>
      </c>
      <c r="BF111" s="20">
        <v>0.26425482425649671</v>
      </c>
      <c r="BG111" s="20">
        <f t="shared" si="139"/>
        <v>1.4680823569805372</v>
      </c>
      <c r="BH111" s="20">
        <f t="shared" si="140"/>
        <v>0.38395703010407395</v>
      </c>
      <c r="BI111" s="20">
        <v>0.19681733910587482</v>
      </c>
      <c r="BJ111" s="20">
        <f t="shared" si="161"/>
        <v>1.0934296616993047</v>
      </c>
      <c r="BK111" s="20">
        <f t="shared" si="162"/>
        <v>8.9319235059685032E-2</v>
      </c>
      <c r="BL111" s="20">
        <v>0.20017356508671053</v>
      </c>
      <c r="BM111" s="20">
        <f t="shared" si="141"/>
        <v>1.1120753615928363</v>
      </c>
      <c r="BN111" s="20">
        <f t="shared" si="142"/>
        <v>0.10622796474860487</v>
      </c>
      <c r="BS111" t="b">
        <f t="shared" si="111"/>
        <v>0</v>
      </c>
      <c r="BU111" t="b">
        <f t="shared" si="112"/>
        <v>1</v>
      </c>
      <c r="BW111" t="b">
        <f t="shared" si="113"/>
        <v>1</v>
      </c>
    </row>
    <row r="112" spans="1:75">
      <c r="A112" s="90"/>
      <c r="B112" s="21">
        <f>'[25]Dados de entrada'!$B$28</f>
        <v>16</v>
      </c>
      <c r="C112" s="21">
        <f>'[25]Dados de entrada'!$B$31</f>
        <v>2</v>
      </c>
      <c r="D112" s="21">
        <f>'[25]Dados de entrada'!$B$32</f>
        <v>138</v>
      </c>
      <c r="E112" s="20">
        <f>'[25]Dados de entrada'!$B$27</f>
        <v>3.2689999999999997</v>
      </c>
      <c r="F112" s="21">
        <f>'[25]Dados de entrada'!$B$30</f>
        <v>40</v>
      </c>
      <c r="G112" s="56">
        <f>'[25]Dados de entrada'!$B$22</f>
        <v>48</v>
      </c>
      <c r="H112" s="57">
        <f>'[25]Dados de entrada'!$B$29/(2*'[25]Dados de entrada'!$B$20*G112)</f>
        <v>1.6666666666666666E-2</v>
      </c>
      <c r="I112" s="27">
        <f>'[25]fib Model Code 2010'!$K$7</f>
        <v>264.70949624961241</v>
      </c>
      <c r="J112" s="19">
        <f>'[25]Dados de entrada'!$C$9</f>
        <v>0.2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0">
        <f>'[25]fib Model Code 2010'!$L$7</f>
        <v>0.2305286716222319</v>
      </c>
      <c r="AE112" s="20">
        <f t="shared" si="145"/>
        <v>1.1526433581111595</v>
      </c>
      <c r="AF112" s="54">
        <f t="shared" si="126"/>
        <v>0.14205787696964345</v>
      </c>
      <c r="AG112" s="20">
        <f>'[25]fib Model Code 2020'!$L$7</f>
        <v>0.17439499286250298</v>
      </c>
      <c r="AH112" s="20">
        <f t="shared" si="146"/>
        <v>0.87197496431251487</v>
      </c>
      <c r="AI112" s="28">
        <f t="shared" si="127"/>
        <v>-0.13699456613610175</v>
      </c>
      <c r="AJ112" s="20">
        <f>'[25]Eurocode 2'!$L$7</f>
        <v>0.23157933318920554</v>
      </c>
      <c r="AK112" s="20">
        <f t="shared" si="155"/>
        <v>1.1578966659460277</v>
      </c>
      <c r="AL112" s="20">
        <f t="shared" si="128"/>
        <v>0.14660514023478419</v>
      </c>
      <c r="AM112" s="20">
        <f>'[25]NBR 6118'!$Q$7</f>
        <v>0.35931498345878993</v>
      </c>
      <c r="AN112" s="20">
        <f>'[25]NBR 6118'!$R$7</f>
        <v>0.19449441343113166</v>
      </c>
      <c r="AO112" s="20">
        <f>'[25]NBR 6118'!$W$7</f>
        <v>0.97247206715565826</v>
      </c>
      <c r="AP112" s="20">
        <f t="shared" si="129"/>
        <v>-2.7913926621158359E-2</v>
      </c>
      <c r="AQ112" s="20">
        <f>'[25]Clark (1956)'!$L$7</f>
        <v>0.29490924373139349</v>
      </c>
      <c r="AR112" s="20">
        <f t="shared" si="156"/>
        <v>1.4745462186569673</v>
      </c>
      <c r="AS112" s="20">
        <f t="shared" si="130"/>
        <v>0.38835029409015792</v>
      </c>
      <c r="AT112" s="20">
        <f>'[25]Leonhardt (1977)'!$L$7</f>
        <v>0.26892161187916835</v>
      </c>
      <c r="AU112" s="20">
        <f t="shared" si="157"/>
        <v>1.3446080593958416</v>
      </c>
      <c r="AV112" s="20">
        <f t="shared" si="131"/>
        <v>0.2961025649332753</v>
      </c>
      <c r="AW112" s="20">
        <f>'[25]Desayi; Ganesan (1985)'!$L$7</f>
        <v>0.37496124588305235</v>
      </c>
      <c r="AX112" s="20">
        <f t="shared" si="158"/>
        <v>1.8748062294152616</v>
      </c>
      <c r="AY112" s="20">
        <f t="shared" si="132"/>
        <v>0.62850530977012231</v>
      </c>
      <c r="AZ112" s="20">
        <f>'[25]Oh; Kang (1987)'!$L$7</f>
        <v>0.21432308798850738</v>
      </c>
      <c r="BA112" s="20">
        <f t="shared" si="159"/>
        <v>1.0716154399425368</v>
      </c>
      <c r="BB112" s="20">
        <f t="shared" si="133"/>
        <v>6.9167266892223092E-2</v>
      </c>
      <c r="BC112" s="20">
        <f>'[25]Caldas (1997)'!$L$7</f>
        <v>0.20438458576451057</v>
      </c>
      <c r="BD112" s="20">
        <f t="shared" si="160"/>
        <v>1.0219229288225529</v>
      </c>
      <c r="BE112" s="20">
        <f t="shared" si="134"/>
        <v>2.1686076826871462E-2</v>
      </c>
      <c r="BF112" s="20">
        <v>0.29358851857133628</v>
      </c>
      <c r="BG112" s="20">
        <f t="shared" si="139"/>
        <v>1.4679425928566814</v>
      </c>
      <c r="BH112" s="20">
        <f t="shared" si="140"/>
        <v>0.38386182374421712</v>
      </c>
      <c r="BI112" s="20">
        <v>0.24293810635657515</v>
      </c>
      <c r="BJ112" s="20">
        <f t="shared" si="161"/>
        <v>1.2146905317828756</v>
      </c>
      <c r="BK112" s="20">
        <f t="shared" si="162"/>
        <v>0.19448933799779716</v>
      </c>
      <c r="BL112" s="20">
        <v>0.22407344153222955</v>
      </c>
      <c r="BM112" s="20">
        <f t="shared" si="141"/>
        <v>1.1203672076611477</v>
      </c>
      <c r="BN112" s="20">
        <f t="shared" si="142"/>
        <v>0.11365649555452007</v>
      </c>
      <c r="BS112" t="b">
        <f t="shared" si="111"/>
        <v>0</v>
      </c>
      <c r="BU112" t="b">
        <f t="shared" si="112"/>
        <v>1</v>
      </c>
      <c r="BW112" t="b">
        <f t="shared" si="113"/>
        <v>1</v>
      </c>
    </row>
    <row r="113" spans="1:75">
      <c r="A113" s="90"/>
      <c r="B113" s="21">
        <f>'[25]Dados de entrada'!$B$28</f>
        <v>16</v>
      </c>
      <c r="C113" s="21">
        <f>'[25]Dados de entrada'!$B$31</f>
        <v>2</v>
      </c>
      <c r="D113" s="21">
        <f>'[25]Dados de entrada'!$B$32</f>
        <v>138</v>
      </c>
      <c r="E113" s="20">
        <f>'[25]Dados de entrada'!$B$27</f>
        <v>3.2689999999999997</v>
      </c>
      <c r="F113" s="21">
        <f>'[25]Dados de entrada'!$B$30</f>
        <v>40</v>
      </c>
      <c r="G113" s="56">
        <f>'[25]Dados de entrada'!$B$22</f>
        <v>48</v>
      </c>
      <c r="H113" s="57">
        <f>'[25]Dados de entrada'!$B$29/(2*'[25]Dados de entrada'!$B$20*G113)</f>
        <v>1.6666666666666666E-2</v>
      </c>
      <c r="I113" s="27">
        <f>'[25]fib Model Code 2010'!$K$8</f>
        <v>291.15776297001077</v>
      </c>
      <c r="J113" s="19">
        <f>'[25]Dados de entrada'!$C$10</f>
        <v>0.25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0">
        <f>'[25]fib Model Code 2010'!$L$8</f>
        <v>0.27473324113604009</v>
      </c>
      <c r="AE113" s="20">
        <f t="shared" si="145"/>
        <v>1.0989329645441603</v>
      </c>
      <c r="AF113" s="54">
        <f t="shared" si="126"/>
        <v>9.4339676786001039E-2</v>
      </c>
      <c r="AG113" s="20">
        <f>'[25]fib Model Code 2020'!$L$8</f>
        <v>0.19711643896364461</v>
      </c>
      <c r="AH113" s="20">
        <f t="shared" si="146"/>
        <v>0.78846575585457845</v>
      </c>
      <c r="AI113" s="28">
        <f t="shared" si="127"/>
        <v>-0.23766630300269115</v>
      </c>
      <c r="AJ113" s="20">
        <f>'[25]Eurocode 2'!$L$8</f>
        <v>0.25471742252070634</v>
      </c>
      <c r="AK113" s="20">
        <f t="shared" si="155"/>
        <v>1.0188696900828254</v>
      </c>
      <c r="AL113" s="20">
        <f t="shared" si="128"/>
        <v>1.8693865869720477E-2</v>
      </c>
      <c r="AM113" s="20">
        <f>'[25]NBR 6118'!$Q$8</f>
        <v>0.39521569217455249</v>
      </c>
      <c r="AN113" s="20">
        <f>'[25]NBR 6118'!$R$8</f>
        <v>0.23530157606629135</v>
      </c>
      <c r="AO113" s="20">
        <f>'[25]NBR 6118'!$W$8</f>
        <v>0.94120630426516538</v>
      </c>
      <c r="AP113" s="20">
        <f t="shared" si="129"/>
        <v>-6.0592924037076536E-2</v>
      </c>
      <c r="AQ113" s="20">
        <f>'[25]Clark (1956)'!$L$8</f>
        <v>0.33629549149547283</v>
      </c>
      <c r="AR113" s="20">
        <f t="shared" si="156"/>
        <v>1.3451819659818913</v>
      </c>
      <c r="AS113" s="20">
        <f t="shared" si="130"/>
        <v>0.29652929459569799</v>
      </c>
      <c r="AT113" s="20">
        <f>'[25]Leonhardt (1977)'!$L$8</f>
        <v>0.37272851383387728</v>
      </c>
      <c r="AU113" s="20">
        <f t="shared" si="157"/>
        <v>1.4909140553355091</v>
      </c>
      <c r="AV113" s="20">
        <f t="shared" si="131"/>
        <v>0.39938939182444577</v>
      </c>
      <c r="AW113" s="20">
        <f>'[25]Desayi; Ganesan (1985)'!$L$8</f>
        <v>0.41242524011609777</v>
      </c>
      <c r="AX113" s="20">
        <f t="shared" si="158"/>
        <v>1.6497009604643911</v>
      </c>
      <c r="AY113" s="20">
        <f t="shared" si="132"/>
        <v>0.50059403540505865</v>
      </c>
      <c r="AZ113" s="20">
        <f>'[25]Oh; Kang (1987)'!$L$8</f>
        <v>0.23954887635110861</v>
      </c>
      <c r="BA113" s="20">
        <f t="shared" si="159"/>
        <v>0.95819550540443443</v>
      </c>
      <c r="BB113" s="20">
        <f t="shared" si="133"/>
        <v>-4.2703445209494893E-2</v>
      </c>
      <c r="BC113" s="20">
        <f>'[25]Caldas (1997)'!$L$8</f>
        <v>0.22737739674293855</v>
      </c>
      <c r="BD113" s="20">
        <f t="shared" si="160"/>
        <v>0.90950958697175421</v>
      </c>
      <c r="BE113" s="20">
        <f t="shared" si="134"/>
        <v>-9.4849740154002118E-2</v>
      </c>
      <c r="BF113" s="20">
        <v>0.32292221288617595</v>
      </c>
      <c r="BG113" s="20">
        <f t="shared" si="139"/>
        <v>1.2916888515447038</v>
      </c>
      <c r="BH113" s="20">
        <f t="shared" si="140"/>
        <v>0.2559505493791534</v>
      </c>
      <c r="BI113" s="20">
        <v>0.29732680364536013</v>
      </c>
      <c r="BJ113" s="20">
        <f t="shared" si="161"/>
        <v>1.1893072145814405</v>
      </c>
      <c r="BK113" s="20">
        <f t="shared" si="162"/>
        <v>0.17337096497452001</v>
      </c>
      <c r="BL113" s="20">
        <v>0.25360582953271715</v>
      </c>
      <c r="BM113" s="20">
        <f t="shared" si="141"/>
        <v>1.0144233181308686</v>
      </c>
      <c r="BN113" s="20">
        <f t="shared" si="142"/>
        <v>1.4320291553017273E-2</v>
      </c>
      <c r="BS113" t="b">
        <f t="shared" si="111"/>
        <v>0</v>
      </c>
      <c r="BU113" t="b">
        <f t="shared" si="112"/>
        <v>1</v>
      </c>
      <c r="BW113" t="b">
        <f t="shared" si="113"/>
        <v>1</v>
      </c>
    </row>
    <row r="114" spans="1:75">
      <c r="A114" s="90"/>
      <c r="B114" s="21">
        <f>'[25]Dados de entrada'!$B$28</f>
        <v>16</v>
      </c>
      <c r="C114" s="21">
        <f>'[25]Dados de entrada'!$B$31</f>
        <v>2</v>
      </c>
      <c r="D114" s="21">
        <f>'[25]Dados de entrada'!$B$32</f>
        <v>138</v>
      </c>
      <c r="E114" s="20">
        <f>'[25]Dados de entrada'!$B$27</f>
        <v>3.2689999999999997</v>
      </c>
      <c r="F114" s="21">
        <f>'[25]Dados de entrada'!$B$30</f>
        <v>40</v>
      </c>
      <c r="G114" s="56">
        <f>'[25]Dados de entrada'!$B$22</f>
        <v>48</v>
      </c>
      <c r="H114" s="57">
        <f>'[25]Dados de entrada'!$B$29/(2*'[25]Dados de entrada'!$B$20*G114)</f>
        <v>1.6666666666666666E-2</v>
      </c>
      <c r="I114" s="27">
        <f>'[25]fib Model Code 2010'!$K$9</f>
        <v>317.65139549953489</v>
      </c>
      <c r="J114" s="19">
        <f>'[25]Dados de entrada'!$C$11</f>
        <v>0.3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0">
        <f>'[25]fib Model Code 2010'!$L$9</f>
        <v>0.31901363323906562</v>
      </c>
      <c r="AE114" s="20">
        <f t="shared" si="145"/>
        <v>1.0633787774635521</v>
      </c>
      <c r="AF114" s="54">
        <f t="shared" si="126"/>
        <v>6.1451364641963775E-2</v>
      </c>
      <c r="AG114" s="20">
        <f>'[25]fib Model Code 2020'!$L$9</f>
        <v>0.24075254686068898</v>
      </c>
      <c r="AH114" s="20">
        <f t="shared" si="146"/>
        <v>0.80250848953562992</v>
      </c>
      <c r="AI114" s="28">
        <f t="shared" si="127"/>
        <v>-0.22001284517332384</v>
      </c>
      <c r="AJ114" s="20">
        <f>'[25]Eurocode 2'!$L$9</f>
        <v>0.27830327743026689</v>
      </c>
      <c r="AK114" s="20">
        <f t="shared" si="155"/>
        <v>0.92767759143422301</v>
      </c>
      <c r="AL114" s="20">
        <f t="shared" si="128"/>
        <v>-7.5071029584763624E-2</v>
      </c>
      <c r="AM114" s="20">
        <f>'[25]NBR 6118'!$Q$9</f>
        <v>0.43117798015054798</v>
      </c>
      <c r="AN114" s="20">
        <f>'[25]NBR 6118'!$R$9</f>
        <v>0.28007195534082957</v>
      </c>
      <c r="AO114" s="20">
        <f>'[25]NBR 6118'!$W$9</f>
        <v>0.93357318446943194</v>
      </c>
      <c r="AP114" s="20">
        <f t="shared" si="129"/>
        <v>-6.8735921141413484E-2</v>
      </c>
      <c r="AQ114" s="20">
        <f>'[25]Clark (1956)'!$L$8</f>
        <v>0.33629549149547283</v>
      </c>
      <c r="AR114" s="20">
        <f t="shared" si="156"/>
        <v>1.1209849716515761</v>
      </c>
      <c r="AS114" s="20">
        <f t="shared" si="130"/>
        <v>0.11420773780174334</v>
      </c>
      <c r="AT114" s="20">
        <f>'[25]Leonhardt (1977)'!$L$9</f>
        <v>0.47059657553398709</v>
      </c>
      <c r="AU114" s="20">
        <f t="shared" si="157"/>
        <v>1.568655251779957</v>
      </c>
      <c r="AV114" s="20">
        <f t="shared" si="131"/>
        <v>0.45021872480222774</v>
      </c>
      <c r="AW114" s="20">
        <f>'[25]Desayi; Ganesan (1985)'!$L$9</f>
        <v>0.44995349505966281</v>
      </c>
      <c r="AX114" s="20">
        <f t="shared" si="158"/>
        <v>1.4998449835322094</v>
      </c>
      <c r="AY114" s="20">
        <f t="shared" si="132"/>
        <v>0.40536175845591266</v>
      </c>
      <c r="AZ114" s="20">
        <f>'[25]Oh; Kang (1987)'!$L$9</f>
        <v>0.26481793364743622</v>
      </c>
      <c r="BA114" s="20">
        <f t="shared" si="159"/>
        <v>0.88272644549145407</v>
      </c>
      <c r="BB114" s="20">
        <f t="shared" si="133"/>
        <v>-0.12473992763193092</v>
      </c>
      <c r="BC114" s="20">
        <f>'[25]Caldas (1997)'!$L$9</f>
        <v>0.25040964650520592</v>
      </c>
      <c r="BD114" s="20">
        <f t="shared" si="160"/>
        <v>0.83469882168401976</v>
      </c>
      <c r="BE114" s="20">
        <f t="shared" si="134"/>
        <v>-0.18068431179048972</v>
      </c>
      <c r="BF114" s="20">
        <v>0.35230622228560349</v>
      </c>
      <c r="BG114" s="20">
        <f t="shared" si="139"/>
        <v>1.1743540742853451</v>
      </c>
      <c r="BH114" s="20">
        <f t="shared" si="140"/>
        <v>0.16071827243000736</v>
      </c>
      <c r="BI114" s="20">
        <v>0.36721458076330876</v>
      </c>
      <c r="BJ114" s="20">
        <f t="shared" si="161"/>
        <v>1.2240486025443627</v>
      </c>
      <c r="BK114" s="20">
        <f t="shared" si="162"/>
        <v>0.20216389126287471</v>
      </c>
      <c r="BL114" s="20">
        <v>0.30440104678502228</v>
      </c>
      <c r="BM114" s="20">
        <f t="shared" si="141"/>
        <v>1.0146701559500744</v>
      </c>
      <c r="BN114" s="20">
        <f t="shared" si="142"/>
        <v>1.4563590172402144E-2</v>
      </c>
      <c r="BS114" t="b">
        <f t="shared" si="111"/>
        <v>0</v>
      </c>
      <c r="BU114" t="b">
        <f t="shared" si="112"/>
        <v>1</v>
      </c>
      <c r="BW114" t="b">
        <f t="shared" si="113"/>
        <v>1</v>
      </c>
    </row>
    <row r="115" spans="1:75">
      <c r="A115" s="90"/>
      <c r="B115" s="21">
        <f>'[25]Dados de entrada'!$B$28</f>
        <v>16</v>
      </c>
      <c r="C115" s="21">
        <f>'[25]Dados de entrada'!$B$31</f>
        <v>2</v>
      </c>
      <c r="D115" s="21">
        <f>'[25]Dados de entrada'!$B$32</f>
        <v>138</v>
      </c>
      <c r="E115" s="20">
        <f>'[25]Dados de entrada'!$B$27</f>
        <v>3.2689999999999997</v>
      </c>
      <c r="F115" s="21">
        <f>'[25]Dados de entrada'!$B$30</f>
        <v>40</v>
      </c>
      <c r="G115" s="56">
        <f>'[25]Dados de entrada'!$B$22</f>
        <v>48</v>
      </c>
      <c r="H115" s="57">
        <f>'[25]Dados de entrada'!$B$29/(2*'[25]Dados de entrada'!$B$20*G115)</f>
        <v>1.6666666666666666E-2</v>
      </c>
      <c r="I115" s="27">
        <f>'[25]fib Model Code 2010'!$K$10</f>
        <v>344.14502802905912</v>
      </c>
      <c r="J115" s="19">
        <f>'[25]Dados de entrada'!$C$12</f>
        <v>0.33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0">
        <f>'[25]fib Model Code 2010'!$L$10</f>
        <v>0.36329402534209126</v>
      </c>
      <c r="AE115" s="20">
        <f t="shared" si="145"/>
        <v>1.100890985885125</v>
      </c>
      <c r="AF115" s="54">
        <f t="shared" si="126"/>
        <v>9.6119839110044972E-2</v>
      </c>
      <c r="AG115" s="20">
        <f>'[25]fib Model Code 2020'!$L$10</f>
        <v>0.28438865475773345</v>
      </c>
      <c r="AH115" s="20">
        <f t="shared" si="146"/>
        <v>0.86178380229616192</v>
      </c>
      <c r="AI115" s="28">
        <f t="shared" si="127"/>
        <v>-0.14875084917758616</v>
      </c>
      <c r="AJ115" s="20">
        <f>'[25]Eurocode 2'!$L$10</f>
        <v>0.31693290627416754</v>
      </c>
      <c r="AK115" s="20">
        <f t="shared" si="155"/>
        <v>0.96040274628535616</v>
      </c>
      <c r="AL115" s="20">
        <f t="shared" si="128"/>
        <v>-4.0402555116682344E-2</v>
      </c>
      <c r="AM115" s="20">
        <f>'[25]NBR 6118'!$Q$10</f>
        <v>0.46714026812654336</v>
      </c>
      <c r="AN115" s="20">
        <f>'[25]NBR 6118'!$R$10</f>
        <v>0.32873889221541702</v>
      </c>
      <c r="AO115" s="20">
        <f>'[25]NBR 6118'!$W$10</f>
        <v>0.99617846125883946</v>
      </c>
      <c r="AP115" s="20">
        <f t="shared" si="129"/>
        <v>-3.8288594772718301E-3</v>
      </c>
      <c r="AQ115" s="20">
        <f>'[25]Clark (1956)'!$L$10</f>
        <v>0.41920996385987175</v>
      </c>
      <c r="AR115" s="20">
        <f t="shared" si="156"/>
        <v>1.2703332238177931</v>
      </c>
      <c r="AS115" s="20">
        <f t="shared" si="130"/>
        <v>0.23927924701352823</v>
      </c>
      <c r="AT115" s="20">
        <f>'[25]Leonhardt (1977)'!$L$10</f>
        <v>0.56375561051767764</v>
      </c>
      <c r="AU115" s="20">
        <f t="shared" si="157"/>
        <v>1.7083503349020535</v>
      </c>
      <c r="AV115" s="20">
        <f t="shared" si="131"/>
        <v>0.53552818844462735</v>
      </c>
      <c r="AW115" s="20">
        <f>'[25]Desayi; Ganesan (1985)'!$L$10</f>
        <v>0.48748175000322802</v>
      </c>
      <c r="AX115" s="20">
        <f t="shared" si="158"/>
        <v>1.477217424252206</v>
      </c>
      <c r="AY115" s="20">
        <f t="shared" si="132"/>
        <v>0.39016019938582114</v>
      </c>
      <c r="AZ115" s="20">
        <f>'[25]Oh; Kang (1987)'!$L$10</f>
        <v>0.290086990943764</v>
      </c>
      <c r="BA115" s="20">
        <f t="shared" si="159"/>
        <v>0.87905148770837571</v>
      </c>
      <c r="BB115" s="20">
        <f t="shared" si="133"/>
        <v>-0.12891180769004307</v>
      </c>
      <c r="BC115" s="20">
        <f>'[25]Caldas (1997)'!$L$10</f>
        <v>0.27344189626747334</v>
      </c>
      <c r="BD115" s="20">
        <f t="shared" si="160"/>
        <v>0.82861180687113134</v>
      </c>
      <c r="BE115" s="20">
        <f t="shared" si="134"/>
        <v>-0.18800350025965021</v>
      </c>
      <c r="BF115" s="20">
        <v>0.38169023168503119</v>
      </c>
      <c r="BG115" s="20">
        <f t="shared" si="139"/>
        <v>1.1566370657122156</v>
      </c>
      <c r="BH115" s="20">
        <f t="shared" si="140"/>
        <v>0.14551671335991564</v>
      </c>
      <c r="BI115" s="20">
        <v>0.43710235788125756</v>
      </c>
      <c r="BJ115" s="20">
        <f t="shared" si="161"/>
        <v>1.3245525996401744</v>
      </c>
      <c r="BK115" s="20">
        <f t="shared" si="162"/>
        <v>0.2810747417690676</v>
      </c>
      <c r="BL115" s="20">
        <v>0.35553303725031593</v>
      </c>
      <c r="BM115" s="20">
        <f t="shared" si="141"/>
        <v>1.0773728401524725</v>
      </c>
      <c r="BN115" s="20">
        <f t="shared" si="142"/>
        <v>7.4525522251983889E-2</v>
      </c>
      <c r="BS115" t="b">
        <f t="shared" si="111"/>
        <v>0</v>
      </c>
      <c r="BU115" t="b">
        <f t="shared" si="112"/>
        <v>1</v>
      </c>
      <c r="BW115" t="b">
        <f t="shared" si="113"/>
        <v>1</v>
      </c>
    </row>
    <row r="116" spans="1:75">
      <c r="A116" s="86"/>
      <c r="B116" s="21">
        <f>'[25]Dados de entrada'!$B$28</f>
        <v>16</v>
      </c>
      <c r="C116" s="21">
        <f>'[25]Dados de entrada'!$B$31</f>
        <v>2</v>
      </c>
      <c r="D116" s="21">
        <f>'[25]Dados de entrada'!$B$32</f>
        <v>138</v>
      </c>
      <c r="E116" s="20">
        <f>'[25]Dados de entrada'!$B$27</f>
        <v>3.2689999999999997</v>
      </c>
      <c r="F116" s="21">
        <f>'[25]Dados de entrada'!$B$30</f>
        <v>40</v>
      </c>
      <c r="G116" s="56">
        <f>'[25]Dados de entrada'!$B$22</f>
        <v>48</v>
      </c>
      <c r="H116" s="57">
        <f>'[25]Dados de entrada'!$B$29/(2*'[25]Dados de entrada'!$B$20*G116)</f>
        <v>1.6666666666666666E-2</v>
      </c>
      <c r="I116" s="27">
        <f>'[25]fib Model Code 2010'!$K$11</f>
        <v>370.54792894033159</v>
      </c>
      <c r="J116" s="19">
        <f>'[25]Dados de entrada'!$C$13</f>
        <v>0.38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0">
        <f>'[25]fib Model Code 2010'!$L$11</f>
        <v>0.407422772266682</v>
      </c>
      <c r="AE116" s="20">
        <f t="shared" si="145"/>
        <v>1.072165190175479</v>
      </c>
      <c r="AF116" s="54">
        <f t="shared" si="126"/>
        <v>6.9680146090093834E-2</v>
      </c>
      <c r="AG116" s="20">
        <f>'[25]fib Model Code 2020'!$L$11</f>
        <v>0.32787532392910324</v>
      </c>
      <c r="AH116" s="20">
        <f t="shared" si="146"/>
        <v>0.86282979981342955</v>
      </c>
      <c r="AI116" s="28">
        <f t="shared" si="127"/>
        <v>-0.14753782656864123</v>
      </c>
      <c r="AJ116" s="20">
        <f>'[25]Eurocode 2'!$L$11</f>
        <v>0.35543024186860289</v>
      </c>
      <c r="AK116" s="20">
        <f t="shared" si="155"/>
        <v>0.93534274175948129</v>
      </c>
      <c r="AL116" s="20">
        <f t="shared" si="128"/>
        <v>-6.6842248136633378E-2</v>
      </c>
      <c r="AM116" s="20">
        <f>'[25]NBR 6118'!$Q$11</f>
        <v>0.50297939758207311</v>
      </c>
      <c r="AN116" s="20">
        <f>'[25]NBR 6118'!$R$11</f>
        <v>0.3811157253849613</v>
      </c>
      <c r="AO116" s="20">
        <f>'[25]NBR 6118'!$W$11</f>
        <v>1.0029361194341087</v>
      </c>
      <c r="AP116" s="20">
        <f t="shared" si="129"/>
        <v>2.9318174541371699E-3</v>
      </c>
      <c r="AQ116" s="20">
        <f>'[25]Clark (1956)'!$L$11</f>
        <v>0.46052522320583089</v>
      </c>
      <c r="AR116" s="20">
        <f t="shared" si="156"/>
        <v>1.2119084821206076</v>
      </c>
      <c r="AS116" s="20">
        <f t="shared" si="130"/>
        <v>0.19219637499463529</v>
      </c>
      <c r="AT116" s="20">
        <f>'[25]Leonhardt (1977)'!$L$11</f>
        <v>0.65291447916542988</v>
      </c>
      <c r="AU116" s="20">
        <f t="shared" si="157"/>
        <v>1.7181959978037629</v>
      </c>
      <c r="AV116" s="20">
        <f t="shared" si="131"/>
        <v>0.54127490192319361</v>
      </c>
      <c r="AW116" s="20">
        <f>'[25]Desayi; Ganesan (1985)'!$L$11</f>
        <v>0.5248814835257537</v>
      </c>
      <c r="AX116" s="20">
        <f t="shared" si="158"/>
        <v>1.3812670619098781</v>
      </c>
      <c r="AY116" s="20">
        <f t="shared" si="132"/>
        <v>0.32300123872157316</v>
      </c>
      <c r="AZ116" s="20">
        <f>'[25]Oh; Kang (1987)'!$L$11</f>
        <v>0.31526951037263856</v>
      </c>
      <c r="BA116" s="20">
        <f t="shared" si="159"/>
        <v>0.82965660624378568</v>
      </c>
      <c r="BB116" s="20">
        <f t="shared" si="133"/>
        <v>-0.18674339121742026</v>
      </c>
      <c r="BC116" s="20">
        <f>'[25]Caldas (1997)'!$L$11</f>
        <v>0.29639526846206188</v>
      </c>
      <c r="BD116" s="20">
        <f t="shared" si="160"/>
        <v>0.77998754858437336</v>
      </c>
      <c r="BE116" s="20">
        <f t="shared" si="134"/>
        <v>-0.24847732277928281</v>
      </c>
      <c r="BF116" s="20">
        <v>0.41097361091528284</v>
      </c>
      <c r="BG116" s="20">
        <f t="shared" si="139"/>
        <v>1.081509502408639</v>
      </c>
      <c r="BH116" s="20">
        <f t="shared" si="140"/>
        <v>7.8357752695667665E-2</v>
      </c>
      <c r="BI116" s="20">
        <v>0.50675079329674777</v>
      </c>
      <c r="BJ116" s="20">
        <f t="shared" si="161"/>
        <v>1.3335547192019679</v>
      </c>
      <c r="BK116" s="20">
        <f t="shared" si="162"/>
        <v>0.28784809807024109</v>
      </c>
      <c r="BL116" s="20">
        <v>0.40682496334771351</v>
      </c>
      <c r="BM116" s="20">
        <f t="shared" si="141"/>
        <v>1.0705920088097725</v>
      </c>
      <c r="BN116" s="20">
        <f t="shared" si="142"/>
        <v>6.8211774732746616E-2</v>
      </c>
      <c r="BS116" t="b">
        <f t="shared" si="111"/>
        <v>0</v>
      </c>
      <c r="BU116" t="b">
        <f t="shared" si="112"/>
        <v>1</v>
      </c>
      <c r="BW116" t="b">
        <f t="shared" si="113"/>
        <v>1</v>
      </c>
    </row>
    <row r="117" spans="1:75">
      <c r="A117" s="87" t="s">
        <v>60</v>
      </c>
      <c r="B117" s="5">
        <f>'[26]Dados de entrada'!$B$28</f>
        <v>16</v>
      </c>
      <c r="C117" s="5">
        <f>'[26]Dados de entrada'!$B$31</f>
        <v>2</v>
      </c>
      <c r="D117" s="5">
        <f>'[26]Dados de entrada'!$B$32</f>
        <v>168</v>
      </c>
      <c r="E117" s="11">
        <f>'[26]Dados de entrada'!$B$27</f>
        <v>3.2689999999999997</v>
      </c>
      <c r="F117" s="5">
        <f>'[26]Dados de entrada'!$B$30</f>
        <v>25</v>
      </c>
      <c r="G117" s="12">
        <f>'[26]Dados de entrada'!$B$22</f>
        <v>33</v>
      </c>
      <c r="H117" s="52">
        <f>'[26]Dados de entrada'!$B$29/(2*'[26]Dados de entrada'!$B$20*G117)</f>
        <v>2.4242424242424242E-2</v>
      </c>
      <c r="I117" s="53">
        <f>'[26]fib Model Code 2010'!$K$5</f>
        <v>211.76759699968994</v>
      </c>
      <c r="J117" s="4">
        <f>'[26]Dados de entrada'!$C$7</f>
        <v>0.15</v>
      </c>
      <c r="K117" s="51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11">
        <f>'[26]fib Model Code 2010'!$L$5</f>
        <v>0.13409248123173162</v>
      </c>
      <c r="AE117" s="11">
        <f t="shared" si="145"/>
        <v>0.89394987487821087</v>
      </c>
      <c r="AF117" s="29">
        <f t="shared" si="126"/>
        <v>-0.1121055737494043</v>
      </c>
      <c r="AG117" s="11">
        <f>'[26]fib Model Code 2020'!$L$5</f>
        <v>9.9274752045339976E-2</v>
      </c>
      <c r="AH117" s="11">
        <f t="shared" si="146"/>
        <v>0.66183168030226658</v>
      </c>
      <c r="AI117" s="55">
        <f t="shared" si="127"/>
        <v>-0.41274401473665567</v>
      </c>
      <c r="AJ117" s="11">
        <f>'[26]Eurocode 2'!$L$5</f>
        <v>0.14310195367254047</v>
      </c>
      <c r="AK117" s="11">
        <f t="shared" si="155"/>
        <v>0.95401302448360314</v>
      </c>
      <c r="AL117" s="11">
        <f t="shared" si="128"/>
        <v>-4.7077955128509243E-2</v>
      </c>
      <c r="AM117" s="11">
        <f>'[26]NBR 6118'!$Q$5</f>
        <v>0.2642822803837333</v>
      </c>
      <c r="AN117" s="11">
        <f>'[26]NBR 6118'!$R$5</f>
        <v>0.12447642459592426</v>
      </c>
      <c r="AO117" s="11">
        <f>'[26]NBR 6118'!$W$5</f>
        <v>0.82984283063949504</v>
      </c>
      <c r="AP117" s="11">
        <f t="shared" si="129"/>
        <v>-0.18651895679779695</v>
      </c>
      <c r="AQ117" s="11">
        <f>'[26]Clark (1956)'!$L$5</f>
        <v>0.14579520985226643</v>
      </c>
      <c r="AR117" s="11">
        <f t="shared" si="156"/>
        <v>0.97196806568177629</v>
      </c>
      <c r="AS117" s="11">
        <f t="shared" si="130"/>
        <v>-2.8432329298265901E-2</v>
      </c>
      <c r="AT117" s="11">
        <f>'[26]Leonhardt (1977)'!$L$5</f>
        <v>0.10853508175017515</v>
      </c>
      <c r="AU117" s="11">
        <f t="shared" si="157"/>
        <v>0.72356721166783433</v>
      </c>
      <c r="AV117" s="11">
        <f t="shared" si="131"/>
        <v>-0.32356183927395088</v>
      </c>
      <c r="AW117" s="11">
        <f>'[26]Desayi; Ganesan (1985)'!$L$5</f>
        <v>0.21268829038166062</v>
      </c>
      <c r="AX117" s="11">
        <f t="shared" si="158"/>
        <v>1.4179219358777375</v>
      </c>
      <c r="AY117" s="11">
        <f t="shared" si="132"/>
        <v>0.34919237432210432</v>
      </c>
      <c r="AZ117" s="11">
        <f>'[26]Oh; Kang (1987)'!$L$5</f>
        <v>0.14641282095142341</v>
      </c>
      <c r="BA117" s="11">
        <f t="shared" si="159"/>
        <v>0.97608547300948945</v>
      </c>
      <c r="BB117" s="11">
        <f t="shared" si="133"/>
        <v>-2.4205121598689157E-2</v>
      </c>
      <c r="BC117" s="11">
        <f>'[26]Caldas (1997)'!$L$5</f>
        <v>0.13474689552984886</v>
      </c>
      <c r="BD117" s="11">
        <f t="shared" si="160"/>
        <v>0.8983126368656591</v>
      </c>
      <c r="BE117" s="11">
        <f t="shared" si="134"/>
        <v>-0.10723712331207109</v>
      </c>
      <c r="BF117" s="11" cm="1">
        <f t="array" ref="BF117:BF123">'[26]Gergely e Lutz (1968)'!$L$5:$L$11</f>
        <v>0.17296156171576588</v>
      </c>
      <c r="BG117" s="11">
        <f t="shared" si="139"/>
        <v>1.1530770781051058</v>
      </c>
      <c r="BH117" s="11">
        <f t="shared" si="140"/>
        <v>0.14243408910035055</v>
      </c>
      <c r="BI117" s="11" cm="1">
        <f t="array" ref="BI117:BI123">[26]Sugestão!$M$5:$M$11</f>
        <v>0.1106344620337962</v>
      </c>
      <c r="BJ117" s="11">
        <f t="shared" ref="BJ117:BJ123" si="163">BI117/J117</f>
        <v>0.73756308022530803</v>
      </c>
      <c r="BK117" s="11">
        <f t="shared" ref="BK117:BK123" si="164">LN(BJ117)</f>
        <v>-0.30440366191696638</v>
      </c>
      <c r="BL117" s="11" cm="1">
        <f t="array" ref="BL117:BL123">'[26]fib Model Code 2020 modificado'!$L$5:$L$11</f>
        <v>0.14799982537652959</v>
      </c>
      <c r="BM117" s="11">
        <f t="shared" si="141"/>
        <v>0.98666550251019725</v>
      </c>
      <c r="BN117" s="11">
        <f t="shared" si="142"/>
        <v>-1.3424200221150357E-2</v>
      </c>
      <c r="BS117" t="b">
        <f t="shared" si="111"/>
        <v>0</v>
      </c>
      <c r="BU117" t="b">
        <f t="shared" si="112"/>
        <v>1</v>
      </c>
      <c r="BW117" t="b">
        <f t="shared" si="113"/>
        <v>1</v>
      </c>
    </row>
    <row r="118" spans="1:75">
      <c r="A118" s="88"/>
      <c r="B118" s="5">
        <f>'[26]Dados de entrada'!$B$28</f>
        <v>16</v>
      </c>
      <c r="C118" s="5">
        <f>'[26]Dados de entrada'!$B$31</f>
        <v>2</v>
      </c>
      <c r="D118" s="5">
        <f>'[26]Dados de entrada'!$B$32</f>
        <v>168</v>
      </c>
      <c r="E118" s="11">
        <f>'[26]Dados de entrada'!$B$27</f>
        <v>3.2689999999999997</v>
      </c>
      <c r="F118" s="5">
        <f>'[26]Dados de entrada'!$B$30</f>
        <v>25</v>
      </c>
      <c r="G118" s="12">
        <f>'[26]Dados de entrada'!$B$22</f>
        <v>33</v>
      </c>
      <c r="H118" s="52">
        <f>'[26]Dados de entrada'!$B$29/(2*'[26]Dados de entrada'!$B$20*G118)</f>
        <v>2.4242424242424242E-2</v>
      </c>
      <c r="I118" s="53">
        <f>'[26]fib Model Code 2010'!$K$6</f>
        <v>238.26122952921412</v>
      </c>
      <c r="J118" s="4">
        <f>'[26]Dados de entrada'!$C$8</f>
        <v>0.18</v>
      </c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11">
        <f>'[26]fib Model Code 2010'!$L$6</f>
        <v>0.1710731766375258</v>
      </c>
      <c r="AE118" s="11">
        <f t="shared" si="145"/>
        <v>0.95040653687514343</v>
      </c>
      <c r="AF118" s="29">
        <f t="shared" si="126"/>
        <v>-5.0865452372217082E-2</v>
      </c>
      <c r="AG118" s="11">
        <f>'[26]fib Model Code 2020'!$L$6</f>
        <v>0.11617858999591686</v>
      </c>
      <c r="AH118" s="11">
        <f t="shared" si="146"/>
        <v>0.64543661108842698</v>
      </c>
      <c r="AI118" s="55">
        <f t="shared" si="127"/>
        <v>-0.43782827477477715</v>
      </c>
      <c r="AJ118" s="11">
        <f>'[26]Eurocode 2'!$L$6</f>
        <v>0.16100502585436646</v>
      </c>
      <c r="AK118" s="11">
        <f t="shared" si="155"/>
        <v>0.89447236585759149</v>
      </c>
      <c r="AL118" s="11">
        <f t="shared" si="128"/>
        <v>-0.11152126990622352</v>
      </c>
      <c r="AM118" s="11">
        <f>'[26]NBR 6118'!$Q$6</f>
        <v>0.29734587330234952</v>
      </c>
      <c r="AN118" s="11">
        <f>'[26]NBR 6118'!$R$6</f>
        <v>0.15757047544565744</v>
      </c>
      <c r="AO118" s="11">
        <f>'[26]NBR 6118'!$W$6</f>
        <v>0.87539153025365246</v>
      </c>
      <c r="AP118" s="11">
        <f t="shared" si="129"/>
        <v>-0.13308402955927107</v>
      </c>
      <c r="AQ118" s="11">
        <f>'[26]Clark (1956)'!$L$6</f>
        <v>0.17429705972752854</v>
      </c>
      <c r="AR118" s="11">
        <f t="shared" si="156"/>
        <v>0.96831699848626973</v>
      </c>
      <c r="AS118" s="11">
        <f t="shared" si="130"/>
        <v>-3.2195767539631034E-2</v>
      </c>
      <c r="AT118" s="11">
        <f>'[26]Leonhardt (1977)'!$L$6</f>
        <v>0.21393535237281311</v>
      </c>
      <c r="AU118" s="11">
        <f t="shared" si="157"/>
        <v>1.1885297354045172</v>
      </c>
      <c r="AV118" s="11">
        <f t="shared" si="131"/>
        <v>0.17271702677692044</v>
      </c>
      <c r="AW118" s="11">
        <f>'[26]Desayi; Ganesan (1985)'!$L$6</f>
        <v>0.23929710820147421</v>
      </c>
      <c r="AX118" s="11">
        <f t="shared" si="158"/>
        <v>1.3294283788970789</v>
      </c>
      <c r="AY118" s="11">
        <f t="shared" si="132"/>
        <v>0.28474905954438984</v>
      </c>
      <c r="AZ118" s="11">
        <f>'[26]Oh; Kang (1987)'!$L$6</f>
        <v>0.16899570354193333</v>
      </c>
      <c r="BA118" s="11">
        <f t="shared" si="159"/>
        <v>0.93886501967740743</v>
      </c>
      <c r="BB118" s="11">
        <f t="shared" si="133"/>
        <v>-6.3083559119099311E-2</v>
      </c>
      <c r="BC118" s="11">
        <f>'[26]Caldas (1997)'!$L$6</f>
        <v>0.1542959678316207</v>
      </c>
      <c r="BD118" s="11">
        <f t="shared" si="160"/>
        <v>0.85719982128678163</v>
      </c>
      <c r="BE118" s="11">
        <f t="shared" si="134"/>
        <v>-0.1540842238675926</v>
      </c>
      <c r="BF118" s="11">
        <v>0.19460028323290537</v>
      </c>
      <c r="BG118" s="11">
        <f t="shared" si="139"/>
        <v>1.0811126846272521</v>
      </c>
      <c r="BH118" s="11">
        <f t="shared" si="140"/>
        <v>7.7990774322636014E-2</v>
      </c>
      <c r="BI118" s="11">
        <v>0.14377344806676662</v>
      </c>
      <c r="BJ118" s="11">
        <f t="shared" si="163"/>
        <v>0.7987413781487035</v>
      </c>
      <c r="BK118" s="11">
        <f t="shared" si="164"/>
        <v>-0.22471806752867698</v>
      </c>
      <c r="BL118" s="11">
        <v>0.17355831696087226</v>
      </c>
      <c r="BM118" s="11">
        <f t="shared" si="141"/>
        <v>0.96421287200484596</v>
      </c>
      <c r="BN118" s="11">
        <f t="shared" si="142"/>
        <v>-3.6443187167297865E-2</v>
      </c>
      <c r="BS118" t="b">
        <f t="shared" si="111"/>
        <v>0</v>
      </c>
      <c r="BU118" t="b">
        <f t="shared" si="112"/>
        <v>1</v>
      </c>
      <c r="BW118" t="b">
        <f t="shared" si="113"/>
        <v>1</v>
      </c>
    </row>
    <row r="119" spans="1:75">
      <c r="A119" s="88"/>
      <c r="B119" s="5">
        <f>'[26]Dados de entrada'!$B$28</f>
        <v>16</v>
      </c>
      <c r="C119" s="5">
        <f>'[26]Dados de entrada'!$B$31</f>
        <v>2</v>
      </c>
      <c r="D119" s="5">
        <f>'[26]Dados de entrada'!$B$32</f>
        <v>168</v>
      </c>
      <c r="E119" s="11">
        <f>'[26]Dados de entrada'!$B$27</f>
        <v>3.2689999999999997</v>
      </c>
      <c r="F119" s="5">
        <f>'[26]Dados de entrada'!$B$30</f>
        <v>25</v>
      </c>
      <c r="G119" s="12">
        <f>'[26]Dados de entrada'!$B$22</f>
        <v>33</v>
      </c>
      <c r="H119" s="52">
        <f>'[26]Dados de entrada'!$B$29/(2*'[26]Dados de entrada'!$B$20*G119)</f>
        <v>2.4242424242424242E-2</v>
      </c>
      <c r="I119" s="53">
        <f>'[26]fib Model Code 2010'!$K$7</f>
        <v>264.70949624961241</v>
      </c>
      <c r="J119" s="4">
        <f>'[26]Dados de entrada'!$C$9</f>
        <v>0.2</v>
      </c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11">
        <f>'[26]fib Model Code 2010'!$L$7</f>
        <v>0.20799054893474836</v>
      </c>
      <c r="AE119" s="11">
        <f t="shared" si="145"/>
        <v>1.0399527446737418</v>
      </c>
      <c r="AF119" s="29">
        <f t="shared" si="126"/>
        <v>3.9175274307242727E-2</v>
      </c>
      <c r="AG119" s="11">
        <f>'[26]fib Model Code 2020'!$L$7</f>
        <v>0.14717536615403232</v>
      </c>
      <c r="AH119" s="11">
        <f t="shared" si="146"/>
        <v>0.73587683077016153</v>
      </c>
      <c r="AI119" s="55">
        <f t="shared" si="127"/>
        <v>-0.30669252375481348</v>
      </c>
      <c r="AJ119" s="11">
        <f>'[26]Eurocode 2'!$L$7</f>
        <v>0.1788774420906756</v>
      </c>
      <c r="AK119" s="11">
        <f t="shared" si="155"/>
        <v>0.89438721045337799</v>
      </c>
      <c r="AL119" s="11">
        <f t="shared" si="128"/>
        <v>-0.11161647626608037</v>
      </c>
      <c r="AM119" s="11">
        <f>'[26]NBR 6118'!$Q$7</f>
        <v>0.33035285047966667</v>
      </c>
      <c r="AN119" s="11">
        <f>'[26]NBR 6118'!$R$7</f>
        <v>0.19449441343113166</v>
      </c>
      <c r="AO119" s="11">
        <f>'[26]NBR 6118'!$W$7</f>
        <v>0.97247206715565826</v>
      </c>
      <c r="AP119" s="11">
        <f t="shared" si="129"/>
        <v>-2.7913926621158359E-2</v>
      </c>
      <c r="AQ119" s="11">
        <f>'[26]Clark (1956)'!$L$7</f>
        <v>0.20275010506533303</v>
      </c>
      <c r="AR119" s="11">
        <f t="shared" si="156"/>
        <v>1.013750525326665</v>
      </c>
      <c r="AS119" s="11">
        <f t="shared" si="130"/>
        <v>1.3656844648747153E-2</v>
      </c>
      <c r="AT119" s="11">
        <f>'[26]Leonhardt (1977)'!$L$7</f>
        <v>0.3105283279517595</v>
      </c>
      <c r="AU119" s="11">
        <f t="shared" si="157"/>
        <v>1.5526416397587974</v>
      </c>
      <c r="AV119" s="11">
        <f t="shared" si="131"/>
        <v>0.43995776400298875</v>
      </c>
      <c r="AW119" s="11">
        <f>'[26]Desayi; Ganesan (1985)'!$L$7</f>
        <v>0.26586036297707577</v>
      </c>
      <c r="AX119" s="11">
        <f t="shared" si="158"/>
        <v>1.3293018148853788</v>
      </c>
      <c r="AY119" s="11">
        <f t="shared" si="132"/>
        <v>0.28465385318453301</v>
      </c>
      <c r="AZ119" s="11">
        <f>'[26]Oh; Kang (1987)'!$L$7</f>
        <v>0.19153991681293903</v>
      </c>
      <c r="BA119" s="11">
        <f t="shared" si="159"/>
        <v>0.95769958406469513</v>
      </c>
      <c r="BB119" s="11">
        <f t="shared" si="133"/>
        <v>-4.3221136761126225E-2</v>
      </c>
      <c r="BC119" s="11">
        <f>'[26]Caldas (1997)'!$L$7</f>
        <v>0.17381156569451961</v>
      </c>
      <c r="BD119" s="11">
        <f t="shared" si="160"/>
        <v>0.86905782847259805</v>
      </c>
      <c r="BE119" s="11">
        <f t="shared" si="134"/>
        <v>-0.14034560993244502</v>
      </c>
      <c r="BF119" s="11">
        <v>0.21620195214470733</v>
      </c>
      <c r="BG119" s="11">
        <f t="shared" si="139"/>
        <v>1.0810097607235365</v>
      </c>
      <c r="BH119" s="11">
        <f t="shared" si="140"/>
        <v>7.7895567962779161E-2</v>
      </c>
      <c r="BI119" s="11">
        <v>0.18990028944419676</v>
      </c>
      <c r="BJ119" s="11">
        <f t="shared" si="163"/>
        <v>0.94950144722098373</v>
      </c>
      <c r="BK119" s="11">
        <f t="shared" si="164"/>
        <v>-5.1818224538242183E-2</v>
      </c>
      <c r="BL119" s="11">
        <v>0.21376252174526569</v>
      </c>
      <c r="BM119" s="11">
        <f t="shared" si="141"/>
        <v>1.0688126087263283</v>
      </c>
      <c r="BN119" s="11">
        <f t="shared" si="142"/>
        <v>6.6548320817418433E-2</v>
      </c>
      <c r="BS119" t="b">
        <f t="shared" si="111"/>
        <v>0</v>
      </c>
      <c r="BU119" t="b">
        <f t="shared" si="112"/>
        <v>1</v>
      </c>
      <c r="BW119" t="b">
        <f t="shared" si="113"/>
        <v>1</v>
      </c>
    </row>
    <row r="120" spans="1:75">
      <c r="A120" s="88"/>
      <c r="B120" s="5">
        <f>'[26]Dados de entrada'!$B$28</f>
        <v>16</v>
      </c>
      <c r="C120" s="5">
        <f>'[26]Dados de entrada'!$B$31</f>
        <v>2</v>
      </c>
      <c r="D120" s="5">
        <f>'[26]Dados de entrada'!$B$32</f>
        <v>168</v>
      </c>
      <c r="E120" s="11">
        <f>'[26]Dados de entrada'!$B$27</f>
        <v>3.2689999999999997</v>
      </c>
      <c r="F120" s="5">
        <f>'[26]Dados de entrada'!$B$30</f>
        <v>25</v>
      </c>
      <c r="G120" s="12">
        <f>'[26]Dados de entrada'!$B$22</f>
        <v>33</v>
      </c>
      <c r="H120" s="52">
        <f>'[26]Dados de entrada'!$B$29/(2*'[26]Dados de entrada'!$B$20*G120)</f>
        <v>2.4242424242424242E-2</v>
      </c>
      <c r="I120" s="53">
        <f>'[26]fib Model Code 2010'!$K$8</f>
        <v>291.15776297001071</v>
      </c>
      <c r="J120" s="4">
        <f>'[26]Dados de entrada'!$C$10</f>
        <v>0.23</v>
      </c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11">
        <f>'[26]fib Model Code 2010'!$L$8</f>
        <v>0.24490792123197097</v>
      </c>
      <c r="AE120" s="11">
        <f t="shared" si="145"/>
        <v>1.0648170488346564</v>
      </c>
      <c r="AF120" s="29">
        <f t="shared" si="126"/>
        <v>6.2802999272854682E-2</v>
      </c>
      <c r="AG120" s="11">
        <f>'[26]fib Model Code 2020'!$L$8</f>
        <v>0.17817214231214781</v>
      </c>
      <c r="AH120" s="11">
        <f t="shared" si="146"/>
        <v>0.77466148831368609</v>
      </c>
      <c r="AI120" s="55">
        <f t="shared" si="127"/>
        <v>-0.2553291343216742</v>
      </c>
      <c r="AJ120" s="11">
        <f>'[26]Eurocode 2'!$L$8</f>
        <v>0.19760779435522915</v>
      </c>
      <c r="AK120" s="11">
        <f t="shared" si="155"/>
        <v>0.85916432328360504</v>
      </c>
      <c r="AL120" s="11">
        <f t="shared" si="128"/>
        <v>-0.15179507926980965</v>
      </c>
      <c r="AM120" s="11">
        <f>'[26]NBR 6118'!$Q$8</f>
        <v>0.36335982765698382</v>
      </c>
      <c r="AN120" s="11">
        <f>'[26]NBR 6118'!$R$8</f>
        <v>0.23530157606629135</v>
      </c>
      <c r="AO120" s="11">
        <f>'[26]NBR 6118'!$W$8</f>
        <v>1.0230503307230059</v>
      </c>
      <c r="AP120" s="11">
        <f t="shared" si="129"/>
        <v>2.2788684901974551E-2</v>
      </c>
      <c r="AQ120" s="11">
        <f>'[26]Clark (1956)'!$L$8</f>
        <v>0.23120315040313752</v>
      </c>
      <c r="AR120" s="11">
        <f t="shared" si="156"/>
        <v>1.0052310887092935</v>
      </c>
      <c r="AS120" s="11">
        <f t="shared" si="130"/>
        <v>5.2174540933380255E-3</v>
      </c>
      <c r="AT120" s="11">
        <f>'[26]Leonhardt (1977)'!$L$8</f>
        <v>0.40085214401713148</v>
      </c>
      <c r="AU120" s="11">
        <f t="shared" si="157"/>
        <v>1.7428354087701368</v>
      </c>
      <c r="AV120" s="11">
        <f t="shared" si="131"/>
        <v>0.55551333222835142</v>
      </c>
      <c r="AW120" s="11">
        <f>'[26]Desayi; Ganesan (1985)'!$L$8</f>
        <v>0.29242361775267733</v>
      </c>
      <c r="AX120" s="11">
        <f t="shared" si="158"/>
        <v>1.2714070337072927</v>
      </c>
      <c r="AY120" s="11">
        <f t="shared" si="132"/>
        <v>0.24012418775852012</v>
      </c>
      <c r="AZ120" s="11">
        <f>'[26]Oh; Kang (1987)'!$L$8</f>
        <v>0.2140841300839447</v>
      </c>
      <c r="BA120" s="11">
        <f t="shared" si="159"/>
        <v>0.93080056558236823</v>
      </c>
      <c r="BB120" s="11">
        <f t="shared" si="133"/>
        <v>-7.1710239923793676E-2</v>
      </c>
      <c r="BC120" s="11">
        <f>'[26]Caldas (1997)'!$L$8</f>
        <v>0.19332716355741852</v>
      </c>
      <c r="BD120" s="11">
        <f t="shared" si="160"/>
        <v>0.84055288503225445</v>
      </c>
      <c r="BE120" s="11">
        <f t="shared" si="134"/>
        <v>-0.17369540719410112</v>
      </c>
      <c r="BF120" s="11">
        <v>0.23780362105650929</v>
      </c>
      <c r="BG120" s="11">
        <f t="shared" si="139"/>
        <v>1.0339287872022143</v>
      </c>
      <c r="BH120" s="11">
        <f t="shared" si="140"/>
        <v>3.3365902536766433E-2</v>
      </c>
      <c r="BI120" s="11">
        <v>0.23602713082162688</v>
      </c>
      <c r="BJ120" s="11">
        <f t="shared" si="163"/>
        <v>1.026204916615769</v>
      </c>
      <c r="BK120" s="11">
        <f t="shared" si="164"/>
        <v>2.5867450603481244E-2</v>
      </c>
      <c r="BL120" s="11">
        <v>0.25453383476385971</v>
      </c>
      <c r="BM120" s="11">
        <f t="shared" si="141"/>
        <v>1.1066688467993899</v>
      </c>
      <c r="BN120" s="11">
        <f t="shared" si="142"/>
        <v>0.10135446425779576</v>
      </c>
      <c r="BS120" t="b">
        <f t="shared" si="111"/>
        <v>0</v>
      </c>
      <c r="BU120" t="b">
        <f t="shared" si="112"/>
        <v>1</v>
      </c>
      <c r="BW120" t="b">
        <f t="shared" si="113"/>
        <v>1</v>
      </c>
    </row>
    <row r="121" spans="1:75">
      <c r="A121" s="88"/>
      <c r="B121" s="5">
        <f>'[26]Dados de entrada'!$B$28</f>
        <v>16</v>
      </c>
      <c r="C121" s="5">
        <f>'[26]Dados de entrada'!$B$31</f>
        <v>2</v>
      </c>
      <c r="D121" s="5">
        <f>'[26]Dados de entrada'!$B$32</f>
        <v>168</v>
      </c>
      <c r="E121" s="11">
        <f>'[26]Dados de entrada'!$B$27</f>
        <v>3.2689999999999997</v>
      </c>
      <c r="F121" s="5">
        <f>'[26]Dados de entrada'!$B$30</f>
        <v>25</v>
      </c>
      <c r="G121" s="12">
        <f>'[26]Dados de entrada'!$B$22</f>
        <v>33</v>
      </c>
      <c r="H121" s="52">
        <f>'[26]Dados de entrada'!$B$29/(2*'[26]Dados de entrada'!$B$20*G121)</f>
        <v>2.4242424242424242E-2</v>
      </c>
      <c r="I121" s="53">
        <f>'[26]fib Model Code 2010'!$K$9</f>
        <v>317.65139549953489</v>
      </c>
      <c r="J121" s="4">
        <f>'[26]Dados de entrada'!$C$11</f>
        <v>0.25</v>
      </c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11">
        <f>'[26]fib Model Code 2010'!$L$9</f>
        <v>0.28188861663776515</v>
      </c>
      <c r="AE121" s="11">
        <f t="shared" si="145"/>
        <v>1.1275544665510606</v>
      </c>
      <c r="AF121" s="29">
        <f t="shared" si="126"/>
        <v>0.12005109859029306</v>
      </c>
      <c r="AG121" s="11">
        <f>'[26]fib Model Code 2020'!$L$9</f>
        <v>0.20922208618236979</v>
      </c>
      <c r="AH121" s="11">
        <f t="shared" si="146"/>
        <v>0.83688834472947915</v>
      </c>
      <c r="AI121" s="55">
        <f t="shared" si="127"/>
        <v>-0.17806461675855714</v>
      </c>
      <c r="AJ121" s="11">
        <f>'[26]Eurocode 2'!$L$9</f>
        <v>0.22744624799160579</v>
      </c>
      <c r="AK121" s="11">
        <f t="shared" si="155"/>
        <v>0.90978499196642315</v>
      </c>
      <c r="AL121" s="11">
        <f t="shared" si="128"/>
        <v>-9.4546979952371227E-2</v>
      </c>
      <c r="AM121" s="11">
        <f>'[26]NBR 6118'!$Q$9</f>
        <v>0.39642342057560004</v>
      </c>
      <c r="AN121" s="11">
        <f>'[26]NBR 6118'!$R$9</f>
        <v>0.28007195534082957</v>
      </c>
      <c r="AO121" s="11">
        <f>'[26]NBR 6118'!$W$9</f>
        <v>1.1202878213633183</v>
      </c>
      <c r="AP121" s="11">
        <f t="shared" si="129"/>
        <v>0.11358563565254111</v>
      </c>
      <c r="AQ121" s="11">
        <f>'[26]Clark (1956)'!$L$9</f>
        <v>0.25970500027839966</v>
      </c>
      <c r="AR121" s="11">
        <f t="shared" si="156"/>
        <v>1.0388200011135986</v>
      </c>
      <c r="AS121" s="11">
        <f t="shared" si="130"/>
        <v>3.8085454677316756E-2</v>
      </c>
      <c r="AT121" s="11">
        <f>'[26]Leonhardt (1977)'!$L$9</f>
        <v>0.48661646663274533</v>
      </c>
      <c r="AU121" s="11">
        <f t="shared" si="157"/>
        <v>1.9464658665309813</v>
      </c>
      <c r="AV121" s="11">
        <f t="shared" si="131"/>
        <v>0.66601535209698814</v>
      </c>
      <c r="AW121" s="11">
        <f>'[26]Desayi; Ganesan (1985)'!$L$9</f>
        <v>0.31903243557249095</v>
      </c>
      <c r="AX121" s="11">
        <f t="shared" si="158"/>
        <v>1.2761297422899638</v>
      </c>
      <c r="AY121" s="11">
        <f t="shared" si="132"/>
        <v>0.24383185866427801</v>
      </c>
      <c r="AZ121" s="11">
        <f>'[26]Oh; Kang (1987)'!$L$9</f>
        <v>0.23666701267445472</v>
      </c>
      <c r="BA121" s="11">
        <f t="shared" si="159"/>
        <v>0.9466680506978189</v>
      </c>
      <c r="BB121" s="11">
        <f t="shared" si="133"/>
        <v>-5.4806774491325476E-2</v>
      </c>
      <c r="BC121" s="11">
        <f>'[26]Caldas (1997)'!$L$9</f>
        <v>0.21287623585919035</v>
      </c>
      <c r="BD121" s="11">
        <f t="shared" si="160"/>
        <v>0.85150494343676142</v>
      </c>
      <c r="BE121" s="11">
        <f t="shared" si="134"/>
        <v>-0.16074997333340257</v>
      </c>
      <c r="BF121" s="11">
        <v>0.25944234257364879</v>
      </c>
      <c r="BG121" s="11">
        <f t="shared" si="139"/>
        <v>1.0377693702945952</v>
      </c>
      <c r="BH121" s="11">
        <f t="shared" si="140"/>
        <v>3.7073573442524148E-2</v>
      </c>
      <c r="BI121" s="11">
        <v>0.28223309199558777</v>
      </c>
      <c r="BJ121" s="11">
        <f t="shared" si="163"/>
        <v>1.1289323679823511</v>
      </c>
      <c r="BK121" s="11">
        <f t="shared" si="164"/>
        <v>0.12127237901743104</v>
      </c>
      <c r="BL121" s="11">
        <v>0.29594364960454544</v>
      </c>
      <c r="BM121" s="11">
        <f t="shared" si="141"/>
        <v>1.1837745984181818</v>
      </c>
      <c r="BN121" s="11">
        <f t="shared" si="142"/>
        <v>0.16870814538096554</v>
      </c>
      <c r="BS121" t="b">
        <f t="shared" si="111"/>
        <v>0</v>
      </c>
      <c r="BU121" t="b">
        <f t="shared" si="112"/>
        <v>1</v>
      </c>
      <c r="BW121" t="b">
        <f t="shared" si="113"/>
        <v>1</v>
      </c>
    </row>
    <row r="122" spans="1:75">
      <c r="A122" s="88"/>
      <c r="B122" s="5">
        <f>'[26]Dados de entrada'!$B$28</f>
        <v>16</v>
      </c>
      <c r="C122" s="5">
        <f>'[26]Dados de entrada'!$B$31</f>
        <v>2</v>
      </c>
      <c r="D122" s="5">
        <f>'[26]Dados de entrada'!$B$32</f>
        <v>168</v>
      </c>
      <c r="E122" s="11">
        <f>'[26]Dados de entrada'!$B$27</f>
        <v>3.2689999999999997</v>
      </c>
      <c r="F122" s="5">
        <f>'[26]Dados de entrada'!$B$30</f>
        <v>25</v>
      </c>
      <c r="G122" s="12">
        <f>'[26]Dados de entrada'!$B$22</f>
        <v>33</v>
      </c>
      <c r="H122" s="52">
        <f>'[26]Dados de entrada'!$B$29/(2*'[26]Dados de entrada'!$B$20*G122)</f>
        <v>2.4242424242424242E-2</v>
      </c>
      <c r="I122" s="53">
        <f>'[26]fib Model Code 2010'!$K$10</f>
        <v>344.14502802905906</v>
      </c>
      <c r="J122" s="4">
        <f>'[26]Dados de entrada'!$C$12</f>
        <v>0.3</v>
      </c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11">
        <f>'[26]fib Model Code 2010'!$L$10</f>
        <v>0.31886931204355928</v>
      </c>
      <c r="AE122" s="11">
        <f t="shared" si="145"/>
        <v>1.0628977068118644</v>
      </c>
      <c r="AF122" s="29">
        <f t="shared" si="126"/>
        <v>6.0998864072584383E-2</v>
      </c>
      <c r="AG122" s="11">
        <f>'[26]fib Model Code 2020'!$L$10</f>
        <v>0.24027203005259176</v>
      </c>
      <c r="AH122" s="11">
        <f t="shared" si="146"/>
        <v>0.80090676684197259</v>
      </c>
      <c r="AI122" s="55">
        <f t="shared" si="127"/>
        <v>-0.22201073464090593</v>
      </c>
      <c r="AJ122" s="11">
        <f>'[26]Eurocode 2'!$L$10</f>
        <v>0.25728470162798234</v>
      </c>
      <c r="AK122" s="11">
        <f t="shared" si="155"/>
        <v>0.85761567209327449</v>
      </c>
      <c r="AL122" s="11">
        <f t="shared" si="128"/>
        <v>-0.15359921447008007</v>
      </c>
      <c r="AM122" s="11">
        <f>'[26]NBR 6118'!$Q$10</f>
        <v>0.42948701349421625</v>
      </c>
      <c r="AN122" s="11">
        <f>'[26]NBR 6118'!$R$10</f>
        <v>0.32873889221541713</v>
      </c>
      <c r="AO122" s="11">
        <f>'[26]NBR 6118'!$W$10</f>
        <v>1.0957963073847239</v>
      </c>
      <c r="AP122" s="11">
        <f t="shared" si="129"/>
        <v>9.1481320327053472E-2</v>
      </c>
      <c r="AQ122" s="11">
        <f>'[26]Clark (1956)'!$L$10</f>
        <v>0.28820685015366176</v>
      </c>
      <c r="AR122" s="11">
        <f t="shared" si="156"/>
        <v>0.96068950051220592</v>
      </c>
      <c r="AS122" s="11">
        <f t="shared" si="130"/>
        <v>-4.0104022623557722E-2</v>
      </c>
      <c r="AT122" s="11">
        <f>'[26]Leonhardt (1977)'!$L$10</f>
        <v>0.5687514418715035</v>
      </c>
      <c r="AU122" s="11">
        <f t="shared" si="157"/>
        <v>1.8958381395716783</v>
      </c>
      <c r="AV122" s="11">
        <f t="shared" si="131"/>
        <v>0.63966103076443304</v>
      </c>
      <c r="AW122" s="11">
        <f>'[26]Desayi; Ganesan (1985)'!$L$10</f>
        <v>0.34564125339230445</v>
      </c>
      <c r="AX122" s="11">
        <f t="shared" si="158"/>
        <v>1.1521375113076815</v>
      </c>
      <c r="AY122" s="11">
        <f t="shared" si="132"/>
        <v>0.14161892260455641</v>
      </c>
      <c r="AZ122" s="11">
        <f>'[26]Oh; Kang (1987)'!$L$10</f>
        <v>0.25924989526496467</v>
      </c>
      <c r="BA122" s="11">
        <f t="shared" si="159"/>
        <v>0.86416631754988227</v>
      </c>
      <c r="BB122" s="11">
        <f t="shared" si="133"/>
        <v>-0.14599003153906764</v>
      </c>
      <c r="BC122" s="11">
        <f>'[26]Caldas (1997)'!$L$10</f>
        <v>0.23242530816096219</v>
      </c>
      <c r="BD122" s="11">
        <f t="shared" si="160"/>
        <v>0.77475102720320732</v>
      </c>
      <c r="BE122" s="11">
        <f t="shared" si="134"/>
        <v>-0.25521355646397115</v>
      </c>
      <c r="BF122" s="11">
        <v>0.28108106409078831</v>
      </c>
      <c r="BG122" s="11">
        <f t="shared" si="139"/>
        <v>0.93693688030262778</v>
      </c>
      <c r="BH122" s="11">
        <f t="shared" si="140"/>
        <v>-6.5139362617197105E-2</v>
      </c>
      <c r="BI122" s="11">
        <v>0.32843905316954863</v>
      </c>
      <c r="BJ122" s="11">
        <f t="shared" si="163"/>
        <v>1.0947968438984954</v>
      </c>
      <c r="BK122" s="11">
        <f t="shared" si="164"/>
        <v>9.0568815369211741E-2</v>
      </c>
      <c r="BL122" s="11">
        <v>0.33792251983073496</v>
      </c>
      <c r="BM122" s="11">
        <f t="shared" si="141"/>
        <v>1.1264083994357832</v>
      </c>
      <c r="BN122" s="11">
        <f t="shared" si="142"/>
        <v>0.1190341632792994</v>
      </c>
      <c r="BS122" t="b">
        <f t="shared" si="111"/>
        <v>0</v>
      </c>
      <c r="BU122" t="b">
        <f t="shared" si="112"/>
        <v>1</v>
      </c>
      <c r="BW122" t="b">
        <f t="shared" si="113"/>
        <v>1</v>
      </c>
    </row>
    <row r="123" spans="1:75">
      <c r="A123" s="89"/>
      <c r="B123" s="5">
        <f>'[26]Dados de entrada'!$B$28</f>
        <v>16</v>
      </c>
      <c r="C123" s="5">
        <f>'[26]Dados de entrada'!$B$31</f>
        <v>2</v>
      </c>
      <c r="D123" s="5">
        <f>'[26]Dados de entrada'!$B$32</f>
        <v>168</v>
      </c>
      <c r="E123" s="11">
        <f>'[26]Dados de entrada'!$B$27</f>
        <v>3.2689999999999997</v>
      </c>
      <c r="F123" s="5">
        <f>'[26]Dados de entrada'!$B$30</f>
        <v>25</v>
      </c>
      <c r="G123" s="12">
        <f>'[26]Dados de entrada'!$B$22</f>
        <v>33</v>
      </c>
      <c r="H123" s="52">
        <f>'[26]Dados de entrada'!$B$29/(2*'[26]Dados de entrada'!$B$20*G123)</f>
        <v>2.4242424242424242E-2</v>
      </c>
      <c r="I123" s="53">
        <f>'[26]fib Model Code 2010'!$K$11</f>
        <v>370.54792894033153</v>
      </c>
      <c r="J123" s="4">
        <f>'[26]Dados de entrada'!$C$13</f>
        <v>0.3</v>
      </c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11">
        <f>'[26]fib Model Code 2010'!$L$11</f>
        <v>0.35572336123221043</v>
      </c>
      <c r="AE123" s="11">
        <f t="shared" si="145"/>
        <v>1.1857445374407014</v>
      </c>
      <c r="AF123" s="29">
        <f t="shared" si="126"/>
        <v>0.17037087892598102</v>
      </c>
      <c r="AG123" s="11">
        <f>'[26]fib Model Code 2020'!$L$11</f>
        <v>0.27121563849860081</v>
      </c>
      <c r="AH123" s="11">
        <f t="shared" si="146"/>
        <v>0.90405212832866944</v>
      </c>
      <c r="AI123" s="55">
        <f t="shared" si="127"/>
        <v>-0.10086825617208318</v>
      </c>
      <c r="AJ123" s="11">
        <f>'[26]Eurocode 2'!$L$11</f>
        <v>0.28702096877930294</v>
      </c>
      <c r="AK123" s="11">
        <f t="shared" si="155"/>
        <v>0.95673656259767648</v>
      </c>
      <c r="AL123" s="11">
        <f t="shared" si="128"/>
        <v>-4.4227199616683394E-2</v>
      </c>
      <c r="AM123" s="11">
        <f>'[26]NBR 6118'!$Q$11</f>
        <v>0.46243737493023435</v>
      </c>
      <c r="AN123" s="11">
        <f>'[26]NBR 6118'!$R$11</f>
        <v>0.38111572538496119</v>
      </c>
      <c r="AO123" s="11">
        <f>'[26]NBR 6118'!$W$11</f>
        <v>1.270385751283204</v>
      </c>
      <c r="AP123" s="11">
        <f t="shared" si="129"/>
        <v>0.23932059551836732</v>
      </c>
      <c r="AQ123" s="11">
        <f>'[26]Clark (1956)'!$L$11</f>
        <v>0.31661109095400869</v>
      </c>
      <c r="AR123" s="11">
        <f t="shared" si="156"/>
        <v>1.055370303180029</v>
      </c>
      <c r="AS123" s="11">
        <f t="shared" si="130"/>
        <v>5.3891703617454843E-2</v>
      </c>
      <c r="AT123" s="11">
        <f>'[26]Leonhardt (1977)'!$L$11</f>
        <v>0.64776800862686934</v>
      </c>
      <c r="AU123" s="11">
        <f t="shared" si="157"/>
        <v>2.1592266954228978</v>
      </c>
      <c r="AV123" s="11">
        <f t="shared" si="131"/>
        <v>0.76975014621641225</v>
      </c>
      <c r="AW123" s="11">
        <f>'[26]Desayi; Ganesan (1985)'!$L$11</f>
        <v>0.37215894512369413</v>
      </c>
      <c r="AX123" s="11">
        <f t="shared" si="158"/>
        <v>1.2405298170789805</v>
      </c>
      <c r="AY123" s="11">
        <f t="shared" si="132"/>
        <v>0.215538560200214</v>
      </c>
      <c r="AZ123" s="11">
        <f>'[26]Oh; Kang (1987)'!$L$11</f>
        <v>0.28175543921646612</v>
      </c>
      <c r="BA123" s="11">
        <f t="shared" si="159"/>
        <v>0.93918479738822047</v>
      </c>
      <c r="BB123" s="11">
        <f t="shared" si="133"/>
        <v>-6.2743016806539112E-2</v>
      </c>
      <c r="BC123" s="11">
        <f>'[26]Caldas (1997)'!$L$11</f>
        <v>0.25190743158498824</v>
      </c>
      <c r="BD123" s="11">
        <f t="shared" si="160"/>
        <v>0.83969143861662754</v>
      </c>
      <c r="BE123" s="11">
        <f t="shared" si="134"/>
        <v>-0.17472078960900359</v>
      </c>
      <c r="BF123" s="11">
        <v>0.3026456803972527</v>
      </c>
      <c r="BG123" s="11">
        <f t="shared" si="139"/>
        <v>1.0088189346575092</v>
      </c>
      <c r="BH123" s="11">
        <f t="shared" si="140"/>
        <v>8.7802749784602271E-3</v>
      </c>
      <c r="BI123" s="11">
        <v>0.37448677475044817</v>
      </c>
      <c r="BJ123" s="11">
        <f t="shared" si="163"/>
        <v>1.2482892491681605</v>
      </c>
      <c r="BK123" s="11">
        <f t="shared" si="164"/>
        <v>0.22177401325947543</v>
      </c>
      <c r="BL123" s="11">
        <v>0.38032376229552944</v>
      </c>
      <c r="BM123" s="11">
        <f t="shared" si="141"/>
        <v>1.2677458743184316</v>
      </c>
      <c r="BN123" s="11">
        <f t="shared" si="142"/>
        <v>0.23724042135398005</v>
      </c>
      <c r="BS123" t="b">
        <f t="shared" si="111"/>
        <v>0</v>
      </c>
      <c r="BU123" t="b">
        <f t="shared" si="112"/>
        <v>1</v>
      </c>
      <c r="BW123" t="b">
        <f t="shared" si="113"/>
        <v>1</v>
      </c>
    </row>
    <row r="124" spans="1:75">
      <c r="A124" s="85" t="s">
        <v>61</v>
      </c>
      <c r="B124" s="21">
        <f>'[27]Dados de entrada'!$B$28</f>
        <v>16</v>
      </c>
      <c r="C124" s="21">
        <f>'[27]Dados de entrada'!$B$31</f>
        <v>2</v>
      </c>
      <c r="D124" s="21">
        <f>'[27]Dados de entrada'!$B$32</f>
        <v>168</v>
      </c>
      <c r="E124" s="20">
        <f>'[27]Dados de entrada'!$B$27</f>
        <v>3.2689999999999997</v>
      </c>
      <c r="F124" s="21">
        <f>'[27]Dados de entrada'!$B$30</f>
        <v>25</v>
      </c>
      <c r="G124" s="56">
        <f>'[27]Dados de entrada'!$B$22</f>
        <v>33</v>
      </c>
      <c r="H124" s="57">
        <f>'[27]Dados de entrada'!$B$29/(2*'[27]Dados de entrada'!$B$20*G124)</f>
        <v>2.4242424242424242E-2</v>
      </c>
      <c r="I124" s="27">
        <f>'[27]fib Model Code 2010'!$K$5</f>
        <v>185.27396447016577</v>
      </c>
      <c r="J124" s="19">
        <f>'[27]Dados de entrada'!$C$7</f>
        <v>0.15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0">
        <f>'[27]fib Model Code 2010'!$L$5</f>
        <v>9.7111785825937463E-2</v>
      </c>
      <c r="AE124" s="20">
        <f t="shared" si="145"/>
        <v>0.64741190550624983</v>
      </c>
      <c r="AF124" s="54">
        <f t="shared" si="126"/>
        <v>-0.43477254793673126</v>
      </c>
      <c r="AG124" s="20">
        <f>'[27]fib Model Code 2020'!$L$5</f>
        <v>8.685477449725118E-2</v>
      </c>
      <c r="AH124" s="20">
        <f t="shared" si="146"/>
        <v>0.57903182998167457</v>
      </c>
      <c r="AI124" s="28">
        <f t="shared" si="127"/>
        <v>-0.54639782885854604</v>
      </c>
      <c r="AJ124" s="20">
        <f>'[27]Eurocode 2'!$L$5</f>
        <v>0.12519888149071451</v>
      </c>
      <c r="AK124" s="20">
        <f t="shared" si="155"/>
        <v>0.83465920993809672</v>
      </c>
      <c r="AL124" s="20">
        <f t="shared" si="128"/>
        <v>-0.1807317692503996</v>
      </c>
      <c r="AM124" s="20">
        <f>'[27]NBR 6118'!$Q$5</f>
        <v>0.23121868746511717</v>
      </c>
      <c r="AN124" s="20">
        <f>'[27]NBR 6118'!$R$5</f>
        <v>9.5278931346240298E-2</v>
      </c>
      <c r="AO124" s="20">
        <f>'[27]NBR 6118'!$W$5</f>
        <v>0.63519287564160198</v>
      </c>
      <c r="AP124" s="20">
        <f t="shared" si="129"/>
        <v>-0.45382658504157802</v>
      </c>
      <c r="AQ124" s="20">
        <f>'[27]Clark (1956)'!$L$5</f>
        <v>0.11729335997700432</v>
      </c>
      <c r="AR124" s="20">
        <f t="shared" si="156"/>
        <v>0.78195573318002887</v>
      </c>
      <c r="AS124" s="20">
        <f t="shared" si="130"/>
        <v>-0.24595714722573708</v>
      </c>
      <c r="AT124" s="20"/>
      <c r="AU124" s="20"/>
      <c r="AV124" s="20"/>
      <c r="AW124" s="20">
        <f>'[27]Desayi; Ganesan (1985)'!$L$5</f>
        <v>0.18607947256184706</v>
      </c>
      <c r="AX124" s="20">
        <f t="shared" si="158"/>
        <v>1.2405298170789805</v>
      </c>
      <c r="AY124" s="20">
        <f t="shared" si="132"/>
        <v>0.215538560200214</v>
      </c>
      <c r="AZ124" s="20">
        <f>'[27]Oh; Kang (1987)'!$L$5</f>
        <v>0.12382993836091344</v>
      </c>
      <c r="BA124" s="20">
        <f t="shared" si="159"/>
        <v>0.82553292240608966</v>
      </c>
      <c r="BB124" s="20">
        <f t="shared" si="133"/>
        <v>-0.19172613464120922</v>
      </c>
      <c r="BC124" s="20">
        <f>'[27]Caldas (1997)'!$L$5</f>
        <v>0.11519782322807706</v>
      </c>
      <c r="BD124" s="20">
        <f t="shared" si="160"/>
        <v>0.76798548818718049</v>
      </c>
      <c r="BE124" s="20">
        <f t="shared" si="134"/>
        <v>-0.26398444160259754</v>
      </c>
      <c r="BF124" s="20" cm="1">
        <f t="array" ref="BF124:BF131">'[27]Gergely e Lutz (1968)'!$L$5:$L$12</f>
        <v>0.15132284019862635</v>
      </c>
      <c r="BG124" s="20">
        <f t="shared" si="139"/>
        <v>1.0088189346575092</v>
      </c>
      <c r="BH124" s="20">
        <f t="shared" si="140"/>
        <v>8.7802749784602271E-3</v>
      </c>
      <c r="BI124" s="20" cm="1">
        <f t="array" ref="BI124:BI131">[27]Sugestão!$M$5:$M$12</f>
        <v>8.685477449725118E-2</v>
      </c>
      <c r="BJ124" s="20">
        <f t="shared" ref="BJ124:BJ131" si="165">BI124/J124</f>
        <v>0.57903182998167457</v>
      </c>
      <c r="BK124" s="20">
        <f t="shared" ref="BK124:BK131" si="166">LN(BJ124)</f>
        <v>-0.54639782885854604</v>
      </c>
      <c r="BL124" s="20" cm="1">
        <f t="array" ref="BL124:BL131">'[27]fib Model Code 2020 modificado'!$L$5:$L$12</f>
        <v>0.12749424958017883</v>
      </c>
      <c r="BM124" s="20">
        <f t="shared" si="141"/>
        <v>0.84996166386785887</v>
      </c>
      <c r="BN124" s="20">
        <f t="shared" si="142"/>
        <v>-0.16256403184680129</v>
      </c>
      <c r="BS124" t="b">
        <f t="shared" si="111"/>
        <v>0</v>
      </c>
      <c r="BU124" t="b">
        <f t="shared" si="112"/>
        <v>1</v>
      </c>
      <c r="BW124" t="b">
        <f t="shared" si="113"/>
        <v>1</v>
      </c>
    </row>
    <row r="125" spans="1:75">
      <c r="A125" s="90"/>
      <c r="B125" s="21">
        <f>'[27]Dados de entrada'!$B$28</f>
        <v>16</v>
      </c>
      <c r="C125" s="21">
        <f>'[27]Dados de entrada'!$B$31</f>
        <v>2</v>
      </c>
      <c r="D125" s="21">
        <f>'[27]Dados de entrada'!$B$32</f>
        <v>168</v>
      </c>
      <c r="E125" s="20">
        <f>'[27]Dados de entrada'!$B$27</f>
        <v>3.2689999999999997</v>
      </c>
      <c r="F125" s="21">
        <f>'[27]Dados de entrada'!$B$30</f>
        <v>25</v>
      </c>
      <c r="G125" s="56">
        <f>'[27]Dados de entrada'!$B$22</f>
        <v>33</v>
      </c>
      <c r="H125" s="57">
        <f>'[27]Dados de entrada'!$B$29/(2*'[27]Dados de entrada'!$B$20*G125)</f>
        <v>2.4242424242424242E-2</v>
      </c>
      <c r="I125" s="27">
        <f>'[27]fib Model Code 2010'!$K$6</f>
        <v>211.76759699968994</v>
      </c>
      <c r="J125" s="19">
        <f>'[27]Dados de entrada'!$C$8</f>
        <v>0.18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0">
        <f>'[27]fib Model Code 2010'!$L$6</f>
        <v>0.13409248123173162</v>
      </c>
      <c r="AE125" s="20">
        <f t="shared" si="145"/>
        <v>0.74495822906517573</v>
      </c>
      <c r="AF125" s="54">
        <f t="shared" si="126"/>
        <v>-0.29442713054335895</v>
      </c>
      <c r="AG125" s="20">
        <f>'[27]fib Model Code 2020'!$L$6</f>
        <v>9.9274752045339976E-2</v>
      </c>
      <c r="AH125" s="20">
        <f t="shared" si="146"/>
        <v>0.55152640025188882</v>
      </c>
      <c r="AI125" s="28">
        <f t="shared" si="127"/>
        <v>-0.59506557153061035</v>
      </c>
      <c r="AJ125" s="20">
        <f>'[27]Eurocode 2'!$L$6</f>
        <v>0.14310195367254047</v>
      </c>
      <c r="AK125" s="20">
        <f t="shared" si="155"/>
        <v>0.79501085373633595</v>
      </c>
      <c r="AL125" s="20">
        <f t="shared" si="128"/>
        <v>-0.22939951192246388</v>
      </c>
      <c r="AM125" s="20">
        <f>'[27]NBR 6118'!$Q$6</f>
        <v>0.2642822803837333</v>
      </c>
      <c r="AN125" s="20">
        <f>'[27]NBR 6118'!$R$6</f>
        <v>0.12447642459592426</v>
      </c>
      <c r="AO125" s="20">
        <f>'[27]NBR 6118'!$W$6</f>
        <v>0.69153569219957922</v>
      </c>
      <c r="AP125" s="20">
        <f t="shared" si="129"/>
        <v>-0.36884051359175157</v>
      </c>
      <c r="AQ125" s="20">
        <f>'[27]Clark (1956)'!$L$6</f>
        <v>0.14579520985226643</v>
      </c>
      <c r="AR125" s="20">
        <f t="shared" si="156"/>
        <v>0.80997338806814689</v>
      </c>
      <c r="AS125" s="20">
        <f t="shared" si="130"/>
        <v>-0.21075388609222054</v>
      </c>
      <c r="AT125" s="20">
        <f>'[27]Leonhardt (1977)'!$L$6</f>
        <v>0.10853508175017515</v>
      </c>
      <c r="AU125" s="20">
        <f t="shared" si="157"/>
        <v>0.60297267638986196</v>
      </c>
      <c r="AV125" s="20">
        <f t="shared" si="131"/>
        <v>-0.50588339606790544</v>
      </c>
      <c r="AW125" s="20">
        <f>'[27]Desayi; Ganesan (1985)'!$L$6</f>
        <v>0.21268829038166062</v>
      </c>
      <c r="AX125" s="20">
        <f t="shared" si="158"/>
        <v>1.181601613231448</v>
      </c>
      <c r="AY125" s="20">
        <f t="shared" si="132"/>
        <v>0.1668708175281497</v>
      </c>
      <c r="AZ125" s="20">
        <f>'[27]Oh; Kang (1987)'!$L$6</f>
        <v>0.14641282095142341</v>
      </c>
      <c r="BA125" s="20">
        <f t="shared" si="159"/>
        <v>0.81340456084124124</v>
      </c>
      <c r="BB125" s="20">
        <f t="shared" si="133"/>
        <v>-0.20652667839264374</v>
      </c>
      <c r="BC125" s="20">
        <f>'[27]Caldas (1997)'!$L$6</f>
        <v>0.13474689552984886</v>
      </c>
      <c r="BD125" s="20">
        <f t="shared" si="160"/>
        <v>0.74859386405471595</v>
      </c>
      <c r="BE125" s="20">
        <f t="shared" si="134"/>
        <v>-0.2895586801060257</v>
      </c>
      <c r="BF125" s="20">
        <v>0.17296156171576588</v>
      </c>
      <c r="BG125" s="20">
        <f t="shared" si="139"/>
        <v>0.96089756508758828</v>
      </c>
      <c r="BH125" s="20">
        <f t="shared" si="140"/>
        <v>-3.9887467693603997E-2</v>
      </c>
      <c r="BI125" s="20">
        <v>0.1106344620337962</v>
      </c>
      <c r="BJ125" s="20">
        <f t="shared" si="165"/>
        <v>0.61463590018775671</v>
      </c>
      <c r="BK125" s="20">
        <f t="shared" si="166"/>
        <v>-0.486725218710921</v>
      </c>
      <c r="BL125" s="20">
        <v>0.14799982537652959</v>
      </c>
      <c r="BM125" s="20">
        <f t="shared" si="141"/>
        <v>0.82222125209183106</v>
      </c>
      <c r="BN125" s="20">
        <f t="shared" si="142"/>
        <v>-0.19574575701510497</v>
      </c>
      <c r="BS125" t="b">
        <f t="shared" si="111"/>
        <v>0</v>
      </c>
      <c r="BU125" t="b">
        <f t="shared" si="112"/>
        <v>1</v>
      </c>
      <c r="BW125" t="b">
        <f t="shared" si="113"/>
        <v>1</v>
      </c>
    </row>
    <row r="126" spans="1:75">
      <c r="A126" s="90"/>
      <c r="B126" s="21">
        <f>'[27]Dados de entrada'!$B$28</f>
        <v>16</v>
      </c>
      <c r="C126" s="21">
        <f>'[27]Dados de entrada'!$B$31</f>
        <v>2</v>
      </c>
      <c r="D126" s="21">
        <f>'[27]Dados de entrada'!$B$32</f>
        <v>168</v>
      </c>
      <c r="E126" s="20">
        <f>'[27]Dados de entrada'!$B$27</f>
        <v>3.2689999999999997</v>
      </c>
      <c r="F126" s="21">
        <f>'[27]Dados de entrada'!$B$30</f>
        <v>25</v>
      </c>
      <c r="G126" s="56">
        <f>'[27]Dados de entrada'!$B$22</f>
        <v>33</v>
      </c>
      <c r="H126" s="57">
        <f>'[27]Dados de entrada'!$B$29/(2*'[27]Dados de entrada'!$B$20*G126)</f>
        <v>2.4242424242424242E-2</v>
      </c>
      <c r="I126" s="27">
        <f>'[27]fib Model Code 2010'!$K$7</f>
        <v>238.26122952921412</v>
      </c>
      <c r="J126" s="19">
        <f>'[27]Dados de entrada'!$C$9</f>
        <v>0.18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0">
        <f>'[27]fib Model Code 2010'!$L$7</f>
        <v>0.1710731766375258</v>
      </c>
      <c r="AE126" s="20">
        <f t="shared" si="145"/>
        <v>0.95040653687514343</v>
      </c>
      <c r="AF126" s="54">
        <f t="shared" si="126"/>
        <v>-5.0865452372217082E-2</v>
      </c>
      <c r="AG126" s="20">
        <f>'[27]fib Model Code 2020'!$L$7</f>
        <v>0.11617858999591686</v>
      </c>
      <c r="AH126" s="20">
        <f t="shared" si="146"/>
        <v>0.64543661108842698</v>
      </c>
      <c r="AI126" s="28">
        <f t="shared" si="127"/>
        <v>-0.43782827477477715</v>
      </c>
      <c r="AJ126" s="20">
        <f>'[27]Eurocode 2'!$L$7</f>
        <v>0.16100502585436646</v>
      </c>
      <c r="AK126" s="20">
        <f t="shared" si="155"/>
        <v>0.89447236585759149</v>
      </c>
      <c r="AL126" s="20">
        <f t="shared" si="128"/>
        <v>-0.11152126990622352</v>
      </c>
      <c r="AM126" s="20">
        <f>'[27]NBR 6118'!$Q$7</f>
        <v>0.29734587330234952</v>
      </c>
      <c r="AN126" s="20">
        <f>'[27]NBR 6118'!$R$7</f>
        <v>0.15757047544565744</v>
      </c>
      <c r="AO126" s="20">
        <f>'[27]NBR 6118'!$W$7</f>
        <v>0.87539153025365246</v>
      </c>
      <c r="AP126" s="20">
        <f t="shared" si="129"/>
        <v>-0.13308402955927107</v>
      </c>
      <c r="AQ126" s="20">
        <f>'[27]Clark (1956)'!$L$7</f>
        <v>0.17429705972752854</v>
      </c>
      <c r="AR126" s="20">
        <f t="shared" si="156"/>
        <v>0.96831699848626973</v>
      </c>
      <c r="AS126" s="20">
        <f t="shared" si="130"/>
        <v>-3.2195767539631034E-2</v>
      </c>
      <c r="AT126" s="20">
        <f>'[27]Leonhardt (1977)'!$L$7</f>
        <v>0.21393535237281311</v>
      </c>
      <c r="AU126" s="20">
        <f t="shared" si="157"/>
        <v>1.1885297354045172</v>
      </c>
      <c r="AV126" s="20">
        <f t="shared" si="131"/>
        <v>0.17271702677692044</v>
      </c>
      <c r="AW126" s="20">
        <f>'[27]Desayi; Ganesan (1985)'!$L$7</f>
        <v>0.23929710820147421</v>
      </c>
      <c r="AX126" s="20">
        <f t="shared" si="158"/>
        <v>1.3294283788970789</v>
      </c>
      <c r="AY126" s="20">
        <f t="shared" si="132"/>
        <v>0.28474905954438984</v>
      </c>
      <c r="AZ126" s="20">
        <f>'[27]Oh; Kang (1987)'!$L$7</f>
        <v>0.16899570354193333</v>
      </c>
      <c r="BA126" s="20">
        <f t="shared" si="159"/>
        <v>0.93886501967740743</v>
      </c>
      <c r="BB126" s="20">
        <f t="shared" si="133"/>
        <v>-6.3083559119099311E-2</v>
      </c>
      <c r="BC126" s="20">
        <f>'[27]Caldas (1997)'!$L$7</f>
        <v>0.1542959678316207</v>
      </c>
      <c r="BD126" s="20">
        <f t="shared" si="160"/>
        <v>0.85719982128678163</v>
      </c>
      <c r="BE126" s="20">
        <f t="shared" si="134"/>
        <v>-0.1540842238675926</v>
      </c>
      <c r="BF126" s="20">
        <v>0.19460028323290537</v>
      </c>
      <c r="BG126" s="20">
        <f t="shared" si="139"/>
        <v>1.0811126846272521</v>
      </c>
      <c r="BH126" s="20">
        <f t="shared" si="140"/>
        <v>7.7990774322636014E-2</v>
      </c>
      <c r="BI126" s="20">
        <v>0.14377344806676662</v>
      </c>
      <c r="BJ126" s="20">
        <f t="shared" si="165"/>
        <v>0.7987413781487035</v>
      </c>
      <c r="BK126" s="20">
        <f t="shared" si="166"/>
        <v>-0.22471806752867698</v>
      </c>
      <c r="BL126" s="20">
        <v>0.17355831696087226</v>
      </c>
      <c r="BM126" s="20">
        <f t="shared" si="141"/>
        <v>0.96421287200484596</v>
      </c>
      <c r="BN126" s="20">
        <f t="shared" si="142"/>
        <v>-3.6443187167297865E-2</v>
      </c>
      <c r="BS126" t="b">
        <f t="shared" si="111"/>
        <v>0</v>
      </c>
      <c r="BU126" t="b">
        <f t="shared" si="112"/>
        <v>1</v>
      </c>
      <c r="BW126" t="b">
        <f t="shared" si="113"/>
        <v>1</v>
      </c>
    </row>
    <row r="127" spans="1:75">
      <c r="A127" s="90"/>
      <c r="B127" s="21">
        <f>'[27]Dados de entrada'!$B$28</f>
        <v>16</v>
      </c>
      <c r="C127" s="21">
        <f>'[27]Dados de entrada'!$B$31</f>
        <v>2</v>
      </c>
      <c r="D127" s="21">
        <f>'[27]Dados de entrada'!$B$32</f>
        <v>168</v>
      </c>
      <c r="E127" s="20">
        <f>'[27]Dados de entrada'!$B$27</f>
        <v>3.2689999999999997</v>
      </c>
      <c r="F127" s="21">
        <f>'[27]Dados de entrada'!$B$30</f>
        <v>25</v>
      </c>
      <c r="G127" s="56">
        <f>'[27]Dados de entrada'!$B$22</f>
        <v>33</v>
      </c>
      <c r="H127" s="57">
        <f>'[27]Dados de entrada'!$B$29/(2*'[27]Dados de entrada'!$B$20*G127)</f>
        <v>2.4242424242424242E-2</v>
      </c>
      <c r="I127" s="27">
        <f>'[27]fib Model Code 2010'!$K$8</f>
        <v>264.70949624961241</v>
      </c>
      <c r="J127" s="19">
        <f>'[27]Dados de entrada'!$C$10</f>
        <v>0.25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0">
        <f>'[27]fib Model Code 2010'!$L$8</f>
        <v>0.20799054893474836</v>
      </c>
      <c r="AE127" s="20">
        <f t="shared" si="145"/>
        <v>0.83196219573899344</v>
      </c>
      <c r="AF127" s="54">
        <f t="shared" si="126"/>
        <v>-0.183968277006967</v>
      </c>
      <c r="AG127" s="20">
        <f>'[27]fib Model Code 2020'!$L$8</f>
        <v>0.14717536615403232</v>
      </c>
      <c r="AH127" s="20">
        <f t="shared" si="146"/>
        <v>0.58870146461612927</v>
      </c>
      <c r="AI127" s="28">
        <f t="shared" si="127"/>
        <v>-0.52983607506902319</v>
      </c>
      <c r="AJ127" s="20">
        <f>'[27]Eurocode 2'!$L$8</f>
        <v>0.1788774420906756</v>
      </c>
      <c r="AK127" s="20">
        <f t="shared" si="155"/>
        <v>0.71550976836270241</v>
      </c>
      <c r="AL127" s="20">
        <f t="shared" si="128"/>
        <v>-0.33476002758029011</v>
      </c>
      <c r="AM127" s="20">
        <f>'[27]NBR 6118'!$Q$8</f>
        <v>0.33035285047966667</v>
      </c>
      <c r="AN127" s="20">
        <f>'[27]NBR 6118'!$R$8</f>
        <v>0.19449441343113166</v>
      </c>
      <c r="AO127" s="20">
        <f>'[27]NBR 6118'!$W$8</f>
        <v>0.77797765372452665</v>
      </c>
      <c r="AP127" s="20">
        <f t="shared" si="129"/>
        <v>-0.25105747793536803</v>
      </c>
      <c r="AQ127" s="20">
        <f>'[27]Clark (1956)'!$L$8</f>
        <v>0.20275010506533303</v>
      </c>
      <c r="AR127" s="20">
        <f t="shared" si="156"/>
        <v>0.81100042026133212</v>
      </c>
      <c r="AS127" s="20">
        <f t="shared" si="130"/>
        <v>-0.20948670666546243</v>
      </c>
      <c r="AT127" s="20">
        <f>'[27]Leonhardt (1977)'!$L$8</f>
        <v>0.3105283279517595</v>
      </c>
      <c r="AU127" s="20">
        <f t="shared" si="157"/>
        <v>1.242113311807038</v>
      </c>
      <c r="AV127" s="20">
        <f t="shared" si="131"/>
        <v>0.21681421268877904</v>
      </c>
      <c r="AW127" s="20">
        <f>'[27]Desayi; Ganesan (1985)'!$L$8</f>
        <v>0.26586036297707577</v>
      </c>
      <c r="AX127" s="20">
        <f t="shared" si="158"/>
        <v>1.0634414519083031</v>
      </c>
      <c r="AY127" s="20">
        <f t="shared" si="132"/>
        <v>6.1510301870323317E-2</v>
      </c>
      <c r="AZ127" s="20">
        <f>'[27]Oh; Kang (1987)'!$L$8</f>
        <v>0.19153991681293903</v>
      </c>
      <c r="BA127" s="20">
        <f t="shared" si="159"/>
        <v>0.7661596672517561</v>
      </c>
      <c r="BB127" s="20">
        <f t="shared" si="133"/>
        <v>-0.26636468807533598</v>
      </c>
      <c r="BC127" s="20">
        <f>'[27]Caldas (1997)'!$L$8</f>
        <v>0.17381156569451961</v>
      </c>
      <c r="BD127" s="20">
        <f t="shared" si="160"/>
        <v>0.69524626277807844</v>
      </c>
      <c r="BE127" s="20">
        <f t="shared" si="134"/>
        <v>-0.36348916124665481</v>
      </c>
      <c r="BF127" s="20">
        <v>0.21620195214470733</v>
      </c>
      <c r="BG127" s="20">
        <f t="shared" si="139"/>
        <v>0.86480780857882933</v>
      </c>
      <c r="BH127" s="20">
        <f t="shared" si="140"/>
        <v>-0.14524798335143044</v>
      </c>
      <c r="BI127" s="20">
        <v>0.18990028944419676</v>
      </c>
      <c r="BJ127" s="20">
        <f t="shared" si="165"/>
        <v>0.75960115777678705</v>
      </c>
      <c r="BK127" s="20">
        <f t="shared" si="166"/>
        <v>-0.27496177585245185</v>
      </c>
      <c r="BL127" s="20">
        <v>0.21376252174526569</v>
      </c>
      <c r="BM127" s="20">
        <f t="shared" si="141"/>
        <v>0.85505008698106277</v>
      </c>
      <c r="BN127" s="20">
        <f t="shared" si="142"/>
        <v>-0.15659523049679119</v>
      </c>
      <c r="BS127" t="b">
        <f t="shared" si="111"/>
        <v>0</v>
      </c>
      <c r="BU127" t="b">
        <f t="shared" si="112"/>
        <v>1</v>
      </c>
      <c r="BW127" t="b">
        <f t="shared" si="113"/>
        <v>1</v>
      </c>
    </row>
    <row r="128" spans="1:75">
      <c r="A128" s="90"/>
      <c r="B128" s="21">
        <f>'[27]Dados de entrada'!$B$28</f>
        <v>16</v>
      </c>
      <c r="C128" s="21">
        <f>'[27]Dados de entrada'!$B$31</f>
        <v>2</v>
      </c>
      <c r="D128" s="21">
        <f>'[27]Dados de entrada'!$B$32</f>
        <v>168</v>
      </c>
      <c r="E128" s="20">
        <f>'[27]Dados de entrada'!$B$27</f>
        <v>3.2689999999999997</v>
      </c>
      <c r="F128" s="21">
        <f>'[27]Dados de entrada'!$B$30</f>
        <v>25</v>
      </c>
      <c r="G128" s="56">
        <f>'[27]Dados de entrada'!$B$22</f>
        <v>33</v>
      </c>
      <c r="H128" s="57">
        <f>'[27]Dados de entrada'!$B$29/(2*'[27]Dados de entrada'!$B$20*G128)</f>
        <v>2.4242424242424242E-2</v>
      </c>
      <c r="I128" s="27">
        <f>'[27]fib Model Code 2010'!$K$9</f>
        <v>291.15776297001071</v>
      </c>
      <c r="J128" s="19">
        <f>'[27]Dados de entrada'!$C$11</f>
        <v>0.28000000000000003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0">
        <f>'[27]fib Model Code 2010'!$L$9</f>
        <v>0.24490792123197097</v>
      </c>
      <c r="AE128" s="20">
        <f t="shared" si="145"/>
        <v>0.87467114725703909</v>
      </c>
      <c r="AF128" s="54">
        <f t="shared" si="126"/>
        <v>-0.1339072949731997</v>
      </c>
      <c r="AG128" s="20">
        <f>'[27]fib Model Code 2020'!$L$9</f>
        <v>0.17817214231214781</v>
      </c>
      <c r="AH128" s="20">
        <f t="shared" si="146"/>
        <v>0.63632907968624208</v>
      </c>
      <c r="AI128" s="28">
        <f t="shared" si="127"/>
        <v>-0.45203942856772855</v>
      </c>
      <c r="AJ128" s="20">
        <f>'[27]Eurocode 2'!$L$9</f>
        <v>0.19760779435522915</v>
      </c>
      <c r="AK128" s="20">
        <f t="shared" si="155"/>
        <v>0.7057421226972469</v>
      </c>
      <c r="AL128" s="20">
        <f t="shared" si="128"/>
        <v>-0.34850537351586403</v>
      </c>
      <c r="AM128" s="20">
        <f>'[27]NBR 6118'!$Q$9</f>
        <v>0.36335982765698382</v>
      </c>
      <c r="AN128" s="20">
        <f>'[27]NBR 6118'!$R$9</f>
        <v>0.23530157606629135</v>
      </c>
      <c r="AO128" s="20">
        <f>'[27]NBR 6118'!$W$9</f>
        <v>0.84036277166532614</v>
      </c>
      <c r="AP128" s="20">
        <f t="shared" si="129"/>
        <v>-0.17392160934407982</v>
      </c>
      <c r="AQ128" s="20">
        <f>'[27]Clark (1956)'!$L$9</f>
        <v>0.23120315040313752</v>
      </c>
      <c r="AR128" s="20">
        <f t="shared" si="156"/>
        <v>0.82572553715406249</v>
      </c>
      <c r="AS128" s="20">
        <f t="shared" si="130"/>
        <v>-0.1914928401527162</v>
      </c>
      <c r="AT128" s="20">
        <f>'[27]Leonhardt (1977)'!$L$9</f>
        <v>0.40085214401713148</v>
      </c>
      <c r="AU128" s="20">
        <f t="shared" si="157"/>
        <v>1.4316148000611837</v>
      </c>
      <c r="AV128" s="20">
        <f t="shared" si="131"/>
        <v>0.35880303798229707</v>
      </c>
      <c r="AW128" s="20">
        <f>'[27]Desayi; Ganesan (1985)'!$L$9</f>
        <v>0.29242361775267733</v>
      </c>
      <c r="AX128" s="20">
        <f t="shared" si="158"/>
        <v>1.0443700634024189</v>
      </c>
      <c r="AY128" s="20">
        <f t="shared" si="132"/>
        <v>4.341389351246578E-2</v>
      </c>
      <c r="AZ128" s="20">
        <f>'[27]Oh; Kang (1987)'!$L$9</f>
        <v>0.2140841300839447</v>
      </c>
      <c r="BA128" s="20">
        <f t="shared" si="159"/>
        <v>0.76458617887123104</v>
      </c>
      <c r="BB128" s="20">
        <f t="shared" si="133"/>
        <v>-0.2684205341698479</v>
      </c>
      <c r="BC128" s="20">
        <f>'[27]Caldas (1997)'!$L$9</f>
        <v>0.19332716355741852</v>
      </c>
      <c r="BD128" s="20">
        <f t="shared" si="160"/>
        <v>0.6904541555622089</v>
      </c>
      <c r="BE128" s="20">
        <f t="shared" si="134"/>
        <v>-0.3704057014401555</v>
      </c>
      <c r="BF128" s="20">
        <v>0.23780362105650929</v>
      </c>
      <c r="BG128" s="20">
        <f t="shared" si="139"/>
        <v>0.84929864663039023</v>
      </c>
      <c r="BH128" s="20">
        <f t="shared" si="140"/>
        <v>-0.16334439170928786</v>
      </c>
      <c r="BI128" s="20">
        <v>0.23602713082162688</v>
      </c>
      <c r="BJ128" s="20">
        <f t="shared" si="165"/>
        <v>0.84295403864866736</v>
      </c>
      <c r="BK128" s="20">
        <f t="shared" si="166"/>
        <v>-0.17084284364257299</v>
      </c>
      <c r="BL128" s="20">
        <v>0.25453383476385971</v>
      </c>
      <c r="BM128" s="20">
        <f t="shared" si="141"/>
        <v>0.90904940987092742</v>
      </c>
      <c r="BN128" s="20">
        <f t="shared" si="142"/>
        <v>-9.5355829988258492E-2</v>
      </c>
      <c r="BS128" t="b">
        <f t="shared" si="111"/>
        <v>0</v>
      </c>
      <c r="BU128" t="b">
        <f t="shared" si="112"/>
        <v>1</v>
      </c>
      <c r="BW128" t="b">
        <f t="shared" si="113"/>
        <v>1</v>
      </c>
    </row>
    <row r="129" spans="1:75">
      <c r="A129" s="90"/>
      <c r="B129" s="21">
        <f>'[27]Dados de entrada'!$B$28</f>
        <v>16</v>
      </c>
      <c r="C129" s="21">
        <f>'[27]Dados de entrada'!$B$31</f>
        <v>2</v>
      </c>
      <c r="D129" s="21">
        <f>'[27]Dados de entrada'!$B$32</f>
        <v>168</v>
      </c>
      <c r="E129" s="20">
        <f>'[27]Dados de entrada'!$B$27</f>
        <v>3.2689999999999997</v>
      </c>
      <c r="F129" s="21">
        <f>'[27]Dados de entrada'!$B$30</f>
        <v>25</v>
      </c>
      <c r="G129" s="56">
        <f>'[27]Dados de entrada'!$B$22</f>
        <v>33</v>
      </c>
      <c r="H129" s="57">
        <f>'[27]Dados de entrada'!$B$29/(2*'[27]Dados de entrada'!$B$20*G129)</f>
        <v>2.4242424242424242E-2</v>
      </c>
      <c r="I129" s="27">
        <f>'[27]fib Model Code 2010'!$K$10</f>
        <v>317.65139549953489</v>
      </c>
      <c r="J129" s="19">
        <f>'[27]Dados de entrada'!$C$12</f>
        <v>0.33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0">
        <f>'[27]fib Model Code 2010'!$L$10</f>
        <v>0.28188861663776515</v>
      </c>
      <c r="AE129" s="20">
        <f t="shared" si="145"/>
        <v>0.85420792920534894</v>
      </c>
      <c r="AF129" s="54">
        <f t="shared" si="126"/>
        <v>-0.15758063800798644</v>
      </c>
      <c r="AG129" s="20">
        <f>'[27]fib Model Code 2020'!$L$10</f>
        <v>0.20922208618236979</v>
      </c>
      <c r="AH129" s="20">
        <f t="shared" si="146"/>
        <v>0.63400632176475691</v>
      </c>
      <c r="AI129" s="28">
        <f t="shared" si="127"/>
        <v>-0.45569635335683667</v>
      </c>
      <c r="AJ129" s="20">
        <f>'[27]Eurocode 2'!$L$10</f>
        <v>0.22744624799160579</v>
      </c>
      <c r="AK129" s="20">
        <f t="shared" si="155"/>
        <v>0.68923105452001754</v>
      </c>
      <c r="AL129" s="20">
        <f t="shared" si="128"/>
        <v>-0.37217871655065071</v>
      </c>
      <c r="AM129" s="20">
        <f>'[27]NBR 6118'!$Q$10</f>
        <v>0.39642342057560004</v>
      </c>
      <c r="AN129" s="20">
        <f>'[27]NBR 6118'!$R$10</f>
        <v>0.28007195534082957</v>
      </c>
      <c r="AO129" s="20">
        <f>'[27]NBR 6118'!$W$10</f>
        <v>0.84870289497221074</v>
      </c>
      <c r="AP129" s="20">
        <f t="shared" si="129"/>
        <v>-0.16404610094573846</v>
      </c>
      <c r="AQ129" s="20">
        <f>'[27]Clark (1956)'!$L$10</f>
        <v>0.25970500027839966</v>
      </c>
      <c r="AR129" s="20">
        <f t="shared" si="156"/>
        <v>0.78698484932848378</v>
      </c>
      <c r="AS129" s="20">
        <f t="shared" si="130"/>
        <v>-0.23954628192096275</v>
      </c>
      <c r="AT129" s="20">
        <f>'[27]Leonhardt (1977)'!$L$10</f>
        <v>0.48661646663274533</v>
      </c>
      <c r="AU129" s="20">
        <f t="shared" si="157"/>
        <v>1.4745953534325615</v>
      </c>
      <c r="AV129" s="20">
        <f t="shared" si="131"/>
        <v>0.38838361549870865</v>
      </c>
      <c r="AW129" s="20">
        <f>'[27]Desayi; Ganesan (1985)'!$L$10</f>
        <v>0.31903243557249095</v>
      </c>
      <c r="AX129" s="20">
        <f t="shared" si="158"/>
        <v>0.96676495628027559</v>
      </c>
      <c r="AY129" s="20">
        <f t="shared" si="132"/>
        <v>-3.3799877934001479E-2</v>
      </c>
      <c r="AZ129" s="20">
        <f>'[27]Oh; Kang (1987)'!$L$10</f>
        <v>0.23666701267445472</v>
      </c>
      <c r="BA129" s="20">
        <f t="shared" si="159"/>
        <v>0.71717276568016575</v>
      </c>
      <c r="BB129" s="20">
        <f t="shared" si="133"/>
        <v>-0.33243851108960509</v>
      </c>
      <c r="BC129" s="20">
        <f>'[27]Caldas (1997)'!$L$10</f>
        <v>0.21287623585919035</v>
      </c>
      <c r="BD129" s="20">
        <f t="shared" si="160"/>
        <v>0.64507950260360714</v>
      </c>
      <c r="BE129" s="20">
        <f t="shared" si="134"/>
        <v>-0.43838170993168207</v>
      </c>
      <c r="BF129" s="20">
        <v>0.25944234257364879</v>
      </c>
      <c r="BG129" s="20">
        <f t="shared" si="139"/>
        <v>0.78618891688984482</v>
      </c>
      <c r="BH129" s="20">
        <f t="shared" si="140"/>
        <v>-0.24055816315575532</v>
      </c>
      <c r="BI129" s="20">
        <v>0.28223309199558777</v>
      </c>
      <c r="BJ129" s="20">
        <f t="shared" si="165"/>
        <v>0.85525179392602346</v>
      </c>
      <c r="BK129" s="20">
        <f t="shared" si="166"/>
        <v>-0.15635935758084854</v>
      </c>
      <c r="BL129" s="20">
        <v>0.29594364960454544</v>
      </c>
      <c r="BM129" s="20">
        <f t="shared" si="141"/>
        <v>0.8967989381955922</v>
      </c>
      <c r="BN129" s="20">
        <f t="shared" si="142"/>
        <v>-0.108923591217314</v>
      </c>
      <c r="BS129" t="b">
        <f t="shared" si="111"/>
        <v>0</v>
      </c>
      <c r="BU129" t="b">
        <f t="shared" si="112"/>
        <v>1</v>
      </c>
      <c r="BW129" t="b">
        <f t="shared" si="113"/>
        <v>1</v>
      </c>
    </row>
    <row r="130" spans="1:75">
      <c r="A130" s="90"/>
      <c r="B130" s="21">
        <f>'[27]Dados de entrada'!$B$28</f>
        <v>16</v>
      </c>
      <c r="C130" s="21">
        <f>'[27]Dados de entrada'!$B$31</f>
        <v>2</v>
      </c>
      <c r="D130" s="21">
        <f>'[27]Dados de entrada'!$B$32</f>
        <v>168</v>
      </c>
      <c r="E130" s="20">
        <f>'[27]Dados de entrada'!$B$27</f>
        <v>3.2689999999999997</v>
      </c>
      <c r="F130" s="21">
        <f>'[27]Dados de entrada'!$B$30</f>
        <v>25</v>
      </c>
      <c r="G130" s="56">
        <f>'[27]Dados de entrada'!$B$22</f>
        <v>33</v>
      </c>
      <c r="H130" s="57">
        <f>'[27]Dados de entrada'!$B$29/(2*'[27]Dados de entrada'!$B$20*G130)</f>
        <v>2.4242424242424242E-2</v>
      </c>
      <c r="I130" s="27">
        <f>'[27]fib Model Code 2010'!$K$11</f>
        <v>344.14502802905906</v>
      </c>
      <c r="J130" s="19">
        <f>'[27]Dados de entrada'!$C$13</f>
        <v>0.38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0">
        <f>'[27]fib Model Code 2010'!$L$11</f>
        <v>0.31886931204355928</v>
      </c>
      <c r="AE130" s="20">
        <f t="shared" si="145"/>
        <v>0.83912976853568233</v>
      </c>
      <c r="AF130" s="54">
        <f t="shared" si="126"/>
        <v>-0.17538991399164608</v>
      </c>
      <c r="AG130" s="20">
        <f>'[27]fib Model Code 2020'!$L$11</f>
        <v>0.24027203005259176</v>
      </c>
      <c r="AH130" s="20">
        <f t="shared" si="146"/>
        <v>0.63229481592787307</v>
      </c>
      <c r="AI130" s="28">
        <f t="shared" si="127"/>
        <v>-0.4583995127051364</v>
      </c>
      <c r="AJ130" s="20">
        <f>'[27]Eurocode 2'!$L$11</f>
        <v>0.25728470162798234</v>
      </c>
      <c r="AK130" s="20">
        <f t="shared" si="155"/>
        <v>0.67706500428416405</v>
      </c>
      <c r="AL130" s="20">
        <f t="shared" si="128"/>
        <v>-0.38998799253431049</v>
      </c>
      <c r="AM130" s="20">
        <f>'[27]NBR 6118'!$Q$11</f>
        <v>0.42948701349421625</v>
      </c>
      <c r="AN130" s="20">
        <f>'[27]NBR 6118'!$R$11</f>
        <v>0.32873889221541713</v>
      </c>
      <c r="AO130" s="20">
        <f>'[27]NBR 6118'!$W$11</f>
        <v>0.86510234793530827</v>
      </c>
      <c r="AP130" s="20">
        <f t="shared" si="129"/>
        <v>-0.144907457737177</v>
      </c>
      <c r="AQ130" s="20">
        <f>'[27]Clark (1956)'!$L$11</f>
        <v>0.28820685015366176</v>
      </c>
      <c r="AR130" s="20">
        <f t="shared" si="156"/>
        <v>0.75843907935174149</v>
      </c>
      <c r="AS130" s="20">
        <f t="shared" si="130"/>
        <v>-0.27649280068778814</v>
      </c>
      <c r="AT130" s="20">
        <f>'[27]Leonhardt (1977)'!$L$11</f>
        <v>0.5687514418715035</v>
      </c>
      <c r="AU130" s="20">
        <f t="shared" si="157"/>
        <v>1.4967143207144828</v>
      </c>
      <c r="AV130" s="20">
        <f t="shared" si="131"/>
        <v>0.40327225270020267</v>
      </c>
      <c r="AW130" s="20">
        <f>'[27]Desayi; Ganesan (1985)'!$L$11</f>
        <v>0.34564125339230445</v>
      </c>
      <c r="AX130" s="20">
        <f t="shared" si="158"/>
        <v>0.9095822457692222</v>
      </c>
      <c r="AY130" s="20">
        <f t="shared" si="132"/>
        <v>-9.4769855459674021E-2</v>
      </c>
      <c r="AZ130" s="20">
        <f>'[27]Oh; Kang (1987)'!$L$11</f>
        <v>0.25924989526496467</v>
      </c>
      <c r="BA130" s="20">
        <f t="shared" si="159"/>
        <v>0.68223656648674913</v>
      </c>
      <c r="BB130" s="20">
        <f t="shared" si="133"/>
        <v>-0.38237880960329806</v>
      </c>
      <c r="BC130" s="20">
        <f>'[27]Caldas (1997)'!$L$11</f>
        <v>0.23242530816096219</v>
      </c>
      <c r="BD130" s="20">
        <f t="shared" si="160"/>
        <v>0.61164554779200575</v>
      </c>
      <c r="BE130" s="20">
        <f t="shared" si="134"/>
        <v>-0.49160233452820157</v>
      </c>
      <c r="BF130" s="20">
        <v>0.28108106409078831</v>
      </c>
      <c r="BG130" s="20">
        <f t="shared" si="139"/>
        <v>0.73968701076523236</v>
      </c>
      <c r="BH130" s="20">
        <f t="shared" si="140"/>
        <v>-0.30152814068142764</v>
      </c>
      <c r="BI130" s="20">
        <v>0.32843905316954863</v>
      </c>
      <c r="BJ130" s="20">
        <f t="shared" si="165"/>
        <v>0.86431329781460164</v>
      </c>
      <c r="BK130" s="20">
        <f t="shared" si="166"/>
        <v>-0.14581996269501865</v>
      </c>
      <c r="BL130" s="20">
        <v>0.33792251983073496</v>
      </c>
      <c r="BM130" s="20">
        <f t="shared" si="141"/>
        <v>0.88926978902824982</v>
      </c>
      <c r="BN130" s="20">
        <f t="shared" si="142"/>
        <v>-0.11735461478493106</v>
      </c>
      <c r="BS130" t="b">
        <f t="shared" si="111"/>
        <v>0</v>
      </c>
      <c r="BU130" t="b">
        <f t="shared" si="112"/>
        <v>1</v>
      </c>
      <c r="BW130" t="b">
        <f t="shared" si="113"/>
        <v>1</v>
      </c>
    </row>
    <row r="131" spans="1:75">
      <c r="A131" s="86"/>
      <c r="B131" s="21">
        <f>'[27]Dados de entrada'!$B$28</f>
        <v>16</v>
      </c>
      <c r="C131" s="21">
        <f>'[27]Dados de entrada'!$B$31</f>
        <v>2</v>
      </c>
      <c r="D131" s="21">
        <f>'[27]Dados de entrada'!$B$32</f>
        <v>168</v>
      </c>
      <c r="E131" s="20">
        <f>'[27]Dados de entrada'!$B$27</f>
        <v>3.2689999999999997</v>
      </c>
      <c r="F131" s="21">
        <f>'[27]Dados de entrada'!$B$30</f>
        <v>25</v>
      </c>
      <c r="G131" s="56">
        <f>'[27]Dados de entrada'!$B$22</f>
        <v>33</v>
      </c>
      <c r="H131" s="57">
        <f>'[27]Dados de entrada'!$B$29/(2*'[27]Dados de entrada'!$B$20*G131)</f>
        <v>2.4242424242424242E-2</v>
      </c>
      <c r="I131" s="27">
        <f>'[27]fib Model Code 2010'!$K$12</f>
        <v>370.54792894033153</v>
      </c>
      <c r="J131" s="19">
        <f>'[27]Dados de entrada'!$C$14</f>
        <v>0.43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0">
        <f>'[27]fib Model Code 2010'!$L$12</f>
        <v>0.35572336123221043</v>
      </c>
      <c r="AE131" s="20">
        <f t="shared" si="145"/>
        <v>0.82726363077258247</v>
      </c>
      <c r="AF131" s="54">
        <f t="shared" si="126"/>
        <v>-0.18963185510542591</v>
      </c>
      <c r="AG131" s="20">
        <f>'[27]fib Model Code 2020'!$L$12</f>
        <v>0.27121563849860081</v>
      </c>
      <c r="AH131" s="20">
        <f t="shared" si="146"/>
        <v>0.63073404302000191</v>
      </c>
      <c r="AI131" s="28">
        <f t="shared" si="127"/>
        <v>-0.46087099020349026</v>
      </c>
      <c r="AJ131" s="20">
        <f>'[27]Eurocode 2'!$L$12</f>
        <v>0.28702096877930294</v>
      </c>
      <c r="AK131" s="20">
        <f t="shared" si="155"/>
        <v>0.66749062506814638</v>
      </c>
      <c r="AL131" s="20">
        <f t="shared" si="128"/>
        <v>-0.40422993364809046</v>
      </c>
      <c r="AM131" s="20">
        <f>'[27]NBR 6118'!$Q$12</f>
        <v>0.46243737493023435</v>
      </c>
      <c r="AN131" s="20">
        <f>'[27]NBR 6118'!$R$12</f>
        <v>0.38111572538496119</v>
      </c>
      <c r="AO131" s="20">
        <f>'[27]NBR 6118'!$W$12</f>
        <v>0.88631564043014233</v>
      </c>
      <c r="AP131" s="20">
        <f t="shared" si="129"/>
        <v>-0.12068213851303972</v>
      </c>
      <c r="AQ131" s="20">
        <f>'[27]Clark (1956)'!$L$12</f>
        <v>0.31661109095400869</v>
      </c>
      <c r="AR131" s="20">
        <f t="shared" si="156"/>
        <v>0.73630486268374118</v>
      </c>
      <c r="AS131" s="20">
        <f t="shared" si="130"/>
        <v>-0.30611103041395221</v>
      </c>
      <c r="AT131" s="20">
        <f>'[27]Leonhardt (1977)'!$L$12</f>
        <v>0.64776800862686934</v>
      </c>
      <c r="AU131" s="20">
        <f t="shared" si="157"/>
        <v>1.5064372293648125</v>
      </c>
      <c r="AV131" s="20">
        <f t="shared" si="131"/>
        <v>0.40974741218500527</v>
      </c>
      <c r="AW131" s="20">
        <f>'[27]Desayi; Ganesan (1985)'!$L$12</f>
        <v>0.37215894512369413</v>
      </c>
      <c r="AX131" s="20">
        <f t="shared" si="158"/>
        <v>0.86548591889231197</v>
      </c>
      <c r="AY131" s="20">
        <f t="shared" si="132"/>
        <v>-0.14446417383119303</v>
      </c>
      <c r="AZ131" s="20">
        <f>'[27]Oh; Kang (1987)'!$L$12</f>
        <v>0.28175543921646612</v>
      </c>
      <c r="BA131" s="20">
        <f t="shared" si="159"/>
        <v>0.6552452074801538</v>
      </c>
      <c r="BB131" s="20">
        <f t="shared" si="133"/>
        <v>-0.42274575083794619</v>
      </c>
      <c r="BC131" s="20">
        <f>'[27]Caldas (1997)'!$L$12</f>
        <v>0.25190743158498824</v>
      </c>
      <c r="BD131" s="20">
        <f t="shared" si="160"/>
        <v>0.58583123624415867</v>
      </c>
      <c r="BE131" s="20">
        <f t="shared" si="134"/>
        <v>-0.53472352364041076</v>
      </c>
      <c r="BF131" s="20">
        <v>0.3026456803972527</v>
      </c>
      <c r="BG131" s="20">
        <f t="shared" si="139"/>
        <v>0.70382716371454113</v>
      </c>
      <c r="BH131" s="20">
        <f t="shared" si="140"/>
        <v>-0.35122245905294702</v>
      </c>
      <c r="BI131" s="20">
        <v>0.37448677475044817</v>
      </c>
      <c r="BJ131" s="20">
        <f t="shared" si="165"/>
        <v>0.87089947616383301</v>
      </c>
      <c r="BK131" s="20">
        <f t="shared" si="166"/>
        <v>-0.13822872077193155</v>
      </c>
      <c r="BL131" s="20">
        <v>0.38032376229552944</v>
      </c>
      <c r="BM131" s="20">
        <f t="shared" si="141"/>
        <v>0.88447386580355691</v>
      </c>
      <c r="BN131" s="20">
        <f t="shared" si="142"/>
        <v>-0.12276231267742699</v>
      </c>
      <c r="BS131" t="b">
        <f t="shared" si="111"/>
        <v>0</v>
      </c>
      <c r="BU131" t="b">
        <f t="shared" si="112"/>
        <v>1</v>
      </c>
      <c r="BW131" t="b">
        <f t="shared" si="113"/>
        <v>1</v>
      </c>
    </row>
    <row r="132" spans="1:75">
      <c r="A132" s="87" t="s">
        <v>62</v>
      </c>
      <c r="B132" s="5">
        <f>'[28]Dados de entrada'!$B$28</f>
        <v>16</v>
      </c>
      <c r="C132" s="5">
        <f>'[28]Dados de entrada'!$B$31</f>
        <v>3</v>
      </c>
      <c r="D132" s="5">
        <f>'[28]Dados de entrada'!$B$32</f>
        <v>76</v>
      </c>
      <c r="E132" s="11">
        <f>'[28]Dados de entrada'!$B$27</f>
        <v>3.2689999999999997</v>
      </c>
      <c r="F132" s="5">
        <f>'[28]Dados de entrada'!$B$30</f>
        <v>25</v>
      </c>
      <c r="G132" s="12">
        <f>'[28]Dados de entrada'!$B$22</f>
        <v>33</v>
      </c>
      <c r="H132" s="52">
        <f>'[28]Dados de entrada'!$B$29/(2*'[28]Dados de entrada'!$B$20*G132)</f>
        <v>3.6363636363636362E-2</v>
      </c>
      <c r="I132" s="53">
        <f>'[28]fib Model Code 2010'!$K$5</f>
        <v>233.30469206437246</v>
      </c>
      <c r="J132" s="4">
        <f>'[28]Dados de entrada'!$C$7</f>
        <v>0.15</v>
      </c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11">
        <f>'[28]fib Model Code 2010'!$L$5</f>
        <v>0.1531062354497946</v>
      </c>
      <c r="AE132" s="11">
        <f t="shared" si="145"/>
        <v>1.0207082363319639</v>
      </c>
      <c r="AF132" s="29">
        <f t="shared" si="126"/>
        <v>2.0496735692264637E-2</v>
      </c>
      <c r="AG132" s="11">
        <f>'[28]fib Model Code 2020'!$L$5</f>
        <v>0.12226734357024087</v>
      </c>
      <c r="AH132" s="11">
        <f t="shared" si="146"/>
        <v>0.81511562380160585</v>
      </c>
      <c r="AI132" s="55">
        <f t="shared" si="127"/>
        <v>-0.20442530610860596</v>
      </c>
      <c r="AJ132" s="11">
        <f>'[28]Eurocode 2'!$L$5</f>
        <v>0.13497830291539226</v>
      </c>
      <c r="AK132" s="11">
        <f t="shared" si="155"/>
        <v>0.89985535276928175</v>
      </c>
      <c r="AL132" s="11">
        <f t="shared" si="128"/>
        <v>-0.10552124771977463</v>
      </c>
      <c r="AM132" s="11">
        <f>'[28]NBR 6118'!$Q$5</f>
        <v>0.19624775636841521</v>
      </c>
      <c r="AN132" s="11">
        <f>'[28]NBR 6118'!$R$5</f>
        <v>0.15248177687827655</v>
      </c>
      <c r="AO132" s="11">
        <f>'[28]NBR 6118'!$W$5</f>
        <v>1.0165451791885103</v>
      </c>
      <c r="AP132" s="11">
        <f t="shared" si="129"/>
        <v>1.6409798930855236E-2</v>
      </c>
      <c r="AQ132" s="11">
        <f>'[28]Clark (1956)'!$L$5</f>
        <v>0.13012496114856792</v>
      </c>
      <c r="AR132" s="11">
        <f t="shared" si="156"/>
        <v>0.86749974099045279</v>
      </c>
      <c r="AS132" s="11">
        <f t="shared" si="130"/>
        <v>-0.1421400657312506</v>
      </c>
      <c r="AT132" s="11">
        <f>'[28]Leonhardt (1977)'!$L$5</f>
        <v>0.25195164759958771</v>
      </c>
      <c r="AU132" s="11">
        <f t="shared" si="157"/>
        <v>1.6796776506639182</v>
      </c>
      <c r="AV132" s="11">
        <f t="shared" si="131"/>
        <v>0.51860190040006993</v>
      </c>
      <c r="AW132" s="11">
        <f>'[28]Desayi; Ganesan (1985)'!$L$5</f>
        <v>0.18003138663794294</v>
      </c>
      <c r="AX132" s="11">
        <f t="shared" si="158"/>
        <v>1.2002092442529531</v>
      </c>
      <c r="AY132" s="11">
        <f t="shared" si="132"/>
        <v>0.18249591180403063</v>
      </c>
      <c r="AZ132" s="11">
        <f>'[28]Oh; Kang (1987)'!$L$5</f>
        <v>0.12518000924236972</v>
      </c>
      <c r="BA132" s="11">
        <f t="shared" si="159"/>
        <v>0.83453339494913148</v>
      </c>
      <c r="BB132" s="11">
        <f t="shared" si="133"/>
        <v>-0.18088251876706429</v>
      </c>
      <c r="BC132" s="11">
        <f>'[28]Caldas (1997)'!$L$5</f>
        <v>0.15297784176427023</v>
      </c>
      <c r="BD132" s="11">
        <f t="shared" si="160"/>
        <v>1.0198522784284683</v>
      </c>
      <c r="BE132" s="11">
        <f t="shared" si="134"/>
        <v>1.9657791737887443E-2</v>
      </c>
      <c r="BF132" s="11" cm="1">
        <f t="array" ref="BF132:BF136">'[28]Gergely e Lutz (1968)'!$L$5:$L$9</f>
        <v>0.16782701616822179</v>
      </c>
      <c r="BG132" s="11">
        <f t="shared" si="139"/>
        <v>1.1188467744548121</v>
      </c>
      <c r="BH132" s="11">
        <f t="shared" si="140"/>
        <v>0.11229848917179661</v>
      </c>
      <c r="BI132" s="11" cm="1">
        <f t="array" ref="BI132:BI136">[28]Sugestão!$M$5:$M$9</f>
        <v>0.13797248193354791</v>
      </c>
      <c r="BJ132" s="11">
        <f t="shared" ref="BJ132:BJ136" si="167">BI132/J132</f>
        <v>0.91981654622365283</v>
      </c>
      <c r="BK132" s="11">
        <f t="shared" ref="BK132:BK136" si="168">LN(BJ132)</f>
        <v>-8.358103510176465E-2</v>
      </c>
      <c r="BL132" s="11" cm="1">
        <f t="array" ref="BL132:BL136">'[28]fib Model Code 2020 modificado'!$L$5:$L$9</f>
        <v>0.17798465041980599</v>
      </c>
      <c r="BM132" s="11">
        <f t="shared" si="141"/>
        <v>1.1865643361320399</v>
      </c>
      <c r="BN132" s="11">
        <f t="shared" si="142"/>
        <v>0.17106201888090347</v>
      </c>
      <c r="BS132" t="b">
        <f t="shared" ref="BS132:BS195" si="169">IF(AND(B132&lt;=12.7,F132&lt;=45),TRUE,FALSE)</f>
        <v>0</v>
      </c>
      <c r="BU132" t="b">
        <f t="shared" ref="BU132:BU195" si="170">IF(AND(B132&gt;12.7,F132&lt;=45),TRUE,FALSE)</f>
        <v>1</v>
      </c>
      <c r="BW132" t="b">
        <f t="shared" ref="BW132:BW195" si="171">IF(AND(F132&lt;=45,C132&gt;1),TRUE,FALSE)</f>
        <v>1</v>
      </c>
    </row>
    <row r="133" spans="1:75">
      <c r="A133" s="88"/>
      <c r="B133" s="5">
        <f>'[28]Dados de entrada'!$B$28</f>
        <v>16</v>
      </c>
      <c r="C133" s="5">
        <f>'[28]Dados de entrada'!$B$31</f>
        <v>3</v>
      </c>
      <c r="D133" s="5">
        <f>'[28]Dados de entrada'!$B$32</f>
        <v>76</v>
      </c>
      <c r="E133" s="11">
        <f>'[28]Dados de entrada'!$B$27</f>
        <v>3.2689999999999997</v>
      </c>
      <c r="F133" s="5">
        <f>'[28]Dados de entrada'!$B$30</f>
        <v>25</v>
      </c>
      <c r="G133" s="12">
        <f>'[28]Dados de entrada'!$B$22</f>
        <v>33</v>
      </c>
      <c r="H133" s="52">
        <f>'[28]Dados de entrada'!$B$29/(2*'[28]Dados de entrada'!$B$20*G133)</f>
        <v>3.6363636363636362E-2</v>
      </c>
      <c r="I133" s="53">
        <f>'[28]fib Model Code 2010'!$K$6</f>
        <v>251.20389200920044</v>
      </c>
      <c r="J133" s="4">
        <f>'[28]Dados de entrada'!$C$8</f>
        <v>0.18</v>
      </c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11">
        <f>'[28]fib Model Code 2010'!$L$6</f>
        <v>0.17116484293996007</v>
      </c>
      <c r="AE133" s="11">
        <f t="shared" si="145"/>
        <v>0.95091579411088933</v>
      </c>
      <c r="AF133" s="29">
        <f t="shared" si="126"/>
        <v>-5.0329764930246219E-2</v>
      </c>
      <c r="AG133" s="11">
        <f>'[28]fib Model Code 2020'!$L$6</f>
        <v>0.13958286394040598</v>
      </c>
      <c r="AH133" s="11">
        <f t="shared" si="146"/>
        <v>0.77546035522447765</v>
      </c>
      <c r="AI133" s="55">
        <f t="shared" si="127"/>
        <v>-0.25429841923970009</v>
      </c>
      <c r="AJ133" s="11">
        <f>'[28]Eurocode 2'!$L$6</f>
        <v>0.15089875308436673</v>
      </c>
      <c r="AK133" s="11">
        <f t="shared" si="155"/>
        <v>0.83832640602425967</v>
      </c>
      <c r="AL133" s="11">
        <f t="shared" si="128"/>
        <v>-0.17634774834228548</v>
      </c>
      <c r="AM133" s="11">
        <f>'[28]NBR 6118'!$Q$6</f>
        <v>0.21130393804603426</v>
      </c>
      <c r="AN133" s="11">
        <f>'[28]NBR 6118'!$R$6</f>
        <v>0.17677617215084976</v>
      </c>
      <c r="AO133" s="11">
        <f>'[28]NBR 6118'!$W$6</f>
        <v>0.98208984528249865</v>
      </c>
      <c r="AP133" s="11">
        <f t="shared" si="129"/>
        <v>-1.8072482671784504E-2</v>
      </c>
      <c r="AQ133" s="11">
        <f>'[28]Clark (1956)'!$L$6</f>
        <v>0.14296226734899856</v>
      </c>
      <c r="AR133" s="11">
        <f t="shared" si="156"/>
        <v>0.79423481860554757</v>
      </c>
      <c r="AS133" s="11">
        <f t="shared" si="130"/>
        <v>-0.23037612014103381</v>
      </c>
      <c r="AT133" s="11">
        <f>'[28]Leonhardt (1977)'!$L$6</f>
        <v>0.28721911732524774</v>
      </c>
      <c r="AU133" s="11">
        <f t="shared" si="157"/>
        <v>1.595661762918043</v>
      </c>
      <c r="AV133" s="11">
        <f t="shared" si="131"/>
        <v>0.46728854857149221</v>
      </c>
      <c r="AW133" s="11">
        <f>'[28]Desayi; Ganesan (1985)'!$L$6</f>
        <v>0.19384344398348513</v>
      </c>
      <c r="AX133" s="11">
        <f t="shared" si="158"/>
        <v>1.076908022130473</v>
      </c>
      <c r="AY133" s="11">
        <f t="shared" si="132"/>
        <v>7.4093992605733364E-2</v>
      </c>
      <c r="AZ133" s="11">
        <f>'[28]Oh; Kang (1987)'!$L$6</f>
        <v>0.13677115061920933</v>
      </c>
      <c r="BA133" s="11">
        <f t="shared" si="159"/>
        <v>0.75983972566227409</v>
      </c>
      <c r="BB133" s="11">
        <f t="shared" si="133"/>
        <v>-0.27464775522809232</v>
      </c>
      <c r="BC133" s="11">
        <f>'[28]Caldas (1997)'!$L$6</f>
        <v>0.1661724760507631</v>
      </c>
      <c r="BD133" s="11">
        <f t="shared" si="160"/>
        <v>0.92318042250423948</v>
      </c>
      <c r="BE133" s="11">
        <f t="shared" si="134"/>
        <v>-7.993058957941207E-2</v>
      </c>
      <c r="BF133" s="11">
        <v>0.18070275086501922</v>
      </c>
      <c r="BG133" s="11">
        <f t="shared" si="139"/>
        <v>1.0039041714723291</v>
      </c>
      <c r="BH133" s="11">
        <f t="shared" si="140"/>
        <v>3.8965699734993982E-3</v>
      </c>
      <c r="BI133" s="11">
        <v>0.16178299565649967</v>
      </c>
      <c r="BJ133" s="11">
        <f t="shared" si="167"/>
        <v>0.89879442031388712</v>
      </c>
      <c r="BK133" s="11">
        <f t="shared" si="168"/>
        <v>-0.10670094661870672</v>
      </c>
      <c r="BL133" s="11">
        <v>0.20139746041556172</v>
      </c>
      <c r="BM133" s="11">
        <f t="shared" si="141"/>
        <v>1.118874780086454</v>
      </c>
      <c r="BN133" s="11">
        <f t="shared" si="142"/>
        <v>0.11232351966014006</v>
      </c>
      <c r="BS133" t="b">
        <f t="shared" si="169"/>
        <v>0</v>
      </c>
      <c r="BU133" t="b">
        <f t="shared" si="170"/>
        <v>1</v>
      </c>
      <c r="BW133" t="b">
        <f t="shared" si="171"/>
        <v>1</v>
      </c>
    </row>
    <row r="134" spans="1:75">
      <c r="A134" s="88"/>
      <c r="B134" s="5">
        <f>'[28]Dados de entrada'!$B$28</f>
        <v>16</v>
      </c>
      <c r="C134" s="5">
        <f>'[28]Dados de entrada'!$B$31</f>
        <v>3</v>
      </c>
      <c r="D134" s="5">
        <f>'[28]Dados de entrada'!$B$32</f>
        <v>76</v>
      </c>
      <c r="E134" s="11">
        <f>'[28]Dados de entrada'!$B$27</f>
        <v>3.2689999999999997</v>
      </c>
      <c r="F134" s="5">
        <f>'[28]Dados de entrada'!$B$30</f>
        <v>25</v>
      </c>
      <c r="G134" s="12">
        <f>'[28]Dados de entrada'!$B$22</f>
        <v>33</v>
      </c>
      <c r="H134" s="52">
        <f>'[28]Dados de entrada'!$B$29/(2*'[28]Dados de entrada'!$B$20*G134)</f>
        <v>3.6363636363636362E-2</v>
      </c>
      <c r="I134" s="53">
        <f>'[28]fib Model Code 2010'!$K$7</f>
        <v>269.16460123218928</v>
      </c>
      <c r="J134" s="4">
        <f>'[28]Dados de entrada'!$C$9</f>
        <v>0.18</v>
      </c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11">
        <f>'[28]fib Model Code 2010'!$L$7</f>
        <v>0.18928550750053849</v>
      </c>
      <c r="AE134" s="11">
        <f t="shared" si="145"/>
        <v>1.0515861527807695</v>
      </c>
      <c r="AF134" s="29">
        <f t="shared" si="126"/>
        <v>5.0299646024216951E-2</v>
      </c>
      <c r="AG134" s="11">
        <f>'[28]fib Model Code 2020'!$L$7</f>
        <v>0.15695788781699774</v>
      </c>
      <c r="AH134" s="11">
        <f t="shared" si="146"/>
        <v>0.87198826564998744</v>
      </c>
      <c r="AI134" s="55">
        <f t="shared" si="127"/>
        <v>-0.13697931198711019</v>
      </c>
      <c r="AJ134" s="11">
        <f>'[28]Eurocode 2'!$L$7</f>
        <v>0.16687391270409369</v>
      </c>
      <c r="AK134" s="11">
        <f t="shared" si="155"/>
        <v>0.92707729280052054</v>
      </c>
      <c r="AL134" s="11">
        <f t="shared" si="128"/>
        <v>-7.571833738782241E-2</v>
      </c>
      <c r="AM134" s="11">
        <f>'[28]NBR 6118'!$Q$7</f>
        <v>0.22641185917959003</v>
      </c>
      <c r="AN134" s="11">
        <f>'[28]NBR 6118'!$R$7</f>
        <v>0.20295833219561998</v>
      </c>
      <c r="AO134" s="11">
        <f>'[28]NBR 6118'!$W$7</f>
        <v>1.1275462899756665</v>
      </c>
      <c r="AP134" s="11">
        <f t="shared" si="129"/>
        <v>0.12004384696273676</v>
      </c>
      <c r="AQ134" s="11">
        <f>'[28]Clark (1956)'!$L$7</f>
        <v>0.15584368800372614</v>
      </c>
      <c r="AR134" s="11">
        <f t="shared" si="156"/>
        <v>0.86579826668736748</v>
      </c>
      <c r="AS134" s="11">
        <f t="shared" si="130"/>
        <v>-0.14410334595435337</v>
      </c>
      <c r="AT134" s="11">
        <f>'[28]Leonhardt (1977)'!$L$7</f>
        <v>0.32158182698958593</v>
      </c>
      <c r="AU134" s="11">
        <f t="shared" si="157"/>
        <v>1.7865657054976998</v>
      </c>
      <c r="AV134" s="11">
        <f t="shared" si="131"/>
        <v>0.58029517670099806</v>
      </c>
      <c r="AW134" s="11">
        <f>'[28]Desayi; Ganesan (1985)'!$L$7</f>
        <v>0.20770296544361677</v>
      </c>
      <c r="AX134" s="11">
        <f t="shared" si="158"/>
        <v>1.1539053635756489</v>
      </c>
      <c r="AY134" s="11">
        <f t="shared" si="132"/>
        <v>0.14315215742299439</v>
      </c>
      <c r="AZ134" s="11">
        <f>'[28]Oh; Kang (1987)'!$L$7</f>
        <v>0.14840212409700027</v>
      </c>
      <c r="BA134" s="11">
        <f t="shared" si="159"/>
        <v>0.82445624498333481</v>
      </c>
      <c r="BB134" s="11">
        <f t="shared" si="133"/>
        <v>-0.1930312069372607</v>
      </c>
      <c r="BC134" s="11">
        <f>'[28]Caldas (1997)'!$L$7</f>
        <v>0.17941245272312015</v>
      </c>
      <c r="BD134" s="11">
        <f t="shared" si="160"/>
        <v>0.99673584846177865</v>
      </c>
      <c r="BE134" s="11">
        <f t="shared" si="134"/>
        <v>-3.2694905021442432E-3</v>
      </c>
      <c r="BF134" s="11">
        <v>0.19362273207280215</v>
      </c>
      <c r="BG134" s="11">
        <f t="shared" si="139"/>
        <v>1.0756818448489009</v>
      </c>
      <c r="BH134" s="11">
        <f t="shared" si="140"/>
        <v>7.2954734790760173E-2</v>
      </c>
      <c r="BI134" s="11">
        <v>0.18567533245066428</v>
      </c>
      <c r="BJ134" s="11">
        <f t="shared" si="167"/>
        <v>1.0315296247259127</v>
      </c>
      <c r="BK134" s="11">
        <f t="shared" si="168"/>
        <v>3.1042773161267492E-2</v>
      </c>
      <c r="BL134" s="11">
        <v>0.22515180715689309</v>
      </c>
      <c r="BM134" s="11">
        <f t="shared" si="141"/>
        <v>1.2508433730938506</v>
      </c>
      <c r="BN134" s="11">
        <f t="shared" si="142"/>
        <v>0.22381802228260064</v>
      </c>
      <c r="BS134" t="b">
        <f t="shared" si="169"/>
        <v>0</v>
      </c>
      <c r="BU134" t="b">
        <f t="shared" si="170"/>
        <v>1</v>
      </c>
      <c r="BW134" t="b">
        <f t="shared" si="171"/>
        <v>1</v>
      </c>
    </row>
    <row r="135" spans="1:75">
      <c r="A135" s="88"/>
      <c r="B135" s="5">
        <f>'[28]Dados de entrada'!$B$28</f>
        <v>16</v>
      </c>
      <c r="C135" s="5">
        <f>'[28]Dados de entrada'!$B$31</f>
        <v>3</v>
      </c>
      <c r="D135" s="5">
        <f>'[28]Dados de entrada'!$B$32</f>
        <v>76</v>
      </c>
      <c r="E135" s="11">
        <f>'[28]Dados de entrada'!$B$27</f>
        <v>3.2689999999999997</v>
      </c>
      <c r="F135" s="5">
        <f>'[28]Dados de entrada'!$B$30</f>
        <v>25</v>
      </c>
      <c r="G135" s="12">
        <f>'[28]Dados de entrada'!$B$22</f>
        <v>33</v>
      </c>
      <c r="H135" s="52">
        <f>'[28]Dados de entrada'!$B$29/(2*'[28]Dados de entrada'!$B$20*G135)</f>
        <v>3.6363636363636362E-2</v>
      </c>
      <c r="I135" s="53">
        <f>'[28]fib Model Code 2010'!$K$8</f>
        <v>287.12531045517812</v>
      </c>
      <c r="J135" s="4">
        <f>'[28]Dados de entrada'!$C$10</f>
        <v>0.2</v>
      </c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11">
        <f>'[28]fib Model Code 2010'!$L$8</f>
        <v>0.20740617206111689</v>
      </c>
      <c r="AE135" s="11">
        <f t="shared" si="145"/>
        <v>1.0370308603055844</v>
      </c>
      <c r="AF135" s="29">
        <f t="shared" si="126"/>
        <v>3.6361688019236303E-2</v>
      </c>
      <c r="AG135" s="11">
        <f>'[28]fib Model Code 2020'!$L$8</f>
        <v>0.1743329116935895</v>
      </c>
      <c r="AH135" s="11">
        <f t="shared" si="146"/>
        <v>0.87166455846794744</v>
      </c>
      <c r="AI135" s="55">
        <f t="shared" si="127"/>
        <v>-0.13735060973776494</v>
      </c>
      <c r="AJ135" s="11">
        <f>'[28]Eurocode 2'!$L$8</f>
        <v>0.18284907232382061</v>
      </c>
      <c r="AK135" s="11">
        <f t="shared" si="155"/>
        <v>0.91424536161910297</v>
      </c>
      <c r="AL135" s="11">
        <f t="shared" si="128"/>
        <v>-8.9656295392803217E-2</v>
      </c>
      <c r="AM135" s="11">
        <f>'[28]NBR 6118'!$Q$8</f>
        <v>0.24151978031314592</v>
      </c>
      <c r="AN135" s="11">
        <f>'[28]NBR 6118'!$R$8</f>
        <v>0.23094786593615235</v>
      </c>
      <c r="AO135" s="11">
        <f>'[28]NBR 6118'!$W$8</f>
        <v>1.1547393296807618</v>
      </c>
      <c r="AP135" s="11">
        <f t="shared" si="129"/>
        <v>0.14387462991416991</v>
      </c>
      <c r="AQ135" s="11">
        <f>'[28]Clark (1956)'!$L$8</f>
        <v>0.16872510865845375</v>
      </c>
      <c r="AR135" s="11">
        <f t="shared" si="156"/>
        <v>0.84362554329226869</v>
      </c>
      <c r="AS135" s="11">
        <f t="shared" si="130"/>
        <v>-0.17004655192141876</v>
      </c>
      <c r="AT135" s="11">
        <f>'[28]Leonhardt (1977)'!$L$8</f>
        <v>0.35510946407025634</v>
      </c>
      <c r="AU135" s="11">
        <f t="shared" si="157"/>
        <v>1.7755473203512817</v>
      </c>
      <c r="AV135" s="11">
        <f t="shared" si="131"/>
        <v>0.57410872489112408</v>
      </c>
      <c r="AW135" s="11">
        <f>'[28]Desayi; Ganesan (1985)'!$L$8</f>
        <v>0.22156248690374838</v>
      </c>
      <c r="AX135" s="11">
        <f t="shared" si="158"/>
        <v>1.1078124345187419</v>
      </c>
      <c r="AY135" s="11">
        <f t="shared" si="132"/>
        <v>0.10238729106979723</v>
      </c>
      <c r="AZ135" s="11">
        <f>'[28]Oh; Kang (1987)'!$L$8</f>
        <v>0.16003309757479117</v>
      </c>
      <c r="BA135" s="11">
        <f t="shared" si="159"/>
        <v>0.80016548787395581</v>
      </c>
      <c r="BB135" s="11">
        <f t="shared" si="133"/>
        <v>-0.22293671286431208</v>
      </c>
      <c r="BC135" s="11">
        <f>'[28]Caldas (1997)'!$L$8</f>
        <v>0.19265242939547719</v>
      </c>
      <c r="BD135" s="11">
        <f t="shared" si="160"/>
        <v>0.96326214697738588</v>
      </c>
      <c r="BE135" s="11">
        <f t="shared" si="134"/>
        <v>-3.7429685145429034E-2</v>
      </c>
      <c r="BF135" s="11">
        <v>0.2065427132805851</v>
      </c>
      <c r="BG135" s="11">
        <f t="shared" si="139"/>
        <v>1.0327135664029254</v>
      </c>
      <c r="BH135" s="11">
        <f t="shared" si="140"/>
        <v>3.2189868437563135E-2</v>
      </c>
      <c r="BI135" s="11">
        <v>0.20956766924482884</v>
      </c>
      <c r="BJ135" s="11">
        <f t="shared" si="167"/>
        <v>1.0478383462241441</v>
      </c>
      <c r="BK135" s="11">
        <f t="shared" si="168"/>
        <v>4.6729324215006592E-2</v>
      </c>
      <c r="BL135" s="11">
        <v>0.24916768207428147</v>
      </c>
      <c r="BM135" s="11">
        <f t="shared" si="141"/>
        <v>1.2458384103714073</v>
      </c>
      <c r="BN135" s="11">
        <f t="shared" si="142"/>
        <v>0.219808725254899</v>
      </c>
      <c r="BS135" t="b">
        <f t="shared" si="169"/>
        <v>0</v>
      </c>
      <c r="BU135" t="b">
        <f t="shared" si="170"/>
        <v>1</v>
      </c>
      <c r="BW135" t="b">
        <f t="shared" si="171"/>
        <v>1</v>
      </c>
    </row>
    <row r="136" spans="1:75">
      <c r="A136" s="89"/>
      <c r="B136" s="5">
        <f>'[28]Dados de entrada'!$B$28</f>
        <v>16</v>
      </c>
      <c r="C136" s="5">
        <f>'[28]Dados de entrada'!$B$31</f>
        <v>3</v>
      </c>
      <c r="D136" s="5">
        <f>'[28]Dados de entrada'!$B$32</f>
        <v>76</v>
      </c>
      <c r="E136" s="11">
        <f>'[28]Dados de entrada'!$B$27</f>
        <v>3.2689999999999997</v>
      </c>
      <c r="F136" s="5">
        <f>'[28]Dados de entrada'!$B$30</f>
        <v>25</v>
      </c>
      <c r="G136" s="12">
        <f>'[28]Dados de entrada'!$B$22</f>
        <v>33</v>
      </c>
      <c r="H136" s="52">
        <f>'[28]Dados de entrada'!$B$29/(2*'[28]Dados de entrada'!$B$20*G136)</f>
        <v>3.6363636363636362E-2</v>
      </c>
      <c r="I136" s="53">
        <f>'[28]fib Model Code 2010'!$K$9</f>
        <v>305.08601967816708</v>
      </c>
      <c r="J136" s="4">
        <f>'[28]Dados de entrada'!$C$11</f>
        <v>0.2</v>
      </c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11">
        <f>'[28]fib Model Code 2010'!$L$9</f>
        <v>0.2255268366216954</v>
      </c>
      <c r="AE136" s="11">
        <f t="shared" si="145"/>
        <v>1.1276341831084769</v>
      </c>
      <c r="AF136" s="29">
        <f t="shared" si="126"/>
        <v>0.12012179472248712</v>
      </c>
      <c r="AG136" s="11">
        <f>'[28]fib Model Code 2020'!$L$9</f>
        <v>0.19170793557018131</v>
      </c>
      <c r="AH136" s="11">
        <f t="shared" si="146"/>
        <v>0.95853967785090655</v>
      </c>
      <c r="AI136" s="55">
        <f t="shared" si="127"/>
        <v>-4.2344321577625653E-2</v>
      </c>
      <c r="AJ136" s="11">
        <f>'[28]Eurocode 2'!$L$9</f>
        <v>0.19882423194354767</v>
      </c>
      <c r="AK136" s="11">
        <f t="shared" si="155"/>
        <v>0.99412115971773829</v>
      </c>
      <c r="AL136" s="11">
        <f t="shared" si="128"/>
        <v>-5.8961886895521377E-3</v>
      </c>
      <c r="AM136" s="11">
        <f>'[28]NBR 6118'!$Q$9</f>
        <v>0.25662770144670172</v>
      </c>
      <c r="AN136" s="11">
        <f>'[28]NBR 6118'!$R$9</f>
        <v>0.26074477337244656</v>
      </c>
      <c r="AO136" s="11">
        <f>'[28]NBR 6118'!$W$9</f>
        <v>1.2831385072335084</v>
      </c>
      <c r="AP136" s="11">
        <f t="shared" si="129"/>
        <v>0.24930903556157419</v>
      </c>
      <c r="AQ136" s="11">
        <f>'[28]Clark (1956)'!$L$9</f>
        <v>0.18160652931318141</v>
      </c>
      <c r="AR136" s="11">
        <f t="shared" si="156"/>
        <v>0.90803264656590699</v>
      </c>
      <c r="AS136" s="11">
        <f t="shared" si="130"/>
        <v>-9.6474946659447572E-2</v>
      </c>
      <c r="AT136" s="11">
        <f>'[28]Leonhardt (1977)'!$L$9</f>
        <v>0.387949513160665</v>
      </c>
      <c r="AU136" s="11">
        <f t="shared" si="157"/>
        <v>1.939747565803325</v>
      </c>
      <c r="AV136" s="11">
        <f t="shared" si="131"/>
        <v>0.66255784388886585</v>
      </c>
      <c r="AW136" s="11">
        <f>'[28]Desayi; Ganesan (1985)'!$L$9</f>
        <v>0.23542200836388011</v>
      </c>
      <c r="AX136" s="11">
        <f t="shared" si="158"/>
        <v>1.1771100418194005</v>
      </c>
      <c r="AY136" s="11">
        <f t="shared" si="132"/>
        <v>0.1630623173823241</v>
      </c>
      <c r="AZ136" s="11">
        <f>'[28]Oh; Kang (1987)'!$L$9</f>
        <v>0.17166407105258216</v>
      </c>
      <c r="BA136" s="11">
        <f t="shared" si="159"/>
        <v>0.85832035526291073</v>
      </c>
      <c r="BB136" s="11">
        <f t="shared" si="133"/>
        <v>-0.15277787474876556</v>
      </c>
      <c r="BC136" s="11">
        <f>'[28]Caldas (1997)'!$L$9</f>
        <v>0.20589240606783432</v>
      </c>
      <c r="BD136" s="11">
        <f t="shared" si="160"/>
        <v>1.0294620303391715</v>
      </c>
      <c r="BE136" s="11">
        <f t="shared" si="134"/>
        <v>2.9036365153470439E-2</v>
      </c>
      <c r="BF136" s="11">
        <v>0.21946269448836811</v>
      </c>
      <c r="BG136" s="11">
        <f t="shared" si="139"/>
        <v>1.0973134724418405</v>
      </c>
      <c r="BH136" s="11">
        <f t="shared" si="140"/>
        <v>9.2864894750089966E-2</v>
      </c>
      <c r="BI136" s="11">
        <v>0.23346000603899358</v>
      </c>
      <c r="BJ136" s="11">
        <f t="shared" si="167"/>
        <v>1.1673000301949679</v>
      </c>
      <c r="BK136" s="11">
        <f t="shared" si="168"/>
        <v>0.15469341554383895</v>
      </c>
      <c r="BL136" s="11">
        <v>0.27344508516772692</v>
      </c>
      <c r="BM136" s="11">
        <f t="shared" si="141"/>
        <v>1.3672254258386345</v>
      </c>
      <c r="BN136" s="11">
        <f t="shared" si="142"/>
        <v>0.3127834496611217</v>
      </c>
      <c r="BS136" t="b">
        <f t="shared" si="169"/>
        <v>0</v>
      </c>
      <c r="BU136" t="b">
        <f t="shared" si="170"/>
        <v>1</v>
      </c>
      <c r="BW136" t="b">
        <f t="shared" si="171"/>
        <v>1</v>
      </c>
    </row>
    <row r="137" spans="1:75">
      <c r="A137" s="85" t="s">
        <v>63</v>
      </c>
      <c r="B137" s="21">
        <f>'[29]Dados de entrada'!$B$28</f>
        <v>16</v>
      </c>
      <c r="C137" s="21">
        <f>'[29]Dados de entrada'!$B$31</f>
        <v>3</v>
      </c>
      <c r="D137" s="21">
        <f>'[29]Dados de entrada'!$B$32</f>
        <v>76</v>
      </c>
      <c r="E137" s="20">
        <f>'[29]Dados de entrada'!$B$27</f>
        <v>3.2689999999999997</v>
      </c>
      <c r="F137" s="21">
        <f>'[29]Dados de entrada'!$B$30</f>
        <v>25</v>
      </c>
      <c r="G137" s="56">
        <f>'[29]Dados de entrada'!$B$22</f>
        <v>33</v>
      </c>
      <c r="H137" s="57">
        <f>'[29]Dados de entrada'!$B$29/(2*'[29]Dados de entrada'!$B$20*G137)</f>
        <v>3.6363636363636362E-2</v>
      </c>
      <c r="I137" s="27">
        <f>'[29]fib Model Code 2010'!$K$5</f>
        <v>251.20389200920044</v>
      </c>
      <c r="J137" s="19">
        <f>'[29]Dados de entrada'!$C$7</f>
        <v>0.15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0">
        <f>'[29]fib Model Code 2010'!$L$5</f>
        <v>0.17116484293996007</v>
      </c>
      <c r="AE137" s="20">
        <f t="shared" si="145"/>
        <v>1.1410989529330671</v>
      </c>
      <c r="AF137" s="54">
        <f t="shared" si="126"/>
        <v>0.1319917918637083</v>
      </c>
      <c r="AG137" s="20">
        <f>'[29]fib Model Code 2020'!$L$5</f>
        <v>0.13958286394040598</v>
      </c>
      <c r="AH137" s="20">
        <f t="shared" si="146"/>
        <v>0.93055242626937318</v>
      </c>
      <c r="AI137" s="28">
        <f t="shared" si="127"/>
        <v>-7.1976862445745485E-2</v>
      </c>
      <c r="AJ137" s="20">
        <f>'[29]Eurocode 2'!$L$5</f>
        <v>0.15089875308436673</v>
      </c>
      <c r="AK137" s="20">
        <f t="shared" si="155"/>
        <v>1.0059916872291117</v>
      </c>
      <c r="AL137" s="20">
        <f t="shared" si="128"/>
        <v>5.9738084516692313E-3</v>
      </c>
      <c r="AM137" s="20">
        <f>'[29]NBR 6118'!$Q$5</f>
        <v>0.21130393804603426</v>
      </c>
      <c r="AN137" s="20">
        <f>'[29]NBR 6118'!$R$5</f>
        <v>0.17677617215084976</v>
      </c>
      <c r="AO137" s="20">
        <f>'[29]NBR 6118'!$W$5</f>
        <v>1.1785078143389984</v>
      </c>
      <c r="AP137" s="20">
        <f t="shared" si="129"/>
        <v>0.16424907412217016</v>
      </c>
      <c r="AQ137" s="20">
        <f>'[29]Clark (1956)'!$L$5</f>
        <v>0.14296226734899856</v>
      </c>
      <c r="AR137" s="20">
        <f t="shared" si="156"/>
        <v>0.95308178232665708</v>
      </c>
      <c r="AS137" s="20">
        <f t="shared" si="130"/>
        <v>-4.8054563347079179E-2</v>
      </c>
      <c r="AT137" s="20">
        <f>'[29]Leonhardt (1977)'!$L$5</f>
        <v>0.28721911732524774</v>
      </c>
      <c r="AU137" s="20">
        <f t="shared" si="157"/>
        <v>1.9147941155016517</v>
      </c>
      <c r="AV137" s="20">
        <f t="shared" si="131"/>
        <v>0.64961010536544694</v>
      </c>
      <c r="AW137" s="20">
        <f>'[29]Desayi; Ganesan (1985)'!$L$5</f>
        <v>0.19384344398348513</v>
      </c>
      <c r="AX137" s="20">
        <f t="shared" si="158"/>
        <v>1.2922896265565675</v>
      </c>
      <c r="AY137" s="20">
        <f t="shared" si="132"/>
        <v>0.25641554939968797</v>
      </c>
      <c r="AZ137" s="20">
        <f>'[29]Oh; Kang (1987)'!$L$5</f>
        <v>0.13677115061920933</v>
      </c>
      <c r="BA137" s="20">
        <f t="shared" si="159"/>
        <v>0.91180767079472891</v>
      </c>
      <c r="BB137" s="20">
        <f t="shared" si="133"/>
        <v>-9.232619843413771E-2</v>
      </c>
      <c r="BC137" s="20">
        <f>'[29]Caldas (1997)'!$L$5</f>
        <v>0.1661724760507631</v>
      </c>
      <c r="BD137" s="20">
        <f t="shared" si="160"/>
        <v>1.1078165070050874</v>
      </c>
      <c r="BE137" s="20">
        <f t="shared" si="134"/>
        <v>0.10239096721454256</v>
      </c>
      <c r="BF137" s="20" cm="1">
        <f t="array" ref="BF137:BF140">'[29]Gergely e Lutz (1968)'!$L$5:$L$8</f>
        <v>0.18070275086501922</v>
      </c>
      <c r="BG137" s="20">
        <f t="shared" si="139"/>
        <v>1.2046850057667948</v>
      </c>
      <c r="BH137" s="20">
        <f t="shared" si="140"/>
        <v>0.18621812676745392</v>
      </c>
      <c r="BI137" s="20" cm="1">
        <f t="array" ref="BI137:BI140">[29]Sugestão!$M$5:$M$8</f>
        <v>0.16178299565649967</v>
      </c>
      <c r="BJ137" s="20">
        <f t="shared" ref="BJ137:BJ140" si="172">BI137/J137</f>
        <v>1.0785533043766646</v>
      </c>
      <c r="BK137" s="20">
        <f t="shared" ref="BK137:BK140" si="173">LN(BJ137)</f>
        <v>7.5620610175248001E-2</v>
      </c>
      <c r="BL137" s="20" cm="1">
        <f t="array" ref="BL137:BL140">'[29]fib Model Code 2020 modificado'!$L$5:$L$8</f>
        <v>0.20139746041556172</v>
      </c>
      <c r="BM137" s="20">
        <f t="shared" si="141"/>
        <v>1.3426497361037448</v>
      </c>
      <c r="BN137" s="20">
        <f t="shared" si="142"/>
        <v>0.29464507645409471</v>
      </c>
      <c r="BS137" t="b">
        <f t="shared" si="169"/>
        <v>0</v>
      </c>
      <c r="BU137" t="b">
        <f t="shared" si="170"/>
        <v>1</v>
      </c>
      <c r="BW137" t="b">
        <f t="shared" si="171"/>
        <v>1</v>
      </c>
    </row>
    <row r="138" spans="1:75">
      <c r="A138" s="90"/>
      <c r="B138" s="21">
        <f>'[29]Dados de entrada'!$B$28</f>
        <v>16</v>
      </c>
      <c r="C138" s="21">
        <f>'[29]Dados de entrada'!$B$31</f>
        <v>3</v>
      </c>
      <c r="D138" s="21">
        <f>'[29]Dados de entrada'!$B$32</f>
        <v>76</v>
      </c>
      <c r="E138" s="20">
        <f>'[29]Dados de entrada'!$B$27</f>
        <v>3.2689999999999997</v>
      </c>
      <c r="F138" s="21">
        <f>'[29]Dados de entrada'!$B$30</f>
        <v>25</v>
      </c>
      <c r="G138" s="56">
        <f>'[29]Dados de entrada'!$B$22</f>
        <v>33</v>
      </c>
      <c r="H138" s="57">
        <f>'[29]Dados de entrada'!$B$29/(2*'[29]Dados de entrada'!$B$20*G138)</f>
        <v>3.6363636363636362E-2</v>
      </c>
      <c r="I138" s="27">
        <f>'[29]fib Model Code 2010'!$K$6</f>
        <v>269.16460123218928</v>
      </c>
      <c r="J138" s="19">
        <f>'[29]Dados de entrada'!$C$8</f>
        <v>0.18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0">
        <f>'[29]fib Model Code 2010'!$L$6</f>
        <v>0.18928550750053849</v>
      </c>
      <c r="AE138" s="20">
        <f t="shared" si="145"/>
        <v>1.0515861527807695</v>
      </c>
      <c r="AF138" s="54">
        <f t="shared" si="126"/>
        <v>5.0299646024216951E-2</v>
      </c>
      <c r="AG138" s="20">
        <f>'[29]fib Model Code 2020'!$L$6</f>
        <v>0.15695788781699774</v>
      </c>
      <c r="AH138" s="20">
        <f t="shared" si="146"/>
        <v>0.87198826564998744</v>
      </c>
      <c r="AI138" s="28">
        <f t="shared" si="127"/>
        <v>-0.13697931198711019</v>
      </c>
      <c r="AJ138" s="20">
        <f>'[29]Eurocode 2'!$L$6</f>
        <v>0.16687391270409369</v>
      </c>
      <c r="AK138" s="20">
        <f t="shared" si="155"/>
        <v>0.92707729280052054</v>
      </c>
      <c r="AL138" s="20">
        <f t="shared" si="128"/>
        <v>-7.571833738782241E-2</v>
      </c>
      <c r="AM138" s="20">
        <f>'[29]NBR 6118'!$Q$6</f>
        <v>0.22641185917959003</v>
      </c>
      <c r="AN138" s="20">
        <f>'[29]NBR 6118'!$R$6</f>
        <v>0.20295833219561998</v>
      </c>
      <c r="AO138" s="20">
        <f>'[29]NBR 6118'!$W$6</f>
        <v>1.1275462899756665</v>
      </c>
      <c r="AP138" s="20">
        <f t="shared" si="129"/>
        <v>0.12004384696273676</v>
      </c>
      <c r="AQ138" s="20">
        <f>'[29]Clark (1956)'!$L$6</f>
        <v>0.15584368800372614</v>
      </c>
      <c r="AR138" s="20">
        <f t="shared" si="156"/>
        <v>0.86579826668736748</v>
      </c>
      <c r="AS138" s="20">
        <f t="shared" si="130"/>
        <v>-0.14410334595435337</v>
      </c>
      <c r="AT138" s="20">
        <f>'[29]Leonhardt (1977)'!$L$6</f>
        <v>0.32158182698958593</v>
      </c>
      <c r="AU138" s="20">
        <f t="shared" si="157"/>
        <v>1.7865657054976998</v>
      </c>
      <c r="AV138" s="20">
        <f t="shared" si="131"/>
        <v>0.58029517670099806</v>
      </c>
      <c r="AW138" s="20">
        <f>'[29]Desayi; Ganesan (1985)'!$L$6</f>
        <v>0.20770296544361677</v>
      </c>
      <c r="AX138" s="20">
        <f t="shared" si="158"/>
        <v>1.1539053635756489</v>
      </c>
      <c r="AY138" s="20">
        <f t="shared" si="132"/>
        <v>0.14315215742299439</v>
      </c>
      <c r="AZ138" s="20">
        <f>'[29]Oh; Kang (1987)'!$L$6</f>
        <v>0.14840212409700027</v>
      </c>
      <c r="BA138" s="20">
        <f t="shared" si="159"/>
        <v>0.82445624498333481</v>
      </c>
      <c r="BB138" s="20">
        <f t="shared" si="133"/>
        <v>-0.1930312069372607</v>
      </c>
      <c r="BC138" s="20">
        <f>'[29]Caldas (1997)'!$L$6</f>
        <v>0.17941245272312015</v>
      </c>
      <c r="BD138" s="20">
        <f t="shared" si="160"/>
        <v>0.99673584846177865</v>
      </c>
      <c r="BE138" s="20">
        <f t="shared" si="134"/>
        <v>-3.2694905021442432E-3</v>
      </c>
      <c r="BF138" s="20">
        <v>0.19362273207280215</v>
      </c>
      <c r="BG138" s="20">
        <f t="shared" si="139"/>
        <v>1.0756818448489009</v>
      </c>
      <c r="BH138" s="20">
        <f t="shared" si="140"/>
        <v>7.2954734790760173E-2</v>
      </c>
      <c r="BI138" s="20">
        <v>0.18567533245066428</v>
      </c>
      <c r="BJ138" s="20">
        <f t="shared" si="172"/>
        <v>1.0315296247259127</v>
      </c>
      <c r="BK138" s="20">
        <f t="shared" si="173"/>
        <v>3.1042773161267492E-2</v>
      </c>
      <c r="BL138" s="20">
        <v>0.22515180715689309</v>
      </c>
      <c r="BM138" s="20">
        <f t="shared" si="141"/>
        <v>1.2508433730938506</v>
      </c>
      <c r="BN138" s="20">
        <f t="shared" si="142"/>
        <v>0.22381802228260064</v>
      </c>
      <c r="BS138" t="b">
        <f t="shared" si="169"/>
        <v>0</v>
      </c>
      <c r="BU138" t="b">
        <f t="shared" si="170"/>
        <v>1</v>
      </c>
      <c r="BW138" t="b">
        <f t="shared" si="171"/>
        <v>1</v>
      </c>
    </row>
    <row r="139" spans="1:75">
      <c r="A139" s="90"/>
      <c r="B139" s="21">
        <f>'[29]Dados de entrada'!$B$28</f>
        <v>16</v>
      </c>
      <c r="C139" s="21">
        <f>'[29]Dados de entrada'!$B$31</f>
        <v>3</v>
      </c>
      <c r="D139" s="21">
        <f>'[29]Dados de entrada'!$B$32</f>
        <v>76</v>
      </c>
      <c r="E139" s="20">
        <f>'[29]Dados de entrada'!$B$27</f>
        <v>3.2689999999999997</v>
      </c>
      <c r="F139" s="21">
        <f>'[29]Dados de entrada'!$B$30</f>
        <v>25</v>
      </c>
      <c r="G139" s="56">
        <f>'[29]Dados de entrada'!$B$22</f>
        <v>33</v>
      </c>
      <c r="H139" s="57">
        <f>'[29]Dados de entrada'!$B$29/(2*'[29]Dados de entrada'!$B$20*G139)</f>
        <v>3.6363636363636362E-2</v>
      </c>
      <c r="I139" s="27">
        <f>'[29]fib Model Code 2010'!$K$7</f>
        <v>287.12531045517812</v>
      </c>
      <c r="J139" s="19">
        <f>'[29]Dados de entrada'!$C$9</f>
        <v>0.2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0">
        <f>'[29]fib Model Code 2010'!$L$7</f>
        <v>0.20740617206111689</v>
      </c>
      <c r="AE139" s="20">
        <f t="shared" si="145"/>
        <v>1.0370308603055844</v>
      </c>
      <c r="AF139" s="54">
        <f t="shared" si="126"/>
        <v>3.6361688019236303E-2</v>
      </c>
      <c r="AG139" s="20">
        <f>'[29]fib Model Code 2020'!$L$7</f>
        <v>0.1743329116935895</v>
      </c>
      <c r="AH139" s="20">
        <f t="shared" si="146"/>
        <v>0.87166455846794744</v>
      </c>
      <c r="AI139" s="28">
        <f t="shared" si="127"/>
        <v>-0.13735060973776494</v>
      </c>
      <c r="AJ139" s="20">
        <f>'[29]Eurocode 2'!$L$7</f>
        <v>0.18284907232382061</v>
      </c>
      <c r="AK139" s="20">
        <f t="shared" si="155"/>
        <v>0.91424536161910297</v>
      </c>
      <c r="AL139" s="20">
        <f t="shared" si="128"/>
        <v>-8.9656295392803217E-2</v>
      </c>
      <c r="AM139" s="20">
        <f>'[29]NBR 6118'!$Q$7</f>
        <v>0.24151978031314592</v>
      </c>
      <c r="AN139" s="20">
        <f>'[29]NBR 6118'!$R$7</f>
        <v>0.23094786593615235</v>
      </c>
      <c r="AO139" s="20">
        <f>'[29]NBR 6118'!$W$7</f>
        <v>1.1547393296807618</v>
      </c>
      <c r="AP139" s="20">
        <f t="shared" si="129"/>
        <v>0.14387462991416991</v>
      </c>
      <c r="AQ139" s="20">
        <f>'[29]Clark (1956)'!$L$7</f>
        <v>0.16872510865845375</v>
      </c>
      <c r="AR139" s="20">
        <f t="shared" si="156"/>
        <v>0.84362554329226869</v>
      </c>
      <c r="AS139" s="20">
        <f t="shared" si="130"/>
        <v>-0.17004655192141876</v>
      </c>
      <c r="AT139" s="20">
        <f>'[29]Leonhardt (1977)'!$L$7</f>
        <v>0.35510946407025634</v>
      </c>
      <c r="AU139" s="20">
        <f t="shared" si="157"/>
        <v>1.7755473203512817</v>
      </c>
      <c r="AV139" s="20">
        <f t="shared" si="131"/>
        <v>0.57410872489112408</v>
      </c>
      <c r="AW139" s="20">
        <f>'[29]Desayi; Ganesan (1985)'!$L$7</f>
        <v>0.22156248690374838</v>
      </c>
      <c r="AX139" s="20">
        <f t="shared" si="158"/>
        <v>1.1078124345187419</v>
      </c>
      <c r="AY139" s="20">
        <f t="shared" si="132"/>
        <v>0.10238729106979723</v>
      </c>
      <c r="AZ139" s="20">
        <f>'[29]Oh; Kang (1987)'!$L$7</f>
        <v>0.16003309757479117</v>
      </c>
      <c r="BA139" s="20">
        <f t="shared" si="159"/>
        <v>0.80016548787395581</v>
      </c>
      <c r="BB139" s="20">
        <f t="shared" si="133"/>
        <v>-0.22293671286431208</v>
      </c>
      <c r="BC139" s="20">
        <f>'[29]Caldas (1997)'!$L$7</f>
        <v>0.19265242939547719</v>
      </c>
      <c r="BD139" s="20">
        <f t="shared" si="160"/>
        <v>0.96326214697738588</v>
      </c>
      <c r="BE139" s="20">
        <f t="shared" si="134"/>
        <v>-3.7429685145429034E-2</v>
      </c>
      <c r="BF139" s="20">
        <v>0.2065427132805851</v>
      </c>
      <c r="BG139" s="20">
        <f t="shared" si="139"/>
        <v>1.0327135664029254</v>
      </c>
      <c r="BH139" s="20">
        <f t="shared" si="140"/>
        <v>3.2189868437563135E-2</v>
      </c>
      <c r="BI139" s="20">
        <v>0.20956766924482884</v>
      </c>
      <c r="BJ139" s="20">
        <f t="shared" si="172"/>
        <v>1.0478383462241441</v>
      </c>
      <c r="BK139" s="20">
        <f t="shared" si="173"/>
        <v>4.6729324215006592E-2</v>
      </c>
      <c r="BL139" s="20">
        <v>0.24916768207428147</v>
      </c>
      <c r="BM139" s="20">
        <f t="shared" si="141"/>
        <v>1.2458384103714073</v>
      </c>
      <c r="BN139" s="20">
        <f t="shared" si="142"/>
        <v>0.219808725254899</v>
      </c>
      <c r="BS139" t="b">
        <f t="shared" si="169"/>
        <v>0</v>
      </c>
      <c r="BU139" t="b">
        <f t="shared" si="170"/>
        <v>1</v>
      </c>
      <c r="BW139" t="b">
        <f t="shared" si="171"/>
        <v>1</v>
      </c>
    </row>
    <row r="140" spans="1:75">
      <c r="A140" s="86"/>
      <c r="B140" s="21">
        <f>'[29]Dados de entrada'!$B$28</f>
        <v>16</v>
      </c>
      <c r="C140" s="21">
        <f>'[29]Dados de entrada'!$B$31</f>
        <v>3</v>
      </c>
      <c r="D140" s="21">
        <f>'[29]Dados de entrada'!$B$32</f>
        <v>76</v>
      </c>
      <c r="E140" s="20">
        <f>'[29]Dados de entrada'!$B$27</f>
        <v>3.2689999999999997</v>
      </c>
      <c r="F140" s="21">
        <f>'[29]Dados de entrada'!$B$30</f>
        <v>25</v>
      </c>
      <c r="G140" s="56">
        <f>'[29]Dados de entrada'!$B$22</f>
        <v>33</v>
      </c>
      <c r="H140" s="57">
        <f>'[29]Dados de entrada'!$B$29/(2*'[29]Dados de entrada'!$B$20*G140)</f>
        <v>3.6363636363636362E-2</v>
      </c>
      <c r="I140" s="27">
        <f>'[29]fib Model Code 2010'!$K$8</f>
        <v>305.08601967816708</v>
      </c>
      <c r="J140" s="19">
        <f>'[29]Dados de entrada'!$C$10</f>
        <v>0.2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0">
        <f>'[29]fib Model Code 2010'!$L$8</f>
        <v>0.2255268366216954</v>
      </c>
      <c r="AE140" s="20">
        <f t="shared" si="145"/>
        <v>1.1276341831084769</v>
      </c>
      <c r="AF140" s="54">
        <f t="shared" si="126"/>
        <v>0.12012179472248712</v>
      </c>
      <c r="AG140" s="20">
        <f>'[29]fib Model Code 2020'!$L$8</f>
        <v>0.19170793557018131</v>
      </c>
      <c r="AH140" s="20">
        <f t="shared" si="146"/>
        <v>0.95853967785090655</v>
      </c>
      <c r="AI140" s="28">
        <f t="shared" si="127"/>
        <v>-4.2344321577625653E-2</v>
      </c>
      <c r="AJ140" s="20">
        <f>'[29]Eurocode 2'!$L$8</f>
        <v>0.19882423194354767</v>
      </c>
      <c r="AK140" s="20">
        <f t="shared" si="155"/>
        <v>0.99412115971773829</v>
      </c>
      <c r="AL140" s="20">
        <f t="shared" si="128"/>
        <v>-5.8961886895521377E-3</v>
      </c>
      <c r="AM140" s="20">
        <f>'[29]NBR 6118'!$Q$8</f>
        <v>0.25662770144670172</v>
      </c>
      <c r="AN140" s="20">
        <f>'[29]NBR 6118'!$R$8</f>
        <v>0.26074477337244656</v>
      </c>
      <c r="AO140" s="20">
        <f>'[29]NBR 6118'!$W$8</f>
        <v>1.2831385072335084</v>
      </c>
      <c r="AP140" s="20">
        <f t="shared" si="129"/>
        <v>0.24930903556157419</v>
      </c>
      <c r="AQ140" s="20">
        <f>'[29]Clark (1956)'!$L$8</f>
        <v>0.18160652931318141</v>
      </c>
      <c r="AR140" s="20">
        <f t="shared" si="156"/>
        <v>0.90803264656590699</v>
      </c>
      <c r="AS140" s="20">
        <f t="shared" si="130"/>
        <v>-9.6474946659447572E-2</v>
      </c>
      <c r="AT140" s="20">
        <f>'[29]Leonhardt (1977)'!$L$8</f>
        <v>0.387949513160665</v>
      </c>
      <c r="AU140" s="20">
        <f t="shared" si="157"/>
        <v>1.939747565803325</v>
      </c>
      <c r="AV140" s="20">
        <f t="shared" si="131"/>
        <v>0.66255784388886585</v>
      </c>
      <c r="AW140" s="20">
        <f>'[29]Desayi; Ganesan (1985)'!$L$8</f>
        <v>0.23542200836388011</v>
      </c>
      <c r="AX140" s="20">
        <f t="shared" si="158"/>
        <v>1.1771100418194005</v>
      </c>
      <c r="AY140" s="20">
        <f t="shared" si="132"/>
        <v>0.1630623173823241</v>
      </c>
      <c r="AZ140" s="20">
        <f>'[29]Oh; Kang (1987)'!$L$8</f>
        <v>0.17166407105258216</v>
      </c>
      <c r="BA140" s="20">
        <f t="shared" si="159"/>
        <v>0.85832035526291073</v>
      </c>
      <c r="BB140" s="20">
        <f t="shared" si="133"/>
        <v>-0.15277787474876556</v>
      </c>
      <c r="BC140" s="20">
        <f>'[29]Caldas (1997)'!$L$8</f>
        <v>0.20589240606783432</v>
      </c>
      <c r="BD140" s="20">
        <f t="shared" si="160"/>
        <v>1.0294620303391715</v>
      </c>
      <c r="BE140" s="20">
        <f t="shared" si="134"/>
        <v>2.9036365153470439E-2</v>
      </c>
      <c r="BF140" s="20">
        <v>0.21946269448836811</v>
      </c>
      <c r="BG140" s="20">
        <f t="shared" si="139"/>
        <v>1.0973134724418405</v>
      </c>
      <c r="BH140" s="20">
        <f t="shared" si="140"/>
        <v>9.2864894750089966E-2</v>
      </c>
      <c r="BI140" s="20">
        <v>0.23346000603899358</v>
      </c>
      <c r="BJ140" s="20">
        <f t="shared" si="172"/>
        <v>1.1673000301949679</v>
      </c>
      <c r="BK140" s="20">
        <f t="shared" si="173"/>
        <v>0.15469341554383895</v>
      </c>
      <c r="BL140" s="20">
        <v>0.27344508516772692</v>
      </c>
      <c r="BM140" s="20">
        <f t="shared" si="141"/>
        <v>1.3672254258386345</v>
      </c>
      <c r="BN140" s="20">
        <f t="shared" si="142"/>
        <v>0.3127834496611217</v>
      </c>
      <c r="BS140" t="b">
        <f t="shared" si="169"/>
        <v>0</v>
      </c>
      <c r="BU140" t="b">
        <f t="shared" si="170"/>
        <v>1</v>
      </c>
      <c r="BW140" t="b">
        <f t="shared" si="171"/>
        <v>1</v>
      </c>
    </row>
    <row r="141" spans="1:75">
      <c r="A141" s="87" t="s">
        <v>64</v>
      </c>
      <c r="B141" s="5">
        <f>'[30]Dados de entrada'!$B$28</f>
        <v>12</v>
      </c>
      <c r="C141" s="5">
        <f>'[30]Dados de entrada'!$B$31</f>
        <v>2</v>
      </c>
      <c r="D141" s="5">
        <f>'[30]Dados de entrada'!$B$32</f>
        <v>296</v>
      </c>
      <c r="E141" s="11">
        <f>'[30]Dados de entrada'!$B$27</f>
        <v>3.2689999999999997</v>
      </c>
      <c r="F141" s="5">
        <f>'[30]Dados de entrada'!$B$30</f>
        <v>25</v>
      </c>
      <c r="G141" s="12">
        <f>'[30]Dados de entrada'!$B$22</f>
        <v>31</v>
      </c>
      <c r="H141" s="52">
        <f>'[30]Dados de entrada'!$B$29/(2*'[30]Dados de entrada'!$B$20*G141)</f>
        <v>8.870967741935484E-3</v>
      </c>
      <c r="I141" s="53">
        <f>'[30]fib Model Code 2010'!$K$5</f>
        <v>176.28617352026819</v>
      </c>
      <c r="J141" s="4">
        <f>'[30]Dados de entrada'!$C$7</f>
        <v>0.2</v>
      </c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11">
        <f>'[30]fib Model Code 2010'!$L$5</f>
        <v>7.1690562907373032E-3</v>
      </c>
      <c r="AE141" s="11">
        <f t="shared" si="145"/>
        <v>3.5845281453686512E-2</v>
      </c>
      <c r="AF141" s="29">
        <f t="shared" si="126"/>
        <v>-3.3285433397430979</v>
      </c>
      <c r="AG141" s="11">
        <f>'[30]fib Model Code 2020'!$L$5</f>
        <v>7.2148609668635899E-2</v>
      </c>
      <c r="AH141" s="11">
        <f t="shared" si="146"/>
        <v>0.3607430483431795</v>
      </c>
      <c r="AI141" s="55">
        <f t="shared" si="127"/>
        <v>-1.0195893515258023</v>
      </c>
      <c r="AJ141" s="11">
        <f>'[30]Eurocode 2'!$L$5</f>
        <v>0.13142035655526946</v>
      </c>
      <c r="AK141" s="11">
        <f t="shared" si="155"/>
        <v>0.65710178277634723</v>
      </c>
      <c r="AL141" s="11">
        <f t="shared" si="128"/>
        <v>-0.41991635198452576</v>
      </c>
      <c r="AM141" s="11">
        <f>'[30]NBR 6118'!$Q$5</f>
        <v>0.24254206377240639</v>
      </c>
      <c r="AN141" s="11">
        <f>'[30]NBR 6118'!$R$5</f>
        <v>6.4368016399245206E-2</v>
      </c>
      <c r="AO141" s="11" cm="1">
        <f t="array" ref="AO141:AO143">'[30]NBR 6118'!$W$5:$W$7</f>
        <v>0.32184008199622599</v>
      </c>
      <c r="AP141" s="11">
        <f t="shared" si="129"/>
        <v>-1.1337004965673767</v>
      </c>
      <c r="AQ141" s="11" cm="1">
        <f t="array" ref="AQ141:AQ143">'[30]Clark (1956)'!$L$5:$L$7</f>
        <v>0.17856608619280925</v>
      </c>
      <c r="AR141" s="11">
        <f t="shared" si="156"/>
        <v>0.89283043096404624</v>
      </c>
      <c r="AS141" s="11">
        <f t="shared" si="130"/>
        <v>-0.11335860307480333</v>
      </c>
      <c r="AT141" s="11"/>
      <c r="AU141" s="11"/>
      <c r="AV141" s="11"/>
      <c r="AW141" s="11" cm="1">
        <f t="array" ref="AW141:AW143">'[30]Desayi; Ganesan (1985)'!$L$5:$L$7</f>
        <v>0.3030500275579413</v>
      </c>
      <c r="AX141" s="11">
        <f t="shared" ref="AX141:AX143" si="174">AW141/J141</f>
        <v>1.5152501377897065</v>
      </c>
      <c r="AY141" s="11">
        <f t="shared" ref="AY141:AY143" si="175">LN(AX141)</f>
        <v>0.41558053278454876</v>
      </c>
      <c r="AZ141" s="11" cm="1">
        <f t="array" ref="AZ141:AZ143">'[30]Oh; Kang (1987)'!$L$5:$L$7</f>
        <v>0.12362610885562696</v>
      </c>
      <c r="BA141" s="11">
        <f t="shared" ref="BA141:BA143" si="176">AZ141/J141</f>
        <v>0.61813054427813474</v>
      </c>
      <c r="BB141" s="11">
        <f t="shared" ref="BB141:BB143" si="177">LN(BA141)</f>
        <v>-0.4810556071357649</v>
      </c>
      <c r="BC141" s="11" cm="1">
        <f t="array" ref="BC141:BC143">'[30]Caldas (1997)'!$L$5:$L$7</f>
        <v>8.2839711691510234E-2</v>
      </c>
      <c r="BD141" s="11">
        <f t="shared" ref="BD141:BD143" si="178">BC141/J141</f>
        <v>0.41419855845755116</v>
      </c>
      <c r="BE141" s="11">
        <f t="shared" ref="BE141:BE143" si="179">LN(BD141)</f>
        <v>-0.88140981033199406</v>
      </c>
      <c r="BF141" s="11" cm="1">
        <f t="array" ref="BF141:BF143">'[30]Gergely e Lutz (1968)'!$L$5:$L$7</f>
        <v>0.18416833175589342</v>
      </c>
      <c r="BG141" s="11">
        <f t="shared" si="139"/>
        <v>0.92084165877946711</v>
      </c>
      <c r="BH141" s="11">
        <f t="shared" si="140"/>
        <v>-8.2467180656638897E-2</v>
      </c>
      <c r="BI141" s="11" cm="1">
        <f t="array" ref="BI141:BI143">[30]Sugestão!$M$5:$M$7</f>
        <v>7.2148609668635899E-2</v>
      </c>
      <c r="BJ141" s="11">
        <f t="shared" ref="BJ141:BJ157" si="180">BI141/J141</f>
        <v>0.3607430483431795</v>
      </c>
      <c r="BK141" s="11">
        <f t="shared" ref="BK141:BK157" si="181">LN(BJ141)</f>
        <v>-1.0195893515258023</v>
      </c>
      <c r="BL141" s="11" cm="1">
        <f t="array" ref="BL141:BL143">'[30]fib Model Code 2020 modificado'!$L$5:$L$7</f>
        <v>9.6373213717357326E-2</v>
      </c>
      <c r="BM141" s="11">
        <f t="shared" si="141"/>
        <v>0.4818660685867866</v>
      </c>
      <c r="BN141" s="11">
        <f t="shared" si="142"/>
        <v>-0.73008906954596464</v>
      </c>
      <c r="BS141" t="b">
        <f t="shared" si="169"/>
        <v>1</v>
      </c>
      <c r="BU141" t="b">
        <f t="shared" si="170"/>
        <v>0</v>
      </c>
      <c r="BW141" t="b">
        <f t="shared" si="171"/>
        <v>1</v>
      </c>
    </row>
    <row r="142" spans="1:75">
      <c r="A142" s="88"/>
      <c r="B142" s="5">
        <f>'[30]Dados de entrada'!$B$28</f>
        <v>12</v>
      </c>
      <c r="C142" s="5">
        <f>'[30]Dados de entrada'!$B$31</f>
        <v>2</v>
      </c>
      <c r="D142" s="5">
        <f>'[30]Dados de entrada'!$B$32</f>
        <v>296</v>
      </c>
      <c r="E142" s="11">
        <f>'[30]Dados de entrada'!$B$27</f>
        <v>3.2689999999999997</v>
      </c>
      <c r="F142" s="5">
        <f>'[30]Dados de entrada'!$B$30</f>
        <v>25</v>
      </c>
      <c r="G142" s="12">
        <f>'[30]Dados de entrada'!$B$22</f>
        <v>31</v>
      </c>
      <c r="H142" s="52">
        <f>'[30]Dados de entrada'!$B$29/(2*'[30]Dados de entrada'!$B$20*G142)</f>
        <v>8.870967741935484E-3</v>
      </c>
      <c r="I142" s="53">
        <f>'[30]fib Model Code 2010'!$K$6</f>
        <v>242.34630278375195</v>
      </c>
      <c r="J142" s="4">
        <f>'[30]Dados de entrada'!$C$8</f>
        <v>0.25</v>
      </c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11">
        <f>'[30]fib Model Code 2010'!$L$6</f>
        <v>0.11192516701366445</v>
      </c>
      <c r="AE142" s="11">
        <f t="shared" si="145"/>
        <v>0.4477006680546578</v>
      </c>
      <c r="AF142" s="29">
        <f t="shared" si="126"/>
        <v>-0.80363042154366171</v>
      </c>
      <c r="AG142" s="11">
        <f>'[30]fib Model Code 2020'!$L$6</f>
        <v>9.9185026568017642E-2</v>
      </c>
      <c r="AH142" s="11">
        <f t="shared" si="146"/>
        <v>0.39674010627207057</v>
      </c>
      <c r="AI142" s="55">
        <f t="shared" si="127"/>
        <v>-0.92447385681894834</v>
      </c>
      <c r="AJ142" s="11">
        <f>'[30]Eurocode 2'!$L$6</f>
        <v>0.18066781350852884</v>
      </c>
      <c r="AK142" s="11">
        <f t="shared" si="155"/>
        <v>0.72267125403411536</v>
      </c>
      <c r="AL142" s="11">
        <f t="shared" si="128"/>
        <v>-0.32480085727767188</v>
      </c>
      <c r="AM142" s="11">
        <f>'[30]NBR 6118'!$Q$6</f>
        <v>0.33343041743444302</v>
      </c>
      <c r="AN142" s="11">
        <f>'[30]NBR 6118'!$R$6</f>
        <v>0.12164840551874925</v>
      </c>
      <c r="AO142" s="11">
        <v>0.48659362207499701</v>
      </c>
      <c r="AP142" s="11">
        <f t="shared" si="129"/>
        <v>-0.72032595583945846</v>
      </c>
      <c r="AQ142" s="11">
        <v>0.3242250679390129</v>
      </c>
      <c r="AR142" s="11">
        <f t="shared" si="156"/>
        <v>1.2969002717560516</v>
      </c>
      <c r="AS142" s="11">
        <f t="shared" si="130"/>
        <v>0.25997701090233238</v>
      </c>
      <c r="AT142" s="11"/>
      <c r="AU142" s="11"/>
      <c r="AV142" s="11"/>
      <c r="AW142" s="11">
        <v>0.41661267171776939</v>
      </c>
      <c r="AX142" s="11">
        <f t="shared" si="174"/>
        <v>1.6664506868710776</v>
      </c>
      <c r="AY142" s="11">
        <f t="shared" si="175"/>
        <v>0.51069602749140275</v>
      </c>
      <c r="AZ142" s="11">
        <v>0.18354969846414795</v>
      </c>
      <c r="BA142" s="11">
        <f t="shared" si="176"/>
        <v>0.73419879385659181</v>
      </c>
      <c r="BB142" s="11">
        <f t="shared" si="177"/>
        <v>-0.30897545072027333</v>
      </c>
      <c r="BC142" s="11">
        <v>0.12596340903755263</v>
      </c>
      <c r="BD142" s="11">
        <f t="shared" si="178"/>
        <v>0.5038536361502105</v>
      </c>
      <c r="BE142" s="11">
        <f t="shared" si="179"/>
        <v>-0.6854694575501783</v>
      </c>
      <c r="BF142" s="11">
        <v>0.25318216057234166</v>
      </c>
      <c r="BG142" s="11">
        <f t="shared" si="139"/>
        <v>1.0127286422893667</v>
      </c>
      <c r="BH142" s="11">
        <f t="shared" si="140"/>
        <v>1.2648314050215041E-2</v>
      </c>
      <c r="BI142" s="11">
        <v>0.12649536757740656</v>
      </c>
      <c r="BJ142" s="11">
        <f t="shared" si="180"/>
        <v>0.50598147030962626</v>
      </c>
      <c r="BK142" s="11">
        <f t="shared" si="181"/>
        <v>-0.68125523030664803</v>
      </c>
      <c r="BL142" s="11">
        <v>0.13602433814170228</v>
      </c>
      <c r="BM142" s="11">
        <f t="shared" si="141"/>
        <v>0.54409735256680913</v>
      </c>
      <c r="BN142" s="11">
        <f t="shared" si="142"/>
        <v>-0.60862709121279313</v>
      </c>
      <c r="BS142" t="b">
        <f t="shared" si="169"/>
        <v>1</v>
      </c>
      <c r="BU142" t="b">
        <f t="shared" si="170"/>
        <v>0</v>
      </c>
      <c r="BW142" t="b">
        <f t="shared" si="171"/>
        <v>1</v>
      </c>
    </row>
    <row r="143" spans="1:75">
      <c r="A143" s="89"/>
      <c r="B143" s="5">
        <f>'[30]Dados de entrada'!$B$28</f>
        <v>12</v>
      </c>
      <c r="C143" s="5">
        <f>'[30]Dados de entrada'!$B$31</f>
        <v>2</v>
      </c>
      <c r="D143" s="5">
        <f>'[30]Dados de entrada'!$B$32</f>
        <v>296</v>
      </c>
      <c r="E143" s="11">
        <f>'[30]Dados de entrada'!$B$27</f>
        <v>3.2689999999999997</v>
      </c>
      <c r="F143" s="5">
        <f>'[30]Dados de entrada'!$B$30</f>
        <v>25</v>
      </c>
      <c r="G143" s="12">
        <f>'[30]Dados de entrada'!$B$22</f>
        <v>31</v>
      </c>
      <c r="H143" s="52">
        <f>'[30]Dados de entrada'!$B$29/(2*'[30]Dados de entrada'!$B$20*G143)</f>
        <v>8.870967741935484E-3</v>
      </c>
      <c r="I143" s="53">
        <f>'[30]fib Model Code 2010'!$K$7</f>
        <v>308.4064320472358</v>
      </c>
      <c r="J143" s="4">
        <f>'[30]Dados de entrada'!$C$9</f>
        <v>0.33</v>
      </c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11">
        <f>'[30]fib Model Code 2010'!$L$7</f>
        <v>0.21668127773659174</v>
      </c>
      <c r="AE143" s="11">
        <f t="shared" si="145"/>
        <v>0.65660993253512645</v>
      </c>
      <c r="AF143" s="29">
        <f t="shared" si="126"/>
        <v>-0.42066514680529149</v>
      </c>
      <c r="AG143" s="11">
        <f>'[30]fib Model Code 2020'!$L$7</f>
        <v>0.12948602837323961</v>
      </c>
      <c r="AH143" s="11">
        <f t="shared" si="146"/>
        <v>0.39238190416133212</v>
      </c>
      <c r="AI143" s="55">
        <f t="shared" si="127"/>
        <v>-0.93551966815110421</v>
      </c>
      <c r="AJ143" s="11">
        <f>'[30]Eurocode 2'!$L$7</f>
        <v>0.22991527046178831</v>
      </c>
      <c r="AK143" s="11">
        <f t="shared" si="155"/>
        <v>0.69671294079329782</v>
      </c>
      <c r="AL143" s="11">
        <f t="shared" si="128"/>
        <v>-0.36138180270590953</v>
      </c>
      <c r="AM143" s="11">
        <f>'[30]NBR 6118'!$Q$7</f>
        <v>0.42431877109647964</v>
      </c>
      <c r="AN143" s="11">
        <f>'[30]NBR 6118'!$R$7</f>
        <v>0.19700646478417433</v>
      </c>
      <c r="AO143" s="11">
        <v>0.59698928722477063</v>
      </c>
      <c r="AP143" s="11">
        <f t="shared" si="129"/>
        <v>-0.51585611009765453</v>
      </c>
      <c r="AQ143" s="11">
        <v>0.4698840496852168</v>
      </c>
      <c r="AR143" s="11">
        <f t="shared" si="156"/>
        <v>1.4238910596521721</v>
      </c>
      <c r="AS143" s="11">
        <f t="shared" si="130"/>
        <v>0.35339330701002625</v>
      </c>
      <c r="AT143" s="11"/>
      <c r="AU143" s="11"/>
      <c r="AV143" s="11"/>
      <c r="AW143" s="11">
        <v>0.53017531587759759</v>
      </c>
      <c r="AX143" s="11">
        <f t="shared" si="174"/>
        <v>1.6065918662957501</v>
      </c>
      <c r="AY143" s="11">
        <f t="shared" si="175"/>
        <v>0.47411508206316511</v>
      </c>
      <c r="AZ143" s="11">
        <v>0.24347328807266899</v>
      </c>
      <c r="BA143" s="11">
        <f t="shared" si="176"/>
        <v>0.73779784264445147</v>
      </c>
      <c r="BB143" s="11">
        <f t="shared" si="177"/>
        <v>-0.30408541786225984</v>
      </c>
      <c r="BC143" s="11">
        <v>0.16908710638359509</v>
      </c>
      <c r="BD143" s="11">
        <f t="shared" si="178"/>
        <v>0.51238517085937907</v>
      </c>
      <c r="BE143" s="11">
        <f t="shared" si="179"/>
        <v>-0.6686786499338101</v>
      </c>
      <c r="BF143" s="11">
        <v>0.32219598938879002</v>
      </c>
      <c r="BG143" s="11">
        <f t="shared" si="139"/>
        <v>0.97635148299633334</v>
      </c>
      <c r="BH143" s="11">
        <f t="shared" si="140"/>
        <v>-2.3932631378022529E-2</v>
      </c>
      <c r="BI143" s="11">
        <v>0.20676471345255315</v>
      </c>
      <c r="BJ143" s="11">
        <f t="shared" si="180"/>
        <v>0.6265597377350095</v>
      </c>
      <c r="BK143" s="11">
        <f t="shared" si="181"/>
        <v>-0.46751115765934487</v>
      </c>
      <c r="BL143" s="11">
        <v>0.18086829947803473</v>
      </c>
      <c r="BM143" s="11">
        <f t="shared" si="141"/>
        <v>0.54808575599404463</v>
      </c>
      <c r="BN143" s="11">
        <f t="shared" si="142"/>
        <v>-0.60132351523702665</v>
      </c>
      <c r="BS143" t="b">
        <f t="shared" si="169"/>
        <v>1</v>
      </c>
      <c r="BU143" t="b">
        <f t="shared" si="170"/>
        <v>0</v>
      </c>
      <c r="BW143" t="b">
        <f t="shared" si="171"/>
        <v>1</v>
      </c>
    </row>
    <row r="144" spans="1:75">
      <c r="A144" s="85" t="s">
        <v>65</v>
      </c>
      <c r="B144" s="21">
        <f>'[31]Dados de entrada'!$B$28</f>
        <v>12</v>
      </c>
      <c r="C144" s="21">
        <f>'[31]Dados de entrada'!$B$31</f>
        <v>2</v>
      </c>
      <c r="D144" s="21">
        <f>'[31]Dados de entrada'!$B$32</f>
        <v>296</v>
      </c>
      <c r="E144" s="20">
        <f>'[31]Dados de entrada'!$B$27</f>
        <v>3.2689999999999997</v>
      </c>
      <c r="F144" s="21">
        <f>'[31]Dados de entrada'!$B$30</f>
        <v>25</v>
      </c>
      <c r="G144" s="56">
        <f>'[31]Dados de entrada'!$B$22</f>
        <v>31</v>
      </c>
      <c r="H144" s="57">
        <f>'[31]Dados de entrada'!$B$29/(2*'[31]Dados de entrada'!$B$20*G144)</f>
        <v>8.870967741935484E-3</v>
      </c>
      <c r="I144" s="27" cm="1">
        <f t="array" ref="I144:I145">'[31]fib Model Code 2010'!$K$5:$K$6</f>
        <v>242.34630278375195</v>
      </c>
      <c r="J144" s="19" cm="1">
        <f t="array" ref="J144:J145">'[31]Dados de entrada'!$C$7:$C$8</f>
        <v>0.23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0" cm="1">
        <f t="array" ref="AD144:AD145">'[31]fib Model Code 2010'!$L$5:$L$6</f>
        <v>0.11192516701366445</v>
      </c>
      <c r="AE144" s="20">
        <f t="shared" ref="AE144:AE181" si="182">AD144/J144</f>
        <v>0.48663116092897585</v>
      </c>
      <c r="AF144" s="54">
        <f t="shared" ref="AF144:AF181" si="183">LN(AE144)</f>
        <v>-0.72024881260461071</v>
      </c>
      <c r="AG144" s="20" cm="1">
        <f t="array" ref="AG144:AG145">'[31]fib Model Code 2020'!$L$5:$L$6</f>
        <v>9.9185026568017642E-2</v>
      </c>
      <c r="AH144" s="20">
        <f t="shared" ref="AH144:AH157" si="184">AG144/J144</f>
        <v>0.43123924594790275</v>
      </c>
      <c r="AI144" s="28">
        <f t="shared" ref="AI144:AI157" si="185">LN(AH144)</f>
        <v>-0.84109224787989745</v>
      </c>
      <c r="AJ144" s="20" cm="1">
        <f t="array" ref="AJ144:AJ145">'[31]Eurocode 2'!$L$5:$L$6</f>
        <v>0.18066781350852884</v>
      </c>
      <c r="AK144" s="20">
        <f t="shared" ref="AK144:AK157" si="186">AJ144/J144</f>
        <v>0.78551223264577752</v>
      </c>
      <c r="AL144" s="20">
        <f t="shared" ref="AL144:AL157" si="187">LN(AK144)</f>
        <v>-0.24141924833862086</v>
      </c>
      <c r="AM144" s="20" cm="1">
        <f t="array" ref="AM144:AM145">'[31]NBR 6118'!$Q$5:$Q$6</f>
        <v>0.33343041743444302</v>
      </c>
      <c r="AN144" s="20" cm="1">
        <f t="array" ref="AN144:AN145">'[31]NBR 6118'!$R$5:$R$6</f>
        <v>0.12164840551874925</v>
      </c>
      <c r="AO144" s="20" cm="1">
        <f t="array" ref="AO144:AO145">'[31]NBR 6118'!$W$5:$W$6</f>
        <v>0.52890611095108364</v>
      </c>
      <c r="AP144" s="20">
        <f t="shared" si="129"/>
        <v>-0.63694434690040758</v>
      </c>
      <c r="AQ144" s="20" cm="1">
        <f t="array" ref="AQ144:AQ145">'[31]Clark (1956)'!$L$5:$L$6</f>
        <v>0.3242250679390129</v>
      </c>
      <c r="AR144" s="20">
        <f t="shared" ref="AR144:AR157" si="188">AQ144/J144</f>
        <v>1.4096742084304907</v>
      </c>
      <c r="AS144" s="20">
        <f t="shared" ref="AS144:AS157" si="189">LN(AR144)</f>
        <v>0.34335861984138333</v>
      </c>
      <c r="AT144" s="20"/>
      <c r="AU144" s="20"/>
      <c r="AV144" s="20"/>
      <c r="AW144" s="20" cm="1">
        <f t="array" ref="AW144:AW145">'[31]Desayi; Ganesan (1985)'!$L$5:$L$6</f>
        <v>0.41661267171776939</v>
      </c>
      <c r="AX144" s="20">
        <f t="shared" ref="AX144:AX157" si="190">AW144/J144</f>
        <v>1.8113594422511712</v>
      </c>
      <c r="AY144" s="20">
        <f t="shared" ref="AY144:AY157" si="191">LN(AX144)</f>
        <v>0.59407763643045375</v>
      </c>
      <c r="AZ144" s="20" cm="1">
        <f t="array" ref="AZ144:AZ145">'[31]Oh; Kang (1987)'!$L$5:$L$6</f>
        <v>0.18354969846414795</v>
      </c>
      <c r="BA144" s="20">
        <f t="shared" ref="BA144:BA157" si="192">AZ144/J144</f>
        <v>0.79804216723542587</v>
      </c>
      <c r="BB144" s="20">
        <f t="shared" ref="BB144:BB157" si="193">LN(BA144)</f>
        <v>-0.2255938417812223</v>
      </c>
      <c r="BC144" s="20" cm="1">
        <f t="array" ref="BC144:BC145">'[31]Caldas (1997)'!$L$5:$L$6</f>
        <v>0.12596340903755263</v>
      </c>
      <c r="BD144" s="20">
        <f t="shared" ref="BD144:BD157" si="194">BC144/J144</f>
        <v>0.5476669958154462</v>
      </c>
      <c r="BE144" s="20">
        <f t="shared" ref="BE144:BE157" si="195">LN(BD144)</f>
        <v>-0.6020878486111273</v>
      </c>
      <c r="BF144" s="20" cm="1">
        <f t="array" ref="BF144:BF145">'[31]Gergely e Lutz (1968)'!$L$5:$L$6</f>
        <v>0.25318216057234166</v>
      </c>
      <c r="BG144" s="20">
        <f t="shared" si="139"/>
        <v>1.1007920024884419</v>
      </c>
      <c r="BH144" s="20">
        <f t="shared" si="140"/>
        <v>9.6029922989265978E-2</v>
      </c>
      <c r="BI144" s="20" cm="1">
        <f t="array" ref="BI144:BI145">[31]Sugestão!$M$5:$M$6</f>
        <v>0.12649536757740656</v>
      </c>
      <c r="BJ144" s="20">
        <f t="shared" si="180"/>
        <v>0.54997985903220248</v>
      </c>
      <c r="BK144" s="20">
        <f t="shared" si="181"/>
        <v>-0.59787362136759692</v>
      </c>
      <c r="BL144" s="20" cm="1">
        <f t="array" ref="BL144:BL145">'[31]fib Model Code 2020 modificado'!$L$5:$L$6</f>
        <v>0.13602433814170228</v>
      </c>
      <c r="BM144" s="20">
        <f t="shared" si="141"/>
        <v>0.59141016583348816</v>
      </c>
      <c r="BN144" s="20">
        <f t="shared" si="142"/>
        <v>-0.52524548227374213</v>
      </c>
      <c r="BS144" t="b">
        <f t="shared" si="169"/>
        <v>1</v>
      </c>
      <c r="BU144" t="b">
        <f t="shared" si="170"/>
        <v>0</v>
      </c>
      <c r="BW144" t="b">
        <f t="shared" si="171"/>
        <v>1</v>
      </c>
    </row>
    <row r="145" spans="1:75">
      <c r="A145" s="86"/>
      <c r="B145" s="21">
        <f>'[31]Dados de entrada'!$B$28</f>
        <v>12</v>
      </c>
      <c r="C145" s="21">
        <f>'[31]Dados de entrada'!$B$31</f>
        <v>2</v>
      </c>
      <c r="D145" s="21">
        <f>'[31]Dados de entrada'!$B$32</f>
        <v>296</v>
      </c>
      <c r="E145" s="20">
        <f>'[31]Dados de entrada'!$B$27</f>
        <v>3.2689999999999997</v>
      </c>
      <c r="F145" s="21">
        <f>'[31]Dados de entrada'!$B$30</f>
        <v>25</v>
      </c>
      <c r="G145" s="56">
        <f>'[31]Dados de entrada'!$B$22</f>
        <v>31</v>
      </c>
      <c r="H145" s="57">
        <f>'[31]Dados de entrada'!$B$29/(2*'[31]Dados de entrada'!$B$20*G145)</f>
        <v>8.870967741935484E-3</v>
      </c>
      <c r="I145" s="27">
        <v>308.4064320472358</v>
      </c>
      <c r="J145" s="19">
        <v>0.28000000000000003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0">
        <v>0.21668127773659174</v>
      </c>
      <c r="AE145" s="20">
        <f t="shared" si="182"/>
        <v>0.77386170620211325</v>
      </c>
      <c r="AF145" s="54">
        <f t="shared" si="183"/>
        <v>-0.25636209551401523</v>
      </c>
      <c r="AG145" s="20">
        <v>0.12948602837323961</v>
      </c>
      <c r="AH145" s="20">
        <f t="shared" si="184"/>
        <v>0.46245010133299858</v>
      </c>
      <c r="AI145" s="28">
        <f t="shared" si="185"/>
        <v>-0.77121661685982779</v>
      </c>
      <c r="AJ145" s="20">
        <v>0.22991527046178831</v>
      </c>
      <c r="AK145" s="20">
        <f t="shared" si="186"/>
        <v>0.82112596593495812</v>
      </c>
      <c r="AL145" s="20">
        <f t="shared" si="187"/>
        <v>-0.19707875141463327</v>
      </c>
      <c r="AM145" s="20">
        <v>0.42431877109647964</v>
      </c>
      <c r="AN145" s="20">
        <v>0.19700646478417433</v>
      </c>
      <c r="AO145" s="20">
        <v>0.7035945170863368</v>
      </c>
      <c r="AP145" s="20">
        <f t="shared" si="129"/>
        <v>-0.35155305880637827</v>
      </c>
      <c r="AQ145" s="20">
        <v>0.4698840496852168</v>
      </c>
      <c r="AR145" s="20">
        <f t="shared" si="188"/>
        <v>1.6781573203043456</v>
      </c>
      <c r="AS145" s="20">
        <f t="shared" si="189"/>
        <v>0.51769635830130256</v>
      </c>
      <c r="AT145" s="20"/>
      <c r="AU145" s="20"/>
      <c r="AV145" s="20"/>
      <c r="AW145" s="20">
        <v>0.53017531587759759</v>
      </c>
      <c r="AX145" s="20">
        <f t="shared" si="190"/>
        <v>1.8934832709914198</v>
      </c>
      <c r="AY145" s="20">
        <f t="shared" si="191"/>
        <v>0.63841813335444142</v>
      </c>
      <c r="AZ145" s="20">
        <v>0.24347328807266899</v>
      </c>
      <c r="BA145" s="20">
        <f t="shared" si="192"/>
        <v>0.86954745740238915</v>
      </c>
      <c r="BB145" s="20">
        <f t="shared" si="193"/>
        <v>-0.13978236657098364</v>
      </c>
      <c r="BC145" s="20">
        <v>0.16908710638359509</v>
      </c>
      <c r="BD145" s="20">
        <f t="shared" si="194"/>
        <v>0.60388252279855381</v>
      </c>
      <c r="BE145" s="20">
        <f t="shared" si="195"/>
        <v>-0.50437559864253401</v>
      </c>
      <c r="BF145" s="20">
        <v>0.32219598938879002</v>
      </c>
      <c r="BG145" s="20">
        <f t="shared" si="139"/>
        <v>1.1506999621028213</v>
      </c>
      <c r="BH145" s="20">
        <f t="shared" si="140"/>
        <v>0.14037041991325369</v>
      </c>
      <c r="BI145" s="20">
        <v>0.20676471345255315</v>
      </c>
      <c r="BJ145" s="20">
        <f t="shared" si="180"/>
        <v>0.73844540518768975</v>
      </c>
      <c r="BK145" s="20">
        <f t="shared" si="181"/>
        <v>-0.30320810636806861</v>
      </c>
      <c r="BL145" s="20">
        <v>0.18086829947803473</v>
      </c>
      <c r="BM145" s="20">
        <f t="shared" si="141"/>
        <v>0.6459582124215526</v>
      </c>
      <c r="BN145" s="20">
        <f t="shared" si="142"/>
        <v>-0.43702046394575039</v>
      </c>
      <c r="BS145" t="b">
        <f t="shared" si="169"/>
        <v>1</v>
      </c>
      <c r="BU145" t="b">
        <f t="shared" si="170"/>
        <v>0</v>
      </c>
      <c r="BW145" t="b">
        <f t="shared" si="171"/>
        <v>1</v>
      </c>
    </row>
    <row r="146" spans="1:75">
      <c r="A146" s="87" t="s">
        <v>66</v>
      </c>
      <c r="B146" s="5">
        <f>'[32]Dados de entrada'!$B$28</f>
        <v>12</v>
      </c>
      <c r="C146" s="5">
        <f>'[32]Dados de entrada'!$B$31</f>
        <v>3</v>
      </c>
      <c r="D146" s="5">
        <f>'[32]Dados de entrada'!$B$32</f>
        <v>142</v>
      </c>
      <c r="E146" s="11">
        <f>'[32]Dados de entrada'!$B$27</f>
        <v>3.2689999999999997</v>
      </c>
      <c r="F146" s="5">
        <f>'[32]Dados de entrada'!$B$30</f>
        <v>25</v>
      </c>
      <c r="G146" s="12">
        <f>'[32]Dados de entrada'!$B$22</f>
        <v>31</v>
      </c>
      <c r="H146" s="52">
        <f>'[32]Dados de entrada'!$B$29/(2*'[32]Dados de entrada'!$B$20*G146)</f>
        <v>1.3306451612903225E-2</v>
      </c>
      <c r="I146" s="53" cm="1">
        <f t="array" ref="I146:I148">'[32]fib Model Code 2010'!$K$5:$K$7</f>
        <v>208.77973928930371</v>
      </c>
      <c r="J146" s="4" cm="1">
        <f t="array" ref="J146:J148">'[32]Dados de entrada'!$C$7:$C$9</f>
        <v>0.18</v>
      </c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11" cm="1">
        <f t="array" ref="AD146:AD148">'[32]fib Model Code 2010'!$L$5:$L$7</f>
        <v>0.10347446244459625</v>
      </c>
      <c r="AE146" s="11">
        <f t="shared" si="182"/>
        <v>0.57485812469220143</v>
      </c>
      <c r="AF146" s="29">
        <f t="shared" si="183"/>
        <v>-0.55363200829576276</v>
      </c>
      <c r="AG146" s="11" cm="1">
        <f t="array" ref="AG146:AG148">'[32]fib Model Code 2020'!$L$5:$L$7</f>
        <v>8.6147565717616184E-2</v>
      </c>
      <c r="AH146" s="11">
        <f t="shared" si="184"/>
        <v>0.47859758732008995</v>
      </c>
      <c r="AI146" s="55">
        <f t="shared" si="185"/>
        <v>-0.7368951446403158</v>
      </c>
      <c r="AJ146" s="11" cm="1">
        <f t="array" ref="AJ146:AJ148">'[32]Eurocode 2'!$L$5:$L$7</f>
        <v>0.11867255549449668</v>
      </c>
      <c r="AK146" s="11">
        <f t="shared" si="186"/>
        <v>0.65929197496942604</v>
      </c>
      <c r="AL146" s="11">
        <f t="shared" si="187"/>
        <v>-0.41658878498394314</v>
      </c>
      <c r="AM146" s="11" cm="1">
        <f t="array" ref="AM146:AM148">'[32]NBR 6118'!$Q$5:$Q$7</f>
        <v>0.26293747900386055</v>
      </c>
      <c r="AN146" s="11" cm="1">
        <f t="array" ref="AN146:AN148">'[32]NBR 6118'!$R$5:$R$7</f>
        <v>9.1097171658443665E-2</v>
      </c>
      <c r="AO146" s="11" cm="1">
        <f t="array" ref="AO146:AO148">'[32]NBR 6118'!$W$5:$W$7</f>
        <v>0.50609539810246484</v>
      </c>
      <c r="AP146" s="11">
        <f t="shared" si="129"/>
        <v>-0.68103009366559708</v>
      </c>
      <c r="AQ146" s="11" cm="1">
        <f t="array" ref="AQ146:AQ148">'[32]Clark (1956)'!$L$5:$L$7</f>
        <v>0.21197639111186425</v>
      </c>
      <c r="AR146" s="11">
        <f t="shared" si="188"/>
        <v>1.1776466172881348</v>
      </c>
      <c r="AS146" s="11">
        <f t="shared" si="189"/>
        <v>0.1635180549006329</v>
      </c>
      <c r="AT146" s="11"/>
      <c r="AU146" s="11"/>
      <c r="AV146" s="11"/>
      <c r="AW146" s="11" cm="1">
        <f t="array" ref="AW146:AW148">'[32]Desayi; Ganesan (1985)'!$L$5:$L$7</f>
        <v>0.27575608799549106</v>
      </c>
      <c r="AX146" s="11">
        <f t="shared" si="190"/>
        <v>1.5319782666416171</v>
      </c>
      <c r="AY146" s="11">
        <f t="shared" si="191"/>
        <v>0.42655988495251052</v>
      </c>
      <c r="AZ146" s="11" cm="1">
        <f t="array" ref="AZ146:AZ148">'[32]Oh; Kang (1987)'!$L$5:$L$7</f>
        <v>0.11780538590963713</v>
      </c>
      <c r="BA146" s="11">
        <f t="shared" si="192"/>
        <v>0.65447436616465071</v>
      </c>
      <c r="BB146" s="11">
        <f t="shared" si="193"/>
        <v>-0.42392285992300549</v>
      </c>
      <c r="BC146" s="11" cm="1">
        <f t="array" ref="BC146:BC148">'[32]Caldas (1997)'!$L$5:$L$7</f>
        <v>0.11051741448501715</v>
      </c>
      <c r="BD146" s="11">
        <f t="shared" si="194"/>
        <v>0.61398563602787304</v>
      </c>
      <c r="BE146" s="11">
        <f t="shared" si="195"/>
        <v>-0.48778374520005258</v>
      </c>
      <c r="BF146" s="11" cm="1">
        <f t="array" ref="BF146:BF148">'[32]Gergely e Lutz (1968)'!$L$5:$L$7</f>
        <v>0.19310393695580022</v>
      </c>
      <c r="BG146" s="11">
        <f t="shared" si="139"/>
        <v>1.0727996497544456</v>
      </c>
      <c r="BH146" s="11">
        <f t="shared" si="140"/>
        <v>7.0271726507319471E-2</v>
      </c>
      <c r="BI146" s="11" cm="1">
        <f t="array" ref="BI146:BI148">[32]Sugestão!$M$5:$M$7</f>
        <v>9.4650621461279991E-2</v>
      </c>
      <c r="BJ146" s="11">
        <f t="shared" si="180"/>
        <v>0.52583678589599991</v>
      </c>
      <c r="BK146" s="11">
        <f t="shared" si="181"/>
        <v>-0.64276440736863694</v>
      </c>
      <c r="BL146" s="11" cm="1">
        <f t="array" ref="BL146:BL148">'[32]fib Model Code 2020 modificado'!$L$5:$L$7</f>
        <v>0.1163361068902061</v>
      </c>
      <c r="BM146" s="11">
        <f t="shared" si="141"/>
        <v>0.64631170494558943</v>
      </c>
      <c r="BN146" s="11">
        <f t="shared" si="142"/>
        <v>-0.43647337617700643</v>
      </c>
      <c r="BS146" t="b">
        <f t="shared" si="169"/>
        <v>1</v>
      </c>
      <c r="BU146" t="b">
        <f t="shared" si="170"/>
        <v>0</v>
      </c>
      <c r="BW146" t="b">
        <f t="shared" si="171"/>
        <v>1</v>
      </c>
    </row>
    <row r="147" spans="1:75">
      <c r="A147" s="88"/>
      <c r="B147" s="5">
        <f>'[32]Dados de entrada'!$B$28</f>
        <v>12</v>
      </c>
      <c r="C147" s="5">
        <f>'[32]Dados de entrada'!$B$31</f>
        <v>3</v>
      </c>
      <c r="D147" s="5">
        <f>'[32]Dados de entrada'!$B$32</f>
        <v>142</v>
      </c>
      <c r="E147" s="11">
        <f>'[32]Dados de entrada'!$B$27</f>
        <v>3.2689999999999997</v>
      </c>
      <c r="F147" s="5">
        <f>'[32]Dados de entrada'!$B$30</f>
        <v>25</v>
      </c>
      <c r="G147" s="12">
        <f>'[32]Dados de entrada'!$B$22</f>
        <v>31</v>
      </c>
      <c r="H147" s="52">
        <f>'[32]Dados de entrada'!$B$29/(2*'[32]Dados de entrada'!$B$20*G147)</f>
        <v>1.3306451612903225E-2</v>
      </c>
      <c r="I147" s="53">
        <v>253.50000168297348</v>
      </c>
      <c r="J147" s="4">
        <v>0.23</v>
      </c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11">
        <v>0.15282389384059317</v>
      </c>
      <c r="AE147" s="11">
        <f t="shared" si="182"/>
        <v>0.66445171235040501</v>
      </c>
      <c r="AF147" s="29">
        <f t="shared" si="183"/>
        <v>-0.40879307111349444</v>
      </c>
      <c r="AG147" s="11">
        <v>0.10460022667304195</v>
      </c>
      <c r="AH147" s="11">
        <f t="shared" si="184"/>
        <v>0.45478359423061715</v>
      </c>
      <c r="AI147" s="55">
        <f t="shared" si="185"/>
        <v>-0.78793359024843079</v>
      </c>
      <c r="AJ147" s="11">
        <v>0.14409201352575365</v>
      </c>
      <c r="AK147" s="11">
        <f t="shared" si="186"/>
        <v>0.62648701532936368</v>
      </c>
      <c r="AL147" s="11">
        <f t="shared" si="187"/>
        <v>-0.46762723059205807</v>
      </c>
      <c r="AM147" s="11">
        <v>0.319258236440428</v>
      </c>
      <c r="AN147" s="11">
        <v>0.13430250855204315</v>
      </c>
      <c r="AO147" s="11">
        <v>0.58392395022627452</v>
      </c>
      <c r="AP147" s="11">
        <f t="shared" si="129"/>
        <v>-0.53798452684884224</v>
      </c>
      <c r="AQ147" s="11">
        <v>0.27771355063919906</v>
      </c>
      <c r="AR147" s="11">
        <f t="shared" si="188"/>
        <v>1.2074502201704307</v>
      </c>
      <c r="AS147" s="11">
        <f t="shared" si="189"/>
        <v>0.1885108801630607</v>
      </c>
      <c r="AT147" s="11" cm="1">
        <f t="array" ref="AT147:AT148">'[32]Leonhardt (1977)'!$L$6:$L$7</f>
        <v>0.12220371396848656</v>
      </c>
      <c r="AU147" s="11">
        <f t="shared" ref="AU147:AU157" si="196">AT147/J147</f>
        <v>0.53132049551515892</v>
      </c>
      <c r="AV147" s="11">
        <f t="shared" ref="AV147:AV157" si="197">LN(AU147)</f>
        <v>-0.63238987010673786</v>
      </c>
      <c r="AW147" s="11">
        <v>0.33482256951227324</v>
      </c>
      <c r="AX147" s="11">
        <f t="shared" si="190"/>
        <v>1.4557503022272749</v>
      </c>
      <c r="AY147" s="11">
        <f t="shared" si="191"/>
        <v>0.37552143934439575</v>
      </c>
      <c r="AZ147" s="11">
        <v>0.14901936805850263</v>
      </c>
      <c r="BA147" s="11">
        <f t="shared" si="192"/>
        <v>0.64791029590653315</v>
      </c>
      <c r="BB147" s="11">
        <f t="shared" si="193"/>
        <v>-0.4340030244554941</v>
      </c>
      <c r="BC147" s="11">
        <v>0.13967437273173941</v>
      </c>
      <c r="BD147" s="11">
        <f t="shared" si="194"/>
        <v>0.60727988144234524</v>
      </c>
      <c r="BE147" s="11">
        <f t="shared" si="195"/>
        <v>-0.49876550450097629</v>
      </c>
      <c r="BF147" s="11">
        <v>0.23446646935147353</v>
      </c>
      <c r="BG147" s="11">
        <f t="shared" si="139"/>
        <v>1.0194194319629284</v>
      </c>
      <c r="BH147" s="11">
        <f t="shared" si="140"/>
        <v>1.9233280899204699E-2</v>
      </c>
      <c r="BI147" s="11">
        <v>0.13954127956816229</v>
      </c>
      <c r="BJ147" s="11">
        <f t="shared" si="180"/>
        <v>0.606701215513749</v>
      </c>
      <c r="BK147" s="11">
        <f t="shared" si="181"/>
        <v>-0.49971884055188165</v>
      </c>
      <c r="BL147" s="11">
        <v>0.14375969524004911</v>
      </c>
      <c r="BM147" s="11">
        <f t="shared" si="141"/>
        <v>0.62504215321760481</v>
      </c>
      <c r="BN147" s="11">
        <f t="shared" si="142"/>
        <v>-0.46993618637188961</v>
      </c>
      <c r="BS147" t="b">
        <f t="shared" si="169"/>
        <v>1</v>
      </c>
      <c r="BU147" t="b">
        <f t="shared" si="170"/>
        <v>0</v>
      </c>
      <c r="BW147" t="b">
        <f t="shared" si="171"/>
        <v>1</v>
      </c>
    </row>
    <row r="148" spans="1:75">
      <c r="A148" s="89"/>
      <c r="B148" s="5">
        <f>'[32]Dados de entrada'!$B$28</f>
        <v>12</v>
      </c>
      <c r="C148" s="5">
        <f>'[32]Dados de entrada'!$B$31</f>
        <v>3</v>
      </c>
      <c r="D148" s="5">
        <f>'[32]Dados de entrada'!$B$32</f>
        <v>142</v>
      </c>
      <c r="E148" s="11">
        <f>'[32]Dados de entrada'!$B$27</f>
        <v>3.2689999999999997</v>
      </c>
      <c r="F148" s="5">
        <f>'[32]Dados de entrada'!$B$30</f>
        <v>25</v>
      </c>
      <c r="G148" s="12">
        <f>'[32]Dados de entrada'!$B$22</f>
        <v>31</v>
      </c>
      <c r="H148" s="52">
        <f>'[32]Dados de entrada'!$B$29/(2*'[32]Dados de entrada'!$B$20*G148)</f>
        <v>1.3306451612903225E-2</v>
      </c>
      <c r="I148" s="53">
        <v>298.2202640766431</v>
      </c>
      <c r="J148" s="4">
        <v>0.25</v>
      </c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11">
        <v>0.20217332523658993</v>
      </c>
      <c r="AE148" s="11">
        <f t="shared" si="182"/>
        <v>0.80869330094635972</v>
      </c>
      <c r="AF148" s="29">
        <f t="shared" si="183"/>
        <v>-0.21233554264614149</v>
      </c>
      <c r="AG148" s="11">
        <v>0.12305288762846765</v>
      </c>
      <c r="AH148" s="11">
        <f t="shared" si="184"/>
        <v>0.49221155051387061</v>
      </c>
      <c r="AI148" s="55">
        <f t="shared" si="185"/>
        <v>-0.70884667418579894</v>
      </c>
      <c r="AJ148" s="11">
        <v>0.17356283583266158</v>
      </c>
      <c r="AK148" s="11">
        <f t="shared" si="186"/>
        <v>0.69425134333064631</v>
      </c>
      <c r="AL148" s="11">
        <f t="shared" si="187"/>
        <v>-0.3649212178591868</v>
      </c>
      <c r="AM148" s="11">
        <v>0.3755789938769955</v>
      </c>
      <c r="AN148" s="11">
        <v>0.18586708696734508</v>
      </c>
      <c r="AO148" s="11">
        <v>0.74346834786938032</v>
      </c>
      <c r="AP148" s="11">
        <f t="shared" si="129"/>
        <v>-0.29642908578452692</v>
      </c>
      <c r="AQ148" s="11">
        <v>0.34345071016653367</v>
      </c>
      <c r="AR148" s="11">
        <f t="shared" si="188"/>
        <v>1.3738028406661347</v>
      </c>
      <c r="AS148" s="11">
        <f t="shared" si="189"/>
        <v>0.31758269053908966</v>
      </c>
      <c r="AT148" s="11">
        <v>0.27733658290455071</v>
      </c>
      <c r="AU148" s="11">
        <f t="shared" si="196"/>
        <v>1.1093463316182028</v>
      </c>
      <c r="AV148" s="11">
        <f t="shared" si="197"/>
        <v>0.10377095142611538</v>
      </c>
      <c r="AW148" s="11">
        <v>0.39388905102905519</v>
      </c>
      <c r="AX148" s="11">
        <f t="shared" si="190"/>
        <v>1.5755562041162208</v>
      </c>
      <c r="AY148" s="11">
        <f t="shared" si="191"/>
        <v>0.4546083554070276</v>
      </c>
      <c r="AZ148" s="11">
        <v>0.18023335020736803</v>
      </c>
      <c r="BA148" s="11">
        <f t="shared" si="192"/>
        <v>0.7209334008294721</v>
      </c>
      <c r="BB148" s="11">
        <f t="shared" si="193"/>
        <v>-0.32720851651912763</v>
      </c>
      <c r="BC148" s="11">
        <v>0.16883133097846162</v>
      </c>
      <c r="BD148" s="11">
        <f t="shared" si="194"/>
        <v>0.67532532391384648</v>
      </c>
      <c r="BE148" s="11">
        <f t="shared" si="195"/>
        <v>-0.39256074286182963</v>
      </c>
      <c r="BF148" s="11">
        <v>0.2758290017471467</v>
      </c>
      <c r="BG148" s="11">
        <f t="shared" si="139"/>
        <v>1.1033160069885868</v>
      </c>
      <c r="BH148" s="11">
        <f t="shared" si="140"/>
        <v>9.8320196961836512E-2</v>
      </c>
      <c r="BI148" s="11">
        <v>0.19311725018881382</v>
      </c>
      <c r="BJ148" s="11">
        <f t="shared" si="180"/>
        <v>0.77246900075525526</v>
      </c>
      <c r="BK148" s="11">
        <f t="shared" si="181"/>
        <v>-0.25816339948756667</v>
      </c>
      <c r="BL148" s="11">
        <v>0.17206696076939965</v>
      </c>
      <c r="BM148" s="11">
        <f t="shared" si="141"/>
        <v>0.68826784307759858</v>
      </c>
      <c r="BN148" s="11">
        <f t="shared" si="142"/>
        <v>-0.37357721001018807</v>
      </c>
      <c r="BS148" t="b">
        <f t="shared" si="169"/>
        <v>1</v>
      </c>
      <c r="BU148" t="b">
        <f t="shared" si="170"/>
        <v>0</v>
      </c>
      <c r="BW148" t="b">
        <f t="shared" si="171"/>
        <v>1</v>
      </c>
    </row>
    <row r="149" spans="1:75">
      <c r="A149" s="85" t="s">
        <v>67</v>
      </c>
      <c r="B149" s="21">
        <f>'[33]Dados de entrada'!$B$28</f>
        <v>12</v>
      </c>
      <c r="C149" s="21">
        <f>'[33]Dados de entrada'!$B$31</f>
        <v>3</v>
      </c>
      <c r="D149" s="21">
        <f>'[33]Dados de entrada'!$B$32</f>
        <v>142</v>
      </c>
      <c r="E149" s="20">
        <f>'[33]Dados de entrada'!$B$27</f>
        <v>3.2689999999999997</v>
      </c>
      <c r="F149" s="21">
        <f>'[33]Dados de entrada'!$B$30</f>
        <v>25</v>
      </c>
      <c r="G149" s="56">
        <f>'[33]Dados de entrada'!$B$22</f>
        <v>31</v>
      </c>
      <c r="H149" s="57">
        <f>'[33]Dados de entrada'!$B$29/(2*'[33]Dados de entrada'!$B$20*G149)</f>
        <v>1.3306451612903225E-2</v>
      </c>
      <c r="I149" s="27" cm="1">
        <f t="array" ref="I149:I151">'[33]fib Model Code 2010'!$K$5:$K$7</f>
        <v>208.77973928930371</v>
      </c>
      <c r="J149" s="19" cm="1">
        <f t="array" ref="J149:J151">'[33]Dados de entrada'!$C$7:$C$9</f>
        <v>0.18</v>
      </c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0" cm="1">
        <f t="array" ref="AD149:AD151">'[33]fib Model Code 2010'!$L$5:$L$7</f>
        <v>0.10347446244459625</v>
      </c>
      <c r="AE149" s="20">
        <f t="shared" si="182"/>
        <v>0.57485812469220143</v>
      </c>
      <c r="AF149" s="54">
        <f t="shared" si="183"/>
        <v>-0.55363200829576276</v>
      </c>
      <c r="AG149" s="20" cm="1">
        <f t="array" ref="AG149:AG151">'[33]fib Model Code 2020'!$L$5:$L$7</f>
        <v>8.6147565717616184E-2</v>
      </c>
      <c r="AH149" s="20">
        <f t="shared" si="184"/>
        <v>0.47859758732008995</v>
      </c>
      <c r="AI149" s="28">
        <f t="shared" si="185"/>
        <v>-0.7368951446403158</v>
      </c>
      <c r="AJ149" s="20" cm="1">
        <f t="array" ref="AJ149:AJ151">'[33]Eurocode 2'!$L$5:$L$7</f>
        <v>0.11867255549449668</v>
      </c>
      <c r="AK149" s="20">
        <f t="shared" si="186"/>
        <v>0.65929197496942604</v>
      </c>
      <c r="AL149" s="20">
        <f t="shared" si="187"/>
        <v>-0.41658878498394314</v>
      </c>
      <c r="AM149" s="20" cm="1">
        <f t="array" ref="AM149:AM151">'[33]NBR 6118'!$Q$5:$Q$7</f>
        <v>0.26293747900386055</v>
      </c>
      <c r="AN149" s="20" cm="1">
        <f t="array" ref="AN149:AN151">'[33]NBR 6118'!$R$5:$R$7</f>
        <v>9.1097171658443665E-2</v>
      </c>
      <c r="AO149" s="20" cm="1">
        <f t="array" ref="AO149:AO151">'[33]NBR 6118'!$W$5:$W$7</f>
        <v>0.50609539810246484</v>
      </c>
      <c r="AP149" s="20">
        <f t="shared" si="129"/>
        <v>-0.68103009366559708</v>
      </c>
      <c r="AQ149" s="20" cm="1">
        <f t="array" ref="AQ149:AQ151">'[33]Clark (1956)'!$L$5:$L$7</f>
        <v>0.21197639111186425</v>
      </c>
      <c r="AR149" s="20">
        <f t="shared" si="188"/>
        <v>1.1776466172881348</v>
      </c>
      <c r="AS149" s="20">
        <f t="shared" si="189"/>
        <v>0.1635180549006329</v>
      </c>
      <c r="AT149" s="20"/>
      <c r="AU149" s="20"/>
      <c r="AV149" s="20"/>
      <c r="AW149" s="20" cm="1">
        <f t="array" ref="AW149:AW151">'[33]Desayi; Ganesan (1985)'!$L$5:$L$7</f>
        <v>0.27575608799549106</v>
      </c>
      <c r="AX149" s="20">
        <f t="shared" si="190"/>
        <v>1.5319782666416171</v>
      </c>
      <c r="AY149" s="20">
        <f t="shared" si="191"/>
        <v>0.42655988495251052</v>
      </c>
      <c r="AZ149" s="20" cm="1">
        <f t="array" ref="AZ149:AZ151">'[33]Oh; Kang (1987)'!$L$5:$L$7</f>
        <v>0.11780538590963713</v>
      </c>
      <c r="BA149" s="20">
        <f t="shared" si="192"/>
        <v>0.65447436616465071</v>
      </c>
      <c r="BB149" s="20">
        <f t="shared" si="193"/>
        <v>-0.42392285992300549</v>
      </c>
      <c r="BC149" s="20" cm="1">
        <f t="array" ref="BC149:BC151">'[33]Caldas (1997)'!$L$5:$L$7</f>
        <v>0.11051741448501715</v>
      </c>
      <c r="BD149" s="20">
        <f t="shared" si="194"/>
        <v>0.61398563602787304</v>
      </c>
      <c r="BE149" s="20">
        <f t="shared" si="195"/>
        <v>-0.48778374520005258</v>
      </c>
      <c r="BF149" s="20" cm="1">
        <f t="array" ref="BF149:BF151">'[33]Gergely e Lutz (1968)'!$L$5:$L$7</f>
        <v>0.19310393695580022</v>
      </c>
      <c r="BG149" s="20">
        <f t="shared" si="139"/>
        <v>1.0727996497544456</v>
      </c>
      <c r="BH149" s="20">
        <f t="shared" si="140"/>
        <v>7.0271726507319471E-2</v>
      </c>
      <c r="BI149" s="20" cm="1">
        <f t="array" ref="BI149:BI151">[33]Sugestão!$M$5:$M$7</f>
        <v>9.4650621461279991E-2</v>
      </c>
      <c r="BJ149" s="20">
        <f t="shared" si="180"/>
        <v>0.52583678589599991</v>
      </c>
      <c r="BK149" s="20">
        <f t="shared" si="181"/>
        <v>-0.64276440736863694</v>
      </c>
      <c r="BL149" s="20" cm="1">
        <f t="array" ref="BL149:BL151">'[33]fib Model Code 2020 modificado'!$L$5:$L$7</f>
        <v>0.1163361068902061</v>
      </c>
      <c r="BM149" s="20">
        <f t="shared" si="141"/>
        <v>0.64631170494558943</v>
      </c>
      <c r="BN149" s="20">
        <f t="shared" si="142"/>
        <v>-0.43647337617700643</v>
      </c>
      <c r="BS149" t="b">
        <f t="shared" si="169"/>
        <v>1</v>
      </c>
      <c r="BU149" t="b">
        <f t="shared" si="170"/>
        <v>0</v>
      </c>
      <c r="BW149" t="b">
        <f t="shared" si="171"/>
        <v>1</v>
      </c>
    </row>
    <row r="150" spans="1:75">
      <c r="A150" s="90"/>
      <c r="B150" s="21">
        <f>'[33]Dados de entrada'!$B$28</f>
        <v>12</v>
      </c>
      <c r="C150" s="21">
        <f>'[33]Dados de entrada'!$B$31</f>
        <v>3</v>
      </c>
      <c r="D150" s="21">
        <f>'[33]Dados de entrada'!$B$32</f>
        <v>142</v>
      </c>
      <c r="E150" s="20">
        <f>'[33]Dados de entrada'!$B$27</f>
        <v>3.2689999999999997</v>
      </c>
      <c r="F150" s="21">
        <f>'[33]Dados de entrada'!$B$30</f>
        <v>25</v>
      </c>
      <c r="G150" s="56">
        <f>'[33]Dados de entrada'!$B$22</f>
        <v>31</v>
      </c>
      <c r="H150" s="57">
        <f>'[33]Dados de entrada'!$B$29/(2*'[33]Dados de entrada'!$B$20*G150)</f>
        <v>1.3306451612903225E-2</v>
      </c>
      <c r="I150" s="27">
        <v>253.50000168297348</v>
      </c>
      <c r="J150" s="19">
        <v>0.23</v>
      </c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0">
        <v>0.15282389384059317</v>
      </c>
      <c r="AE150" s="20">
        <f t="shared" si="182"/>
        <v>0.66445171235040501</v>
      </c>
      <c r="AF150" s="54">
        <f t="shared" si="183"/>
        <v>-0.40879307111349444</v>
      </c>
      <c r="AG150" s="20">
        <v>0.10460022667304195</v>
      </c>
      <c r="AH150" s="20">
        <f t="shared" si="184"/>
        <v>0.45478359423061715</v>
      </c>
      <c r="AI150" s="28">
        <f t="shared" si="185"/>
        <v>-0.78793359024843079</v>
      </c>
      <c r="AJ150" s="20">
        <v>0.14409201352575365</v>
      </c>
      <c r="AK150" s="20">
        <f t="shared" si="186"/>
        <v>0.62648701532936368</v>
      </c>
      <c r="AL150" s="20">
        <f t="shared" si="187"/>
        <v>-0.46762723059205807</v>
      </c>
      <c r="AM150" s="20">
        <v>0.319258236440428</v>
      </c>
      <c r="AN150" s="20">
        <v>0.13430250855204315</v>
      </c>
      <c r="AO150" s="20">
        <v>0.58392395022627452</v>
      </c>
      <c r="AP150" s="20">
        <f t="shared" si="129"/>
        <v>-0.53798452684884224</v>
      </c>
      <c r="AQ150" s="20">
        <v>0.27771355063919906</v>
      </c>
      <c r="AR150" s="20">
        <f t="shared" si="188"/>
        <v>1.2074502201704307</v>
      </c>
      <c r="AS150" s="20">
        <f t="shared" si="189"/>
        <v>0.1885108801630607</v>
      </c>
      <c r="AT150" s="20" cm="1">
        <f t="array" ref="AT150:AT151">'[33]Leonhardt (1977)'!$L$6:$L$7</f>
        <v>0.12220371396848656</v>
      </c>
      <c r="AU150" s="20">
        <f t="shared" si="196"/>
        <v>0.53132049551515892</v>
      </c>
      <c r="AV150" s="20">
        <f t="shared" si="197"/>
        <v>-0.63238987010673786</v>
      </c>
      <c r="AW150" s="20">
        <v>0.33482256951227324</v>
      </c>
      <c r="AX150" s="20">
        <f t="shared" si="190"/>
        <v>1.4557503022272749</v>
      </c>
      <c r="AY150" s="20">
        <f t="shared" si="191"/>
        <v>0.37552143934439575</v>
      </c>
      <c r="AZ150" s="20">
        <v>0.14901936805850263</v>
      </c>
      <c r="BA150" s="20">
        <f t="shared" si="192"/>
        <v>0.64791029590653315</v>
      </c>
      <c r="BB150" s="20">
        <f t="shared" si="193"/>
        <v>-0.4340030244554941</v>
      </c>
      <c r="BC150" s="20">
        <v>0.13967437273173941</v>
      </c>
      <c r="BD150" s="20">
        <f t="shared" si="194"/>
        <v>0.60727988144234524</v>
      </c>
      <c r="BE150" s="20">
        <f t="shared" si="195"/>
        <v>-0.49876550450097629</v>
      </c>
      <c r="BF150" s="20">
        <v>0.23446646935147353</v>
      </c>
      <c r="BG150" s="20">
        <f t="shared" si="139"/>
        <v>1.0194194319629284</v>
      </c>
      <c r="BH150" s="20">
        <f t="shared" si="140"/>
        <v>1.9233280899204699E-2</v>
      </c>
      <c r="BI150" s="20">
        <v>0.13954127956816229</v>
      </c>
      <c r="BJ150" s="20">
        <f t="shared" si="180"/>
        <v>0.606701215513749</v>
      </c>
      <c r="BK150" s="20">
        <f t="shared" si="181"/>
        <v>-0.49971884055188165</v>
      </c>
      <c r="BL150" s="20">
        <v>0.14375969524004911</v>
      </c>
      <c r="BM150" s="20">
        <f t="shared" si="141"/>
        <v>0.62504215321760481</v>
      </c>
      <c r="BN150" s="20">
        <f t="shared" si="142"/>
        <v>-0.46993618637188961</v>
      </c>
      <c r="BS150" t="b">
        <f t="shared" si="169"/>
        <v>1</v>
      </c>
      <c r="BU150" t="b">
        <f t="shared" si="170"/>
        <v>0</v>
      </c>
      <c r="BW150" t="b">
        <f t="shared" si="171"/>
        <v>1</v>
      </c>
    </row>
    <row r="151" spans="1:75">
      <c r="A151" s="86"/>
      <c r="B151" s="21">
        <f>'[33]Dados de entrada'!$B$28</f>
        <v>12</v>
      </c>
      <c r="C151" s="21">
        <f>'[33]Dados de entrada'!$B$31</f>
        <v>3</v>
      </c>
      <c r="D151" s="21">
        <f>'[33]Dados de entrada'!$B$32</f>
        <v>142</v>
      </c>
      <c r="E151" s="20">
        <f>'[33]Dados de entrada'!$B$27</f>
        <v>3.2689999999999997</v>
      </c>
      <c r="F151" s="21">
        <f>'[33]Dados de entrada'!$B$30</f>
        <v>25</v>
      </c>
      <c r="G151" s="56">
        <f>'[33]Dados de entrada'!$B$22</f>
        <v>31</v>
      </c>
      <c r="H151" s="57">
        <f>'[33]Dados de entrada'!$B$29/(2*'[33]Dados de entrada'!$B$20*G151)</f>
        <v>1.3306451612903225E-2</v>
      </c>
      <c r="I151" s="27">
        <v>298.2202640766431</v>
      </c>
      <c r="J151" s="19">
        <v>0.25</v>
      </c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0">
        <v>0.20217332523658993</v>
      </c>
      <c r="AE151" s="20">
        <f t="shared" si="182"/>
        <v>0.80869330094635972</v>
      </c>
      <c r="AF151" s="54">
        <f t="shared" si="183"/>
        <v>-0.21233554264614149</v>
      </c>
      <c r="AG151" s="20">
        <v>0.12305288762846765</v>
      </c>
      <c r="AH151" s="20">
        <f t="shared" si="184"/>
        <v>0.49221155051387061</v>
      </c>
      <c r="AI151" s="28">
        <f t="shared" si="185"/>
        <v>-0.70884667418579894</v>
      </c>
      <c r="AJ151" s="20">
        <v>0.17356283583266158</v>
      </c>
      <c r="AK151" s="20">
        <f t="shared" si="186"/>
        <v>0.69425134333064631</v>
      </c>
      <c r="AL151" s="20">
        <f t="shared" si="187"/>
        <v>-0.3649212178591868</v>
      </c>
      <c r="AM151" s="20">
        <v>0.3755789938769955</v>
      </c>
      <c r="AN151" s="20">
        <v>0.18586708696734508</v>
      </c>
      <c r="AO151" s="20">
        <v>0.74346834786938032</v>
      </c>
      <c r="AP151" s="20">
        <f t="shared" si="129"/>
        <v>-0.29642908578452692</v>
      </c>
      <c r="AQ151" s="20">
        <v>0.34345071016653367</v>
      </c>
      <c r="AR151" s="20">
        <f t="shared" si="188"/>
        <v>1.3738028406661347</v>
      </c>
      <c r="AS151" s="20">
        <f t="shared" si="189"/>
        <v>0.31758269053908966</v>
      </c>
      <c r="AT151" s="20">
        <v>0.27733658290455071</v>
      </c>
      <c r="AU151" s="20">
        <f t="shared" si="196"/>
        <v>1.1093463316182028</v>
      </c>
      <c r="AV151" s="20">
        <f t="shared" si="197"/>
        <v>0.10377095142611538</v>
      </c>
      <c r="AW151" s="20">
        <v>0.39388905102905519</v>
      </c>
      <c r="AX151" s="20">
        <f t="shared" si="190"/>
        <v>1.5755562041162208</v>
      </c>
      <c r="AY151" s="20">
        <f t="shared" si="191"/>
        <v>0.4546083554070276</v>
      </c>
      <c r="AZ151" s="20">
        <v>0.18023335020736803</v>
      </c>
      <c r="BA151" s="20">
        <f t="shared" si="192"/>
        <v>0.7209334008294721</v>
      </c>
      <c r="BB151" s="20">
        <f t="shared" si="193"/>
        <v>-0.32720851651912763</v>
      </c>
      <c r="BC151" s="20">
        <v>0.16883133097846162</v>
      </c>
      <c r="BD151" s="20">
        <f t="shared" si="194"/>
        <v>0.67532532391384648</v>
      </c>
      <c r="BE151" s="20">
        <f t="shared" si="195"/>
        <v>-0.39256074286182963</v>
      </c>
      <c r="BF151" s="20">
        <v>0.2758290017471467</v>
      </c>
      <c r="BG151" s="20">
        <f t="shared" si="139"/>
        <v>1.1033160069885868</v>
      </c>
      <c r="BH151" s="20">
        <f t="shared" si="140"/>
        <v>9.8320196961836512E-2</v>
      </c>
      <c r="BI151" s="20">
        <v>0.19311725018881382</v>
      </c>
      <c r="BJ151" s="20">
        <f t="shared" si="180"/>
        <v>0.77246900075525526</v>
      </c>
      <c r="BK151" s="20">
        <f t="shared" si="181"/>
        <v>-0.25816339948756667</v>
      </c>
      <c r="BL151" s="20">
        <v>0.17206696076939965</v>
      </c>
      <c r="BM151" s="20">
        <f t="shared" si="141"/>
        <v>0.68826784307759858</v>
      </c>
      <c r="BN151" s="20">
        <f t="shared" si="142"/>
        <v>-0.37357721001018807</v>
      </c>
      <c r="BS151" t="b">
        <f t="shared" si="169"/>
        <v>1</v>
      </c>
      <c r="BU151" t="b">
        <f t="shared" si="170"/>
        <v>0</v>
      </c>
      <c r="BW151" t="b">
        <f t="shared" si="171"/>
        <v>1</v>
      </c>
    </row>
    <row r="152" spans="1:75">
      <c r="A152" s="87" t="s">
        <v>68</v>
      </c>
      <c r="B152" s="5">
        <f>'[34]Dados de entrada'!$B$28</f>
        <v>12</v>
      </c>
      <c r="C152" s="5">
        <f>'[34]Dados de entrada'!$B$31</f>
        <v>4</v>
      </c>
      <c r="D152" s="5">
        <f>'[34]Dados de entrada'!$B$32</f>
        <v>90.67</v>
      </c>
      <c r="E152" s="11">
        <f>'[34]Dados de entrada'!$B$27</f>
        <v>3.2689999999999997</v>
      </c>
      <c r="F152" s="5">
        <f>'[34]Dados de entrada'!$B$30</f>
        <v>25</v>
      </c>
      <c r="G152" s="12">
        <f>'[34]Dados de entrada'!$B$22</f>
        <v>31</v>
      </c>
      <c r="H152" s="52">
        <f>'[34]Dados de entrada'!$B$29/(2*'[34]Dados de entrada'!$B$20*G152)</f>
        <v>1.7741935483870968E-2</v>
      </c>
      <c r="I152" s="53" cm="1">
        <f t="array" ref="I152:I154">'[34]fib Model Code 2010'!$K$5:$K$7</f>
        <v>226.45530266575949</v>
      </c>
      <c r="J152" s="4" cm="1">
        <f t="array" ref="J152:J154">'[34]Dados de entrada'!$C$7:$C$9</f>
        <v>0.15</v>
      </c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11" cm="1">
        <f t="array" ref="AD152:AD154">'[34]fib Model Code 2010'!$L$5:$L$7</f>
        <v>0.12079077595334915</v>
      </c>
      <c r="AE152" s="11">
        <f t="shared" si="182"/>
        <v>0.80527183968899441</v>
      </c>
      <c r="AF152" s="29">
        <f t="shared" si="183"/>
        <v>-0.21657536951303832</v>
      </c>
      <c r="AG152" s="11" cm="1">
        <f t="array" ref="AG152:AG154">'[34]fib Model Code 2020'!$L$5:$L$7</f>
        <v>9.2384993595776857E-2</v>
      </c>
      <c r="AH152" s="11">
        <f t="shared" si="184"/>
        <v>0.6158999573051791</v>
      </c>
      <c r="AI152" s="55">
        <f t="shared" si="185"/>
        <v>-0.48467073561016949</v>
      </c>
      <c r="AJ152" s="11" cm="1">
        <f t="array" ref="AJ152:AJ154">'[34]Eurocode 2'!$L$5:$L$7</f>
        <v>0.11177549980360031</v>
      </c>
      <c r="AK152" s="11">
        <f t="shared" si="186"/>
        <v>0.7451699986906688</v>
      </c>
      <c r="AL152" s="11">
        <f t="shared" si="187"/>
        <v>-0.29414290047110847</v>
      </c>
      <c r="AM152" s="11" cm="1">
        <f t="array" ref="AM152:AM154">'[34]NBR 6118'!$Q$5:$Q$7</f>
        <v>0.23113702289701121</v>
      </c>
      <c r="AN152" s="11" cm="1">
        <f t="array" ref="AN152:AN154">'[34]NBR 6118'!$R$5:$R$7</f>
        <v>0.10788433067807927</v>
      </c>
      <c r="AO152" s="11" cm="1">
        <f t="array" ref="AO152:AO154">'[34]NBR 6118'!$W$5:$W$7</f>
        <v>0.71922887118719514</v>
      </c>
      <c r="AP152" s="11">
        <f t="shared" ref="AP152:AP181" si="198">LN(AO152)</f>
        <v>-0.32957565315548881</v>
      </c>
      <c r="AQ152" s="11" cm="1">
        <f t="array" ref="AQ152:AQ154">'[34]Clark (1956)'!$L$5:$L$7</f>
        <v>0.19540710997826596</v>
      </c>
      <c r="AR152" s="11">
        <f t="shared" si="188"/>
        <v>1.3027140665217731</v>
      </c>
      <c r="AS152" s="11">
        <f t="shared" si="189"/>
        <v>0.26444983163788449</v>
      </c>
      <c r="AT152" s="11" cm="1">
        <f t="array" ref="AT152:AT154">'[34]Leonhardt (1977)'!$L$5:$L$7</f>
        <v>0.15678506139305359</v>
      </c>
      <c r="AU152" s="11">
        <f t="shared" si="196"/>
        <v>1.0452337426203573</v>
      </c>
      <c r="AV152" s="11">
        <f t="shared" si="197"/>
        <v>4.4240537553437841E-2</v>
      </c>
      <c r="AW152" s="11" cm="1">
        <f t="array" ref="AW152:AW154">'[34]Desayi; Ganesan (1985)'!$L$5:$L$7</f>
        <v>0.24808989435623718</v>
      </c>
      <c r="AX152" s="11">
        <f t="shared" si="190"/>
        <v>1.6539326290415812</v>
      </c>
      <c r="AY152" s="11">
        <f t="shared" si="191"/>
        <v>0.50315586363261344</v>
      </c>
      <c r="AZ152" s="11" cm="1">
        <f t="array" ref="AZ152:AZ154">'[34]Oh; Kang (1987)'!$L$5:$L$7</f>
        <v>0.10827669467392349</v>
      </c>
      <c r="BA152" s="11">
        <f t="shared" si="192"/>
        <v>0.72184463115948994</v>
      </c>
      <c r="BB152" s="11">
        <f t="shared" si="193"/>
        <v>-0.32594535554637144</v>
      </c>
      <c r="BC152" s="11" cm="1">
        <f t="array" ref="BC152:BC154">'[34]Caldas (1997)'!$L$5:$L$7</f>
        <v>0.12522893792964457</v>
      </c>
      <c r="BD152" s="11">
        <f t="shared" si="194"/>
        <v>0.83485958619763045</v>
      </c>
      <c r="BE152" s="11">
        <f t="shared" si="195"/>
        <v>-0.18049172851415912</v>
      </c>
      <c r="BF152" s="11" cm="1">
        <f t="array" ref="BF152:BF154">'[34]Gergely e Lutz (1968)'!$L$5:$L$7</f>
        <v>0.19253300190771649</v>
      </c>
      <c r="BG152" s="11">
        <f t="shared" si="139"/>
        <v>1.2835533460514434</v>
      </c>
      <c r="BH152" s="11">
        <f t="shared" si="140"/>
        <v>0.24963228341933028</v>
      </c>
      <c r="BI152" s="11" cm="1">
        <f t="array" ref="BI152:BI154">[34]Sugestão!$M$5:$M$7</f>
        <v>0.1100971397502373</v>
      </c>
      <c r="BJ152" s="11">
        <f t="shared" si="180"/>
        <v>0.73398093166824874</v>
      </c>
      <c r="BK152" s="11">
        <f t="shared" si="181"/>
        <v>-0.30927222935868459</v>
      </c>
      <c r="BL152" s="11" cm="1">
        <f t="array" ref="BL152:BL154">'[34]fib Model Code 2020 modificado'!$L$5:$L$7</f>
        <v>0.12601365838494885</v>
      </c>
      <c r="BM152" s="11">
        <f t="shared" si="141"/>
        <v>0.84009105589965904</v>
      </c>
      <c r="BN152" s="11">
        <f t="shared" si="142"/>
        <v>-0.17424499313907377</v>
      </c>
      <c r="BS152" t="b">
        <f t="shared" si="169"/>
        <v>1</v>
      </c>
      <c r="BU152" t="b">
        <f t="shared" si="170"/>
        <v>0</v>
      </c>
      <c r="BW152" t="b">
        <f t="shared" si="171"/>
        <v>1</v>
      </c>
    </row>
    <row r="153" spans="1:75">
      <c r="A153" s="88"/>
      <c r="B153" s="5">
        <f>'[34]Dados de entrada'!$B$28</f>
        <v>12</v>
      </c>
      <c r="C153" s="5">
        <f>'[34]Dados de entrada'!$B$31</f>
        <v>4</v>
      </c>
      <c r="D153" s="5">
        <f>'[34]Dados de entrada'!$B$32</f>
        <v>90.67</v>
      </c>
      <c r="E153" s="11">
        <f>'[34]Dados de entrada'!$B$27</f>
        <v>3.2689999999999997</v>
      </c>
      <c r="F153" s="5">
        <f>'[34]Dados de entrada'!$B$30</f>
        <v>25</v>
      </c>
      <c r="G153" s="12">
        <f>'[34]Dados de entrada'!$B$22</f>
        <v>31</v>
      </c>
      <c r="H153" s="52">
        <f>'[34]Dados de entrada'!$B$29/(2*'[34]Dados de entrada'!$B$20*G153)</f>
        <v>1.7741935483870968E-2</v>
      </c>
      <c r="I153" s="53">
        <v>260.41389561049635</v>
      </c>
      <c r="J153" s="4">
        <v>0.15</v>
      </c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11">
        <v>0.1502667898333386</v>
      </c>
      <c r="AE153" s="11">
        <f t="shared" si="182"/>
        <v>1.0017785988889241</v>
      </c>
      <c r="AF153" s="29">
        <f t="shared" si="183"/>
        <v>1.7770190549035285E-3</v>
      </c>
      <c r="AG153" s="11">
        <v>0.10623878440919669</v>
      </c>
      <c r="AH153" s="11">
        <f t="shared" si="184"/>
        <v>0.70825856272797794</v>
      </c>
      <c r="AI153" s="55">
        <f t="shared" si="185"/>
        <v>-0.34494605036509846</v>
      </c>
      <c r="AJ153" s="11">
        <v>0.1390515575791223</v>
      </c>
      <c r="AK153" s="11">
        <f t="shared" si="186"/>
        <v>0.92701038386081536</v>
      </c>
      <c r="AL153" s="11">
        <f t="shared" si="187"/>
        <v>-7.5790511903166491E-2</v>
      </c>
      <c r="AM153" s="11">
        <v>0.26579767328859388</v>
      </c>
      <c r="AN153" s="11">
        <v>0.14266639624471333</v>
      </c>
      <c r="AO153" s="11">
        <v>0.95110930829808893</v>
      </c>
      <c r="AP153" s="11">
        <f t="shared" si="198"/>
        <v>-5.0126282665346342E-2</v>
      </c>
      <c r="AQ153" s="11">
        <v>0.2328455325563944</v>
      </c>
      <c r="AR153" s="11">
        <f t="shared" si="188"/>
        <v>1.5523035503759628</v>
      </c>
      <c r="AS153" s="11">
        <f t="shared" si="189"/>
        <v>0.43973998921891527</v>
      </c>
      <c r="AT153" s="11">
        <v>0.23648611685522961</v>
      </c>
      <c r="AU153" s="11">
        <f t="shared" si="196"/>
        <v>1.5765741123681973</v>
      </c>
      <c r="AV153" s="11">
        <f t="shared" si="197"/>
        <v>0.45525420959778645</v>
      </c>
      <c r="AW153" s="11">
        <v>0.28529274912259667</v>
      </c>
      <c r="AX153" s="11">
        <f t="shared" si="190"/>
        <v>1.9019516608173113</v>
      </c>
      <c r="AY153" s="11">
        <f t="shared" si="191"/>
        <v>0.64288054887768464</v>
      </c>
      <c r="AZ153" s="11">
        <v>0.12799683213992302</v>
      </c>
      <c r="BA153" s="11">
        <f t="shared" si="192"/>
        <v>0.85331221426615356</v>
      </c>
      <c r="BB153" s="11">
        <f t="shared" si="193"/>
        <v>-0.15862977938974912</v>
      </c>
      <c r="BC153" s="11">
        <v>0.14734997549223941</v>
      </c>
      <c r="BD153" s="11">
        <f t="shared" si="194"/>
        <v>0.98233316994826281</v>
      </c>
      <c r="BE153" s="11">
        <f t="shared" si="195"/>
        <v>-1.7824751236017355E-2</v>
      </c>
      <c r="BF153" s="11">
        <v>0.22140470313638005</v>
      </c>
      <c r="BG153" s="11">
        <f t="shared" si="139"/>
        <v>1.4760313542425338</v>
      </c>
      <c r="BH153" s="11">
        <f t="shared" si="140"/>
        <v>0.38935696866440134</v>
      </c>
      <c r="BI153" s="11">
        <v>0.14559261818925504</v>
      </c>
      <c r="BJ153" s="11">
        <f t="shared" si="180"/>
        <v>0.97061745459503357</v>
      </c>
      <c r="BK153" s="11">
        <f t="shared" si="181"/>
        <v>-2.9822858868542561E-2</v>
      </c>
      <c r="BL153" s="11">
        <v>0.14686405723793905</v>
      </c>
      <c r="BM153" s="11">
        <f t="shared" si="141"/>
        <v>0.97909371491959374</v>
      </c>
      <c r="BN153" s="11">
        <f t="shared" si="142"/>
        <v>-2.1127915885290914E-2</v>
      </c>
      <c r="BS153" t="b">
        <f t="shared" si="169"/>
        <v>1</v>
      </c>
      <c r="BU153" t="b">
        <f t="shared" si="170"/>
        <v>0</v>
      </c>
      <c r="BW153" t="b">
        <f t="shared" si="171"/>
        <v>1</v>
      </c>
    </row>
    <row r="154" spans="1:75">
      <c r="A154" s="89"/>
      <c r="B154" s="5">
        <f>'[34]Dados de entrada'!$B$28</f>
        <v>12</v>
      </c>
      <c r="C154" s="5">
        <f>'[34]Dados de entrada'!$B$31</f>
        <v>4</v>
      </c>
      <c r="D154" s="5">
        <f>'[34]Dados de entrada'!$B$32</f>
        <v>90.67</v>
      </c>
      <c r="E154" s="11">
        <f>'[34]Dados de entrada'!$B$27</f>
        <v>3.2689999999999997</v>
      </c>
      <c r="F154" s="5">
        <f>'[34]Dados de entrada'!$B$30</f>
        <v>25</v>
      </c>
      <c r="G154" s="12">
        <f>'[34]Dados de entrada'!$B$22</f>
        <v>31</v>
      </c>
      <c r="H154" s="52">
        <f>'[34]Dados de entrada'!$B$29/(2*'[34]Dados de entrada'!$B$20*G154)</f>
        <v>1.7741935483870968E-2</v>
      </c>
      <c r="I154" s="53">
        <v>294.3724885552333</v>
      </c>
      <c r="J154" s="4">
        <v>0.18</v>
      </c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11">
        <v>0.17974280371332815</v>
      </c>
      <c r="AE154" s="11">
        <f t="shared" si="182"/>
        <v>0.99857113174071199</v>
      </c>
      <c r="AF154" s="29">
        <f t="shared" si="183"/>
        <v>-1.4298900650057003E-3</v>
      </c>
      <c r="AG154" s="11">
        <v>0.12009257522261656</v>
      </c>
      <c r="AH154" s="11">
        <f t="shared" si="184"/>
        <v>0.66718097345898086</v>
      </c>
      <c r="AI154" s="55">
        <f t="shared" si="185"/>
        <v>-0.4046939453421477</v>
      </c>
      <c r="AJ154" s="11">
        <v>0.16632761535464433</v>
      </c>
      <c r="AK154" s="11">
        <f t="shared" si="186"/>
        <v>0.92404230752580185</v>
      </c>
      <c r="AL154" s="11">
        <f t="shared" si="187"/>
        <v>-7.8997421023075901E-2</v>
      </c>
      <c r="AM154" s="11">
        <v>0.30045832368017661</v>
      </c>
      <c r="AN154" s="11">
        <v>0.18230048371183444</v>
      </c>
      <c r="AO154" s="11">
        <v>1.0127804650657468</v>
      </c>
      <c r="AP154" s="11">
        <f t="shared" si="198"/>
        <v>1.2699484174509508E-2</v>
      </c>
      <c r="AQ154" s="11">
        <v>0.27028395513452297</v>
      </c>
      <c r="AR154" s="11">
        <f t="shared" si="188"/>
        <v>1.5015775285251276</v>
      </c>
      <c r="AS154" s="11">
        <f t="shared" si="189"/>
        <v>0.4065162411576253</v>
      </c>
      <c r="AT154" s="11">
        <v>0.31015724890308133</v>
      </c>
      <c r="AU154" s="11">
        <f t="shared" si="196"/>
        <v>1.7230958272393408</v>
      </c>
      <c r="AV154" s="11">
        <f t="shared" si="197"/>
        <v>0.54412257250496354</v>
      </c>
      <c r="AW154" s="11">
        <v>0.32249560388895626</v>
      </c>
      <c r="AX154" s="11">
        <f t="shared" si="190"/>
        <v>1.7916422438275348</v>
      </c>
      <c r="AY154" s="11">
        <f t="shared" si="191"/>
        <v>0.58313265390063551</v>
      </c>
      <c r="AZ154" s="11">
        <v>0.14771696960592259</v>
      </c>
      <c r="BA154" s="11">
        <f t="shared" si="192"/>
        <v>0.82064983114401446</v>
      </c>
      <c r="BB154" s="11">
        <f t="shared" si="193"/>
        <v>-0.19765877556304567</v>
      </c>
      <c r="BC154" s="11">
        <v>0.16947101305483431</v>
      </c>
      <c r="BD154" s="11">
        <f t="shared" si="194"/>
        <v>0.94150562808241289</v>
      </c>
      <c r="BE154" s="11">
        <f t="shared" si="195"/>
        <v>-6.0274953120095925E-2</v>
      </c>
      <c r="BF154" s="11">
        <v>0.25027640436504373</v>
      </c>
      <c r="BG154" s="11">
        <f t="shared" si="139"/>
        <v>1.3904244686946874</v>
      </c>
      <c r="BH154" s="11">
        <f t="shared" si="140"/>
        <v>0.32960907368735221</v>
      </c>
      <c r="BI154" s="11">
        <v>0.1860396380605791</v>
      </c>
      <c r="BJ154" s="11">
        <f t="shared" si="180"/>
        <v>1.0335535447809951</v>
      </c>
      <c r="BK154" s="11">
        <f t="shared" si="181"/>
        <v>3.3002907971313986E-2</v>
      </c>
      <c r="BL154" s="11">
        <v>0.1682240031835584</v>
      </c>
      <c r="BM154" s="11">
        <f t="shared" si="141"/>
        <v>0.93457779546421338</v>
      </c>
      <c r="BN154" s="11">
        <f t="shared" si="142"/>
        <v>-6.7660407328653277E-2</v>
      </c>
      <c r="BS154" t="b">
        <f t="shared" si="169"/>
        <v>1</v>
      </c>
      <c r="BU154" t="b">
        <f t="shared" si="170"/>
        <v>0</v>
      </c>
      <c r="BW154" t="b">
        <f t="shared" si="171"/>
        <v>1</v>
      </c>
    </row>
    <row r="155" spans="1:75">
      <c r="A155" s="85" t="s">
        <v>69</v>
      </c>
      <c r="B155" s="21">
        <f>'[35]Dados de entrada'!$B$28</f>
        <v>12</v>
      </c>
      <c r="C155" s="21">
        <f>'[35]Dados de entrada'!$B$31</f>
        <v>4</v>
      </c>
      <c r="D155" s="21">
        <f>'[35]Dados de entrada'!$B$32</f>
        <v>90.67</v>
      </c>
      <c r="E155" s="20">
        <f>'[35]Dados de entrada'!$B$27</f>
        <v>3.2689999999999997</v>
      </c>
      <c r="F155" s="21">
        <f>'[35]Dados de entrada'!$B$30</f>
        <v>25</v>
      </c>
      <c r="G155" s="56">
        <f>'[35]Dados de entrada'!$B$22</f>
        <v>31</v>
      </c>
      <c r="H155" s="57">
        <f>'[35]Dados de entrada'!$B$29/(2*'[35]Dados de entrada'!$B$20*G155)</f>
        <v>1.7741935483870968E-2</v>
      </c>
      <c r="I155" s="27" cm="1">
        <f t="array" ref="I155:I157">'[35]fib Model Code 2010'!$K$5:$K$7</f>
        <v>226.45530266575949</v>
      </c>
      <c r="J155" s="19" cm="1">
        <f t="array" ref="J155:J157">'[35]Dados de entrada'!$C$7:$C$9</f>
        <v>0.18</v>
      </c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0" cm="1">
        <f t="array" ref="AD155:AD157">'[35]fib Model Code 2010'!$L$5:$L$7</f>
        <v>0.12079077595334915</v>
      </c>
      <c r="AE155" s="20">
        <f t="shared" si="182"/>
        <v>0.67105986640749526</v>
      </c>
      <c r="AF155" s="54">
        <f t="shared" si="183"/>
        <v>-0.39889692630699303</v>
      </c>
      <c r="AG155" s="20" cm="1">
        <f t="array" ref="AG155:AG157">'[35]fib Model Code 2020'!$L$5:$L$7</f>
        <v>9.2384993595776857E-2</v>
      </c>
      <c r="AH155" s="20">
        <f t="shared" si="184"/>
        <v>0.51324996442098259</v>
      </c>
      <c r="AI155" s="28">
        <f t="shared" si="185"/>
        <v>-0.66699229240412405</v>
      </c>
      <c r="AJ155" s="20" cm="1">
        <f t="array" ref="AJ155:AJ157">'[35]Eurocode 2'!$L$5:$L$7</f>
        <v>0.11177549980360031</v>
      </c>
      <c r="AK155" s="20">
        <f t="shared" si="186"/>
        <v>0.62097499890889063</v>
      </c>
      <c r="AL155" s="20">
        <f t="shared" si="187"/>
        <v>-0.47646445726506315</v>
      </c>
      <c r="AM155" s="20" cm="1">
        <f t="array" ref="AM155:AM157">'[35]NBR 6118'!$Q$5:$Q$7</f>
        <v>0.23113702289701121</v>
      </c>
      <c r="AN155" s="20" cm="1">
        <f t="array" ref="AN155:AN157">'[35]NBR 6118'!$R$5:$R$7</f>
        <v>0.10788433067807927</v>
      </c>
      <c r="AO155" s="20" cm="1">
        <f t="array" ref="AO155:AO157">'[35]NBR 6118'!$W$5:$W$7</f>
        <v>0.59935739265599597</v>
      </c>
      <c r="AP155" s="20">
        <f t="shared" si="198"/>
        <v>-0.51189720994944343</v>
      </c>
      <c r="AQ155" s="20" cm="1">
        <f t="array" ref="AQ155:AQ157">'[35]Clark (1956)'!$L$5:$L$7</f>
        <v>0.19540710997826596</v>
      </c>
      <c r="AR155" s="20">
        <f t="shared" si="188"/>
        <v>1.0855950554348111</v>
      </c>
      <c r="AS155" s="20">
        <f t="shared" si="189"/>
        <v>8.2128274843929983E-2</v>
      </c>
      <c r="AT155" s="20" cm="1">
        <f t="array" ref="AT155:AT157">'[35]Leonhardt (1977)'!$L$5:$L$7</f>
        <v>0.15678506139305359</v>
      </c>
      <c r="AU155" s="20">
        <f t="shared" si="196"/>
        <v>0.87102811885029774</v>
      </c>
      <c r="AV155" s="20">
        <f t="shared" si="197"/>
        <v>-0.13808101924051677</v>
      </c>
      <c r="AW155" s="20" cm="1">
        <f t="array" ref="AW155:AW157">'[35]Desayi; Ganesan (1985)'!$L$5:$L$7</f>
        <v>0.24808989435623718</v>
      </c>
      <c r="AX155" s="20">
        <f t="shared" si="190"/>
        <v>1.3782771908679845</v>
      </c>
      <c r="AY155" s="20">
        <f t="shared" si="191"/>
        <v>0.32083430683865893</v>
      </c>
      <c r="AZ155" s="20" cm="1">
        <f t="array" ref="AZ155:AZ157">'[35]Oh; Kang (1987)'!$L$5:$L$7</f>
        <v>0.10827669467392349</v>
      </c>
      <c r="BA155" s="20">
        <f t="shared" si="192"/>
        <v>0.60153719263290828</v>
      </c>
      <c r="BB155" s="20">
        <f t="shared" si="193"/>
        <v>-0.50826691234032606</v>
      </c>
      <c r="BC155" s="20" cm="1">
        <f t="array" ref="BC155:BC157">'[35]Caldas (1997)'!$L$5:$L$7</f>
        <v>0.12522893792964457</v>
      </c>
      <c r="BD155" s="20">
        <f t="shared" si="194"/>
        <v>0.69571632183135879</v>
      </c>
      <c r="BE155" s="20">
        <f t="shared" si="195"/>
        <v>-0.36281328530811363</v>
      </c>
      <c r="BF155" s="20" cm="1">
        <f t="array" ref="BF155:BF157">'[35]Gergely e Lutz (1968)'!$L$5:$L$7</f>
        <v>0.19253300190771649</v>
      </c>
      <c r="BG155" s="20">
        <f t="shared" si="139"/>
        <v>1.0696277883762029</v>
      </c>
      <c r="BH155" s="20">
        <f t="shared" si="140"/>
        <v>6.7310726625375655E-2</v>
      </c>
      <c r="BI155" s="20" cm="1">
        <f t="array" ref="BI155:BI157">[35]Sugestão!$M$5:$M$7</f>
        <v>0.1100971397502373</v>
      </c>
      <c r="BJ155" s="20">
        <f t="shared" si="180"/>
        <v>0.61165077639020726</v>
      </c>
      <c r="BK155" s="20">
        <f t="shared" si="181"/>
        <v>-0.49159378615263927</v>
      </c>
      <c r="BL155" s="20" cm="1">
        <f t="array" ref="BL155:BL157">'[35]fib Model Code 2020 modificado'!$L$5:$L$7</f>
        <v>0.12601365838494885</v>
      </c>
      <c r="BM155" s="20">
        <f t="shared" si="141"/>
        <v>0.70007587991638254</v>
      </c>
      <c r="BN155" s="20">
        <f t="shared" si="142"/>
        <v>-0.35656654993302839</v>
      </c>
      <c r="BS155" t="b">
        <f t="shared" si="169"/>
        <v>1</v>
      </c>
      <c r="BU155" t="b">
        <f t="shared" si="170"/>
        <v>0</v>
      </c>
      <c r="BW155" t="b">
        <f t="shared" si="171"/>
        <v>1</v>
      </c>
    </row>
    <row r="156" spans="1:75">
      <c r="A156" s="90"/>
      <c r="B156" s="21">
        <f>'[35]Dados de entrada'!$B$28</f>
        <v>12</v>
      </c>
      <c r="C156" s="21">
        <f>'[35]Dados de entrada'!$B$31</f>
        <v>4</v>
      </c>
      <c r="D156" s="21">
        <f>'[35]Dados de entrada'!$B$32</f>
        <v>90.67</v>
      </c>
      <c r="E156" s="20">
        <f>'[35]Dados de entrada'!$B$27</f>
        <v>3.2689999999999997</v>
      </c>
      <c r="F156" s="21">
        <f>'[35]Dados de entrada'!$B$30</f>
        <v>25</v>
      </c>
      <c r="G156" s="56">
        <f>'[35]Dados de entrada'!$B$22</f>
        <v>31</v>
      </c>
      <c r="H156" s="57">
        <f>'[35]Dados de entrada'!$B$29/(2*'[35]Dados de entrada'!$B$20*G156)</f>
        <v>1.7741935483870968E-2</v>
      </c>
      <c r="I156" s="27">
        <v>260.41389561049635</v>
      </c>
      <c r="J156" s="19">
        <v>0.2</v>
      </c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0">
        <v>0.1502667898333386</v>
      </c>
      <c r="AE156" s="20">
        <f t="shared" si="182"/>
        <v>0.75133394916669294</v>
      </c>
      <c r="AF156" s="54">
        <f t="shared" si="183"/>
        <v>-0.28590505339687755</v>
      </c>
      <c r="AG156" s="20">
        <v>0.10623878440919669</v>
      </c>
      <c r="AH156" s="20">
        <f t="shared" si="184"/>
        <v>0.53119392204598348</v>
      </c>
      <c r="AI156" s="28">
        <f t="shared" si="185"/>
        <v>-0.63262812281687941</v>
      </c>
      <c r="AJ156" s="20">
        <v>0.1390515575791223</v>
      </c>
      <c r="AK156" s="20">
        <f t="shared" si="186"/>
        <v>0.69525778789561143</v>
      </c>
      <c r="AL156" s="20">
        <f t="shared" si="187"/>
        <v>-0.36347258435494756</v>
      </c>
      <c r="AM156" s="20">
        <v>0.26579767328859388</v>
      </c>
      <c r="AN156" s="20">
        <v>0.14266639624471333</v>
      </c>
      <c r="AO156" s="20">
        <v>0.71333198122356667</v>
      </c>
      <c r="AP156" s="20">
        <f t="shared" si="198"/>
        <v>-0.33780835511712731</v>
      </c>
      <c r="AQ156" s="20">
        <v>0.2328455325563944</v>
      </c>
      <c r="AR156" s="20">
        <f t="shared" si="188"/>
        <v>1.1642276627819719</v>
      </c>
      <c r="AS156" s="20">
        <f t="shared" si="189"/>
        <v>0.15205791676713415</v>
      </c>
      <c r="AT156" s="20">
        <v>0.23648611685522961</v>
      </c>
      <c r="AU156" s="20">
        <f t="shared" si="196"/>
        <v>1.182430584276148</v>
      </c>
      <c r="AV156" s="20">
        <f t="shared" si="197"/>
        <v>0.1675721371460055</v>
      </c>
      <c r="AW156" s="20">
        <v>0.28529274912259667</v>
      </c>
      <c r="AX156" s="20">
        <f t="shared" si="190"/>
        <v>1.4264637456129832</v>
      </c>
      <c r="AY156" s="20">
        <f t="shared" si="191"/>
        <v>0.35519847642590352</v>
      </c>
      <c r="AZ156" s="20">
        <v>0.12799683213992302</v>
      </c>
      <c r="BA156" s="20">
        <f t="shared" si="192"/>
        <v>0.63998416069961506</v>
      </c>
      <c r="BB156" s="20">
        <f t="shared" si="193"/>
        <v>-0.44631185184153022</v>
      </c>
      <c r="BC156" s="20">
        <v>0.14734997549223941</v>
      </c>
      <c r="BD156" s="20">
        <f t="shared" si="194"/>
        <v>0.73674987746119702</v>
      </c>
      <c r="BE156" s="20">
        <f t="shared" si="195"/>
        <v>-0.30550682368779841</v>
      </c>
      <c r="BF156" s="20">
        <v>0.22140470313638005</v>
      </c>
      <c r="BG156" s="20">
        <f t="shared" si="139"/>
        <v>1.1070235156819002</v>
      </c>
      <c r="BH156" s="20">
        <f t="shared" si="140"/>
        <v>0.10167489621262021</v>
      </c>
      <c r="BI156" s="20">
        <v>0.14559261818925504</v>
      </c>
      <c r="BJ156" s="20">
        <f t="shared" si="180"/>
        <v>0.72796309094627509</v>
      </c>
      <c r="BK156" s="20">
        <f t="shared" si="181"/>
        <v>-0.31750493132032359</v>
      </c>
      <c r="BL156" s="20">
        <v>0.14686405723793905</v>
      </c>
      <c r="BM156" s="20">
        <f t="shared" si="141"/>
        <v>0.73432028618969525</v>
      </c>
      <c r="BN156" s="20">
        <f t="shared" si="142"/>
        <v>-0.30880998833707191</v>
      </c>
      <c r="BS156" t="b">
        <f t="shared" si="169"/>
        <v>1</v>
      </c>
      <c r="BU156" t="b">
        <f t="shared" si="170"/>
        <v>0</v>
      </c>
      <c r="BW156" t="b">
        <f t="shared" si="171"/>
        <v>1</v>
      </c>
    </row>
    <row r="157" spans="1:75">
      <c r="A157" s="86"/>
      <c r="B157" s="21">
        <f>'[35]Dados de entrada'!$B$28</f>
        <v>12</v>
      </c>
      <c r="C157" s="21">
        <f>'[35]Dados de entrada'!$B$31</f>
        <v>4</v>
      </c>
      <c r="D157" s="21">
        <f>'[35]Dados de entrada'!$B$32</f>
        <v>90.67</v>
      </c>
      <c r="E157" s="20">
        <f>'[35]Dados de entrada'!$B$27</f>
        <v>3.2689999999999997</v>
      </c>
      <c r="F157" s="21">
        <f>'[35]Dados de entrada'!$B$30</f>
        <v>25</v>
      </c>
      <c r="G157" s="56">
        <f>'[35]Dados de entrada'!$B$22</f>
        <v>31</v>
      </c>
      <c r="H157" s="57">
        <f>'[35]Dados de entrada'!$B$29/(2*'[35]Dados de entrada'!$B$20*G157)</f>
        <v>1.7741935483870968E-2</v>
      </c>
      <c r="I157" s="27">
        <v>294.3724885552333</v>
      </c>
      <c r="J157" s="19">
        <v>0.23</v>
      </c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0">
        <v>0.17974280371332815</v>
      </c>
      <c r="AE157" s="20">
        <f t="shared" si="182"/>
        <v>0.78149045092751368</v>
      </c>
      <c r="AF157" s="54">
        <f t="shared" si="183"/>
        <v>-0.24655234809799076</v>
      </c>
      <c r="AG157" s="20">
        <v>0.12009257522261656</v>
      </c>
      <c r="AH157" s="20">
        <f t="shared" si="184"/>
        <v>0.52214163140268066</v>
      </c>
      <c r="AI157" s="28">
        <f t="shared" si="185"/>
        <v>-0.6498164033751328</v>
      </c>
      <c r="AJ157" s="20">
        <v>0.16632761535464433</v>
      </c>
      <c r="AK157" s="20">
        <f t="shared" si="186"/>
        <v>0.72316354502019264</v>
      </c>
      <c r="AL157" s="20">
        <f t="shared" si="187"/>
        <v>-0.32411987905606104</v>
      </c>
      <c r="AM157" s="20">
        <v>0.30045832368017661</v>
      </c>
      <c r="AN157" s="20">
        <v>0.18230048371183444</v>
      </c>
      <c r="AO157" s="20">
        <v>0.79261079874710627</v>
      </c>
      <c r="AP157" s="20">
        <f t="shared" si="198"/>
        <v>-0.23242297385847541</v>
      </c>
      <c r="AQ157" s="20">
        <v>0.27028395513452297</v>
      </c>
      <c r="AR157" s="20">
        <f t="shared" si="188"/>
        <v>1.1751476310196651</v>
      </c>
      <c r="AS157" s="20">
        <f t="shared" si="189"/>
        <v>0.16139378312464034</v>
      </c>
      <c r="AT157" s="20">
        <v>0.31015724890308133</v>
      </c>
      <c r="AU157" s="20">
        <f t="shared" si="196"/>
        <v>1.3485097778394839</v>
      </c>
      <c r="AV157" s="20">
        <f t="shared" si="197"/>
        <v>0.29900011447197833</v>
      </c>
      <c r="AW157" s="20">
        <v>0.32249560388895626</v>
      </c>
      <c r="AX157" s="20">
        <f t="shared" si="190"/>
        <v>1.402154799517201</v>
      </c>
      <c r="AY157" s="20">
        <f t="shared" si="191"/>
        <v>0.33801019586765041</v>
      </c>
      <c r="AZ157" s="20">
        <v>0.14771696960592259</v>
      </c>
      <c r="BA157" s="20">
        <f t="shared" si="192"/>
        <v>0.64224769393879388</v>
      </c>
      <c r="BB157" s="20">
        <f t="shared" si="193"/>
        <v>-0.44278123359603072</v>
      </c>
      <c r="BC157" s="20">
        <v>0.16947101305483431</v>
      </c>
      <c r="BD157" s="20">
        <f t="shared" si="194"/>
        <v>0.73683049154275782</v>
      </c>
      <c r="BE157" s="20">
        <f t="shared" si="195"/>
        <v>-0.30539741115308106</v>
      </c>
      <c r="BF157" s="20">
        <v>0.25027640436504373</v>
      </c>
      <c r="BG157" s="20">
        <f t="shared" ref="BG157:BG220" si="199">BF157/J157</f>
        <v>1.0881582798480161</v>
      </c>
      <c r="BH157" s="20">
        <f t="shared" ref="BH157:BH220" si="200">LN(BG157)</f>
        <v>8.4486615654367034E-2</v>
      </c>
      <c r="BI157" s="20">
        <v>0.1860396380605791</v>
      </c>
      <c r="BJ157" s="20">
        <f t="shared" si="180"/>
        <v>0.80886799156773526</v>
      </c>
      <c r="BK157" s="20">
        <f t="shared" si="181"/>
        <v>-0.2121195500616711</v>
      </c>
      <c r="BL157" s="20">
        <v>0.1682240031835584</v>
      </c>
      <c r="BM157" s="20">
        <f t="shared" ref="BM157:BM220" si="201">BL157/J157</f>
        <v>0.73140870949373216</v>
      </c>
      <c r="BN157" s="20">
        <f t="shared" ref="BN157:BN220" si="202">LN(BM157)</f>
        <v>-0.31278286536163835</v>
      </c>
      <c r="BS157" t="b">
        <f t="shared" si="169"/>
        <v>1</v>
      </c>
      <c r="BU157" t="b">
        <f t="shared" si="170"/>
        <v>0</v>
      </c>
      <c r="BW157" t="b">
        <f t="shared" si="171"/>
        <v>1</v>
      </c>
    </row>
    <row r="158" spans="1:75">
      <c r="A158" s="87" t="s">
        <v>72</v>
      </c>
      <c r="B158" s="64">
        <f>'[36]Dados de entrada'!$B$28</f>
        <v>10</v>
      </c>
      <c r="C158" s="64">
        <f>'[36]Dados de entrada'!$B$31</f>
        <v>1</v>
      </c>
      <c r="D158" s="64">
        <f>'[36]Dados de entrada'!$B$32</f>
        <v>45</v>
      </c>
      <c r="E158" s="29">
        <f>'[36]Dados de entrada'!$B$27</f>
        <v>2.8</v>
      </c>
      <c r="F158" s="64">
        <f>'[36]Dados de entrada'!$B$30</f>
        <v>40</v>
      </c>
      <c r="G158" s="65">
        <f>'[36]Dados de entrada'!$B$22</f>
        <v>45</v>
      </c>
      <c r="H158" s="66">
        <f>'[36]Dados de entrada'!$B$29/(2*'[36]Dados de entrada'!$B$20*G158)</f>
        <v>8.7222222222222215E-3</v>
      </c>
      <c r="I158" s="30" cm="1">
        <f t="array" ref="I158:I164">'[36]fib Model Code 2010'!$K$5:$K$11</f>
        <v>274.14363221273135</v>
      </c>
      <c r="J158" s="31" cm="1">
        <f t="array" ref="J158:J164">'[36]Dados de entrada'!$C$7:$C$13</f>
        <v>0.16</v>
      </c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29" cm="1">
        <f t="array" ref="AD158:AD164">'[36]fib Model Code 2010'!$L$5:$L$11</f>
        <v>0.16512721124267726</v>
      </c>
      <c r="AE158" s="29">
        <f t="shared" si="182"/>
        <v>1.032045070266733</v>
      </c>
      <c r="AF158" s="29">
        <f t="shared" si="183"/>
        <v>3.1542338844827031E-2</v>
      </c>
      <c r="AG158" s="29" cm="1">
        <f t="array" ref="AG158:AG164">'[36]fib Model Code 2020'!$L$5:$L$11</f>
        <v>0.16285127956433496</v>
      </c>
      <c r="AH158" s="29">
        <f t="shared" ref="AH158:AH181" si="203">AG158/J158</f>
        <v>1.0178204972770934</v>
      </c>
      <c r="AI158" s="33">
        <f t="shared" ref="AI158:AI181" si="204">LN(AH158)</f>
        <v>1.7663573776152793E-2</v>
      </c>
      <c r="AJ158" s="29" cm="1">
        <f t="array" ref="AJ158:AJ164">'[36]Eurocode 2'!$L$5:$L$11</f>
        <v>0.20935626192980678</v>
      </c>
      <c r="AK158" s="29">
        <f t="shared" ref="AK158:AK181" si="205">AJ158/J158</f>
        <v>1.3084766370612924</v>
      </c>
      <c r="AL158" s="29">
        <f t="shared" ref="AL158:AL181" si="206">LN(AK158)</f>
        <v>0.26886358807993982</v>
      </c>
      <c r="AM158" s="29" cm="1">
        <f t="array" ref="AM158:AM164">'[36]NBR 6118'!$Q$5:$Q$11</f>
        <v>0.23187521693293625</v>
      </c>
      <c r="AN158" s="29" cm="1">
        <f t="array" ref="AN158:AN164">'[36]NBR 6118'!$R$5:$R$11</f>
        <v>0.1349186115491853</v>
      </c>
      <c r="AO158" s="29" cm="1">
        <f t="array" ref="AO158:AO164">'[36]NBR 6118'!$W$5:$W$11</f>
        <v>0.8432413221824081</v>
      </c>
      <c r="AP158" s="29">
        <f t="shared" si="198"/>
        <v>-0.17050209601250144</v>
      </c>
      <c r="AQ158" s="29" cm="1">
        <f t="array" ref="AQ158:AQ164">'[36]Clark (1956)'!$L$5:$L$11</f>
        <v>0.31615531622056936</v>
      </c>
      <c r="AR158" s="29">
        <f t="shared" ref="AR158:AR181" si="207">AQ158/J158</f>
        <v>1.9759707263785584</v>
      </c>
      <c r="AS158" s="29">
        <f t="shared" ref="AS158:AS181" si="208">LN(AR158)</f>
        <v>0.68105978463018924</v>
      </c>
      <c r="AT158" s="29" cm="1">
        <f t="array" ref="AT158:AT164">'[36]Leonhardt (1977)'!$L$5:$L$11</f>
        <v>0.16821697701992566</v>
      </c>
      <c r="AU158" s="29">
        <f t="shared" ref="AU158:AU181" si="209">AT158/J158</f>
        <v>1.0513561063745354</v>
      </c>
      <c r="AV158" s="29">
        <f t="shared" ref="AV158:AV181" si="210">LN(AU158)</f>
        <v>5.0080860742642758E-2</v>
      </c>
      <c r="AW158" s="29" cm="1">
        <f t="array" ref="AW158:AW164">'[36]Desayi; Ganesan (1985)'!$L$5:$L$11</f>
        <v>0.32972729832920816</v>
      </c>
      <c r="AX158" s="29">
        <f t="shared" ref="AX158:AX181" si="211">AW158/J158</f>
        <v>2.0607956145575508</v>
      </c>
      <c r="AY158" s="29">
        <f t="shared" ref="AY158:AY181" si="212">LN(AX158)</f>
        <v>0.72309212889649432</v>
      </c>
      <c r="AZ158" s="29" cm="1">
        <f t="array" ref="AZ158:AZ164">'[36]Oh; Kang (1987)'!$L$5:$L$11</f>
        <v>0.19391653196718392</v>
      </c>
      <c r="BA158" s="29">
        <f t="shared" ref="BA158:BA181" si="213">AZ158/J158</f>
        <v>1.2119783247948994</v>
      </c>
      <c r="BB158" s="29">
        <f t="shared" ref="BB158:BB181" si="214">LN(BA158)</f>
        <v>0.19225400365461384</v>
      </c>
      <c r="BC158" s="29" cm="1">
        <f t="array" ref="BC158:BC164">'[36]Caldas (1997)'!$L$5:$L$11</f>
        <v>0.13081543976903548</v>
      </c>
      <c r="BD158" s="29">
        <f t="shared" ref="BD158:BD181" si="215">BC158/J158</f>
        <v>0.81759649855647176</v>
      </c>
      <c r="BE158" s="29">
        <f t="shared" ref="BE158:BE181" si="216">LN(BD158)</f>
        <v>-0.20138634212935297</v>
      </c>
      <c r="BF158" s="29" cm="1">
        <f t="array" ref="BF158:BF164">'[36]Gergely e Lutz (1968)'!$L$5:$L$11</f>
        <v>0.2852583712686465</v>
      </c>
      <c r="BG158" s="11">
        <f t="shared" si="199"/>
        <v>1.7828648204290407</v>
      </c>
      <c r="BH158" s="11">
        <f t="shared" si="200"/>
        <v>0.5782215202070875</v>
      </c>
      <c r="BI158" s="29" cm="1">
        <f t="array" ref="BI158:BI164">[36]Sugestão!$M$5:$M$11</f>
        <v>0.20977002213391188</v>
      </c>
      <c r="BJ158" s="29">
        <f t="shared" ref="BJ158:BJ181" si="217">BI158/J158</f>
        <v>1.3110626383369492</v>
      </c>
      <c r="BK158" s="29">
        <f t="shared" ref="BK158:BK181" si="218">LN(BJ158)</f>
        <v>0.27083798269201032</v>
      </c>
      <c r="BL158" s="29" cm="1">
        <f t="array" ref="BL158:BL164">'[36]fib Model Code 2020 modificado'!$L$5:$L$11</f>
        <v>0.1875518127179997</v>
      </c>
      <c r="BM158" s="11">
        <f t="shared" si="201"/>
        <v>1.1721988294874981</v>
      </c>
      <c r="BN158" s="11">
        <f t="shared" si="202"/>
        <v>0.15888132649929237</v>
      </c>
      <c r="BS158" t="b">
        <f t="shared" si="169"/>
        <v>1</v>
      </c>
      <c r="BU158" t="b">
        <f t="shared" si="170"/>
        <v>0</v>
      </c>
      <c r="BW158" t="b">
        <f t="shared" si="171"/>
        <v>0</v>
      </c>
    </row>
    <row r="159" spans="1:75">
      <c r="A159" s="88"/>
      <c r="B159" s="64">
        <f>'[36]Dados de entrada'!$B$28</f>
        <v>10</v>
      </c>
      <c r="C159" s="64">
        <f>'[36]Dados de entrada'!$B$31</f>
        <v>1</v>
      </c>
      <c r="D159" s="64">
        <f>'[36]Dados de entrada'!$B$32</f>
        <v>45</v>
      </c>
      <c r="E159" s="29">
        <f>'[36]Dados de entrada'!$B$27</f>
        <v>2.8</v>
      </c>
      <c r="F159" s="64">
        <f>'[36]Dados de entrada'!$B$30</f>
        <v>40</v>
      </c>
      <c r="G159" s="65">
        <f>'[36]Dados de entrada'!$B$22</f>
        <v>45</v>
      </c>
      <c r="H159" s="66">
        <f>'[36]Dados de entrada'!$B$29/(2*'[36]Dados de entrada'!$B$20*G159)</f>
        <v>8.7222222222222215E-3</v>
      </c>
      <c r="I159" s="30">
        <v>294.20292237463855</v>
      </c>
      <c r="J159" s="31">
        <v>0.18</v>
      </c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29">
        <v>0.19410888513240512</v>
      </c>
      <c r="AE159" s="29">
        <f t="shared" si="182"/>
        <v>1.0783826951800286</v>
      </c>
      <c r="AF159" s="29">
        <f t="shared" si="183"/>
        <v>7.5462414292730484E-2</v>
      </c>
      <c r="AG159" s="29">
        <v>0.17476722684953019</v>
      </c>
      <c r="AH159" s="29">
        <f t="shared" si="203"/>
        <v>0.9709290380529455</v>
      </c>
      <c r="AI159" s="33">
        <f t="shared" si="204"/>
        <v>-2.9501894666277312E-2</v>
      </c>
      <c r="AJ159" s="29">
        <v>0.22467501280271945</v>
      </c>
      <c r="AK159" s="29">
        <f t="shared" si="205"/>
        <v>1.2481945155706637</v>
      </c>
      <c r="AL159" s="29">
        <f t="shared" si="206"/>
        <v>0.22169811963750977</v>
      </c>
      <c r="AM159" s="29">
        <v>0.24884169622071209</v>
      </c>
      <c r="AN159" s="29">
        <v>0.15538514691208971</v>
      </c>
      <c r="AO159" s="29">
        <v>0.86325081617827626</v>
      </c>
      <c r="AP159" s="29">
        <f t="shared" si="198"/>
        <v>-0.14704999724097778</v>
      </c>
      <c r="AQ159" s="29">
        <v>0.35364191324925454</v>
      </c>
      <c r="AR159" s="29">
        <f t="shared" si="207"/>
        <v>1.964677295829192</v>
      </c>
      <c r="AS159" s="29">
        <f t="shared" si="208"/>
        <v>0.67532800579352803</v>
      </c>
      <c r="AT159" s="29">
        <v>0.21882839254894493</v>
      </c>
      <c r="AU159" s="29">
        <f t="shared" si="209"/>
        <v>1.2157132919385829</v>
      </c>
      <c r="AV159" s="29">
        <f t="shared" si="210"/>
        <v>0.19533097608781166</v>
      </c>
      <c r="AW159" s="29">
        <v>0.3538536860118332</v>
      </c>
      <c r="AX159" s="29">
        <f t="shared" si="211"/>
        <v>1.9658538111768511</v>
      </c>
      <c r="AY159" s="29">
        <f t="shared" si="212"/>
        <v>0.67592666045406458</v>
      </c>
      <c r="AZ159" s="29">
        <v>0.21087722952129095</v>
      </c>
      <c r="BA159" s="29">
        <f t="shared" si="213"/>
        <v>1.1715401640071721</v>
      </c>
      <c r="BB159" s="29">
        <f t="shared" si="214"/>
        <v>0.15831926263510404</v>
      </c>
      <c r="BC159" s="29">
        <v>0.14151720856094585</v>
      </c>
      <c r="BD159" s="29">
        <f t="shared" si="215"/>
        <v>0.78620671422747701</v>
      </c>
      <c r="BE159" s="29">
        <f t="shared" si="216"/>
        <v>-0.2405355259297535</v>
      </c>
      <c r="BF159" s="29">
        <v>0.30613093502001087</v>
      </c>
      <c r="BG159" s="11">
        <f t="shared" si="199"/>
        <v>1.7007274167778383</v>
      </c>
      <c r="BH159" s="11">
        <f t="shared" si="200"/>
        <v>0.53105605176465742</v>
      </c>
      <c r="BI159" s="29">
        <v>0.24159117361764032</v>
      </c>
      <c r="BJ159" s="29">
        <f t="shared" si="217"/>
        <v>1.3421731867646685</v>
      </c>
      <c r="BK159" s="29">
        <f t="shared" si="218"/>
        <v>0.29429008146353358</v>
      </c>
      <c r="BL159" s="29">
        <v>0.20184130151821655</v>
      </c>
      <c r="BM159" s="11">
        <f t="shared" si="201"/>
        <v>1.121340563990092</v>
      </c>
      <c r="BN159" s="11">
        <f t="shared" si="202"/>
        <v>0.11452490168882808</v>
      </c>
      <c r="BS159" t="b">
        <f t="shared" si="169"/>
        <v>1</v>
      </c>
      <c r="BU159" t="b">
        <f t="shared" si="170"/>
        <v>0</v>
      </c>
      <c r="BW159" t="b">
        <f t="shared" si="171"/>
        <v>0</v>
      </c>
    </row>
    <row r="160" spans="1:75">
      <c r="A160" s="88"/>
      <c r="B160" s="64">
        <f>'[36]Dados de entrada'!$B$28</f>
        <v>10</v>
      </c>
      <c r="C160" s="64">
        <f>'[36]Dados de entrada'!$B$31</f>
        <v>1</v>
      </c>
      <c r="D160" s="64">
        <f>'[36]Dados de entrada'!$B$32</f>
        <v>45</v>
      </c>
      <c r="E160" s="29">
        <f>'[36]Dados de entrada'!$B$27</f>
        <v>2.8</v>
      </c>
      <c r="F160" s="64">
        <f>'[36]Dados de entrada'!$B$30</f>
        <v>40</v>
      </c>
      <c r="G160" s="65">
        <f>'[36]Dados de entrada'!$B$22</f>
        <v>45</v>
      </c>
      <c r="H160" s="66">
        <f>'[36]Dados de entrada'!$B$29/(2*'[36]Dados de entrada'!$B$20*G160)</f>
        <v>8.7222222222222215E-3</v>
      </c>
      <c r="I160" s="30">
        <v>316.93678455813335</v>
      </c>
      <c r="J160" s="31">
        <v>0.2</v>
      </c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29">
        <v>0.22695478220742998</v>
      </c>
      <c r="AE160" s="29">
        <f t="shared" si="182"/>
        <v>1.1347739110371498</v>
      </c>
      <c r="AF160" s="29">
        <f t="shared" si="183"/>
        <v>0.12643343376684682</v>
      </c>
      <c r="AG160" s="29">
        <v>0.18827196710608479</v>
      </c>
      <c r="AH160" s="29">
        <f t="shared" si="203"/>
        <v>0.94135983553042391</v>
      </c>
      <c r="AI160" s="33">
        <f t="shared" si="204"/>
        <v>-6.0429815541334045E-2</v>
      </c>
      <c r="AJ160" s="29">
        <v>0.24203626379202053</v>
      </c>
      <c r="AK160" s="29">
        <f t="shared" si="205"/>
        <v>1.2101813189601025</v>
      </c>
      <c r="AL160" s="29">
        <f t="shared" si="206"/>
        <v>0.19077019876245299</v>
      </c>
      <c r="AM160" s="29">
        <v>0.26807037274685808</v>
      </c>
      <c r="AN160" s="29">
        <v>0.18032703134101588</v>
      </c>
      <c r="AO160" s="29">
        <v>0.90163515670507932</v>
      </c>
      <c r="AP160" s="29">
        <f t="shared" si="198"/>
        <v>-0.1035453233332648</v>
      </c>
      <c r="AQ160" s="29">
        <v>0.39612672321509768</v>
      </c>
      <c r="AR160" s="29">
        <f t="shared" si="207"/>
        <v>1.9806336160754883</v>
      </c>
      <c r="AS160" s="29">
        <f t="shared" si="208"/>
        <v>0.68341680163370011</v>
      </c>
      <c r="AT160" s="29">
        <v>0.27336080427619847</v>
      </c>
      <c r="AU160" s="29">
        <f t="shared" si="209"/>
        <v>1.3668040213809922</v>
      </c>
      <c r="AV160" s="29">
        <f t="shared" si="210"/>
        <v>0.31247518344152564</v>
      </c>
      <c r="AW160" s="29">
        <v>0.38119692538547489</v>
      </c>
      <c r="AX160" s="29">
        <f t="shared" si="211"/>
        <v>1.9059846269273744</v>
      </c>
      <c r="AY160" s="29">
        <f t="shared" si="212"/>
        <v>0.64499873957900788</v>
      </c>
      <c r="AZ160" s="29">
        <v>0.23009935341594556</v>
      </c>
      <c r="BA160" s="29">
        <f t="shared" si="213"/>
        <v>1.1504967670797277</v>
      </c>
      <c r="BB160" s="29">
        <f t="shared" si="214"/>
        <v>0.14019382047606094</v>
      </c>
      <c r="BC160" s="29">
        <v>0.15364587985844427</v>
      </c>
      <c r="BD160" s="29">
        <f t="shared" si="215"/>
        <v>0.76822939929222134</v>
      </c>
      <c r="BE160" s="29">
        <f t="shared" si="216"/>
        <v>-0.26366689344045119</v>
      </c>
      <c r="BF160" s="29">
        <v>0.32978650727155717</v>
      </c>
      <c r="BG160" s="11">
        <f t="shared" si="199"/>
        <v>1.6489325363577858</v>
      </c>
      <c r="BH160" s="11">
        <f t="shared" si="200"/>
        <v>0.50012813088960073</v>
      </c>
      <c r="BI160" s="29">
        <v>0.28037055022581076</v>
      </c>
      <c r="BJ160" s="29">
        <f t="shared" si="217"/>
        <v>1.4018527511290537</v>
      </c>
      <c r="BK160" s="29">
        <f t="shared" si="218"/>
        <v>0.33779475537124659</v>
      </c>
      <c r="BL160" s="29">
        <v>0.21812939030217457</v>
      </c>
      <c r="BM160" s="11">
        <f t="shared" si="201"/>
        <v>1.0906469515108728</v>
      </c>
      <c r="BN160" s="11">
        <f t="shared" si="202"/>
        <v>8.6771053665926356E-2</v>
      </c>
      <c r="BS160" t="b">
        <f t="shared" si="169"/>
        <v>1</v>
      </c>
      <c r="BU160" t="b">
        <f t="shared" si="170"/>
        <v>0</v>
      </c>
      <c r="BW160" t="b">
        <f t="shared" si="171"/>
        <v>0</v>
      </c>
    </row>
    <row r="161" spans="1:75">
      <c r="A161" s="88"/>
      <c r="B161" s="64">
        <f>'[36]Dados de entrada'!$B$28</f>
        <v>10</v>
      </c>
      <c r="C161" s="64">
        <f>'[36]Dados de entrada'!$B$31</f>
        <v>1</v>
      </c>
      <c r="D161" s="64">
        <f>'[36]Dados de entrada'!$B$32</f>
        <v>45</v>
      </c>
      <c r="E161" s="29">
        <f>'[36]Dados de entrada'!$B$27</f>
        <v>2.8</v>
      </c>
      <c r="F161" s="64">
        <f>'[36]Dados de entrada'!$B$30</f>
        <v>40</v>
      </c>
      <c r="G161" s="65">
        <f>'[36]Dados de entrada'!$B$22</f>
        <v>45</v>
      </c>
      <c r="H161" s="66">
        <f>'[36]Dados de entrada'!$B$29/(2*'[36]Dados de entrada'!$B$20*G161)</f>
        <v>8.7222222222222215E-3</v>
      </c>
      <c r="I161" s="30">
        <v>336.9960747200405</v>
      </c>
      <c r="J161" s="31">
        <v>0.22</v>
      </c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29">
        <v>0.25593645609715776</v>
      </c>
      <c r="AE161" s="29">
        <f t="shared" si="182"/>
        <v>1.1633475277143535</v>
      </c>
      <c r="AF161" s="29">
        <f t="shared" si="183"/>
        <v>0.15130164894544498</v>
      </c>
      <c r="AG161" s="29">
        <v>0.20018791439128003</v>
      </c>
      <c r="AH161" s="29">
        <f t="shared" si="203"/>
        <v>0.90994506541490927</v>
      </c>
      <c r="AI161" s="33">
        <f t="shared" si="204"/>
        <v>-9.4371048969366683E-2</v>
      </c>
      <c r="AJ161" s="29">
        <v>0.25735501466493321</v>
      </c>
      <c r="AK161" s="29">
        <f t="shared" si="205"/>
        <v>1.1697955212042419</v>
      </c>
      <c r="AL161" s="29">
        <f t="shared" si="206"/>
        <v>0.15682896533442037</v>
      </c>
      <c r="AM161" s="29">
        <v>0.28503685203463386</v>
      </c>
      <c r="AN161" s="29">
        <v>0.20387558614680465</v>
      </c>
      <c r="AO161" s="29">
        <v>0.92670720975820298</v>
      </c>
      <c r="AP161" s="29">
        <f t="shared" si="198"/>
        <v>-7.6117610385005488E-2</v>
      </c>
      <c r="AQ161" s="29">
        <v>0.43361332024378274</v>
      </c>
      <c r="AR161" s="29">
        <f t="shared" si="207"/>
        <v>1.9709696374717398</v>
      </c>
      <c r="AS161" s="29">
        <f t="shared" si="208"/>
        <v>0.67852562342064693</v>
      </c>
      <c r="AT161" s="29">
        <v>0.31944831577752686</v>
      </c>
      <c r="AU161" s="29">
        <f t="shared" si="209"/>
        <v>1.4520377989887585</v>
      </c>
      <c r="AV161" s="29">
        <f t="shared" si="210"/>
        <v>0.37296794842517222</v>
      </c>
      <c r="AW161" s="29">
        <v>0.40532331306809988</v>
      </c>
      <c r="AX161" s="29">
        <f t="shared" si="211"/>
        <v>1.8423786957640904</v>
      </c>
      <c r="AY161" s="29">
        <f t="shared" si="212"/>
        <v>0.6110575061509752</v>
      </c>
      <c r="AZ161" s="29">
        <v>0.24706005097005254</v>
      </c>
      <c r="BA161" s="29">
        <f t="shared" si="213"/>
        <v>1.1230002316820571</v>
      </c>
      <c r="BB161" s="29">
        <f t="shared" si="214"/>
        <v>0.11600388206265803</v>
      </c>
      <c r="BC161" s="29">
        <v>0.16434764865035462</v>
      </c>
      <c r="BD161" s="29">
        <f t="shared" si="215"/>
        <v>0.74703476659252099</v>
      </c>
      <c r="BE161" s="29">
        <f t="shared" si="216"/>
        <v>-0.29164355330916009</v>
      </c>
      <c r="BF161" s="29">
        <v>0.35065907102292154</v>
      </c>
      <c r="BG161" s="11">
        <f t="shared" si="199"/>
        <v>1.5939048682860071</v>
      </c>
      <c r="BH161" s="11">
        <f t="shared" si="200"/>
        <v>0.466186897461568</v>
      </c>
      <c r="BI161" s="29">
        <v>0.31698359275650057</v>
      </c>
      <c r="BJ161" s="29">
        <f t="shared" si="217"/>
        <v>1.4408345125295481</v>
      </c>
      <c r="BK161" s="29">
        <f t="shared" si="218"/>
        <v>0.36522246831950572</v>
      </c>
      <c r="BL161" s="29">
        <v>0.23258358759129535</v>
      </c>
      <c r="BM161" s="11">
        <f t="shared" si="201"/>
        <v>1.0571981254149789</v>
      </c>
      <c r="BN161" s="11">
        <f t="shared" si="202"/>
        <v>5.5622130586170521E-2</v>
      </c>
      <c r="BS161" t="b">
        <f t="shared" si="169"/>
        <v>1</v>
      </c>
      <c r="BU161" t="b">
        <f t="shared" si="170"/>
        <v>0</v>
      </c>
      <c r="BW161" t="b">
        <f t="shared" si="171"/>
        <v>0</v>
      </c>
    </row>
    <row r="162" spans="1:75">
      <c r="A162" s="88"/>
      <c r="B162" s="64">
        <f>'[36]Dados de entrada'!$B$28</f>
        <v>10</v>
      </c>
      <c r="C162" s="64">
        <f>'[36]Dados de entrada'!$B$31</f>
        <v>1</v>
      </c>
      <c r="D162" s="64">
        <f>'[36]Dados de entrada'!$B$32</f>
        <v>45</v>
      </c>
      <c r="E162" s="29">
        <f>'[36]Dados de entrada'!$B$27</f>
        <v>2.8</v>
      </c>
      <c r="F162" s="64">
        <f>'[36]Dados de entrada'!$B$30</f>
        <v>40</v>
      </c>
      <c r="G162" s="65">
        <f>'[36]Dados de entrada'!$B$22</f>
        <v>45</v>
      </c>
      <c r="H162" s="66">
        <f>'[36]Dados de entrada'!$B$29/(2*'[36]Dados de entrada'!$B$20*G162)</f>
        <v>8.7222222222222215E-3</v>
      </c>
      <c r="I162" s="30">
        <v>359.72993690353525</v>
      </c>
      <c r="J162" s="31">
        <v>0.24</v>
      </c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29">
        <v>0.28878235317218248</v>
      </c>
      <c r="AE162" s="29">
        <f t="shared" si="182"/>
        <v>1.2032598048840937</v>
      </c>
      <c r="AF162" s="29">
        <f t="shared" si="183"/>
        <v>0.18503437783531856</v>
      </c>
      <c r="AG162" s="29">
        <v>0.21372760574098071</v>
      </c>
      <c r="AH162" s="29">
        <f t="shared" si="203"/>
        <v>0.89053169058741966</v>
      </c>
      <c r="AI162" s="33">
        <f t="shared" si="204"/>
        <v>-0.11593658947696861</v>
      </c>
      <c r="AJ162" s="29">
        <v>0.27471626565423424</v>
      </c>
      <c r="AK162" s="29">
        <f t="shared" si="205"/>
        <v>1.1446511068926426</v>
      </c>
      <c r="AL162" s="29">
        <f t="shared" si="206"/>
        <v>0.13509988043520624</v>
      </c>
      <c r="AM162" s="29">
        <v>0.30426552856077982</v>
      </c>
      <c r="AN162" s="29">
        <v>0.23231042594433315</v>
      </c>
      <c r="AO162" s="29">
        <v>0.96796010810138822</v>
      </c>
      <c r="AP162" s="29">
        <f t="shared" si="198"/>
        <v>-3.2564403193803514E-2</v>
      </c>
      <c r="AQ162" s="29">
        <v>0.47609813020962577</v>
      </c>
      <c r="AR162" s="29">
        <f t="shared" si="207"/>
        <v>1.983742209206774</v>
      </c>
      <c r="AS162" s="29">
        <f t="shared" si="208"/>
        <v>0.68498506554479588</v>
      </c>
      <c r="AT162" s="29">
        <v>0.36979987077395959</v>
      </c>
      <c r="AU162" s="29">
        <f t="shared" si="209"/>
        <v>1.5408327948914984</v>
      </c>
      <c r="AV162" s="29">
        <f t="shared" si="210"/>
        <v>0.43232304616251244</v>
      </c>
      <c r="AW162" s="29">
        <v>0.4326665524417414</v>
      </c>
      <c r="AX162" s="29">
        <f t="shared" si="211"/>
        <v>1.8027773018405893</v>
      </c>
      <c r="AY162" s="29">
        <f t="shared" si="212"/>
        <v>0.58932842125176099</v>
      </c>
      <c r="AZ162" s="29">
        <v>0.26628217486470712</v>
      </c>
      <c r="BA162" s="29">
        <f t="shared" si="213"/>
        <v>1.1095090619362797</v>
      </c>
      <c r="BB162" s="29">
        <f t="shared" si="214"/>
        <v>0.10391763094280797</v>
      </c>
      <c r="BC162" s="29">
        <v>0.17647631994785301</v>
      </c>
      <c r="BD162" s="29">
        <f t="shared" si="215"/>
        <v>0.73531799978272094</v>
      </c>
      <c r="BE162" s="29">
        <f t="shared" si="216"/>
        <v>-0.30745222057091431</v>
      </c>
      <c r="BF162" s="29">
        <v>0.37431464327446778</v>
      </c>
      <c r="BG162" s="11">
        <f t="shared" si="199"/>
        <v>1.5596443469769492</v>
      </c>
      <c r="BH162" s="11">
        <f t="shared" si="200"/>
        <v>0.44445781256235389</v>
      </c>
      <c r="BI162" s="29">
        <v>0.36121264700812228</v>
      </c>
      <c r="BJ162" s="29">
        <f t="shared" si="217"/>
        <v>1.5050526958671762</v>
      </c>
      <c r="BK162" s="29">
        <f t="shared" si="218"/>
        <v>0.40882791145310132</v>
      </c>
      <c r="BL162" s="29">
        <v>0.24909329708915717</v>
      </c>
      <c r="BM162" s="11">
        <f t="shared" si="201"/>
        <v>1.0378887378714883</v>
      </c>
      <c r="BN162" s="11">
        <f t="shared" si="202"/>
        <v>3.7188590050081141E-2</v>
      </c>
      <c r="BS162" t="b">
        <f t="shared" si="169"/>
        <v>1</v>
      </c>
      <c r="BU162" t="b">
        <f t="shared" si="170"/>
        <v>0</v>
      </c>
      <c r="BW162" t="b">
        <f t="shared" si="171"/>
        <v>0</v>
      </c>
    </row>
    <row r="163" spans="1:75">
      <c r="A163" s="88"/>
      <c r="B163" s="64">
        <f>'[36]Dados de entrada'!$B$28</f>
        <v>10</v>
      </c>
      <c r="C163" s="64">
        <f>'[36]Dados de entrada'!$B$31</f>
        <v>1</v>
      </c>
      <c r="D163" s="64">
        <f>'[36]Dados de entrada'!$B$32</f>
        <v>45</v>
      </c>
      <c r="E163" s="29">
        <f>'[36]Dados de entrada'!$B$27</f>
        <v>2.8</v>
      </c>
      <c r="F163" s="64">
        <f>'[36]Dados de entrada'!$B$30</f>
        <v>40</v>
      </c>
      <c r="G163" s="65">
        <f>'[36]Dados de entrada'!$B$22</f>
        <v>45</v>
      </c>
      <c r="H163" s="66">
        <f>'[36]Dados de entrada'!$B$29/(2*'[36]Dados de entrada'!$B$20*G163)</f>
        <v>8.7222222222222215E-3</v>
      </c>
      <c r="I163" s="30">
        <v>379.78922706544245</v>
      </c>
      <c r="J163" s="31">
        <v>0.26</v>
      </c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29">
        <v>0.31776402706191037</v>
      </c>
      <c r="AE163" s="29">
        <f t="shared" si="182"/>
        <v>1.2221693348535014</v>
      </c>
      <c r="AF163" s="29">
        <f t="shared" si="183"/>
        <v>0.20062742304241468</v>
      </c>
      <c r="AG163" s="29">
        <v>0.24351747395396883</v>
      </c>
      <c r="AH163" s="29">
        <f t="shared" si="203"/>
        <v>0.93660566905372622</v>
      </c>
      <c r="AI163" s="33">
        <f t="shared" si="204"/>
        <v>-6.5492929449683226E-2</v>
      </c>
      <c r="AJ163" s="29">
        <v>0.29003501652714692</v>
      </c>
      <c r="AK163" s="29">
        <f t="shared" si="205"/>
        <v>1.1155192943351804</v>
      </c>
      <c r="AL163" s="29">
        <f t="shared" si="206"/>
        <v>0.1093200313210367</v>
      </c>
      <c r="AM163" s="29">
        <v>0.32123200784855555</v>
      </c>
      <c r="AN163" s="29">
        <v>0.25894100019300625</v>
      </c>
      <c r="AO163" s="29">
        <v>0.99592692381925474</v>
      </c>
      <c r="AP163" s="29">
        <f t="shared" si="198"/>
        <v>-4.0813937486067287E-3</v>
      </c>
      <c r="AQ163" s="29">
        <v>0.51358472723831095</v>
      </c>
      <c r="AR163" s="29">
        <f t="shared" si="207"/>
        <v>1.9753258739935036</v>
      </c>
      <c r="AS163" s="29">
        <f t="shared" si="208"/>
        <v>0.68073338423254803</v>
      </c>
      <c r="AT163" s="29">
        <v>0.41284270806854767</v>
      </c>
      <c r="AU163" s="29">
        <f t="shared" si="209"/>
        <v>1.587856569494414</v>
      </c>
      <c r="AV163" s="29">
        <f t="shared" si="210"/>
        <v>0.46238503726864449</v>
      </c>
      <c r="AW163" s="29">
        <v>0.45679294012436644</v>
      </c>
      <c r="AX163" s="29">
        <f t="shared" si="211"/>
        <v>1.7568959235552555</v>
      </c>
      <c r="AY163" s="29">
        <f t="shared" si="212"/>
        <v>0.56354857213759157</v>
      </c>
      <c r="AZ163" s="29">
        <v>0.28324287241881418</v>
      </c>
      <c r="BA163" s="29">
        <f t="shared" si="213"/>
        <v>1.0893956631492854</v>
      </c>
      <c r="BB163" s="29">
        <f t="shared" si="214"/>
        <v>8.562310500603898E-2</v>
      </c>
      <c r="BC163" s="29">
        <v>0.18717808873976338</v>
      </c>
      <c r="BD163" s="29">
        <f t="shared" si="215"/>
        <v>0.71991572592216679</v>
      </c>
      <c r="BE163" s="29">
        <f t="shared" si="216"/>
        <v>-0.32862112115293329</v>
      </c>
      <c r="BF163" s="29">
        <v>0.39518720702583221</v>
      </c>
      <c r="BG163" s="11">
        <f t="shared" si="199"/>
        <v>1.5199507962532008</v>
      </c>
      <c r="BH163" s="11">
        <f t="shared" si="200"/>
        <v>0.41867796344818448</v>
      </c>
      <c r="BI163" s="29">
        <v>0.41114123614227466</v>
      </c>
      <c r="BJ163" s="29">
        <f t="shared" si="217"/>
        <v>1.5813124467010564</v>
      </c>
      <c r="BK163" s="29">
        <f t="shared" si="218"/>
        <v>0.45825516469876321</v>
      </c>
      <c r="BL163" s="29">
        <v>0.28158612379497472</v>
      </c>
      <c r="BM163" s="11">
        <f t="shared" si="201"/>
        <v>1.0830235530575951</v>
      </c>
      <c r="BN163" s="11">
        <f t="shared" si="202"/>
        <v>7.9756715757988525E-2</v>
      </c>
      <c r="BS163" t="b">
        <f t="shared" si="169"/>
        <v>1</v>
      </c>
      <c r="BU163" t="b">
        <f t="shared" si="170"/>
        <v>0</v>
      </c>
      <c r="BW163" t="b">
        <f t="shared" si="171"/>
        <v>0</v>
      </c>
    </row>
    <row r="164" spans="1:75">
      <c r="A164" s="89"/>
      <c r="B164" s="64">
        <f>'[36]Dados de entrada'!$B$28</f>
        <v>10</v>
      </c>
      <c r="C164" s="64">
        <f>'[36]Dados de entrada'!$B$31</f>
        <v>1</v>
      </c>
      <c r="D164" s="64">
        <f>'[36]Dados de entrada'!$B$32</f>
        <v>45</v>
      </c>
      <c r="E164" s="29">
        <f>'[36]Dados de entrada'!$B$27</f>
        <v>2.8</v>
      </c>
      <c r="F164" s="64">
        <f>'[36]Dados de entrada'!$B$30</f>
        <v>40</v>
      </c>
      <c r="G164" s="65">
        <f>'[36]Dados de entrada'!$B$22</f>
        <v>45</v>
      </c>
      <c r="H164" s="66">
        <f>'[36]Dados de entrada'!$B$29/(2*'[36]Dados de entrada'!$B$20*G164)</f>
        <v>8.7222222222222215E-3</v>
      </c>
      <c r="I164" s="30">
        <v>403.86037525973109</v>
      </c>
      <c r="J164" s="31">
        <v>0.28000000000000003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29">
        <v>0.35254203572958381</v>
      </c>
      <c r="AE164" s="29">
        <f t="shared" si="182"/>
        <v>1.2590786990342278</v>
      </c>
      <c r="AF164" s="29">
        <f t="shared" si="183"/>
        <v>0.23038026227001387</v>
      </c>
      <c r="AG164" s="29">
        <v>0.2792653158095546</v>
      </c>
      <c r="AH164" s="29">
        <f t="shared" si="203"/>
        <v>0.9973761278912664</v>
      </c>
      <c r="AI164" s="33">
        <f t="shared" si="204"/>
        <v>-2.6273204945581564E-3</v>
      </c>
      <c r="AJ164" s="29">
        <v>0.31057003114677012</v>
      </c>
      <c r="AK164" s="29">
        <f t="shared" si="205"/>
        <v>1.109178682667036</v>
      </c>
      <c r="AL164" s="29">
        <f t="shared" si="206"/>
        <v>0.1036198159190497</v>
      </c>
      <c r="AM164" s="29">
        <v>0.34159178299388665</v>
      </c>
      <c r="AN164" s="29">
        <v>0.29280468882169908</v>
      </c>
      <c r="AO164" s="29">
        <v>1.0457310315060679</v>
      </c>
      <c r="AP164" s="29">
        <f t="shared" si="198"/>
        <v>4.4716192524999268E-2</v>
      </c>
      <c r="AQ164" s="29">
        <v>0.55856864367273318</v>
      </c>
      <c r="AR164" s="29">
        <f t="shared" si="207"/>
        <v>1.994888013116904</v>
      </c>
      <c r="AS164" s="29">
        <f t="shared" si="208"/>
        <v>0.69058791499027949</v>
      </c>
      <c r="AT164" s="29">
        <v>0.46306393428501186</v>
      </c>
      <c r="AU164" s="29">
        <f t="shared" si="209"/>
        <v>1.6537997653036136</v>
      </c>
      <c r="AV164" s="29">
        <f t="shared" si="210"/>
        <v>0.5030755283925159</v>
      </c>
      <c r="AW164" s="29">
        <v>0.48574460534351649</v>
      </c>
      <c r="AX164" s="29">
        <f t="shared" si="211"/>
        <v>1.7348021619411302</v>
      </c>
      <c r="AY164" s="29">
        <f t="shared" si="212"/>
        <v>0.55089337919753334</v>
      </c>
      <c r="AZ164" s="29">
        <v>0.30359570948374259</v>
      </c>
      <c r="BA164" s="29">
        <f t="shared" si="213"/>
        <v>1.0842703910133662</v>
      </c>
      <c r="BB164" s="29">
        <f t="shared" si="214"/>
        <v>8.0907310117130302E-2</v>
      </c>
      <c r="BC164" s="29">
        <v>0.20002021129005584</v>
      </c>
      <c r="BD164" s="29">
        <f t="shared" si="215"/>
        <v>0.71435789746448508</v>
      </c>
      <c r="BE164" s="29">
        <f t="shared" si="216"/>
        <v>-0.33637118527679288</v>
      </c>
      <c r="BF164" s="29">
        <v>0.4202342835274695</v>
      </c>
      <c r="BG164" s="11">
        <f t="shared" si="199"/>
        <v>1.5008367268838194</v>
      </c>
      <c r="BH164" s="11">
        <f t="shared" si="200"/>
        <v>0.40602277050812613</v>
      </c>
      <c r="BI164" s="29">
        <v>0.47105554310325753</v>
      </c>
      <c r="BJ164" s="29">
        <f t="shared" si="217"/>
        <v>1.6823412253687768</v>
      </c>
      <c r="BK164" s="29">
        <f t="shared" si="218"/>
        <v>0.52018640980370634</v>
      </c>
      <c r="BL164" s="29">
        <v>0.32067942921946513</v>
      </c>
      <c r="BM164" s="11">
        <f t="shared" si="201"/>
        <v>1.1452836757838039</v>
      </c>
      <c r="BN164" s="11">
        <f t="shared" si="202"/>
        <v>0.1356523580970477</v>
      </c>
      <c r="BS164" t="b">
        <f t="shared" si="169"/>
        <v>1</v>
      </c>
      <c r="BU164" t="b">
        <f t="shared" si="170"/>
        <v>0</v>
      </c>
      <c r="BW164" t="b">
        <f t="shared" si="171"/>
        <v>0</v>
      </c>
    </row>
    <row r="165" spans="1:75">
      <c r="A165" s="85" t="s">
        <v>73</v>
      </c>
      <c r="B165" s="21">
        <f>'[37]Dados de entrada'!$B$28</f>
        <v>10</v>
      </c>
      <c r="C165" s="21">
        <f>'[37]Dados de entrada'!$B$31</f>
        <v>1</v>
      </c>
      <c r="D165" s="21">
        <f>'[37]Dados de entrada'!$B$32</f>
        <v>45</v>
      </c>
      <c r="E165" s="20">
        <f>'[37]Dados de entrada'!$B$27</f>
        <v>2.8</v>
      </c>
      <c r="F165" s="21">
        <f>'[37]Dados de entrada'!$B$30</f>
        <v>40</v>
      </c>
      <c r="G165" s="56">
        <f>'[37]Dados de entrada'!$B$22</f>
        <v>45</v>
      </c>
      <c r="H165" s="57">
        <f>'[37]Dados de entrada'!$B$29/(2*'[37]Dados de entrada'!$B$20*G165)</f>
        <v>8.7222222222222215E-3</v>
      </c>
      <c r="I165" s="27" cm="1">
        <f t="array" ref="I165:I172">'[37]fib Model Code 2010'!$K$5:$K$12</f>
        <v>251.40977002923657</v>
      </c>
      <c r="J165" s="19" cm="1">
        <f t="array" ref="J165:J172">'[37]Dados de entrada'!$C$7:$C$14</f>
        <v>0.15</v>
      </c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0" cm="1">
        <f t="array" ref="AD165:AD172">'[37]fib Model Code 2010'!$L$5:$L$12</f>
        <v>0.13228131416765246</v>
      </c>
      <c r="AE165" s="20">
        <f t="shared" si="182"/>
        <v>0.8818754277843498</v>
      </c>
      <c r="AF165" s="54">
        <f t="shared" si="183"/>
        <v>-0.12570447129015877</v>
      </c>
      <c r="AG165" s="20" cm="1">
        <f t="array" ref="AG165:AG172">'[37]fib Model Code 2020'!$L$5:$L$12</f>
        <v>0.14934653930778033</v>
      </c>
      <c r="AH165" s="20">
        <f t="shared" si="203"/>
        <v>0.9956435953852022</v>
      </c>
      <c r="AI165" s="28">
        <f t="shared" si="204"/>
        <v>-4.3659213947351196E-3</v>
      </c>
      <c r="AJ165" s="20" cm="1">
        <f t="array" ref="AJ165:AJ172">'[37]Eurocode 2'!$L$5:$L$12</f>
        <v>0.19199501094050575</v>
      </c>
      <c r="AK165" s="20">
        <f t="shared" si="205"/>
        <v>1.2799667396033718</v>
      </c>
      <c r="AL165" s="20">
        <f t="shared" si="206"/>
        <v>0.24683409290905226</v>
      </c>
      <c r="AM165" s="20" cm="1">
        <f t="array" ref="AM165:AM172">'[37]NBR 6118'!$Q$5:$Q$12</f>
        <v>0.21264654040679032</v>
      </c>
      <c r="AN165" s="20" cm="1">
        <f t="array" ref="AN165:AN172">'[37]NBR 6118'!$R$5:$R$12</f>
        <v>0.11346968248886155</v>
      </c>
      <c r="AO165" s="20" cm="1">
        <f t="array" ref="AO165:AO172">'[37]NBR 6118'!$W$5:$W$12</f>
        <v>0.75646454992574375</v>
      </c>
      <c r="AP165" s="20">
        <f t="shared" si="198"/>
        <v>-0.27909960749184776</v>
      </c>
      <c r="AQ165" s="20" cm="1">
        <f t="array" ref="AQ165:AQ172">'[37]Clark (1956)'!$L$5:$L$12</f>
        <v>0.27367050625472622</v>
      </c>
      <c r="AR165" s="20">
        <f t="shared" si="207"/>
        <v>1.8244700416981749</v>
      </c>
      <c r="AS165" s="20">
        <f t="shared" si="208"/>
        <v>0.60128955675307427</v>
      </c>
      <c r="AT165" s="20" cm="1">
        <f t="array" ref="AT165:AT172">'[37]Leonhardt (1977)'!$L$5:$L$12</f>
        <v>0.10729330556362165</v>
      </c>
      <c r="AU165" s="20">
        <f t="shared" si="209"/>
        <v>0.71528870375747777</v>
      </c>
      <c r="AV165" s="20">
        <f t="shared" si="210"/>
        <v>-0.3350690363069434</v>
      </c>
      <c r="AW165" s="20" cm="1">
        <f t="array" ref="AW165:AW172">'[37]Desayi; Ganesan (1985)'!$L$5:$L$12</f>
        <v>0.30238405895556658</v>
      </c>
      <c r="AX165" s="20">
        <f t="shared" si="211"/>
        <v>2.015893726370444</v>
      </c>
      <c r="AY165" s="20">
        <f t="shared" si="212"/>
        <v>0.70106263372560695</v>
      </c>
      <c r="AZ165" s="20" cm="1">
        <f t="array" ref="AZ165:AZ172">'[37]Oh; Kang (1987)'!$L$5:$L$12</f>
        <v>0.17469440807252934</v>
      </c>
      <c r="BA165" s="20">
        <f t="shared" si="213"/>
        <v>1.1646293871501956</v>
      </c>
      <c r="BB165" s="20">
        <f t="shared" si="214"/>
        <v>0.15240291378807191</v>
      </c>
      <c r="BC165" s="20" cm="1">
        <f t="array" ref="BC165:BC172">'[37]Caldas (1997)'!$L$5:$L$12</f>
        <v>0.11868676847153704</v>
      </c>
      <c r="BD165" s="20">
        <f t="shared" si="215"/>
        <v>0.79124512314358031</v>
      </c>
      <c r="BE165" s="20">
        <f t="shared" si="216"/>
        <v>-0.23414746902637223</v>
      </c>
      <c r="BF165" s="20" cm="1">
        <f t="array" ref="BF165:BF172">'[37]Gergely e Lutz (1968)'!$L$5:$L$12</f>
        <v>0.26160279901710021</v>
      </c>
      <c r="BG165" s="20">
        <f t="shared" si="199"/>
        <v>1.7440186601140015</v>
      </c>
      <c r="BH165" s="20">
        <f t="shared" si="200"/>
        <v>0.5561920250361998</v>
      </c>
      <c r="BI165" s="20" cm="1">
        <f t="array" ref="BI165:BI172">[37]Sugestão!$M$5:$M$12</f>
        <v>0.17642145537896448</v>
      </c>
      <c r="BJ165" s="20">
        <f t="shared" si="217"/>
        <v>1.1761430358597633</v>
      </c>
      <c r="BK165" s="20">
        <f t="shared" si="218"/>
        <v>0.16224047121266377</v>
      </c>
      <c r="BL165" s="20" cm="1">
        <f t="array" ref="BL165:BL172">'[37]fib Model Code 2020 modificado'!$L$5:$L$12</f>
        <v>0.17145039355479941</v>
      </c>
      <c r="BM165" s="20">
        <f t="shared" si="201"/>
        <v>1.1430026236986628</v>
      </c>
      <c r="BN165" s="20">
        <f t="shared" si="202"/>
        <v>0.13365868025943783</v>
      </c>
      <c r="BS165" t="b">
        <f t="shared" si="169"/>
        <v>1</v>
      </c>
      <c r="BU165" t="b">
        <f t="shared" si="170"/>
        <v>0</v>
      </c>
      <c r="BW165" t="b">
        <f t="shared" si="171"/>
        <v>0</v>
      </c>
    </row>
    <row r="166" spans="1:75">
      <c r="A166" s="90"/>
      <c r="B166" s="21">
        <f>'[37]Dados de entrada'!$B$28</f>
        <v>10</v>
      </c>
      <c r="C166" s="21">
        <f>'[37]Dados de entrada'!$B$31</f>
        <v>1</v>
      </c>
      <c r="D166" s="21">
        <f>'[37]Dados de entrada'!$B$32</f>
        <v>45</v>
      </c>
      <c r="E166" s="20">
        <f>'[37]Dados de entrada'!$B$27</f>
        <v>2.8</v>
      </c>
      <c r="F166" s="21">
        <f>'[37]Dados de entrada'!$B$30</f>
        <v>40</v>
      </c>
      <c r="G166" s="56">
        <f>'[37]Dados de entrada'!$B$22</f>
        <v>45</v>
      </c>
      <c r="H166" s="57">
        <f>'[37]Dados de entrada'!$B$29/(2*'[37]Dados de entrada'!$B$20*G166)</f>
        <v>8.7222222222222215E-3</v>
      </c>
      <c r="I166" s="27">
        <v>274.14363221273135</v>
      </c>
      <c r="J166" s="19">
        <v>0.17</v>
      </c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0">
        <v>0.16512721124267726</v>
      </c>
      <c r="AE166" s="20">
        <f t="shared" si="182"/>
        <v>0.97133653672163089</v>
      </c>
      <c r="AF166" s="54">
        <f t="shared" si="183"/>
        <v>-2.9082282971607962E-2</v>
      </c>
      <c r="AG166" s="20">
        <v>0.16285127956433496</v>
      </c>
      <c r="AH166" s="20">
        <f t="shared" si="203"/>
        <v>0.95794870331961735</v>
      </c>
      <c r="AI166" s="28">
        <f t="shared" si="204"/>
        <v>-4.2961048040282071E-2</v>
      </c>
      <c r="AJ166" s="20">
        <v>0.20935626192980678</v>
      </c>
      <c r="AK166" s="20">
        <f t="shared" si="205"/>
        <v>1.2315074231165104</v>
      </c>
      <c r="AL166" s="20">
        <f t="shared" si="206"/>
        <v>0.20823896626350494</v>
      </c>
      <c r="AM166" s="20">
        <v>0.23187521693293625</v>
      </c>
      <c r="AN166" s="20">
        <v>0.1349186115491853</v>
      </c>
      <c r="AO166" s="20">
        <v>0.7936388914657958</v>
      </c>
      <c r="AP166" s="20">
        <f t="shared" si="198"/>
        <v>-0.23112671782893635</v>
      </c>
      <c r="AQ166" s="20">
        <v>0.31615531622056936</v>
      </c>
      <c r="AR166" s="20">
        <f t="shared" si="207"/>
        <v>1.8597371542386432</v>
      </c>
      <c r="AS166" s="20">
        <f t="shared" si="208"/>
        <v>0.62043516281375433</v>
      </c>
      <c r="AT166" s="20">
        <v>0.16821697701992566</v>
      </c>
      <c r="AU166" s="20">
        <f t="shared" si="209"/>
        <v>0.98951162952897442</v>
      </c>
      <c r="AV166" s="20">
        <f t="shared" si="210"/>
        <v>-1.0543761073792115E-2</v>
      </c>
      <c r="AW166" s="20">
        <v>0.32972729832920816</v>
      </c>
      <c r="AX166" s="20">
        <f t="shared" si="211"/>
        <v>1.939572343112989</v>
      </c>
      <c r="AY166" s="20">
        <f t="shared" si="212"/>
        <v>0.66246750708005953</v>
      </c>
      <c r="AZ166" s="20">
        <v>0.19391653196718392</v>
      </c>
      <c r="BA166" s="20">
        <f t="shared" si="213"/>
        <v>1.1406854821599053</v>
      </c>
      <c r="BB166" s="20">
        <f t="shared" si="214"/>
        <v>0.13162938183817893</v>
      </c>
      <c r="BC166" s="20">
        <v>0.13081543976903548</v>
      </c>
      <c r="BD166" s="20">
        <f t="shared" si="215"/>
        <v>0.76950258687667927</v>
      </c>
      <c r="BE166" s="20">
        <f t="shared" si="216"/>
        <v>-0.26201096394578788</v>
      </c>
      <c r="BF166" s="20">
        <v>0.2852583712686465</v>
      </c>
      <c r="BG166" s="20">
        <f t="shared" si="199"/>
        <v>1.6779904192273323</v>
      </c>
      <c r="BH166" s="20">
        <f t="shared" si="200"/>
        <v>0.51759689839065259</v>
      </c>
      <c r="BI166" s="20">
        <v>0.20977002213391188</v>
      </c>
      <c r="BJ166" s="20">
        <f t="shared" si="217"/>
        <v>1.2339413066700697</v>
      </c>
      <c r="BK166" s="20">
        <f t="shared" si="218"/>
        <v>0.21021336087557538</v>
      </c>
      <c r="BL166" s="20">
        <v>0.1875518127179997</v>
      </c>
      <c r="BM166" s="20">
        <f t="shared" si="201"/>
        <v>1.103245957164704</v>
      </c>
      <c r="BN166" s="20">
        <f t="shared" si="202"/>
        <v>9.825670468285741E-2</v>
      </c>
      <c r="BS166" t="b">
        <f t="shared" si="169"/>
        <v>1</v>
      </c>
      <c r="BU166" t="b">
        <f t="shared" si="170"/>
        <v>0</v>
      </c>
      <c r="BW166" t="b">
        <f t="shared" si="171"/>
        <v>0</v>
      </c>
    </row>
    <row r="167" spans="1:75">
      <c r="A167" s="90"/>
      <c r="B167" s="21">
        <f>'[37]Dados de entrada'!$B$28</f>
        <v>10</v>
      </c>
      <c r="C167" s="21">
        <f>'[37]Dados de entrada'!$B$31</f>
        <v>1</v>
      </c>
      <c r="D167" s="21">
        <f>'[37]Dados de entrada'!$B$32</f>
        <v>45</v>
      </c>
      <c r="E167" s="20">
        <f>'[37]Dados de entrada'!$B$27</f>
        <v>2.8</v>
      </c>
      <c r="F167" s="21">
        <f>'[37]Dados de entrada'!$B$30</f>
        <v>40</v>
      </c>
      <c r="G167" s="56">
        <f>'[37]Dados de entrada'!$B$22</f>
        <v>45</v>
      </c>
      <c r="H167" s="57">
        <f>'[37]Dados de entrada'!$B$29/(2*'[37]Dados de entrada'!$B$20*G167)</f>
        <v>8.7222222222222215E-3</v>
      </c>
      <c r="I167" s="27">
        <v>295.54020838543232</v>
      </c>
      <c r="J167" s="19">
        <v>0.19</v>
      </c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0">
        <v>0.19604099672505357</v>
      </c>
      <c r="AE167" s="20">
        <f t="shared" si="182"/>
        <v>1.031794719605545</v>
      </c>
      <c r="AF167" s="54">
        <f t="shared" si="183"/>
        <v>3.1299732162230441E-2</v>
      </c>
      <c r="AG167" s="20">
        <v>0.17556162333520986</v>
      </c>
      <c r="AH167" s="20">
        <f t="shared" si="203"/>
        <v>0.92400854386952558</v>
      </c>
      <c r="AI167" s="28">
        <f t="shared" si="204"/>
        <v>-7.9033960771161871E-2</v>
      </c>
      <c r="AJ167" s="20">
        <v>0.22569626286091363</v>
      </c>
      <c r="AK167" s="20">
        <f t="shared" si="205"/>
        <v>1.1878750676890191</v>
      </c>
      <c r="AL167" s="20">
        <f t="shared" si="206"/>
        <v>0.17216605353262512</v>
      </c>
      <c r="AM167" s="20">
        <v>0.24997279483989715</v>
      </c>
      <c r="AN167" s="20">
        <v>0.15680094959366475</v>
      </c>
      <c r="AO167" s="20">
        <v>0.82526815575613022</v>
      </c>
      <c r="AP167" s="20">
        <f t="shared" si="198"/>
        <v>-0.19204690818047113</v>
      </c>
      <c r="AQ167" s="20">
        <v>0.35614101971783346</v>
      </c>
      <c r="AR167" s="20">
        <f t="shared" si="207"/>
        <v>1.8744264195675444</v>
      </c>
      <c r="AS167" s="20">
        <f t="shared" si="208"/>
        <v>0.62830270305852254</v>
      </c>
      <c r="AT167" s="20">
        <v>0.22211331408926083</v>
      </c>
      <c r="AU167" s="20">
        <f t="shared" si="209"/>
        <v>1.169017442575057</v>
      </c>
      <c r="AV167" s="20">
        <f t="shared" si="210"/>
        <v>0.15616360331536211</v>
      </c>
      <c r="AW167" s="20">
        <v>0.3554621118573415</v>
      </c>
      <c r="AX167" s="20">
        <f t="shared" si="211"/>
        <v>1.8708532203017973</v>
      </c>
      <c r="AY167" s="20">
        <f t="shared" si="212"/>
        <v>0.62639459434917999</v>
      </c>
      <c r="AZ167" s="20">
        <v>0.2120079426915647</v>
      </c>
      <c r="BA167" s="20">
        <f t="shared" si="213"/>
        <v>1.1158312773240247</v>
      </c>
      <c r="BB167" s="20">
        <f t="shared" si="214"/>
        <v>0.10959966733595952</v>
      </c>
      <c r="BC167" s="20">
        <v>0.14223065981373986</v>
      </c>
      <c r="BD167" s="20">
        <f t="shared" si="215"/>
        <v>0.74858242007231501</v>
      </c>
      <c r="BE167" s="20">
        <f t="shared" si="216"/>
        <v>-0.28957396752745024</v>
      </c>
      <c r="BF167" s="20">
        <v>0.30752243927010181</v>
      </c>
      <c r="BG167" s="20">
        <f t="shared" si="199"/>
        <v>1.6185391540531675</v>
      </c>
      <c r="BH167" s="20">
        <f t="shared" si="200"/>
        <v>0.48152398565977284</v>
      </c>
      <c r="BI167" s="20">
        <v>0.24379244856733817</v>
      </c>
      <c r="BJ167" s="20">
        <f t="shared" si="217"/>
        <v>1.2831181503544113</v>
      </c>
      <c r="BK167" s="20">
        <f t="shared" si="218"/>
        <v>0.24929317052403999</v>
      </c>
      <c r="BL167" s="20">
        <v>0.2027966792463794</v>
      </c>
      <c r="BM167" s="20">
        <f t="shared" si="201"/>
        <v>1.0673509434019968</v>
      </c>
      <c r="BN167" s="20">
        <f t="shared" si="202"/>
        <v>6.5179824897721478E-2</v>
      </c>
      <c r="BS167" t="b">
        <f t="shared" si="169"/>
        <v>1</v>
      </c>
      <c r="BU167" t="b">
        <f t="shared" si="170"/>
        <v>0</v>
      </c>
      <c r="BW167" t="b">
        <f t="shared" si="171"/>
        <v>0</v>
      </c>
    </row>
    <row r="168" spans="1:75">
      <c r="A168" s="90"/>
      <c r="B168" s="21">
        <f>'[37]Dados de entrada'!$B$28</f>
        <v>10</v>
      </c>
      <c r="C168" s="21">
        <f>'[37]Dados de entrada'!$B$31</f>
        <v>1</v>
      </c>
      <c r="D168" s="21">
        <f>'[37]Dados de entrada'!$B$32</f>
        <v>45</v>
      </c>
      <c r="E168" s="20">
        <f>'[37]Dados de entrada'!$B$27</f>
        <v>2.8</v>
      </c>
      <c r="F168" s="21">
        <f>'[37]Dados de entrada'!$B$30</f>
        <v>40</v>
      </c>
      <c r="G168" s="56">
        <f>'[37]Dados de entrada'!$B$22</f>
        <v>45</v>
      </c>
      <c r="H168" s="57">
        <f>'[37]Dados de entrada'!$B$29/(2*'[37]Dados de entrada'!$B$20*G168)</f>
        <v>8.7222222222222215E-3</v>
      </c>
      <c r="I168" s="27">
        <v>314.93085554194266</v>
      </c>
      <c r="J168" s="19">
        <v>0.2</v>
      </c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0">
        <v>0.22405661481845726</v>
      </c>
      <c r="AE168" s="20">
        <f t="shared" si="182"/>
        <v>1.1202830740922862</v>
      </c>
      <c r="AF168" s="54">
        <f t="shared" si="183"/>
        <v>0.11358139809769141</v>
      </c>
      <c r="AG168" s="20">
        <v>0.18708037237756528</v>
      </c>
      <c r="AH168" s="20">
        <f t="shared" si="203"/>
        <v>0.93540186188782637</v>
      </c>
      <c r="AI168" s="28">
        <f t="shared" si="204"/>
        <v>-6.6779043219992701E-2</v>
      </c>
      <c r="AJ168" s="20">
        <v>0.24050438870472929</v>
      </c>
      <c r="AK168" s="20">
        <f t="shared" si="205"/>
        <v>1.2025219435236463</v>
      </c>
      <c r="AL168" s="20">
        <f t="shared" si="206"/>
        <v>0.18442097108379435</v>
      </c>
      <c r="AM168" s="20">
        <v>0.26637372481808047</v>
      </c>
      <c r="AN168" s="20">
        <v>0.17805163417419886</v>
      </c>
      <c r="AO168" s="20">
        <v>0.89025817087099424</v>
      </c>
      <c r="AP168" s="20">
        <f t="shared" si="198"/>
        <v>-0.11624377869058229</v>
      </c>
      <c r="AQ168" s="20">
        <v>0.3923780635122292</v>
      </c>
      <c r="AR168" s="20">
        <f t="shared" si="207"/>
        <v>1.961890317561146</v>
      </c>
      <c r="AS168" s="20">
        <f t="shared" si="208"/>
        <v>0.67390845619680129</v>
      </c>
      <c r="AT168" s="20">
        <v>0.26865430312309796</v>
      </c>
      <c r="AU168" s="20">
        <f t="shared" si="209"/>
        <v>1.3432715156154897</v>
      </c>
      <c r="AV168" s="20">
        <f t="shared" si="210"/>
        <v>0.2951080680793734</v>
      </c>
      <c r="AW168" s="20">
        <v>0.37878428661721242</v>
      </c>
      <c r="AX168" s="20">
        <f t="shared" si="211"/>
        <v>1.8939214330860621</v>
      </c>
      <c r="AY168" s="20">
        <f t="shared" si="212"/>
        <v>0.63864951190034935</v>
      </c>
      <c r="AZ168" s="20">
        <v>0.22840328366053489</v>
      </c>
      <c r="BA168" s="20">
        <f t="shared" si="213"/>
        <v>1.1420164183026744</v>
      </c>
      <c r="BB168" s="20">
        <f t="shared" si="214"/>
        <v>0.13279548792791152</v>
      </c>
      <c r="BC168" s="20">
        <v>0.15257570297925327</v>
      </c>
      <c r="BD168" s="20">
        <f t="shared" si="215"/>
        <v>0.76287851489626635</v>
      </c>
      <c r="BE168" s="20">
        <f t="shared" si="216"/>
        <v>-0.27065648069402198</v>
      </c>
      <c r="BF168" s="20">
        <v>0.32769925089642077</v>
      </c>
      <c r="BG168" s="20">
        <f t="shared" si="199"/>
        <v>1.6384962544821038</v>
      </c>
      <c r="BH168" s="20">
        <f t="shared" si="200"/>
        <v>0.49377890321094203</v>
      </c>
      <c r="BI168" s="20">
        <v>0.27683278691379631</v>
      </c>
      <c r="BJ168" s="20">
        <f t="shared" si="217"/>
        <v>1.3841639345689816</v>
      </c>
      <c r="BK168" s="20">
        <f t="shared" si="218"/>
        <v>0.32509630001392942</v>
      </c>
      <c r="BL168" s="20">
        <v>0.21668821696399207</v>
      </c>
      <c r="BM168" s="20">
        <f t="shared" si="201"/>
        <v>1.0834410848199603</v>
      </c>
      <c r="BN168" s="20">
        <f t="shared" si="202"/>
        <v>8.0142165638161636E-2</v>
      </c>
      <c r="BS168" t="b">
        <f t="shared" si="169"/>
        <v>1</v>
      </c>
      <c r="BU168" t="b">
        <f t="shared" si="170"/>
        <v>0</v>
      </c>
      <c r="BW168" t="b">
        <f t="shared" si="171"/>
        <v>0</v>
      </c>
    </row>
    <row r="169" spans="1:75">
      <c r="A169" s="90"/>
      <c r="B169" s="21">
        <f>'[37]Dados de entrada'!$B$28</f>
        <v>10</v>
      </c>
      <c r="C169" s="21">
        <f>'[37]Dados de entrada'!$B$31</f>
        <v>1</v>
      </c>
      <c r="D169" s="21">
        <f>'[37]Dados de entrada'!$B$32</f>
        <v>45</v>
      </c>
      <c r="E169" s="20">
        <f>'[37]Dados de entrada'!$B$27</f>
        <v>2.8</v>
      </c>
      <c r="F169" s="21">
        <f>'[37]Dados de entrada'!$B$30</f>
        <v>40</v>
      </c>
      <c r="G169" s="56">
        <f>'[37]Dados de entrada'!$B$22</f>
        <v>45</v>
      </c>
      <c r="H169" s="57">
        <f>'[37]Dados de entrada'!$B$29/(2*'[37]Dados de entrada'!$B$20*G169)</f>
        <v>8.7222222222222215E-3</v>
      </c>
      <c r="I169" s="27">
        <v>336.9960747200405</v>
      </c>
      <c r="J169" s="19">
        <v>0.22</v>
      </c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0">
        <v>0.25593645609715776</v>
      </c>
      <c r="AE169" s="20">
        <f t="shared" si="182"/>
        <v>1.1633475277143535</v>
      </c>
      <c r="AF169" s="54">
        <f t="shared" si="183"/>
        <v>0.15130164894544498</v>
      </c>
      <c r="AG169" s="20">
        <v>0.20018791439128003</v>
      </c>
      <c r="AH169" s="20">
        <f t="shared" si="203"/>
        <v>0.90994506541490927</v>
      </c>
      <c r="AI169" s="28">
        <f t="shared" si="204"/>
        <v>-9.4371048969366683E-2</v>
      </c>
      <c r="AJ169" s="20">
        <v>0.25735501466493321</v>
      </c>
      <c r="AK169" s="20">
        <f t="shared" si="205"/>
        <v>1.1697955212042419</v>
      </c>
      <c r="AL169" s="20">
        <f t="shared" si="206"/>
        <v>0.15682896533442037</v>
      </c>
      <c r="AM169" s="20">
        <v>0.28503685203463386</v>
      </c>
      <c r="AN169" s="20">
        <v>0.20387558614680465</v>
      </c>
      <c r="AO169" s="20">
        <v>0.92670720975820298</v>
      </c>
      <c r="AP169" s="20">
        <f t="shared" si="198"/>
        <v>-7.6117610385005488E-2</v>
      </c>
      <c r="AQ169" s="20">
        <v>0.43361332024378274</v>
      </c>
      <c r="AR169" s="20">
        <f t="shared" si="207"/>
        <v>1.9709696374717398</v>
      </c>
      <c r="AS169" s="20">
        <f t="shared" si="208"/>
        <v>0.67852562342064693</v>
      </c>
      <c r="AT169" s="20">
        <v>0.31944831577752686</v>
      </c>
      <c r="AU169" s="20">
        <f t="shared" si="209"/>
        <v>1.4520377989887585</v>
      </c>
      <c r="AV169" s="20">
        <f t="shared" si="210"/>
        <v>0.37296794842517222</v>
      </c>
      <c r="AW169" s="20">
        <v>0.40532331306809988</v>
      </c>
      <c r="AX169" s="20">
        <f t="shared" si="211"/>
        <v>1.8423786957640904</v>
      </c>
      <c r="AY169" s="20">
        <f t="shared" si="212"/>
        <v>0.6110575061509752</v>
      </c>
      <c r="AZ169" s="20">
        <v>0.24706005097005254</v>
      </c>
      <c r="BA169" s="20">
        <f t="shared" si="213"/>
        <v>1.1230002316820571</v>
      </c>
      <c r="BB169" s="20">
        <f t="shared" si="214"/>
        <v>0.11600388206265803</v>
      </c>
      <c r="BC169" s="20">
        <v>0.16434764865035462</v>
      </c>
      <c r="BD169" s="20">
        <f t="shared" si="215"/>
        <v>0.74703476659252099</v>
      </c>
      <c r="BE169" s="20">
        <f t="shared" si="216"/>
        <v>-0.29164355330916009</v>
      </c>
      <c r="BF169" s="20">
        <v>0.35065907102292154</v>
      </c>
      <c r="BG169" s="20">
        <f t="shared" si="199"/>
        <v>1.5939048682860071</v>
      </c>
      <c r="BH169" s="20">
        <f t="shared" si="200"/>
        <v>0.466186897461568</v>
      </c>
      <c r="BI169" s="20">
        <v>0.31698359275650057</v>
      </c>
      <c r="BJ169" s="20">
        <f t="shared" si="217"/>
        <v>1.4408345125295481</v>
      </c>
      <c r="BK169" s="20">
        <f t="shared" si="218"/>
        <v>0.36522246831950572</v>
      </c>
      <c r="BL169" s="20">
        <v>0.23258358759129535</v>
      </c>
      <c r="BM169" s="20">
        <f t="shared" si="201"/>
        <v>1.0571981254149789</v>
      </c>
      <c r="BN169" s="20">
        <f t="shared" si="202"/>
        <v>5.5622130586170521E-2</v>
      </c>
      <c r="BS169" t="b">
        <f t="shared" si="169"/>
        <v>1</v>
      </c>
      <c r="BU169" t="b">
        <f t="shared" si="170"/>
        <v>0</v>
      </c>
      <c r="BW169" t="b">
        <f t="shared" si="171"/>
        <v>0</v>
      </c>
    </row>
    <row r="170" spans="1:75">
      <c r="A170" s="90"/>
      <c r="B170" s="21">
        <f>'[37]Dados de entrada'!$B$28</f>
        <v>10</v>
      </c>
      <c r="C170" s="21">
        <f>'[37]Dados de entrada'!$B$31</f>
        <v>1</v>
      </c>
      <c r="D170" s="21">
        <f>'[37]Dados de entrada'!$B$32</f>
        <v>45</v>
      </c>
      <c r="E170" s="20">
        <f>'[37]Dados de entrada'!$B$27</f>
        <v>2.8</v>
      </c>
      <c r="F170" s="21">
        <f>'[37]Dados de entrada'!$B$30</f>
        <v>40</v>
      </c>
      <c r="G170" s="56">
        <f>'[37]Dados de entrada'!$B$22</f>
        <v>45</v>
      </c>
      <c r="H170" s="57">
        <f>'[37]Dados de entrada'!$B$29/(2*'[37]Dados de entrada'!$B$20*G170)</f>
        <v>8.7222222222222215E-3</v>
      </c>
      <c r="I170" s="27">
        <v>359.06129389813839</v>
      </c>
      <c r="J170" s="19">
        <v>0.24</v>
      </c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0">
        <v>0.28781629737585829</v>
      </c>
      <c r="AE170" s="20">
        <f t="shared" si="182"/>
        <v>1.1992345723994096</v>
      </c>
      <c r="AF170" s="54">
        <f t="shared" si="183"/>
        <v>0.18168349694323033</v>
      </c>
      <c r="AG170" s="20">
        <v>0.21329545640499481</v>
      </c>
      <c r="AH170" s="20">
        <f t="shared" si="203"/>
        <v>0.88873106835414506</v>
      </c>
      <c r="AI170" s="28">
        <f t="shared" si="204"/>
        <v>-0.11796059952150033</v>
      </c>
      <c r="AJ170" s="20">
        <v>0.27420564062513714</v>
      </c>
      <c r="AK170" s="20">
        <f t="shared" si="205"/>
        <v>1.142523502604738</v>
      </c>
      <c r="AL170" s="20">
        <f t="shared" si="206"/>
        <v>0.13323941478228646</v>
      </c>
      <c r="AM170" s="20">
        <v>0.30369997925118725</v>
      </c>
      <c r="AN170" s="20">
        <v>0.23144762102217148</v>
      </c>
      <c r="AO170" s="20">
        <v>0.96436508759238115</v>
      </c>
      <c r="AP170" s="20">
        <f t="shared" si="198"/>
        <v>-3.6285334499643142E-2</v>
      </c>
      <c r="AQ170" s="20">
        <v>0.47484857697533639</v>
      </c>
      <c r="AR170" s="20">
        <f t="shared" si="207"/>
        <v>1.978535737397235</v>
      </c>
      <c r="AS170" s="20">
        <f t="shared" si="208"/>
        <v>0.68235704455472879</v>
      </c>
      <c r="AT170" s="20">
        <v>0.36834412167041547</v>
      </c>
      <c r="AU170" s="20">
        <f t="shared" si="209"/>
        <v>1.5347671736267312</v>
      </c>
      <c r="AV170" s="20">
        <f t="shared" si="210"/>
        <v>0.42837869111575816</v>
      </c>
      <c r="AW170" s="20">
        <v>0.43186233951898739</v>
      </c>
      <c r="AX170" s="20">
        <f t="shared" si="211"/>
        <v>1.7994264146624475</v>
      </c>
      <c r="AY170" s="20">
        <f t="shared" si="212"/>
        <v>0.58746795559884157</v>
      </c>
      <c r="AZ170" s="20">
        <v>0.26571681827957028</v>
      </c>
      <c r="BA170" s="20">
        <f t="shared" si="213"/>
        <v>1.1071534094982096</v>
      </c>
      <c r="BB170" s="20">
        <f t="shared" si="214"/>
        <v>0.1017922254241943</v>
      </c>
      <c r="BC170" s="20">
        <v>0.17611959432145605</v>
      </c>
      <c r="BD170" s="20">
        <f t="shared" si="215"/>
        <v>0.73383164300606685</v>
      </c>
      <c r="BE170" s="20">
        <f t="shared" si="216"/>
        <v>-0.30947564587830367</v>
      </c>
      <c r="BF170" s="20">
        <v>0.37361889114942237</v>
      </c>
      <c r="BG170" s="20">
        <f t="shared" si="199"/>
        <v>1.5567453797892599</v>
      </c>
      <c r="BH170" s="20">
        <f t="shared" si="200"/>
        <v>0.44259734690943431</v>
      </c>
      <c r="BI170" s="20">
        <v>0.35985229930240353</v>
      </c>
      <c r="BJ170" s="20">
        <f t="shared" si="217"/>
        <v>1.4993845804266814</v>
      </c>
      <c r="BK170" s="20">
        <f t="shared" si="218"/>
        <v>0.40505474420486837</v>
      </c>
      <c r="BL170" s="20">
        <v>0.24857237881464883</v>
      </c>
      <c r="BM170" s="20">
        <f t="shared" si="201"/>
        <v>1.0357182450610369</v>
      </c>
      <c r="BN170" s="20">
        <f t="shared" si="202"/>
        <v>3.5095142621516057E-2</v>
      </c>
      <c r="BS170" t="b">
        <f t="shared" si="169"/>
        <v>1</v>
      </c>
      <c r="BU170" t="b">
        <f t="shared" si="170"/>
        <v>0</v>
      </c>
      <c r="BW170" t="b">
        <f t="shared" si="171"/>
        <v>0</v>
      </c>
    </row>
    <row r="171" spans="1:75">
      <c r="A171" s="90"/>
      <c r="B171" s="21">
        <f>'[37]Dados de entrada'!$B$28</f>
        <v>10</v>
      </c>
      <c r="C171" s="21">
        <f>'[37]Dados de entrada'!$B$31</f>
        <v>1</v>
      </c>
      <c r="D171" s="21">
        <f>'[37]Dados de entrada'!$B$32</f>
        <v>45</v>
      </c>
      <c r="E171" s="20">
        <f>'[37]Dados de entrada'!$B$27</f>
        <v>2.8</v>
      </c>
      <c r="F171" s="21">
        <f>'[37]Dados de entrada'!$B$30</f>
        <v>40</v>
      </c>
      <c r="G171" s="56">
        <f>'[37]Dados de entrada'!$B$22</f>
        <v>45</v>
      </c>
      <c r="H171" s="57">
        <f>'[37]Dados de entrada'!$B$29/(2*'[37]Dados de entrada'!$B$20*G171)</f>
        <v>8.7222222222222215E-3</v>
      </c>
      <c r="I171" s="27">
        <v>377.78329804925175</v>
      </c>
      <c r="J171" s="19">
        <v>0.26</v>
      </c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0">
        <v>0.31486585967293762</v>
      </c>
      <c r="AE171" s="20">
        <f t="shared" si="182"/>
        <v>1.2110225372036061</v>
      </c>
      <c r="AF171" s="54">
        <f t="shared" si="183"/>
        <v>0.19146507480538577</v>
      </c>
      <c r="AG171" s="20">
        <v>0.24053848713267006</v>
      </c>
      <c r="AH171" s="20">
        <f t="shared" si="203"/>
        <v>0.92514802743334634</v>
      </c>
      <c r="AI171" s="28">
        <f t="shared" si="204"/>
        <v>-7.7801524615419879E-2</v>
      </c>
      <c r="AJ171" s="20">
        <v>0.28850314143985567</v>
      </c>
      <c r="AK171" s="20">
        <f t="shared" si="205"/>
        <v>1.1096274670763679</v>
      </c>
      <c r="AL171" s="20">
        <f t="shared" si="206"/>
        <v>0.10402434374632642</v>
      </c>
      <c r="AM171" s="20">
        <v>0.31953535991977811</v>
      </c>
      <c r="AN171" s="20">
        <v>0.25621293142051577</v>
      </c>
      <c r="AO171" s="20">
        <v>0.98543435161736825</v>
      </c>
      <c r="AP171" s="20">
        <f t="shared" si="198"/>
        <v>-1.4672768898026845E-2</v>
      </c>
      <c r="AQ171" s="20">
        <v>0.50983606753544253</v>
      </c>
      <c r="AR171" s="20">
        <f t="shared" si="207"/>
        <v>1.9609079520593942</v>
      </c>
      <c r="AS171" s="20">
        <f t="shared" si="208"/>
        <v>0.67340760682613898</v>
      </c>
      <c r="AT171" s="20">
        <v>0.40859054588995608</v>
      </c>
      <c r="AU171" s="20">
        <f t="shared" si="209"/>
        <v>1.5715020995767541</v>
      </c>
      <c r="AV171" s="20">
        <f t="shared" si="210"/>
        <v>0.452031913288162</v>
      </c>
      <c r="AW171" s="20">
        <v>0.45438030135610397</v>
      </c>
      <c r="AX171" s="20">
        <f t="shared" si="211"/>
        <v>1.747616543677323</v>
      </c>
      <c r="AY171" s="20">
        <f t="shared" si="212"/>
        <v>0.55825288456288125</v>
      </c>
      <c r="AZ171" s="20">
        <v>0.28154680266340348</v>
      </c>
      <c r="BA171" s="20">
        <f t="shared" si="213"/>
        <v>1.0828723179361672</v>
      </c>
      <c r="BB171" s="20">
        <f t="shared" si="214"/>
        <v>7.9617064425993242E-2</v>
      </c>
      <c r="BC171" s="20">
        <v>0.18610791186057238</v>
      </c>
      <c r="BD171" s="20">
        <f t="shared" si="215"/>
        <v>0.71579966100220138</v>
      </c>
      <c r="BE171" s="20">
        <f t="shared" si="216"/>
        <v>-0.33435495424322487</v>
      </c>
      <c r="BF171" s="20">
        <v>0.39309995065069581</v>
      </c>
      <c r="BG171" s="20">
        <f t="shared" si="199"/>
        <v>1.5119228871180608</v>
      </c>
      <c r="BH171" s="20">
        <f t="shared" si="200"/>
        <v>0.41338227587347415</v>
      </c>
      <c r="BI171" s="20">
        <v>0.40614837722885949</v>
      </c>
      <c r="BJ171" s="20">
        <f t="shared" si="217"/>
        <v>1.562109143187921</v>
      </c>
      <c r="BK171" s="20">
        <f t="shared" si="218"/>
        <v>0.44603692297636943</v>
      </c>
      <c r="BL171" s="20">
        <v>0.27833336680470522</v>
      </c>
      <c r="BM171" s="20">
        <f t="shared" si="201"/>
        <v>1.0705129492488661</v>
      </c>
      <c r="BN171" s="20">
        <f t="shared" si="202"/>
        <v>6.8137925423636642E-2</v>
      </c>
      <c r="BS171" t="b">
        <f t="shared" si="169"/>
        <v>1</v>
      </c>
      <c r="BU171" t="b">
        <f t="shared" si="170"/>
        <v>0</v>
      </c>
      <c r="BW171" t="b">
        <f t="shared" si="171"/>
        <v>0</v>
      </c>
    </row>
    <row r="172" spans="1:75">
      <c r="A172" s="86"/>
      <c r="B172" s="21">
        <f>'[37]Dados de entrada'!$B$28</f>
        <v>10</v>
      </c>
      <c r="C172" s="21">
        <f>'[37]Dados de entrada'!$B$31</f>
        <v>1</v>
      </c>
      <c r="D172" s="21">
        <f>'[37]Dados de entrada'!$B$32</f>
        <v>45</v>
      </c>
      <c r="E172" s="20">
        <f>'[37]Dados de entrada'!$B$27</f>
        <v>2.8</v>
      </c>
      <c r="F172" s="21">
        <f>'[37]Dados de entrada'!$B$30</f>
        <v>40</v>
      </c>
      <c r="G172" s="56">
        <f>'[37]Dados de entrada'!$B$22</f>
        <v>45</v>
      </c>
      <c r="H172" s="57">
        <f>'[37]Dados de entrada'!$B$29/(2*'[37]Dados de entrada'!$B$20*G172)</f>
        <v>8.7222222222222215E-3</v>
      </c>
      <c r="I172" s="27">
        <v>395.83665919496815</v>
      </c>
      <c r="J172" s="19">
        <v>0.28999999999999998</v>
      </c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0">
        <v>0.34094936617369254</v>
      </c>
      <c r="AE172" s="20">
        <f t="shared" si="182"/>
        <v>1.175687469564457</v>
      </c>
      <c r="AF172" s="54">
        <f t="shared" si="183"/>
        <v>0.16185305698365912</v>
      </c>
      <c r="AG172" s="20">
        <v>0.26734936852435925</v>
      </c>
      <c r="AH172" s="20">
        <f t="shared" si="203"/>
        <v>0.92189437422192855</v>
      </c>
      <c r="AI172" s="28">
        <f t="shared" si="204"/>
        <v>-8.1324623569644816E-2</v>
      </c>
      <c r="AJ172" s="20">
        <v>0.30229001722547705</v>
      </c>
      <c r="AK172" s="20">
        <f t="shared" si="205"/>
        <v>1.0423793697430244</v>
      </c>
      <c r="AL172" s="20">
        <f t="shared" si="206"/>
        <v>4.1505955518899108E-2</v>
      </c>
      <c r="AM172" s="20">
        <v>0.33480519127877628</v>
      </c>
      <c r="AN172" s="20">
        <v>0.28128564115391846</v>
      </c>
      <c r="AO172" s="20">
        <v>0.96995048673764994</v>
      </c>
      <c r="AP172" s="20">
        <f t="shared" si="198"/>
        <v>-3.0510253387889378E-2</v>
      </c>
      <c r="AQ172" s="20">
        <v>0.54357400486125895</v>
      </c>
      <c r="AR172" s="20">
        <f t="shared" si="207"/>
        <v>1.8743931202112378</v>
      </c>
      <c r="AS172" s="20">
        <f t="shared" si="208"/>
        <v>0.62828493780951333</v>
      </c>
      <c r="AT172" s="20">
        <v>0.44648106773556961</v>
      </c>
      <c r="AU172" s="20">
        <f t="shared" si="209"/>
        <v>1.5395898887433437</v>
      </c>
      <c r="AV172" s="20">
        <f t="shared" si="210"/>
        <v>0.43151607494897964</v>
      </c>
      <c r="AW172" s="20">
        <v>0.47609405027046647</v>
      </c>
      <c r="AX172" s="20">
        <f t="shared" si="211"/>
        <v>1.6417036216222982</v>
      </c>
      <c r="AY172" s="20">
        <f t="shared" si="212"/>
        <v>0.49573449633545402</v>
      </c>
      <c r="AZ172" s="20">
        <v>0.29681143046209973</v>
      </c>
      <c r="BA172" s="20">
        <f t="shared" si="213"/>
        <v>1.0234876912486199</v>
      </c>
      <c r="BB172" s="20">
        <f t="shared" si="214"/>
        <v>2.3216099909735721E-2</v>
      </c>
      <c r="BC172" s="20">
        <v>0.19573950377329169</v>
      </c>
      <c r="BD172" s="20">
        <f t="shared" si="215"/>
        <v>0.674963806114799</v>
      </c>
      <c r="BE172" s="20">
        <f t="shared" si="216"/>
        <v>-0.39309621011790957</v>
      </c>
      <c r="BF172" s="20">
        <v>0.41188525802692366</v>
      </c>
      <c r="BG172" s="20">
        <f t="shared" si="199"/>
        <v>1.4202939931962886</v>
      </c>
      <c r="BH172" s="20">
        <f t="shared" si="200"/>
        <v>0.35086388764604676</v>
      </c>
      <c r="BI172" s="20">
        <v>0.45108410744959648</v>
      </c>
      <c r="BJ172" s="20">
        <f t="shared" si="217"/>
        <v>1.5554624394813672</v>
      </c>
      <c r="BK172" s="20">
        <f t="shared" si="218"/>
        <v>0.44177289015393117</v>
      </c>
      <c r="BL172" s="20">
        <v>0.30763597427463379</v>
      </c>
      <c r="BM172" s="20">
        <f t="shared" si="201"/>
        <v>1.060813704395289</v>
      </c>
      <c r="BN172" s="20">
        <f t="shared" si="202"/>
        <v>5.9036259290681528E-2</v>
      </c>
      <c r="BS172" t="b">
        <f t="shared" si="169"/>
        <v>1</v>
      </c>
      <c r="BU172" t="b">
        <f t="shared" si="170"/>
        <v>0</v>
      </c>
      <c r="BW172" t="b">
        <f t="shared" si="171"/>
        <v>0</v>
      </c>
    </row>
    <row r="173" spans="1:75">
      <c r="A173" s="87" t="s">
        <v>74</v>
      </c>
      <c r="B173" s="5">
        <f>'[38]Dados de entrada'!$B$28</f>
        <v>20</v>
      </c>
      <c r="C173" s="5">
        <f>'[38]Dados de entrada'!$B$31</f>
        <v>1</v>
      </c>
      <c r="D173" s="5">
        <f>'[38]Dados de entrada'!$B$32</f>
        <v>40</v>
      </c>
      <c r="E173" s="29">
        <f>'[38]Dados de entrada'!$B$27</f>
        <v>2.8</v>
      </c>
      <c r="F173" s="5">
        <f>'[38]Dados de entrada'!$B$30</f>
        <v>40</v>
      </c>
      <c r="G173" s="12">
        <f>'[38]Dados de entrada'!$B$22</f>
        <v>50</v>
      </c>
      <c r="H173" s="52">
        <f>'[38]Dados de entrada'!$B$29/(2*'[38]Dados de entrada'!$B$20*G173)</f>
        <v>3.15E-2</v>
      </c>
      <c r="I173" s="53" cm="1">
        <f t="array" ref="I173:I178">'[38]fib Model Code 2010'!$K$5:$K$10</f>
        <v>201.33268539095971</v>
      </c>
      <c r="J173" s="4" cm="1">
        <f t="array" ref="J173:J178">'[38]Dados de entrada'!$C$7:$C$12</f>
        <v>0.17</v>
      </c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11" cm="1">
        <f t="array" ref="AD173:AD178">'[38]fib Model Code 2010'!$L$5:$L$10</f>
        <v>0.13248092114240001</v>
      </c>
      <c r="AE173" s="11">
        <f t="shared" si="182"/>
        <v>0.77929953613176473</v>
      </c>
      <c r="AF173" s="29">
        <f t="shared" si="183"/>
        <v>-0.24935979336985178</v>
      </c>
      <c r="AG173" s="11" cm="1">
        <f t="array" ref="AG173:AG178">'[38]fib Model Code 2020'!$L$5:$L$10</f>
        <v>0.12448001593101213</v>
      </c>
      <c r="AH173" s="11">
        <f t="shared" si="203"/>
        <v>0.73223538782948305</v>
      </c>
      <c r="AI173" s="55">
        <f t="shared" si="204"/>
        <v>-0.31165324863969268</v>
      </c>
      <c r="AJ173" s="11" cm="1">
        <f t="array" ref="AJ173:AJ178">'[38]Eurocode 2'!$L$5:$L$10</f>
        <v>0.14421239382681603</v>
      </c>
      <c r="AK173" s="11">
        <f t="shared" si="205"/>
        <v>0.84830819898127063</v>
      </c>
      <c r="AL173" s="11">
        <f t="shared" si="206"/>
        <v>-0.16451126702445584</v>
      </c>
      <c r="AM173" s="11" cm="1">
        <f t="array" ref="AM173:AM178">'[38]NBR 6118'!$Q$5:$Q$10</f>
        <v>0.17073851136246324</v>
      </c>
      <c r="AN173" s="11" cm="1">
        <f t="array" ref="AN173:AN178">'[38]NBR 6118'!$R$5:$R$10</f>
        <v>0.15478528012645698</v>
      </c>
      <c r="AO173" s="11" cm="1">
        <f t="array" ref="AO173:AO178">'[38]NBR 6118'!$W$5:$W$10</f>
        <v>0.91050164780268805</v>
      </c>
      <c r="AP173" s="11">
        <f t="shared" si="198"/>
        <v>-9.3759570038310786E-2</v>
      </c>
      <c r="AQ173" s="11" cm="1">
        <f t="array" ref="AQ173:AQ178">'[38]Clark (1956)'!$L$5:$L$10</f>
        <v>0.17950779201610131</v>
      </c>
      <c r="AR173" s="11">
        <f t="shared" si="207"/>
        <v>1.0559281883300076</v>
      </c>
      <c r="AS173" s="11">
        <f t="shared" si="208"/>
        <v>5.4420179496356948E-2</v>
      </c>
      <c r="AT173" s="11" cm="1">
        <f t="array" ref="AT173:AT178">'[38]Leonhardt (1977)'!$L$5:$L$10</f>
        <v>0.22328306155808111</v>
      </c>
      <c r="AU173" s="11">
        <f t="shared" si="209"/>
        <v>1.3134297738710652</v>
      </c>
      <c r="AV173" s="11">
        <f t="shared" si="210"/>
        <v>0.27264186382726585</v>
      </c>
      <c r="AW173" s="11" cm="1">
        <f t="array" ref="AW173:AW178">'[38]Desayi; Ganesan (1985)'!$L$5:$L$10</f>
        <v>0.2328008437471874</v>
      </c>
      <c r="AX173" s="11">
        <f t="shared" si="211"/>
        <v>1.3694167279246316</v>
      </c>
      <c r="AY173" s="11">
        <f t="shared" si="212"/>
        <v>0.31438490314404149</v>
      </c>
      <c r="AZ173" s="11" cm="1">
        <f t="array" ref="AZ173:AZ178">'[38]Oh; Kang (1987)'!$L$5:$L$10</f>
        <v>0.19009102703898831</v>
      </c>
      <c r="BA173" s="11">
        <f t="shared" si="213"/>
        <v>1.1181825119940487</v>
      </c>
      <c r="BB173" s="11">
        <f t="shared" si="214"/>
        <v>0.11170461006229136</v>
      </c>
      <c r="BC173" s="11" cm="1">
        <f t="array" ref="BC173:BC178">'[38]Caldas (1997)'!$L$5:$L$10</f>
        <v>0.10063566624984965</v>
      </c>
      <c r="BD173" s="11">
        <f t="shared" si="215"/>
        <v>0.5919745073520567</v>
      </c>
      <c r="BE173" s="11">
        <f t="shared" si="216"/>
        <v>-0.52429170693063143</v>
      </c>
      <c r="BF173" s="11" cm="1">
        <f t="array" ref="BF173:BF178">'[38]Gergely e Lutz (1968)'!$L$5:$L$10</f>
        <v>0.24631464196932079</v>
      </c>
      <c r="BG173" s="11">
        <f t="shared" si="199"/>
        <v>1.4489096586430634</v>
      </c>
      <c r="BH173" s="11">
        <f t="shared" si="200"/>
        <v>0.37081131401257761</v>
      </c>
      <c r="BI173" s="11" cm="1">
        <f t="array" ref="BI173:BI178">[38]Sugestão!$M$5:$M$10</f>
        <v>0.12448001593101213</v>
      </c>
      <c r="BJ173" s="11">
        <f t="shared" si="217"/>
        <v>0.73223538782948305</v>
      </c>
      <c r="BK173" s="11">
        <f t="shared" si="218"/>
        <v>-0.31165324863969268</v>
      </c>
      <c r="BL173" s="11" cm="1">
        <f t="array" ref="BL173:BL178">'[38]fib Model Code 2020 modificado'!$L$5:$L$10</f>
        <v>0.17505860190570421</v>
      </c>
      <c r="BM173" s="11">
        <f t="shared" si="201"/>
        <v>1.0297564817982601</v>
      </c>
      <c r="BN173" s="11">
        <f t="shared" si="202"/>
        <v>2.9322348850062005E-2</v>
      </c>
      <c r="BS173" t="b">
        <f t="shared" si="169"/>
        <v>0</v>
      </c>
      <c r="BU173" t="b">
        <f t="shared" si="170"/>
        <v>1</v>
      </c>
      <c r="BW173" t="b">
        <f t="shared" si="171"/>
        <v>0</v>
      </c>
    </row>
    <row r="174" spans="1:75">
      <c r="A174" s="88"/>
      <c r="B174" s="5">
        <f>'[38]Dados de entrada'!$B$28</f>
        <v>20</v>
      </c>
      <c r="C174" s="5">
        <f>'[38]Dados de entrada'!$B$31</f>
        <v>1</v>
      </c>
      <c r="D174" s="5">
        <f>'[38]Dados de entrada'!$B$32</f>
        <v>40</v>
      </c>
      <c r="E174" s="29">
        <f>'[38]Dados de entrada'!$B$27</f>
        <v>2.8</v>
      </c>
      <c r="F174" s="5">
        <f>'[38]Dados de entrada'!$B$30</f>
        <v>40</v>
      </c>
      <c r="G174" s="12">
        <f>'[38]Dados de entrada'!$B$22</f>
        <v>50</v>
      </c>
      <c r="H174" s="52">
        <f>'[38]Dados de entrada'!$B$29/(2*'[38]Dados de entrada'!$B$20*G174)</f>
        <v>3.15E-2</v>
      </c>
      <c r="I174" s="53">
        <v>235.28147905021083</v>
      </c>
      <c r="J174" s="4">
        <v>0.2</v>
      </c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11">
        <v>0.1609239791113681</v>
      </c>
      <c r="AE174" s="11">
        <f t="shared" si="182"/>
        <v>0.80461989555684044</v>
      </c>
      <c r="AF174" s="29">
        <f t="shared" si="183"/>
        <v>-0.21738529250788205</v>
      </c>
      <c r="AG174" s="11">
        <v>0.16319147975293574</v>
      </c>
      <c r="AH174" s="11">
        <f t="shared" si="203"/>
        <v>0.81595739876467865</v>
      </c>
      <c r="AI174" s="55">
        <f t="shared" si="204"/>
        <v>-0.20339313277711071</v>
      </c>
      <c r="AJ174" s="11">
        <v>0.17517414622172003</v>
      </c>
      <c r="AK174" s="11">
        <f t="shared" si="205"/>
        <v>0.87587073110860014</v>
      </c>
      <c r="AL174" s="11">
        <f t="shared" si="206"/>
        <v>-0.13253676616248561</v>
      </c>
      <c r="AM174" s="11">
        <v>0.19952850381041692</v>
      </c>
      <c r="AN174" s="11">
        <v>0.211386169121142</v>
      </c>
      <c r="AO174" s="11">
        <v>0.99764251905208456</v>
      </c>
      <c r="AP174" s="11">
        <f t="shared" si="198"/>
        <v>-2.3602641812654978E-3</v>
      </c>
      <c r="AQ174" s="11">
        <v>0.21464209910472309</v>
      </c>
      <c r="AR174" s="11">
        <f t="shared" si="207"/>
        <v>1.0732104955236155</v>
      </c>
      <c r="AS174" s="11">
        <f t="shared" si="208"/>
        <v>7.0654619174526312E-2</v>
      </c>
      <c r="AT174" s="11">
        <v>0.27896342585346029</v>
      </c>
      <c r="AU174" s="11">
        <f t="shared" si="209"/>
        <v>1.3948171292673013</v>
      </c>
      <c r="AV174" s="11">
        <f t="shared" si="210"/>
        <v>0.33276331654929991</v>
      </c>
      <c r="AW174" s="11">
        <v>0.27205581018607294</v>
      </c>
      <c r="AX174" s="11">
        <f t="shared" si="211"/>
        <v>1.3602790509303646</v>
      </c>
      <c r="AY174" s="11">
        <f t="shared" si="212"/>
        <v>0.30768986320811964</v>
      </c>
      <c r="AZ174" s="11">
        <v>0.23100430406477596</v>
      </c>
      <c r="BA174" s="11">
        <f t="shared" si="213"/>
        <v>1.1550215203238796</v>
      </c>
      <c r="BB174" s="11">
        <f t="shared" si="214"/>
        <v>0.14411897611522473</v>
      </c>
      <c r="BC174" s="11">
        <v>0.11950502817529221</v>
      </c>
      <c r="BD174" s="11">
        <f t="shared" si="215"/>
        <v>0.59752514087646103</v>
      </c>
      <c r="BE174" s="11">
        <f t="shared" si="216"/>
        <v>-0.51495891928098636</v>
      </c>
      <c r="BF174" s="11">
        <v>0.28784831018236229</v>
      </c>
      <c r="BG174" s="11">
        <f t="shared" si="199"/>
        <v>1.4392415509118113</v>
      </c>
      <c r="BH174" s="11">
        <f t="shared" si="200"/>
        <v>0.3641162740766557</v>
      </c>
      <c r="BI174" s="11">
        <v>0.17271575064382896</v>
      </c>
      <c r="BJ174" s="11">
        <f t="shared" si="217"/>
        <v>0.86357875321914479</v>
      </c>
      <c r="BK174" s="11">
        <f t="shared" si="218"/>
        <v>-0.14667018321575784</v>
      </c>
      <c r="BL174" s="11">
        <v>0.22581423363643338</v>
      </c>
      <c r="BM174" s="11">
        <f t="shared" si="201"/>
        <v>1.1290711681821668</v>
      </c>
      <c r="BN174" s="11">
        <f t="shared" si="202"/>
        <v>0.1213953196574854</v>
      </c>
      <c r="BS174" t="b">
        <f t="shared" si="169"/>
        <v>0</v>
      </c>
      <c r="BU174" t="b">
        <f t="shared" si="170"/>
        <v>1</v>
      </c>
      <c r="BW174" t="b">
        <f t="shared" si="171"/>
        <v>0</v>
      </c>
    </row>
    <row r="175" spans="1:75">
      <c r="A175" s="88"/>
      <c r="B175" s="5">
        <f>'[38]Dados de entrada'!$B$28</f>
        <v>20</v>
      </c>
      <c r="C175" s="5">
        <f>'[38]Dados de entrada'!$B$31</f>
        <v>1</v>
      </c>
      <c r="D175" s="5">
        <f>'[38]Dados de entrada'!$B$32</f>
        <v>40</v>
      </c>
      <c r="E175" s="29">
        <f>'[38]Dados de entrada'!$B$27</f>
        <v>2.8</v>
      </c>
      <c r="F175" s="5">
        <f>'[38]Dados de entrada'!$B$30</f>
        <v>40</v>
      </c>
      <c r="G175" s="12">
        <f>'[38]Dados de entrada'!$B$22</f>
        <v>50</v>
      </c>
      <c r="H175" s="52">
        <f>'[38]Dados de entrada'!$B$29/(2*'[38]Dados de entrada'!$B$20*G175)</f>
        <v>3.15E-2</v>
      </c>
      <c r="I175" s="53">
        <v>268.14100660274795</v>
      </c>
      <c r="J175" s="4">
        <v>0.24</v>
      </c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11">
        <v>0.18845442559470083</v>
      </c>
      <c r="AE175" s="11">
        <f t="shared" si="182"/>
        <v>0.78522677331125346</v>
      </c>
      <c r="AF175" s="29">
        <f t="shared" si="183"/>
        <v>-0.2417827197193966</v>
      </c>
      <c r="AG175" s="11">
        <v>0.20066086452174944</v>
      </c>
      <c r="AH175" s="11">
        <f t="shared" si="203"/>
        <v>0.83608693550728941</v>
      </c>
      <c r="AI175" s="55">
        <f t="shared" si="204"/>
        <v>-0.17902268146274888</v>
      </c>
      <c r="AJ175" s="11">
        <v>0.20514247340609224</v>
      </c>
      <c r="AK175" s="11">
        <f t="shared" si="205"/>
        <v>0.85476030585871765</v>
      </c>
      <c r="AL175" s="11">
        <f t="shared" si="206"/>
        <v>-0.1569341933740005</v>
      </c>
      <c r="AM175" s="11">
        <v>0.22739475318517421</v>
      </c>
      <c r="AN175" s="11">
        <v>0.27455386120201025</v>
      </c>
      <c r="AO175" s="11">
        <v>0.94747813827155924</v>
      </c>
      <c r="AP175" s="11">
        <f t="shared" si="198"/>
        <v>-5.3951415356060302E-2</v>
      </c>
      <c r="AQ175" s="11">
        <v>0.2486491022225869</v>
      </c>
      <c r="AR175" s="11">
        <f t="shared" si="207"/>
        <v>1.0360379259274455</v>
      </c>
      <c r="AS175" s="11">
        <f t="shared" si="208"/>
        <v>3.5403751205308233E-2</v>
      </c>
      <c r="AT175" s="11">
        <v>0.33085221243175927</v>
      </c>
      <c r="AU175" s="11">
        <f t="shared" si="209"/>
        <v>1.3785508851323303</v>
      </c>
      <c r="AV175" s="11">
        <f t="shared" si="210"/>
        <v>0.3210328642079977</v>
      </c>
      <c r="AW175" s="11">
        <v>0.31005125898520808</v>
      </c>
      <c r="AX175" s="11">
        <f t="shared" si="211"/>
        <v>1.2918802457717005</v>
      </c>
      <c r="AY175" s="11">
        <f t="shared" si="212"/>
        <v>0.25609871203332479</v>
      </c>
      <c r="AZ175" s="11">
        <v>0.27060485562449543</v>
      </c>
      <c r="BA175" s="11">
        <f t="shared" si="213"/>
        <v>1.127520231768731</v>
      </c>
      <c r="BB175" s="11">
        <f t="shared" si="214"/>
        <v>0.12002073615275802</v>
      </c>
      <c r="BC175" s="11">
        <v>0.13776895602826064</v>
      </c>
      <c r="BD175" s="11">
        <f t="shared" si="215"/>
        <v>0.57403731678441938</v>
      </c>
      <c r="BE175" s="11">
        <f t="shared" si="216"/>
        <v>-0.55506087295620143</v>
      </c>
      <c r="BF175" s="11">
        <v>0.32804934732974461</v>
      </c>
      <c r="BG175" s="11">
        <f t="shared" si="199"/>
        <v>1.3668722805406026</v>
      </c>
      <c r="BH175" s="11">
        <f t="shared" si="200"/>
        <v>0.31252512290186085</v>
      </c>
      <c r="BI175" s="11">
        <v>0.22130062120069757</v>
      </c>
      <c r="BJ175" s="11">
        <f t="shared" si="217"/>
        <v>0.92208592166957326</v>
      </c>
      <c r="BK175" s="11">
        <f t="shared" si="218"/>
        <v>-8.1116869236520478E-2</v>
      </c>
      <c r="BL175" s="11">
        <v>0.27590756617274115</v>
      </c>
      <c r="BM175" s="11">
        <f t="shared" si="201"/>
        <v>1.1496148590530881</v>
      </c>
      <c r="BN175" s="11">
        <f t="shared" si="202"/>
        <v>0.13942698111066984</v>
      </c>
      <c r="BS175" t="b">
        <f t="shared" si="169"/>
        <v>0</v>
      </c>
      <c r="BU175" t="b">
        <f t="shared" si="170"/>
        <v>1</v>
      </c>
      <c r="BW175" t="b">
        <f t="shared" si="171"/>
        <v>0</v>
      </c>
    </row>
    <row r="176" spans="1:75">
      <c r="A176" s="88"/>
      <c r="B176" s="5">
        <f>'[38]Dados de entrada'!$B$28</f>
        <v>20</v>
      </c>
      <c r="C176" s="5">
        <f>'[38]Dados de entrada'!$B$31</f>
        <v>1</v>
      </c>
      <c r="D176" s="5">
        <f>'[38]Dados de entrada'!$B$32</f>
        <v>40</v>
      </c>
      <c r="E176" s="29">
        <f>'[38]Dados de entrada'!$B$27</f>
        <v>2.8</v>
      </c>
      <c r="F176" s="5">
        <f>'[38]Dados de entrada'!$B$30</f>
        <v>40</v>
      </c>
      <c r="G176" s="12">
        <f>'[38]Dados de entrada'!$B$22</f>
        <v>50</v>
      </c>
      <c r="H176" s="52">
        <f>'[38]Dados de entrada'!$B$29/(2*'[38]Dados de entrada'!$B$20*G176)</f>
        <v>3.15E-2</v>
      </c>
      <c r="I176" s="53">
        <v>300.81898980416611</v>
      </c>
      <c r="J176" s="4">
        <v>0.27</v>
      </c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11">
        <v>0.21583277016376104</v>
      </c>
      <c r="AE176" s="11">
        <f t="shared" si="182"/>
        <v>0.79938063023615191</v>
      </c>
      <c r="AF176" s="29">
        <f t="shared" si="183"/>
        <v>-0.22391806337606754</v>
      </c>
      <c r="AG176" s="11">
        <v>0.23792323611504487</v>
      </c>
      <c r="AH176" s="11">
        <f t="shared" si="203"/>
        <v>0.88119717079646243</v>
      </c>
      <c r="AI176" s="55">
        <f t="shared" si="204"/>
        <v>-0.12647387468499682</v>
      </c>
      <c r="AJ176" s="11">
        <v>0.23494522972204257</v>
      </c>
      <c r="AK176" s="11">
        <f t="shared" si="205"/>
        <v>0.87016751748904653</v>
      </c>
      <c r="AL176" s="11">
        <f t="shared" si="206"/>
        <v>-0.1390695370306714</v>
      </c>
      <c r="AM176" s="11">
        <v>0.25510704538106549</v>
      </c>
      <c r="AN176" s="11">
        <v>0.34555054480386854</v>
      </c>
      <c r="AO176" s="11">
        <v>0.94484090881876104</v>
      </c>
      <c r="AP176" s="11">
        <f t="shared" si="198"/>
        <v>-5.6738716117260557E-2</v>
      </c>
      <c r="AQ176" s="11">
        <v>0.28246822134532446</v>
      </c>
      <c r="AR176" s="11">
        <f t="shared" si="207"/>
        <v>1.0461785975752758</v>
      </c>
      <c r="AS176" s="11">
        <f t="shared" si="208"/>
        <v>4.514409444754406E-2</v>
      </c>
      <c r="AT176" s="11">
        <v>0.38114518145987081</v>
      </c>
      <c r="AU176" s="11">
        <f t="shared" si="209"/>
        <v>1.4116488202217436</v>
      </c>
      <c r="AV176" s="11">
        <f t="shared" si="210"/>
        <v>0.34475839724625112</v>
      </c>
      <c r="AW176" s="11">
        <v>0.34783678817771818</v>
      </c>
      <c r="AX176" s="11">
        <f t="shared" si="211"/>
        <v>1.2882844006582155</v>
      </c>
      <c r="AY176" s="11">
        <f t="shared" si="212"/>
        <v>0.25331141127212431</v>
      </c>
      <c r="AZ176" s="11">
        <v>0.30998661960653695</v>
      </c>
      <c r="BA176" s="11">
        <f t="shared" si="213"/>
        <v>1.1480985911353219</v>
      </c>
      <c r="BB176" s="11">
        <f t="shared" si="214"/>
        <v>0.13810717498972871</v>
      </c>
      <c r="BC176" s="11">
        <v>0.15593197820248342</v>
      </c>
      <c r="BD176" s="11">
        <f t="shared" si="215"/>
        <v>0.57752584519438299</v>
      </c>
      <c r="BE176" s="11">
        <f t="shared" si="216"/>
        <v>-0.54900208400425299</v>
      </c>
      <c r="BF176" s="11">
        <v>0.36802827929951715</v>
      </c>
      <c r="BG176" s="11">
        <f t="shared" si="199"/>
        <v>1.3630677011093226</v>
      </c>
      <c r="BH176" s="11">
        <f t="shared" si="200"/>
        <v>0.30973782214066037</v>
      </c>
      <c r="BI176" s="11">
        <v>0.26961706705835697</v>
      </c>
      <c r="BJ176" s="11">
        <f t="shared" si="217"/>
        <v>0.99858172984576654</v>
      </c>
      <c r="BK176" s="11">
        <f t="shared" si="218"/>
        <v>-1.4192768513068452E-3</v>
      </c>
      <c r="BL176" s="11">
        <v>0.32666674774856908</v>
      </c>
      <c r="BM176" s="11">
        <f t="shared" si="201"/>
        <v>1.2098768435132188</v>
      </c>
      <c r="BN176" s="11">
        <f t="shared" si="202"/>
        <v>0.19051857220800766</v>
      </c>
      <c r="BS176" t="b">
        <f t="shared" si="169"/>
        <v>0</v>
      </c>
      <c r="BU176" t="b">
        <f t="shared" si="170"/>
        <v>1</v>
      </c>
      <c r="BW176" t="b">
        <f t="shared" si="171"/>
        <v>0</v>
      </c>
    </row>
    <row r="177" spans="1:75">
      <c r="A177" s="88"/>
      <c r="B177" s="5">
        <f>'[38]Dados de entrada'!$B$28</f>
        <v>20</v>
      </c>
      <c r="C177" s="5">
        <f>'[38]Dados de entrada'!$B$31</f>
        <v>1</v>
      </c>
      <c r="D177" s="5">
        <f>'[38]Dados de entrada'!$B$32</f>
        <v>40</v>
      </c>
      <c r="E177" s="29">
        <f>'[38]Dados de entrada'!$B$27</f>
        <v>2.8</v>
      </c>
      <c r="F177" s="5">
        <f>'[38]Dados de entrada'!$B$30</f>
        <v>40</v>
      </c>
      <c r="G177" s="12">
        <f>'[38]Dados de entrada'!$B$22</f>
        <v>50</v>
      </c>
      <c r="H177" s="52">
        <f>'[38]Dados de entrada'!$B$29/(2*'[38]Dados de entrada'!$B$20*G177)</f>
        <v>3.15E-2</v>
      </c>
      <c r="I177" s="53">
        <v>333.13388430334641</v>
      </c>
      <c r="J177" s="4">
        <v>0.32</v>
      </c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11">
        <v>0.24290691090427621</v>
      </c>
      <c r="AE177" s="11">
        <f t="shared" si="182"/>
        <v>0.75908409657586318</v>
      </c>
      <c r="AF177" s="29">
        <f t="shared" si="183"/>
        <v>-0.27564270854659728</v>
      </c>
      <c r="AG177" s="11">
        <v>0.27477158135730378</v>
      </c>
      <c r="AH177" s="11">
        <f t="shared" si="203"/>
        <v>0.85866119174157429</v>
      </c>
      <c r="AI177" s="55">
        <f t="shared" si="204"/>
        <v>-0.15238085652368891</v>
      </c>
      <c r="AJ177" s="11">
        <v>0.26441684430114909</v>
      </c>
      <c r="AK177" s="11">
        <f t="shared" si="205"/>
        <v>0.82630263844109086</v>
      </c>
      <c r="AL177" s="11">
        <f t="shared" si="206"/>
        <v>-0.19079418220120134</v>
      </c>
      <c r="AM177" s="11">
        <v>0.28251142321922457</v>
      </c>
      <c r="AN177" s="11">
        <v>0.42377828820333779</v>
      </c>
      <c r="AO177" s="11">
        <v>0.88284819756007671</v>
      </c>
      <c r="AP177" s="11">
        <f t="shared" si="198"/>
        <v>-0.12460200985055046</v>
      </c>
      <c r="AQ177" s="11">
        <v>0.31591157247780943</v>
      </c>
      <c r="AR177" s="11">
        <f t="shared" si="207"/>
        <v>0.98722366399315442</v>
      </c>
      <c r="AS177" s="11">
        <f t="shared" si="208"/>
        <v>-1.2858655298663303E-2</v>
      </c>
      <c r="AT177" s="11">
        <v>0.42997260953800504</v>
      </c>
      <c r="AU177" s="11">
        <f t="shared" si="209"/>
        <v>1.3436644048062658</v>
      </c>
      <c r="AV177" s="11">
        <f t="shared" si="210"/>
        <v>0.29540051211615898</v>
      </c>
      <c r="AW177" s="11">
        <v>0.38520247815697833</v>
      </c>
      <c r="AX177" s="11">
        <f t="shared" si="211"/>
        <v>1.2037577442405574</v>
      </c>
      <c r="AY177" s="11">
        <f t="shared" si="212"/>
        <v>0.185448117538835</v>
      </c>
      <c r="AZ177" s="11">
        <v>0.34893080843322255</v>
      </c>
      <c r="BA177" s="11">
        <f t="shared" si="213"/>
        <v>1.0904087763538204</v>
      </c>
      <c r="BB177" s="11">
        <f t="shared" si="214"/>
        <v>8.655265011487881E-2</v>
      </c>
      <c r="BC177" s="11">
        <v>0.17389318901921488</v>
      </c>
      <c r="BD177" s="11">
        <f t="shared" si="215"/>
        <v>0.5434162156850465</v>
      </c>
      <c r="BE177" s="11">
        <f t="shared" si="216"/>
        <v>-0.60987974127751587</v>
      </c>
      <c r="BF177" s="11">
        <v>0.40756300091407011</v>
      </c>
      <c r="BG177" s="11">
        <f t="shared" si="199"/>
        <v>1.2736343778564692</v>
      </c>
      <c r="BH177" s="11">
        <f t="shared" si="200"/>
        <v>0.24187452840737109</v>
      </c>
      <c r="BI177" s="11">
        <v>0.31739666351759815</v>
      </c>
      <c r="BJ177" s="11">
        <f t="shared" si="217"/>
        <v>0.99186457349249424</v>
      </c>
      <c r="BK177" s="11">
        <f t="shared" si="218"/>
        <v>-8.168699673544123E-3</v>
      </c>
      <c r="BL177" s="11">
        <v>0.37778632651206007</v>
      </c>
      <c r="BM177" s="11">
        <f t="shared" si="201"/>
        <v>1.1805822703501876</v>
      </c>
      <c r="BN177" s="11">
        <f t="shared" si="202"/>
        <v>0.16600776622074098</v>
      </c>
      <c r="BS177" t="b">
        <f t="shared" si="169"/>
        <v>0</v>
      </c>
      <c r="BU177" t="b">
        <f t="shared" si="170"/>
        <v>1</v>
      </c>
      <c r="BW177" t="b">
        <f t="shared" si="171"/>
        <v>0</v>
      </c>
    </row>
    <row r="178" spans="1:75">
      <c r="A178" s="89"/>
      <c r="B178" s="5">
        <f>'[38]Dados de entrada'!$B$28</f>
        <v>20</v>
      </c>
      <c r="C178" s="5">
        <f>'[38]Dados de entrada'!$B$31</f>
        <v>1</v>
      </c>
      <c r="D178" s="5">
        <f>'[38]Dados de entrada'!$B$32</f>
        <v>40</v>
      </c>
      <c r="E178" s="29">
        <f>'[38]Dados de entrada'!$B$27</f>
        <v>2.8</v>
      </c>
      <c r="F178" s="5">
        <f>'[38]Dados de entrada'!$B$30</f>
        <v>40</v>
      </c>
      <c r="G178" s="12">
        <f>'[38]Dados de entrada'!$B$22</f>
        <v>50</v>
      </c>
      <c r="H178" s="52">
        <f>'[38]Dados de entrada'!$B$29/(2*'[38]Dados de entrada'!$B$20*G178)</f>
        <v>3.15E-2</v>
      </c>
      <c r="I178" s="53">
        <v>366.35650055812141</v>
      </c>
      <c r="J178" s="4">
        <v>0.34</v>
      </c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11">
        <v>0.27074156121615395</v>
      </c>
      <c r="AE178" s="11">
        <f t="shared" si="182"/>
        <v>0.79629870945927628</v>
      </c>
      <c r="AF178" s="29">
        <f t="shared" si="183"/>
        <v>-0.22778090039156157</v>
      </c>
      <c r="AG178" s="11">
        <v>0.312654992477154</v>
      </c>
      <c r="AH178" s="11">
        <f t="shared" si="203"/>
        <v>0.91957350728574705</v>
      </c>
      <c r="AI178" s="55">
        <f t="shared" si="204"/>
        <v>-8.3845295462264519E-2</v>
      </c>
      <c r="AJ178" s="11">
        <v>0.29471631322236513</v>
      </c>
      <c r="AK178" s="11">
        <f t="shared" si="205"/>
        <v>0.86681268594813266</v>
      </c>
      <c r="AL178" s="11">
        <f t="shared" si="206"/>
        <v>-0.14293237404616552</v>
      </c>
      <c r="AM178" s="11">
        <v>0.31068558695171394</v>
      </c>
      <c r="AN178" s="11">
        <v>0.51251772415842989</v>
      </c>
      <c r="AO178" s="11">
        <v>0.91378113809327621</v>
      </c>
      <c r="AP178" s="11">
        <f t="shared" si="198"/>
        <v>-9.0164191242101885E-2</v>
      </c>
      <c r="AQ178" s="11">
        <v>0.35029434358592576</v>
      </c>
      <c r="AR178" s="11">
        <f t="shared" si="207"/>
        <v>1.0302774811350757</v>
      </c>
      <c r="AS178" s="11">
        <f t="shared" si="208"/>
        <v>2.9828165120374246E-2</v>
      </c>
      <c r="AT178" s="11">
        <v>0.47948358788270817</v>
      </c>
      <c r="AU178" s="11">
        <f t="shared" si="209"/>
        <v>1.4102458467138475</v>
      </c>
      <c r="AV178" s="11">
        <f t="shared" si="210"/>
        <v>0.34376404856277137</v>
      </c>
      <c r="AW178" s="11">
        <v>0.42361776616936347</v>
      </c>
      <c r="AX178" s="11">
        <f t="shared" si="211"/>
        <v>1.2459346063804808</v>
      </c>
      <c r="AY178" s="11">
        <f t="shared" si="212"/>
        <v>0.21988593614728333</v>
      </c>
      <c r="AZ178" s="11">
        <v>0.388968935148298</v>
      </c>
      <c r="BA178" s="11">
        <f t="shared" si="213"/>
        <v>1.1440262798479353</v>
      </c>
      <c r="BB178" s="11">
        <f t="shared" si="214"/>
        <v>0.13455386458880453</v>
      </c>
      <c r="BC178" s="11">
        <v>0.19235892822967463</v>
      </c>
      <c r="BD178" s="11">
        <f t="shared" si="215"/>
        <v>0.56576155361669</v>
      </c>
      <c r="BE178" s="11">
        <f t="shared" si="216"/>
        <v>-0.56958257290645942</v>
      </c>
      <c r="BF178" s="11">
        <v>0.44820824841667201</v>
      </c>
      <c r="BG178" s="11">
        <f t="shared" si="199"/>
        <v>1.3182595541666822</v>
      </c>
      <c r="BH178" s="11">
        <f t="shared" si="200"/>
        <v>0.27631234701581925</v>
      </c>
      <c r="BI178" s="11">
        <v>0.36651838347288501</v>
      </c>
      <c r="BJ178" s="11">
        <f t="shared" si="217"/>
        <v>1.0779952455084854</v>
      </c>
      <c r="BK178" s="11">
        <f t="shared" si="218"/>
        <v>7.5103062002575854E-2</v>
      </c>
      <c r="BL178" s="11">
        <v>0.43130016641177249</v>
      </c>
      <c r="BM178" s="11">
        <f t="shared" si="201"/>
        <v>1.2685299012110955</v>
      </c>
      <c r="BN178" s="11">
        <f t="shared" si="202"/>
        <v>0.23785867188115212</v>
      </c>
      <c r="BS178" t="b">
        <f t="shared" si="169"/>
        <v>0</v>
      </c>
      <c r="BU178" t="b">
        <f t="shared" si="170"/>
        <v>1</v>
      </c>
      <c r="BW178" t="b">
        <f t="shared" si="171"/>
        <v>0</v>
      </c>
    </row>
    <row r="179" spans="1:75">
      <c r="A179" s="85" t="s">
        <v>75</v>
      </c>
      <c r="B179" s="21">
        <f>'[39]Dados de entrada'!$B$28</f>
        <v>20</v>
      </c>
      <c r="C179" s="21">
        <f>'[39]Dados de entrada'!$B$31</f>
        <v>1</v>
      </c>
      <c r="D179" s="70">
        <f>'[39]Dados de entrada'!$B$32</f>
        <v>40</v>
      </c>
      <c r="E179" s="20">
        <f>'[39]Dados de entrada'!$B$27</f>
        <v>2.8</v>
      </c>
      <c r="F179" s="21">
        <f>'[39]Dados de entrada'!$B$30</f>
        <v>40</v>
      </c>
      <c r="G179" s="56">
        <f>'[39]Dados de entrada'!$B$22</f>
        <v>50</v>
      </c>
      <c r="H179" s="57">
        <f>'[39]Dados de entrada'!$B$29/(2*'[39]Dados de entrada'!$B$20*G179)</f>
        <v>3.15E-2</v>
      </c>
      <c r="I179" s="27" cm="1">
        <f t="array" ref="I179:I185">'[39]fib Model Code 2010'!$K$5:$K$11</f>
        <v>169.74396829625545</v>
      </c>
      <c r="J179" s="19" cm="1">
        <f t="array" ref="J179:J185">'[39]Dados de entrada'!$C$7:$C$13</f>
        <v>0.16</v>
      </c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0" cm="1">
        <f t="array" ref="AD179:AD185">'[39]fib Model Code 2010'!$L$5:$L$11</f>
        <v>0.10601518805897511</v>
      </c>
      <c r="AE179" s="20">
        <f t="shared" si="182"/>
        <v>0.66259492536859443</v>
      </c>
      <c r="AF179" s="54">
        <f t="shared" si="183"/>
        <v>-0.41159144781063395</v>
      </c>
      <c r="AG179" s="20" cm="1">
        <f t="array" ref="AG179:AG185">'[39]fib Model Code 2020'!$L$5:$L$11</f>
        <v>8.84597233908265E-2</v>
      </c>
      <c r="AH179" s="20">
        <f t="shared" si="203"/>
        <v>0.55287327119266561</v>
      </c>
      <c r="AI179" s="28">
        <f t="shared" si="204"/>
        <v>-0.59262646973922584</v>
      </c>
      <c r="AJ179" s="20" cm="1">
        <f t="array" ref="AJ179:AJ185">'[39]Eurocode 2'!$L$5:$L$11</f>
        <v>0.11540306272139735</v>
      </c>
      <c r="AK179" s="20">
        <f t="shared" si="205"/>
        <v>0.72126914200873338</v>
      </c>
      <c r="AL179" s="20">
        <f t="shared" si="206"/>
        <v>-0.32674292146523781</v>
      </c>
      <c r="AM179" s="20" cm="1">
        <f t="array" ref="AM179:AM185">'[39]NBR 6118'!$Q$5:$Q$11</f>
        <v>0.14394996223976839</v>
      </c>
      <c r="AN179" s="20" cm="1">
        <f t="array" ref="AN179:AN185">'[39]NBR 6118'!$R$5:$R$11</f>
        <v>0.11002459711025039</v>
      </c>
      <c r="AO179" s="20" cm="1">
        <f t="array" ref="AO179:AO185">'[39]NBR 6118'!$W$5:$W$11</f>
        <v>0.68765373193906498</v>
      </c>
      <c r="AP179" s="20">
        <f t="shared" si="198"/>
        <v>-0.37446986434523583</v>
      </c>
      <c r="AQ179" s="20" cm="1">
        <f t="array" ref="AQ179:AQ185">'[39]Clark (1956)'!$L$5:$L$11</f>
        <v>0.14681597686412165</v>
      </c>
      <c r="AR179" s="20">
        <f t="shared" si="207"/>
        <v>0.91759985540076028</v>
      </c>
      <c r="AS179" s="20">
        <f t="shared" si="208"/>
        <v>-8.5993870751164339E-2</v>
      </c>
      <c r="AT179" s="20" cm="1">
        <f t="array" ref="AT179:AT185">'[39]Leonhardt (1977)'!$L$5:$L$11</f>
        <v>0.16848661286474886</v>
      </c>
      <c r="AU179" s="20">
        <f t="shared" si="209"/>
        <v>1.0530413304046804</v>
      </c>
      <c r="AV179" s="20">
        <f t="shared" si="210"/>
        <v>5.1682482528466557E-2</v>
      </c>
      <c r="AW179" s="20" cm="1">
        <f t="array" ref="AW179:AW185">'[39]Desayi; Ganesan (1985)'!$L$5:$L$11</f>
        <v>0.19627483219442757</v>
      </c>
      <c r="AX179" s="20">
        <f t="shared" si="211"/>
        <v>1.2267177012151722</v>
      </c>
      <c r="AY179" s="20">
        <f t="shared" si="212"/>
        <v>0.20434206689879608</v>
      </c>
      <c r="AZ179" s="20" cm="1">
        <f t="array" ref="AZ179:AZ185">'[39]Oh; Kang (1987)'!$L$5:$L$11</f>
        <v>0.15202198852301477</v>
      </c>
      <c r="BA179" s="20">
        <f t="shared" si="213"/>
        <v>0.95013742826884229</v>
      </c>
      <c r="BB179" s="20">
        <f t="shared" si="214"/>
        <v>-5.114864351436909E-2</v>
      </c>
      <c r="BC179" s="20" cm="1">
        <f t="array" ref="BC179:BC185">'[39]Caldas (1997)'!$L$5:$L$11</f>
        <v>8.3078078148100948E-2</v>
      </c>
      <c r="BD179" s="20">
        <f t="shared" si="215"/>
        <v>0.51923798842563096</v>
      </c>
      <c r="BE179" s="20">
        <f t="shared" si="216"/>
        <v>-0.65539294903920442</v>
      </c>
      <c r="BF179" s="20" cm="1">
        <f t="array" ref="BF179:BF185">'[39]Gergely e Lutz (1968)'!$L$5:$L$11</f>
        <v>0.20766834106520729</v>
      </c>
      <c r="BG179" s="20">
        <f t="shared" si="199"/>
        <v>1.2979271316575456</v>
      </c>
      <c r="BH179" s="20">
        <f t="shared" si="200"/>
        <v>0.26076847776733225</v>
      </c>
      <c r="BI179" s="20" cm="1">
        <f t="array" ref="BI179:BI185">[39]Sugestão!$M$5:$M$11</f>
        <v>8.84597233908265E-2</v>
      </c>
      <c r="BJ179" s="20">
        <f t="shared" si="217"/>
        <v>0.55287327119266561</v>
      </c>
      <c r="BK179" s="20">
        <f t="shared" si="218"/>
        <v>-0.59262646973922584</v>
      </c>
      <c r="BL179" s="20" cm="1">
        <f t="array" ref="BL179:BL185">'[39]fib Model Code 2020 modificado'!$L$5:$L$11</f>
        <v>0.12874262407536513</v>
      </c>
      <c r="BM179" s="20">
        <f t="shared" si="201"/>
        <v>0.80464140047103205</v>
      </c>
      <c r="BN179" s="20">
        <f t="shared" si="202"/>
        <v>-0.21735856606607179</v>
      </c>
      <c r="BS179" t="b">
        <f t="shared" si="169"/>
        <v>0</v>
      </c>
      <c r="BU179" t="b">
        <f t="shared" si="170"/>
        <v>1</v>
      </c>
      <c r="BW179" t="b">
        <f t="shared" si="171"/>
        <v>0</v>
      </c>
    </row>
    <row r="180" spans="1:75">
      <c r="A180" s="90"/>
      <c r="B180" s="21">
        <f>'[39]Dados de entrada'!$B$28</f>
        <v>20</v>
      </c>
      <c r="C180" s="21">
        <f>'[39]Dados de entrada'!$B$31</f>
        <v>1</v>
      </c>
      <c r="D180" s="70">
        <f>'[39]Dados de entrada'!$B$32</f>
        <v>40</v>
      </c>
      <c r="E180" s="20">
        <f>'[39]Dados de entrada'!$B$27</f>
        <v>2.8</v>
      </c>
      <c r="F180" s="21">
        <f>'[39]Dados de entrada'!$B$30</f>
        <v>40</v>
      </c>
      <c r="G180" s="56">
        <f>'[39]Dados de entrada'!$B$22</f>
        <v>50</v>
      </c>
      <c r="H180" s="57">
        <f>'[39]Dados de entrada'!$B$29/(2*'[39]Dados de entrada'!$B$20*G180)</f>
        <v>3.15E-2</v>
      </c>
      <c r="I180" s="27">
        <v>201.87731844431667</v>
      </c>
      <c r="J180" s="19">
        <v>0.2</v>
      </c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0">
        <v>0.13293722688521767</v>
      </c>
      <c r="AE180" s="20">
        <f t="shared" si="182"/>
        <v>0.66468613442608826</v>
      </c>
      <c r="AF180" s="54">
        <f t="shared" si="183"/>
        <v>-0.40844032804973701</v>
      </c>
      <c r="AG180" s="20">
        <v>0.12510105545756706</v>
      </c>
      <c r="AH180" s="20">
        <f t="shared" si="203"/>
        <v>0.62550527728783523</v>
      </c>
      <c r="AI180" s="28">
        <f t="shared" si="204"/>
        <v>-0.46919551219975419</v>
      </c>
      <c r="AJ180" s="20">
        <v>0.14470910643208187</v>
      </c>
      <c r="AK180" s="20">
        <f t="shared" si="205"/>
        <v>0.72354553216040929</v>
      </c>
      <c r="AL180" s="20">
        <f t="shared" si="206"/>
        <v>-0.32359180170434082</v>
      </c>
      <c r="AM180" s="20">
        <v>0.17120038289906145</v>
      </c>
      <c r="AN180" s="20">
        <v>0.15562384444404753</v>
      </c>
      <c r="AO180" s="20">
        <v>0.77811922222023766</v>
      </c>
      <c r="AP180" s="20">
        <f t="shared" si="198"/>
        <v>-0.25087552461576429</v>
      </c>
      <c r="AQ180" s="20">
        <v>0.18007144400148026</v>
      </c>
      <c r="AR180" s="20">
        <f t="shared" si="207"/>
        <v>0.90035722000740126</v>
      </c>
      <c r="AS180" s="20">
        <f t="shared" si="208"/>
        <v>-0.10496368328687318</v>
      </c>
      <c r="AT180" s="20">
        <v>0.22419839991855828</v>
      </c>
      <c r="AU180" s="20">
        <f t="shared" si="209"/>
        <v>1.1209919995927913</v>
      </c>
      <c r="AV180" s="20">
        <f t="shared" si="210"/>
        <v>0.11421400721601956</v>
      </c>
      <c r="AW180" s="20">
        <v>0.23343060256706255</v>
      </c>
      <c r="AX180" s="20">
        <f t="shared" si="211"/>
        <v>1.1671530128353127</v>
      </c>
      <c r="AY180" s="20">
        <f t="shared" si="212"/>
        <v>0.15456746110642719</v>
      </c>
      <c r="AZ180" s="20">
        <v>0.1907473897720223</v>
      </c>
      <c r="BA180" s="20">
        <f t="shared" si="213"/>
        <v>0.9537369488601114</v>
      </c>
      <c r="BB180" s="20">
        <f t="shared" si="214"/>
        <v>-4.7367380503192946E-2</v>
      </c>
      <c r="BC180" s="20">
        <v>0.1009383832860867</v>
      </c>
      <c r="BD180" s="20">
        <f t="shared" si="215"/>
        <v>0.50469191643043343</v>
      </c>
      <c r="BE180" s="20">
        <f t="shared" si="216"/>
        <v>-0.6838071023474378</v>
      </c>
      <c r="BF180" s="20">
        <v>0.24698095750215032</v>
      </c>
      <c r="BG180" s="20">
        <f t="shared" si="199"/>
        <v>1.2349047875107515</v>
      </c>
      <c r="BH180" s="20">
        <f t="shared" si="200"/>
        <v>0.21099387197496328</v>
      </c>
      <c r="BI180" s="20">
        <v>0.12510105545756706</v>
      </c>
      <c r="BJ180" s="20">
        <f t="shared" si="217"/>
        <v>0.62550527728783523</v>
      </c>
      <c r="BK180" s="20">
        <f t="shared" si="218"/>
        <v>-0.46919551219975419</v>
      </c>
      <c r="BL180" s="20">
        <v>0.17586485599818641</v>
      </c>
      <c r="BM180" s="20">
        <f t="shared" si="201"/>
        <v>0.87932427999093199</v>
      </c>
      <c r="BN180" s="20">
        <f t="shared" si="202"/>
        <v>-0.12860153011484451</v>
      </c>
      <c r="BS180" t="b">
        <f t="shared" si="169"/>
        <v>0</v>
      </c>
      <c r="BU180" t="b">
        <f t="shared" si="170"/>
        <v>1</v>
      </c>
      <c r="BW180" t="b">
        <f t="shared" si="171"/>
        <v>0</v>
      </c>
    </row>
    <row r="181" spans="1:75">
      <c r="A181" s="90"/>
      <c r="B181" s="21">
        <f>'[39]Dados de entrada'!$B$28</f>
        <v>20</v>
      </c>
      <c r="C181" s="21">
        <f>'[39]Dados de entrada'!$B$31</f>
        <v>1</v>
      </c>
      <c r="D181" s="70">
        <f>'[39]Dados de entrada'!$B$32</f>
        <v>40</v>
      </c>
      <c r="E181" s="20">
        <f>'[39]Dados de entrada'!$B$27</f>
        <v>2.8</v>
      </c>
      <c r="F181" s="21">
        <f>'[39]Dados de entrada'!$B$30</f>
        <v>40</v>
      </c>
      <c r="G181" s="56">
        <f>'[39]Dados de entrada'!$B$22</f>
        <v>50</v>
      </c>
      <c r="H181" s="57">
        <f>'[39]Dados de entrada'!$B$29/(2*'[39]Dados de entrada'!$B$20*G181)</f>
        <v>3.15E-2</v>
      </c>
      <c r="I181" s="27">
        <v>234.73684599685382</v>
      </c>
      <c r="J181" s="19">
        <v>0.24</v>
      </c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0">
        <v>0.16046767336855042</v>
      </c>
      <c r="AE181" s="20">
        <f t="shared" si="182"/>
        <v>0.66861530570229344</v>
      </c>
      <c r="AF181" s="54">
        <f t="shared" si="183"/>
        <v>-0.40254641309200218</v>
      </c>
      <c r="AG181" s="20">
        <v>0.16257044022638076</v>
      </c>
      <c r="AH181" s="20">
        <f t="shared" si="203"/>
        <v>0.67737683427658657</v>
      </c>
      <c r="AI181" s="28">
        <f t="shared" si="204"/>
        <v>-0.38952753718059319</v>
      </c>
      <c r="AJ181" s="20">
        <v>0.17467743361645416</v>
      </c>
      <c r="AK181" s="20">
        <f t="shared" si="205"/>
        <v>0.72782264006855901</v>
      </c>
      <c r="AL181" s="20">
        <f t="shared" si="206"/>
        <v>-0.31769788674660593</v>
      </c>
      <c r="AM181" s="20">
        <v>0.19906663227381871</v>
      </c>
      <c r="AN181" s="20">
        <v>0.21040866213409018</v>
      </c>
      <c r="AO181" s="20">
        <v>0.82944430114091128</v>
      </c>
      <c r="AP181" s="20">
        <f t="shared" si="198"/>
        <v>-0.18699931911558274</v>
      </c>
      <c r="AQ181" s="20">
        <v>0.2140784471193441</v>
      </c>
      <c r="AR181" s="20">
        <f t="shared" si="207"/>
        <v>0.89199352966393375</v>
      </c>
      <c r="AS181" s="20">
        <f t="shared" si="208"/>
        <v>-0.11429640016842076</v>
      </c>
      <c r="AT181" s="20">
        <v>0.27808913893475723</v>
      </c>
      <c r="AU181" s="20">
        <f t="shared" si="209"/>
        <v>1.1587047455614885</v>
      </c>
      <c r="AV181" s="20">
        <f t="shared" si="210"/>
        <v>0.14730278260366253</v>
      </c>
      <c r="AW181" s="20">
        <v>0.27142605136619774</v>
      </c>
      <c r="AX181" s="20">
        <f t="shared" si="211"/>
        <v>1.1309418806924907</v>
      </c>
      <c r="AY181" s="20">
        <f t="shared" si="212"/>
        <v>0.12305080827380251</v>
      </c>
      <c r="AZ181" s="20">
        <v>0.2303479413317418</v>
      </c>
      <c r="BA181" s="20">
        <f t="shared" si="213"/>
        <v>0.9597830888822575</v>
      </c>
      <c r="BB181" s="20">
        <f t="shared" si="214"/>
        <v>-4.1047969131576281E-2</v>
      </c>
      <c r="BC181" s="20">
        <v>0.11920231113905515</v>
      </c>
      <c r="BD181" s="20">
        <f t="shared" si="215"/>
        <v>0.49667629641272981</v>
      </c>
      <c r="BE181" s="20">
        <f t="shared" si="216"/>
        <v>-0.69981678014823856</v>
      </c>
      <c r="BF181" s="20">
        <v>0.2871819946495327</v>
      </c>
      <c r="BG181" s="20">
        <f t="shared" si="199"/>
        <v>1.1965916443730529</v>
      </c>
      <c r="BH181" s="20">
        <f t="shared" si="200"/>
        <v>0.17947721914233847</v>
      </c>
      <c r="BI181" s="20">
        <v>0.17191047654620123</v>
      </c>
      <c r="BJ181" s="20">
        <f t="shared" si="217"/>
        <v>0.71629365227583852</v>
      </c>
      <c r="BK181" s="20">
        <f t="shared" si="218"/>
        <v>-0.33366506722448153</v>
      </c>
      <c r="BL181" s="20">
        <v>0.22499196478568351</v>
      </c>
      <c r="BM181" s="20">
        <f t="shared" si="201"/>
        <v>0.93746651994034802</v>
      </c>
      <c r="BN181" s="20">
        <f t="shared" si="202"/>
        <v>-6.4574233838890882E-2</v>
      </c>
      <c r="BS181" t="b">
        <f t="shared" si="169"/>
        <v>0</v>
      </c>
      <c r="BU181" t="b">
        <f t="shared" si="170"/>
        <v>1</v>
      </c>
      <c r="BW181" t="b">
        <f t="shared" si="171"/>
        <v>0</v>
      </c>
    </row>
    <row r="182" spans="1:75">
      <c r="A182" s="90"/>
      <c r="B182" s="21">
        <f>'[39]Dados de entrada'!$B$28</f>
        <v>20</v>
      </c>
      <c r="C182" s="21">
        <f>'[39]Dados de entrada'!$B$31</f>
        <v>1</v>
      </c>
      <c r="D182" s="70">
        <f>'[39]Dados de entrada'!$B$32</f>
        <v>40</v>
      </c>
      <c r="E182" s="20">
        <f>'[39]Dados de entrada'!$B$27</f>
        <v>2.8</v>
      </c>
      <c r="F182" s="21">
        <f>'[39]Dados de entrada'!$B$30</f>
        <v>40</v>
      </c>
      <c r="G182" s="56">
        <f>'[39]Dados de entrada'!$B$22</f>
        <v>50</v>
      </c>
      <c r="H182" s="57">
        <f>'[39]Dados de entrada'!$B$29/(2*'[39]Dados de entrada'!$B$20*G182)</f>
        <v>3.15E-2</v>
      </c>
      <c r="I182" s="27">
        <v>267.23328484715302</v>
      </c>
      <c r="J182" s="19">
        <v>0.27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0">
        <v>0.18769391602333804</v>
      </c>
      <c r="AE182" s="20">
        <f t="shared" ref="AE182:AE203" si="219">AD182/J182</f>
        <v>0.69516265193828897</v>
      </c>
      <c r="AF182" s="54">
        <f t="shared" ref="AF182:AF203" si="220">LN(AE182)</f>
        <v>-0.3636094292325765</v>
      </c>
      <c r="AG182" s="20">
        <v>0.19962579864415791</v>
      </c>
      <c r="AH182" s="20">
        <f t="shared" ref="AH182:AH203" si="221">AG182/J182</f>
        <v>0.73935480979317736</v>
      </c>
      <c r="AI182" s="28">
        <f t="shared" ref="AI182:AI203" si="222">LN(AH182)</f>
        <v>-0.30197735174905765</v>
      </c>
      <c r="AJ182" s="20">
        <v>0.20431461906398254</v>
      </c>
      <c r="AK182" s="20">
        <f t="shared" ref="AK182:AK203" si="223">AJ182/J182</f>
        <v>0.75672081134808344</v>
      </c>
      <c r="AL182" s="20">
        <f t="shared" ref="AL182:AL203" si="224">LN(AK182)</f>
        <v>-0.27876090288718014</v>
      </c>
      <c r="AM182" s="20">
        <v>0.22662496729084392</v>
      </c>
      <c r="AN182" s="20">
        <v>0.27269814592917929</v>
      </c>
      <c r="AO182" s="20">
        <v>0.83935173070682922</v>
      </c>
      <c r="AP182" s="20">
        <f t="shared" ref="AP182:AP203" si="225">LN(AO182)</f>
        <v>-0.17512543425500207</v>
      </c>
      <c r="AQ182" s="20">
        <v>0.24770968224695533</v>
      </c>
      <c r="AR182" s="20">
        <f t="shared" ref="AR182:AR203" si="226">AQ182/J182</f>
        <v>0.917443267581316</v>
      </c>
      <c r="AS182" s="20">
        <f t="shared" ref="AS182:AS203" si="227">LN(AR182)</f>
        <v>-8.616453466403183E-2</v>
      </c>
      <c r="AT182" s="20">
        <v>0.3294387779152495</v>
      </c>
      <c r="AU182" s="20">
        <f t="shared" ref="AU182:AU203" si="228">AT182/J182</f>
        <v>1.2201436219083315</v>
      </c>
      <c r="AV182" s="20">
        <f t="shared" ref="AV182:AV203" si="229">LN(AU182)</f>
        <v>0.19896857469205279</v>
      </c>
      <c r="AW182" s="20">
        <v>0.30900166095208281</v>
      </c>
      <c r="AX182" s="20">
        <f t="shared" ref="AX182:AX203" si="230">AW182/J182</f>
        <v>1.1444505961188252</v>
      </c>
      <c r="AY182" s="20">
        <f t="shared" ref="AY182:AY203" si="231">LN(AX182)</f>
        <v>0.13492469313438299</v>
      </c>
      <c r="AZ182" s="20">
        <v>0.26951091773610536</v>
      </c>
      <c r="BA182" s="20">
        <f t="shared" ref="BA182:BA203" si="232">AZ182/J182</f>
        <v>0.99818858420779755</v>
      </c>
      <c r="BB182" s="20">
        <f t="shared" ref="BB182:BB203" si="233">LN(BA182)</f>
        <v>-1.8130583897063319E-3</v>
      </c>
      <c r="BC182" s="20">
        <v>0.13726442763453225</v>
      </c>
      <c r="BD182" s="20">
        <f t="shared" ref="BD182:BD203" si="234">BC182/J182</f>
        <v>0.50838676901678614</v>
      </c>
      <c r="BE182" s="20">
        <f t="shared" ref="BE182:BE203" si="235">LN(BD182)</f>
        <v>-0.67651276475610511</v>
      </c>
      <c r="BF182" s="20">
        <v>0.32693882144169539</v>
      </c>
      <c r="BG182" s="20">
        <f t="shared" si="199"/>
        <v>1.2108845238581309</v>
      </c>
      <c r="BH182" s="20">
        <f t="shared" si="200"/>
        <v>0.19135110400291902</v>
      </c>
      <c r="BI182" s="20">
        <v>0.21995849770465148</v>
      </c>
      <c r="BJ182" s="20">
        <f t="shared" ref="BJ182:BJ203" si="236">BI182/J182</f>
        <v>0.81466110260982028</v>
      </c>
      <c r="BK182" s="20">
        <f t="shared" ref="BK182:BK203" si="237">LN(BJ182)</f>
        <v>-0.20498307723909714</v>
      </c>
      <c r="BL182" s="20">
        <v>0.2745110070692437</v>
      </c>
      <c r="BM182" s="20">
        <f t="shared" si="201"/>
        <v>1.0167074335897914</v>
      </c>
      <c r="BN182" s="20">
        <f t="shared" si="202"/>
        <v>1.6569399760192283E-2</v>
      </c>
      <c r="BS182" t="b">
        <f t="shared" si="169"/>
        <v>0</v>
      </c>
      <c r="BU182" t="b">
        <f t="shared" si="170"/>
        <v>1</v>
      </c>
      <c r="BW182" t="b">
        <f t="shared" si="171"/>
        <v>0</v>
      </c>
    </row>
    <row r="183" spans="1:75">
      <c r="A183" s="90"/>
      <c r="B183" s="21">
        <f>'[39]Dados de entrada'!$B$28</f>
        <v>20</v>
      </c>
      <c r="C183" s="21">
        <f>'[39]Dados de entrada'!$B$31</f>
        <v>1</v>
      </c>
      <c r="D183" s="70">
        <f>'[39]Dados de entrada'!$B$32</f>
        <v>40</v>
      </c>
      <c r="E183" s="20">
        <f>'[39]Dados de entrada'!$B$27</f>
        <v>2.8</v>
      </c>
      <c r="F183" s="21">
        <f>'[39]Dados de entrada'!$B$30</f>
        <v>40</v>
      </c>
      <c r="G183" s="56">
        <f>'[39]Dados de entrada'!$B$22</f>
        <v>50</v>
      </c>
      <c r="H183" s="57">
        <f>'[39]Dados de entrada'!$B$29/(2*'[39]Dados de entrada'!$B$20*G183)</f>
        <v>3.15E-2</v>
      </c>
      <c r="I183" s="27">
        <v>301.0005341552851</v>
      </c>
      <c r="J183" s="19">
        <v>0.28999999999999998</v>
      </c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0">
        <v>0.21598487207803357</v>
      </c>
      <c r="AE183" s="20">
        <f t="shared" si="219"/>
        <v>0.7447754209587365</v>
      </c>
      <c r="AF183" s="54">
        <f t="shared" si="220"/>
        <v>-0.29467255442480766</v>
      </c>
      <c r="AG183" s="20">
        <v>0.23813024929056317</v>
      </c>
      <c r="AH183" s="20">
        <f t="shared" si="221"/>
        <v>0.82113879065711448</v>
      </c>
      <c r="AI183" s="28">
        <f t="shared" si="222"/>
        <v>-0.19706313307769321</v>
      </c>
      <c r="AJ183" s="20">
        <v>0.23511080059046452</v>
      </c>
      <c r="AK183" s="20">
        <f t="shared" si="223"/>
        <v>0.81072689858780878</v>
      </c>
      <c r="AL183" s="20">
        <f t="shared" si="224"/>
        <v>-0.20982402807941139</v>
      </c>
      <c r="AM183" s="20">
        <v>0.25526100255993156</v>
      </c>
      <c r="AN183" s="20">
        <v>0.34596775037385386</v>
      </c>
      <c r="AO183" s="20">
        <v>0.88021035365493649</v>
      </c>
      <c r="AP183" s="20">
        <f t="shared" si="225"/>
        <v>-0.12759436183072798</v>
      </c>
      <c r="AQ183" s="20">
        <v>0.28265610534045077</v>
      </c>
      <c r="AR183" s="20">
        <f t="shared" si="226"/>
        <v>0.97467622531189924</v>
      </c>
      <c r="AS183" s="20">
        <f t="shared" si="227"/>
        <v>-2.5649939737114946E-2</v>
      </c>
      <c r="AT183" s="20">
        <v>0.38142173644761601</v>
      </c>
      <c r="AU183" s="20">
        <f t="shared" si="228"/>
        <v>1.315247367060745</v>
      </c>
      <c r="AV183" s="20">
        <f t="shared" si="229"/>
        <v>0.27402475977218166</v>
      </c>
      <c r="AW183" s="20">
        <v>0.34804670778434327</v>
      </c>
      <c r="AX183" s="20">
        <f t="shared" si="230"/>
        <v>1.2001610613253217</v>
      </c>
      <c r="AY183" s="20">
        <f t="shared" si="231"/>
        <v>0.18245576555865692</v>
      </c>
      <c r="AZ183" s="20">
        <v>0.31020540718421497</v>
      </c>
      <c r="BA183" s="20">
        <f t="shared" si="232"/>
        <v>1.0696738178766034</v>
      </c>
      <c r="BB183" s="20">
        <f t="shared" si="233"/>
        <v>6.7353758893731949E-2</v>
      </c>
      <c r="BC183" s="20">
        <v>0.1560328838812291</v>
      </c>
      <c r="BD183" s="20">
        <f t="shared" si="234"/>
        <v>0.53804442717665213</v>
      </c>
      <c r="BE183" s="20">
        <f t="shared" si="235"/>
        <v>-0.6198141438344964</v>
      </c>
      <c r="BF183" s="20">
        <v>0.36825038447712699</v>
      </c>
      <c r="BG183" s="20">
        <f t="shared" si="199"/>
        <v>1.2698289119900932</v>
      </c>
      <c r="BH183" s="20">
        <f t="shared" si="200"/>
        <v>0.23888217642719295</v>
      </c>
      <c r="BI183" s="20">
        <v>0.26988549175756621</v>
      </c>
      <c r="BJ183" s="20">
        <f t="shared" si="236"/>
        <v>0.93063962675022838</v>
      </c>
      <c r="BK183" s="20">
        <f t="shared" si="237"/>
        <v>-7.1883158541543299E-2</v>
      </c>
      <c r="BL183" s="20">
        <v>0.32695136880978121</v>
      </c>
      <c r="BM183" s="20">
        <f t="shared" si="201"/>
        <v>1.1274185131371766</v>
      </c>
      <c r="BN183" s="20">
        <f t="shared" si="202"/>
        <v>0.11993051762078842</v>
      </c>
      <c r="BS183" t="b">
        <f t="shared" si="169"/>
        <v>0</v>
      </c>
      <c r="BU183" t="b">
        <f t="shared" si="170"/>
        <v>1</v>
      </c>
      <c r="BW183" t="b">
        <f t="shared" si="171"/>
        <v>0</v>
      </c>
    </row>
    <row r="184" spans="1:75">
      <c r="A184" s="90"/>
      <c r="B184" s="21">
        <f>'[39]Dados de entrada'!$B$28</f>
        <v>20</v>
      </c>
      <c r="C184" s="21">
        <f>'[39]Dados de entrada'!$B$31</f>
        <v>1</v>
      </c>
      <c r="D184" s="70">
        <f>'[39]Dados de entrada'!$B$32</f>
        <v>40</v>
      </c>
      <c r="E184" s="20">
        <f>'[39]Dados de entrada'!$B$27</f>
        <v>2.8</v>
      </c>
      <c r="F184" s="21">
        <f>'[39]Dados de entrada'!$B$30</f>
        <v>40</v>
      </c>
      <c r="G184" s="56">
        <f>'[39]Dados de entrada'!$B$22</f>
        <v>50</v>
      </c>
      <c r="H184" s="57">
        <f>'[39]Dados de entrada'!$B$29/(2*'[39]Dados de entrada'!$B$20*G184)</f>
        <v>3.15E-2</v>
      </c>
      <c r="I184" s="27">
        <v>333.13388430334641</v>
      </c>
      <c r="J184" s="19">
        <v>0.32</v>
      </c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0">
        <v>0.24290691090427621</v>
      </c>
      <c r="AE184" s="20">
        <f t="shared" si="219"/>
        <v>0.75908409657586318</v>
      </c>
      <c r="AF184" s="54">
        <f t="shared" si="220"/>
        <v>-0.27564270854659728</v>
      </c>
      <c r="AG184" s="20">
        <v>0.27477158135730378</v>
      </c>
      <c r="AH184" s="20">
        <f t="shared" si="221"/>
        <v>0.85866119174157429</v>
      </c>
      <c r="AI184" s="28">
        <f t="shared" si="222"/>
        <v>-0.15238085652368891</v>
      </c>
      <c r="AJ184" s="20">
        <v>0.26441684430114909</v>
      </c>
      <c r="AK184" s="20">
        <f t="shared" si="223"/>
        <v>0.82630263844109086</v>
      </c>
      <c r="AL184" s="20">
        <f t="shared" si="224"/>
        <v>-0.19079418220120134</v>
      </c>
      <c r="AM184" s="20">
        <v>0.28251142321922457</v>
      </c>
      <c r="AN184" s="20">
        <v>0.42377828820333779</v>
      </c>
      <c r="AO184" s="20">
        <v>0.88284819756007671</v>
      </c>
      <c r="AP184" s="20">
        <f t="shared" si="225"/>
        <v>-0.12460200985055046</v>
      </c>
      <c r="AQ184" s="20">
        <v>0.31591157247780943</v>
      </c>
      <c r="AR184" s="20">
        <f t="shared" si="226"/>
        <v>0.98722366399315442</v>
      </c>
      <c r="AS184" s="20">
        <f t="shared" si="227"/>
        <v>-1.2858655298663303E-2</v>
      </c>
      <c r="AT184" s="20">
        <v>0.42997260953800504</v>
      </c>
      <c r="AU184" s="20">
        <f t="shared" si="228"/>
        <v>1.3436644048062658</v>
      </c>
      <c r="AV184" s="20">
        <f t="shared" si="229"/>
        <v>0.29540051211615898</v>
      </c>
      <c r="AW184" s="20">
        <v>0.38520247815697833</v>
      </c>
      <c r="AX184" s="20">
        <f t="shared" si="230"/>
        <v>1.2037577442405574</v>
      </c>
      <c r="AY184" s="20">
        <f t="shared" si="231"/>
        <v>0.185448117538835</v>
      </c>
      <c r="AZ184" s="20">
        <v>0.34893080843322255</v>
      </c>
      <c r="BA184" s="20">
        <f t="shared" si="232"/>
        <v>1.0904087763538204</v>
      </c>
      <c r="BB184" s="20">
        <f t="shared" si="233"/>
        <v>8.655265011487881E-2</v>
      </c>
      <c r="BC184" s="20">
        <v>0.17389318901921488</v>
      </c>
      <c r="BD184" s="20">
        <f t="shared" si="234"/>
        <v>0.5434162156850465</v>
      </c>
      <c r="BE184" s="20">
        <f t="shared" si="235"/>
        <v>-0.60987974127751587</v>
      </c>
      <c r="BF184" s="20">
        <v>0.40756300091407011</v>
      </c>
      <c r="BG184" s="20">
        <f t="shared" si="199"/>
        <v>1.2736343778564692</v>
      </c>
      <c r="BH184" s="20">
        <f t="shared" si="200"/>
        <v>0.24187452840737109</v>
      </c>
      <c r="BI184" s="20">
        <v>0.31739666351759815</v>
      </c>
      <c r="BJ184" s="20">
        <f t="shared" si="236"/>
        <v>0.99186457349249424</v>
      </c>
      <c r="BK184" s="20">
        <f t="shared" si="237"/>
        <v>-8.168699673544123E-3</v>
      </c>
      <c r="BL184" s="20">
        <v>0.37778632651206007</v>
      </c>
      <c r="BM184" s="20">
        <f t="shared" si="201"/>
        <v>1.1805822703501876</v>
      </c>
      <c r="BN184" s="20">
        <f t="shared" si="202"/>
        <v>0.16600776622074098</v>
      </c>
      <c r="BS184" t="b">
        <f t="shared" si="169"/>
        <v>0</v>
      </c>
      <c r="BU184" t="b">
        <f t="shared" si="170"/>
        <v>1</v>
      </c>
      <c r="BW184" t="b">
        <f t="shared" si="171"/>
        <v>0</v>
      </c>
    </row>
    <row r="185" spans="1:75">
      <c r="A185" s="86"/>
      <c r="B185" s="21">
        <f>'[39]Dados de entrada'!$B$28</f>
        <v>20</v>
      </c>
      <c r="C185" s="21">
        <f>'[39]Dados de entrada'!$B$31</f>
        <v>1</v>
      </c>
      <c r="D185" s="70">
        <f>'[39]Dados de entrada'!$B$32</f>
        <v>40</v>
      </c>
      <c r="E185" s="20">
        <f>'[39]Dados de entrada'!$B$27</f>
        <v>2.8</v>
      </c>
      <c r="F185" s="21">
        <f>'[39]Dados de entrada'!$B$30</f>
        <v>40</v>
      </c>
      <c r="G185" s="56">
        <f>'[39]Dados de entrada'!$B$22</f>
        <v>50</v>
      </c>
      <c r="H185" s="57">
        <f>'[39]Dados de entrada'!$B$29/(2*'[39]Dados de entrada'!$B$20*G185)</f>
        <v>3.15E-2</v>
      </c>
      <c r="I185" s="27">
        <v>348.7466984995794</v>
      </c>
      <c r="J185" s="19">
        <v>0.33</v>
      </c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0">
        <v>0.25598767553171597</v>
      </c>
      <c r="AE185" s="20">
        <f t="shared" si="219"/>
        <v>0.77572022888398773</v>
      </c>
      <c r="AF185" s="54">
        <f t="shared" si="220"/>
        <v>-0.25396335359408317</v>
      </c>
      <c r="AG185" s="20">
        <v>0.29257471445187816</v>
      </c>
      <c r="AH185" s="20">
        <f t="shared" si="221"/>
        <v>0.88659004379357009</v>
      </c>
      <c r="AI185" s="28">
        <f t="shared" si="222"/>
        <v>-0.12037258638281562</v>
      </c>
      <c r="AJ185" s="20">
        <v>0.27865593898543639</v>
      </c>
      <c r="AK185" s="20">
        <f t="shared" si="223"/>
        <v>0.84441193631950417</v>
      </c>
      <c r="AL185" s="20">
        <f t="shared" si="224"/>
        <v>-0.16911482724868693</v>
      </c>
      <c r="AM185" s="20">
        <v>0.295751740601706</v>
      </c>
      <c r="AN185" s="20">
        <v>0.46443110099199603</v>
      </c>
      <c r="AO185" s="20">
        <v>0.89621739576274539</v>
      </c>
      <c r="AP185" s="20">
        <f t="shared" si="225"/>
        <v>-0.10957226623741793</v>
      </c>
      <c r="AQ185" s="20">
        <v>0.33206959605867276</v>
      </c>
      <c r="AR185" s="20">
        <f t="shared" si="226"/>
        <v>1.0062715032080991</v>
      </c>
      <c r="AS185" s="20">
        <f t="shared" si="227"/>
        <v>6.2519191701087568E-3</v>
      </c>
      <c r="AT185" s="20">
        <v>0.45331500142933767</v>
      </c>
      <c r="AU185" s="20">
        <f t="shared" si="228"/>
        <v>1.3736818225131444</v>
      </c>
      <c r="AV185" s="20">
        <f t="shared" si="229"/>
        <v>0.31749459676030328</v>
      </c>
      <c r="AW185" s="20">
        <v>0.40325556432673298</v>
      </c>
      <c r="AX185" s="20">
        <f t="shared" si="230"/>
        <v>1.2219865585658574</v>
      </c>
      <c r="AY185" s="20">
        <f t="shared" si="231"/>
        <v>0.20047786115196664</v>
      </c>
      <c r="AZ185" s="20">
        <v>0.36774654011353114</v>
      </c>
      <c r="BA185" s="20">
        <f t="shared" si="232"/>
        <v>1.1143834548894882</v>
      </c>
      <c r="BB185" s="20">
        <f t="shared" si="233"/>
        <v>0.10830129671987959</v>
      </c>
      <c r="BC185" s="20">
        <v>0.18257107739134346</v>
      </c>
      <c r="BD185" s="20">
        <f t="shared" si="234"/>
        <v>0.55324568906467708</v>
      </c>
      <c r="BE185" s="20">
        <f t="shared" si="235"/>
        <v>-0.59195309210180214</v>
      </c>
      <c r="BF185" s="20">
        <v>0.42666404618851683</v>
      </c>
      <c r="BG185" s="20">
        <f t="shared" si="199"/>
        <v>1.2929213520864147</v>
      </c>
      <c r="BH185" s="20">
        <f t="shared" si="200"/>
        <v>0.25690427202050298</v>
      </c>
      <c r="BI185" s="20">
        <v>0.34048118764959079</v>
      </c>
      <c r="BJ185" s="20">
        <f t="shared" si="236"/>
        <v>1.0317611746957296</v>
      </c>
      <c r="BK185" s="20">
        <f t="shared" si="237"/>
        <v>3.1267220409182186E-2</v>
      </c>
      <c r="BL185" s="20">
        <v>0.40281389694483116</v>
      </c>
      <c r="BM185" s="20">
        <f t="shared" si="201"/>
        <v>1.2206481725600944</v>
      </c>
      <c r="BN185" s="20">
        <f t="shared" si="202"/>
        <v>0.19938200664482575</v>
      </c>
      <c r="BS185" t="b">
        <f t="shared" si="169"/>
        <v>0</v>
      </c>
      <c r="BU185" t="b">
        <f t="shared" si="170"/>
        <v>1</v>
      </c>
      <c r="BW185" t="b">
        <f t="shared" si="171"/>
        <v>0</v>
      </c>
    </row>
    <row r="186" spans="1:75">
      <c r="A186" s="87" t="s">
        <v>76</v>
      </c>
      <c r="B186" s="5">
        <f>'[40]Dados de entrada'!$B$28</f>
        <v>10</v>
      </c>
      <c r="C186" s="5">
        <f>'[40]Dados de entrada'!$B$31</f>
        <v>1</v>
      </c>
      <c r="D186" s="5">
        <f>'[40]Dados de entrada'!$B$32</f>
        <v>45</v>
      </c>
      <c r="E186" s="11">
        <f>'[40]Dados de entrada'!$B$27</f>
        <v>2.8</v>
      </c>
      <c r="F186" s="5">
        <f>'[40]Dados de entrada'!$B$30</f>
        <v>40</v>
      </c>
      <c r="G186" s="12">
        <f>'[40]Dados de entrada'!$B$22</f>
        <v>45</v>
      </c>
      <c r="H186" s="52">
        <f>'[40]Dados de entrada'!$B$29/(2*'[40]Dados de entrada'!$B$20*G186)</f>
        <v>8.7222222222222215E-3</v>
      </c>
      <c r="I186" s="53" cm="1">
        <f t="array" ref="I186:I193">'[40]fib Model Code 2010'!$K$5:$K$12</f>
        <v>310.30985357473827</v>
      </c>
      <c r="J186" s="4" cm="1">
        <f t="array" ref="J186:J193">'[40]Dados de entrada'!$C$7:$C$14</f>
        <v>0.15</v>
      </c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11" cm="1">
        <f t="array" ref="AD186:AD193">'[40]fib Model Code 2010'!$L$5:$L$12</f>
        <v>0.16612686256381681</v>
      </c>
      <c r="AE186" s="11">
        <f t="shared" si="219"/>
        <v>1.1075124170921122</v>
      </c>
      <c r="AF186" s="29">
        <f t="shared" si="220"/>
        <v>0.10211643469562195</v>
      </c>
      <c r="AG186" s="11" cm="1">
        <f t="array" ref="AG186:AG193">'[40]fib Model Code 2020'!$L$5:$L$12</f>
        <v>0.18861841261242762</v>
      </c>
      <c r="AH186" s="11">
        <f t="shared" si="221"/>
        <v>1.2574560840828508</v>
      </c>
      <c r="AI186" s="55">
        <f t="shared" si="222"/>
        <v>0.22909069918737623</v>
      </c>
      <c r="AJ186" s="11" cm="1">
        <f t="array" ref="AJ186:AJ193">'[40]Eurocode 2'!$L$5:$L$12</f>
        <v>0.29056052556803114</v>
      </c>
      <c r="AK186" s="11">
        <f t="shared" si="223"/>
        <v>1.9370701704535409</v>
      </c>
      <c r="AL186" s="11">
        <f t="shared" si="224"/>
        <v>0.66117661012571671</v>
      </c>
      <c r="AM186" s="11" cm="1">
        <f t="array" ref="AM186:AM193">'[40]NBR 6118'!$Q$5:$Q$12</f>
        <v>0.26142925199470496</v>
      </c>
      <c r="AN186" s="11" cm="1">
        <f t="array" ref="AN186:AN193">'[40]NBR 6118'!$R$5:$R$12</f>
        <v>0.17150293522078491</v>
      </c>
      <c r="AO186" s="11" cm="1">
        <f t="array" ref="AO186:AO193">'[40]NBR 6118'!$W$5:$W$12</f>
        <v>1.1433529014718995</v>
      </c>
      <c r="AP186" s="11">
        <f t="shared" si="225"/>
        <v>0.13396508735327864</v>
      </c>
      <c r="AQ186" s="11" cm="1">
        <f t="array" ref="AQ186:AQ193">'[40]Clark (1956)'!$L$5:$L$12</f>
        <v>0.2908980476731724</v>
      </c>
      <c r="AR186" s="11">
        <f t="shared" si="226"/>
        <v>1.9393203178211493</v>
      </c>
      <c r="AS186" s="11">
        <f t="shared" si="227"/>
        <v>0.6623375600491801</v>
      </c>
      <c r="AT186" s="11" cm="1">
        <f t="array" ref="AT186:AT193">'[40]Leonhardt (1977)'!$L$5:$L$12</f>
        <v>0.25773862301209477</v>
      </c>
      <c r="AU186" s="11">
        <f t="shared" si="228"/>
        <v>1.7182574867472986</v>
      </c>
      <c r="AV186" s="11">
        <f t="shared" si="229"/>
        <v>0.54131068820333317</v>
      </c>
      <c r="AW186" s="11" cm="1">
        <f t="array" ref="AW186:AW193">'[40]Desayi; Ganesan (1985)'!$L$5:$L$12</f>
        <v>0.33890172186871836</v>
      </c>
      <c r="AX186" s="11">
        <f t="shared" si="230"/>
        <v>2.2593448124581226</v>
      </c>
      <c r="AY186" s="11">
        <f t="shared" si="231"/>
        <v>0.81507486526134776</v>
      </c>
      <c r="AZ186" s="11" cm="1">
        <f t="array" ref="AZ186:AZ193">'[40]Oh; Kang (1987)'!$L$5:$L$12</f>
        <v>0.2211828295376089</v>
      </c>
      <c r="BA186" s="11">
        <f t="shared" si="232"/>
        <v>1.4745521969173927</v>
      </c>
      <c r="BB186" s="11">
        <f t="shared" si="233"/>
        <v>0.3883543483871551</v>
      </c>
      <c r="BC186" s="11" cm="1">
        <f t="array" ref="BC186:BC193">'[40]Caldas (1997)'!$L$5:$L$12</f>
        <v>0.16629907547758749</v>
      </c>
      <c r="BD186" s="11">
        <f t="shared" si="234"/>
        <v>1.1086605031839167</v>
      </c>
      <c r="BE186" s="11">
        <f t="shared" si="235"/>
        <v>0.10315253272209481</v>
      </c>
      <c r="BF186" s="11" cm="1">
        <f t="array" ref="BF186:BF193">'[40]Gergely e Lutz (1968)'!$L$5:$L$12</f>
        <v>0.29784780694114654</v>
      </c>
      <c r="BG186" s="11">
        <f t="shared" si="199"/>
        <v>1.9856520462743104</v>
      </c>
      <c r="BH186" s="11">
        <f t="shared" si="200"/>
        <v>0.68594734698724646</v>
      </c>
      <c r="BI186" s="11" cm="1">
        <f t="array" ref="BI186:BI193">[40]Sugestão!$M$5:$M$12</f>
        <v>0.27501332580010368</v>
      </c>
      <c r="BJ186" s="11">
        <f t="shared" si="236"/>
        <v>1.8334221720006914</v>
      </c>
      <c r="BK186" s="11">
        <f t="shared" si="237"/>
        <v>0.6061842598512136</v>
      </c>
      <c r="BL186" s="11" cm="1">
        <f t="array" ref="BL186:BL193">'[40]fib Model Code 2020 modificado'!$L$5:$L$12</f>
        <v>0.21765424796368371</v>
      </c>
      <c r="BM186" s="11">
        <f t="shared" si="201"/>
        <v>1.4510283197578915</v>
      </c>
      <c r="BN186" s="11">
        <f t="shared" si="202"/>
        <v>0.37227249111881922</v>
      </c>
      <c r="BS186" t="b">
        <f t="shared" si="169"/>
        <v>1</v>
      </c>
      <c r="BU186" t="b">
        <f t="shared" si="170"/>
        <v>0</v>
      </c>
      <c r="BW186" t="b">
        <f t="shared" si="171"/>
        <v>0</v>
      </c>
    </row>
    <row r="187" spans="1:75">
      <c r="A187" s="88"/>
      <c r="B187" s="5">
        <f>'[40]Dados de entrada'!$B$28</f>
        <v>10</v>
      </c>
      <c r="C187" s="5">
        <f>'[40]Dados de entrada'!$B$31</f>
        <v>1</v>
      </c>
      <c r="D187" s="5">
        <f>'[40]Dados de entrada'!$B$32</f>
        <v>45</v>
      </c>
      <c r="E187" s="11">
        <f>'[40]Dados de entrada'!$B$27</f>
        <v>2.8</v>
      </c>
      <c r="F187" s="5">
        <f>'[40]Dados de entrada'!$B$30</f>
        <v>40</v>
      </c>
      <c r="G187" s="12">
        <f>'[40]Dados de entrada'!$B$22</f>
        <v>45</v>
      </c>
      <c r="H187" s="52">
        <f>'[40]Dados de entrada'!$B$29/(2*'[40]Dados de entrada'!$B$20*G187)</f>
        <v>8.7222222222222215E-3</v>
      </c>
      <c r="I187" s="53">
        <v>330.28688277482877</v>
      </c>
      <c r="J187" s="4">
        <v>0.19</v>
      </c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11">
        <v>0.20438424701114277</v>
      </c>
      <c r="AE187" s="11">
        <f t="shared" si="219"/>
        <v>1.0757065632165408</v>
      </c>
      <c r="AF187" s="29">
        <f t="shared" si="220"/>
        <v>7.2977713781953266E-2</v>
      </c>
      <c r="AG187" s="11">
        <v>0.20076122887503028</v>
      </c>
      <c r="AH187" s="11">
        <f t="shared" si="221"/>
        <v>1.0566380467106857</v>
      </c>
      <c r="AI187" s="55">
        <f t="shared" si="222"/>
        <v>5.5092213722427591E-2</v>
      </c>
      <c r="AJ187" s="11">
        <v>0.30926613880202458</v>
      </c>
      <c r="AK187" s="11">
        <f t="shared" si="223"/>
        <v>1.6277165200106556</v>
      </c>
      <c r="AL187" s="11">
        <f t="shared" si="224"/>
        <v>0.48717812466076793</v>
      </c>
      <c r="AM187" s="11">
        <v>0.27825946135058727</v>
      </c>
      <c r="AN187" s="11">
        <v>0.19429564972313279</v>
      </c>
      <c r="AO187" s="11">
        <v>1.0226086827533305</v>
      </c>
      <c r="AP187" s="11">
        <f t="shared" si="225"/>
        <v>2.2356894487611498E-2</v>
      </c>
      <c r="AQ187" s="11">
        <v>0.32823091625474282</v>
      </c>
      <c r="AR187" s="11">
        <f t="shared" si="226"/>
        <v>1.7275311381828569</v>
      </c>
      <c r="AS187" s="11">
        <f t="shared" si="227"/>
        <v>0.54669330149455186</v>
      </c>
      <c r="AT187" s="11">
        <v>0.30422212799507387</v>
      </c>
      <c r="AU187" s="11">
        <f t="shared" si="228"/>
        <v>1.601169094710915</v>
      </c>
      <c r="AV187" s="11">
        <f t="shared" si="229"/>
        <v>0.47073404662032753</v>
      </c>
      <c r="AW187" s="11">
        <v>0.36071942928515954</v>
      </c>
      <c r="AX187" s="11">
        <f t="shared" si="230"/>
        <v>1.8985233120271554</v>
      </c>
      <c r="AY187" s="11">
        <f t="shared" si="231"/>
        <v>0.64107637979639909</v>
      </c>
      <c r="AZ187" s="11">
        <v>0.23782468212703708</v>
      </c>
      <c r="BA187" s="11">
        <f t="shared" si="232"/>
        <v>1.2517088533001952</v>
      </c>
      <c r="BB187" s="11">
        <f t="shared" si="233"/>
        <v>0.2245097003476749</v>
      </c>
      <c r="BC187" s="11">
        <v>0.17827498836625749</v>
      </c>
      <c r="BD187" s="11">
        <f t="shared" si="234"/>
        <v>0.93828941245398678</v>
      </c>
      <c r="BE187" s="11">
        <f t="shared" si="235"/>
        <v>-6.3696835503406116E-2</v>
      </c>
      <c r="BF187" s="11">
        <v>0.31702255846096294</v>
      </c>
      <c r="BG187" s="11">
        <f t="shared" si="199"/>
        <v>1.6685397813734892</v>
      </c>
      <c r="BH187" s="11">
        <f t="shared" si="200"/>
        <v>0.51194886152229802</v>
      </c>
      <c r="BI187" s="11">
        <v>0.31156255576653796</v>
      </c>
      <c r="BJ187" s="11">
        <f t="shared" si="236"/>
        <v>1.6398029250870418</v>
      </c>
      <c r="BK187" s="11">
        <f t="shared" si="237"/>
        <v>0.4945760669855464</v>
      </c>
      <c r="BL187" s="11">
        <v>0.23229934539137381</v>
      </c>
      <c r="BM187" s="11">
        <f t="shared" si="201"/>
        <v>1.2226281336388096</v>
      </c>
      <c r="BN187" s="11">
        <f t="shared" si="202"/>
        <v>0.20100274966689541</v>
      </c>
      <c r="BS187" t="b">
        <f t="shared" si="169"/>
        <v>1</v>
      </c>
      <c r="BU187" t="b">
        <f t="shared" si="170"/>
        <v>0</v>
      </c>
      <c r="BW187" t="b">
        <f t="shared" si="171"/>
        <v>0</v>
      </c>
    </row>
    <row r="188" spans="1:75">
      <c r="A188" s="88"/>
      <c r="B188" s="5">
        <f>'[40]Dados de entrada'!$B$28</f>
        <v>10</v>
      </c>
      <c r="C188" s="5">
        <f>'[40]Dados de entrada'!$B$31</f>
        <v>1</v>
      </c>
      <c r="D188" s="5">
        <f>'[40]Dados de entrada'!$B$32</f>
        <v>45</v>
      </c>
      <c r="E188" s="11">
        <f>'[40]Dados de entrada'!$B$27</f>
        <v>2.8</v>
      </c>
      <c r="F188" s="5">
        <f>'[40]Dados de entrada'!$B$30</f>
        <v>40</v>
      </c>
      <c r="G188" s="12">
        <f>'[40]Dados de entrada'!$B$22</f>
        <v>45</v>
      </c>
      <c r="H188" s="52">
        <f>'[40]Dados de entrada'!$B$29/(2*'[40]Dados de entrada'!$B$20*G188)</f>
        <v>8.7222222222222215E-3</v>
      </c>
      <c r="I188" s="53">
        <v>334.28228861484689</v>
      </c>
      <c r="J188" s="4">
        <v>0.2</v>
      </c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11">
        <v>0.21203572390060799</v>
      </c>
      <c r="AE188" s="11">
        <f t="shared" si="219"/>
        <v>1.0601786195030398</v>
      </c>
      <c r="AF188" s="29">
        <f t="shared" si="220"/>
        <v>5.8437402893066766E-2</v>
      </c>
      <c r="AG188" s="11">
        <v>0.20318979212755081</v>
      </c>
      <c r="AH188" s="11">
        <f t="shared" si="221"/>
        <v>1.0159489606377541</v>
      </c>
      <c r="AI188" s="55">
        <f t="shared" si="222"/>
        <v>1.5823112301678769E-2</v>
      </c>
      <c r="AJ188" s="11">
        <v>0.31300726144882329</v>
      </c>
      <c r="AK188" s="11">
        <f t="shared" si="223"/>
        <v>1.5650363072441165</v>
      </c>
      <c r="AL188" s="11">
        <f t="shared" si="224"/>
        <v>0.44790902324001924</v>
      </c>
      <c r="AM188" s="11">
        <v>0.28162550322176372</v>
      </c>
      <c r="AN188" s="11">
        <v>0.19902478258661369</v>
      </c>
      <c r="AO188" s="11">
        <v>0.99512391293306834</v>
      </c>
      <c r="AP188" s="11">
        <f t="shared" si="225"/>
        <v>-4.8880139663357849E-3</v>
      </c>
      <c r="AQ188" s="11">
        <v>0.33569748997105692</v>
      </c>
      <c r="AR188" s="11">
        <f t="shared" si="226"/>
        <v>1.6784874498552844</v>
      </c>
      <c r="AS188" s="11">
        <f t="shared" si="227"/>
        <v>0.51789306040987126</v>
      </c>
      <c r="AT188" s="11">
        <v>0.31331115674231313</v>
      </c>
      <c r="AU188" s="11">
        <f t="shared" si="228"/>
        <v>1.5665557837115656</v>
      </c>
      <c r="AV188" s="11">
        <f t="shared" si="229"/>
        <v>0.44887944118881901</v>
      </c>
      <c r="AW188" s="11">
        <v>0.36508297076844781</v>
      </c>
      <c r="AX188" s="11">
        <f t="shared" si="230"/>
        <v>1.825414853842239</v>
      </c>
      <c r="AY188" s="11">
        <f t="shared" si="231"/>
        <v>0.6018072783756504</v>
      </c>
      <c r="AZ188" s="11">
        <v>0.24115305264492271</v>
      </c>
      <c r="BA188" s="11">
        <f t="shared" si="232"/>
        <v>1.2057652632246134</v>
      </c>
      <c r="BB188" s="11">
        <f t="shared" si="233"/>
        <v>0.18711443858440882</v>
      </c>
      <c r="BC188" s="11">
        <v>0.18067017094399146</v>
      </c>
      <c r="BD188" s="11">
        <f t="shared" si="234"/>
        <v>0.90335085471995724</v>
      </c>
      <c r="BE188" s="11">
        <f t="shared" si="235"/>
        <v>-0.10164425759565093</v>
      </c>
      <c r="BF188" s="11">
        <v>0.32085750876492619</v>
      </c>
      <c r="BG188" s="11">
        <f t="shared" si="199"/>
        <v>1.6042875438246309</v>
      </c>
      <c r="BH188" s="11">
        <f t="shared" si="200"/>
        <v>0.47267976010154911</v>
      </c>
      <c r="BI188" s="11">
        <v>0.31914595109013499</v>
      </c>
      <c r="BJ188" s="11">
        <f t="shared" si="236"/>
        <v>1.5957297554506749</v>
      </c>
      <c r="BK188" s="11">
        <f t="shared" si="237"/>
        <v>0.46733115853159951</v>
      </c>
      <c r="BL188" s="11">
        <v>0.23523755389692272</v>
      </c>
      <c r="BM188" s="11">
        <f t="shared" si="201"/>
        <v>1.1761877694846135</v>
      </c>
      <c r="BN188" s="11">
        <f t="shared" si="202"/>
        <v>0.16227850465996116</v>
      </c>
      <c r="BS188" t="b">
        <f t="shared" si="169"/>
        <v>1</v>
      </c>
      <c r="BU188" t="b">
        <f t="shared" si="170"/>
        <v>0</v>
      </c>
      <c r="BW188" t="b">
        <f t="shared" si="171"/>
        <v>0</v>
      </c>
    </row>
    <row r="189" spans="1:75">
      <c r="A189" s="88"/>
      <c r="B189" s="5">
        <f>'[40]Dados de entrada'!$B$28</f>
        <v>10</v>
      </c>
      <c r="C189" s="5">
        <f>'[40]Dados de entrada'!$B$31</f>
        <v>1</v>
      </c>
      <c r="D189" s="5">
        <f>'[40]Dados de entrada'!$B$32</f>
        <v>45</v>
      </c>
      <c r="E189" s="11">
        <f>'[40]Dados de entrada'!$B$27</f>
        <v>2.8</v>
      </c>
      <c r="F189" s="5">
        <f>'[40]Dados de entrada'!$B$30</f>
        <v>40</v>
      </c>
      <c r="G189" s="12">
        <f>'[40]Dados de entrada'!$B$22</f>
        <v>45</v>
      </c>
      <c r="H189" s="52">
        <f>'[40]Dados de entrada'!$B$29/(2*'[40]Dados de entrada'!$B$20*G189)</f>
        <v>8.7222222222222215E-3</v>
      </c>
      <c r="I189" s="53">
        <v>351.15177993936766</v>
      </c>
      <c r="J189" s="4">
        <v>0.23</v>
      </c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11">
        <v>0.24434195965612746</v>
      </c>
      <c r="AE189" s="11">
        <f t="shared" si="219"/>
        <v>1.0623563463309889</v>
      </c>
      <c r="AF189" s="29">
        <f t="shared" si="220"/>
        <v>6.0489409222437084E-2</v>
      </c>
      <c r="AG189" s="11">
        <v>0.21344372586041524</v>
      </c>
      <c r="AH189" s="11">
        <f t="shared" si="221"/>
        <v>0.92801619939310975</v>
      </c>
      <c r="AI189" s="55">
        <f t="shared" si="222"/>
        <v>-7.4706090105719741E-2</v>
      </c>
      <c r="AJ189" s="11">
        <v>0.32880311262419548</v>
      </c>
      <c r="AK189" s="11">
        <f t="shared" si="223"/>
        <v>1.4295787505399804</v>
      </c>
      <c r="AL189" s="11">
        <f t="shared" si="224"/>
        <v>0.35737982083262076</v>
      </c>
      <c r="AM189" s="11">
        <v>0.2958376800111755</v>
      </c>
      <c r="AN189" s="11">
        <v>0.21961913301830313</v>
      </c>
      <c r="AO189" s="11">
        <v>0.95486579573175268</v>
      </c>
      <c r="AP189" s="11">
        <f t="shared" si="225"/>
        <v>-4.6184476405973854E-2</v>
      </c>
      <c r="AQ189" s="11">
        <v>0.3672230234399384</v>
      </c>
      <c r="AR189" s="11">
        <f t="shared" si="226"/>
        <v>1.5966218410432105</v>
      </c>
      <c r="AS189" s="11">
        <f t="shared" si="227"/>
        <v>0.46789004785740945</v>
      </c>
      <c r="AT189" s="11">
        <v>0.3510126453644552</v>
      </c>
      <c r="AU189" s="11">
        <f t="shared" si="228"/>
        <v>1.5261419363671964</v>
      </c>
      <c r="AV189" s="11">
        <f t="shared" si="229"/>
        <v>0.4227429405730847</v>
      </c>
      <c r="AW189" s="11">
        <v>0.38350681258677577</v>
      </c>
      <c r="AX189" s="11">
        <f t="shared" si="230"/>
        <v>1.6674209242903293</v>
      </c>
      <c r="AY189" s="11">
        <f t="shared" si="231"/>
        <v>0.5112780759682517</v>
      </c>
      <c r="AZ189" s="11">
        <v>0.25520617260932865</v>
      </c>
      <c r="BA189" s="11">
        <f t="shared" si="232"/>
        <v>1.1095920548231679</v>
      </c>
      <c r="BB189" s="11">
        <f t="shared" si="233"/>
        <v>0.10399242959555982</v>
      </c>
      <c r="BC189" s="11">
        <v>0.19078316404997939</v>
      </c>
      <c r="BD189" s="11">
        <f t="shared" si="234"/>
        <v>0.82949201760860602</v>
      </c>
      <c r="BE189" s="11">
        <f t="shared" si="235"/>
        <v>-0.18694179253403936</v>
      </c>
      <c r="BF189" s="11">
        <v>0.3370495211594377</v>
      </c>
      <c r="BG189" s="11">
        <f t="shared" si="199"/>
        <v>1.4654327006932073</v>
      </c>
      <c r="BH189" s="11">
        <f t="shared" si="200"/>
        <v>0.38215055769415057</v>
      </c>
      <c r="BI189" s="11">
        <v>0.35216999699127649</v>
      </c>
      <c r="BJ189" s="11">
        <f t="shared" si="236"/>
        <v>1.5311738999620716</v>
      </c>
      <c r="BK189" s="11">
        <f t="shared" si="237"/>
        <v>0.42603469609196115</v>
      </c>
      <c r="BL189" s="11">
        <v>0.24767709184574097</v>
      </c>
      <c r="BM189" s="11">
        <f t="shared" si="201"/>
        <v>1.0768569210684389</v>
      </c>
      <c r="BN189" s="11">
        <f t="shared" si="202"/>
        <v>7.4046539830345731E-2</v>
      </c>
      <c r="BS189" t="b">
        <f t="shared" si="169"/>
        <v>1</v>
      </c>
      <c r="BU189" t="b">
        <f t="shared" si="170"/>
        <v>0</v>
      </c>
      <c r="BW189" t="b">
        <f t="shared" si="171"/>
        <v>0</v>
      </c>
    </row>
    <row r="190" spans="1:75">
      <c r="A190" s="88"/>
      <c r="B190" s="5">
        <f>'[40]Dados de entrada'!$B$28</f>
        <v>10</v>
      </c>
      <c r="C190" s="5">
        <f>'[40]Dados de entrada'!$B$31</f>
        <v>1</v>
      </c>
      <c r="D190" s="5">
        <f>'[40]Dados de entrada'!$B$32</f>
        <v>45</v>
      </c>
      <c r="E190" s="11">
        <f>'[40]Dados de entrada'!$B$27</f>
        <v>2.8</v>
      </c>
      <c r="F190" s="5">
        <f>'[40]Dados de entrada'!$B$30</f>
        <v>40</v>
      </c>
      <c r="G190" s="12">
        <f>'[40]Dados de entrada'!$B$22</f>
        <v>45</v>
      </c>
      <c r="H190" s="52">
        <f>'[40]Dados de entrada'!$B$29/(2*'[40]Dados de entrada'!$B$20*G190)</f>
        <v>8.7222222222222215E-3</v>
      </c>
      <c r="I190" s="53">
        <v>362.69406347719769</v>
      </c>
      <c r="J190" s="4">
        <v>0.25</v>
      </c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11">
        <v>0.26644622622569353</v>
      </c>
      <c r="AE190" s="11">
        <f t="shared" si="219"/>
        <v>1.0657849049027741</v>
      </c>
      <c r="AF190" s="29">
        <f t="shared" si="220"/>
        <v>6.3711527619028555E-2</v>
      </c>
      <c r="AG190" s="11">
        <v>0.22319790578213533</v>
      </c>
      <c r="AH190" s="11">
        <f t="shared" si="221"/>
        <v>0.89279162312854132</v>
      </c>
      <c r="AI190" s="55">
        <f t="shared" si="222"/>
        <v>-0.11340207009563463</v>
      </c>
      <c r="AJ190" s="11">
        <v>0.33961080027050283</v>
      </c>
      <c r="AK190" s="11">
        <f t="shared" si="223"/>
        <v>1.3584432010820113</v>
      </c>
      <c r="AL190" s="11">
        <f t="shared" si="224"/>
        <v>0.30633933898591881</v>
      </c>
      <c r="AM190" s="11">
        <v>0.30556180097235186</v>
      </c>
      <c r="AN190" s="11">
        <v>0.2342940819351301</v>
      </c>
      <c r="AO190" s="11">
        <v>0.9371763277405204</v>
      </c>
      <c r="AP190" s="11">
        <f t="shared" si="225"/>
        <v>-6.4883831160326838E-2</v>
      </c>
      <c r="AQ190" s="11">
        <v>0.38879312528706789</v>
      </c>
      <c r="AR190" s="11">
        <f t="shared" si="226"/>
        <v>1.5551725011482715</v>
      </c>
      <c r="AS190" s="11">
        <f t="shared" si="227"/>
        <v>0.44158647269288598</v>
      </c>
      <c r="AT190" s="11">
        <v>0.37623620174228273</v>
      </c>
      <c r="AU190" s="11">
        <f t="shared" si="228"/>
        <v>1.5049448069691309</v>
      </c>
      <c r="AV190" s="11">
        <f t="shared" si="229"/>
        <v>0.40875622441815207</v>
      </c>
      <c r="AW190" s="11">
        <v>0.39611259909405283</v>
      </c>
      <c r="AX190" s="11">
        <f t="shared" si="230"/>
        <v>1.5844503963762113</v>
      </c>
      <c r="AY190" s="11">
        <f t="shared" si="231"/>
        <v>0.46023759412154969</v>
      </c>
      <c r="AZ190" s="11">
        <v>0.26482146521655381</v>
      </c>
      <c r="BA190" s="11">
        <f t="shared" si="232"/>
        <v>1.0592858608662152</v>
      </c>
      <c r="BB190" s="11">
        <f t="shared" si="233"/>
        <v>5.7594964911309776E-2</v>
      </c>
      <c r="BC190" s="11">
        <v>0.1977025803856553</v>
      </c>
      <c r="BD190" s="11">
        <f t="shared" si="234"/>
        <v>0.79081032154262121</v>
      </c>
      <c r="BE190" s="11">
        <f t="shared" si="235"/>
        <v>-0.23469713574426995</v>
      </c>
      <c r="BF190" s="11">
        <v>0.34812826648199824</v>
      </c>
      <c r="BG190" s="11">
        <f t="shared" si="199"/>
        <v>1.392513065927993</v>
      </c>
      <c r="BH190" s="11">
        <f t="shared" si="200"/>
        <v>0.33111007584744856</v>
      </c>
      <c r="BI190" s="11">
        <v>0.3771548125030415</v>
      </c>
      <c r="BJ190" s="11">
        <f t="shared" si="236"/>
        <v>1.508619250012166</v>
      </c>
      <c r="BK190" s="11">
        <f t="shared" si="237"/>
        <v>0.41119482853904415</v>
      </c>
      <c r="BL190" s="11">
        <v>0.25895814717281729</v>
      </c>
      <c r="BM190" s="11">
        <f t="shared" si="201"/>
        <v>1.0358325886912692</v>
      </c>
      <c r="BN190" s="11">
        <f t="shared" si="202"/>
        <v>3.5205536852239545E-2</v>
      </c>
      <c r="BS190" t="b">
        <f t="shared" si="169"/>
        <v>1</v>
      </c>
      <c r="BU190" t="b">
        <f t="shared" si="170"/>
        <v>0</v>
      </c>
      <c r="BW190" t="b">
        <f t="shared" si="171"/>
        <v>0</v>
      </c>
    </row>
    <row r="191" spans="1:75">
      <c r="A191" s="88"/>
      <c r="B191" s="5">
        <f>'[40]Dados de entrada'!$B$28</f>
        <v>10</v>
      </c>
      <c r="C191" s="5">
        <f>'[40]Dados de entrada'!$B$31</f>
        <v>1</v>
      </c>
      <c r="D191" s="5">
        <f>'[40]Dados de entrada'!$B$32</f>
        <v>45</v>
      </c>
      <c r="E191" s="11">
        <f>'[40]Dados de entrada'!$B$27</f>
        <v>2.8</v>
      </c>
      <c r="F191" s="5">
        <f>'[40]Dados de entrada'!$B$30</f>
        <v>40</v>
      </c>
      <c r="G191" s="12">
        <f>'[40]Dados de entrada'!$B$22</f>
        <v>45</v>
      </c>
      <c r="H191" s="52">
        <f>'[40]Dados de entrada'!$B$29/(2*'[40]Dados de entrada'!$B$20*G191)</f>
        <v>8.7222222222222215E-3</v>
      </c>
      <c r="I191" s="53">
        <v>375.5681489617005</v>
      </c>
      <c r="J191" s="4">
        <v>0.28000000000000003</v>
      </c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11">
        <v>0.29110098509174809</v>
      </c>
      <c r="AE191" s="11">
        <f t="shared" si="219"/>
        <v>1.0396463753276717</v>
      </c>
      <c r="AF191" s="29">
        <f t="shared" si="220"/>
        <v>3.8880631608715029E-2</v>
      </c>
      <c r="AG191" s="11">
        <v>0.24276133198299524</v>
      </c>
      <c r="AH191" s="11">
        <f t="shared" si="221"/>
        <v>0.86700475708212577</v>
      </c>
      <c r="AI191" s="55">
        <f t="shared" si="222"/>
        <v>-0.1427108153860529</v>
      </c>
      <c r="AJ191" s="11">
        <v>0.35166552879907637</v>
      </c>
      <c r="AK191" s="11">
        <f t="shared" si="223"/>
        <v>1.2559483171395582</v>
      </c>
      <c r="AL191" s="11">
        <f t="shared" si="224"/>
        <v>0.22789091842513581</v>
      </c>
      <c r="AM191" s="11">
        <v>0.31640793589058713</v>
      </c>
      <c r="AN191" s="11">
        <v>0.25122215219469318</v>
      </c>
      <c r="AO191" s="11">
        <v>0.89722197212390409</v>
      </c>
      <c r="AP191" s="11">
        <f t="shared" si="225"/>
        <v>-0.10845198697488947</v>
      </c>
      <c r="AQ191" s="11">
        <v>0.41285208503963555</v>
      </c>
      <c r="AR191" s="11">
        <f t="shared" si="226"/>
        <v>1.4744717322844125</v>
      </c>
      <c r="AS191" s="11">
        <f t="shared" si="227"/>
        <v>0.38829977803782473</v>
      </c>
      <c r="AT191" s="11">
        <v>0.40388198949836024</v>
      </c>
      <c r="AU191" s="11">
        <f t="shared" si="228"/>
        <v>1.4424356767798578</v>
      </c>
      <c r="AV191" s="11">
        <f t="shared" si="229"/>
        <v>0.36633312691878739</v>
      </c>
      <c r="AW191" s="11">
        <v>0.41017289942909274</v>
      </c>
      <c r="AX191" s="11">
        <f t="shared" si="230"/>
        <v>1.4649032122467596</v>
      </c>
      <c r="AY191" s="11">
        <f t="shared" si="231"/>
        <v>0.38178917356076697</v>
      </c>
      <c r="AZ191" s="11">
        <v>0.27554621466307422</v>
      </c>
      <c r="BA191" s="11">
        <f t="shared" si="232"/>
        <v>0.98409362379669352</v>
      </c>
      <c r="BB191" s="11">
        <f t="shared" si="233"/>
        <v>-1.6034240321138888E-2</v>
      </c>
      <c r="BC191" s="11">
        <v>0.20542039091390926</v>
      </c>
      <c r="BD191" s="11">
        <f t="shared" si="234"/>
        <v>0.73364425326396154</v>
      </c>
      <c r="BE191" s="11">
        <f t="shared" si="235"/>
        <v>-0.30973103643510957</v>
      </c>
      <c r="BF191" s="11">
        <v>0.36048532857254661</v>
      </c>
      <c r="BG191" s="11">
        <f t="shared" si="199"/>
        <v>1.2874476020448091</v>
      </c>
      <c r="BH191" s="11">
        <f t="shared" si="200"/>
        <v>0.2526616552866659</v>
      </c>
      <c r="BI191" s="11">
        <v>0.40994362049156363</v>
      </c>
      <c r="BJ191" s="11">
        <f t="shared" si="236"/>
        <v>1.4640843588984414</v>
      </c>
      <c r="BK191" s="11">
        <f t="shared" si="237"/>
        <v>0.38123003607741363</v>
      </c>
      <c r="BL191" s="11">
        <v>0.28025478409090904</v>
      </c>
      <c r="BM191" s="11">
        <f t="shared" si="201"/>
        <v>1.0009099431818178</v>
      </c>
      <c r="BN191" s="11">
        <f t="shared" si="202"/>
        <v>9.0952943449275402E-4</v>
      </c>
      <c r="BS191" t="b">
        <f t="shared" si="169"/>
        <v>1</v>
      </c>
      <c r="BU191" t="b">
        <f t="shared" si="170"/>
        <v>0</v>
      </c>
      <c r="BW191" t="b">
        <f t="shared" si="171"/>
        <v>0</v>
      </c>
    </row>
    <row r="192" spans="1:75">
      <c r="A192" s="88"/>
      <c r="B192" s="5">
        <f>'[40]Dados de entrada'!$B$28</f>
        <v>10</v>
      </c>
      <c r="C192" s="5">
        <f>'[40]Dados de entrada'!$B$31</f>
        <v>1</v>
      </c>
      <c r="D192" s="5">
        <f>'[40]Dados de entrada'!$B$32</f>
        <v>45</v>
      </c>
      <c r="E192" s="11">
        <f>'[40]Dados de entrada'!$B$27</f>
        <v>2.8</v>
      </c>
      <c r="F192" s="5">
        <f>'[40]Dados de entrada'!$B$30</f>
        <v>40</v>
      </c>
      <c r="G192" s="12">
        <f>'[40]Dados de entrada'!$B$22</f>
        <v>45</v>
      </c>
      <c r="H192" s="52">
        <f>'[40]Dados de entrada'!$B$29/(2*'[40]Dados de entrada'!$B$20*G192)</f>
        <v>8.7222222222222215E-3</v>
      </c>
      <c r="I192" s="53">
        <v>387.11043249953048</v>
      </c>
      <c r="J192" s="4">
        <v>0.31</v>
      </c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11">
        <v>0.31320525166131397</v>
      </c>
      <c r="AE192" s="11">
        <f t="shared" si="219"/>
        <v>1.0103395214881097</v>
      </c>
      <c r="AF192" s="29">
        <f t="shared" si="220"/>
        <v>1.0286434253309251E-2</v>
      </c>
      <c r="AG192" s="11">
        <v>0.26030095547342114</v>
      </c>
      <c r="AH192" s="11">
        <f t="shared" si="221"/>
        <v>0.839680501527165</v>
      </c>
      <c r="AI192" s="55">
        <f t="shared" si="222"/>
        <v>-0.17473381482301514</v>
      </c>
      <c r="AJ192" s="11">
        <v>0.36247321644538366</v>
      </c>
      <c r="AK192" s="11">
        <f t="shared" si="223"/>
        <v>1.1692684401463989</v>
      </c>
      <c r="AL192" s="11">
        <f t="shared" si="224"/>
        <v>0.15637828841794993</v>
      </c>
      <c r="AM192" s="11">
        <v>0.32613205685176361</v>
      </c>
      <c r="AN192" s="11">
        <v>0.26690098443294497</v>
      </c>
      <c r="AO192" s="11">
        <v>0.86097091752562893</v>
      </c>
      <c r="AP192" s="11">
        <f t="shared" si="225"/>
        <v>-0.14969455267931864</v>
      </c>
      <c r="AQ192" s="11">
        <v>0.43442218688676498</v>
      </c>
      <c r="AR192" s="11">
        <f t="shared" si="226"/>
        <v>1.4013618931831129</v>
      </c>
      <c r="AS192" s="11">
        <f t="shared" si="227"/>
        <v>0.33744454462163193</v>
      </c>
      <c r="AT192" s="11">
        <v>0.42827084631765316</v>
      </c>
      <c r="AU192" s="11">
        <f t="shared" si="228"/>
        <v>1.3815188590892038</v>
      </c>
      <c r="AV192" s="11">
        <f t="shared" si="229"/>
        <v>0.32318351645660065</v>
      </c>
      <c r="AW192" s="11">
        <v>0.4227786859363698</v>
      </c>
      <c r="AX192" s="11">
        <f t="shared" si="230"/>
        <v>1.3638022126979672</v>
      </c>
      <c r="AY192" s="11">
        <f t="shared" si="231"/>
        <v>0.3102765435535812</v>
      </c>
      <c r="AZ192" s="11">
        <v>0.28516150727029932</v>
      </c>
      <c r="BA192" s="11">
        <f t="shared" si="232"/>
        <v>0.91987582990419137</v>
      </c>
      <c r="BB192" s="11">
        <f t="shared" si="233"/>
        <v>-8.3516585543427252E-2</v>
      </c>
      <c r="BC192" s="11">
        <v>0.21233980724958523</v>
      </c>
      <c r="BD192" s="11">
        <f t="shared" si="234"/>
        <v>0.68496712015995231</v>
      </c>
      <c r="BE192" s="11">
        <f t="shared" si="235"/>
        <v>-0.37838444163843038</v>
      </c>
      <c r="BF192" s="11">
        <v>0.37156407389510704</v>
      </c>
      <c r="BG192" s="11">
        <f t="shared" si="199"/>
        <v>1.1985937867584098</v>
      </c>
      <c r="BH192" s="11">
        <f t="shared" si="200"/>
        <v>0.18114902527947976</v>
      </c>
      <c r="BI192" s="11">
        <v>0.43934048282610039</v>
      </c>
      <c r="BJ192" s="11">
        <f t="shared" si="236"/>
        <v>1.4172273639551625</v>
      </c>
      <c r="BK192" s="11">
        <f t="shared" si="237"/>
        <v>0.34870240228676097</v>
      </c>
      <c r="BL192" s="11">
        <v>0.29937535828963574</v>
      </c>
      <c r="BM192" s="11">
        <f t="shared" si="201"/>
        <v>0.96572696222463139</v>
      </c>
      <c r="BN192" s="11">
        <f t="shared" si="202"/>
        <v>-3.487413252262575E-2</v>
      </c>
      <c r="BS192" t="b">
        <f t="shared" si="169"/>
        <v>1</v>
      </c>
      <c r="BU192" t="b">
        <f t="shared" si="170"/>
        <v>0</v>
      </c>
      <c r="BW192" t="b">
        <f t="shared" si="171"/>
        <v>0</v>
      </c>
    </row>
    <row r="193" spans="1:75">
      <c r="A193" s="89"/>
      <c r="B193" s="5">
        <f>'[40]Dados de entrada'!$B$28</f>
        <v>10</v>
      </c>
      <c r="C193" s="5">
        <f>'[40]Dados de entrada'!$B$31</f>
        <v>1</v>
      </c>
      <c r="D193" s="5">
        <f>'[40]Dados de entrada'!$B$32</f>
        <v>45</v>
      </c>
      <c r="E193" s="11">
        <f>'[40]Dados de entrada'!$B$27</f>
        <v>2.8</v>
      </c>
      <c r="F193" s="5">
        <f>'[40]Dados de entrada'!$B$30</f>
        <v>40</v>
      </c>
      <c r="G193" s="12">
        <f>'[40]Dados de entrada'!$B$22</f>
        <v>45</v>
      </c>
      <c r="H193" s="52">
        <f>'[40]Dados de entrada'!$B$29/(2*'[40]Dados de entrada'!$B$20*G193)</f>
        <v>8.7222222222222215E-3</v>
      </c>
      <c r="I193" s="53">
        <v>400.87238594848156</v>
      </c>
      <c r="J193" s="4">
        <v>0.36</v>
      </c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11">
        <v>0.33956033872502711</v>
      </c>
      <c r="AE193" s="11">
        <f t="shared" si="219"/>
        <v>0.94322316312507537</v>
      </c>
      <c r="AF193" s="29">
        <f t="shared" si="220"/>
        <v>-5.8452372039870949E-2</v>
      </c>
      <c r="AG193" s="11">
        <v>0.28121358348123665</v>
      </c>
      <c r="AH193" s="11">
        <f t="shared" si="221"/>
        <v>0.78114884300343512</v>
      </c>
      <c r="AI193" s="55">
        <f t="shared" si="222"/>
        <v>-0.24698956727051144</v>
      </c>
      <c r="AJ193" s="11">
        <v>0.37535930556213459</v>
      </c>
      <c r="AK193" s="11">
        <f t="shared" si="223"/>
        <v>1.0426647376725962</v>
      </c>
      <c r="AL193" s="11">
        <f t="shared" si="224"/>
        <v>4.1779683954991827E-2</v>
      </c>
      <c r="AM193" s="11">
        <v>0.33772620107470475</v>
      </c>
      <c r="AN193" s="11">
        <v>0.28621520812574058</v>
      </c>
      <c r="AO193" s="11">
        <v>0.79504224479372387</v>
      </c>
      <c r="AP193" s="11">
        <f t="shared" si="225"/>
        <v>-0.22936002763427121</v>
      </c>
      <c r="AQ193" s="11">
        <v>0.46014038524295764</v>
      </c>
      <c r="AR193" s="11">
        <f t="shared" si="226"/>
        <v>1.2781677367859934</v>
      </c>
      <c r="AS193" s="11">
        <f t="shared" si="227"/>
        <v>0.24542759678419809</v>
      </c>
      <c r="AT193" s="11">
        <v>0.45690600461126074</v>
      </c>
      <c r="AU193" s="11">
        <f t="shared" si="228"/>
        <v>1.2691833461423909</v>
      </c>
      <c r="AV193" s="11">
        <f t="shared" si="229"/>
        <v>0.23837365910157082</v>
      </c>
      <c r="AW193" s="11">
        <v>0.43780866215658465</v>
      </c>
      <c r="AX193" s="11">
        <f t="shared" si="230"/>
        <v>1.2161351726571796</v>
      </c>
      <c r="AY193" s="11">
        <f t="shared" si="231"/>
        <v>0.19567793909062289</v>
      </c>
      <c r="AZ193" s="11">
        <v>0.29662589460968308</v>
      </c>
      <c r="BA193" s="11">
        <f t="shared" si="232"/>
        <v>0.82396081836023083</v>
      </c>
      <c r="BB193" s="11">
        <f t="shared" si="233"/>
        <v>-0.19363230073692828</v>
      </c>
      <c r="BC193" s="11">
        <v>0.22058988057289108</v>
      </c>
      <c r="BD193" s="11">
        <f t="shared" si="234"/>
        <v>0.61274966825803079</v>
      </c>
      <c r="BE193" s="11">
        <f t="shared" si="235"/>
        <v>-0.48979879797262421</v>
      </c>
      <c r="BF193" s="11">
        <v>0.38477334716431372</v>
      </c>
      <c r="BG193" s="11">
        <f t="shared" si="199"/>
        <v>1.0688148532342048</v>
      </c>
      <c r="BH193" s="11">
        <f t="shared" si="200"/>
        <v>6.6550420816521544E-2</v>
      </c>
      <c r="BI193" s="11">
        <v>0.47439058791727873</v>
      </c>
      <c r="BJ193" s="11">
        <f t="shared" si="236"/>
        <v>1.3177516331035521</v>
      </c>
      <c r="BK193" s="11">
        <f t="shared" si="237"/>
        <v>0.27592697606453581</v>
      </c>
      <c r="BL193" s="11">
        <v>0.32220637544976205</v>
      </c>
      <c r="BM193" s="11">
        <f t="shared" si="201"/>
        <v>0.89501770958267235</v>
      </c>
      <c r="BN193" s="11">
        <f t="shared" si="202"/>
        <v>-0.11091177365983727</v>
      </c>
      <c r="BS193" t="b">
        <f t="shared" si="169"/>
        <v>1</v>
      </c>
      <c r="BU193" t="b">
        <f t="shared" si="170"/>
        <v>0</v>
      </c>
      <c r="BW193" t="b">
        <f t="shared" si="171"/>
        <v>0</v>
      </c>
    </row>
    <row r="194" spans="1:75" ht="13.8" customHeight="1">
      <c r="A194" s="85" t="s">
        <v>77</v>
      </c>
      <c r="B194" s="21">
        <f>'[41]Dados de entrada'!$B$28</f>
        <v>10</v>
      </c>
      <c r="C194" s="21">
        <f>'[41]Dados de entrada'!$B$31</f>
        <v>1</v>
      </c>
      <c r="D194" s="21">
        <f>'[41]Dados de entrada'!$B$32</f>
        <v>45</v>
      </c>
      <c r="E194" s="20">
        <f>'[41]Dados de entrada'!$B$27</f>
        <v>2.8</v>
      </c>
      <c r="F194" s="21">
        <f>'[41]Dados de entrada'!$B$30</f>
        <v>40</v>
      </c>
      <c r="G194" s="56">
        <f>'[41]Dados de entrada'!$B$22</f>
        <v>45</v>
      </c>
      <c r="H194" s="57">
        <f>'[41]Dados de entrada'!$B$29/(2*'[41]Dados de entrada'!$B$20*G194)</f>
        <v>8.7222222222222215E-3</v>
      </c>
      <c r="I194" s="27" cm="1">
        <f t="array" ref="I194:I201">'[41]fib Model Code 2010'!$K$5:$K$12</f>
        <v>308.9780516280656</v>
      </c>
      <c r="J194" s="19" cm="1">
        <f t="array" ref="J194:J201">'[41]Dados de entrada'!$C$7:$C$14</f>
        <v>0.16</v>
      </c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0" cm="1">
        <f t="array" ref="AD194:AD201">'[41]fib Model Code 2010'!$L$5:$L$12</f>
        <v>0.16357637026732849</v>
      </c>
      <c r="AE194" s="20">
        <f t="shared" si="219"/>
        <v>1.0223523141708031</v>
      </c>
      <c r="AF194" s="54">
        <f t="shared" si="220"/>
        <v>2.2106162484158996E-2</v>
      </c>
      <c r="AG194" s="20" cm="1">
        <f t="array" ref="AG194:AG201">'[41]fib Model Code 2020'!$L$5:$L$12</f>
        <v>0.18780889152825411</v>
      </c>
      <c r="AH194" s="20">
        <f t="shared" si="221"/>
        <v>1.1738055720515881</v>
      </c>
      <c r="AI194" s="28">
        <f t="shared" si="222"/>
        <v>0.16025109615041433</v>
      </c>
      <c r="AJ194" s="20" cm="1">
        <f t="array" ref="AJ194:AJ201">'[41]Eurocode 2'!$L$5:$L$12</f>
        <v>0.28931348468576495</v>
      </c>
      <c r="AK194" s="20">
        <f t="shared" si="223"/>
        <v>1.8082092792860309</v>
      </c>
      <c r="AL194" s="20">
        <f t="shared" si="224"/>
        <v>0.59233700708875503</v>
      </c>
      <c r="AM194" s="20" cm="1">
        <f t="array" ref="AM194:AM201">'[41]NBR 6118'!$Q$5:$Q$12</f>
        <v>0.26030723803764622</v>
      </c>
      <c r="AN194" s="20" cm="1">
        <f t="array" ref="AN194:AN201">'[41]NBR 6118'!$R$5:$R$12</f>
        <v>0.17003396609485399</v>
      </c>
      <c r="AO194" s="20" cm="1">
        <f t="array" ref="AO194:AO201">'[41]NBR 6118'!$W$5:$W$12</f>
        <v>1.0627122880928375</v>
      </c>
      <c r="AP194" s="20">
        <f t="shared" si="225"/>
        <v>6.0824402416926333E-2</v>
      </c>
      <c r="AQ194" s="20" cm="1">
        <f t="array" ref="AQ194:AQ201">'[41]Clark (1956)'!$L$5:$L$12</f>
        <v>0.28840918976773444</v>
      </c>
      <c r="AR194" s="20">
        <f t="shared" si="226"/>
        <v>1.8025574360483403</v>
      </c>
      <c r="AS194" s="20">
        <f t="shared" si="227"/>
        <v>0.58920645432857299</v>
      </c>
      <c r="AT194" s="20" cm="1">
        <f t="array" ref="AT194:AT201">'[41]Leonhardt (1977)'!$L$5:$L$12</f>
        <v>0.25457315086049842</v>
      </c>
      <c r="AU194" s="20">
        <f t="shared" si="228"/>
        <v>1.5910821928781151</v>
      </c>
      <c r="AV194" s="20">
        <f t="shared" si="229"/>
        <v>0.46441440916400889</v>
      </c>
      <c r="AW194" s="20" cm="1">
        <f t="array" ref="AW194:AW201">'[41]Desayi; Ganesan (1985)'!$L$5:$L$12</f>
        <v>0.33744720804095568</v>
      </c>
      <c r="AX194" s="20">
        <f t="shared" si="230"/>
        <v>2.1090450502559728</v>
      </c>
      <c r="AY194" s="20">
        <f t="shared" si="231"/>
        <v>0.74623526222438596</v>
      </c>
      <c r="AZ194" s="20" cm="1">
        <f t="array" ref="AZ194:AZ201">'[41]Oh; Kang (1987)'!$L$5:$L$12</f>
        <v>0.22007337269831376</v>
      </c>
      <c r="BA194" s="20">
        <f t="shared" si="232"/>
        <v>1.3754585793644609</v>
      </c>
      <c r="BB194" s="20">
        <f t="shared" si="233"/>
        <v>0.31878718778074411</v>
      </c>
      <c r="BC194" s="20" cm="1">
        <f t="array" ref="BC194:BC201">'[41]Caldas (1997)'!$L$5:$L$12</f>
        <v>0.16550068128500958</v>
      </c>
      <c r="BD194" s="20">
        <f t="shared" si="234"/>
        <v>1.0343792580313098</v>
      </c>
      <c r="BE194" s="20">
        <f t="shared" si="235"/>
        <v>3.3801496100555384E-2</v>
      </c>
      <c r="BF194" s="20" cm="1">
        <f t="array" ref="BF194:BF201">'[41]Gergely e Lutz (1968)'!$L$5:$L$12</f>
        <v>0.29656949017315881</v>
      </c>
      <c r="BG194" s="20">
        <f t="shared" si="199"/>
        <v>1.8535593135822426</v>
      </c>
      <c r="BH194" s="20">
        <f t="shared" si="200"/>
        <v>0.61710774395028478</v>
      </c>
      <c r="BI194" s="20" cm="1">
        <f t="array" ref="BI194:BI201">[41]Sugestão!$M$5:$M$12</f>
        <v>0.27265776212243337</v>
      </c>
      <c r="BJ194" s="20">
        <f t="shared" si="236"/>
        <v>1.7041110132652084</v>
      </c>
      <c r="BK194" s="20">
        <f t="shared" si="237"/>
        <v>0.53304357491486132</v>
      </c>
      <c r="BL194" s="20" cm="1">
        <f t="array" ref="BL194:BL201">'[41]fib Model Code 2020 modificado'!$L$5:$L$12</f>
        <v>0.21668063080776687</v>
      </c>
      <c r="BM194" s="20">
        <f t="shared" si="201"/>
        <v>1.3542539425485429</v>
      </c>
      <c r="BN194" s="20">
        <f t="shared" si="202"/>
        <v>0.30325070679294269</v>
      </c>
      <c r="BS194" t="b">
        <f t="shared" si="169"/>
        <v>1</v>
      </c>
      <c r="BU194" t="b">
        <f t="shared" si="170"/>
        <v>0</v>
      </c>
      <c r="BW194" t="b">
        <f t="shared" si="171"/>
        <v>0</v>
      </c>
    </row>
    <row r="195" spans="1:75">
      <c r="A195" s="90"/>
      <c r="B195" s="21">
        <f>'[41]Dados de entrada'!$B$28</f>
        <v>10</v>
      </c>
      <c r="C195" s="21">
        <f>'[41]Dados de entrada'!$B$31</f>
        <v>1</v>
      </c>
      <c r="D195" s="21">
        <f>'[41]Dados de entrada'!$B$32</f>
        <v>45</v>
      </c>
      <c r="E195" s="20">
        <f>'[41]Dados de entrada'!$B$27</f>
        <v>2.8</v>
      </c>
      <c r="F195" s="21">
        <f>'[41]Dados de entrada'!$B$30</f>
        <v>40</v>
      </c>
      <c r="G195" s="56">
        <f>'[41]Dados de entrada'!$B$22</f>
        <v>45</v>
      </c>
      <c r="H195" s="57">
        <f>'[41]Dados de entrada'!$B$29/(2*'[41]Dados de entrada'!$B$20*G195)</f>
        <v>8.7222222222222215E-3</v>
      </c>
      <c r="I195" s="27">
        <v>322.29607109479258</v>
      </c>
      <c r="J195" s="19">
        <v>0.18</v>
      </c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0">
        <v>0.1890812932322124</v>
      </c>
      <c r="AE195" s="20">
        <f t="shared" si="219"/>
        <v>1.0504516290678467</v>
      </c>
      <c r="AF195" s="54">
        <f t="shared" si="220"/>
        <v>4.9220194614843393E-2</v>
      </c>
      <c r="AG195" s="20">
        <v>0.19590410236998923</v>
      </c>
      <c r="AH195" s="20">
        <f t="shared" si="221"/>
        <v>1.088356124277718</v>
      </c>
      <c r="AI195" s="28">
        <f t="shared" si="222"/>
        <v>8.4668414984407608E-2</v>
      </c>
      <c r="AJ195" s="20">
        <v>0.30178389350842721</v>
      </c>
      <c r="AK195" s="20">
        <f t="shared" si="223"/>
        <v>1.6765771861579291</v>
      </c>
      <c r="AL195" s="20">
        <f t="shared" si="224"/>
        <v>0.51675432592274806</v>
      </c>
      <c r="AM195" s="20">
        <v>0.27152737760823437</v>
      </c>
      <c r="AN195" s="20">
        <v>0.18500797395918225</v>
      </c>
      <c r="AO195" s="20">
        <v>1.0278220775510125</v>
      </c>
      <c r="AP195" s="20">
        <f t="shared" si="225"/>
        <v>2.7442075741295383E-2</v>
      </c>
      <c r="AQ195" s="20">
        <v>0.31329776882211469</v>
      </c>
      <c r="AR195" s="20">
        <f t="shared" si="226"/>
        <v>1.7405431601228594</v>
      </c>
      <c r="AS195" s="20">
        <f t="shared" si="227"/>
        <v>0.55419722550448192</v>
      </c>
      <c r="AT195" s="20">
        <v>0.28584412159935541</v>
      </c>
      <c r="AU195" s="20">
        <f t="shared" si="228"/>
        <v>1.5880228977741968</v>
      </c>
      <c r="AV195" s="20">
        <f t="shared" si="229"/>
        <v>0.46248978197426011</v>
      </c>
      <c r="AW195" s="20">
        <v>0.35199234631858312</v>
      </c>
      <c r="AX195" s="20">
        <f t="shared" si="230"/>
        <v>1.9555130351032397</v>
      </c>
      <c r="AY195" s="20">
        <f t="shared" si="231"/>
        <v>0.67065258105837922</v>
      </c>
      <c r="AZ195" s="20">
        <v>0.23116794109126582</v>
      </c>
      <c r="BA195" s="20">
        <f t="shared" si="232"/>
        <v>1.2842663393959213</v>
      </c>
      <c r="BB195" s="20">
        <f t="shared" si="233"/>
        <v>0.25018761319333427</v>
      </c>
      <c r="BC195" s="20">
        <v>0.1734846232107895</v>
      </c>
      <c r="BD195" s="20">
        <f t="shared" si="234"/>
        <v>0.96380346228216396</v>
      </c>
      <c r="BE195" s="20">
        <f t="shared" si="235"/>
        <v>-3.6867882458053308E-2</v>
      </c>
      <c r="BF195" s="20">
        <v>0.30935265785303639</v>
      </c>
      <c r="BG195" s="20">
        <f t="shared" si="199"/>
        <v>1.7186258769613134</v>
      </c>
      <c r="BH195" s="20">
        <f t="shared" si="200"/>
        <v>0.54152506278427792</v>
      </c>
      <c r="BI195" s="20">
        <v>0.29666931444965422</v>
      </c>
      <c r="BJ195" s="20">
        <f t="shared" si="236"/>
        <v>1.6481628580536347</v>
      </c>
      <c r="BK195" s="20">
        <f t="shared" si="237"/>
        <v>0.49966124823923097</v>
      </c>
      <c r="BL195" s="20">
        <v>0.22643211740028696</v>
      </c>
      <c r="BM195" s="20">
        <f t="shared" si="201"/>
        <v>1.257956207779372</v>
      </c>
      <c r="BN195" s="20">
        <f t="shared" si="202"/>
        <v>0.22948834668614157</v>
      </c>
      <c r="BS195" t="b">
        <f t="shared" si="169"/>
        <v>1</v>
      </c>
      <c r="BU195" t="b">
        <f t="shared" si="170"/>
        <v>0</v>
      </c>
      <c r="BW195" t="b">
        <f t="shared" si="171"/>
        <v>0</v>
      </c>
    </row>
    <row r="196" spans="1:75">
      <c r="A196" s="90"/>
      <c r="B196" s="21">
        <f>'[41]Dados de entrada'!$B$28</f>
        <v>10</v>
      </c>
      <c r="C196" s="21">
        <f>'[41]Dados de entrada'!$B$31</f>
        <v>1</v>
      </c>
      <c r="D196" s="21">
        <f>'[41]Dados de entrada'!$B$32</f>
        <v>45</v>
      </c>
      <c r="E196" s="20">
        <f>'[41]Dados de entrada'!$B$27</f>
        <v>2.8</v>
      </c>
      <c r="F196" s="21">
        <f>'[41]Dados de entrada'!$B$30</f>
        <v>40</v>
      </c>
      <c r="G196" s="56">
        <f>'[41]Dados de entrada'!$B$22</f>
        <v>45</v>
      </c>
      <c r="H196" s="57">
        <f>'[41]Dados de entrada'!$B$29/(2*'[41]Dados de entrada'!$B$20*G196)</f>
        <v>8.7222222222222215E-3</v>
      </c>
      <c r="I196" s="27">
        <v>334.72622259707111</v>
      </c>
      <c r="J196" s="19">
        <v>0.2</v>
      </c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0">
        <v>0.21288588799943745</v>
      </c>
      <c r="AE196" s="20">
        <f t="shared" si="219"/>
        <v>1.0644294399971872</v>
      </c>
      <c r="AF196" s="54">
        <f t="shared" si="220"/>
        <v>6.2438918511154316E-2</v>
      </c>
      <c r="AG196" s="20">
        <v>0.203459632488942</v>
      </c>
      <c r="AH196" s="20">
        <f t="shared" si="221"/>
        <v>1.0172981624447099</v>
      </c>
      <c r="AI196" s="28">
        <f t="shared" si="222"/>
        <v>1.7150252509741275E-2</v>
      </c>
      <c r="AJ196" s="20">
        <v>0.31342294174291202</v>
      </c>
      <c r="AK196" s="20">
        <f t="shared" si="223"/>
        <v>1.56711470871456</v>
      </c>
      <c r="AL196" s="20">
        <f t="shared" si="224"/>
        <v>0.44923616344808165</v>
      </c>
      <c r="AM196" s="20">
        <v>0.28199950787411665</v>
      </c>
      <c r="AN196" s="20">
        <v>0.19955375187521049</v>
      </c>
      <c r="AO196" s="20">
        <v>0.99776875937605236</v>
      </c>
      <c r="AP196" s="20">
        <f t="shared" si="225"/>
        <v>-2.2337335502111652E-3</v>
      </c>
      <c r="AQ196" s="20">
        <v>0.33652710927286961</v>
      </c>
      <c r="AR196" s="20">
        <f t="shared" si="226"/>
        <v>1.6826355463643479</v>
      </c>
      <c r="AS196" s="20">
        <f t="shared" si="227"/>
        <v>0.52036134176685922</v>
      </c>
      <c r="AT196" s="20">
        <v>0.31431708743144865</v>
      </c>
      <c r="AU196" s="20">
        <f t="shared" si="228"/>
        <v>1.5715854371572431</v>
      </c>
      <c r="AV196" s="20">
        <f t="shared" si="229"/>
        <v>0.45208494240652702</v>
      </c>
      <c r="AW196" s="20">
        <v>0.36556780871103534</v>
      </c>
      <c r="AX196" s="20">
        <f t="shared" si="230"/>
        <v>1.8278390435551766</v>
      </c>
      <c r="AY196" s="20">
        <f t="shared" si="231"/>
        <v>0.60313441858371275</v>
      </c>
      <c r="AZ196" s="20">
        <v>0.24152287159135447</v>
      </c>
      <c r="BA196" s="20">
        <f t="shared" si="232"/>
        <v>1.2076143579567722</v>
      </c>
      <c r="BB196" s="20">
        <f t="shared" si="233"/>
        <v>0.18864680844264442</v>
      </c>
      <c r="BC196" s="20">
        <v>0.18093630234151747</v>
      </c>
      <c r="BD196" s="20">
        <f t="shared" si="234"/>
        <v>0.90468151170758737</v>
      </c>
      <c r="BE196" s="20">
        <f t="shared" si="235"/>
        <v>-0.1001723179859523</v>
      </c>
      <c r="BF196" s="20">
        <v>0.32128361435425545</v>
      </c>
      <c r="BG196" s="20">
        <f t="shared" si="199"/>
        <v>1.6064180717712773</v>
      </c>
      <c r="BH196" s="20">
        <f t="shared" si="200"/>
        <v>0.47400690030961168</v>
      </c>
      <c r="BI196" s="20">
        <v>0.31999417915757805</v>
      </c>
      <c r="BJ196" s="20">
        <f t="shared" si="236"/>
        <v>1.5999708957878902</v>
      </c>
      <c r="BK196" s="20">
        <f t="shared" si="237"/>
        <v>0.46998543894772449</v>
      </c>
      <c r="BL196" s="20">
        <v>0.2355642105831362</v>
      </c>
      <c r="BM196" s="20">
        <f t="shared" si="201"/>
        <v>1.177821052915681</v>
      </c>
      <c r="BN196" s="20">
        <f t="shared" si="202"/>
        <v>0.16366616614840895</v>
      </c>
      <c r="BS196" t="b">
        <f t="shared" ref="BS196:BS272" si="238">IF(AND(B196&lt;=12.7,F196&lt;=45),TRUE,FALSE)</f>
        <v>1</v>
      </c>
      <c r="BU196" t="b">
        <f t="shared" ref="BU196:BU272" si="239">IF(AND(B196&gt;12.7,F196&lt;=45),TRUE,FALSE)</f>
        <v>0</v>
      </c>
      <c r="BW196" t="b">
        <f t="shared" ref="BW196:BW272" si="240">IF(AND(F196&lt;=45,C196&gt;1),TRUE,FALSE)</f>
        <v>0</v>
      </c>
    </row>
    <row r="197" spans="1:75">
      <c r="A197" s="90"/>
      <c r="B197" s="21">
        <f>'[41]Dados de entrada'!$B$28</f>
        <v>10</v>
      </c>
      <c r="C197" s="21">
        <f>'[41]Dados de entrada'!$B$31</f>
        <v>1</v>
      </c>
      <c r="D197" s="21">
        <f>'[41]Dados de entrada'!$B$32</f>
        <v>45</v>
      </c>
      <c r="E197" s="20">
        <f>'[41]Dados de entrada'!$B$27</f>
        <v>2.8</v>
      </c>
      <c r="F197" s="21">
        <f>'[41]Dados de entrada'!$B$30</f>
        <v>40</v>
      </c>
      <c r="G197" s="56">
        <f>'[41]Dados de entrada'!$B$22</f>
        <v>45</v>
      </c>
      <c r="H197" s="57">
        <f>'[41]Dados de entrada'!$B$29/(2*'[41]Dados de entrada'!$B$20*G197)</f>
        <v>8.7222222222222215E-3</v>
      </c>
      <c r="I197" s="27">
        <v>347.60030808157381</v>
      </c>
      <c r="J197" s="19">
        <v>0.23</v>
      </c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0">
        <v>0.23754064686549181</v>
      </c>
      <c r="AE197" s="20">
        <f t="shared" si="219"/>
        <v>1.0327854211543122</v>
      </c>
      <c r="AF197" s="54">
        <f t="shared" si="220"/>
        <v>3.225944460472522E-2</v>
      </c>
      <c r="AG197" s="20">
        <v>0.2112850029692859</v>
      </c>
      <c r="AH197" s="20">
        <f t="shared" si="221"/>
        <v>0.91863044769254731</v>
      </c>
      <c r="AI197" s="28">
        <f t="shared" si="222"/>
        <v>-8.4871361882570537E-2</v>
      </c>
      <c r="AJ197" s="20">
        <v>0.32547767027148555</v>
      </c>
      <c r="AK197" s="20">
        <f t="shared" si="223"/>
        <v>1.415120305528198</v>
      </c>
      <c r="AL197" s="20">
        <f t="shared" si="224"/>
        <v>0.34721454905576993</v>
      </c>
      <c r="AM197" s="20">
        <v>0.29284564279235192</v>
      </c>
      <c r="AN197" s="20">
        <v>0.2151992383387995</v>
      </c>
      <c r="AO197" s="20">
        <v>0.93564886234260647</v>
      </c>
      <c r="AP197" s="20">
        <f t="shared" si="225"/>
        <v>-6.6515019959675667E-2</v>
      </c>
      <c r="AQ197" s="20">
        <v>0.36058606902543705</v>
      </c>
      <c r="AR197" s="20">
        <f t="shared" si="226"/>
        <v>1.5677655175019001</v>
      </c>
      <c r="AS197" s="20">
        <f t="shared" si="227"/>
        <v>0.44965136833613262</v>
      </c>
      <c r="AT197" s="20">
        <v>0.34316160218805503</v>
      </c>
      <c r="AU197" s="20">
        <f t="shared" si="228"/>
        <v>1.4920069660350217</v>
      </c>
      <c r="AV197" s="20">
        <f t="shared" si="229"/>
        <v>0.40012217069494699</v>
      </c>
      <c r="AW197" s="20">
        <v>0.37962810904607519</v>
      </c>
      <c r="AX197" s="20">
        <f t="shared" si="230"/>
        <v>1.6505569958525008</v>
      </c>
      <c r="AY197" s="20">
        <f t="shared" si="231"/>
        <v>0.50111280419140114</v>
      </c>
      <c r="AZ197" s="20">
        <v>0.25224762103787479</v>
      </c>
      <c r="BA197" s="20">
        <f t="shared" si="232"/>
        <v>1.0967287871211946</v>
      </c>
      <c r="BB197" s="20">
        <f t="shared" si="233"/>
        <v>9.233191929627807E-2</v>
      </c>
      <c r="BC197" s="20">
        <v>0.18865411286977138</v>
      </c>
      <c r="BD197" s="20">
        <f t="shared" si="234"/>
        <v>0.82023527334683199</v>
      </c>
      <c r="BE197" s="20">
        <f t="shared" si="235"/>
        <v>-0.1981640611614926</v>
      </c>
      <c r="BF197" s="20">
        <v>0.33364067644480372</v>
      </c>
      <c r="BG197" s="20">
        <f t="shared" si="199"/>
        <v>1.4506116367165378</v>
      </c>
      <c r="BH197" s="20">
        <f t="shared" si="200"/>
        <v>0.37198528591729985</v>
      </c>
      <c r="BI197" s="20">
        <v>0.34508248018620474</v>
      </c>
      <c r="BJ197" s="20">
        <f t="shared" si="236"/>
        <v>1.5003586095052379</v>
      </c>
      <c r="BK197" s="20">
        <f t="shared" si="237"/>
        <v>0.40570415253825981</v>
      </c>
      <c r="BL197" s="20">
        <v>0.24505370396359324</v>
      </c>
      <c r="BM197" s="20">
        <f t="shared" si="201"/>
        <v>1.0654508867982315</v>
      </c>
      <c r="BN197" s="20">
        <f t="shared" si="202"/>
        <v>6.339807745215538E-2</v>
      </c>
      <c r="BS197" t="b">
        <f t="shared" si="238"/>
        <v>1</v>
      </c>
      <c r="BU197" t="b">
        <f t="shared" si="239"/>
        <v>0</v>
      </c>
      <c r="BW197" t="b">
        <f t="shared" si="240"/>
        <v>0</v>
      </c>
    </row>
    <row r="198" spans="1:75">
      <c r="A198" s="90"/>
      <c r="B198" s="21">
        <f>'[41]Dados de entrada'!$B$28</f>
        <v>10</v>
      </c>
      <c r="C198" s="21">
        <f>'[41]Dados de entrada'!$B$31</f>
        <v>1</v>
      </c>
      <c r="D198" s="21">
        <f>'[41]Dados de entrada'!$B$32</f>
        <v>45</v>
      </c>
      <c r="E198" s="20">
        <f>'[41]Dados de entrada'!$B$27</f>
        <v>2.8</v>
      </c>
      <c r="F198" s="21">
        <f>'[41]Dados de entrada'!$B$30</f>
        <v>40</v>
      </c>
      <c r="G198" s="56">
        <f>'[41]Dados de entrada'!$B$22</f>
        <v>45</v>
      </c>
      <c r="H198" s="57">
        <f>'[41]Dados de entrada'!$B$29/(2*'[41]Dados de entrada'!$B$20*G198)</f>
        <v>8.7222222222222215E-3</v>
      </c>
      <c r="I198" s="27">
        <v>361.36226153052507</v>
      </c>
      <c r="J198" s="19">
        <v>0.24</v>
      </c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0">
        <v>0.26389573392920529</v>
      </c>
      <c r="AE198" s="20">
        <f t="shared" si="219"/>
        <v>1.0995655580383554</v>
      </c>
      <c r="AF198" s="54">
        <f t="shared" si="220"/>
        <v>9.4915154554264664E-2</v>
      </c>
      <c r="AG198" s="20">
        <v>0.22117410307170166</v>
      </c>
      <c r="AH198" s="20">
        <f t="shared" si="221"/>
        <v>0.92155876279875693</v>
      </c>
      <c r="AI198" s="28">
        <f t="shared" si="222"/>
        <v>-8.1688735268651058E-2</v>
      </c>
      <c r="AJ198" s="20">
        <v>0.33836375938823665</v>
      </c>
      <c r="AK198" s="20">
        <f t="shared" si="223"/>
        <v>1.409848997450986</v>
      </c>
      <c r="AL198" s="20">
        <f t="shared" si="224"/>
        <v>0.34348260464871144</v>
      </c>
      <c r="AM198" s="20">
        <v>0.30443978701529306</v>
      </c>
      <c r="AN198" s="20">
        <v>0.23257659903592331</v>
      </c>
      <c r="AO198" s="20">
        <v>0.96906916264968046</v>
      </c>
      <c r="AP198" s="20">
        <f t="shared" si="225"/>
        <v>-3.1419294354997199E-2</v>
      </c>
      <c r="AQ198" s="20">
        <v>0.38630426738163004</v>
      </c>
      <c r="AR198" s="20">
        <f t="shared" si="226"/>
        <v>1.6096011140901252</v>
      </c>
      <c r="AS198" s="20">
        <f t="shared" si="227"/>
        <v>0.4759863930764513</v>
      </c>
      <c r="AT198" s="20">
        <v>0.37334774032491186</v>
      </c>
      <c r="AU198" s="20">
        <f t="shared" si="228"/>
        <v>1.5556155846871329</v>
      </c>
      <c r="AV198" s="20">
        <f t="shared" si="229"/>
        <v>0.44187134169047232</v>
      </c>
      <c r="AW198" s="20">
        <v>0.3946580852662902</v>
      </c>
      <c r="AX198" s="20">
        <f t="shared" si="230"/>
        <v>1.6444086886095426</v>
      </c>
      <c r="AY198" s="20">
        <f t="shared" si="231"/>
        <v>0.49738085978434254</v>
      </c>
      <c r="AZ198" s="20">
        <v>0.26371200837725867</v>
      </c>
      <c r="BA198" s="20">
        <f t="shared" si="232"/>
        <v>1.0988000349052445</v>
      </c>
      <c r="BB198" s="20">
        <f t="shared" si="233"/>
        <v>9.421870700567625E-2</v>
      </c>
      <c r="BC198" s="20">
        <v>0.1969041861930774</v>
      </c>
      <c r="BD198" s="20">
        <f t="shared" si="234"/>
        <v>0.82043410913782255</v>
      </c>
      <c r="BE198" s="20">
        <f t="shared" si="235"/>
        <v>-0.1979216774197263</v>
      </c>
      <c r="BF198" s="20">
        <v>0.34684994971401056</v>
      </c>
      <c r="BG198" s="20">
        <f t="shared" si="199"/>
        <v>1.4452081238083774</v>
      </c>
      <c r="BH198" s="20">
        <f t="shared" si="200"/>
        <v>0.36825334151024136</v>
      </c>
      <c r="BI198" s="20">
        <v>0.37376286684905669</v>
      </c>
      <c r="BJ198" s="20">
        <f t="shared" si="236"/>
        <v>1.5573452785377362</v>
      </c>
      <c r="BK198" s="20">
        <f t="shared" si="237"/>
        <v>0.44298262712232278</v>
      </c>
      <c r="BL198" s="20">
        <v>0.25675686191704422</v>
      </c>
      <c r="BM198" s="20">
        <f t="shared" si="201"/>
        <v>1.0698202579876843</v>
      </c>
      <c r="BN198" s="20">
        <f t="shared" si="202"/>
        <v>6.7490651173978553E-2</v>
      </c>
      <c r="BS198" t="b">
        <f t="shared" si="238"/>
        <v>1</v>
      </c>
      <c r="BU198" t="b">
        <f t="shared" si="239"/>
        <v>0</v>
      </c>
      <c r="BW198" t="b">
        <f t="shared" si="240"/>
        <v>0</v>
      </c>
    </row>
    <row r="199" spans="1:75">
      <c r="A199" s="90"/>
      <c r="B199" s="21">
        <f>'[41]Dados de entrada'!$B$28</f>
        <v>10</v>
      </c>
      <c r="C199" s="21">
        <f>'[41]Dados de entrada'!$B$31</f>
        <v>1</v>
      </c>
      <c r="D199" s="21">
        <f>'[41]Dados de entrada'!$B$32</f>
        <v>45</v>
      </c>
      <c r="E199" s="20">
        <f>'[41]Dados de entrada'!$B$27</f>
        <v>2.8</v>
      </c>
      <c r="F199" s="21">
        <f>'[41]Dados de entrada'!$B$30</f>
        <v>40</v>
      </c>
      <c r="G199" s="56">
        <f>'[41]Dados de entrada'!$B$22</f>
        <v>45</v>
      </c>
      <c r="H199" s="57">
        <f>'[41]Dados de entrada'!$B$29/(2*'[41]Dados de entrada'!$B$20*G199)</f>
        <v>8.7222222222222215E-3</v>
      </c>
      <c r="I199" s="27">
        <v>375.5681489617005</v>
      </c>
      <c r="J199" s="19">
        <v>0.25</v>
      </c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0">
        <v>0.29110098509174809</v>
      </c>
      <c r="AE199" s="20">
        <f t="shared" si="219"/>
        <v>1.1644039403669924</v>
      </c>
      <c r="AF199" s="54">
        <f t="shared" si="220"/>
        <v>0.15220931691571826</v>
      </c>
      <c r="AG199" s="20">
        <v>0.24276133198299524</v>
      </c>
      <c r="AH199" s="20">
        <f t="shared" si="221"/>
        <v>0.97104532793198095</v>
      </c>
      <c r="AI199" s="28">
        <f t="shared" si="222"/>
        <v>-2.9382130079049645E-2</v>
      </c>
      <c r="AJ199" s="20">
        <v>0.35166552879907637</v>
      </c>
      <c r="AK199" s="20">
        <f t="shared" si="223"/>
        <v>1.4066621151963055</v>
      </c>
      <c r="AL199" s="20">
        <f t="shared" si="224"/>
        <v>0.34121960373213917</v>
      </c>
      <c r="AM199" s="20">
        <v>0.31640793589058713</v>
      </c>
      <c r="AN199" s="20">
        <v>0.25122215219469318</v>
      </c>
      <c r="AO199" s="20">
        <v>1.0048886087787727</v>
      </c>
      <c r="AP199" s="20">
        <f t="shared" si="225"/>
        <v>4.8766983321138482E-3</v>
      </c>
      <c r="AQ199" s="20">
        <v>0.41285208503963555</v>
      </c>
      <c r="AR199" s="20">
        <f t="shared" si="226"/>
        <v>1.6514083401585422</v>
      </c>
      <c r="AS199" s="20">
        <f t="shared" si="227"/>
        <v>0.50162846334482802</v>
      </c>
      <c r="AT199" s="20">
        <v>0.40388198949836024</v>
      </c>
      <c r="AU199" s="20">
        <f t="shared" si="228"/>
        <v>1.615527957993441</v>
      </c>
      <c r="AV199" s="20">
        <f t="shared" si="229"/>
        <v>0.47966181222579063</v>
      </c>
      <c r="AW199" s="20">
        <v>0.41017289942909274</v>
      </c>
      <c r="AX199" s="20">
        <f t="shared" si="230"/>
        <v>1.640691597716371</v>
      </c>
      <c r="AY199" s="20">
        <f t="shared" si="231"/>
        <v>0.49511785886777032</v>
      </c>
      <c r="AZ199" s="20">
        <v>0.27554621466307422</v>
      </c>
      <c r="BA199" s="20">
        <f t="shared" si="232"/>
        <v>1.1021848586522969</v>
      </c>
      <c r="BB199" s="20">
        <f t="shared" si="233"/>
        <v>9.7294444985864412E-2</v>
      </c>
      <c r="BC199" s="20">
        <v>0.20542039091390926</v>
      </c>
      <c r="BD199" s="20">
        <f t="shared" si="234"/>
        <v>0.82168156365563705</v>
      </c>
      <c r="BE199" s="20">
        <f t="shared" si="235"/>
        <v>-0.19640235112810628</v>
      </c>
      <c r="BF199" s="20">
        <v>0.36048532857254661</v>
      </c>
      <c r="BG199" s="20">
        <f t="shared" si="199"/>
        <v>1.4419413142901865</v>
      </c>
      <c r="BH199" s="20">
        <f t="shared" si="200"/>
        <v>0.36599034059366925</v>
      </c>
      <c r="BI199" s="20">
        <v>0.40994362049156363</v>
      </c>
      <c r="BJ199" s="20">
        <f t="shared" si="236"/>
        <v>1.6397744819662545</v>
      </c>
      <c r="BK199" s="20">
        <f t="shared" si="237"/>
        <v>0.49455872138441692</v>
      </c>
      <c r="BL199" s="20">
        <v>0.28025478409090904</v>
      </c>
      <c r="BM199" s="20">
        <f t="shared" si="201"/>
        <v>1.1210191363636361</v>
      </c>
      <c r="BN199" s="20">
        <f t="shared" si="202"/>
        <v>0.11423821474149611</v>
      </c>
      <c r="BS199" t="b">
        <f t="shared" si="238"/>
        <v>1</v>
      </c>
      <c r="BU199" t="b">
        <f t="shared" si="239"/>
        <v>0</v>
      </c>
      <c r="BW199" t="b">
        <f t="shared" si="240"/>
        <v>0</v>
      </c>
    </row>
    <row r="200" spans="1:75">
      <c r="A200" s="90"/>
      <c r="B200" s="21">
        <f>'[41]Dados de entrada'!$B$28</f>
        <v>10</v>
      </c>
      <c r="C200" s="21">
        <f>'[41]Dados de entrada'!$B$31</f>
        <v>1</v>
      </c>
      <c r="D200" s="21">
        <f>'[41]Dados de entrada'!$B$32</f>
        <v>45</v>
      </c>
      <c r="E200" s="20">
        <f>'[41]Dados de entrada'!$B$27</f>
        <v>2.8</v>
      </c>
      <c r="F200" s="21">
        <f>'[41]Dados de entrada'!$B$30</f>
        <v>40</v>
      </c>
      <c r="G200" s="56">
        <f>'[41]Dados de entrada'!$B$22</f>
        <v>45</v>
      </c>
      <c r="H200" s="57">
        <f>'[41]Dados de entrada'!$B$29/(2*'[41]Dados de entrada'!$B$20*G200)</f>
        <v>8.7222222222222215E-3</v>
      </c>
      <c r="I200" s="27">
        <v>388.44223444620314</v>
      </c>
      <c r="J200" s="19">
        <v>0.27</v>
      </c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0">
        <v>0.31575574395780237</v>
      </c>
      <c r="AE200" s="20">
        <f t="shared" si="219"/>
        <v>1.169465718362231</v>
      </c>
      <c r="AF200" s="54">
        <f t="shared" si="220"/>
        <v>0.15654699354040461</v>
      </c>
      <c r="AG200" s="20">
        <v>0.26232475818385492</v>
      </c>
      <c r="AH200" s="20">
        <f t="shared" si="221"/>
        <v>0.97157317845872182</v>
      </c>
      <c r="AI200" s="28">
        <f t="shared" si="222"/>
        <v>-2.8838687773733183E-2</v>
      </c>
      <c r="AJ200" s="20">
        <v>0.36372025732764984</v>
      </c>
      <c r="AK200" s="20">
        <f t="shared" si="223"/>
        <v>1.3471120641764809</v>
      </c>
      <c r="AL200" s="20">
        <f t="shared" si="224"/>
        <v>0.29796308934740179</v>
      </c>
      <c r="AM200" s="20">
        <v>0.32725407080882235</v>
      </c>
      <c r="AN200" s="20">
        <v>0.26874061816986333</v>
      </c>
      <c r="AO200" s="20">
        <v>0.99533562285134558</v>
      </c>
      <c r="AP200" s="20">
        <f t="shared" si="225"/>
        <v>-4.6752893012325996E-3</v>
      </c>
      <c r="AQ200" s="20">
        <v>0.43691104479220294</v>
      </c>
      <c r="AR200" s="20">
        <f t="shared" si="226"/>
        <v>1.6181890547859368</v>
      </c>
      <c r="AS200" s="20">
        <f t="shared" si="227"/>
        <v>0.48130765654839425</v>
      </c>
      <c r="AT200" s="20">
        <v>0.43106239180144945</v>
      </c>
      <c r="AU200" s="20">
        <f t="shared" si="228"/>
        <v>1.5965273770424053</v>
      </c>
      <c r="AV200" s="20">
        <f t="shared" si="229"/>
        <v>0.46783088118878174</v>
      </c>
      <c r="AW200" s="20">
        <v>0.42423319976413248</v>
      </c>
      <c r="AX200" s="20">
        <f t="shared" si="230"/>
        <v>1.5712340732004906</v>
      </c>
      <c r="AY200" s="20">
        <f t="shared" si="231"/>
        <v>0.45186134448303289</v>
      </c>
      <c r="AZ200" s="20">
        <v>0.28627096410959446</v>
      </c>
      <c r="BA200" s="20">
        <f t="shared" si="232"/>
        <v>1.060262830035535</v>
      </c>
      <c r="BB200" s="20">
        <f t="shared" si="233"/>
        <v>5.8516830252457221E-2</v>
      </c>
      <c r="BC200" s="20">
        <v>0.21313820144216317</v>
      </c>
      <c r="BD200" s="20">
        <f t="shared" si="234"/>
        <v>0.78940074608208577</v>
      </c>
      <c r="BE200" s="20">
        <f t="shared" si="235"/>
        <v>-0.23648117062831658</v>
      </c>
      <c r="BF200" s="20">
        <v>0.37284239066309477</v>
      </c>
      <c r="BG200" s="20">
        <f t="shared" si="199"/>
        <v>1.3808977431966472</v>
      </c>
      <c r="BH200" s="20">
        <f t="shared" si="200"/>
        <v>0.3227338262089316</v>
      </c>
      <c r="BI200" s="20">
        <v>0.44273242848008537</v>
      </c>
      <c r="BJ200" s="20">
        <f t="shared" si="236"/>
        <v>1.6397497351114272</v>
      </c>
      <c r="BK200" s="20">
        <f t="shared" si="237"/>
        <v>0.49454362964964699</v>
      </c>
      <c r="BL200" s="20">
        <v>0.30158322333751553</v>
      </c>
      <c r="BM200" s="20">
        <f t="shared" si="201"/>
        <v>1.1169749012500574</v>
      </c>
      <c r="BN200" s="20">
        <f t="shared" si="202"/>
        <v>0.11062405004952686</v>
      </c>
      <c r="BS200" t="b">
        <f t="shared" si="238"/>
        <v>1</v>
      </c>
      <c r="BU200" t="b">
        <f t="shared" si="239"/>
        <v>0</v>
      </c>
      <c r="BW200" t="b">
        <f t="shared" si="240"/>
        <v>0</v>
      </c>
    </row>
    <row r="201" spans="1:75">
      <c r="A201" s="86"/>
      <c r="B201" s="21">
        <f>'[41]Dados de entrada'!$B$28</f>
        <v>10</v>
      </c>
      <c r="C201" s="21">
        <f>'[41]Dados de entrada'!$B$31</f>
        <v>1</v>
      </c>
      <c r="D201" s="21">
        <f>'[41]Dados de entrada'!$B$32</f>
        <v>45</v>
      </c>
      <c r="E201" s="20">
        <f>'[41]Dados de entrada'!$B$27</f>
        <v>2.8</v>
      </c>
      <c r="F201" s="21">
        <f>'[41]Dados de entrada'!$B$30</f>
        <v>40</v>
      </c>
      <c r="G201" s="56">
        <f>'[41]Dados de entrada'!$B$22</f>
        <v>45</v>
      </c>
      <c r="H201" s="57">
        <f>'[41]Dados de entrada'!$B$29/(2*'[41]Dados de entrada'!$B$20*G201)</f>
        <v>8.7222222222222215E-3</v>
      </c>
      <c r="I201" s="27">
        <v>399.98451798403318</v>
      </c>
      <c r="J201" s="19">
        <v>0.28999999999999998</v>
      </c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0">
        <v>0.33786001052736836</v>
      </c>
      <c r="AE201" s="20">
        <f t="shared" si="219"/>
        <v>1.165034519059891</v>
      </c>
      <c r="AF201" s="54">
        <f t="shared" si="220"/>
        <v>0.15275071667302834</v>
      </c>
      <c r="AG201" s="20">
        <v>0.2798643816742809</v>
      </c>
      <c r="AH201" s="20">
        <f t="shared" si="221"/>
        <v>0.96504959198027906</v>
      </c>
      <c r="AI201" s="28">
        <f t="shared" si="222"/>
        <v>-3.5575788310466573E-2</v>
      </c>
      <c r="AJ201" s="20">
        <v>0.37452794497395714</v>
      </c>
      <c r="AK201" s="20">
        <f t="shared" si="223"/>
        <v>1.2914756723239902</v>
      </c>
      <c r="AL201" s="20">
        <f t="shared" si="224"/>
        <v>0.25578549661598038</v>
      </c>
      <c r="AM201" s="20">
        <v>0.33697819176999888</v>
      </c>
      <c r="AN201" s="20">
        <v>0.28494877070486641</v>
      </c>
      <c r="AO201" s="20">
        <v>0.98258196794781527</v>
      </c>
      <c r="AP201" s="20">
        <f t="shared" si="225"/>
        <v>-1.757151078192986E-2</v>
      </c>
      <c r="AQ201" s="20">
        <v>0.45848114663933243</v>
      </c>
      <c r="AR201" s="20">
        <f t="shared" si="226"/>
        <v>1.5809694711701119</v>
      </c>
      <c r="AS201" s="20">
        <f t="shared" si="227"/>
        <v>0.45803824821807182</v>
      </c>
      <c r="AT201" s="20">
        <v>0.45507225504881621</v>
      </c>
      <c r="AU201" s="20">
        <f t="shared" si="228"/>
        <v>1.569214672582125</v>
      </c>
      <c r="AV201" s="20">
        <f t="shared" si="229"/>
        <v>0.45057528566777005</v>
      </c>
      <c r="AW201" s="20">
        <v>0.43683898627140955</v>
      </c>
      <c r="AX201" s="20">
        <f t="shared" si="230"/>
        <v>1.5063413319703778</v>
      </c>
      <c r="AY201" s="20">
        <f t="shared" si="231"/>
        <v>0.40968375175161148</v>
      </c>
      <c r="AZ201" s="20">
        <v>0.29588625671681962</v>
      </c>
      <c r="BA201" s="20">
        <f t="shared" si="232"/>
        <v>1.0202974369545506</v>
      </c>
      <c r="BB201" s="20">
        <f t="shared" si="233"/>
        <v>2.0094189645149359E-2</v>
      </c>
      <c r="BC201" s="20">
        <v>0.22005761777783911</v>
      </c>
      <c r="BD201" s="20">
        <f t="shared" si="234"/>
        <v>0.75881937164772117</v>
      </c>
      <c r="BE201" s="20">
        <f t="shared" si="235"/>
        <v>-0.27599151192753396</v>
      </c>
      <c r="BF201" s="20">
        <v>0.3839211359856553</v>
      </c>
      <c r="BG201" s="20">
        <f t="shared" si="199"/>
        <v>1.3238659861574322</v>
      </c>
      <c r="BH201" s="20">
        <f t="shared" si="200"/>
        <v>0.28055623347751035</v>
      </c>
      <c r="BI201" s="20">
        <v>0.47212929081462224</v>
      </c>
      <c r="BJ201" s="20">
        <f t="shared" si="236"/>
        <v>1.6280320372918009</v>
      </c>
      <c r="BK201" s="20">
        <f t="shared" si="237"/>
        <v>0.48737194631288866</v>
      </c>
      <c r="BL201" s="20">
        <v>0.32073230996870394</v>
      </c>
      <c r="BM201" s="20">
        <f t="shared" si="201"/>
        <v>1.1059734826507033</v>
      </c>
      <c r="BN201" s="20">
        <f t="shared" si="202"/>
        <v>0.10072592690919323</v>
      </c>
      <c r="BS201" t="b">
        <f t="shared" si="238"/>
        <v>1</v>
      </c>
      <c r="BU201" t="b">
        <f t="shared" si="239"/>
        <v>0</v>
      </c>
      <c r="BW201" t="b">
        <f t="shared" si="240"/>
        <v>0</v>
      </c>
    </row>
    <row r="202" spans="1:75">
      <c r="A202" s="87" t="s">
        <v>78</v>
      </c>
      <c r="B202" s="5">
        <f>'[42]Dados de entrada'!$B$28</f>
        <v>10</v>
      </c>
      <c r="C202" s="5">
        <f>'[42]Dados de entrada'!$B$31</f>
        <v>1</v>
      </c>
      <c r="D202" s="5">
        <f>'[42]Dados de entrada'!$B$32</f>
        <v>45</v>
      </c>
      <c r="E202" s="11">
        <f>'[42]Dados de entrada'!$B$27</f>
        <v>2.8</v>
      </c>
      <c r="F202" s="5">
        <f>'[42]Dados de entrada'!$B$30</f>
        <v>40</v>
      </c>
      <c r="G202" s="12">
        <f>'[42]Dados de entrada'!$B$22</f>
        <v>45</v>
      </c>
      <c r="H202" s="52">
        <f>'[42]Dados de entrada'!$B$29/(2*'[42]Dados de entrada'!$B$20*G202)</f>
        <v>8.7222222222222215E-3</v>
      </c>
      <c r="I202" s="53" cm="1">
        <f t="array" ref="I202:I208">'[42]fib Model Code 2010'!$K$5:$K$11</f>
        <v>323.62787304146531</v>
      </c>
      <c r="J202" s="4" cm="1">
        <f t="array" ref="J202:J208">'[42]Dados de entrada'!$C$7:$C$13</f>
        <v>0.15</v>
      </c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11" cm="1">
        <f t="array" ref="AD202:AD208">'[42]fib Model Code 2010'!$L$5:$L$11</f>
        <v>0.19163178552870083</v>
      </c>
      <c r="AE202" s="11">
        <f t="shared" si="219"/>
        <v>1.2775452368580056</v>
      </c>
      <c r="AF202" s="29">
        <f t="shared" si="220"/>
        <v>0.24494045292515149</v>
      </c>
      <c r="AG202" s="11" cm="1">
        <f t="array" ref="AG202:AG208">'[42]fib Model Code 2020'!$L$5:$L$11</f>
        <v>0.19671362345416274</v>
      </c>
      <c r="AH202" s="11">
        <f t="shared" si="221"/>
        <v>1.3114241563610849</v>
      </c>
      <c r="AI202" s="55">
        <f t="shared" si="222"/>
        <v>0.27111368896222421</v>
      </c>
      <c r="AJ202" s="11" cm="1">
        <f t="array" ref="AJ202:AJ208">'[42]Eurocode 2'!$L$5:$L$11</f>
        <v>0.30303093439069345</v>
      </c>
      <c r="AK202" s="11">
        <f t="shared" si="223"/>
        <v>2.0202062292712899</v>
      </c>
      <c r="AL202" s="11">
        <f t="shared" si="224"/>
        <v>0.7031995999005648</v>
      </c>
      <c r="AM202" s="11" cm="1">
        <f t="array" ref="AM202:AM208">'[42]NBR 6118'!$Q$5:$Q$11</f>
        <v>0.27264939156529311</v>
      </c>
      <c r="AN202" s="11" cm="1">
        <f t="array" ref="AN202:AN208">'[42]NBR 6118'!$R$5:$R$11</f>
        <v>0.1865401245528952</v>
      </c>
      <c r="AO202" s="11" cm="1">
        <f t="array" ref="AO202:AO208">'[42]NBR 6118'!$W$5:$W$11</f>
        <v>1.2436008303526347</v>
      </c>
      <c r="AP202" s="11">
        <f t="shared" si="225"/>
        <v>0.21801106690297431</v>
      </c>
      <c r="AQ202" s="11" cm="1">
        <f t="array" ref="AQ202:AQ208">'[42]Clark (1956)'!$L$5:$L$11</f>
        <v>0.31578662672755275</v>
      </c>
      <c r="AR202" s="11">
        <f t="shared" si="226"/>
        <v>2.105244178183685</v>
      </c>
      <c r="AS202" s="11">
        <f t="shared" si="227"/>
        <v>0.74443145954410761</v>
      </c>
      <c r="AT202" s="11" cm="1">
        <f t="array" ref="AT202:AT208">'[42]Leonhardt (1977)'!$L$5:$L$11</f>
        <v>0.28892624595985633</v>
      </c>
      <c r="AU202" s="11">
        <f t="shared" si="228"/>
        <v>1.926174973065709</v>
      </c>
      <c r="AV202" s="11">
        <f t="shared" si="229"/>
        <v>0.65553615715486524</v>
      </c>
      <c r="AW202" s="11" cm="1">
        <f t="array" ref="AW202:AW208">'[42]Desayi; Ganesan (1985)'!$L$5:$L$11</f>
        <v>0.35344686014634585</v>
      </c>
      <c r="AX202" s="11">
        <f t="shared" si="230"/>
        <v>2.3563124009756393</v>
      </c>
      <c r="AY202" s="11">
        <f t="shared" si="231"/>
        <v>0.85709785503619595</v>
      </c>
      <c r="AZ202" s="11" cm="1">
        <f t="array" ref="AZ202:AZ208">'[42]Oh; Kang (1987)'!$L$5:$L$11</f>
        <v>0.23227739793056107</v>
      </c>
      <c r="BA202" s="11">
        <f t="shared" si="232"/>
        <v>1.5485159862037405</v>
      </c>
      <c r="BB202" s="11">
        <f t="shared" si="233"/>
        <v>0.43729704404831315</v>
      </c>
      <c r="BC202" s="11" cm="1">
        <f t="array" ref="BC202:BC208">'[42]Caldas (1997)'!$L$5:$L$11</f>
        <v>0.17428301740336749</v>
      </c>
      <c r="BD202" s="11">
        <f t="shared" si="234"/>
        <v>1.1618867826891166</v>
      </c>
      <c r="BE202" s="11">
        <f t="shared" si="235"/>
        <v>0.15004522054090635</v>
      </c>
      <c r="BF202" s="11" cm="1">
        <f t="array" ref="BF202:BF208">'[42]Gergely e Lutz (1968)'!$L$5:$L$11</f>
        <v>0.31063097462102418</v>
      </c>
      <c r="BG202" s="11">
        <f t="shared" si="199"/>
        <v>2.0708731641401612</v>
      </c>
      <c r="BH202" s="11">
        <f t="shared" si="200"/>
        <v>0.72797033676209466</v>
      </c>
      <c r="BI202" s="11" cm="1">
        <f t="array" ref="BI202:BI208">[42]Sugestão!$M$5:$M$11</f>
        <v>0.29912619269410617</v>
      </c>
      <c r="BJ202" s="11">
        <f t="shared" si="236"/>
        <v>1.9941746179607078</v>
      </c>
      <c r="BK202" s="11">
        <f t="shared" si="237"/>
        <v>0.69023023940090977</v>
      </c>
      <c r="BL202" s="11" cm="1">
        <f t="array" ref="BL202:BL208">'[42]fib Model Code 2020 modificado'!$L$5:$L$11</f>
        <v>0.22740913789694855</v>
      </c>
      <c r="BM202" s="11">
        <f t="shared" si="201"/>
        <v>1.5160609193129904</v>
      </c>
      <c r="BN202" s="11">
        <f t="shared" si="202"/>
        <v>0.41611547065621218</v>
      </c>
      <c r="BS202" t="b">
        <f t="shared" si="238"/>
        <v>1</v>
      </c>
      <c r="BU202" t="b">
        <f t="shared" si="239"/>
        <v>0</v>
      </c>
      <c r="BW202" t="b">
        <f t="shared" si="240"/>
        <v>0</v>
      </c>
    </row>
    <row r="203" spans="1:75">
      <c r="A203" s="88"/>
      <c r="B203" s="5">
        <f>'[42]Dados de entrada'!$B$28</f>
        <v>10</v>
      </c>
      <c r="C203" s="5">
        <f>'[42]Dados de entrada'!$B$31</f>
        <v>1</v>
      </c>
      <c r="D203" s="5">
        <f>'[42]Dados de entrada'!$B$32</f>
        <v>45</v>
      </c>
      <c r="E203" s="11">
        <f>'[42]Dados de entrada'!$B$27</f>
        <v>2.8</v>
      </c>
      <c r="F203" s="5">
        <f>'[42]Dados de entrada'!$B$30</f>
        <v>40</v>
      </c>
      <c r="G203" s="12">
        <f>'[42]Dados de entrada'!$B$22</f>
        <v>45</v>
      </c>
      <c r="H203" s="52">
        <f>'[42]Dados de entrada'!$B$29/(2*'[42]Dados de entrada'!$B$20*G203)</f>
        <v>8.7222222222222215E-3</v>
      </c>
      <c r="I203" s="53">
        <v>336.50195852596801</v>
      </c>
      <c r="J203" s="4">
        <v>0.16</v>
      </c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11">
        <v>0.21628654439475523</v>
      </c>
      <c r="AE203" s="11">
        <f t="shared" si="219"/>
        <v>1.3517909024672201</v>
      </c>
      <c r="AF203" s="29">
        <f t="shared" si="220"/>
        <v>0.30143030772155349</v>
      </c>
      <c r="AG203" s="11">
        <v>0.20453899393450664</v>
      </c>
      <c r="AH203" s="11">
        <f t="shared" si="221"/>
        <v>1.2783687120906664</v>
      </c>
      <c r="AI203" s="55">
        <f t="shared" si="222"/>
        <v>0.24558482145836638</v>
      </c>
      <c r="AJ203" s="11">
        <v>0.31508566291926698</v>
      </c>
      <c r="AK203" s="11">
        <f t="shared" si="223"/>
        <v>1.9692853932454186</v>
      </c>
      <c r="AL203" s="11">
        <f t="shared" si="224"/>
        <v>0.67767073239670694</v>
      </c>
      <c r="AM203" s="11">
        <v>0.28349552648352838</v>
      </c>
      <c r="AN203" s="11">
        <v>0.20167664919268491</v>
      </c>
      <c r="AO203" s="11">
        <v>1.2604790574542806</v>
      </c>
      <c r="AP203" s="11">
        <f t="shared" si="225"/>
        <v>0.23149185303282988</v>
      </c>
      <c r="AQ203" s="11">
        <v>0.3398455864801202</v>
      </c>
      <c r="AR203" s="11">
        <f t="shared" si="226"/>
        <v>2.1240349155007512</v>
      </c>
      <c r="AS203" s="11">
        <f t="shared" si="227"/>
        <v>0.75331754180425647</v>
      </c>
      <c r="AT203" s="11">
        <v>0.3183330337313815</v>
      </c>
      <c r="AU203" s="11">
        <f t="shared" si="228"/>
        <v>1.9895814608211344</v>
      </c>
      <c r="AV203" s="11">
        <f t="shared" si="229"/>
        <v>0.68792429542038691</v>
      </c>
      <c r="AW203" s="11">
        <v>0.36750716048138565</v>
      </c>
      <c r="AX203" s="11">
        <f t="shared" si="230"/>
        <v>2.2969197530086602</v>
      </c>
      <c r="AY203" s="11">
        <f t="shared" si="231"/>
        <v>0.8315689875323381</v>
      </c>
      <c r="AZ203" s="11">
        <v>0.24300214737708142</v>
      </c>
      <c r="BA203" s="11">
        <f t="shared" si="232"/>
        <v>1.5187634211067589</v>
      </c>
      <c r="BB203" s="11">
        <f t="shared" si="233"/>
        <v>0.4178964650103979</v>
      </c>
      <c r="BC203" s="11">
        <v>0.18200082793162145</v>
      </c>
      <c r="BD203" s="11">
        <f t="shared" si="234"/>
        <v>1.1375051745726341</v>
      </c>
      <c r="BE203" s="11">
        <f t="shared" si="235"/>
        <v>0.12883742090746458</v>
      </c>
      <c r="BF203" s="11">
        <v>0.32298803671157245</v>
      </c>
      <c r="BG203" s="11">
        <f t="shared" si="199"/>
        <v>2.0186752294473278</v>
      </c>
      <c r="BH203" s="11">
        <f t="shared" si="200"/>
        <v>0.70244146925823692</v>
      </c>
      <c r="BI203" s="11">
        <v>0.32339834860143718</v>
      </c>
      <c r="BJ203" s="11">
        <f t="shared" si="236"/>
        <v>2.0212396787589824</v>
      </c>
      <c r="BK203" s="11">
        <f t="shared" si="237"/>
        <v>0.70371102553076537</v>
      </c>
      <c r="BL203" s="11">
        <v>0.23687121547696169</v>
      </c>
      <c r="BM203" s="11">
        <f t="shared" si="201"/>
        <v>1.4804450967310105</v>
      </c>
      <c r="BN203" s="11">
        <f t="shared" si="202"/>
        <v>0.39234278359697017</v>
      </c>
      <c r="BS203" t="b">
        <f t="shared" si="238"/>
        <v>1</v>
      </c>
      <c r="BU203" t="b">
        <f t="shared" si="239"/>
        <v>0</v>
      </c>
      <c r="BW203" t="b">
        <f t="shared" si="240"/>
        <v>0</v>
      </c>
    </row>
    <row r="204" spans="1:75">
      <c r="A204" s="88"/>
      <c r="B204" s="5">
        <f>'[42]Dados de entrada'!$B$28</f>
        <v>10</v>
      </c>
      <c r="C204" s="5">
        <f>'[42]Dados de entrada'!$B$31</f>
        <v>1</v>
      </c>
      <c r="D204" s="5">
        <f>'[42]Dados de entrada'!$B$32</f>
        <v>45</v>
      </c>
      <c r="E204" s="11">
        <f>'[42]Dados de entrada'!$B$27</f>
        <v>2.8</v>
      </c>
      <c r="F204" s="5">
        <f>'[42]Dados de entrada'!$B$30</f>
        <v>40</v>
      </c>
      <c r="G204" s="12">
        <f>'[42]Dados de entrada'!$B$22</f>
        <v>45</v>
      </c>
      <c r="H204" s="52">
        <f>'[42]Dados de entrada'!$B$29/(2*'[42]Dados de entrada'!$B$20*G204)</f>
        <v>8.7222222222222215E-3</v>
      </c>
      <c r="I204" s="53">
        <v>354.70325179716156</v>
      </c>
      <c r="J204" s="4">
        <v>0.18</v>
      </c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11">
        <v>0.25114327244676327</v>
      </c>
      <c r="AE204" s="11">
        <f t="shared" ref="AE204:AE219" si="241">AD204/J204</f>
        <v>1.3952404024820182</v>
      </c>
      <c r="AF204" s="29">
        <f t="shared" ref="AF204:AF219" si="242">LN(AE204)</f>
        <v>0.33306673195428532</v>
      </c>
      <c r="AG204" s="11">
        <v>0.21560244875154463</v>
      </c>
      <c r="AH204" s="11">
        <f t="shared" ref="AH204:AH219" si="243">AG204/J204</f>
        <v>1.1977913819530257</v>
      </c>
      <c r="AI204" s="55">
        <f t="shared" ref="AI204:AI219" si="244">LN(AH204)</f>
        <v>0.18047934592588616</v>
      </c>
      <c r="AJ204" s="11">
        <v>0.33212855497690541</v>
      </c>
      <c r="AK204" s="11">
        <f t="shared" ref="AK204:AK219" si="245">AJ204/J204</f>
        <v>1.8451586387605856</v>
      </c>
      <c r="AL204" s="11">
        <f t="shared" ref="AL204:AL219" si="246">LN(AK204)</f>
        <v>0.61256525686422647</v>
      </c>
      <c r="AM204" s="11">
        <v>0.29882971722999896</v>
      </c>
      <c r="AN204" s="11">
        <v>0.22408395674156276</v>
      </c>
      <c r="AO204" s="11">
        <v>1.2449108707864598</v>
      </c>
      <c r="AP204" s="11">
        <f t="shared" ref="AP204:AP219" si="247">LN(AO204)</f>
        <v>0.21906393762425275</v>
      </c>
      <c r="AQ204" s="11">
        <v>0.37385997785443986</v>
      </c>
      <c r="AR204" s="11">
        <f t="shared" ref="AR204:AR219" si="248">AQ204/J204</f>
        <v>2.0769998769691105</v>
      </c>
      <c r="AS204" s="11">
        <f t="shared" ref="AS204:AS219" si="249">LN(AR204)</f>
        <v>0.73092448565907242</v>
      </c>
      <c r="AT204" s="11">
        <v>0.35882040605159882</v>
      </c>
      <c r="AU204" s="11">
        <f t="shared" ref="AU204:AU219" si="250">AT204/J204</f>
        <v>1.9934467002866603</v>
      </c>
      <c r="AV204" s="11">
        <f t="shared" ref="AV204:AV219" si="251">LN(AU204)</f>
        <v>0.6898651507307284</v>
      </c>
      <c r="AW204" s="11">
        <v>0.38738551612747646</v>
      </c>
      <c r="AX204" s="11">
        <f t="shared" ref="AX204:AX219" si="252">AW204/J204</f>
        <v>2.1521417562637581</v>
      </c>
      <c r="AY204" s="11">
        <f t="shared" ref="AY204:AY219" si="253">LN(AX204)</f>
        <v>0.76646351199985774</v>
      </c>
      <c r="AZ204" s="11">
        <v>0.25816472418078257</v>
      </c>
      <c r="BA204" s="11">
        <f t="shared" ref="BA204:BA219" si="254">AZ204/J204</f>
        <v>1.4342484676710143</v>
      </c>
      <c r="BB204" s="11">
        <f t="shared" ref="BB204:BB219" si="255">LN(BA204)</f>
        <v>0.36064099611580697</v>
      </c>
      <c r="BC204" s="11">
        <v>0.19291221523018737</v>
      </c>
      <c r="BD204" s="11">
        <f t="shared" ref="BD204:BD219" si="256">BC204/J204</f>
        <v>1.0717345290565965</v>
      </c>
      <c r="BE204" s="11">
        <f t="shared" ref="BE204:BE219" si="257">LN(BD204)</f>
        <v>6.9278391175149071E-2</v>
      </c>
      <c r="BF204" s="11">
        <v>0.34045836587407174</v>
      </c>
      <c r="BG204" s="11">
        <f t="shared" si="199"/>
        <v>1.8914353659670653</v>
      </c>
      <c r="BH204" s="11">
        <f t="shared" si="200"/>
        <v>0.63733599372575656</v>
      </c>
      <c r="BI204" s="11">
        <v>0.35932955971050418</v>
      </c>
      <c r="BJ204" s="11">
        <f t="shared" ref="BJ204:BJ219" si="258">BI204/J204</f>
        <v>1.9962753317250232</v>
      </c>
      <c r="BK204" s="11">
        <f t="shared" ref="BK204:BK219" si="259">LN(BJ204)</f>
        <v>0.69128311012218802</v>
      </c>
      <c r="BL204" s="11">
        <v>0.25030289988130727</v>
      </c>
      <c r="BM204" s="11">
        <f t="shared" si="201"/>
        <v>1.3905716660072627</v>
      </c>
      <c r="BN204" s="11">
        <f t="shared" si="202"/>
        <v>0.32971493310288752</v>
      </c>
      <c r="BS204" t="b">
        <f t="shared" si="238"/>
        <v>1</v>
      </c>
      <c r="BU204" t="b">
        <f t="shared" si="239"/>
        <v>0</v>
      </c>
      <c r="BW204" t="b">
        <f t="shared" si="240"/>
        <v>0</v>
      </c>
    </row>
    <row r="205" spans="1:75">
      <c r="A205" s="88"/>
      <c r="B205" s="5">
        <f>'[42]Dados de entrada'!$B$28</f>
        <v>10</v>
      </c>
      <c r="C205" s="5">
        <f>'[42]Dados de entrada'!$B$31</f>
        <v>1</v>
      </c>
      <c r="D205" s="5">
        <f>'[42]Dados de entrada'!$B$32</f>
        <v>45</v>
      </c>
      <c r="E205" s="11">
        <f>'[42]Dados de entrada'!$B$27</f>
        <v>2.8</v>
      </c>
      <c r="F205" s="5">
        <f>'[42]Dados de entrada'!$B$30</f>
        <v>40</v>
      </c>
      <c r="G205" s="12">
        <f>'[42]Dados de entrada'!$B$22</f>
        <v>45</v>
      </c>
      <c r="H205" s="52">
        <f>'[42]Dados de entrada'!$B$29/(2*'[42]Dados de entrada'!$B$20*G205)</f>
        <v>8.7222222222222215E-3</v>
      </c>
      <c r="I205" s="53">
        <v>365.35766737054308</v>
      </c>
      <c r="J205" s="4">
        <v>0.18</v>
      </c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11">
        <v>0.27154721081867028</v>
      </c>
      <c r="AE205" s="11">
        <f t="shared" si="241"/>
        <v>1.5085956156592795</v>
      </c>
      <c r="AF205" s="29">
        <f t="shared" si="242"/>
        <v>0.41117916220175016</v>
      </c>
      <c r="AG205" s="11">
        <v>0.22724551120300288</v>
      </c>
      <c r="AH205" s="11">
        <f t="shared" si="243"/>
        <v>1.2624750622389049</v>
      </c>
      <c r="AI205" s="55">
        <f t="shared" si="244"/>
        <v>0.23307412929023555</v>
      </c>
      <c r="AJ205" s="11">
        <v>0.34210488203503525</v>
      </c>
      <c r="AK205" s="11">
        <f t="shared" si="245"/>
        <v>1.9005826779724182</v>
      </c>
      <c r="AL205" s="11">
        <f t="shared" si="246"/>
        <v>0.64216051177502176</v>
      </c>
      <c r="AM205" s="11">
        <v>0.30780582888646951</v>
      </c>
      <c r="AN205" s="11">
        <v>0.23774800217387809</v>
      </c>
      <c r="AO205" s="11">
        <v>1.3208222342993228</v>
      </c>
      <c r="AP205" s="11">
        <f t="shared" si="247"/>
        <v>0.27825444744584299</v>
      </c>
      <c r="AQ205" s="11">
        <v>0.39377084109794397</v>
      </c>
      <c r="AR205" s="11">
        <f t="shared" si="248"/>
        <v>2.1876157838774666</v>
      </c>
      <c r="AS205" s="11">
        <f t="shared" si="249"/>
        <v>0.78281226762145761</v>
      </c>
      <c r="AT205" s="11">
        <v>0.3819966150455596</v>
      </c>
      <c r="AU205" s="11">
        <f t="shared" si="250"/>
        <v>2.1222034169197754</v>
      </c>
      <c r="AV205" s="11">
        <f t="shared" si="251"/>
        <v>0.75245489653982611</v>
      </c>
      <c r="AW205" s="11">
        <v>0.39902162674957831</v>
      </c>
      <c r="AX205" s="11">
        <f t="shared" si="252"/>
        <v>2.2167868152754351</v>
      </c>
      <c r="AY205" s="11">
        <f t="shared" si="253"/>
        <v>0.79605876691065269</v>
      </c>
      <c r="AZ205" s="11">
        <v>0.2670403788951442</v>
      </c>
      <c r="BA205" s="11">
        <f t="shared" si="254"/>
        <v>1.483557660528579</v>
      </c>
      <c r="BB205" s="11">
        <f t="shared" si="255"/>
        <v>0.39444302789268026</v>
      </c>
      <c r="BC205" s="11">
        <v>0.19929936877081128</v>
      </c>
      <c r="BD205" s="11">
        <f t="shared" si="256"/>
        <v>1.1072187153933961</v>
      </c>
      <c r="BE205" s="11">
        <f t="shared" si="257"/>
        <v>0.10185120909227009</v>
      </c>
      <c r="BF205" s="11">
        <v>0.35068490001797376</v>
      </c>
      <c r="BG205" s="11">
        <f t="shared" si="199"/>
        <v>1.9482494445442986</v>
      </c>
      <c r="BH205" s="11">
        <f t="shared" si="200"/>
        <v>0.66693124863655162</v>
      </c>
      <c r="BI205" s="11">
        <v>0.38393870381101147</v>
      </c>
      <c r="BJ205" s="11">
        <f t="shared" si="258"/>
        <v>2.1329927989500637</v>
      </c>
      <c r="BK205" s="11">
        <f t="shared" si="259"/>
        <v>0.75752606346385398</v>
      </c>
      <c r="BL205" s="11">
        <v>0.26336173868658713</v>
      </c>
      <c r="BM205" s="11">
        <f t="shared" si="201"/>
        <v>1.4631207704810396</v>
      </c>
      <c r="BN205" s="11">
        <f t="shared" si="202"/>
        <v>0.38057166851544405</v>
      </c>
      <c r="BS205" t="b">
        <f t="shared" si="238"/>
        <v>1</v>
      </c>
      <c r="BU205" t="b">
        <f t="shared" si="239"/>
        <v>0</v>
      </c>
      <c r="BW205" t="b">
        <f t="shared" si="240"/>
        <v>0</v>
      </c>
    </row>
    <row r="206" spans="1:75">
      <c r="A206" s="88"/>
      <c r="B206" s="5">
        <f>'[42]Dados de entrada'!$B$28</f>
        <v>10</v>
      </c>
      <c r="C206" s="5">
        <f>'[42]Dados de entrada'!$B$31</f>
        <v>1</v>
      </c>
      <c r="D206" s="5">
        <f>'[42]Dados de entrada'!$B$32</f>
        <v>45</v>
      </c>
      <c r="E206" s="11">
        <f>'[42]Dados de entrada'!$B$27</f>
        <v>2.8</v>
      </c>
      <c r="F206" s="5">
        <f>'[42]Dados de entrada'!$B$30</f>
        <v>40</v>
      </c>
      <c r="G206" s="12">
        <f>'[42]Dados de entrada'!$B$22</f>
        <v>45</v>
      </c>
      <c r="H206" s="52">
        <f>'[42]Dados de entrada'!$B$29/(2*'[42]Dados de entrada'!$B$20*G206)</f>
        <v>8.7222222222222215E-3</v>
      </c>
      <c r="I206" s="53">
        <v>375.5681489617005</v>
      </c>
      <c r="J206" s="4">
        <v>0.19</v>
      </c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11">
        <v>0.29110098509174809</v>
      </c>
      <c r="AE206" s="11">
        <f t="shared" si="241"/>
        <v>1.5321104478513057</v>
      </c>
      <c r="AF206" s="29">
        <f t="shared" si="242"/>
        <v>0.42664616261747851</v>
      </c>
      <c r="AG206" s="11">
        <v>0.24276133198299524</v>
      </c>
      <c r="AH206" s="11">
        <f t="shared" si="243"/>
        <v>1.2776912209631328</v>
      </c>
      <c r="AI206" s="55">
        <f t="shared" si="244"/>
        <v>0.24505471562271064</v>
      </c>
      <c r="AJ206" s="11">
        <v>0.35166552879907637</v>
      </c>
      <c r="AK206" s="11">
        <f t="shared" si="245"/>
        <v>1.850871204205665</v>
      </c>
      <c r="AL206" s="11">
        <f t="shared" si="246"/>
        <v>0.61565644943389941</v>
      </c>
      <c r="AM206" s="11">
        <v>0.31640793589058713</v>
      </c>
      <c r="AN206" s="11">
        <v>0.25122215219469318</v>
      </c>
      <c r="AO206" s="11">
        <v>1.32222185365628</v>
      </c>
      <c r="AP206" s="11">
        <f t="shared" si="247"/>
        <v>0.27931354403387421</v>
      </c>
      <c r="AQ206" s="11">
        <v>0.41285208503963555</v>
      </c>
      <c r="AR206" s="11">
        <f t="shared" si="248"/>
        <v>2.1729057107349239</v>
      </c>
      <c r="AS206" s="11">
        <f t="shared" si="249"/>
        <v>0.77606530904658821</v>
      </c>
      <c r="AT206" s="11">
        <v>0.40388198949836024</v>
      </c>
      <c r="AU206" s="11">
        <f t="shared" si="250"/>
        <v>2.1256946815703168</v>
      </c>
      <c r="AV206" s="11">
        <f t="shared" si="251"/>
        <v>0.75409865792755082</v>
      </c>
      <c r="AW206" s="11">
        <v>0.41017289942909274</v>
      </c>
      <c r="AX206" s="11">
        <f t="shared" si="252"/>
        <v>2.1588047338373304</v>
      </c>
      <c r="AY206" s="11">
        <f t="shared" si="253"/>
        <v>0.76955470456953068</v>
      </c>
      <c r="AZ206" s="11">
        <v>0.27554621466307422</v>
      </c>
      <c r="BA206" s="11">
        <f t="shared" si="254"/>
        <v>1.4502432350688117</v>
      </c>
      <c r="BB206" s="11">
        <f t="shared" si="255"/>
        <v>0.37173129068762473</v>
      </c>
      <c r="BC206" s="11">
        <v>0.20542039091390926</v>
      </c>
      <c r="BD206" s="11">
        <f t="shared" si="256"/>
        <v>1.0811599521784698</v>
      </c>
      <c r="BE206" s="11">
        <f t="shared" si="257"/>
        <v>7.8034494573654051E-2</v>
      </c>
      <c r="BF206" s="11">
        <v>0.36048532857254661</v>
      </c>
      <c r="BG206" s="11">
        <f t="shared" si="199"/>
        <v>1.8972912030134033</v>
      </c>
      <c r="BH206" s="11">
        <f t="shared" si="200"/>
        <v>0.6404271862954295</v>
      </c>
      <c r="BI206" s="11">
        <v>0.40994362049156363</v>
      </c>
      <c r="BJ206" s="11">
        <f t="shared" si="258"/>
        <v>2.1575980025871768</v>
      </c>
      <c r="BK206" s="11">
        <f t="shared" si="259"/>
        <v>0.76899556708617711</v>
      </c>
      <c r="BL206" s="11">
        <v>0.28025478409090904</v>
      </c>
      <c r="BM206" s="11">
        <f t="shared" si="201"/>
        <v>1.4750251794258371</v>
      </c>
      <c r="BN206" s="11">
        <f t="shared" si="202"/>
        <v>0.38867506044325645</v>
      </c>
      <c r="BS206" t="b">
        <f t="shared" si="238"/>
        <v>1</v>
      </c>
      <c r="BU206" t="b">
        <f t="shared" si="239"/>
        <v>0</v>
      </c>
      <c r="BW206" t="b">
        <f t="shared" si="240"/>
        <v>0</v>
      </c>
    </row>
    <row r="207" spans="1:75">
      <c r="A207" s="88"/>
      <c r="B207" s="5">
        <f>'[42]Dados de entrada'!$B$28</f>
        <v>10</v>
      </c>
      <c r="C207" s="5">
        <f>'[42]Dados de entrada'!$B$31</f>
        <v>1</v>
      </c>
      <c r="D207" s="5">
        <f>'[42]Dados de entrada'!$B$32</f>
        <v>45</v>
      </c>
      <c r="E207" s="11">
        <f>'[42]Dados de entrada'!$B$27</f>
        <v>2.8</v>
      </c>
      <c r="F207" s="5">
        <f>'[42]Dados de entrada'!$B$30</f>
        <v>40</v>
      </c>
      <c r="G207" s="12">
        <f>'[42]Dados de entrada'!$B$22</f>
        <v>45</v>
      </c>
      <c r="H207" s="52">
        <f>'[42]Dados de entrada'!$B$29/(2*'[42]Dados de entrada'!$B$20*G207)</f>
        <v>8.7222222222222215E-3</v>
      </c>
      <c r="I207" s="53">
        <v>386.66649851730631</v>
      </c>
      <c r="J207" s="4">
        <v>0.2</v>
      </c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11">
        <v>0.31235508756248465</v>
      </c>
      <c r="AE207" s="11">
        <f t="shared" si="241"/>
        <v>1.5617754378124231</v>
      </c>
      <c r="AF207" s="29">
        <f t="shared" si="242"/>
        <v>0.44582327527709342</v>
      </c>
      <c r="AG207" s="11">
        <v>0.25962635456994337</v>
      </c>
      <c r="AH207" s="11">
        <f t="shared" si="243"/>
        <v>1.2981317728497168</v>
      </c>
      <c r="AI207" s="55">
        <f t="shared" si="244"/>
        <v>0.26092613304413648</v>
      </c>
      <c r="AJ207" s="11">
        <v>0.36205753615129493</v>
      </c>
      <c r="AK207" s="11">
        <f t="shared" si="245"/>
        <v>1.8102876807564745</v>
      </c>
      <c r="AL207" s="11">
        <f t="shared" si="246"/>
        <v>0.59348577229262833</v>
      </c>
      <c r="AM207" s="11">
        <v>0.32575805219941062</v>
      </c>
      <c r="AN207" s="11">
        <v>0.26628917721992273</v>
      </c>
      <c r="AO207" s="11">
        <v>1.3314458860996137</v>
      </c>
      <c r="AP207" s="11">
        <f t="shared" si="247"/>
        <v>0.28626548413888259</v>
      </c>
      <c r="AQ207" s="11">
        <v>0.4335925675849524</v>
      </c>
      <c r="AR207" s="11">
        <f t="shared" si="248"/>
        <v>2.1679628379247617</v>
      </c>
      <c r="AS207" s="11">
        <f t="shared" si="249"/>
        <v>0.77378794225187264</v>
      </c>
      <c r="AT207" s="11">
        <v>0.4273393239822082</v>
      </c>
      <c r="AU207" s="11">
        <f t="shared" si="250"/>
        <v>2.1366966199110409</v>
      </c>
      <c r="AV207" s="11">
        <f t="shared" si="251"/>
        <v>0.75926100084532255</v>
      </c>
      <c r="AW207" s="11">
        <v>0.42229384799378228</v>
      </c>
      <c r="AX207" s="11">
        <f t="shared" si="252"/>
        <v>2.1114692399689114</v>
      </c>
      <c r="AY207" s="11">
        <f t="shared" si="253"/>
        <v>0.74738402742825971</v>
      </c>
      <c r="AZ207" s="11">
        <v>0.28479168832386764</v>
      </c>
      <c r="BA207" s="11">
        <f t="shared" si="254"/>
        <v>1.423958441619338</v>
      </c>
      <c r="BB207" s="11">
        <f t="shared" si="255"/>
        <v>0.35344062830783252</v>
      </c>
      <c r="BC207" s="11">
        <v>0.21207367585205927</v>
      </c>
      <c r="BD207" s="11">
        <f t="shared" si="256"/>
        <v>1.0603683792602963</v>
      </c>
      <c r="BE207" s="11">
        <f t="shared" si="257"/>
        <v>5.8616375354298346E-2</v>
      </c>
      <c r="BF207" s="11">
        <v>0.37113796830577789</v>
      </c>
      <c r="BG207" s="11">
        <f t="shared" si="199"/>
        <v>1.8556898415288894</v>
      </c>
      <c r="BH207" s="11">
        <f t="shared" si="200"/>
        <v>0.61825650915415842</v>
      </c>
      <c r="BI207" s="11">
        <v>0.43820983427477217</v>
      </c>
      <c r="BJ207" s="11">
        <f t="shared" si="258"/>
        <v>2.1910491713738609</v>
      </c>
      <c r="BK207" s="11">
        <f t="shared" si="259"/>
        <v>0.78438050279594307</v>
      </c>
      <c r="BL207" s="11">
        <v>0.29863947890347037</v>
      </c>
      <c r="BM207" s="11">
        <f t="shared" si="201"/>
        <v>1.4931973945173518</v>
      </c>
      <c r="BN207" s="11">
        <f t="shared" si="202"/>
        <v>0.40091972315813007</v>
      </c>
      <c r="BS207" t="b">
        <f t="shared" si="238"/>
        <v>1</v>
      </c>
      <c r="BU207" t="b">
        <f t="shared" si="239"/>
        <v>0</v>
      </c>
      <c r="BW207" t="b">
        <f t="shared" si="240"/>
        <v>0</v>
      </c>
    </row>
    <row r="208" spans="1:75">
      <c r="A208" s="89"/>
      <c r="B208" s="5">
        <f>'[42]Dados de entrada'!$B$28</f>
        <v>10</v>
      </c>
      <c r="C208" s="5">
        <f>'[42]Dados de entrada'!$B$31</f>
        <v>1</v>
      </c>
      <c r="D208" s="5">
        <f>'[42]Dados de entrada'!$B$32</f>
        <v>45</v>
      </c>
      <c r="E208" s="11">
        <f>'[42]Dados de entrada'!$B$27</f>
        <v>2.8</v>
      </c>
      <c r="F208" s="5">
        <f>'[42]Dados de entrada'!$B$30</f>
        <v>40</v>
      </c>
      <c r="G208" s="12">
        <f>'[42]Dados de entrada'!$B$22</f>
        <v>45</v>
      </c>
      <c r="H208" s="52">
        <f>'[42]Dados de entrada'!$B$29/(2*'[42]Dados de entrada'!$B$20*G208)</f>
        <v>8.7222222222222215E-3</v>
      </c>
      <c r="I208" s="53">
        <v>401.31631993070596</v>
      </c>
      <c r="J208" s="4">
        <v>0.22</v>
      </c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11">
        <v>0.34041050282385693</v>
      </c>
      <c r="AE208" s="11">
        <f t="shared" si="241"/>
        <v>1.5473204673811678</v>
      </c>
      <c r="AF208" s="29">
        <f t="shared" si="242"/>
        <v>0.4365247042300282</v>
      </c>
      <c r="AG208" s="11">
        <v>0.28188818438471486</v>
      </c>
      <c r="AH208" s="11">
        <f t="shared" si="243"/>
        <v>1.2813099290214311</v>
      </c>
      <c r="AI208" s="55">
        <f t="shared" si="244"/>
        <v>0.24788293668110317</v>
      </c>
      <c r="AJ208" s="11">
        <v>0.37577498585622349</v>
      </c>
      <c r="AK208" s="11">
        <f t="shared" si="245"/>
        <v>1.7080681175282886</v>
      </c>
      <c r="AL208" s="11">
        <f t="shared" si="246"/>
        <v>0.53536297602797744</v>
      </c>
      <c r="AM208" s="11">
        <v>0.33810020572705757</v>
      </c>
      <c r="AN208" s="11">
        <v>0.28684947986064074</v>
      </c>
      <c r="AO208" s="11">
        <v>1.3038612720938216</v>
      </c>
      <c r="AP208" s="11">
        <f t="shared" si="247"/>
        <v>0.26533007141390508</v>
      </c>
      <c r="AQ208" s="11">
        <v>0.46097000454477061</v>
      </c>
      <c r="AR208" s="11">
        <f t="shared" si="248"/>
        <v>2.0953182024762298</v>
      </c>
      <c r="AS208" s="11">
        <f t="shared" si="249"/>
        <v>0.73970542846399445</v>
      </c>
      <c r="AT208" s="11">
        <v>0.45782219685333214</v>
      </c>
      <c r="AU208" s="11">
        <f t="shared" si="250"/>
        <v>2.0810099856969644</v>
      </c>
      <c r="AV208" s="11">
        <f t="shared" si="251"/>
        <v>0.73285334590885742</v>
      </c>
      <c r="AW208" s="11">
        <v>0.43829350009917234</v>
      </c>
      <c r="AX208" s="11">
        <f t="shared" si="252"/>
        <v>1.9922431822689652</v>
      </c>
      <c r="AY208" s="11">
        <f t="shared" si="253"/>
        <v>0.68926123116360838</v>
      </c>
      <c r="AZ208" s="11">
        <v>0.29699571355611493</v>
      </c>
      <c r="BA208" s="11">
        <f t="shared" si="254"/>
        <v>1.3499805161641587</v>
      </c>
      <c r="BB208" s="11">
        <f t="shared" si="255"/>
        <v>0.30009015987519544</v>
      </c>
      <c r="BC208" s="11">
        <v>0.22085601197041718</v>
      </c>
      <c r="BD208" s="11">
        <f t="shared" si="256"/>
        <v>1.0038909635018962</v>
      </c>
      <c r="BE208" s="11">
        <f t="shared" si="257"/>
        <v>3.8834132821586992E-3</v>
      </c>
      <c r="BF208" s="11">
        <v>0.38519945275364315</v>
      </c>
      <c r="BG208" s="11">
        <f t="shared" si="199"/>
        <v>1.7509066034256506</v>
      </c>
      <c r="BH208" s="11">
        <f t="shared" si="200"/>
        <v>0.5601337128895072</v>
      </c>
      <c r="BI208" s="11">
        <v>0.47552123646860744</v>
      </c>
      <c r="BJ208" s="11">
        <f t="shared" si="258"/>
        <v>2.1614601657663974</v>
      </c>
      <c r="BK208" s="11">
        <f t="shared" si="259"/>
        <v>0.77078399597881841</v>
      </c>
      <c r="BL208" s="11">
        <v>0.32294346491263715</v>
      </c>
      <c r="BM208" s="11">
        <f t="shared" si="201"/>
        <v>1.4679248405119871</v>
      </c>
      <c r="BN208" s="11">
        <f t="shared" si="202"/>
        <v>0.38384973032031611</v>
      </c>
      <c r="BS208" t="b">
        <f t="shared" si="238"/>
        <v>1</v>
      </c>
      <c r="BU208" t="b">
        <f t="shared" si="239"/>
        <v>0</v>
      </c>
      <c r="BW208" t="b">
        <f t="shared" si="240"/>
        <v>0</v>
      </c>
    </row>
    <row r="209" spans="1:75">
      <c r="A209" s="85" t="s">
        <v>79</v>
      </c>
      <c r="B209" s="21">
        <f>'[43]Dados de entrada'!$B$28</f>
        <v>20</v>
      </c>
      <c r="C209" s="21">
        <f>'[43]Dados de entrada'!$B$31</f>
        <v>1</v>
      </c>
      <c r="D209" s="21">
        <f>'[43]Dados de entrada'!$B$32</f>
        <v>40</v>
      </c>
      <c r="E209" s="20">
        <f>'[43]Dados de entrada'!$B$27</f>
        <v>2.8</v>
      </c>
      <c r="F209" s="21">
        <f>'[43]Dados de entrada'!$B$30</f>
        <v>40</v>
      </c>
      <c r="G209" s="56">
        <f>'[43]Dados de entrada'!$B$22</f>
        <v>50</v>
      </c>
      <c r="H209" s="57">
        <f>'[43]Dados de entrada'!$B$29/(2*'[43]Dados de entrada'!$B$20*G209)</f>
        <v>3.15E-2</v>
      </c>
      <c r="I209" s="27" cm="1">
        <f t="array" ref="I209:I211">'[43]fib Model Code 2010'!$K$5:$K$7</f>
        <v>224.93648942333181</v>
      </c>
      <c r="J209" s="19" cm="1">
        <f t="array" ref="J209:J211">'[43]Dados de entrada'!$C$7:$C$9</f>
        <v>0.16</v>
      </c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0" cm="1">
        <f t="array" ref="AD209:AD211">'[43]fib Model Code 2010'!$L$5:$L$7</f>
        <v>0.17621750604544575</v>
      </c>
      <c r="AE209" s="20">
        <f t="shared" si="241"/>
        <v>1.101359412784036</v>
      </c>
      <c r="AF209" s="54">
        <f t="shared" si="242"/>
        <v>9.6545246598910381E-2</v>
      </c>
      <c r="AG209" s="20" cm="1">
        <f t="array" ref="AG209:AG211">'[43]fib Model Code 2020'!$L$5:$L$7</f>
        <v>0.16250526374056309</v>
      </c>
      <c r="AH209" s="20">
        <f t="shared" si="243"/>
        <v>1.0156578983785194</v>
      </c>
      <c r="AI209" s="28">
        <f t="shared" si="244"/>
        <v>1.5536578260966754E-2</v>
      </c>
      <c r="AJ209" s="20" cm="1">
        <f t="array" ref="AJ209:AJ211">'[43]Eurocode 2'!$L$5:$L$7</f>
        <v>0.17479495534935269</v>
      </c>
      <c r="AK209" s="20">
        <f t="shared" si="245"/>
        <v>1.0924684709334542</v>
      </c>
      <c r="AL209" s="20">
        <f t="shared" si="246"/>
        <v>8.8439788013684156E-2</v>
      </c>
      <c r="AM209" s="20" cm="1">
        <f t="array" ref="AM209:AM211">'[43]NBR 6118'!$Q$5:$Q$7</f>
        <v>0.1898757685393937</v>
      </c>
      <c r="AN209" s="20" cm="1">
        <f t="array" ref="AN209:AN211">'[43]NBR 6118'!$R$5:$R$7</f>
        <v>0.19142813392713337</v>
      </c>
      <c r="AO209" s="20" cm="1">
        <f t="array" ref="AO209:AO211">'[43]NBR 6118'!$W$5:$W$7</f>
        <v>1.1867235533712106</v>
      </c>
      <c r="AP209" s="20">
        <f t="shared" si="247"/>
        <v>0.17119619328099522</v>
      </c>
      <c r="AQ209" s="20" cm="1">
        <f t="array" ref="AQ209:AQ211">'[43]Clark (1956)'!$L$5:$L$7</f>
        <v>0.19112255277280865</v>
      </c>
      <c r="AR209" s="20">
        <f t="shared" si="248"/>
        <v>1.1945159548300541</v>
      </c>
      <c r="AS209" s="20">
        <f t="shared" si="249"/>
        <v>0.1777410446054111</v>
      </c>
      <c r="AT209" s="20" cm="1">
        <f t="array" ref="AT209:AT211">'[43]Leonhardt (1977)'!$L$5:$L$7</f>
        <v>0.26226217585674594</v>
      </c>
      <c r="AU209" s="20">
        <f t="shared" si="250"/>
        <v>1.6391385991046621</v>
      </c>
      <c r="AV209" s="20">
        <f t="shared" si="251"/>
        <v>0.49417085939854416</v>
      </c>
      <c r="AW209" s="20" cm="1">
        <f t="array" ref="AW209:AW211">'[43]Desayi; Ganesan (1985)'!$L$5:$L$7</f>
        <v>0.23684951094129722</v>
      </c>
      <c r="AX209" s="20">
        <f t="shared" si="252"/>
        <v>1.4803094433831077</v>
      </c>
      <c r="AY209" s="20">
        <f t="shared" si="253"/>
        <v>0.39225114928810745</v>
      </c>
      <c r="AZ209" s="20" cm="1">
        <f t="array" ref="AZ209:AZ211">'[43]Oh; Kang (1987)'!$L$5:$L$7</f>
        <v>0.20327420345519723</v>
      </c>
      <c r="BA209" s="20">
        <f t="shared" si="254"/>
        <v>1.2704637715949827</v>
      </c>
      <c r="BB209" s="20">
        <f t="shared" si="255"/>
        <v>0.23938200829476414</v>
      </c>
      <c r="BC209" s="20" cm="1">
        <f t="array" ref="BC209:BC211">'[43]Caldas (1997)'!$L$5:$L$7</f>
        <v>0.12778582265536664</v>
      </c>
      <c r="BD209" s="20">
        <f t="shared" si="256"/>
        <v>0.79866139159604155</v>
      </c>
      <c r="BE209" s="20">
        <f t="shared" si="257"/>
        <v>-0.22481821328307752</v>
      </c>
      <c r="BF209" s="20" cm="1">
        <f t="array" ref="BF209:BF211">'[43]Gergely e Lutz (1968)'!$L$5:$L$7</f>
        <v>0.24461058238608518</v>
      </c>
      <c r="BG209" s="20">
        <f t="shared" si="199"/>
        <v>1.5288161399130324</v>
      </c>
      <c r="BH209" s="20">
        <f t="shared" si="200"/>
        <v>0.42449367113115577</v>
      </c>
      <c r="BI209" s="20" cm="1">
        <f t="array" ref="BI209:BI211">[43]Sugestão!$M$5:$M$7</f>
        <v>0.16897223598041747</v>
      </c>
      <c r="BJ209" s="20">
        <f t="shared" si="258"/>
        <v>1.0560764748776093</v>
      </c>
      <c r="BK209" s="20">
        <f t="shared" si="259"/>
        <v>5.4560602053587606E-2</v>
      </c>
      <c r="BL209" s="20" cm="1">
        <f t="array" ref="BL209:BL211">'[43]fib Model Code 2020 modificado'!$L$5:$L$7</f>
        <v>0.22135040597599331</v>
      </c>
      <c r="BM209" s="20">
        <f t="shared" si="201"/>
        <v>1.3834400373499582</v>
      </c>
      <c r="BN209" s="20">
        <f t="shared" si="202"/>
        <v>0.3245731780334174</v>
      </c>
      <c r="BS209" t="b">
        <f t="shared" si="238"/>
        <v>0</v>
      </c>
      <c r="BU209" t="b">
        <f t="shared" si="239"/>
        <v>1</v>
      </c>
      <c r="BW209" t="b">
        <f t="shared" si="240"/>
        <v>0</v>
      </c>
    </row>
    <row r="210" spans="1:75">
      <c r="A210" s="90"/>
      <c r="B210" s="21">
        <f>'[43]Dados de entrada'!$B$28</f>
        <v>20</v>
      </c>
      <c r="C210" s="21">
        <f>'[43]Dados de entrada'!$B$31</f>
        <v>1</v>
      </c>
      <c r="D210" s="21">
        <f>'[43]Dados de entrada'!$B$32</f>
        <v>40</v>
      </c>
      <c r="E210" s="20">
        <f>'[43]Dados de entrada'!$B$27</f>
        <v>2.8</v>
      </c>
      <c r="F210" s="21">
        <f>'[43]Dados de entrada'!$B$30</f>
        <v>40</v>
      </c>
      <c r="G210" s="56">
        <f>'[43]Dados de entrada'!$B$22</f>
        <v>50</v>
      </c>
      <c r="H210" s="57">
        <f>'[43]Dados de entrada'!$B$29/(2*'[43]Dados de entrada'!$B$20*G210)</f>
        <v>3.15E-2</v>
      </c>
      <c r="I210" s="27">
        <v>259.89764030841235</v>
      </c>
      <c r="J210" s="19">
        <v>0.2</v>
      </c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0">
        <v>0.2129582212234726</v>
      </c>
      <c r="AE210" s="20">
        <f t="shared" si="241"/>
        <v>1.0647911061173629</v>
      </c>
      <c r="AF210" s="54">
        <f t="shared" si="242"/>
        <v>6.2778635431803023E-2</v>
      </c>
      <c r="AG210" s="20">
        <v>0.20529664584009563</v>
      </c>
      <c r="AH210" s="20">
        <f t="shared" si="243"/>
        <v>1.0264832292004782</v>
      </c>
      <c r="AI210" s="28">
        <f t="shared" si="244"/>
        <v>2.6138619496799888E-2</v>
      </c>
      <c r="AJ210" s="20">
        <v>0.21123907383205465</v>
      </c>
      <c r="AK210" s="20">
        <f t="shared" si="245"/>
        <v>1.0561953691602732</v>
      </c>
      <c r="AL210" s="20">
        <f t="shared" si="246"/>
        <v>5.4673176846576625E-2</v>
      </c>
      <c r="AM210" s="20">
        <v>0.21938754499836161</v>
      </c>
      <c r="AN210" s="20">
        <v>0.25555866628532853</v>
      </c>
      <c r="AO210" s="20">
        <v>1.096937724991808</v>
      </c>
      <c r="AP210" s="20">
        <f t="shared" si="247"/>
        <v>9.2522411214800301E-2</v>
      </c>
      <c r="AQ210" s="20">
        <v>0.22730456924435233</v>
      </c>
      <c r="AR210" s="20">
        <f t="shared" si="248"/>
        <v>1.1365228462217616</v>
      </c>
      <c r="AS210" s="20">
        <f t="shared" si="249"/>
        <v>0.12797346637129173</v>
      </c>
      <c r="AT210" s="20">
        <v>0.31797860737202122</v>
      </c>
      <c r="AU210" s="20">
        <f t="shared" si="250"/>
        <v>1.5898930368601061</v>
      </c>
      <c r="AV210" s="20">
        <f t="shared" si="251"/>
        <v>0.46366674155422216</v>
      </c>
      <c r="AW210" s="20">
        <v>0.2736622642224788</v>
      </c>
      <c r="AX210" s="20">
        <f t="shared" si="252"/>
        <v>1.3683113211123938</v>
      </c>
      <c r="AY210" s="20">
        <f t="shared" si="253"/>
        <v>0.31357736722191248</v>
      </c>
      <c r="AZ210" s="20">
        <v>0.24246488217982529</v>
      </c>
      <c r="BA210" s="20">
        <f t="shared" si="254"/>
        <v>1.2123244108991265</v>
      </c>
      <c r="BB210" s="20">
        <f t="shared" si="255"/>
        <v>0.19253951758938978</v>
      </c>
      <c r="BC210" s="20">
        <v>0.14966742924837029</v>
      </c>
      <c r="BD210" s="20">
        <f t="shared" si="256"/>
        <v>0.74833714624185144</v>
      </c>
      <c r="BE210" s="20">
        <f t="shared" si="257"/>
        <v>-0.28990167228618025</v>
      </c>
      <c r="BF210" s="20">
        <v>0.28262961389498675</v>
      </c>
      <c r="BG210" s="20">
        <f t="shared" si="199"/>
        <v>1.4131480694749337</v>
      </c>
      <c r="BH210" s="20">
        <f t="shared" si="200"/>
        <v>0.34581988906496103</v>
      </c>
      <c r="BI210" s="20">
        <v>0.2244579017601685</v>
      </c>
      <c r="BJ210" s="20">
        <f t="shared" si="258"/>
        <v>1.1222895088008424</v>
      </c>
      <c r="BK210" s="20">
        <f t="shared" si="259"/>
        <v>0.11537080305094947</v>
      </c>
      <c r="BL210" s="20">
        <v>0.27728710523767919</v>
      </c>
      <c r="BM210" s="20">
        <f t="shared" si="201"/>
        <v>1.3864355261883958</v>
      </c>
      <c r="BN210" s="20">
        <f t="shared" si="202"/>
        <v>0.32673608386619257</v>
      </c>
      <c r="BS210" t="b">
        <f t="shared" si="238"/>
        <v>0</v>
      </c>
      <c r="BU210" t="b">
        <f t="shared" si="239"/>
        <v>1</v>
      </c>
      <c r="BW210" t="b">
        <f t="shared" si="240"/>
        <v>0</v>
      </c>
    </row>
    <row r="211" spans="1:75">
      <c r="A211" s="86"/>
      <c r="B211" s="21">
        <f>'[43]Dados de entrada'!$B$28</f>
        <v>20</v>
      </c>
      <c r="C211" s="21">
        <f>'[43]Dados de entrada'!$B$31</f>
        <v>1</v>
      </c>
      <c r="D211" s="21">
        <f>'[43]Dados de entrada'!$B$32</f>
        <v>40</v>
      </c>
      <c r="E211" s="20">
        <f>'[43]Dados de entrada'!$B$27</f>
        <v>2.8</v>
      </c>
      <c r="F211" s="21">
        <f>'[43]Dados de entrada'!$B$30</f>
        <v>40</v>
      </c>
      <c r="G211" s="56">
        <f>'[43]Dados de entrada'!$B$22</f>
        <v>50</v>
      </c>
      <c r="H211" s="57">
        <f>'[43]Dados de entrada'!$B$29/(2*'[43]Dados de entrada'!$B$20*G211)</f>
        <v>3.15E-2</v>
      </c>
      <c r="I211" s="27">
        <v>294.74027881761134</v>
      </c>
      <c r="J211" s="19">
        <v>0.23</v>
      </c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0">
        <v>0.24957439160428585</v>
      </c>
      <c r="AE211" s="20">
        <f t="shared" si="241"/>
        <v>1.0851060504534167</v>
      </c>
      <c r="AF211" s="54">
        <f t="shared" si="242"/>
        <v>8.1677724569329715E-2</v>
      </c>
      <c r="AG211" s="20">
        <v>0.24794297240708743</v>
      </c>
      <c r="AH211" s="20">
        <f t="shared" si="243"/>
        <v>1.0780129235090758</v>
      </c>
      <c r="AI211" s="28">
        <f t="shared" si="244"/>
        <v>7.5119460827816814E-2</v>
      </c>
      <c r="AJ211" s="20">
        <v>0.24755965293006962</v>
      </c>
      <c r="AK211" s="20">
        <f t="shared" si="245"/>
        <v>1.0763463170872591</v>
      </c>
      <c r="AL211" s="20">
        <f t="shared" si="246"/>
        <v>7.3572265984103352E-2</v>
      </c>
      <c r="AM211" s="20">
        <v>0.24879928153712966</v>
      </c>
      <c r="AN211" s="20">
        <v>0.32867367449457463</v>
      </c>
      <c r="AO211" s="20">
        <v>1.0817360066831723</v>
      </c>
      <c r="AP211" s="20">
        <f t="shared" si="247"/>
        <v>7.856716422515804E-2</v>
      </c>
      <c r="AQ211" s="20">
        <v>0.26336393481260267</v>
      </c>
      <c r="AR211" s="20">
        <f t="shared" si="248"/>
        <v>1.1450605861417507</v>
      </c>
      <c r="AS211" s="20">
        <f t="shared" si="249"/>
        <v>0.13545754926724221</v>
      </c>
      <c r="AT211" s="20">
        <v>0.37186865513846545</v>
      </c>
      <c r="AU211" s="20">
        <f t="shared" si="250"/>
        <v>1.6168202397324585</v>
      </c>
      <c r="AV211" s="20">
        <f t="shared" si="251"/>
        <v>0.4804614054186146</v>
      </c>
      <c r="AW211" s="20">
        <v>0.31035022850948701</v>
      </c>
      <c r="AX211" s="20">
        <f t="shared" si="252"/>
        <v>1.3493488196064651</v>
      </c>
      <c r="AY211" s="20">
        <f t="shared" si="253"/>
        <v>0.29962212023227064</v>
      </c>
      <c r="AZ211" s="20">
        <v>0.28152271114606486</v>
      </c>
      <c r="BA211" s="20">
        <f t="shared" si="254"/>
        <v>1.2240117875915864</v>
      </c>
      <c r="BB211" s="20">
        <f t="shared" si="255"/>
        <v>0.20213381442904543</v>
      </c>
      <c r="BC211" s="20">
        <v>0.17147486090377059</v>
      </c>
      <c r="BD211" s="20">
        <f t="shared" si="256"/>
        <v>0.74554287349465476</v>
      </c>
      <c r="BE211" s="20">
        <f t="shared" si="257"/>
        <v>-0.29364263671311763</v>
      </c>
      <c r="BF211" s="20">
        <v>0.32051976733097681</v>
      </c>
      <c r="BG211" s="20">
        <f t="shared" si="199"/>
        <v>1.3935642057868556</v>
      </c>
      <c r="BH211" s="20">
        <f t="shared" si="200"/>
        <v>0.33186464207531896</v>
      </c>
      <c r="BI211" s="20">
        <v>0.27975548053727639</v>
      </c>
      <c r="BJ211" s="20">
        <f t="shared" si="258"/>
        <v>1.2163281762490277</v>
      </c>
      <c r="BK211" s="20">
        <f t="shared" si="259"/>
        <v>0.19583662891617759</v>
      </c>
      <c r="BL211" s="20">
        <v>0.33410466194190286</v>
      </c>
      <c r="BM211" s="20">
        <f t="shared" si="201"/>
        <v>1.452628964964795</v>
      </c>
      <c r="BN211" s="20">
        <f t="shared" si="202"/>
        <v>0.3733749940742877</v>
      </c>
      <c r="BS211" t="b">
        <f t="shared" si="238"/>
        <v>0</v>
      </c>
      <c r="BU211" t="b">
        <f t="shared" si="239"/>
        <v>1</v>
      </c>
      <c r="BW211" t="b">
        <f t="shared" si="240"/>
        <v>0</v>
      </c>
    </row>
    <row r="212" spans="1:75">
      <c r="A212" s="87" t="s">
        <v>80</v>
      </c>
      <c r="B212" s="5">
        <f>'[44]Dados de entrada'!$B$28</f>
        <v>20</v>
      </c>
      <c r="C212" s="5">
        <f>'[44]Dados de entrada'!$B$31</f>
        <v>1</v>
      </c>
      <c r="D212" s="5">
        <f>'[44]Dados de entrada'!$B$32</f>
        <v>40</v>
      </c>
      <c r="E212" s="11">
        <f>'[44]Dados de entrada'!$B$27</f>
        <v>2.8</v>
      </c>
      <c r="F212" s="5">
        <f>'[44]Dados de entrada'!$B$30</f>
        <v>40</v>
      </c>
      <c r="G212" s="12">
        <f>'[44]Dados de entrada'!$B$22</f>
        <v>50</v>
      </c>
      <c r="H212" s="52">
        <f>'[44]Dados de entrada'!$B$29/(2*'[44]Dados de entrada'!$B$20*G212)</f>
        <v>3.15E-2</v>
      </c>
      <c r="I212" s="53" cm="1">
        <f t="array" ref="I212:I214">'[44]fib Model Code 2010'!$K$5:$K$7</f>
        <v>224.93648942333181</v>
      </c>
      <c r="J212" s="4" cm="1">
        <f t="array" ref="J212:J214">'[44]Dados de entrada'!$C$7:$C$9</f>
        <v>0.14000000000000001</v>
      </c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11" cm="1">
        <f t="array" ref="AD212:AD214">'[44]fib Model Code 2010'!$L$5:$L$7</f>
        <v>0.17621750604544575</v>
      </c>
      <c r="AE212" s="11">
        <f t="shared" si="241"/>
        <v>1.2586964717531839</v>
      </c>
      <c r="AF212" s="29">
        <f t="shared" si="242"/>
        <v>0.23007663922343288</v>
      </c>
      <c r="AG212" s="11" cm="1">
        <f t="array" ref="AG212:AG214">'[44]fib Model Code 2020'!$L$5:$L$7</f>
        <v>0.16250526374056309</v>
      </c>
      <c r="AH212" s="11">
        <f t="shared" si="243"/>
        <v>1.1607518838611648</v>
      </c>
      <c r="AI212" s="55">
        <f t="shared" si="244"/>
        <v>0.14906797088548918</v>
      </c>
      <c r="AJ212" s="11" cm="1">
        <f t="array" ref="AJ212:AJ214">'[44]Eurocode 2'!$L$5:$L$7</f>
        <v>0.17479495534935269</v>
      </c>
      <c r="AK212" s="11">
        <f t="shared" si="245"/>
        <v>1.2485353953525191</v>
      </c>
      <c r="AL212" s="11">
        <f t="shared" si="246"/>
        <v>0.22197118063820678</v>
      </c>
      <c r="AM212" s="11" cm="1">
        <f t="array" ref="AM212:AM214">'[44]NBR 6118'!$Q$5:$Q$7</f>
        <v>0.1898757685393937</v>
      </c>
      <c r="AN212" s="11" cm="1">
        <f t="array" ref="AN212:AN214">'[44]NBR 6118'!$R$5:$R$7</f>
        <v>0.19142813392713337</v>
      </c>
      <c r="AO212" s="11" cm="1">
        <f t="array" ref="AO212:AO214">'[44]NBR 6118'!$W$5:$W$7</f>
        <v>1.3562554895670977</v>
      </c>
      <c r="AP212" s="11">
        <f t="shared" si="247"/>
        <v>0.30472758590551774</v>
      </c>
      <c r="AQ212" s="11" cm="1">
        <f t="array" ref="AQ212:AQ214">'[44]Clark (1956)'!$L$5:$L$7</f>
        <v>0.19112255277280865</v>
      </c>
      <c r="AR212" s="11">
        <f t="shared" si="248"/>
        <v>1.3651610912343475</v>
      </c>
      <c r="AS212" s="11">
        <f t="shared" si="249"/>
        <v>0.31127243722993364</v>
      </c>
      <c r="AT212" s="11" cm="1">
        <f t="array" ref="AT212:AT214">'[44]Leonhardt (1977)'!$L$5:$L$7</f>
        <v>0.26226217585674594</v>
      </c>
      <c r="AU212" s="11">
        <f t="shared" si="250"/>
        <v>1.8733012561196136</v>
      </c>
      <c r="AV212" s="11">
        <f t="shared" si="251"/>
        <v>0.62770225202306673</v>
      </c>
      <c r="AW212" s="11" cm="1">
        <f t="array" ref="AW212:AW214">'[44]Desayi; Ganesan (1985)'!$L$5:$L$7</f>
        <v>0.23684951094129722</v>
      </c>
      <c r="AX212" s="11">
        <f t="shared" si="252"/>
        <v>1.6917822210092657</v>
      </c>
      <c r="AY212" s="11">
        <f t="shared" si="253"/>
        <v>0.52578254191262996</v>
      </c>
      <c r="AZ212" s="11" cm="1">
        <f t="array" ref="AZ212:AZ214">'[44]Oh; Kang (1987)'!$L$5:$L$7</f>
        <v>0.20327420345519723</v>
      </c>
      <c r="BA212" s="11">
        <f t="shared" si="254"/>
        <v>1.4519585961085515</v>
      </c>
      <c r="BB212" s="11">
        <f t="shared" si="255"/>
        <v>0.37291340091928665</v>
      </c>
      <c r="BC212" s="11" cm="1">
        <f t="array" ref="BC212:BC214">'[44]Caldas (1997)'!$L$5:$L$7</f>
        <v>0.12778582265536664</v>
      </c>
      <c r="BD212" s="11">
        <f t="shared" si="256"/>
        <v>0.91275587610976161</v>
      </c>
      <c r="BE212" s="11">
        <f t="shared" si="257"/>
        <v>-9.128682065855509E-2</v>
      </c>
      <c r="BF212" s="11" cm="1">
        <f t="array" ref="BF212:BF214">'[44]Gergely e Lutz (1968)'!$L$5:$L$7</f>
        <v>0.24461058238608518</v>
      </c>
      <c r="BG212" s="11">
        <f t="shared" si="199"/>
        <v>1.747218445614894</v>
      </c>
      <c r="BH212" s="11">
        <f t="shared" si="200"/>
        <v>0.55802506375567829</v>
      </c>
      <c r="BI212" s="11" cm="1">
        <f t="array" ref="BI212:BI214">[44]Sugestão!$M$5:$M$7</f>
        <v>0.16897223598041747</v>
      </c>
      <c r="BJ212" s="11">
        <f t="shared" si="258"/>
        <v>1.2069445427172676</v>
      </c>
      <c r="BK212" s="11">
        <f t="shared" si="259"/>
        <v>0.18809199467811014</v>
      </c>
      <c r="BL212" s="11" cm="1">
        <f t="array" ref="BL212:BL214">'[44]fib Model Code 2020 modificado'!$L$5:$L$7</f>
        <v>0.22135040597599331</v>
      </c>
      <c r="BM212" s="11">
        <f t="shared" si="201"/>
        <v>1.581074328399952</v>
      </c>
      <c r="BN212" s="11">
        <f t="shared" si="202"/>
        <v>0.45810457065793986</v>
      </c>
      <c r="BS212" t="b">
        <f t="shared" si="238"/>
        <v>0</v>
      </c>
      <c r="BU212" t="b">
        <f t="shared" si="239"/>
        <v>1</v>
      </c>
      <c r="BW212" t="b">
        <f t="shared" si="240"/>
        <v>0</v>
      </c>
    </row>
    <row r="213" spans="1:75">
      <c r="A213" s="88"/>
      <c r="B213" s="5">
        <f>'[44]Dados de entrada'!$B$28</f>
        <v>20</v>
      </c>
      <c r="C213" s="5">
        <f>'[44]Dados de entrada'!$B$31</f>
        <v>1</v>
      </c>
      <c r="D213" s="5">
        <f>'[44]Dados de entrada'!$B$32</f>
        <v>40</v>
      </c>
      <c r="E213" s="11">
        <f>'[44]Dados de entrada'!$B$27</f>
        <v>2.8</v>
      </c>
      <c r="F213" s="5">
        <f>'[44]Dados de entrada'!$B$30</f>
        <v>40</v>
      </c>
      <c r="G213" s="12">
        <f>'[44]Dados de entrada'!$B$22</f>
        <v>50</v>
      </c>
      <c r="H213" s="52">
        <f>'[44]Dados de entrada'!$B$29/(2*'[44]Dados de entrada'!$B$20*G213)</f>
        <v>3.15E-2</v>
      </c>
      <c r="I213" s="53">
        <v>259.42359080488586</v>
      </c>
      <c r="J213" s="4">
        <v>0.17</v>
      </c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11">
        <v>0.21246004203461805</v>
      </c>
      <c r="AE213" s="11">
        <f t="shared" si="241"/>
        <v>1.2497649531448118</v>
      </c>
      <c r="AF213" s="29">
        <f t="shared" si="242"/>
        <v>0.22295549614879498</v>
      </c>
      <c r="AG213" s="11">
        <v>0.20471642370993251</v>
      </c>
      <c r="AH213" s="11">
        <f t="shared" si="243"/>
        <v>1.2042142571172501</v>
      </c>
      <c r="AI213" s="55">
        <f t="shared" si="244"/>
        <v>0.18582728547094102</v>
      </c>
      <c r="AJ213" s="11">
        <v>0.21074491629330622</v>
      </c>
      <c r="AK213" s="11">
        <f t="shared" si="245"/>
        <v>1.2396759781959188</v>
      </c>
      <c r="AL213" s="11">
        <f t="shared" si="246"/>
        <v>0.21485003756356869</v>
      </c>
      <c r="AM213" s="11">
        <v>0.21898738531756209</v>
      </c>
      <c r="AN213" s="11">
        <v>0.25462724595282982</v>
      </c>
      <c r="AO213" s="11">
        <v>1.2881610901033063</v>
      </c>
      <c r="AP213" s="11">
        <f t="shared" si="247"/>
        <v>0.2532156898175501</v>
      </c>
      <c r="AQ213" s="11">
        <v>0.22681396563117887</v>
      </c>
      <c r="AR213" s="11">
        <f t="shared" si="248"/>
        <v>1.3341997978304638</v>
      </c>
      <c r="AS213" s="11">
        <f t="shared" si="249"/>
        <v>0.28833170976460804</v>
      </c>
      <c r="AT213" s="11">
        <v>0.31723563596323379</v>
      </c>
      <c r="AU213" s="11">
        <f t="shared" si="250"/>
        <v>1.8660919762543162</v>
      </c>
      <c r="AV213" s="11">
        <f t="shared" si="251"/>
        <v>0.62384639180757895</v>
      </c>
      <c r="AW213" s="11">
        <v>0.27316310824578488</v>
      </c>
      <c r="AX213" s="11">
        <f t="shared" si="252"/>
        <v>1.6068418132104991</v>
      </c>
      <c r="AY213" s="11">
        <f t="shared" si="253"/>
        <v>0.47427064582466238</v>
      </c>
      <c r="AZ213" s="11">
        <v>0.24193348314627106</v>
      </c>
      <c r="BA213" s="11">
        <f t="shared" si="254"/>
        <v>1.4231381361545354</v>
      </c>
      <c r="BB213" s="11">
        <f t="shared" si="255"/>
        <v>0.35286438829272021</v>
      </c>
      <c r="BC213" s="11">
        <v>0.14937072949795668</v>
      </c>
      <c r="BD213" s="11">
        <f t="shared" si="256"/>
        <v>0.87865134998798045</v>
      </c>
      <c r="BE213" s="11">
        <f t="shared" si="257"/>
        <v>-0.12936710390818182</v>
      </c>
      <c r="BF213" s="11">
        <v>0.28211410160334066</v>
      </c>
      <c r="BG213" s="11">
        <f t="shared" si="199"/>
        <v>1.6594947153137685</v>
      </c>
      <c r="BH213" s="11">
        <f t="shared" si="200"/>
        <v>0.50651316766771082</v>
      </c>
      <c r="BI213" s="11">
        <v>0.22370555374959566</v>
      </c>
      <c r="BJ213" s="11">
        <f t="shared" si="258"/>
        <v>1.3159150220564451</v>
      </c>
      <c r="BK213" s="11">
        <f t="shared" si="259"/>
        <v>0.27453225791276875</v>
      </c>
      <c r="BL213" s="11">
        <v>0.27652144593195271</v>
      </c>
      <c r="BM213" s="11">
        <f t="shared" si="201"/>
        <v>1.6265967407761923</v>
      </c>
      <c r="BN213" s="11">
        <f t="shared" si="202"/>
        <v>0.48648994304521814</v>
      </c>
      <c r="BS213" t="b">
        <f t="shared" si="238"/>
        <v>0</v>
      </c>
      <c r="BU213" t="b">
        <f t="shared" si="239"/>
        <v>1</v>
      </c>
      <c r="BW213" t="b">
        <f t="shared" si="240"/>
        <v>0</v>
      </c>
    </row>
    <row r="214" spans="1:75">
      <c r="A214" s="89"/>
      <c r="B214" s="5">
        <f>'[44]Dados de entrada'!$B$28</f>
        <v>20</v>
      </c>
      <c r="C214" s="5">
        <f>'[44]Dados de entrada'!$B$31</f>
        <v>1</v>
      </c>
      <c r="D214" s="5">
        <f>'[44]Dados de entrada'!$B$32</f>
        <v>40</v>
      </c>
      <c r="E214" s="11">
        <f>'[44]Dados de entrada'!$B$27</f>
        <v>2.8</v>
      </c>
      <c r="F214" s="5">
        <f>'[44]Dados de entrada'!$B$30</f>
        <v>40</v>
      </c>
      <c r="G214" s="12">
        <f>'[44]Dados de entrada'!$B$22</f>
        <v>50</v>
      </c>
      <c r="H214" s="52">
        <f>'[44]Dados de entrada'!$B$29/(2*'[44]Dados de entrada'!$B$20*G214)</f>
        <v>3.15E-2</v>
      </c>
      <c r="I214" s="53">
        <v>294.14771693820313</v>
      </c>
      <c r="J214" s="4">
        <v>0.21</v>
      </c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11">
        <v>0.24895166761821755</v>
      </c>
      <c r="AE214" s="11">
        <f t="shared" si="241"/>
        <v>1.1854841315153217</v>
      </c>
      <c r="AF214" s="29">
        <f t="shared" si="242"/>
        <v>0.1701512409553072</v>
      </c>
      <c r="AG214" s="11">
        <v>0.2472176947443834</v>
      </c>
      <c r="AH214" s="11">
        <f t="shared" si="243"/>
        <v>1.1772271178303972</v>
      </c>
      <c r="AI214" s="55">
        <f t="shared" si="244"/>
        <v>0.16316177298545503</v>
      </c>
      <c r="AJ214" s="11">
        <v>0.24694195600663396</v>
      </c>
      <c r="AK214" s="11">
        <f t="shared" si="245"/>
        <v>1.1759140762220666</v>
      </c>
      <c r="AL214" s="11">
        <f t="shared" si="246"/>
        <v>0.16204578237008094</v>
      </c>
      <c r="AM214" s="11">
        <v>0.24829908193613023</v>
      </c>
      <c r="AN214" s="11">
        <v>0.32735343612391454</v>
      </c>
      <c r="AO214" s="11">
        <v>1.1823765806482394</v>
      </c>
      <c r="AP214" s="11">
        <f t="shared" si="247"/>
        <v>0.16752646439203298</v>
      </c>
      <c r="AQ214" s="11">
        <v>0.2627506802961358</v>
      </c>
      <c r="AR214" s="11">
        <f t="shared" si="248"/>
        <v>1.2511937156958848</v>
      </c>
      <c r="AS214" s="11">
        <f t="shared" si="249"/>
        <v>0.22409806817472072</v>
      </c>
      <c r="AT214" s="11">
        <v>0.37096260696987954</v>
      </c>
      <c r="AU214" s="11">
        <f t="shared" si="250"/>
        <v>1.766488604618474</v>
      </c>
      <c r="AV214" s="11">
        <f t="shared" si="251"/>
        <v>0.56899373697172972</v>
      </c>
      <c r="AW214" s="11">
        <v>0.30972628353861942</v>
      </c>
      <c r="AX214" s="11">
        <f t="shared" si="252"/>
        <v>1.4748870644696164</v>
      </c>
      <c r="AY214" s="11">
        <f t="shared" si="253"/>
        <v>0.38858142039914501</v>
      </c>
      <c r="AZ214" s="11">
        <v>0.28085846235412198</v>
      </c>
      <c r="BA214" s="11">
        <f t="shared" si="254"/>
        <v>1.3374212493053428</v>
      </c>
      <c r="BB214" s="11">
        <f t="shared" si="255"/>
        <v>0.29074331903054401</v>
      </c>
      <c r="BC214" s="11">
        <v>0.17110398621575354</v>
      </c>
      <c r="BD214" s="11">
        <f t="shared" si="256"/>
        <v>0.81478088674168359</v>
      </c>
      <c r="BE214" s="11">
        <f t="shared" si="257"/>
        <v>-0.20483605251178327</v>
      </c>
      <c r="BF214" s="11">
        <v>0.3198753769664191</v>
      </c>
      <c r="BG214" s="11">
        <f t="shared" si="199"/>
        <v>1.5232160807924719</v>
      </c>
      <c r="BH214" s="11">
        <f t="shared" si="200"/>
        <v>0.42082394224219344</v>
      </c>
      <c r="BI214" s="11">
        <v>0.27881504552406022</v>
      </c>
      <c r="BJ214" s="11">
        <f t="shared" si="258"/>
        <v>1.3276906929717154</v>
      </c>
      <c r="BK214" s="11">
        <f t="shared" si="259"/>
        <v>0.28344111200715971</v>
      </c>
      <c r="BL214" s="11">
        <v>0.33312944429804181</v>
      </c>
      <c r="BM214" s="11">
        <f t="shared" si="201"/>
        <v>1.5863306871335325</v>
      </c>
      <c r="BN214" s="11">
        <f t="shared" si="202"/>
        <v>0.4614236053460426</v>
      </c>
      <c r="BS214" t="b">
        <f t="shared" si="238"/>
        <v>0</v>
      </c>
      <c r="BU214" t="b">
        <f t="shared" si="239"/>
        <v>1</v>
      </c>
      <c r="BW214" t="b">
        <f t="shared" si="240"/>
        <v>0</v>
      </c>
    </row>
    <row r="215" spans="1:75">
      <c r="A215" s="85" t="s">
        <v>81</v>
      </c>
      <c r="B215" s="21">
        <f>'[45]Dados de entrada'!$B$28</f>
        <v>20</v>
      </c>
      <c r="C215" s="21">
        <f>'[45]Dados de entrada'!$B$31</f>
        <v>1</v>
      </c>
      <c r="D215" s="21">
        <f>'[45]Dados de entrada'!$B$32</f>
        <v>40</v>
      </c>
      <c r="E215" s="20">
        <f>'[45]Dados de entrada'!$B$27</f>
        <v>2.8</v>
      </c>
      <c r="F215" s="21">
        <f>'[45]Dados de entrada'!$B$30</f>
        <v>40</v>
      </c>
      <c r="G215" s="56">
        <f>'[45]Dados de entrada'!$B$22</f>
        <v>50</v>
      </c>
      <c r="H215" s="57">
        <f>'[45]Dados de entrada'!$B$29/(2*'[45]Dados de entrada'!$B$20*G215)</f>
        <v>3.15E-2</v>
      </c>
      <c r="I215" s="27" cm="1">
        <f t="array" ref="I215:I219">'[45]fib Model Code 2010'!$K$5:$K$9</f>
        <v>154.30311339788094</v>
      </c>
      <c r="J215" s="19" cm="1">
        <f t="array" ref="J215:J219">'[45]Dados de entrada'!$C$7:$C$11</f>
        <v>0.21</v>
      </c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0" cm="1">
        <f t="array" ref="AD215:AD219">'[45]fib Model Code 2010'!$L$5:$L$9</f>
        <v>0.10198880690611019</v>
      </c>
      <c r="AE215" s="20">
        <f t="shared" si="241"/>
        <v>0.48566098526719137</v>
      </c>
      <c r="AF215" s="54">
        <f t="shared" si="242"/>
        <v>-0.72224445966926254</v>
      </c>
      <c r="AG215" s="20" cm="1">
        <f t="array" ref="AG215:AG219">'[45]fib Model Code 2020'!$L$5:$L$9</f>
        <v>7.6052166346253336E-2</v>
      </c>
      <c r="AH215" s="20">
        <f t="shared" si="243"/>
        <v>0.36215317307739686</v>
      </c>
      <c r="AI215" s="28">
        <f t="shared" si="244"/>
        <v>-1.0156880266025829</v>
      </c>
      <c r="AJ215" s="20" cm="1">
        <f t="array" ref="AJ215:AJ219">'[45]Eurocode 2'!$L$5:$L$9</f>
        <v>0.10116548207582587</v>
      </c>
      <c r="AK215" s="20">
        <f t="shared" si="245"/>
        <v>0.48174039083726611</v>
      </c>
      <c r="AL215" s="20">
        <f t="shared" si="246"/>
        <v>-0.73034991825448869</v>
      </c>
      <c r="AM215" s="20" cm="1">
        <f t="array" ref="AM215:AM219">'[45]NBR 6118'!$Q$5:$Q$9</f>
        <v>0.13025197610025843</v>
      </c>
      <c r="AN215" s="20" cm="1">
        <f t="array" ref="AN215:AN219">'[45]NBR 6118'!$R$5:$R$9</f>
        <v>9.0081439601391769E-2</v>
      </c>
      <c r="AO215" s="20" cm="1">
        <f t="array" ref="AO215:AO219">'[45]NBR 6118'!$W$5:$W$9</f>
        <v>0.42895923619710369</v>
      </c>
      <c r="AP215" s="20">
        <f t="shared" si="247"/>
        <v>-0.84639338508842743</v>
      </c>
      <c r="AQ215" s="20" cm="1">
        <f t="array" ref="AQ215:AQ219">'[45]Clark (1956)'!$L$5:$L$9</f>
        <v>0.1180226144099611</v>
      </c>
      <c r="AR215" s="20">
        <f t="shared" si="248"/>
        <v>0.56201244957124341</v>
      </c>
      <c r="AS215" s="20">
        <f t="shared" si="249"/>
        <v>-0.57623127707180477</v>
      </c>
      <c r="AT215" s="20" cm="1">
        <f t="array" ref="AT215:AT219">'[45]Leonhardt (1977)'!$L$5:$L$9</f>
        <v>0.14010405042378313</v>
      </c>
      <c r="AU215" s="20">
        <f t="shared" si="250"/>
        <v>0.66716214487515779</v>
      </c>
      <c r="AV215" s="20">
        <f t="shared" si="251"/>
        <v>-0.40472216684464679</v>
      </c>
      <c r="AW215" s="20" cm="1">
        <f t="array" ref="AW215:AW219">'[45]Desayi; Ganesan (1985)'!$L$5:$L$9</f>
        <v>0.16247527041389301</v>
      </c>
      <c r="AX215" s="20">
        <f t="shared" si="252"/>
        <v>0.77369176387568106</v>
      </c>
      <c r="AY215" s="20">
        <f t="shared" si="253"/>
        <v>-0.25658172259689305</v>
      </c>
      <c r="AZ215" s="20" cm="1">
        <f t="array" ref="AZ215:AZ219">'[45]Oh; Kang (1987)'!$L$5:$L$9</f>
        <v>0.12409574745560968</v>
      </c>
      <c r="BA215" s="20">
        <f t="shared" si="254"/>
        <v>0.59093213074099848</v>
      </c>
      <c r="BB215" s="20">
        <f t="shared" si="255"/>
        <v>-0.52605410617212167</v>
      </c>
      <c r="BC215" s="20" cm="1">
        <f t="array" ref="BC215:BC219">'[45]Caldas (1997)'!$L$5:$L$9</f>
        <v>8.3577559843738908E-2</v>
      </c>
      <c r="BD215" s="20">
        <f t="shared" si="256"/>
        <v>0.39798838020828053</v>
      </c>
      <c r="BE215" s="20">
        <f t="shared" si="257"/>
        <v>-0.92133246958047654</v>
      </c>
      <c r="BF215" s="20" cm="1">
        <f t="array" ref="BF215:BF219">'[45]Gergely e Lutz (1968)'!$L$5:$L$9</f>
        <v>0.16779925093081291</v>
      </c>
      <c r="BG215" s="20">
        <f t="shared" si="199"/>
        <v>0.79904405205149009</v>
      </c>
      <c r="BH215" s="20">
        <f t="shared" si="200"/>
        <v>-0.22433920075384459</v>
      </c>
      <c r="BI215" s="20" cm="1">
        <f t="array" ref="BI215:BI219">[45]Sugestão!$M$5:$M$9</f>
        <v>7.6052166346253336E-2</v>
      </c>
      <c r="BJ215" s="20">
        <f t="shared" si="258"/>
        <v>0.36215317307739686</v>
      </c>
      <c r="BK215" s="20">
        <f t="shared" si="259"/>
        <v>-1.0156880266025829</v>
      </c>
      <c r="BL215" s="20" cm="1">
        <f t="array" ref="BL215:BL219">'[45]fib Model Code 2020 modificado'!$L$5:$L$9</f>
        <v>0.11162205731925061</v>
      </c>
      <c r="BM215" s="20">
        <f t="shared" si="201"/>
        <v>0.53153360628214574</v>
      </c>
      <c r="BN215" s="20">
        <f t="shared" si="202"/>
        <v>-0.63198885406985683</v>
      </c>
      <c r="BS215" t="b">
        <f t="shared" si="238"/>
        <v>0</v>
      </c>
      <c r="BU215" t="b">
        <f t="shared" si="239"/>
        <v>1</v>
      </c>
      <c r="BW215" t="b">
        <f t="shared" si="240"/>
        <v>0</v>
      </c>
    </row>
    <row r="216" spans="1:75">
      <c r="A216" s="90"/>
      <c r="B216" s="21">
        <f>'[45]Dados de entrada'!$B$28</f>
        <v>20</v>
      </c>
      <c r="C216" s="21">
        <f>'[45]Dados de entrada'!$B$31</f>
        <v>1</v>
      </c>
      <c r="D216" s="21">
        <f>'[45]Dados de entrada'!$B$32</f>
        <v>40</v>
      </c>
      <c r="E216" s="20">
        <f>'[45]Dados de entrada'!$B$27</f>
        <v>2.8</v>
      </c>
      <c r="F216" s="21">
        <f>'[45]Dados de entrada'!$B$30</f>
        <v>40</v>
      </c>
      <c r="G216" s="56">
        <f>'[45]Dados de entrada'!$B$22</f>
        <v>50</v>
      </c>
      <c r="H216" s="57">
        <f>'[45]Dados de entrada'!$B$29/(2*'[45]Dados de entrada'!$B$20*G216)</f>
        <v>3.15E-2</v>
      </c>
      <c r="I216" s="27">
        <v>190.33087566589617</v>
      </c>
      <c r="J216" s="19">
        <v>0.25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0">
        <v>0.13985042525905989</v>
      </c>
      <c r="AE216" s="20">
        <f t="shared" si="241"/>
        <v>0.55940170103623954</v>
      </c>
      <c r="AF216" s="54">
        <f t="shared" si="242"/>
        <v>-0.58088745739616321</v>
      </c>
      <c r="AG216" s="20">
        <v>0.12014904823865298</v>
      </c>
      <c r="AH216" s="20">
        <f t="shared" si="243"/>
        <v>0.48059619295461192</v>
      </c>
      <c r="AI216" s="28">
        <f t="shared" si="244"/>
        <v>-0.73272787715389831</v>
      </c>
      <c r="AJ216" s="20">
        <v>0.13872145502071204</v>
      </c>
      <c r="AK216" s="20">
        <f t="shared" si="245"/>
        <v>0.55488582008284815</v>
      </c>
      <c r="AL216" s="20">
        <f t="shared" si="246"/>
        <v>-0.58899291598138936</v>
      </c>
      <c r="AM216" s="20">
        <v>0.16066411184102541</v>
      </c>
      <c r="AN216" s="20">
        <v>0.13705801304842097</v>
      </c>
      <c r="AO216" s="20">
        <v>0.54823205219368387</v>
      </c>
      <c r="AP216" s="20">
        <f t="shared" si="247"/>
        <v>-0.60105662875681987</v>
      </c>
      <c r="AQ216" s="20">
        <v>0.15530848901114511</v>
      </c>
      <c r="AR216" s="20">
        <f t="shared" si="248"/>
        <v>0.62123395604458043</v>
      </c>
      <c r="AS216" s="20">
        <f t="shared" si="249"/>
        <v>-0.47604752718513033</v>
      </c>
      <c r="AT216" s="20">
        <v>0.20460235210887237</v>
      </c>
      <c r="AU216" s="20">
        <f t="shared" si="250"/>
        <v>0.81840940843548948</v>
      </c>
      <c r="AV216" s="20">
        <f t="shared" si="251"/>
        <v>-0.20039256827750432</v>
      </c>
      <c r="AW216" s="20">
        <v>0.20041112464263613</v>
      </c>
      <c r="AX216" s="20">
        <f t="shared" si="252"/>
        <v>0.80164449857054454</v>
      </c>
      <c r="AY216" s="20">
        <f t="shared" si="253"/>
        <v>-0.22109003800347818</v>
      </c>
      <c r="AZ216" s="20">
        <v>0.16448207400573495</v>
      </c>
      <c r="BA216" s="20">
        <f t="shared" si="254"/>
        <v>0.65792829602293978</v>
      </c>
      <c r="BB216" s="20">
        <f t="shared" si="255"/>
        <v>-0.41865932620428004</v>
      </c>
      <c r="BC216" s="20">
        <v>0.10612674087517321</v>
      </c>
      <c r="BD216" s="20">
        <f t="shared" si="256"/>
        <v>0.42450696350069284</v>
      </c>
      <c r="BE216" s="20">
        <f t="shared" si="257"/>
        <v>-0.85682686935893571</v>
      </c>
      <c r="BF216" s="20">
        <v>0.20697818509591828</v>
      </c>
      <c r="BG216" s="20">
        <f t="shared" si="199"/>
        <v>0.82791274038367313</v>
      </c>
      <c r="BH216" s="20">
        <f t="shared" si="200"/>
        <v>-0.18884751616042969</v>
      </c>
      <c r="BI216" s="20">
        <v>0.12014904823865298</v>
      </c>
      <c r="BJ216" s="20">
        <f t="shared" si="258"/>
        <v>0.48059619295461192</v>
      </c>
      <c r="BK216" s="20">
        <f t="shared" si="259"/>
        <v>-0.73272787715389831</v>
      </c>
      <c r="BL216" s="20">
        <v>0.16704213558685027</v>
      </c>
      <c r="BM216" s="20">
        <f t="shared" si="201"/>
        <v>0.66816854234740108</v>
      </c>
      <c r="BN216" s="20">
        <f t="shared" si="202"/>
        <v>-0.40321482836673467</v>
      </c>
      <c r="BS216" t="b">
        <f t="shared" si="238"/>
        <v>0</v>
      </c>
      <c r="BU216" t="b">
        <f t="shared" si="239"/>
        <v>1</v>
      </c>
      <c r="BW216" t="b">
        <f t="shared" si="240"/>
        <v>0</v>
      </c>
    </row>
    <row r="217" spans="1:75">
      <c r="A217" s="90"/>
      <c r="B217" s="21">
        <f>'[45]Dados de entrada'!$B$28</f>
        <v>20</v>
      </c>
      <c r="C217" s="21">
        <f>'[45]Dados de entrada'!$B$31</f>
        <v>1</v>
      </c>
      <c r="D217" s="21">
        <f>'[45]Dados de entrada'!$B$32</f>
        <v>40</v>
      </c>
      <c r="E217" s="20">
        <f>'[45]Dados de entrada'!$B$27</f>
        <v>2.8</v>
      </c>
      <c r="F217" s="21">
        <f>'[45]Dados de entrada'!$B$30</f>
        <v>40</v>
      </c>
      <c r="G217" s="56">
        <f>'[45]Dados de entrada'!$B$22</f>
        <v>50</v>
      </c>
      <c r="H217" s="57">
        <f>'[45]Dados de entrada'!$B$29/(2*'[45]Dados de entrada'!$B$20*G217)</f>
        <v>3.15E-2</v>
      </c>
      <c r="I217" s="27">
        <v>224.34392754392366</v>
      </c>
      <c r="J217" s="19">
        <v>0.28999999999999998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0">
        <v>0.17559478205937751</v>
      </c>
      <c r="AE217" s="20">
        <f t="shared" si="241"/>
        <v>0.6054992484806121</v>
      </c>
      <c r="AF217" s="54">
        <f t="shared" si="242"/>
        <v>-0.5017019571448188</v>
      </c>
      <c r="AG217" s="20">
        <v>0.16177998607785915</v>
      </c>
      <c r="AH217" s="20">
        <f t="shared" si="243"/>
        <v>0.55786202095813509</v>
      </c>
      <c r="AI217" s="28">
        <f t="shared" si="244"/>
        <v>-0.58364362144672399</v>
      </c>
      <c r="AJ217" s="20">
        <v>0.17417725842591705</v>
      </c>
      <c r="AK217" s="20">
        <f t="shared" si="245"/>
        <v>0.60061123595143817</v>
      </c>
      <c r="AL217" s="20">
        <f t="shared" si="246"/>
        <v>-0.50980741573004484</v>
      </c>
      <c r="AM217" s="20">
        <v>0.18937556893839419</v>
      </c>
      <c r="AN217" s="20">
        <v>0.19042088424647874</v>
      </c>
      <c r="AO217" s="20">
        <v>0.65301920323584206</v>
      </c>
      <c r="AP217" s="20">
        <f t="shared" si="247"/>
        <v>-0.42614874242624812</v>
      </c>
      <c r="AQ217" s="20">
        <v>0.1905092982563418</v>
      </c>
      <c r="AR217" s="20">
        <f t="shared" si="248"/>
        <v>0.65692861467704078</v>
      </c>
      <c r="AS217" s="20">
        <f t="shared" si="249"/>
        <v>-0.42017991986034436</v>
      </c>
      <c r="AT217" s="20">
        <v>0.26129919414968328</v>
      </c>
      <c r="AU217" s="20">
        <f t="shared" si="250"/>
        <v>0.90103170396442511</v>
      </c>
      <c r="AV217" s="20">
        <f t="shared" si="251"/>
        <v>-0.10421483446298216</v>
      </c>
      <c r="AW217" s="20">
        <v>0.23622556597042974</v>
      </c>
      <c r="AX217" s="20">
        <f t="shared" si="252"/>
        <v>0.81457091713941299</v>
      </c>
      <c r="AY217" s="20">
        <f t="shared" si="253"/>
        <v>-0.20509378641913559</v>
      </c>
      <c r="AZ217" s="20">
        <v>0.20260995466325438</v>
      </c>
      <c r="BA217" s="20">
        <f t="shared" si="254"/>
        <v>0.69865501608018754</v>
      </c>
      <c r="BB217" s="20">
        <f t="shared" si="255"/>
        <v>-0.35859819780609781</v>
      </c>
      <c r="BC217" s="20">
        <v>0.12741494796734962</v>
      </c>
      <c r="BD217" s="20">
        <f t="shared" si="256"/>
        <v>0.43936188954258493</v>
      </c>
      <c r="BE217" s="20">
        <f t="shared" si="257"/>
        <v>-0.82243185574129218</v>
      </c>
      <c r="BF217" s="20">
        <v>0.24396619202152753</v>
      </c>
      <c r="BG217" s="20">
        <f t="shared" si="199"/>
        <v>0.84126273110871563</v>
      </c>
      <c r="BH217" s="20">
        <f t="shared" si="200"/>
        <v>-0.17285126457608735</v>
      </c>
      <c r="BI217" s="20">
        <v>0.1680318009672013</v>
      </c>
      <c r="BJ217" s="20">
        <f t="shared" si="258"/>
        <v>0.57942000333517696</v>
      </c>
      <c r="BK217" s="20">
        <f t="shared" si="259"/>
        <v>-0.54572767001919442</v>
      </c>
      <c r="BL217" s="20">
        <v>0.22041159899105203</v>
      </c>
      <c r="BM217" s="20">
        <f t="shared" si="201"/>
        <v>0.76003999652086918</v>
      </c>
      <c r="BN217" s="20">
        <f t="shared" si="202"/>
        <v>-0.27438422008536867</v>
      </c>
      <c r="BS217" t="b">
        <f t="shared" si="238"/>
        <v>0</v>
      </c>
      <c r="BU217" t="b">
        <f t="shared" si="239"/>
        <v>1</v>
      </c>
      <c r="BW217" t="b">
        <f t="shared" si="240"/>
        <v>0</v>
      </c>
    </row>
    <row r="218" spans="1:75">
      <c r="A218" s="90"/>
      <c r="B218" s="21">
        <f>'[45]Dados de entrada'!$B$28</f>
        <v>20</v>
      </c>
      <c r="C218" s="21">
        <f>'[45]Dados de entrada'!$B$31</f>
        <v>1</v>
      </c>
      <c r="D218" s="21">
        <f>'[45]Dados de entrada'!$B$32</f>
        <v>40</v>
      </c>
      <c r="E218" s="20">
        <f>'[45]Dados de entrada'!$B$27</f>
        <v>2.8</v>
      </c>
      <c r="F218" s="21">
        <f>'[45]Dados de entrada'!$B$30</f>
        <v>40</v>
      </c>
      <c r="G218" s="56">
        <f>'[45]Dados de entrada'!$B$22</f>
        <v>50</v>
      </c>
      <c r="H218" s="57">
        <f>'[45]Dados de entrada'!$B$29/(2*'[45]Dados de entrada'!$B$20*G218)</f>
        <v>3.15E-2</v>
      </c>
      <c r="I218" s="27">
        <v>258.47549179783277</v>
      </c>
      <c r="J218" s="19">
        <v>0.33</v>
      </c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0">
        <v>0.21146368365690876</v>
      </c>
      <c r="AE218" s="20">
        <f t="shared" si="241"/>
        <v>0.640799041384572</v>
      </c>
      <c r="AF218" s="54">
        <f t="shared" si="242"/>
        <v>-0.44503937919575448</v>
      </c>
      <c r="AG218" s="20">
        <v>0.2035559794496061</v>
      </c>
      <c r="AH218" s="20">
        <f t="shared" si="243"/>
        <v>0.61683630136244272</v>
      </c>
      <c r="AI218" s="28">
        <f t="shared" si="244"/>
        <v>-0.48315160411589975</v>
      </c>
      <c r="AJ218" s="20">
        <v>0.20975660121580914</v>
      </c>
      <c r="AK218" s="20">
        <f t="shared" si="245"/>
        <v>0.63562606429033064</v>
      </c>
      <c r="AL218" s="20">
        <f t="shared" si="246"/>
        <v>-0.45314483778098091</v>
      </c>
      <c r="AM218" s="20">
        <v>0.21818706595596291</v>
      </c>
      <c r="AN218" s="20">
        <v>0.25276950663150632</v>
      </c>
      <c r="AO218" s="20">
        <v>0.66117292713928155</v>
      </c>
      <c r="AP218" s="20">
        <f t="shared" si="247"/>
        <v>-0.41373985891394799</v>
      </c>
      <c r="AQ218" s="20">
        <v>0.22583275840483186</v>
      </c>
      <c r="AR218" s="20">
        <f t="shared" si="248"/>
        <v>0.68434169213585405</v>
      </c>
      <c r="AS218" s="20">
        <f t="shared" si="249"/>
        <v>-0.37929793618688296</v>
      </c>
      <c r="AT218" s="20">
        <v>0.31574879558393154</v>
      </c>
      <c r="AU218" s="20">
        <f t="shared" si="250"/>
        <v>0.95681453207251976</v>
      </c>
      <c r="AV218" s="20">
        <f t="shared" si="251"/>
        <v>-4.4145707698224977E-2</v>
      </c>
      <c r="AW218" s="20">
        <v>0.27216479629239682</v>
      </c>
      <c r="AX218" s="20">
        <f t="shared" si="252"/>
        <v>0.824741806946657</v>
      </c>
      <c r="AY218" s="20">
        <f t="shared" si="253"/>
        <v>-0.19268490290683588</v>
      </c>
      <c r="AZ218" s="20">
        <v>0.2408706850791624</v>
      </c>
      <c r="BA218" s="20">
        <f t="shared" si="254"/>
        <v>0.72991116690655267</v>
      </c>
      <c r="BB218" s="20">
        <f t="shared" si="255"/>
        <v>-0.31483244141353384</v>
      </c>
      <c r="BC218" s="20">
        <v>0.14877732999712945</v>
      </c>
      <c r="BD218" s="20">
        <f t="shared" si="256"/>
        <v>0.45084039393069525</v>
      </c>
      <c r="BE218" s="20">
        <f t="shared" si="257"/>
        <v>-0.79664189583813427</v>
      </c>
      <c r="BF218" s="20">
        <v>0.28108307702004831</v>
      </c>
      <c r="BG218" s="20">
        <f t="shared" si="199"/>
        <v>0.8517669000607524</v>
      </c>
      <c r="BH218" s="20">
        <f t="shared" si="200"/>
        <v>-0.16044238106378761</v>
      </c>
      <c r="BI218" s="20">
        <v>0.22220085772844975</v>
      </c>
      <c r="BJ218" s="20">
        <f t="shared" si="258"/>
        <v>0.67333593251045376</v>
      </c>
      <c r="BK218" s="20">
        <f t="shared" si="259"/>
        <v>-0.39551091709840647</v>
      </c>
      <c r="BL218" s="20">
        <v>0.27499072077096748</v>
      </c>
      <c r="BM218" s="20">
        <f t="shared" si="201"/>
        <v>0.83330521445747718</v>
      </c>
      <c r="BN218" s="20">
        <f t="shared" si="202"/>
        <v>-0.18235530001427805</v>
      </c>
      <c r="BS218" t="b">
        <f t="shared" si="238"/>
        <v>0</v>
      </c>
      <c r="BU218" t="b">
        <f t="shared" si="239"/>
        <v>1</v>
      </c>
      <c r="BW218" t="b">
        <f t="shared" si="240"/>
        <v>0</v>
      </c>
    </row>
    <row r="219" spans="1:75">
      <c r="A219" s="86"/>
      <c r="B219" s="21">
        <f>'[45]Dados de entrada'!$B$28</f>
        <v>20</v>
      </c>
      <c r="C219" s="21">
        <f>'[45]Dados de entrada'!$B$31</f>
        <v>1</v>
      </c>
      <c r="D219" s="21">
        <f>'[45]Dados de entrada'!$B$32</f>
        <v>40</v>
      </c>
      <c r="E219" s="20">
        <f>'[45]Dados de entrada'!$B$27</f>
        <v>2.8</v>
      </c>
      <c r="F219" s="21">
        <f>'[45]Dados de entrada'!$B$30</f>
        <v>40</v>
      </c>
      <c r="G219" s="56">
        <f>'[45]Dados de entrada'!$B$22</f>
        <v>50</v>
      </c>
      <c r="H219" s="57">
        <f>'[45]Dados de entrada'!$B$29/(2*'[45]Dados de entrada'!$B$20*G219)</f>
        <v>3.15E-2</v>
      </c>
      <c r="I219" s="27">
        <v>306.71002878165581</v>
      </c>
      <c r="J219" s="19">
        <v>0.37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0">
        <v>0.26215341612286447</v>
      </c>
      <c r="AE219" s="20">
        <f t="shared" si="241"/>
        <v>0.70852274627801204</v>
      </c>
      <c r="AF219" s="54">
        <f t="shared" si="242"/>
        <v>-0.34457311552834324</v>
      </c>
      <c r="AG219" s="20">
        <v>0.26259358119370696</v>
      </c>
      <c r="AH219" s="20">
        <f t="shared" si="243"/>
        <v>0.70971238160461336</v>
      </c>
      <c r="AI219" s="28">
        <f t="shared" si="244"/>
        <v>-0.34289548735199127</v>
      </c>
      <c r="AJ219" s="20">
        <v>0.26003713078346924</v>
      </c>
      <c r="AK219" s="20">
        <f t="shared" si="245"/>
        <v>0.70280305617153849</v>
      </c>
      <c r="AL219" s="20">
        <f t="shared" si="246"/>
        <v>-0.35267857411356951</v>
      </c>
      <c r="AM219" s="20">
        <v>0.25890331347731865</v>
      </c>
      <c r="AN219" s="20">
        <v>0.35591139567956681</v>
      </c>
      <c r="AO219" s="20">
        <v>0.69973868507383419</v>
      </c>
      <c r="AP219" s="20">
        <f t="shared" si="247"/>
        <v>-0.35704832067253017</v>
      </c>
      <c r="AQ219" s="20">
        <v>0.27575167604523287</v>
      </c>
      <c r="AR219" s="20">
        <f t="shared" si="248"/>
        <v>0.745274800122251</v>
      </c>
      <c r="AS219" s="20">
        <f t="shared" si="249"/>
        <v>-0.2940022693899193</v>
      </c>
      <c r="AT219" s="20">
        <v>0.39010522592092528</v>
      </c>
      <c r="AU219" s="20">
        <f t="shared" si="250"/>
        <v>1.0543384484349332</v>
      </c>
      <c r="AV219" s="20">
        <f t="shared" si="251"/>
        <v>5.2913507146889853E-2</v>
      </c>
      <c r="AW219" s="20">
        <v>0.32295391692101011</v>
      </c>
      <c r="AX219" s="20">
        <f t="shared" si="252"/>
        <v>0.87284842411083818</v>
      </c>
      <c r="AY219" s="20">
        <f t="shared" si="253"/>
        <v>-0.13599336466541775</v>
      </c>
      <c r="AZ219" s="20">
        <v>0.29494053674331033</v>
      </c>
      <c r="BA219" s="20">
        <f t="shared" si="254"/>
        <v>0.79713658579273061</v>
      </c>
      <c r="BB219" s="20">
        <f t="shared" si="255"/>
        <v>-0.22672923997814595</v>
      </c>
      <c r="BC219" s="20">
        <v>0.17896652960171419</v>
      </c>
      <c r="BD219" s="20">
        <f t="shared" si="256"/>
        <v>0.48369332324787617</v>
      </c>
      <c r="BE219" s="20">
        <f t="shared" si="257"/>
        <v>-0.72630420274676066</v>
      </c>
      <c r="BF219" s="20">
        <v>0.33353645269504134</v>
      </c>
      <c r="BG219" s="20">
        <f t="shared" si="199"/>
        <v>0.90144987214876038</v>
      </c>
      <c r="BH219" s="20">
        <f t="shared" si="200"/>
        <v>-0.10375084282236942</v>
      </c>
      <c r="BI219" s="20">
        <v>0.29875226780424197</v>
      </c>
      <c r="BJ219" s="20">
        <f t="shared" si="258"/>
        <v>0.80743856163308636</v>
      </c>
      <c r="BK219" s="20">
        <f t="shared" si="259"/>
        <v>-0.21388831144481893</v>
      </c>
      <c r="BL219" s="20">
        <v>0.35387024043862264</v>
      </c>
      <c r="BM219" s="20">
        <f t="shared" si="201"/>
        <v>0.95640605523952071</v>
      </c>
      <c r="BN219" s="20">
        <f t="shared" si="202"/>
        <v>-4.4572712134529416E-2</v>
      </c>
      <c r="BS219" t="b">
        <f t="shared" si="238"/>
        <v>0</v>
      </c>
      <c r="BU219" t="b">
        <f t="shared" si="239"/>
        <v>1</v>
      </c>
      <c r="BW219" t="b">
        <f t="shared" si="240"/>
        <v>0</v>
      </c>
    </row>
    <row r="220" spans="1:75">
      <c r="A220" s="87" t="s">
        <v>85</v>
      </c>
      <c r="B220" s="5">
        <f>'[46]Dados de entrada'!$B$28</f>
        <v>20</v>
      </c>
      <c r="C220" s="5">
        <f>'[46]Dados de entrada'!$B$31</f>
        <v>6</v>
      </c>
      <c r="D220" s="5">
        <f>'[46]Dados de entrada'!$B$32</f>
        <v>84</v>
      </c>
      <c r="E220" s="11">
        <f>'[46]Dados de entrada'!$B$27</f>
        <v>3.5088212858554391</v>
      </c>
      <c r="F220" s="5">
        <f>'[46]Dados de entrada'!$B$30</f>
        <v>50</v>
      </c>
      <c r="G220" s="12">
        <f>'[46]Dados de entrada'!$B$22</f>
        <v>64</v>
      </c>
      <c r="H220" s="52">
        <f>'[46]Dados de entrada'!$B$29/(2*'[46]Dados de entrada'!$B$20*G220)</f>
        <v>2.4531250000000001E-2</v>
      </c>
      <c r="I220" s="53" cm="1">
        <f t="array" ref="I220:I222">'[46]fib Model Code 2010'!$K$5:$K$7</f>
        <v>179.8880402629556</v>
      </c>
      <c r="J220" s="4" cm="1">
        <f t="array" ref="J220:J222">'[46]Dados de entrada'!$C$7:$C$9</f>
        <v>0.15</v>
      </c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11" cm="1">
        <f t="array" ref="AD220:AD222">'[46]fib Model Code 2010'!$L$5:$L$7</f>
        <v>0.13165888294921016</v>
      </c>
      <c r="AE220" s="11">
        <f t="shared" ref="AE220:AE225" si="260">AD220/J220</f>
        <v>0.87772588632806781</v>
      </c>
      <c r="AF220" s="29">
        <f t="shared" ref="AF220:AF225" si="261">LN(AE220)</f>
        <v>-0.13042093645215466</v>
      </c>
      <c r="AG220" s="11" cm="1">
        <f t="array" ref="AG220:AG222">'[46]fib Model Code 2020'!$L$5:$L$7</f>
        <v>0.11112967472357412</v>
      </c>
      <c r="AH220" s="11">
        <f t="shared" ref="AH220:AH225" si="262">AG220/J220</f>
        <v>0.74086449815716082</v>
      </c>
      <c r="AI220" s="55">
        <f t="shared" ref="AI220:AI225" si="263">LN(AH220)</f>
        <v>-0.2999375338932288</v>
      </c>
      <c r="AJ220" s="11" cm="1">
        <f t="array" ref="AJ220:AJ222">'[46]Eurocode 2'!$L$5:$L$7</f>
        <v>0.14372200877992905</v>
      </c>
      <c r="AK220" s="11">
        <f t="shared" ref="AK220:AK225" si="264">AJ220/J220</f>
        <v>0.95814672519952704</v>
      </c>
      <c r="AL220" s="11">
        <f t="shared" ref="AL220:AL225" si="265">LN(AK220)</f>
        <v>-4.2754354910422954E-2</v>
      </c>
      <c r="AM220" s="11" cm="1">
        <f t="array" ref="AM220:AM222">'[46]NBR 6118'!$Q$5:$Q$7</f>
        <v>0.18553423573636568</v>
      </c>
      <c r="AN220" s="11" cm="1">
        <f t="array" ref="AN220:AN222">'[46]NBR 6118'!$R$5:$R$7</f>
        <v>0.1026441456405006</v>
      </c>
      <c r="AO220" s="11" cm="1">
        <f t="array" ref="AO220:AO222">'[46]NBR 6118'!$W$5:$W$7</f>
        <v>0.68429430427000404</v>
      </c>
      <c r="AP220" s="11">
        <f t="shared" ref="AP220:AP263" si="266">LN(AO220)</f>
        <v>-0.37936718449833084</v>
      </c>
      <c r="AQ220" s="11" cm="1">
        <f t="array" ref="AQ220:AQ222">'[46]Clark (1956)'!$L$5:$L$7</f>
        <v>0.1794510728837965</v>
      </c>
      <c r="AR220" s="11">
        <f t="shared" ref="AR220:AR225" si="267">AQ220/J220</f>
        <v>1.1963404858919766</v>
      </c>
      <c r="AS220" s="11">
        <f t="shared" ref="AS220:AS225" si="268">LN(AR220)</f>
        <v>0.17926730221337758</v>
      </c>
      <c r="AT220" s="11" cm="1">
        <f t="array" ref="AT220:AT222">'[46]Leonhardt (1977)'!$L$5:$L$7</f>
        <v>0.18142626809901571</v>
      </c>
      <c r="AU220" s="11">
        <f t="shared" ref="AU220:AU225" si="269">AT220/J220</f>
        <v>1.2095084539934382</v>
      </c>
      <c r="AV220" s="11">
        <f t="shared" ref="AV220:AV225" si="270">LN(AU220)</f>
        <v>0.19021404070324302</v>
      </c>
      <c r="AW220" s="11" cm="1">
        <f t="array" ref="AW220:AW222">'[46]Desayi; Ganesan (1985)'!$L$5:$L$7</f>
        <v>0.24579967428747088</v>
      </c>
      <c r="AX220" s="11">
        <f t="shared" ref="AX220:AX225" si="271">AW220/J220</f>
        <v>1.638664495249806</v>
      </c>
      <c r="AY220" s="11">
        <f t="shared" ref="AY220:AY225" si="272">LN(AX220)</f>
        <v>0.49388157792280274</v>
      </c>
      <c r="AZ220" s="11" cm="1">
        <f t="array" ref="AZ220:AZ222">'[46]Oh; Kang (1987)'!$L$5:$L$7</f>
        <v>9.6590039935230895E-2</v>
      </c>
      <c r="BA220" s="11">
        <f t="shared" ref="BA220:BA225" si="273">AZ220/J220</f>
        <v>0.64393359956820595</v>
      </c>
      <c r="BB220" s="11">
        <f t="shared" ref="BB220:BB225" si="274">LN(BA220)</f>
        <v>-0.44015966445414911</v>
      </c>
      <c r="BC220" s="11" cm="1">
        <f t="array" ref="BC220:BC222">'[46]Caldas (1997)'!$L$5:$L$7</f>
        <v>0.22462944676363292</v>
      </c>
      <c r="BD220" s="11">
        <f t="shared" ref="BD220:BD225" si="275">BC220/J220</f>
        <v>1.4975296450908862</v>
      </c>
      <c r="BE220" s="11">
        <f t="shared" ref="BE220:BE225" si="276">LN(BD220)</f>
        <v>0.4038168471994254</v>
      </c>
      <c r="BF220" s="11" cm="1">
        <f t="array" ref="BF220:BF222">'[46]Gergely e Lutz (1968)'!$L$5:$L$7</f>
        <v>0.23457569596147687</v>
      </c>
      <c r="BG220" s="11">
        <f t="shared" si="199"/>
        <v>1.5638379730765126</v>
      </c>
      <c r="BH220" s="11">
        <f t="shared" si="200"/>
        <v>0.44714303897933311</v>
      </c>
      <c r="BI220" s="11" cm="1">
        <f t="array" ref="BI220:BI222">[46]Sugestão!$M$5:$M$7</f>
        <v>0.11112967472357412</v>
      </c>
      <c r="BJ220" s="11">
        <f t="shared" ref="BJ220:BJ225" si="277">BI220/J220</f>
        <v>0.74086449815716082</v>
      </c>
      <c r="BK220" s="11">
        <f t="shared" ref="BK220:BK225" si="278">LN(BJ220)</f>
        <v>-0.2999375338932288</v>
      </c>
      <c r="BL220" s="11" cm="1">
        <f t="array" ref="BL220:BL222">'[46]fib Model Code 2020 modificado'!$L$5:$L$7</f>
        <v>0.14576001344535874</v>
      </c>
      <c r="BM220" s="11">
        <f t="shared" si="201"/>
        <v>0.97173342296905829</v>
      </c>
      <c r="BN220" s="11">
        <f t="shared" si="202"/>
        <v>-2.8673768341481026E-2</v>
      </c>
      <c r="BS220" t="b">
        <f t="shared" si="238"/>
        <v>0</v>
      </c>
      <c r="BU220" t="b">
        <f t="shared" si="239"/>
        <v>0</v>
      </c>
      <c r="BW220" t="b">
        <f t="shared" si="240"/>
        <v>0</v>
      </c>
    </row>
    <row r="221" spans="1:75">
      <c r="A221" s="88"/>
      <c r="B221" s="5">
        <f>'[46]Dados de entrada'!$B$28</f>
        <v>20</v>
      </c>
      <c r="C221" s="5">
        <f>'[46]Dados de entrada'!$B$31</f>
        <v>6</v>
      </c>
      <c r="D221" s="5">
        <f>'[46]Dados de entrada'!$B$32</f>
        <v>84</v>
      </c>
      <c r="E221" s="11">
        <f>'[46]Dados de entrada'!$B$27</f>
        <v>3.5088212858554391</v>
      </c>
      <c r="F221" s="5">
        <f>'[46]Dados de entrada'!$B$30</f>
        <v>50</v>
      </c>
      <c r="G221" s="12">
        <f>'[46]Dados de entrada'!$B$22</f>
        <v>64</v>
      </c>
      <c r="H221" s="52">
        <f>'[46]Dados de entrada'!$B$29/(2*'[46]Dados de entrada'!$B$20*G221)</f>
        <v>2.4531250000000001E-2</v>
      </c>
      <c r="I221" s="53">
        <v>225.29667178564338</v>
      </c>
      <c r="J221" s="4">
        <v>0.23</v>
      </c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11">
        <v>0.19201766444682036</v>
      </c>
      <c r="AE221" s="11">
        <f t="shared" si="260"/>
        <v>0.83485941063834934</v>
      </c>
      <c r="AF221" s="29">
        <f t="shared" si="261"/>
        <v>-0.18049193880017905</v>
      </c>
      <c r="AG221" s="11">
        <v>0.15812571226520117</v>
      </c>
      <c r="AH221" s="11">
        <f t="shared" si="262"/>
        <v>0.68750309680522248</v>
      </c>
      <c r="AI221" s="55">
        <f t="shared" si="263"/>
        <v>-0.3746889450075957</v>
      </c>
      <c r="AJ221" s="11">
        <v>0.19235738777105407</v>
      </c>
      <c r="AK221" s="11">
        <f t="shared" si="264"/>
        <v>0.83633646856980026</v>
      </c>
      <c r="AL221" s="11">
        <f t="shared" si="265"/>
        <v>-0.17872427250272807</v>
      </c>
      <c r="AM221" s="11">
        <v>0.23236812048535119</v>
      </c>
      <c r="AN221" s="11">
        <v>0.16100492295254692</v>
      </c>
      <c r="AO221" s="11">
        <v>0.70002140414150837</v>
      </c>
      <c r="AP221" s="11">
        <f t="shared" si="266"/>
        <v>-0.3566443670611979</v>
      </c>
      <c r="AQ221" s="11">
        <v>0.2397953842270677</v>
      </c>
      <c r="AR221" s="11">
        <f t="shared" si="267"/>
        <v>1.0425886270742073</v>
      </c>
      <c r="AS221" s="11">
        <f t="shared" si="268"/>
        <v>4.1706685057390815E-2</v>
      </c>
      <c r="AT221" s="11">
        <v>0.28653185735533826</v>
      </c>
      <c r="AU221" s="11">
        <f t="shared" si="269"/>
        <v>1.2457906841536446</v>
      </c>
      <c r="AV221" s="11">
        <f t="shared" si="270"/>
        <v>0.21977041600744845</v>
      </c>
      <c r="AW221" s="11">
        <v>0.30784619401052171</v>
      </c>
      <c r="AX221" s="11">
        <f t="shared" si="271"/>
        <v>1.3384617130892247</v>
      </c>
      <c r="AY221" s="11">
        <f t="shared" si="272"/>
        <v>0.29152097922789905</v>
      </c>
      <c r="AZ221" s="11">
        <v>0.12839861103259623</v>
      </c>
      <c r="BA221" s="11">
        <f t="shared" si="273"/>
        <v>0.55825483057650527</v>
      </c>
      <c r="BB221" s="11">
        <f t="shared" si="274"/>
        <v>-0.58293973522898901</v>
      </c>
      <c r="BC221" s="11">
        <v>0.29310374580479831</v>
      </c>
      <c r="BD221" s="11">
        <f t="shared" si="275"/>
        <v>1.2743641121947753</v>
      </c>
      <c r="BE221" s="11">
        <f t="shared" si="276"/>
        <v>0.24244731866694688</v>
      </c>
      <c r="BF221" s="11">
        <v>0.29378897843718943</v>
      </c>
      <c r="BG221" s="11">
        <f t="shared" ref="BG221:BG271" si="279">BF221/J221</f>
        <v>1.2773433845095192</v>
      </c>
      <c r="BH221" s="11">
        <f t="shared" ref="BH221:BH271" si="280">LN(BG221)</f>
        <v>0.24478244028442955</v>
      </c>
      <c r="BI221" s="11">
        <v>0.17447193318140625</v>
      </c>
      <c r="BJ221" s="11">
        <f t="shared" si="277"/>
        <v>0.75857362252785321</v>
      </c>
      <c r="BK221" s="11">
        <f t="shared" si="278"/>
        <v>-0.27631542158437289</v>
      </c>
      <c r="BL221" s="11">
        <v>0.20417558556107207</v>
      </c>
      <c r="BM221" s="11">
        <f t="shared" ref="BM221:BM271" si="281">BL221/J221</f>
        <v>0.88771993722205245</v>
      </c>
      <c r="BN221" s="11">
        <f t="shared" ref="BN221:BN271" si="282">LN(BM221)</f>
        <v>-0.11909897174579667</v>
      </c>
      <c r="BS221" t="b">
        <f t="shared" si="238"/>
        <v>0</v>
      </c>
      <c r="BU221" t="b">
        <f t="shared" si="239"/>
        <v>0</v>
      </c>
      <c r="BW221" t="b">
        <f t="shared" si="240"/>
        <v>0</v>
      </c>
    </row>
    <row r="222" spans="1:75">
      <c r="A222" s="89"/>
      <c r="B222" s="5">
        <f>'[46]Dados de entrada'!$B$28</f>
        <v>20</v>
      </c>
      <c r="C222" s="5">
        <f>'[46]Dados de entrada'!$B$31</f>
        <v>6</v>
      </c>
      <c r="D222" s="5">
        <f>'[46]Dados de entrada'!$B$32</f>
        <v>84</v>
      </c>
      <c r="E222" s="11">
        <f>'[46]Dados de entrada'!$B$27</f>
        <v>3.5088212858554391</v>
      </c>
      <c r="F222" s="5">
        <f>'[46]Dados de entrada'!$B$30</f>
        <v>50</v>
      </c>
      <c r="G222" s="12">
        <f>'[46]Dados de entrada'!$B$22</f>
        <v>64</v>
      </c>
      <c r="H222" s="52">
        <f>'[46]Dados de entrada'!$B$29/(2*'[46]Dados de entrada'!$B$20*G222)</f>
        <v>2.4531250000000001E-2</v>
      </c>
      <c r="I222" s="53">
        <v>270.70530330833117</v>
      </c>
      <c r="J222" s="4">
        <v>0.28000000000000003</v>
      </c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11">
        <v>0.25237644594443065</v>
      </c>
      <c r="AE222" s="11">
        <f t="shared" si="260"/>
        <v>0.90134444980153794</v>
      </c>
      <c r="AF222" s="29">
        <f t="shared" si="261"/>
        <v>-0.10386779720375283</v>
      </c>
      <c r="AG222" s="11">
        <v>0.22825608951794205</v>
      </c>
      <c r="AH222" s="11">
        <f t="shared" si="262"/>
        <v>0.81520031970693585</v>
      </c>
      <c r="AI222" s="55">
        <f t="shared" si="263"/>
        <v>-0.20432140489149103</v>
      </c>
      <c r="AJ222" s="11">
        <v>0.25282295780791741</v>
      </c>
      <c r="AK222" s="11">
        <f t="shared" si="264"/>
        <v>0.90293913502827639</v>
      </c>
      <c r="AL222" s="11">
        <f t="shared" si="265"/>
        <v>-0.10210013090630196</v>
      </c>
      <c r="AM222" s="11">
        <v>0.27920200523433669</v>
      </c>
      <c r="AN222" s="11">
        <v>0.2324465641448796</v>
      </c>
      <c r="AO222" s="11">
        <v>0.83016630051742712</v>
      </c>
      <c r="AP222" s="11">
        <f t="shared" si="266"/>
        <v>-0.18612923619210275</v>
      </c>
      <c r="AQ222" s="11">
        <v>0.30013969557033893</v>
      </c>
      <c r="AR222" s="11">
        <f t="shared" si="267"/>
        <v>1.0719274841797817</v>
      </c>
      <c r="AS222" s="11">
        <f t="shared" si="268"/>
        <v>6.9458415005878779E-2</v>
      </c>
      <c r="AT222" s="11">
        <v>0.38280381975996458</v>
      </c>
      <c r="AU222" s="11">
        <f t="shared" si="269"/>
        <v>1.3671564991427305</v>
      </c>
      <c r="AV222" s="11">
        <f t="shared" si="270"/>
        <v>0.3127330348340715</v>
      </c>
      <c r="AW222" s="11">
        <v>0.36989271373357252</v>
      </c>
      <c r="AX222" s="11">
        <f t="shared" si="271"/>
        <v>1.3210454061913304</v>
      </c>
      <c r="AY222" s="11">
        <f t="shared" si="272"/>
        <v>0.27842339753941919</v>
      </c>
      <c r="AZ222" s="11">
        <v>0.16020718212996152</v>
      </c>
      <c r="BA222" s="11">
        <f t="shared" si="273"/>
        <v>0.57216850760700533</v>
      </c>
      <c r="BB222" s="11">
        <f t="shared" si="274"/>
        <v>-0.5583217372680076</v>
      </c>
      <c r="BC222" s="11">
        <v>0.36157804484596373</v>
      </c>
      <c r="BD222" s="11">
        <f t="shared" si="275"/>
        <v>1.2913501601641562</v>
      </c>
      <c r="BE222" s="11">
        <f t="shared" si="276"/>
        <v>0.25568830681839194</v>
      </c>
      <c r="BF222" s="11">
        <v>0.35300226091290199</v>
      </c>
      <c r="BG222" s="11">
        <f t="shared" si="279"/>
        <v>1.2607223604032212</v>
      </c>
      <c r="BH222" s="11">
        <f t="shared" si="280"/>
        <v>0.23168485859594956</v>
      </c>
      <c r="BI222" s="11">
        <v>0.27340361669998869</v>
      </c>
      <c r="BJ222" s="11">
        <f t="shared" si="277"/>
        <v>0.97644148821424526</v>
      </c>
      <c r="BK222" s="11">
        <f t="shared" si="278"/>
        <v>-2.384045036415924E-2</v>
      </c>
      <c r="BL222" s="11">
        <v>0.28680495920975169</v>
      </c>
      <c r="BM222" s="11">
        <f t="shared" si="281"/>
        <v>1.024303425749113</v>
      </c>
      <c r="BN222" s="11">
        <f t="shared" si="282"/>
        <v>2.4012796933049689E-2</v>
      </c>
      <c r="BS222" t="b">
        <f t="shared" si="238"/>
        <v>0</v>
      </c>
      <c r="BU222" t="b">
        <f t="shared" si="239"/>
        <v>0</v>
      </c>
      <c r="BW222" t="b">
        <f t="shared" si="240"/>
        <v>0</v>
      </c>
    </row>
    <row r="223" spans="1:75">
      <c r="A223" s="85" t="s">
        <v>86</v>
      </c>
      <c r="B223" s="21">
        <f>'[47]Dados de entrada'!$B$28</f>
        <v>20</v>
      </c>
      <c r="C223" s="21">
        <f>'[47]Dados de entrada'!$B$31</f>
        <v>9</v>
      </c>
      <c r="D223" s="21">
        <f>'[47]Dados de entrada'!$B$32</f>
        <v>45</v>
      </c>
      <c r="E223" s="20">
        <f>'[47]Dados de entrada'!$B$27</f>
        <v>3.5088212858554391</v>
      </c>
      <c r="F223" s="21">
        <f>'[47]Dados de entrada'!$B$30</f>
        <v>50</v>
      </c>
      <c r="G223" s="56">
        <f>'[47]Dados de entrada'!$B$22</f>
        <v>64</v>
      </c>
      <c r="H223" s="57">
        <f>'[47]Dados de entrada'!$B$29/(2*'[47]Dados de entrada'!$B$20*G223)</f>
        <v>3.6796875E-2</v>
      </c>
      <c r="I223" s="27" cm="1">
        <f t="array" ref="I223:I225">'[47]fib Model Code 2010'!$K$5:$K$7</f>
        <v>176.83957373352104</v>
      </c>
      <c r="J223" s="19" cm="1">
        <f t="array" ref="J223:J225">'[47]Dados de entrada'!$C$7:$C$9</f>
        <v>0.18</v>
      </c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0" cm="1">
        <f t="array" ref="AD223:AD225">'[47]fib Model Code 2010'!$L$5:$L$7</f>
        <v>0.12272095972411494</v>
      </c>
      <c r="AE223" s="20">
        <f t="shared" si="260"/>
        <v>0.68178310957841637</v>
      </c>
      <c r="AF223" s="54">
        <f t="shared" si="261"/>
        <v>-0.38304369286414053</v>
      </c>
      <c r="AG223" s="20" cm="1">
        <f t="array" ref="AG223:AG225">'[47]fib Model Code 2020'!$L$5:$L$7</f>
        <v>0.11794821671353553</v>
      </c>
      <c r="AH223" s="20">
        <f t="shared" si="262"/>
        <v>0.65526787063075298</v>
      </c>
      <c r="AI223" s="28">
        <f t="shared" si="263"/>
        <v>-0.42271116415433352</v>
      </c>
      <c r="AJ223" s="20" cm="1">
        <f t="array" ref="AJ223:AJ225">'[47]Eurocode 2'!$L$5:$L$7</f>
        <v>0.13790150792584993</v>
      </c>
      <c r="AK223" s="20">
        <f t="shared" si="264"/>
        <v>0.76611948847694411</v>
      </c>
      <c r="AL223" s="20">
        <f t="shared" si="265"/>
        <v>-0.26641713122797039</v>
      </c>
      <c r="AM223" s="20" cm="1">
        <f t="array" ref="AM223:AM225">'[47]NBR 6118'!$Q$5:$Q$7</f>
        <v>0.15058108016807392</v>
      </c>
      <c r="AN223" s="20" cm="1">
        <f t="array" ref="AN223:AN225">'[47]NBR 6118'!$R$5:$R$7</f>
        <v>0.10035281057140449</v>
      </c>
      <c r="AO223" s="20" cm="1">
        <f t="array" ref="AO223:AO225">'[47]NBR 6118'!$W$5:$W$7</f>
        <v>0.5575156142855805</v>
      </c>
      <c r="AP223" s="20">
        <f t="shared" si="266"/>
        <v>-0.58426476835293129</v>
      </c>
      <c r="AQ223" s="20" cm="1">
        <f t="array" ref="AQ223:AQ225">'[47]Clark (1956)'!$L$5:$L$7</f>
        <v>0.12925750125388741</v>
      </c>
      <c r="AR223" s="20">
        <f t="shared" si="267"/>
        <v>0.71809722918826335</v>
      </c>
      <c r="AS223" s="20">
        <f t="shared" si="268"/>
        <v>-0.33115030240518045</v>
      </c>
      <c r="AT223" s="20" cm="1">
        <f t="array" ref="AT223:AT225">'[47]Leonhardt (1977)'!$L$5:$L$7</f>
        <v>0.18258746810139406</v>
      </c>
      <c r="AU223" s="20">
        <f t="shared" si="269"/>
        <v>1.0143748227855227</v>
      </c>
      <c r="AV223" s="20">
        <f t="shared" si="270"/>
        <v>1.4272484583583408E-2</v>
      </c>
      <c r="AW223" s="20" cm="1">
        <f t="array" ref="AW223:AW225">'[47]Desayi; Ganesan (1985)'!$L$5:$L$7</f>
        <v>0.18565179539027393</v>
      </c>
      <c r="AX223" s="20">
        <f t="shared" si="271"/>
        <v>1.0313988632792996</v>
      </c>
      <c r="AY223" s="20">
        <f t="shared" si="272"/>
        <v>3.0916000519803196E-2</v>
      </c>
      <c r="AZ223" s="20" cm="1">
        <f t="array" ref="AZ223:AZ225">'[47]Oh; Kang (1987)'!$L$5:$L$7</f>
        <v>7.26410069353427E-2</v>
      </c>
      <c r="BA223" s="20">
        <f t="shared" si="273"/>
        <v>0.40356114964079282</v>
      </c>
      <c r="BB223" s="20">
        <f t="shared" si="274"/>
        <v>-0.90742725469789243</v>
      </c>
      <c r="BC223" s="20" cm="1">
        <f t="array" ref="BC223:BC225">'[47]Caldas (1997)'!$L$5:$L$7</f>
        <v>0.22580404183364336</v>
      </c>
      <c r="BD223" s="20">
        <f t="shared" si="275"/>
        <v>1.2544668990757966</v>
      </c>
      <c r="BE223" s="20">
        <f t="shared" si="276"/>
        <v>0.22671070072556951</v>
      </c>
      <c r="BF223" s="20" cm="1">
        <f t="array" ref="BF223:BF225">'[47]Gergely e Lutz (1968)'!$L$5:$L$7</f>
        <v>0.20474891148564389</v>
      </c>
      <c r="BG223" s="20">
        <f t="shared" si="279"/>
        <v>1.1374939526980217</v>
      </c>
      <c r="BH223" s="20">
        <f t="shared" si="280"/>
        <v>0.12882755551940531</v>
      </c>
      <c r="BI223" s="20" cm="1">
        <f t="array" ref="BI223:BI225">[47]Sugestão!$M$5:$M$7</f>
        <v>0.11794821671353553</v>
      </c>
      <c r="BJ223" s="20">
        <f t="shared" si="277"/>
        <v>0.65526787063075298</v>
      </c>
      <c r="BK223" s="20">
        <f t="shared" si="278"/>
        <v>-0.42271116415433352</v>
      </c>
      <c r="BL223" s="20" cm="1">
        <f t="array" ref="BL223:BL225">'[47]fib Model Code 2020 modificado'!$L$5:$L$7</f>
        <v>0.15185058242568208</v>
      </c>
      <c r="BM223" s="20">
        <f t="shared" si="281"/>
        <v>0.84361434680934499</v>
      </c>
      <c r="BN223" s="20">
        <f t="shared" si="282"/>
        <v>-0.17005982387283425</v>
      </c>
      <c r="BS223" t="b">
        <f t="shared" si="238"/>
        <v>0</v>
      </c>
      <c r="BU223" t="b">
        <f t="shared" si="239"/>
        <v>0</v>
      </c>
      <c r="BW223" t="b">
        <f t="shared" si="240"/>
        <v>0</v>
      </c>
    </row>
    <row r="224" spans="1:75">
      <c r="A224" s="90"/>
      <c r="B224" s="21">
        <f>'[47]Dados de entrada'!$B$28</f>
        <v>20</v>
      </c>
      <c r="C224" s="21">
        <f>'[47]Dados de entrada'!$B$31</f>
        <v>9</v>
      </c>
      <c r="D224" s="21">
        <f>'[47]Dados de entrada'!$B$32</f>
        <v>45</v>
      </c>
      <c r="E224" s="20">
        <f>'[47]Dados de entrada'!$B$27</f>
        <v>3.5088212858554391</v>
      </c>
      <c r="F224" s="21">
        <f>'[47]Dados de entrada'!$B$30</f>
        <v>50</v>
      </c>
      <c r="G224" s="56">
        <f>'[47]Dados de entrada'!$B$22</f>
        <v>64</v>
      </c>
      <c r="H224" s="57">
        <f>'[47]Dados de entrada'!$B$29/(2*'[47]Dados de entrada'!$B$20*G224)</f>
        <v>3.6796875E-2</v>
      </c>
      <c r="I224" s="27">
        <v>220.75275647271758</v>
      </c>
      <c r="J224" s="19">
        <v>0.26</v>
      </c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0">
        <v>0.16718299484634599</v>
      </c>
      <c r="AE224" s="20">
        <f t="shared" si="260"/>
        <v>0.64301151863979222</v>
      </c>
      <c r="AF224" s="54">
        <f t="shared" si="261"/>
        <v>-0.44159264100171586</v>
      </c>
      <c r="AG224" s="20">
        <v>0.17512939694084201</v>
      </c>
      <c r="AH224" s="20">
        <f t="shared" si="262"/>
        <v>0.67357460361862309</v>
      </c>
      <c r="AI224" s="28">
        <f t="shared" si="263"/>
        <v>-0.39515651923119061</v>
      </c>
      <c r="AJ224" s="20">
        <v>0.18786348428743904</v>
      </c>
      <c r="AK224" s="20">
        <f t="shared" si="264"/>
        <v>0.72255186264399629</v>
      </c>
      <c r="AL224" s="20">
        <f t="shared" si="265"/>
        <v>-0.32496607936554589</v>
      </c>
      <c r="AM224" s="20">
        <v>0.18797369739101846</v>
      </c>
      <c r="AN224" s="20">
        <v>0.15638060603253504</v>
      </c>
      <c r="AO224" s="20">
        <v>0.60146386935590401</v>
      </c>
      <c r="AP224" s="20">
        <f t="shared" si="266"/>
        <v>-0.50838881294276417</v>
      </c>
      <c r="AQ224" s="20">
        <v>0.16816215707854121</v>
      </c>
      <c r="AR224" s="20">
        <f t="shared" si="267"/>
        <v>0.64677752722515847</v>
      </c>
      <c r="AS224" s="20">
        <f t="shared" si="268"/>
        <v>-0.43575289643263887</v>
      </c>
      <c r="AT224" s="20">
        <v>0.25171665079763234</v>
      </c>
      <c r="AU224" s="20">
        <f t="shared" si="269"/>
        <v>0.96814096460627819</v>
      </c>
      <c r="AV224" s="20">
        <f t="shared" si="270"/>
        <v>-3.2377577714529246E-2</v>
      </c>
      <c r="AW224" s="20">
        <v>0.23175324793685206</v>
      </c>
      <c r="AX224" s="20">
        <f t="shared" si="271"/>
        <v>0.89135864591096947</v>
      </c>
      <c r="AY224" s="20">
        <f t="shared" si="272"/>
        <v>-0.1150084118377719</v>
      </c>
      <c r="AZ224" s="20">
        <v>9.6297992222281054E-2</v>
      </c>
      <c r="BA224" s="20">
        <f t="shared" si="273"/>
        <v>0.3703768931626194</v>
      </c>
      <c r="BB224" s="20">
        <f t="shared" si="274"/>
        <v>-0.9932341616262923</v>
      </c>
      <c r="BC224" s="20">
        <v>0.29196389196838551</v>
      </c>
      <c r="BD224" s="20">
        <f t="shared" si="275"/>
        <v>1.122938046032252</v>
      </c>
      <c r="BE224" s="20">
        <f t="shared" si="276"/>
        <v>0.11594850596400205</v>
      </c>
      <c r="BF224" s="20">
        <v>0.25559260091496488</v>
      </c>
      <c r="BG224" s="20">
        <f t="shared" si="279"/>
        <v>0.98304846505755716</v>
      </c>
      <c r="BH224" s="20">
        <f t="shared" si="280"/>
        <v>-1.7096856838169968E-2</v>
      </c>
      <c r="BI224" s="20">
        <v>0.18309615198494922</v>
      </c>
      <c r="BJ224" s="20">
        <f t="shared" si="277"/>
        <v>0.70421596917288154</v>
      </c>
      <c r="BK224" s="20">
        <f t="shared" si="278"/>
        <v>-0.35067019547643985</v>
      </c>
      <c r="BL224" s="20">
        <v>0.2199879444082459</v>
      </c>
      <c r="BM224" s="20">
        <f t="shared" si="281"/>
        <v>0.84610747849325341</v>
      </c>
      <c r="BN224" s="20">
        <f t="shared" si="282"/>
        <v>-0.16710888430897625</v>
      </c>
      <c r="BS224" t="b">
        <f t="shared" si="238"/>
        <v>0</v>
      </c>
      <c r="BU224" t="b">
        <f t="shared" si="239"/>
        <v>0</v>
      </c>
      <c r="BW224" t="b">
        <f t="shared" si="240"/>
        <v>0</v>
      </c>
    </row>
    <row r="225" spans="1:75">
      <c r="A225" s="86"/>
      <c r="B225" s="21">
        <f>'[47]Dados de entrada'!$B$28</f>
        <v>20</v>
      </c>
      <c r="C225" s="21">
        <f>'[47]Dados de entrada'!$B$31</f>
        <v>9</v>
      </c>
      <c r="D225" s="21">
        <f>'[47]Dados de entrada'!$B$32</f>
        <v>45</v>
      </c>
      <c r="E225" s="20">
        <f>'[47]Dados de entrada'!$B$27</f>
        <v>3.5088212858554391</v>
      </c>
      <c r="F225" s="21">
        <f>'[47]Dados de entrada'!$B$30</f>
        <v>50</v>
      </c>
      <c r="G225" s="56">
        <f>'[47]Dados de entrada'!$B$22</f>
        <v>64</v>
      </c>
      <c r="H225" s="57">
        <f>'[47]Dados de entrada'!$B$29/(2*'[47]Dados de entrada'!$B$20*G225)</f>
        <v>3.6796875E-2</v>
      </c>
      <c r="I225" s="27">
        <v>264.66593921191406</v>
      </c>
      <c r="J225" s="19">
        <v>0.34</v>
      </c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0">
        <v>0.21164502996857701</v>
      </c>
      <c r="AE225" s="20">
        <f t="shared" si="260"/>
        <v>0.62248538226052053</v>
      </c>
      <c r="AF225" s="54">
        <f t="shared" si="261"/>
        <v>-0.474035133231405</v>
      </c>
      <c r="AG225" s="20">
        <v>0.23231057716814843</v>
      </c>
      <c r="AH225" s="20">
        <f t="shared" si="262"/>
        <v>0.68326640343573064</v>
      </c>
      <c r="AI225" s="28">
        <f t="shared" si="263"/>
        <v>-0.38087044650644802</v>
      </c>
      <c r="AJ225" s="20">
        <v>0.23782546064902813</v>
      </c>
      <c r="AK225" s="20">
        <f t="shared" si="264"/>
        <v>0.69948664896772972</v>
      </c>
      <c r="AL225" s="20">
        <f t="shared" si="265"/>
        <v>-0.35740857159523504</v>
      </c>
      <c r="AM225" s="20">
        <v>0.22536631461396298</v>
      </c>
      <c r="AN225" s="20">
        <v>0.22478469064030332</v>
      </c>
      <c r="AO225" s="20">
        <v>0.66113144305971561</v>
      </c>
      <c r="AP225" s="20">
        <f t="shared" si="266"/>
        <v>-0.41380260404360875</v>
      </c>
      <c r="AQ225" s="20">
        <v>0.20706681290319492</v>
      </c>
      <c r="AR225" s="20">
        <f t="shared" si="267"/>
        <v>0.60902003795057325</v>
      </c>
      <c r="AS225" s="20">
        <f t="shared" si="268"/>
        <v>-0.49590410877482499</v>
      </c>
      <c r="AT225" s="20">
        <v>0.31733477157368972</v>
      </c>
      <c r="AU225" s="20">
        <f t="shared" si="269"/>
        <v>0.93333756345202856</v>
      </c>
      <c r="AV225" s="20">
        <f t="shared" si="270"/>
        <v>-6.8988339227191553E-2</v>
      </c>
      <c r="AW225" s="20">
        <v>0.27785470048343014</v>
      </c>
      <c r="AX225" s="20">
        <f t="shared" si="271"/>
        <v>0.81721970730420623</v>
      </c>
      <c r="AY225" s="20">
        <f t="shared" si="272"/>
        <v>-0.20184730068553389</v>
      </c>
      <c r="AZ225" s="20">
        <v>0.11995497750921939</v>
      </c>
      <c r="BA225" s="20">
        <f t="shared" si="273"/>
        <v>0.35280875738005701</v>
      </c>
      <c r="BB225" s="20">
        <f t="shared" si="274"/>
        <v>-1.0418291326517435</v>
      </c>
      <c r="BC225" s="20">
        <v>0.35812374210312758</v>
      </c>
      <c r="BD225" s="20">
        <f t="shared" si="275"/>
        <v>1.053305123832728</v>
      </c>
      <c r="BE225" s="20">
        <f t="shared" si="276"/>
        <v>5.1932957400628324E-2</v>
      </c>
      <c r="BF225" s="20">
        <v>0.30643629034428588</v>
      </c>
      <c r="BG225" s="20">
        <f t="shared" si="279"/>
        <v>0.90128320689495844</v>
      </c>
      <c r="BH225" s="20">
        <f t="shared" si="280"/>
        <v>-0.10393574568593167</v>
      </c>
      <c r="BI225" s="20">
        <v>0.25675785816356672</v>
      </c>
      <c r="BJ225" s="20">
        <f t="shared" si="277"/>
        <v>0.75517017106931383</v>
      </c>
      <c r="BK225" s="20">
        <f t="shared" si="278"/>
        <v>-0.28081216298531914</v>
      </c>
      <c r="BL225" s="20">
        <v>0.28913483885503749</v>
      </c>
      <c r="BM225" s="20">
        <f t="shared" si="281"/>
        <v>0.85039658486775727</v>
      </c>
      <c r="BN225" s="20">
        <f t="shared" si="282"/>
        <v>-0.16205246787525987</v>
      </c>
      <c r="BS225" t="b">
        <f t="shared" si="238"/>
        <v>0</v>
      </c>
      <c r="BU225" t="b">
        <f t="shared" si="239"/>
        <v>0</v>
      </c>
      <c r="BW225" t="b">
        <f t="shared" si="240"/>
        <v>0</v>
      </c>
    </row>
    <row r="226" spans="1:75">
      <c r="A226" s="87" t="s">
        <v>93</v>
      </c>
      <c r="B226" s="5">
        <f>'[48]Dados de entrada'!$B$28</f>
        <v>16</v>
      </c>
      <c r="C226" s="5">
        <f>'[48]Dados de entrada'!$B$31</f>
        <v>2</v>
      </c>
      <c r="D226" s="5">
        <f>'[48]Dados de entrada'!$B$32</f>
        <v>52</v>
      </c>
      <c r="E226" s="11">
        <f>'[48]Dados de entrada'!$B$27</f>
        <v>3.42</v>
      </c>
      <c r="F226" s="5">
        <f>'[48]Dados de entrada'!$B$30</f>
        <v>27</v>
      </c>
      <c r="G226" s="5">
        <f>'[48]Dados de entrada'!$B$22</f>
        <v>35</v>
      </c>
      <c r="H226" s="78">
        <f>'[48]Dados de entrada'!$B$29/(2*'[48]Dados de entrada'!$B$20*G226)</f>
        <v>3.8285714285714284E-2</v>
      </c>
      <c r="I226" s="53" cm="1">
        <f t="array" ref="I226:I231">'[48]fib Model Code 2010'!$K$5:$K$10</f>
        <v>234.72234542321382</v>
      </c>
      <c r="J226" s="4" cm="1">
        <f t="array" ref="J226:J231">'[48]Dados de entrada'!$C$7:$C$12</f>
        <v>0.15</v>
      </c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11" cm="1">
        <f t="array" ref="AD226:AD231">'[48]fib Model Code 2010'!$L$5:$L$10</f>
        <v>0.12947798925127468</v>
      </c>
      <c r="AE226" s="11">
        <f t="shared" ref="AE226:AE263" si="283">AD226/J226</f>
        <v>0.86318659500849793</v>
      </c>
      <c r="AF226" s="29">
        <f t="shared" ref="AF226:AF263" si="284">LN(AE226)</f>
        <v>-0.14712439457434398</v>
      </c>
      <c r="AG226" s="11" cm="1">
        <f t="array" ref="AG226:AG231">'[48]fib Model Code 2020'!$L$5:$L$10</f>
        <v>0.1175277819493063</v>
      </c>
      <c r="AH226" s="11">
        <f t="shared" ref="AH226:AH263" si="285">AG226/J226</f>
        <v>0.78351854632870865</v>
      </c>
      <c r="AI226" s="11">
        <f t="shared" ref="AI226:AI263" si="286">LN(AH226)</f>
        <v>-0.24396054633831954</v>
      </c>
      <c r="AJ226" s="11" cm="1">
        <f t="array" ref="AJ226:AJ231">'[48]Eurocode 2'!$L$5:$L$10</f>
        <v>0.13159532895532036</v>
      </c>
      <c r="AK226" s="11">
        <f t="shared" ref="AK226:AK263" si="287">AJ226/J226</f>
        <v>0.87730219303546908</v>
      </c>
      <c r="AL226" s="11">
        <f t="shared" ref="AL226:AL263" si="288">LN(AK226)</f>
        <v>-0.13090377009545867</v>
      </c>
      <c r="AM226" s="11" cm="1">
        <f t="array" ref="AM226:AM231">'[48]NBR 6118'!$Q$5:$Q$10</f>
        <v>0.17990147855742625</v>
      </c>
      <c r="AN226" s="11" cm="1">
        <f t="array" ref="AN226:AN231">'[48]NBR 6118'!$R$5:$R$10</f>
        <v>0.15021092609657113</v>
      </c>
      <c r="AO226" s="11" cm="1">
        <f t="array" ref="AO226:AO231">'[48]NBR 6118'!$W$5:$W$10</f>
        <v>1.0014061739771409</v>
      </c>
      <c r="AP226" s="11">
        <f t="shared" si="266"/>
        <v>1.4051862403586901E-3</v>
      </c>
      <c r="AQ226" s="11" cm="1">
        <f t="array" ref="AQ226:AQ231">'[48]Clark (1956)'!$L$5:$L$10</f>
        <v>0.13794033861054511</v>
      </c>
      <c r="AR226" s="11">
        <f t="shared" ref="AR226:AR263" si="289">AQ226/J226</f>
        <v>0.9196022574036341</v>
      </c>
      <c r="AS226" s="11">
        <f t="shared" ref="AS226:AS263" si="290">LN(AR226)</f>
        <v>-8.3814031329231264E-2</v>
      </c>
      <c r="AT226" s="11" cm="1">
        <f t="array" ref="AT226:AT231">'[48]Leonhardt (1977)'!$L$5:$L$10</f>
        <v>0.2264410111520157</v>
      </c>
      <c r="AU226" s="11">
        <f t="shared" ref="AU226:AU263" si="291">AT226/J226</f>
        <v>1.5096067410134382</v>
      </c>
      <c r="AV226" s="11">
        <f t="shared" ref="AV226:AV263" si="292">LN(AU226)</f>
        <v>0.41184918049243885</v>
      </c>
      <c r="AW226" s="11" cm="1">
        <f t="array" ref="AW226:AW231">'[48]Desayi; Ganesan (1985)'!$L$5:$L$10</f>
        <v>0.20888642052178411</v>
      </c>
      <c r="AX226" s="11">
        <f t="shared" ref="AX226:AX263" si="293">AW226/J226</f>
        <v>1.3925761368118941</v>
      </c>
      <c r="AY226" s="11">
        <f t="shared" ref="AY226:AY263" si="294">LN(AX226)</f>
        <v>0.33115536767066905</v>
      </c>
      <c r="AZ226" s="11" cm="1">
        <f t="array" ref="AZ226:AZ231">'[48]Oh; Kang (1987)'!$L$5:$L$10</f>
        <v>0.14254973575964078</v>
      </c>
      <c r="BA226" s="11">
        <f t="shared" ref="BA226:BA263" si="295">AZ226/J226</f>
        <v>0.95033157173093852</v>
      </c>
      <c r="BB226" s="11">
        <f t="shared" ref="BB226:BB263" si="296">LN(BA226)</f>
        <v>-5.0944332407193336E-2</v>
      </c>
      <c r="BC226" s="11" cm="1">
        <f t="array" ref="BC226:BC231">'[48]Caldas (1997)'!$L$5:$L$10</f>
        <v>0.11757562159328946</v>
      </c>
      <c r="BD226" s="11">
        <f t="shared" ref="BD226:BD263" si="297">BC226/J226</f>
        <v>0.78383747728859643</v>
      </c>
      <c r="BE226" s="11">
        <f t="shared" ref="BE226:BE263" si="298">LN(BD226)</f>
        <v>-0.24355357949800518</v>
      </c>
      <c r="BF226" s="11" cm="1">
        <f t="array" ref="BF226:BF231">'[48]Gergely e Lutz (1968)'!$L$5:$L$10</f>
        <v>0.1862589740677553</v>
      </c>
      <c r="BG226" s="11">
        <f t="shared" si="279"/>
        <v>1.2417264937850354</v>
      </c>
      <c r="BH226" s="11">
        <f t="shared" si="280"/>
        <v>0.21650274491677632</v>
      </c>
      <c r="BI226" s="11" cm="1">
        <f t="array" ref="BI226:BI231">[48]Sugestão!$M$5:$M$10</f>
        <v>0.13179021349500475</v>
      </c>
      <c r="BJ226" s="11">
        <f t="shared" ref="BJ226:BJ231" si="299">BI226/J226</f>
        <v>0.87860142330003166</v>
      </c>
      <c r="BK226" s="11">
        <f t="shared" ref="BK226:BK231" si="300">LN(BJ226)</f>
        <v>-0.12942392747815554</v>
      </c>
      <c r="BL226" s="11" cm="1">
        <f t="array" ref="BL226:BL231">'[48]fib Model Code 2020 (2)'!$L$5:$L$10</f>
        <v>0.17153954981885214</v>
      </c>
      <c r="BM226" s="11">
        <f t="shared" si="281"/>
        <v>1.1435969987923476</v>
      </c>
      <c r="BN226" s="11">
        <f t="shared" si="282"/>
        <v>0.13417855711170826</v>
      </c>
      <c r="BS226" t="b">
        <f t="shared" si="238"/>
        <v>0</v>
      </c>
      <c r="BU226" t="b">
        <f t="shared" si="239"/>
        <v>1</v>
      </c>
      <c r="BW226" t="b">
        <f t="shared" si="240"/>
        <v>1</v>
      </c>
    </row>
    <row r="227" spans="1:75">
      <c r="A227" s="88"/>
      <c r="B227" s="5">
        <f>'[48]Dados de entrada'!$B$28</f>
        <v>16</v>
      </c>
      <c r="C227" s="5">
        <f>'[48]Dados de entrada'!$B$31</f>
        <v>2</v>
      </c>
      <c r="D227" s="5">
        <f>'[48]Dados de entrada'!$B$32</f>
        <v>52</v>
      </c>
      <c r="E227" s="11">
        <f>'[48]Dados de entrada'!$B$27</f>
        <v>3.42</v>
      </c>
      <c r="F227" s="5">
        <f>'[48]Dados de entrada'!$B$30</f>
        <v>27</v>
      </c>
      <c r="G227" s="5">
        <f>'[48]Dados de entrada'!$B$22</f>
        <v>35</v>
      </c>
      <c r="H227" s="78">
        <f>'[48]Dados de entrada'!$B$29/(2*'[48]Dados de entrada'!$B$20*G227)</f>
        <v>3.8285714285714284E-2</v>
      </c>
      <c r="I227" s="53">
        <v>315.66108522432211</v>
      </c>
      <c r="J227" s="4">
        <v>0.19</v>
      </c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11">
        <v>0.18827950796327195</v>
      </c>
      <c r="AE227" s="11">
        <f t="shared" si="283"/>
        <v>0.99094477875406284</v>
      </c>
      <c r="AF227" s="29">
        <f t="shared" si="284"/>
        <v>-9.0964689554126135E-3</v>
      </c>
      <c r="AG227" s="11">
        <v>0.18941639586178169</v>
      </c>
      <c r="AH227" s="11">
        <f t="shared" si="285"/>
        <v>0.99692839927253518</v>
      </c>
      <c r="AI227" s="11">
        <f t="shared" si="286"/>
        <v>-3.0763277751965578E-3</v>
      </c>
      <c r="AJ227" s="11">
        <v>0.19135842261103625</v>
      </c>
      <c r="AK227" s="11">
        <f t="shared" si="287"/>
        <v>1.0071495926896645</v>
      </c>
      <c r="AL227" s="11">
        <f t="shared" si="288"/>
        <v>7.124155523472773E-3</v>
      </c>
      <c r="AM227" s="11">
        <v>0.24193647116343533</v>
      </c>
      <c r="AN227" s="11">
        <v>0.27166565825551103</v>
      </c>
      <c r="AO227" s="11">
        <v>1.273349848228607</v>
      </c>
      <c r="AP227" s="11">
        <f t="shared" si="266"/>
        <v>0.24165110367930895</v>
      </c>
      <c r="AQ227" s="11">
        <v>0.19307532494670304</v>
      </c>
      <c r="AR227" s="11">
        <f t="shared" si="289"/>
        <v>1.0161859207721213</v>
      </c>
      <c r="AS227" s="11">
        <f t="shared" si="290"/>
        <v>1.6056325301080497E-2</v>
      </c>
      <c r="AT227" s="11">
        <v>0.33247418629074155</v>
      </c>
      <c r="AU227" s="11">
        <f t="shared" si="291"/>
        <v>1.7498641383723239</v>
      </c>
      <c r="AV227" s="11">
        <f t="shared" si="292"/>
        <v>0.55953814970583837</v>
      </c>
      <c r="AW227" s="11">
        <v>0.28091622070170974</v>
      </c>
      <c r="AX227" s="11">
        <f t="shared" si="293"/>
        <v>1.4785064247458408</v>
      </c>
      <c r="AY227" s="11">
        <f t="shared" si="294"/>
        <v>0.3910324057496114</v>
      </c>
      <c r="AZ227" s="11">
        <v>0.20180228813769377</v>
      </c>
      <c r="BA227" s="11">
        <f t="shared" si="295"/>
        <v>1.0621173059878619</v>
      </c>
      <c r="BB227" s="11">
        <f t="shared" si="296"/>
        <v>6.0264374335443037E-2</v>
      </c>
      <c r="BC227" s="11">
        <v>0.16222730427256263</v>
      </c>
      <c r="BD227" s="11">
        <f t="shared" si="297"/>
        <v>0.85382791722401385</v>
      </c>
      <c r="BE227" s="11">
        <f t="shared" si="298"/>
        <v>-0.15802560757744791</v>
      </c>
      <c r="BF227" s="11">
        <v>0.25048620650491238</v>
      </c>
      <c r="BG227" s="11">
        <f t="shared" si="279"/>
        <v>1.3183484552890126</v>
      </c>
      <c r="BH227" s="11">
        <f t="shared" si="280"/>
        <v>0.27637978299571858</v>
      </c>
      <c r="BI227" s="11">
        <v>0.22950476895125482</v>
      </c>
      <c r="BJ227" s="11">
        <f t="shared" si="299"/>
        <v>1.2079198365855517</v>
      </c>
      <c r="BK227" s="11">
        <f t="shared" si="300"/>
        <v>0.18889973686824754</v>
      </c>
      <c r="BL227" s="11">
        <v>0.27139126043657136</v>
      </c>
      <c r="BM227" s="11">
        <f t="shared" si="281"/>
        <v>1.4283750549293228</v>
      </c>
      <c r="BN227" s="11">
        <f t="shared" si="282"/>
        <v>0.35653747294055366</v>
      </c>
      <c r="BS227" t="b">
        <f t="shared" ref="BS227:BS263" si="301">IF(AND(B227&lt;=12.7,F227&lt;=45),TRUE,FALSE)</f>
        <v>0</v>
      </c>
      <c r="BU227" t="b">
        <f t="shared" ref="BU227:BU263" si="302">IF(AND(B227&gt;12.7,F227&lt;=45),TRUE,FALSE)</f>
        <v>1</v>
      </c>
      <c r="BW227" t="b">
        <f t="shared" ref="BW227:BW263" si="303">IF(AND(F227&lt;=45,C227&gt;1),TRUE,FALSE)</f>
        <v>1</v>
      </c>
    </row>
    <row r="228" spans="1:75">
      <c r="A228" s="88"/>
      <c r="B228" s="5">
        <f>'[48]Dados de entrada'!$B$28</f>
        <v>16</v>
      </c>
      <c r="C228" s="5">
        <f>'[48]Dados de entrada'!$B$31</f>
        <v>2</v>
      </c>
      <c r="D228" s="5">
        <f>'[48]Dados de entrada'!$B$32</f>
        <v>52</v>
      </c>
      <c r="E228" s="11">
        <f>'[48]Dados de entrada'!$B$27</f>
        <v>3.42</v>
      </c>
      <c r="F228" s="5">
        <f>'[48]Dados de entrada'!$B$30</f>
        <v>27</v>
      </c>
      <c r="G228" s="5">
        <f>'[48]Dados de entrada'!$B$22</f>
        <v>35</v>
      </c>
      <c r="H228" s="78">
        <f>'[48]Dados de entrada'!$B$29/(2*'[48]Dados de entrada'!$B$20*G228)</f>
        <v>3.8285714285714284E-2</v>
      </c>
      <c r="I228" s="53">
        <v>364.22432910498702</v>
      </c>
      <c r="J228" s="4">
        <v>0.22</v>
      </c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11">
        <v>0.22356041919047023</v>
      </c>
      <c r="AE228" s="11">
        <f t="shared" si="283"/>
        <v>1.0161837235930464</v>
      </c>
      <c r="AF228" s="29">
        <f t="shared" si="284"/>
        <v>1.6054163116577307E-2</v>
      </c>
      <c r="AG228" s="11">
        <v>0.23254956420926687</v>
      </c>
      <c r="AH228" s="11">
        <f t="shared" si="285"/>
        <v>1.0570434736784857</v>
      </c>
      <c r="AI228" s="11">
        <f t="shared" si="286"/>
        <v>5.5475835350247298E-2</v>
      </c>
      <c r="AJ228" s="11">
        <v>0.22721627880446577</v>
      </c>
      <c r="AK228" s="11">
        <f t="shared" si="287"/>
        <v>1.0328012672930262</v>
      </c>
      <c r="AL228" s="11">
        <f t="shared" si="288"/>
        <v>3.2274787595462928E-2</v>
      </c>
      <c r="AM228" s="11">
        <v>0.27915746672704078</v>
      </c>
      <c r="AN228" s="11">
        <v>0.36168504797331352</v>
      </c>
      <c r="AO228" s="11">
        <v>1.2688975760320036</v>
      </c>
      <c r="AP228" s="11">
        <f t="shared" si="266"/>
        <v>0.238148473128107</v>
      </c>
      <c r="AQ228" s="11">
        <v>0.22615631674839778</v>
      </c>
      <c r="AR228" s="11">
        <f t="shared" si="289"/>
        <v>1.0279832579472628</v>
      </c>
      <c r="AS228" s="11">
        <f t="shared" si="290"/>
        <v>2.7598880856835595E-2</v>
      </c>
      <c r="AT228" s="11">
        <v>0.39355118324063459</v>
      </c>
      <c r="AU228" s="11">
        <f t="shared" si="291"/>
        <v>1.7888690147301571</v>
      </c>
      <c r="AV228" s="11">
        <f t="shared" si="292"/>
        <v>0.58158358481431083</v>
      </c>
      <c r="AW228" s="11">
        <v>0.32413410080966504</v>
      </c>
      <c r="AX228" s="11">
        <f t="shared" si="293"/>
        <v>1.4733368218621139</v>
      </c>
      <c r="AY228" s="11">
        <f t="shared" si="294"/>
        <v>0.3875297751984092</v>
      </c>
      <c r="AZ228" s="11">
        <v>0.23735381956452556</v>
      </c>
      <c r="BA228" s="11">
        <f t="shared" si="295"/>
        <v>1.0788809980205707</v>
      </c>
      <c r="BB228" s="11">
        <f t="shared" si="296"/>
        <v>7.5924391056141544E-2</v>
      </c>
      <c r="BC228" s="11">
        <v>0.18901831388012649</v>
      </c>
      <c r="BD228" s="11">
        <f t="shared" si="297"/>
        <v>0.85917415400057495</v>
      </c>
      <c r="BE228" s="11">
        <f t="shared" si="298"/>
        <v>-0.15178363715046009</v>
      </c>
      <c r="BF228" s="11">
        <v>0.28902254596720656</v>
      </c>
      <c r="BG228" s="11">
        <f t="shared" si="279"/>
        <v>1.3137388453054843</v>
      </c>
      <c r="BH228" s="11">
        <f t="shared" si="280"/>
        <v>0.27287715244451638</v>
      </c>
      <c r="BI228" s="11">
        <v>0.28813350222500478</v>
      </c>
      <c r="BJ228" s="11">
        <f t="shared" si="299"/>
        <v>1.3096977373863854</v>
      </c>
      <c r="BK228" s="11">
        <f t="shared" si="300"/>
        <v>0.26979637577013321</v>
      </c>
      <c r="BL228" s="11">
        <v>0.33360095737065409</v>
      </c>
      <c r="BM228" s="11">
        <f t="shared" si="281"/>
        <v>1.5163679880484278</v>
      </c>
      <c r="BN228" s="11">
        <f t="shared" si="282"/>
        <v>0.4163179939442217</v>
      </c>
      <c r="BS228" t="b">
        <f t="shared" si="301"/>
        <v>0</v>
      </c>
      <c r="BU228" t="b">
        <f t="shared" si="302"/>
        <v>1</v>
      </c>
      <c r="BW228" t="b">
        <f t="shared" si="303"/>
        <v>1</v>
      </c>
    </row>
    <row r="229" spans="1:75">
      <c r="A229" s="88"/>
      <c r="B229" s="5">
        <f>'[48]Dados de entrada'!$B$28</f>
        <v>16</v>
      </c>
      <c r="C229" s="5">
        <f>'[48]Dados de entrada'!$B$31</f>
        <v>2</v>
      </c>
      <c r="D229" s="5">
        <f>'[48]Dados de entrada'!$B$32</f>
        <v>52</v>
      </c>
      <c r="E229" s="11">
        <f>'[48]Dados de entrada'!$B$27</f>
        <v>3.42</v>
      </c>
      <c r="F229" s="5">
        <f>'[48]Dados de entrada'!$B$30</f>
        <v>27</v>
      </c>
      <c r="G229" s="5">
        <f>'[48]Dados de entrada'!$B$22</f>
        <v>35</v>
      </c>
      <c r="H229" s="78">
        <f>'[48]Dados de entrada'!$B$29/(2*'[48]Dados de entrada'!$B$20*G229)</f>
        <v>3.8285714285714284E-2</v>
      </c>
      <c r="I229" s="53">
        <v>404.69369900554108</v>
      </c>
      <c r="J229" s="4">
        <v>0.22</v>
      </c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11">
        <v>0.25296117854646882</v>
      </c>
      <c r="AE229" s="11">
        <f t="shared" si="283"/>
        <v>1.1498235388475855</v>
      </c>
      <c r="AF229" s="29">
        <f t="shared" si="284"/>
        <v>0.13960848612098953</v>
      </c>
      <c r="AG229" s="11">
        <v>0.26849387116550444</v>
      </c>
      <c r="AH229" s="11">
        <f t="shared" si="285"/>
        <v>1.2204266871159293</v>
      </c>
      <c r="AI229" s="11">
        <f t="shared" si="286"/>
        <v>0.19920054113679761</v>
      </c>
      <c r="AJ229" s="11">
        <v>0.25709782563232364</v>
      </c>
      <c r="AK229" s="11">
        <f t="shared" si="287"/>
        <v>1.1686264801469257</v>
      </c>
      <c r="AL229" s="11">
        <f t="shared" si="288"/>
        <v>0.15582911059987503</v>
      </c>
      <c r="AM229" s="11">
        <v>0.31017496303004533</v>
      </c>
      <c r="AN229" s="11">
        <v>0.44652475058433772</v>
      </c>
      <c r="AO229" s="11">
        <v>1.4098861955911151</v>
      </c>
      <c r="AP229" s="11">
        <f t="shared" si="266"/>
        <v>0.34350898878593328</v>
      </c>
      <c r="AQ229" s="11">
        <v>0.25372380991647669</v>
      </c>
      <c r="AR229" s="11">
        <f t="shared" si="289"/>
        <v>1.153290045074894</v>
      </c>
      <c r="AS229" s="11">
        <f t="shared" si="290"/>
        <v>0.14261876652507882</v>
      </c>
      <c r="AT229" s="11">
        <v>0.44360369351707019</v>
      </c>
      <c r="AU229" s="11">
        <f t="shared" si="291"/>
        <v>2.0163804250775916</v>
      </c>
      <c r="AV229" s="11">
        <f t="shared" si="292"/>
        <v>0.70130403532243857</v>
      </c>
      <c r="AW229" s="11">
        <v>0.36014900089962781</v>
      </c>
      <c r="AX229" s="11">
        <f t="shared" si="293"/>
        <v>1.6370409131801265</v>
      </c>
      <c r="AY229" s="11">
        <f t="shared" si="294"/>
        <v>0.49289029085623542</v>
      </c>
      <c r="AZ229" s="11">
        <v>0.26698009575355197</v>
      </c>
      <c r="BA229" s="11">
        <f t="shared" si="295"/>
        <v>1.2135458897888727</v>
      </c>
      <c r="BB229" s="11">
        <f t="shared" si="296"/>
        <v>0.19354656152956148</v>
      </c>
      <c r="BC229" s="11">
        <v>0.21134415521976302</v>
      </c>
      <c r="BD229" s="11">
        <f t="shared" si="297"/>
        <v>0.96065525099892279</v>
      </c>
      <c r="BE229" s="11">
        <f t="shared" si="298"/>
        <v>-4.013967422981924E-2</v>
      </c>
      <c r="BF229" s="11">
        <v>0.321136162185785</v>
      </c>
      <c r="BG229" s="11">
        <f t="shared" si="279"/>
        <v>1.4597098281172045</v>
      </c>
      <c r="BH229" s="11">
        <f t="shared" si="280"/>
        <v>0.37823766810234244</v>
      </c>
      <c r="BI229" s="11">
        <v>0.33699077995312976</v>
      </c>
      <c r="BJ229" s="11">
        <f t="shared" si="299"/>
        <v>1.5317762725142261</v>
      </c>
      <c r="BK229" s="11">
        <f t="shared" si="300"/>
        <v>0.42642802443620476</v>
      </c>
      <c r="BL229" s="11">
        <v>0.38675931815936704</v>
      </c>
      <c r="BM229" s="11">
        <f t="shared" si="281"/>
        <v>1.7579969007243956</v>
      </c>
      <c r="BN229" s="11">
        <f t="shared" si="282"/>
        <v>0.56417503630602495</v>
      </c>
      <c r="BS229" t="b">
        <f t="shared" si="301"/>
        <v>0</v>
      </c>
      <c r="BU229" t="b">
        <f t="shared" si="302"/>
        <v>1</v>
      </c>
      <c r="BW229" t="b">
        <f t="shared" si="303"/>
        <v>1</v>
      </c>
    </row>
    <row r="230" spans="1:75">
      <c r="A230" s="88"/>
      <c r="B230" s="5">
        <f>'[48]Dados de entrada'!$B$28</f>
        <v>16</v>
      </c>
      <c r="C230" s="5">
        <f>'[48]Dados de entrada'!$B$31</f>
        <v>2</v>
      </c>
      <c r="D230" s="5">
        <f>'[48]Dados de entrada'!$B$32</f>
        <v>52</v>
      </c>
      <c r="E230" s="11">
        <f>'[48]Dados de entrada'!$B$27</f>
        <v>3.42</v>
      </c>
      <c r="F230" s="5">
        <f>'[48]Dados de entrada'!$B$30</f>
        <v>27</v>
      </c>
      <c r="G230" s="5">
        <f>'[48]Dados de entrada'!$B$22</f>
        <v>35</v>
      </c>
      <c r="H230" s="78">
        <f>'[48]Dados de entrada'!$B$29/(2*'[48]Dados de entrada'!$B$20*G230)</f>
        <v>3.8285714285714284E-2</v>
      </c>
      <c r="I230" s="53">
        <v>469.44469084642765</v>
      </c>
      <c r="J230" s="4">
        <v>0.25</v>
      </c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11">
        <v>0.30000239351606656</v>
      </c>
      <c r="AE230" s="11">
        <f t="shared" si="283"/>
        <v>1.2000095740642662</v>
      </c>
      <c r="AF230" s="29">
        <f t="shared" si="284"/>
        <v>0.18232953514901598</v>
      </c>
      <c r="AG230" s="11">
        <v>0.32600476229548475</v>
      </c>
      <c r="AH230" s="11">
        <f t="shared" si="285"/>
        <v>1.304019049181939</v>
      </c>
      <c r="AI230" s="11">
        <f t="shared" si="286"/>
        <v>0.26545107166611964</v>
      </c>
      <c r="AJ230" s="11">
        <v>0.30490830055689627</v>
      </c>
      <c r="AK230" s="11">
        <f t="shared" si="287"/>
        <v>1.2196332022275851</v>
      </c>
      <c r="AL230" s="11">
        <f t="shared" si="288"/>
        <v>0.19855015962790132</v>
      </c>
      <c r="AM230" s="11">
        <v>0.3598029571148525</v>
      </c>
      <c r="AN230" s="11">
        <v>0.60084370438628454</v>
      </c>
      <c r="AO230" s="11">
        <v>1.43921182845941</v>
      </c>
      <c r="AP230" s="11">
        <f t="shared" si="266"/>
        <v>0.36409562239432147</v>
      </c>
      <c r="AQ230" s="11">
        <v>0.29783179898540302</v>
      </c>
      <c r="AR230" s="11">
        <f t="shared" si="289"/>
        <v>1.1913271959416121</v>
      </c>
      <c r="AS230" s="11">
        <f t="shared" si="290"/>
        <v>0.17506797635603458</v>
      </c>
      <c r="AT230" s="11">
        <v>0.52261333127303</v>
      </c>
      <c r="AU230" s="11">
        <f t="shared" si="291"/>
        <v>2.09045332509212</v>
      </c>
      <c r="AV230" s="11">
        <f t="shared" si="292"/>
        <v>0.73738094441484303</v>
      </c>
      <c r="AW230" s="11">
        <v>0.41777284104356821</v>
      </c>
      <c r="AX230" s="11">
        <f t="shared" si="293"/>
        <v>1.6710913641742728</v>
      </c>
      <c r="AY230" s="11">
        <f t="shared" si="294"/>
        <v>0.51347692446462367</v>
      </c>
      <c r="AZ230" s="11">
        <v>0.31438213765599438</v>
      </c>
      <c r="BA230" s="11">
        <f t="shared" si="295"/>
        <v>1.2575285506239775</v>
      </c>
      <c r="BB230" s="11">
        <f t="shared" si="296"/>
        <v>0.22914832700755985</v>
      </c>
      <c r="BC230" s="11">
        <v>0.24706550136318153</v>
      </c>
      <c r="BD230" s="11">
        <f t="shared" si="297"/>
        <v>0.98826200545272613</v>
      </c>
      <c r="BE230" s="11">
        <f t="shared" si="298"/>
        <v>-1.1807428685125172E-2</v>
      </c>
      <c r="BF230" s="11">
        <v>0.37251794813551059</v>
      </c>
      <c r="BG230" s="11">
        <f t="shared" si="279"/>
        <v>1.4900717925420424</v>
      </c>
      <c r="BH230" s="11">
        <f t="shared" si="280"/>
        <v>0.39882430171073086</v>
      </c>
      <c r="BI230" s="11">
        <v>0.41516242431812972</v>
      </c>
      <c r="BJ230" s="11">
        <f t="shared" si="299"/>
        <v>1.6606496972725189</v>
      </c>
      <c r="BK230" s="11">
        <f t="shared" si="300"/>
        <v>0.50720890969685972</v>
      </c>
      <c r="BL230" s="11">
        <v>0.47430292186504686</v>
      </c>
      <c r="BM230" s="11">
        <f t="shared" si="281"/>
        <v>1.8972116874601874</v>
      </c>
      <c r="BN230" s="11">
        <f t="shared" si="282"/>
        <v>0.64038527537559486</v>
      </c>
      <c r="BS230" t="b">
        <f t="shared" si="301"/>
        <v>0</v>
      </c>
      <c r="BU230" t="b">
        <f t="shared" si="302"/>
        <v>1</v>
      </c>
      <c r="BW230" t="b">
        <f t="shared" si="303"/>
        <v>1</v>
      </c>
    </row>
    <row r="231" spans="1:75">
      <c r="A231" s="89"/>
      <c r="B231" s="5">
        <f>'[48]Dados de entrada'!$B$28</f>
        <v>16</v>
      </c>
      <c r="C231" s="5">
        <f>'[48]Dados de entrada'!$B$31</f>
        <v>2</v>
      </c>
      <c r="D231" s="5">
        <f>'[48]Dados de entrada'!$B$32</f>
        <v>52</v>
      </c>
      <c r="E231" s="11">
        <f>'[48]Dados de entrada'!$B$27</f>
        <v>3.42</v>
      </c>
      <c r="F231" s="5">
        <f>'[48]Dados de entrada'!$B$30</f>
        <v>27</v>
      </c>
      <c r="G231" s="5">
        <f>'[48]Dados de entrada'!$B$22</f>
        <v>35</v>
      </c>
      <c r="H231" s="78">
        <f>'[48]Dados de entrada'!$B$29/(2*'[48]Dados de entrada'!$B$20*G231)</f>
        <v>3.8285714285714284E-2</v>
      </c>
      <c r="I231" s="53">
        <v>526.10180870720353</v>
      </c>
      <c r="J231" s="4">
        <v>0.28999999999999998</v>
      </c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11">
        <v>0.34116345661446468</v>
      </c>
      <c r="AE231" s="11">
        <f t="shared" si="283"/>
        <v>1.1764257124636714</v>
      </c>
      <c r="AF231" s="29">
        <f t="shared" si="284"/>
        <v>0.16248078436437929</v>
      </c>
      <c r="AG231" s="11">
        <v>0.37632679203421759</v>
      </c>
      <c r="AH231" s="11">
        <f t="shared" si="285"/>
        <v>1.2976785932214401</v>
      </c>
      <c r="AI231" s="11">
        <f t="shared" si="286"/>
        <v>0.26057697068712909</v>
      </c>
      <c r="AJ231" s="11">
        <v>0.34674246611589749</v>
      </c>
      <c r="AK231" s="11">
        <f t="shared" si="287"/>
        <v>1.1956636762617157</v>
      </c>
      <c r="AL231" s="11">
        <f t="shared" si="288"/>
        <v>0.1787014088432648</v>
      </c>
      <c r="AM231" s="11">
        <v>0.38713656797945217</v>
      </c>
      <c r="AN231" s="11">
        <v>0.69560140350877198</v>
      </c>
      <c r="AO231" s="11">
        <v>1.3349536826877662</v>
      </c>
      <c r="AP231" s="11">
        <f t="shared" si="266"/>
        <v>0.28889659663443523</v>
      </c>
      <c r="AQ231" s="11">
        <v>0.33642628942071362</v>
      </c>
      <c r="AR231" s="11">
        <f t="shared" si="289"/>
        <v>1.1600906531748747</v>
      </c>
      <c r="AS231" s="11">
        <f t="shared" si="290"/>
        <v>0.14849815135346178</v>
      </c>
      <c r="AT231" s="11">
        <v>0.59099581175136728</v>
      </c>
      <c r="AU231" s="11">
        <f t="shared" si="291"/>
        <v>2.037916592246094</v>
      </c>
      <c r="AV231" s="11">
        <f t="shared" si="292"/>
        <v>0.71192800768535303</v>
      </c>
      <c r="AW231" s="11">
        <v>0.46819370116951625</v>
      </c>
      <c r="AX231" s="11">
        <f t="shared" si="293"/>
        <v>1.6144610385155733</v>
      </c>
      <c r="AY231" s="11">
        <f t="shared" si="294"/>
        <v>0.47900117869556852</v>
      </c>
      <c r="AZ231" s="11">
        <v>0.35585892432063149</v>
      </c>
      <c r="BA231" s="11">
        <f t="shared" si="295"/>
        <v>1.2270997390366605</v>
      </c>
      <c r="BB231" s="11">
        <f t="shared" si="296"/>
        <v>0.2046534493336164</v>
      </c>
      <c r="BC231" s="11">
        <v>0.27832167923867279</v>
      </c>
      <c r="BD231" s="11">
        <f t="shared" si="297"/>
        <v>0.95972992840921656</v>
      </c>
      <c r="BE231" s="11">
        <f t="shared" si="298"/>
        <v>-4.1103358673169013E-2</v>
      </c>
      <c r="BF231" s="11">
        <v>0.41747701084152061</v>
      </c>
      <c r="BG231" s="11">
        <f t="shared" si="279"/>
        <v>1.4395758994535195</v>
      </c>
      <c r="BH231" s="11">
        <f t="shared" si="280"/>
        <v>0.36434855594167576</v>
      </c>
      <c r="BI231" s="11">
        <v>0.46727599043108969</v>
      </c>
      <c r="BJ231" s="11">
        <f t="shared" si="299"/>
        <v>1.6112965187278956</v>
      </c>
      <c r="BK231" s="11">
        <f t="shared" si="300"/>
        <v>0.47703914605877457</v>
      </c>
      <c r="BL231" s="11">
        <v>0.55341774603629168</v>
      </c>
      <c r="BM231" s="11">
        <f t="shared" si="281"/>
        <v>1.9083370552975576</v>
      </c>
      <c r="BN231" s="11">
        <f t="shared" si="282"/>
        <v>0.64623221114455764</v>
      </c>
      <c r="BS231" t="b">
        <f t="shared" si="301"/>
        <v>0</v>
      </c>
      <c r="BU231" t="b">
        <f t="shared" si="302"/>
        <v>1</v>
      </c>
      <c r="BW231" t="b">
        <f t="shared" si="303"/>
        <v>1</v>
      </c>
    </row>
    <row r="232" spans="1:75">
      <c r="A232" s="85" t="s">
        <v>94</v>
      </c>
      <c r="B232" s="21">
        <f>'[49]Dados de entrada'!$B$28</f>
        <v>20</v>
      </c>
      <c r="C232" s="21">
        <f>'[49]Dados de entrada'!$B$31</f>
        <v>2</v>
      </c>
      <c r="D232" s="21">
        <f>'[49]Dados de entrada'!$B$32</f>
        <v>44</v>
      </c>
      <c r="E232" s="20">
        <f>'[49]Dados de entrada'!$B$27</f>
        <v>3.42</v>
      </c>
      <c r="F232" s="21">
        <f>'[49]Dados de entrada'!$B$30</f>
        <v>25</v>
      </c>
      <c r="G232" s="21">
        <f>'[49]Dados de entrada'!$B$22</f>
        <v>35</v>
      </c>
      <c r="H232" s="79">
        <f>'[49]Dados de entrada'!$B$29/(2*'[49]Dados de entrada'!$B$20*G232)</f>
        <v>5.9809523809523812E-2</v>
      </c>
      <c r="I232" s="27" cm="1">
        <f t="array" ref="I232:I237">'[49]fib Model Code 2010'!$K$5:$K$10</f>
        <v>270.87013331072598</v>
      </c>
      <c r="J232" s="19" cm="1">
        <f t="array" ref="J232:J237">'[49]Dados de entrada'!$C$7:$C$12</f>
        <v>0.17</v>
      </c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0" cm="1">
        <f t="array" ref="AD232:AD237">'[49]fib Model Code 2010'!$L$5:$L$10</f>
        <v>0.13588199007541207</v>
      </c>
      <c r="AE232" s="20">
        <f t="shared" si="283"/>
        <v>0.79930582397301209</v>
      </c>
      <c r="AF232" s="54">
        <f t="shared" si="284"/>
        <v>-0.22401164803489476</v>
      </c>
      <c r="AG232" s="20" cm="1">
        <f t="array" ref="AG232:AG237">'[49]fib Model Code 2020'!$L$5:$L$10</f>
        <v>0.15128120300738629</v>
      </c>
      <c r="AH232" s="20">
        <f t="shared" si="285"/>
        <v>0.88988942945521343</v>
      </c>
      <c r="AI232" s="20">
        <f t="shared" si="286"/>
        <v>-0.11665806054112901</v>
      </c>
      <c r="AJ232" s="20" cm="1">
        <f t="array" ref="AJ232:AJ237">'[49]Eurocode 2'!$L$5:$L$10</f>
        <v>0.14617173010832946</v>
      </c>
      <c r="AK232" s="20">
        <f t="shared" si="287"/>
        <v>0.85983370651958502</v>
      </c>
      <c r="AL232" s="20">
        <f t="shared" si="288"/>
        <v>-0.15101627294402165</v>
      </c>
      <c r="AM232" s="20" cm="1">
        <f t="array" ref="AM232:AM237">'[49]NBR 6118'!$Q$5:$Q$10</f>
        <v>0.20519523255216443</v>
      </c>
      <c r="AN232" s="20" cm="1">
        <f t="array" ref="AN232:AN237">'[49]NBR 6118'!$R$5:$R$10</f>
        <v>0.25252771133111879</v>
      </c>
      <c r="AO232" s="20" cm="1">
        <f t="array" ref="AO232:AO237">'[49]NBR 6118'!$W$5:$W$10</f>
        <v>1.2070307797186142</v>
      </c>
      <c r="AP232" s="20">
        <f t="shared" si="266"/>
        <v>0.18816344279987157</v>
      </c>
      <c r="AQ232" s="20" cm="1">
        <f t="array" ref="AQ232:AQ237">'[49]Clark (1956)'!$L$5:$L$10</f>
        <v>0.13578602772186552</v>
      </c>
      <c r="AR232" s="20">
        <f t="shared" si="289"/>
        <v>0.79874133954038529</v>
      </c>
      <c r="AS232" s="20">
        <f t="shared" si="290"/>
        <v>-0.22471811586512255</v>
      </c>
      <c r="AT232" s="20" cm="1">
        <f t="array" ref="AT232:AT237">'[49]Leonhardt (1977)'!$L$5:$L$10</f>
        <v>0.27645367428719742</v>
      </c>
      <c r="AU232" s="20">
        <f t="shared" si="291"/>
        <v>1.6261980840423376</v>
      </c>
      <c r="AV232" s="20">
        <f t="shared" si="292"/>
        <v>0.48624482661007806</v>
      </c>
      <c r="AW232" s="20" cm="1">
        <f t="array" ref="AW232:AW237">'[49]Desayi; Ganesan (1985)'!$L$5:$L$10</f>
        <v>0.22543099969497715</v>
      </c>
      <c r="AX232" s="20">
        <f t="shared" si="293"/>
        <v>1.3260647040881008</v>
      </c>
      <c r="AY232" s="20">
        <f t="shared" si="294"/>
        <v>0.28221568701969446</v>
      </c>
      <c r="AZ232" s="20" cm="1">
        <f t="array" ref="AZ232:AZ237">'[49]Oh; Kang (1987)'!$L$5:$L$10</f>
        <v>0.18418728728989281</v>
      </c>
      <c r="BA232" s="20">
        <f t="shared" si="295"/>
        <v>1.0834546311170163</v>
      </c>
      <c r="BB232" s="20">
        <f t="shared" si="296"/>
        <v>8.0154668590617192E-2</v>
      </c>
      <c r="BC232" s="20" cm="1">
        <f t="array" ref="BC232:BC237">'[49]Caldas (1997)'!$L$5:$L$10</f>
        <v>0.13845530611466497</v>
      </c>
      <c r="BD232" s="20">
        <f t="shared" si="297"/>
        <v>0.81444297714508807</v>
      </c>
      <c r="BE232" s="20">
        <f t="shared" si="298"/>
        <v>-0.20525086303467197</v>
      </c>
      <c r="BF232" s="20" cm="1">
        <f t="array" ref="BF232:BF237">'[49]Gergely e Lutz (1968)'!$L$5:$L$10</f>
        <v>0.21999033548888819</v>
      </c>
      <c r="BG232" s="20">
        <f t="shared" si="279"/>
        <v>1.2940607969934599</v>
      </c>
      <c r="BH232" s="20">
        <f t="shared" si="280"/>
        <v>0.25778517874120399</v>
      </c>
      <c r="BI232" s="20" cm="1">
        <f t="array" ref="BI232:BI237">[49]Sugestão!$M$5:$M$10</f>
        <v>0.16752621909578566</v>
      </c>
      <c r="BJ232" s="20">
        <f t="shared" ref="BJ232:BJ263" si="304">BI232/J232</f>
        <v>0.98544834762226852</v>
      </c>
      <c r="BK232" s="20">
        <f t="shared" ref="BK232:BK263" si="305">LN(BJ232)</f>
        <v>-1.4658566119844361E-2</v>
      </c>
      <c r="BL232" s="20" cm="1">
        <f t="array" ref="BL232:BL237">[49]Sugestão!$M$5:$M$10</f>
        <v>0.16752621909578566</v>
      </c>
      <c r="BM232" s="20">
        <f t="shared" si="281"/>
        <v>0.98544834762226852</v>
      </c>
      <c r="BN232" s="20">
        <f t="shared" si="282"/>
        <v>-1.4658566119844361E-2</v>
      </c>
      <c r="BS232" t="b">
        <f t="shared" si="301"/>
        <v>0</v>
      </c>
      <c r="BU232" t="b">
        <f t="shared" si="302"/>
        <v>1</v>
      </c>
      <c r="BW232" t="b">
        <f t="shared" si="303"/>
        <v>1</v>
      </c>
    </row>
    <row r="233" spans="1:75">
      <c r="A233" s="90"/>
      <c r="B233" s="21">
        <f>'[49]Dados de entrada'!$B$28</f>
        <v>20</v>
      </c>
      <c r="C233" s="21">
        <f>'[49]Dados de entrada'!$B$31</f>
        <v>2</v>
      </c>
      <c r="D233" s="21">
        <f>'[49]Dados de entrada'!$B$32</f>
        <v>44</v>
      </c>
      <c r="E233" s="20">
        <f>'[49]Dados de entrada'!$B$27</f>
        <v>3.42</v>
      </c>
      <c r="F233" s="21">
        <f>'[49]Dados de entrada'!$B$30</f>
        <v>25</v>
      </c>
      <c r="G233" s="21">
        <f>'[49]Dados de entrada'!$B$22</f>
        <v>35</v>
      </c>
      <c r="H233" s="79">
        <f>'[49]Dados de entrada'!$B$29/(2*'[49]Dados de entrada'!$B$20*G233)</f>
        <v>5.9809523809523812E-2</v>
      </c>
      <c r="I233" s="27">
        <v>308.0483869023941</v>
      </c>
      <c r="J233" s="19">
        <v>0.19</v>
      </c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0">
        <v>0.15768903676554977</v>
      </c>
      <c r="AE233" s="20">
        <f t="shared" si="283"/>
        <v>0.82994229876605141</v>
      </c>
      <c r="AF233" s="54">
        <f t="shared" si="284"/>
        <v>-0.18639910016706418</v>
      </c>
      <c r="AG233" s="20">
        <v>0.17990644867800365</v>
      </c>
      <c r="AH233" s="20">
        <f t="shared" si="285"/>
        <v>0.94687604567370343</v>
      </c>
      <c r="AI233" s="20">
        <f t="shared" si="286"/>
        <v>-5.4587085943147873E-2</v>
      </c>
      <c r="AJ233" s="20">
        <v>0.16963012765962743</v>
      </c>
      <c r="AK233" s="20">
        <f t="shared" si="287"/>
        <v>0.89279014557698644</v>
      </c>
      <c r="AL233" s="20">
        <f t="shared" si="288"/>
        <v>-0.11340372507619143</v>
      </c>
      <c r="AM233" s="20">
        <v>0.23335928407893206</v>
      </c>
      <c r="AN233" s="20">
        <v>0.32660639020295401</v>
      </c>
      <c r="AO233" s="20">
        <v>1.2282067583101688</v>
      </c>
      <c r="AP233" s="20">
        <f t="shared" si="266"/>
        <v>0.20555518551174076</v>
      </c>
      <c r="AQ233" s="20">
        <v>0.15605054397095469</v>
      </c>
      <c r="AR233" s="20">
        <f t="shared" si="289"/>
        <v>0.82131865247870894</v>
      </c>
      <c r="AS233" s="20">
        <f t="shared" si="290"/>
        <v>-0.19684411757374196</v>
      </c>
      <c r="AT233" s="20">
        <v>0.32036897380246837</v>
      </c>
      <c r="AU233" s="20">
        <f t="shared" si="291"/>
        <v>1.6861524936972019</v>
      </c>
      <c r="AV233" s="20">
        <f t="shared" si="292"/>
        <v>0.5224493025223188</v>
      </c>
      <c r="AW233" s="20">
        <v>0.25637250945703272</v>
      </c>
      <c r="AX233" s="20">
        <f t="shared" si="293"/>
        <v>1.3493289971422775</v>
      </c>
      <c r="AY233" s="20">
        <f t="shared" si="294"/>
        <v>0.29960742973156324</v>
      </c>
      <c r="AZ233" s="20">
        <v>0.2138479522577981</v>
      </c>
      <c r="BA233" s="20">
        <f t="shared" si="295"/>
        <v>1.1255155381989372</v>
      </c>
      <c r="BB233" s="20">
        <f t="shared" si="296"/>
        <v>0.11824118686592147</v>
      </c>
      <c r="BC233" s="20">
        <v>0.15900260071078956</v>
      </c>
      <c r="BD233" s="20">
        <f t="shared" si="297"/>
        <v>0.83685579321468184</v>
      </c>
      <c r="BE233" s="20">
        <f t="shared" si="298"/>
        <v>-0.17810351340239111</v>
      </c>
      <c r="BF233" s="20">
        <v>0.25018508741873546</v>
      </c>
      <c r="BG233" s="20">
        <f t="shared" si="279"/>
        <v>1.3167636179933446</v>
      </c>
      <c r="BH233" s="20">
        <f t="shared" si="280"/>
        <v>0.27517692145307276</v>
      </c>
      <c r="BI233" s="20">
        <v>0.20362194551252039</v>
      </c>
      <c r="BJ233" s="20">
        <f t="shared" si="304"/>
        <v>1.0716944500658967</v>
      </c>
      <c r="BK233" s="20">
        <f t="shared" si="305"/>
        <v>6.9240994096827505E-2</v>
      </c>
      <c r="BL233" s="20">
        <v>0.20362194551252039</v>
      </c>
      <c r="BM233" s="20">
        <f t="shared" si="281"/>
        <v>1.0716944500658967</v>
      </c>
      <c r="BN233" s="20">
        <f t="shared" si="282"/>
        <v>6.9240994096827505E-2</v>
      </c>
      <c r="BS233" t="b">
        <f t="shared" si="301"/>
        <v>0</v>
      </c>
      <c r="BU233" t="b">
        <f t="shared" si="302"/>
        <v>1</v>
      </c>
      <c r="BW233" t="b">
        <f t="shared" si="303"/>
        <v>1</v>
      </c>
    </row>
    <row r="234" spans="1:75">
      <c r="A234" s="90"/>
      <c r="B234" s="21">
        <f>'[49]Dados de entrada'!$B$28</f>
        <v>20</v>
      </c>
      <c r="C234" s="21">
        <f>'[49]Dados de entrada'!$B$31</f>
        <v>2</v>
      </c>
      <c r="D234" s="21">
        <f>'[49]Dados de entrada'!$B$32</f>
        <v>44</v>
      </c>
      <c r="E234" s="20">
        <f>'[49]Dados de entrada'!$B$27</f>
        <v>3.42</v>
      </c>
      <c r="F234" s="21">
        <f>'[49]Dados de entrada'!$B$30</f>
        <v>25</v>
      </c>
      <c r="G234" s="21">
        <f>'[49]Dados de entrada'!$B$22</f>
        <v>35</v>
      </c>
      <c r="H234" s="79">
        <f>'[49]Dados de entrada'!$B$29/(2*'[49]Dados de entrada'!$B$20*G234)</f>
        <v>5.9809523809523812E-2</v>
      </c>
      <c r="I234" s="27">
        <v>355.84899866311054</v>
      </c>
      <c r="J234" s="19">
        <v>0.21</v>
      </c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0">
        <v>0.18572666822429837</v>
      </c>
      <c r="AE234" s="20">
        <f t="shared" si="283"/>
        <v>0.88441270582999232</v>
      </c>
      <c r="AF234" s="54">
        <f t="shared" si="284"/>
        <v>-0.1228314634919221</v>
      </c>
      <c r="AG234" s="20">
        <v>0.21671033596879763</v>
      </c>
      <c r="AH234" s="20">
        <f t="shared" si="285"/>
        <v>1.0319539808037983</v>
      </c>
      <c r="AI234" s="20">
        <f t="shared" si="286"/>
        <v>3.1454073820725813E-2</v>
      </c>
      <c r="AJ234" s="20">
        <v>0.19979092451129646</v>
      </c>
      <c r="AK234" s="20">
        <f t="shared" si="287"/>
        <v>0.95138535481569741</v>
      </c>
      <c r="AL234" s="20">
        <f t="shared" si="288"/>
        <v>-4.9836088401049271E-2</v>
      </c>
      <c r="AM234" s="20">
        <v>0.26957020747049049</v>
      </c>
      <c r="AN234" s="20">
        <v>0.43583117884098121</v>
      </c>
      <c r="AO234" s="20">
        <v>1.2836676546213832</v>
      </c>
      <c r="AP234" s="20">
        <f t="shared" si="266"/>
        <v>0.24972133579930486</v>
      </c>
      <c r="AQ234" s="20">
        <v>0.18210492200549805</v>
      </c>
      <c r="AR234" s="20">
        <f t="shared" si="289"/>
        <v>0.86716629526427647</v>
      </c>
      <c r="AS234" s="20">
        <f t="shared" si="290"/>
        <v>-0.14252451521410694</v>
      </c>
      <c r="AT234" s="20">
        <v>0.37597375921905984</v>
      </c>
      <c r="AU234" s="20">
        <f t="shared" si="291"/>
        <v>1.7903512343764756</v>
      </c>
      <c r="AV234" s="20">
        <f t="shared" si="292"/>
        <v>0.58241182092602761</v>
      </c>
      <c r="AW234" s="20">
        <v>0.29615445057967582</v>
      </c>
      <c r="AX234" s="20">
        <f t="shared" si="293"/>
        <v>1.4102592884746468</v>
      </c>
      <c r="AY234" s="20">
        <f t="shared" si="294"/>
        <v>0.34377358001912772</v>
      </c>
      <c r="AZ234" s="20">
        <v>0.25198309293081939</v>
      </c>
      <c r="BA234" s="20">
        <f t="shared" si="295"/>
        <v>1.1999194901467589</v>
      </c>
      <c r="BB234" s="20">
        <f t="shared" si="296"/>
        <v>0.18225446299884873</v>
      </c>
      <c r="BC234" s="20">
        <v>0.18542055090580706</v>
      </c>
      <c r="BD234" s="20">
        <f t="shared" si="297"/>
        <v>0.88295500431336693</v>
      </c>
      <c r="BE234" s="20">
        <f t="shared" si="298"/>
        <v>-0.12448103741907321</v>
      </c>
      <c r="BF234" s="20">
        <v>0.28900691132853934</v>
      </c>
      <c r="BG234" s="20">
        <f t="shared" si="279"/>
        <v>1.3762233872787588</v>
      </c>
      <c r="BH234" s="20">
        <f t="shared" si="280"/>
        <v>0.31934307174063731</v>
      </c>
      <c r="BI234" s="20">
        <v>0.25003073661975095</v>
      </c>
      <c r="BJ234" s="20">
        <f t="shared" si="304"/>
        <v>1.1906225553321474</v>
      </c>
      <c r="BK234" s="20">
        <f t="shared" si="305"/>
        <v>0.17447632606648267</v>
      </c>
      <c r="BL234" s="20">
        <v>0.25003073661975095</v>
      </c>
      <c r="BM234" s="20">
        <f t="shared" si="281"/>
        <v>1.1906225553321474</v>
      </c>
      <c r="BN234" s="20">
        <f t="shared" si="282"/>
        <v>0.17447632606648267</v>
      </c>
      <c r="BS234" t="b">
        <f t="shared" si="301"/>
        <v>0</v>
      </c>
      <c r="BU234" t="b">
        <f t="shared" si="302"/>
        <v>1</v>
      </c>
      <c r="BW234" t="b">
        <f t="shared" si="303"/>
        <v>1</v>
      </c>
    </row>
    <row r="235" spans="1:75">
      <c r="A235" s="90"/>
      <c r="B235" s="21">
        <f>'[49]Dados de entrada'!$B$28</f>
        <v>20</v>
      </c>
      <c r="C235" s="21">
        <f>'[49]Dados de entrada'!$B$31</f>
        <v>2</v>
      </c>
      <c r="D235" s="21">
        <f>'[49]Dados de entrada'!$B$32</f>
        <v>44</v>
      </c>
      <c r="E235" s="20">
        <f>'[49]Dados de entrada'!$B$27</f>
        <v>3.42</v>
      </c>
      <c r="F235" s="21">
        <f>'[49]Dados de entrada'!$B$30</f>
        <v>25</v>
      </c>
      <c r="G235" s="21">
        <f>'[49]Dados de entrada'!$B$22</f>
        <v>35</v>
      </c>
      <c r="H235" s="79">
        <f>'[49]Dados de entrada'!$B$29/(2*'[49]Dados de entrada'!$B$20*G235)</f>
        <v>5.9809523809523812E-2</v>
      </c>
      <c r="I235" s="27">
        <v>377.09371500120665</v>
      </c>
      <c r="J235" s="19">
        <v>0.23</v>
      </c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0">
        <v>0.19818783776151991</v>
      </c>
      <c r="AE235" s="20">
        <f t="shared" si="283"/>
        <v>0.861686251137043</v>
      </c>
      <c r="AF235" s="54">
        <f t="shared" si="284"/>
        <v>-0.14886405237369482</v>
      </c>
      <c r="AG235" s="20">
        <v>0.2330676192091504</v>
      </c>
      <c r="AH235" s="20">
        <f t="shared" si="285"/>
        <v>1.0133374748223929</v>
      </c>
      <c r="AI235" s="20">
        <f t="shared" si="286"/>
        <v>1.3249313737451352E-2</v>
      </c>
      <c r="AJ235" s="20">
        <v>0.21319572311203822</v>
      </c>
      <c r="AK235" s="20">
        <f t="shared" si="287"/>
        <v>0.92693792657407914</v>
      </c>
      <c r="AL235" s="20">
        <f t="shared" si="288"/>
        <v>-7.5868677282821664E-2</v>
      </c>
      <c r="AM235" s="20">
        <v>0.28566395120007193</v>
      </c>
      <c r="AN235" s="20">
        <v>0.48942414179937288</v>
      </c>
      <c r="AO235" s="20">
        <v>1.2420171791307475</v>
      </c>
      <c r="AP235" s="20">
        <f t="shared" si="266"/>
        <v>0.21673681524392727</v>
      </c>
      <c r="AQ235" s="20">
        <v>0.19368464557640616</v>
      </c>
      <c r="AR235" s="20">
        <f t="shared" si="289"/>
        <v>0.84210715468002673</v>
      </c>
      <c r="AS235" s="20">
        <f t="shared" si="290"/>
        <v>-0.17184801074665015</v>
      </c>
      <c r="AT235" s="20">
        <v>0.40046450762860109</v>
      </c>
      <c r="AU235" s="20">
        <f t="shared" si="291"/>
        <v>1.7411500331678307</v>
      </c>
      <c r="AV235" s="20">
        <f t="shared" si="292"/>
        <v>0.55454583350491504</v>
      </c>
      <c r="AW235" s="20">
        <v>0.31383531330085046</v>
      </c>
      <c r="AX235" s="20">
        <f t="shared" si="293"/>
        <v>1.3645013621776105</v>
      </c>
      <c r="AY235" s="20">
        <f t="shared" si="294"/>
        <v>0.31078905946375013</v>
      </c>
      <c r="AZ235" s="20">
        <v>0.26893204434105095</v>
      </c>
      <c r="BA235" s="20">
        <f t="shared" si="295"/>
        <v>1.1692697580045692</v>
      </c>
      <c r="BB235" s="20">
        <f t="shared" si="296"/>
        <v>0.15637941549654238</v>
      </c>
      <c r="BC235" s="20">
        <v>0.19716186210359257</v>
      </c>
      <c r="BD235" s="20">
        <f t="shared" si="297"/>
        <v>0.85722548740692417</v>
      </c>
      <c r="BE235" s="20">
        <f t="shared" si="298"/>
        <v>-0.1540542824988852</v>
      </c>
      <c r="BF235" s="20">
        <v>0.3062610552884521</v>
      </c>
      <c r="BG235" s="20">
        <f t="shared" si="279"/>
        <v>1.3315698056019656</v>
      </c>
      <c r="BH235" s="20">
        <f t="shared" si="280"/>
        <v>0.28635855118525977</v>
      </c>
      <c r="BI235" s="20">
        <v>0.27065686600074229</v>
      </c>
      <c r="BJ235" s="20">
        <f t="shared" si="304"/>
        <v>1.176768982611923</v>
      </c>
      <c r="BK235" s="20">
        <f t="shared" si="305"/>
        <v>0.16277253255793481</v>
      </c>
      <c r="BL235" s="20">
        <v>0.27065686600074229</v>
      </c>
      <c r="BM235" s="20">
        <f t="shared" si="281"/>
        <v>1.176768982611923</v>
      </c>
      <c r="BN235" s="20">
        <f t="shared" si="282"/>
        <v>0.16277253255793481</v>
      </c>
      <c r="BS235" t="b">
        <f t="shared" si="301"/>
        <v>0</v>
      </c>
      <c r="BU235" t="b">
        <f t="shared" si="302"/>
        <v>1</v>
      </c>
      <c r="BW235" t="b">
        <f t="shared" si="303"/>
        <v>1</v>
      </c>
    </row>
    <row r="236" spans="1:75">
      <c r="A236" s="90"/>
      <c r="B236" s="21">
        <f>'[49]Dados de entrada'!$B$28</f>
        <v>20</v>
      </c>
      <c r="C236" s="21">
        <f>'[49]Dados de entrada'!$B$31</f>
        <v>2</v>
      </c>
      <c r="D236" s="21">
        <f>'[49]Dados de entrada'!$B$32</f>
        <v>44</v>
      </c>
      <c r="E236" s="20">
        <f>'[49]Dados de entrada'!$B$27</f>
        <v>3.42</v>
      </c>
      <c r="F236" s="21">
        <f>'[49]Dados de entrada'!$B$30</f>
        <v>25</v>
      </c>
      <c r="G236" s="21">
        <f>'[49]Dados de entrada'!$B$22</f>
        <v>35</v>
      </c>
      <c r="H236" s="79">
        <f>'[49]Dados de entrada'!$B$29/(2*'[49]Dados de entrada'!$B$20*G236)</f>
        <v>5.9809523809523812E-2</v>
      </c>
      <c r="I236" s="27">
        <v>424.89432676192303</v>
      </c>
      <c r="J236" s="19">
        <v>0.25</v>
      </c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0">
        <v>0.22622546922026851</v>
      </c>
      <c r="AE236" s="20">
        <f t="shared" si="283"/>
        <v>0.90490187688107404</v>
      </c>
      <c r="AF236" s="54">
        <f t="shared" si="284"/>
        <v>-9.9928764496275496E-2</v>
      </c>
      <c r="AG236" s="20">
        <v>0.26987150649994435</v>
      </c>
      <c r="AH236" s="20">
        <f t="shared" si="285"/>
        <v>1.0794860259997774</v>
      </c>
      <c r="AI236" s="20">
        <f t="shared" si="286"/>
        <v>7.6485026006843301E-2</v>
      </c>
      <c r="AJ236" s="20">
        <v>0.24335651996370719</v>
      </c>
      <c r="AK236" s="20">
        <f t="shared" si="287"/>
        <v>0.97342607985482876</v>
      </c>
      <c r="AL236" s="20">
        <f t="shared" si="288"/>
        <v>-2.6933389405402526E-2</v>
      </c>
      <c r="AM236" s="20">
        <v>0.32187487459163039</v>
      </c>
      <c r="AN236" s="20">
        <v>0.62136768647410989</v>
      </c>
      <c r="AO236" s="20">
        <v>1.2874994983665216</v>
      </c>
      <c r="AP236" s="20">
        <f t="shared" si="266"/>
        <v>0.2527019639374426</v>
      </c>
      <c r="AQ236" s="20">
        <v>0.21973902361094949</v>
      </c>
      <c r="AR236" s="20">
        <f t="shared" si="289"/>
        <v>0.87895609444379796</v>
      </c>
      <c r="AS236" s="20">
        <f t="shared" si="290"/>
        <v>-0.12902033198270235</v>
      </c>
      <c r="AT236" s="20">
        <v>0.45520575546610442</v>
      </c>
      <c r="AU236" s="20">
        <f t="shared" si="291"/>
        <v>1.8208230218644177</v>
      </c>
      <c r="AV236" s="20">
        <f t="shared" si="292"/>
        <v>0.59928860868827372</v>
      </c>
      <c r="AW236" s="20">
        <v>0.35361725442349351</v>
      </c>
      <c r="AX236" s="20">
        <f t="shared" si="293"/>
        <v>1.414469017693974</v>
      </c>
      <c r="AY236" s="20">
        <f t="shared" si="294"/>
        <v>0.34675420815726549</v>
      </c>
      <c r="AZ236" s="20">
        <v>0.30706718501407221</v>
      </c>
      <c r="BA236" s="20">
        <f t="shared" si="295"/>
        <v>1.2282687400562888</v>
      </c>
      <c r="BB236" s="20">
        <f t="shared" si="296"/>
        <v>0.20560564947620888</v>
      </c>
      <c r="BC236" s="20">
        <v>0.22357981229861004</v>
      </c>
      <c r="BD236" s="20">
        <f t="shared" si="297"/>
        <v>0.89431924919444017</v>
      </c>
      <c r="BE236" s="20">
        <f t="shared" si="298"/>
        <v>-0.11169246554716554</v>
      </c>
      <c r="BF236" s="20">
        <v>0.34508287919825592</v>
      </c>
      <c r="BG236" s="20">
        <f t="shared" si="279"/>
        <v>1.3803315167930237</v>
      </c>
      <c r="BH236" s="20">
        <f t="shared" si="280"/>
        <v>0.32232369987877502</v>
      </c>
      <c r="BI236" s="20">
        <v>0.3170656571079728</v>
      </c>
      <c r="BJ236" s="20">
        <f t="shared" si="304"/>
        <v>1.2682626284318912</v>
      </c>
      <c r="BK236" s="20">
        <f t="shared" si="305"/>
        <v>0.23764795478302908</v>
      </c>
      <c r="BL236" s="20">
        <v>0.3170656571079728</v>
      </c>
      <c r="BM236" s="20">
        <f t="shared" si="281"/>
        <v>1.2682626284318912</v>
      </c>
      <c r="BN236" s="20">
        <f t="shared" si="282"/>
        <v>0.23764795478302908</v>
      </c>
      <c r="BS236" t="b">
        <f t="shared" si="301"/>
        <v>0</v>
      </c>
      <c r="BU236" t="b">
        <f t="shared" si="302"/>
        <v>1</v>
      </c>
      <c r="BW236" t="b">
        <f t="shared" si="303"/>
        <v>1</v>
      </c>
    </row>
    <row r="237" spans="1:75">
      <c r="A237" s="86"/>
      <c r="B237" s="21">
        <f>'[49]Dados de entrada'!$B$28</f>
        <v>20</v>
      </c>
      <c r="C237" s="21">
        <f>'[49]Dados de entrada'!$B$31</f>
        <v>2</v>
      </c>
      <c r="D237" s="21">
        <f>'[49]Dados de entrada'!$B$32</f>
        <v>44</v>
      </c>
      <c r="E237" s="20">
        <f>'[49]Dados de entrada'!$B$27</f>
        <v>3.42</v>
      </c>
      <c r="F237" s="21">
        <f>'[49]Dados de entrada'!$B$30</f>
        <v>25</v>
      </c>
      <c r="G237" s="21">
        <f>'[49]Dados de entrada'!$B$22</f>
        <v>35</v>
      </c>
      <c r="H237" s="79">
        <f>'[49]Dados de entrada'!$B$29/(2*'[49]Dados de entrada'!$B$20*G237)</f>
        <v>5.9809523809523812E-2</v>
      </c>
      <c r="I237" s="27">
        <v>525.80672936787971</v>
      </c>
      <c r="J237" s="19">
        <v>0.25</v>
      </c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0">
        <v>0.28541602452207099</v>
      </c>
      <c r="AE237" s="20">
        <f t="shared" si="283"/>
        <v>1.141664098088284</v>
      </c>
      <c r="AF237" s="54">
        <f t="shared" si="284"/>
        <v>0.13248693319386973</v>
      </c>
      <c r="AG237" s="20">
        <v>0.34756860189162025</v>
      </c>
      <c r="AH237" s="20">
        <f t="shared" si="285"/>
        <v>1.390274407566481</v>
      </c>
      <c r="AI237" s="20">
        <f t="shared" si="286"/>
        <v>0.32950114317417573</v>
      </c>
      <c r="AJ237" s="20">
        <v>0.30702931331723049</v>
      </c>
      <c r="AK237" s="20">
        <f t="shared" si="287"/>
        <v>1.228117253268922</v>
      </c>
      <c r="AL237" s="20">
        <f t="shared" si="288"/>
        <v>0.20548230828474259</v>
      </c>
      <c r="AM237" s="20">
        <v>0.38075707004060283</v>
      </c>
      <c r="AN237" s="20">
        <v>0.86950175438596489</v>
      </c>
      <c r="AO237" s="20">
        <v>1.5230282801624113</v>
      </c>
      <c r="AP237" s="20">
        <f t="shared" si="266"/>
        <v>0.42070064246184374</v>
      </c>
      <c r="AQ237" s="20">
        <v>0.27474271057276312</v>
      </c>
      <c r="AR237" s="20">
        <f t="shared" si="289"/>
        <v>1.0989708422910525</v>
      </c>
      <c r="AS237" s="20">
        <f t="shared" si="290"/>
        <v>9.4374143942186933E-2</v>
      </c>
      <c r="AT237" s="20">
        <v>0.56965376026569303</v>
      </c>
      <c r="AU237" s="20">
        <f t="shared" si="291"/>
        <v>2.2786150410627721</v>
      </c>
      <c r="AV237" s="20">
        <f t="shared" si="292"/>
        <v>0.82356782027070008</v>
      </c>
      <c r="AW237" s="20">
        <v>0.43760135234907321</v>
      </c>
      <c r="AX237" s="20">
        <f t="shared" si="293"/>
        <v>1.7504054093962929</v>
      </c>
      <c r="AY237" s="20">
        <f t="shared" si="294"/>
        <v>0.55984742361797379</v>
      </c>
      <c r="AZ237" s="20">
        <v>0.38757470421267243</v>
      </c>
      <c r="BA237" s="20">
        <f t="shared" si="295"/>
        <v>1.5502988168506897</v>
      </c>
      <c r="BB237" s="20">
        <f t="shared" si="296"/>
        <v>0.43844769741546374</v>
      </c>
      <c r="BC237" s="20">
        <v>0.27935104048809128</v>
      </c>
      <c r="BD237" s="20">
        <f t="shared" si="297"/>
        <v>1.1174041619523651</v>
      </c>
      <c r="BE237" s="20">
        <f t="shared" si="298"/>
        <v>0.11100828271144025</v>
      </c>
      <c r="BF237" s="20">
        <v>0.4270400630078417</v>
      </c>
      <c r="BG237" s="20">
        <f t="shared" si="279"/>
        <v>1.7081602520313668</v>
      </c>
      <c r="BH237" s="20">
        <f t="shared" si="280"/>
        <v>0.53541691533948332</v>
      </c>
      <c r="BI237" s="20">
        <v>0.40484276019873267</v>
      </c>
      <c r="BJ237" s="20">
        <f t="shared" si="304"/>
        <v>1.6193710407949307</v>
      </c>
      <c r="BK237" s="20">
        <f t="shared" si="305"/>
        <v>0.48203782743425477</v>
      </c>
      <c r="BL237" s="20">
        <v>0.40484276019873267</v>
      </c>
      <c r="BM237" s="20">
        <f t="shared" si="281"/>
        <v>1.6193710407949307</v>
      </c>
      <c r="BN237" s="20">
        <f t="shared" si="282"/>
        <v>0.48203782743425477</v>
      </c>
      <c r="BS237" t="b">
        <f t="shared" si="301"/>
        <v>0</v>
      </c>
      <c r="BU237" t="b">
        <f t="shared" si="302"/>
        <v>1</v>
      </c>
      <c r="BW237" t="b">
        <f t="shared" si="303"/>
        <v>1</v>
      </c>
    </row>
    <row r="238" spans="1:75">
      <c r="A238" s="87" t="s">
        <v>95</v>
      </c>
      <c r="B238" s="5">
        <f>'[50]Dados de entrada'!$B$28</f>
        <v>20</v>
      </c>
      <c r="C238" s="5">
        <f>'[50]Dados de entrada'!$B$31</f>
        <v>3</v>
      </c>
      <c r="D238" s="5">
        <f>'[50]Dados de entrada'!$B$32</f>
        <v>12</v>
      </c>
      <c r="E238" s="11">
        <f>'[50]Dados de entrada'!$B$27</f>
        <v>3.42</v>
      </c>
      <c r="F238" s="5">
        <f>'[50]Dados de entrada'!$B$30</f>
        <v>25</v>
      </c>
      <c r="G238" s="5">
        <f>'[50]Dados de entrada'!$B$22</f>
        <v>35</v>
      </c>
      <c r="H238" s="78">
        <f>'[50]Dados de entrada'!$B$29/(2*'[50]Dados de entrada'!$B$20*G238)</f>
        <v>8.9714285714285719E-2</v>
      </c>
      <c r="I238" s="53" cm="1">
        <f t="array" ref="I238:I245">'[50]fib Model Code 2010'!$K$5:$K$12</f>
        <v>246.92191294539825</v>
      </c>
      <c r="J238" s="4" cm="1">
        <f t="array" ref="J238:J245">'[50]Dados de entrada'!$C$7:$C$14</f>
        <v>0.18</v>
      </c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11" cm="1">
        <f t="array" ref="AD238:AD245">'[50]fib Model Code 2010'!$L$5:$L$12</f>
        <v>9.9001541127222883E-2</v>
      </c>
      <c r="AE238" s="11">
        <f t="shared" si="283"/>
        <v>0.55000856181790492</v>
      </c>
      <c r="AF238" s="29">
        <f t="shared" si="284"/>
        <v>-0.59782143393513876</v>
      </c>
      <c r="AG238" s="11" cm="1">
        <f t="array" ref="AG238:AG245">'[50]fib Model Code 2020'!$L$5:$L$12</f>
        <v>0.12703849644400417</v>
      </c>
      <c r="AH238" s="11">
        <f t="shared" si="285"/>
        <v>0.70576942468891202</v>
      </c>
      <c r="AI238" s="11">
        <f t="shared" si="286"/>
        <v>-0.34846668875735948</v>
      </c>
      <c r="AJ238" s="11" cm="1">
        <f t="array" ref="AJ238:AJ245">'[50]Eurocode 2'!$L$5:$L$12</f>
        <v>0.11972263952840977</v>
      </c>
      <c r="AK238" s="11">
        <f t="shared" si="287"/>
        <v>0.66512577515783211</v>
      </c>
      <c r="AL238" s="11">
        <f t="shared" si="288"/>
        <v>-0.40777912063447358</v>
      </c>
      <c r="AM238" s="11" cm="1">
        <f t="array" ref="AM238:AM245">'[50]NBR 6118'!$Q$5:$Q$12</f>
        <v>0.15281153215677173</v>
      </c>
      <c r="AN238" s="11" cm="1">
        <f t="array" ref="AN238:AN245">'[50]NBR 6118'!$R$5:$R$12</f>
        <v>0.21127454925494149</v>
      </c>
      <c r="AO238" s="11" cm="1">
        <f t="array" ref="AO238:AO245">'[50]NBR 6118'!$W$5:$W$12</f>
        <v>0.8489529564265097</v>
      </c>
      <c r="AP238" s="11">
        <f t="shared" si="266"/>
        <v>-0.16375150477549416</v>
      </c>
      <c r="AQ238" s="11" cm="1">
        <f t="array" ref="AQ238:AQ245">'[50]Clark (1956)'!$L$5:$L$12</f>
        <v>8.4078447968071318E-2</v>
      </c>
      <c r="AR238" s="11">
        <f t="shared" si="289"/>
        <v>0.46710248871150734</v>
      </c>
      <c r="AS238" s="11">
        <f t="shared" si="290"/>
        <v>-0.76120658348247239</v>
      </c>
      <c r="AT238" s="11" cm="1">
        <f t="array" ref="AT238:AT245">'[50]Leonhardt (1977)'!$L$5:$L$12</f>
        <v>0.19816264568473804</v>
      </c>
      <c r="AU238" s="11">
        <f t="shared" si="291"/>
        <v>1.1009035871374335</v>
      </c>
      <c r="AV238" s="11">
        <f t="shared" si="292"/>
        <v>9.6131285457004889E-2</v>
      </c>
      <c r="AW238" s="11" cm="1">
        <f t="array" ref="AW238:AW245">'[50]Desayi; Ganesan (1985)'!$L$5:$L$12</f>
        <v>0.15788934749629366</v>
      </c>
      <c r="AX238" s="11">
        <f t="shared" si="293"/>
        <v>0.87716304164607595</v>
      </c>
      <c r="AY238" s="11">
        <f t="shared" si="294"/>
        <v>-0.13106239551240534</v>
      </c>
      <c r="AZ238" s="11" cm="1">
        <f t="array" ref="AZ238:AZ245">'[50]Oh; Kang (1987)'!$L$5:$L$12</f>
        <v>0.12820922460159795</v>
      </c>
      <c r="BA238" s="11">
        <f t="shared" si="295"/>
        <v>0.71227347000887753</v>
      </c>
      <c r="BB238" s="11">
        <f t="shared" si="296"/>
        <v>-0.33929335422160617</v>
      </c>
      <c r="BC238" s="11" cm="1">
        <f t="array" ref="BC238:BC245">'[50]Caldas (1997)'!$L$5:$L$12</f>
        <v>0.12537381381508225</v>
      </c>
      <c r="BD238" s="11">
        <f t="shared" si="297"/>
        <v>0.69652118786156814</v>
      </c>
      <c r="BE238" s="11">
        <f t="shared" si="298"/>
        <v>-0.36165706574892093</v>
      </c>
      <c r="BF238" s="11" cm="1">
        <f t="array" ref="BF238:BF245">'[50]Gergely e Lutz (1968)'!$L$5:$L$12</f>
        <v>0.18016328881157176</v>
      </c>
      <c r="BG238" s="11">
        <f t="shared" si="279"/>
        <v>1.0009071600642876</v>
      </c>
      <c r="BH238" s="11">
        <f t="shared" si="280"/>
        <v>9.0674884327320384E-4</v>
      </c>
      <c r="BI238" s="11" cm="1">
        <f t="array" ref="BI238:BI245">[50]Sugestão!$M$5:$M$12</f>
        <v>0.13419966539766751</v>
      </c>
      <c r="BJ238" s="11">
        <f t="shared" si="304"/>
        <v>0.74555369665370841</v>
      </c>
      <c r="BK238" s="11">
        <f t="shared" si="305"/>
        <v>-0.2936281196667096</v>
      </c>
      <c r="BL238" s="11" cm="1">
        <f t="array" ref="BL238:BL245">'[50]fib Model Code 2020 modificado'!$L$5:$L$12</f>
        <v>0.21524503066384404</v>
      </c>
      <c r="BM238" s="11">
        <f t="shared" si="281"/>
        <v>1.1958057259102448</v>
      </c>
      <c r="BN238" s="11">
        <f t="shared" si="282"/>
        <v>0.17882020580430238</v>
      </c>
      <c r="BS238" t="b">
        <f t="shared" si="301"/>
        <v>0</v>
      </c>
      <c r="BU238" t="b">
        <f t="shared" si="302"/>
        <v>1</v>
      </c>
      <c r="BW238" t="b">
        <f t="shared" si="303"/>
        <v>1</v>
      </c>
    </row>
    <row r="239" spans="1:75">
      <c r="A239" s="88"/>
      <c r="B239" s="5">
        <f>'[50]Dados de entrada'!$B$28</f>
        <v>20</v>
      </c>
      <c r="C239" s="5">
        <f>'[50]Dados de entrada'!$B$31</f>
        <v>3</v>
      </c>
      <c r="D239" s="5">
        <f>'[50]Dados de entrada'!$B$32</f>
        <v>12</v>
      </c>
      <c r="E239" s="11">
        <f>'[50]Dados de entrada'!$B$27</f>
        <v>3.42</v>
      </c>
      <c r="F239" s="5">
        <f>'[50]Dados de entrada'!$B$30</f>
        <v>25</v>
      </c>
      <c r="G239" s="5">
        <f>'[50]Dados de entrada'!$B$22</f>
        <v>35</v>
      </c>
      <c r="H239" s="78">
        <f>'[50]Dados de entrada'!$B$29/(2*'[50]Dados de entrada'!$B$20*G239)</f>
        <v>8.9714285714285719E-2</v>
      </c>
      <c r="I239" s="53">
        <v>283.23395896678039</v>
      </c>
      <c r="J239" s="4">
        <v>0.19</v>
      </c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11">
        <v>0.11553739220709007</v>
      </c>
      <c r="AE239" s="11">
        <f t="shared" si="283"/>
        <v>0.60809153793205295</v>
      </c>
      <c r="AF239" s="29">
        <f t="shared" si="284"/>
        <v>-0.49742985253906086</v>
      </c>
      <c r="AG239" s="11">
        <v>0.15099627778839889</v>
      </c>
      <c r="AH239" s="11">
        <f t="shared" si="285"/>
        <v>0.79471725151788886</v>
      </c>
      <c r="AI239" s="11">
        <f t="shared" si="286"/>
        <v>-0.22976888605734253</v>
      </c>
      <c r="AJ239" s="11">
        <v>0.13971945690710444</v>
      </c>
      <c r="AK239" s="11">
        <f t="shared" si="287"/>
        <v>0.73536556266897068</v>
      </c>
      <c r="AL239" s="11">
        <f t="shared" si="288"/>
        <v>-0.30738753923839568</v>
      </c>
      <c r="AM239" s="11">
        <v>0.17528381629747347</v>
      </c>
      <c r="AN239" s="11">
        <v>0.27798320883803285</v>
      </c>
      <c r="AO239" s="11">
        <v>0.92254640156564982</v>
      </c>
      <c r="AP239" s="11">
        <f t="shared" si="266"/>
        <v>-8.061760453228492E-2</v>
      </c>
      <c r="AQ239" s="11">
        <v>9.7273366601955721E-2</v>
      </c>
      <c r="AR239" s="11">
        <f t="shared" si="289"/>
        <v>0.51196508737871427</v>
      </c>
      <c r="AS239" s="11">
        <f t="shared" si="290"/>
        <v>-0.66949884498103396</v>
      </c>
      <c r="AT239" s="11">
        <v>0.2302395167174637</v>
      </c>
      <c r="AU239" s="11">
        <f t="shared" si="291"/>
        <v>1.2117869300919142</v>
      </c>
      <c r="AV239" s="11">
        <f t="shared" si="292"/>
        <v>0.19209607193825048</v>
      </c>
      <c r="AW239" s="11">
        <v>0.18110836918692513</v>
      </c>
      <c r="AX239" s="11">
        <f t="shared" si="293"/>
        <v>0.95320194308907968</v>
      </c>
      <c r="AY239" s="11">
        <f t="shared" si="294"/>
        <v>-4.7928495269195813E-2</v>
      </c>
      <c r="AZ239" s="11">
        <v>0.15070823979931375</v>
      </c>
      <c r="BA239" s="11">
        <f t="shared" si="295"/>
        <v>0.79320126210165132</v>
      </c>
      <c r="BB239" s="11">
        <f t="shared" si="296"/>
        <v>-0.2316782911859071</v>
      </c>
      <c r="BC239" s="11">
        <v>0.14542842857482446</v>
      </c>
      <c r="BD239" s="11">
        <f t="shared" si="297"/>
        <v>0.7654127819727603</v>
      </c>
      <c r="BE239" s="11">
        <f t="shared" si="298"/>
        <v>-0.26734000640073408</v>
      </c>
      <c r="BF239" s="11">
        <v>0.20665789010739119</v>
      </c>
      <c r="BG239" s="11">
        <f t="shared" si="279"/>
        <v>1.0876731058283746</v>
      </c>
      <c r="BH239" s="11">
        <f t="shared" si="280"/>
        <v>8.4040649086482636E-2</v>
      </c>
      <c r="BI239" s="11">
        <v>0.16272765949974599</v>
      </c>
      <c r="BJ239" s="11">
        <f t="shared" si="304"/>
        <v>0.85646136578813681</v>
      </c>
      <c r="BK239" s="11">
        <f t="shared" si="305"/>
        <v>-0.15494606931279911</v>
      </c>
      <c r="BL239" s="11">
        <v>0.25870244106620943</v>
      </c>
      <c r="BM239" s="11">
        <f t="shared" si="281"/>
        <v>1.3615917950853127</v>
      </c>
      <c r="BN239" s="11">
        <f t="shared" si="282"/>
        <v>0.30865445288264792</v>
      </c>
      <c r="BS239" t="b">
        <f t="shared" si="301"/>
        <v>0</v>
      </c>
      <c r="BU239" t="b">
        <f t="shared" si="302"/>
        <v>1</v>
      </c>
      <c r="BW239" t="b">
        <f t="shared" si="303"/>
        <v>1</v>
      </c>
    </row>
    <row r="240" spans="1:75">
      <c r="A240" s="88"/>
      <c r="B240" s="5">
        <f>'[50]Dados de entrada'!$B$28</f>
        <v>20</v>
      </c>
      <c r="C240" s="5">
        <f>'[50]Dados de entrada'!$B$31</f>
        <v>3</v>
      </c>
      <c r="D240" s="5">
        <f>'[50]Dados de entrada'!$B$32</f>
        <v>12</v>
      </c>
      <c r="E240" s="11">
        <f>'[50]Dados de entrada'!$B$27</f>
        <v>3.42</v>
      </c>
      <c r="F240" s="5">
        <f>'[50]Dados de entrada'!$B$30</f>
        <v>25</v>
      </c>
      <c r="G240" s="5">
        <f>'[50]Dados de entrada'!$B$22</f>
        <v>35</v>
      </c>
      <c r="H240" s="78">
        <f>'[50]Dados de entrada'!$B$29/(2*'[50]Dados de entrada'!$B$20*G240)</f>
        <v>8.9714285714285719E-2</v>
      </c>
      <c r="I240" s="53">
        <v>315.9148003860243</v>
      </c>
      <c r="J240" s="4">
        <v>0.21</v>
      </c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11">
        <v>0.13041965817897053</v>
      </c>
      <c r="AE240" s="11">
        <f t="shared" si="283"/>
        <v>0.62104599132843108</v>
      </c>
      <c r="AF240" s="29">
        <f t="shared" si="284"/>
        <v>-0.47635013968077788</v>
      </c>
      <c r="AG240" s="11">
        <v>0.17255828099835413</v>
      </c>
      <c r="AH240" s="11">
        <f t="shared" si="285"/>
        <v>0.8217060999921626</v>
      </c>
      <c r="AI240" s="11">
        <f t="shared" si="286"/>
        <v>-0.19637249044815822</v>
      </c>
      <c r="AJ240" s="11">
        <v>0.15771659254792961</v>
      </c>
      <c r="AK240" s="11">
        <f t="shared" si="287"/>
        <v>0.75103139308537914</v>
      </c>
      <c r="AL240" s="11">
        <f t="shared" si="288"/>
        <v>-0.28630782638011271</v>
      </c>
      <c r="AM240" s="11">
        <v>0.19550887202410502</v>
      </c>
      <c r="AN240" s="11">
        <v>0.34583413998932788</v>
      </c>
      <c r="AO240" s="11">
        <v>0.93099462868621441</v>
      </c>
      <c r="AP240" s="11">
        <f t="shared" si="266"/>
        <v>-7.1501771124275443E-2</v>
      </c>
      <c r="AQ240" s="11">
        <v>0.10914879337245167</v>
      </c>
      <c r="AR240" s="11">
        <f t="shared" si="289"/>
        <v>0.51975615891643656</v>
      </c>
      <c r="AS240" s="11">
        <f t="shared" si="290"/>
        <v>-0.65439550254714896</v>
      </c>
      <c r="AT240" s="11">
        <v>0.25883998916646</v>
      </c>
      <c r="AU240" s="11">
        <f t="shared" si="291"/>
        <v>1.232571376983143</v>
      </c>
      <c r="AV240" s="11">
        <f t="shared" si="292"/>
        <v>0.20910253761740025</v>
      </c>
      <c r="AW240" s="11">
        <v>0.20200548870849344</v>
      </c>
      <c r="AX240" s="11">
        <f t="shared" si="293"/>
        <v>0.96193089861187353</v>
      </c>
      <c r="AY240" s="11">
        <f t="shared" si="294"/>
        <v>-3.8812661861186294E-2</v>
      </c>
      <c r="AZ240" s="11">
        <v>0.17095735347725799</v>
      </c>
      <c r="BA240" s="11">
        <f t="shared" si="295"/>
        <v>0.81408263560599048</v>
      </c>
      <c r="BB240" s="11">
        <f t="shared" si="296"/>
        <v>-0.20569340018871721</v>
      </c>
      <c r="BC240" s="11">
        <v>0.16347758185859246</v>
      </c>
      <c r="BD240" s="11">
        <f t="shared" si="297"/>
        <v>0.77846467551710696</v>
      </c>
      <c r="BE240" s="11">
        <f t="shared" si="298"/>
        <v>-0.25043166379587145</v>
      </c>
      <c r="BF240" s="11">
        <v>0.23050303127362862</v>
      </c>
      <c r="BG240" s="11">
        <f t="shared" si="279"/>
        <v>1.0976334822553744</v>
      </c>
      <c r="BH240" s="11">
        <f t="shared" si="280"/>
        <v>9.3156482494492071E-2</v>
      </c>
      <c r="BI240" s="11">
        <v>0.18840285419161665</v>
      </c>
      <c r="BJ240" s="11">
        <f t="shared" si="304"/>
        <v>0.89715644853150789</v>
      </c>
      <c r="BK240" s="11">
        <f t="shared" si="305"/>
        <v>-0.10852501905292951</v>
      </c>
      <c r="BL240" s="11">
        <v>0.29924526640816773</v>
      </c>
      <c r="BM240" s="11">
        <f t="shared" si="281"/>
        <v>1.424977459086513</v>
      </c>
      <c r="BN240" s="11">
        <f t="shared" si="282"/>
        <v>0.35415599541060189</v>
      </c>
      <c r="BS240" t="b">
        <f t="shared" si="301"/>
        <v>0</v>
      </c>
      <c r="BU240" t="b">
        <f t="shared" si="302"/>
        <v>1</v>
      </c>
      <c r="BW240" t="b">
        <f t="shared" si="303"/>
        <v>1</v>
      </c>
    </row>
    <row r="241" spans="1:75">
      <c r="A241" s="88"/>
      <c r="B241" s="5">
        <f>'[50]Dados de entrada'!$B$28</f>
        <v>20</v>
      </c>
      <c r="C241" s="5">
        <f>'[50]Dados de entrada'!$B$31</f>
        <v>3</v>
      </c>
      <c r="D241" s="5">
        <f>'[50]Dados de entrada'!$B$32</f>
        <v>12</v>
      </c>
      <c r="E241" s="11">
        <f>'[50]Dados de entrada'!$B$27</f>
        <v>3.42</v>
      </c>
      <c r="F241" s="5">
        <f>'[50]Dados de entrada'!$B$30</f>
        <v>25</v>
      </c>
      <c r="G241" s="5">
        <f>'[50]Dados de entrada'!$B$22</f>
        <v>35</v>
      </c>
      <c r="H241" s="78">
        <f>'[50]Dados de entrada'!$B$29/(2*'[50]Dados de entrada'!$B$20*G241)</f>
        <v>8.9714285714285719E-2</v>
      </c>
      <c r="I241" s="53">
        <v>355.85805100954457</v>
      </c>
      <c r="J241" s="4">
        <v>0.23</v>
      </c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11">
        <v>0.1486090943668244</v>
      </c>
      <c r="AE241" s="11">
        <f t="shared" si="283"/>
        <v>0.64612649724706261</v>
      </c>
      <c r="AF241" s="29">
        <f t="shared" si="284"/>
        <v>-0.43675997819709583</v>
      </c>
      <c r="AG241" s="11">
        <v>0.19891184047718827</v>
      </c>
      <c r="AH241" s="11">
        <f t="shared" si="285"/>
        <v>0.86483408903125325</v>
      </c>
      <c r="AI241" s="11">
        <f t="shared" si="286"/>
        <v>-0.14521759503525672</v>
      </c>
      <c r="AJ241" s="11">
        <v>0.1797130916644937</v>
      </c>
      <c r="AK241" s="11">
        <f t="shared" si="287"/>
        <v>0.78136126810649431</v>
      </c>
      <c r="AL241" s="11">
        <f t="shared" si="288"/>
        <v>-0.24671766489643077</v>
      </c>
      <c r="AM241" s="11">
        <v>0.22022838457887689</v>
      </c>
      <c r="AN241" s="11">
        <v>0.43881504564110252</v>
      </c>
      <c r="AO241" s="11">
        <v>0.9575147155603343</v>
      </c>
      <c r="AP241" s="11">
        <f t="shared" si="266"/>
        <v>-4.3414189314014112E-2</v>
      </c>
      <c r="AQ241" s="11">
        <v>0.12366320386972449</v>
      </c>
      <c r="AR241" s="11">
        <f t="shared" si="289"/>
        <v>0.53766610378141078</v>
      </c>
      <c r="AS241" s="11">
        <f t="shared" si="290"/>
        <v>-0.62051753642934759</v>
      </c>
      <c r="AT241" s="11">
        <v>0.29355624128202901</v>
      </c>
      <c r="AU241" s="11">
        <f t="shared" si="291"/>
        <v>1.2763314838349087</v>
      </c>
      <c r="AV241" s="11">
        <f t="shared" si="292"/>
        <v>0.24398993475436717</v>
      </c>
      <c r="AW241" s="11">
        <v>0.22754641256818794</v>
      </c>
      <c r="AX241" s="11">
        <f t="shared" si="293"/>
        <v>0.98933222855733882</v>
      </c>
      <c r="AY241" s="11">
        <f t="shared" si="294"/>
        <v>-1.072508005092516E-2</v>
      </c>
      <c r="AZ241" s="11">
        <v>0.19570627019474529</v>
      </c>
      <c r="BA241" s="11">
        <f t="shared" si="295"/>
        <v>0.85089682693367519</v>
      </c>
      <c r="BB241" s="11">
        <f t="shared" si="296"/>
        <v>-0.16146439520435618</v>
      </c>
      <c r="BC241" s="11">
        <v>0.18553765809430886</v>
      </c>
      <c r="BD241" s="11">
        <f t="shared" si="297"/>
        <v>0.80668546997525592</v>
      </c>
      <c r="BE241" s="11">
        <f t="shared" si="298"/>
        <v>-0.21482143888450494</v>
      </c>
      <c r="BF241" s="11">
        <v>0.25964709269902991</v>
      </c>
      <c r="BG241" s="11">
        <f t="shared" si="279"/>
        <v>1.1289004030392604</v>
      </c>
      <c r="BH241" s="11">
        <f t="shared" si="280"/>
        <v>0.12124406430475342</v>
      </c>
      <c r="BI241" s="11">
        <v>0.21978364770390293</v>
      </c>
      <c r="BJ241" s="11">
        <f t="shared" si="304"/>
        <v>0.95558107697349093</v>
      </c>
      <c r="BK241" s="11">
        <f t="shared" si="305"/>
        <v>-4.5435665972791875E-2</v>
      </c>
      <c r="BL241" s="11">
        <v>0.35063886180016635</v>
      </c>
      <c r="BM241" s="11">
        <f t="shared" si="281"/>
        <v>1.5245167904355057</v>
      </c>
      <c r="BN241" s="11">
        <f t="shared" si="282"/>
        <v>0.42167750111822472</v>
      </c>
      <c r="BS241" t="b">
        <f t="shared" si="301"/>
        <v>0</v>
      </c>
      <c r="BU241" t="b">
        <f t="shared" si="302"/>
        <v>1</v>
      </c>
      <c r="BW241" t="b">
        <f t="shared" si="303"/>
        <v>1</v>
      </c>
    </row>
    <row r="242" spans="1:75">
      <c r="A242" s="88"/>
      <c r="B242" s="5">
        <f>'[50]Dados de entrada'!$B$28</f>
        <v>20</v>
      </c>
      <c r="C242" s="5">
        <f>'[50]Dados de entrada'!$B$31</f>
        <v>3</v>
      </c>
      <c r="D242" s="5">
        <f>'[50]Dados de entrada'!$B$32</f>
        <v>12</v>
      </c>
      <c r="E242" s="11">
        <f>'[50]Dados de entrada'!$B$27</f>
        <v>3.42</v>
      </c>
      <c r="F242" s="5">
        <f>'[50]Dados de entrada'!$B$30</f>
        <v>25</v>
      </c>
      <c r="G242" s="5">
        <f>'[50]Dados de entrada'!$B$22</f>
        <v>35</v>
      </c>
      <c r="H242" s="78">
        <f>'[50]Dados de entrada'!$B$29/(2*'[50]Dados de entrada'!$B$20*G242)</f>
        <v>8.9714285714285719E-2</v>
      </c>
      <c r="I242" s="53">
        <v>395.80130163306495</v>
      </c>
      <c r="J242" s="4">
        <v>0.25</v>
      </c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11">
        <v>0.16679853055467833</v>
      </c>
      <c r="AE242" s="11">
        <f t="shared" si="283"/>
        <v>0.66719412221871333</v>
      </c>
      <c r="AF242" s="29">
        <f t="shared" si="284"/>
        <v>-0.40467423760063564</v>
      </c>
      <c r="AG242" s="11">
        <v>0.22526539995602249</v>
      </c>
      <c r="AH242" s="11">
        <f t="shared" si="285"/>
        <v>0.90106159982408995</v>
      </c>
      <c r="AI242" s="11">
        <f t="shared" si="286"/>
        <v>-0.10418165542657518</v>
      </c>
      <c r="AJ242" s="11">
        <v>0.20170959078105782</v>
      </c>
      <c r="AK242" s="11">
        <f t="shared" si="287"/>
        <v>0.80683836312423129</v>
      </c>
      <c r="AL242" s="11">
        <f t="shared" si="288"/>
        <v>-0.21463192429997072</v>
      </c>
      <c r="AM242" s="11">
        <v>0.2449478971336489</v>
      </c>
      <c r="AN242" s="11">
        <v>0.54285314007308849</v>
      </c>
      <c r="AO242" s="11">
        <v>0.97979158853459558</v>
      </c>
      <c r="AP242" s="11">
        <f t="shared" si="266"/>
        <v>-2.0415394694492932E-2</v>
      </c>
      <c r="AQ242" s="11">
        <v>0.13817761436699733</v>
      </c>
      <c r="AR242" s="11">
        <f t="shared" si="289"/>
        <v>0.5527104574679893</v>
      </c>
      <c r="AS242" s="11">
        <f t="shared" si="290"/>
        <v>-0.59292099962716205</v>
      </c>
      <c r="AT242" s="11">
        <v>0.32808366973427472</v>
      </c>
      <c r="AU242" s="11">
        <f t="shared" si="291"/>
        <v>1.3123346789370989</v>
      </c>
      <c r="AV242" s="11">
        <f t="shared" si="292"/>
        <v>0.27180774864508517</v>
      </c>
      <c r="AW242" s="11">
        <v>0.25308733642788256</v>
      </c>
      <c r="AX242" s="11">
        <f t="shared" si="293"/>
        <v>1.0123493457115302</v>
      </c>
      <c r="AY242" s="11">
        <f t="shared" si="294"/>
        <v>1.2273714568595825E-2</v>
      </c>
      <c r="AZ242" s="11">
        <v>0.22045518691223273</v>
      </c>
      <c r="BA242" s="11">
        <f t="shared" si="295"/>
        <v>0.88182074764893092</v>
      </c>
      <c r="BB242" s="11">
        <f t="shared" si="296"/>
        <v>-0.12576647758829337</v>
      </c>
      <c r="BC242" s="11">
        <v>0.20759773433002529</v>
      </c>
      <c r="BD242" s="11">
        <f t="shared" si="297"/>
        <v>0.83039093732010116</v>
      </c>
      <c r="BE242" s="11">
        <f t="shared" si="298"/>
        <v>-0.18585868026192973</v>
      </c>
      <c r="BF242" s="11">
        <v>0.28879115412443129</v>
      </c>
      <c r="BG242" s="11">
        <f t="shared" si="279"/>
        <v>1.1551646164977252</v>
      </c>
      <c r="BH242" s="11">
        <f t="shared" si="280"/>
        <v>0.14424285892427441</v>
      </c>
      <c r="BI242" s="11">
        <v>0.2511644412161893</v>
      </c>
      <c r="BJ242" s="11">
        <f t="shared" si="304"/>
        <v>1.0046577648647572</v>
      </c>
      <c r="BK242" s="11">
        <f t="shared" si="305"/>
        <v>4.6469510438117961E-3</v>
      </c>
      <c r="BL242" s="11">
        <v>0.40405783583028637</v>
      </c>
      <c r="BM242" s="11">
        <f t="shared" si="281"/>
        <v>1.6162313433211455</v>
      </c>
      <c r="BN242" s="11">
        <f t="shared" si="282"/>
        <v>0.48009710784853399</v>
      </c>
      <c r="BS242" t="b">
        <f t="shared" si="301"/>
        <v>0</v>
      </c>
      <c r="BU242" t="b">
        <f t="shared" si="302"/>
        <v>1</v>
      </c>
      <c r="BW242" t="b">
        <f t="shared" si="303"/>
        <v>1</v>
      </c>
    </row>
    <row r="243" spans="1:75">
      <c r="A243" s="88"/>
      <c r="B243" s="5">
        <f>'[50]Dados de entrada'!$B$28</f>
        <v>20</v>
      </c>
      <c r="C243" s="5">
        <f>'[50]Dados de entrada'!$B$31</f>
        <v>3</v>
      </c>
      <c r="D243" s="5">
        <f>'[50]Dados de entrada'!$B$32</f>
        <v>12</v>
      </c>
      <c r="E243" s="11">
        <f>'[50]Dados de entrada'!$B$27</f>
        <v>3.42</v>
      </c>
      <c r="F243" s="5">
        <f>'[50]Dados de entrada'!$B$30</f>
        <v>25</v>
      </c>
      <c r="G243" s="5">
        <f>'[50]Dados de entrada'!$B$22</f>
        <v>35</v>
      </c>
      <c r="H243" s="78">
        <f>'[50]Dados de entrada'!$B$29/(2*'[50]Dados de entrada'!$B$20*G243)</f>
        <v>8.9714285714285719E-2</v>
      </c>
      <c r="I243" s="53">
        <v>432.11334765444701</v>
      </c>
      <c r="J243" s="4">
        <v>0.28999999999999998</v>
      </c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11">
        <v>0.18333438163454549</v>
      </c>
      <c r="AE243" s="11">
        <f t="shared" si="283"/>
        <v>0.63218752287774316</v>
      </c>
      <c r="AF243" s="29">
        <f t="shared" si="284"/>
        <v>-0.45856921543184864</v>
      </c>
      <c r="AG243" s="11">
        <v>0.24922318130041712</v>
      </c>
      <c r="AH243" s="11">
        <f t="shared" si="285"/>
        <v>0.85939028034626597</v>
      </c>
      <c r="AI243" s="11">
        <f t="shared" si="286"/>
        <v>-0.15153211751871287</v>
      </c>
      <c r="AJ243" s="11">
        <v>0.22170640815975243</v>
      </c>
      <c r="AK243" s="11">
        <f t="shared" si="287"/>
        <v>0.7645048557232843</v>
      </c>
      <c r="AL243" s="11">
        <f t="shared" si="288"/>
        <v>-0.2685269021311838</v>
      </c>
      <c r="AM243" s="11">
        <v>0.26742018127435052</v>
      </c>
      <c r="AN243" s="11">
        <v>0.64702830709325831</v>
      </c>
      <c r="AO243" s="11">
        <v>0.92213855611845019</v>
      </c>
      <c r="AP243" s="11">
        <f t="shared" si="266"/>
        <v>-8.1059788930380794E-2</v>
      </c>
      <c r="AQ243" s="11">
        <v>0.15137253300088171</v>
      </c>
      <c r="AR243" s="11">
        <f t="shared" si="289"/>
        <v>0.52197425172717837</v>
      </c>
      <c r="AS243" s="11">
        <f t="shared" si="290"/>
        <v>-0.6501370185092199</v>
      </c>
      <c r="AT243" s="11">
        <v>0.35935244772409597</v>
      </c>
      <c r="AU243" s="11">
        <f t="shared" si="291"/>
        <v>1.2391463714624</v>
      </c>
      <c r="AV243" s="11">
        <f t="shared" si="292"/>
        <v>0.21442273244293336</v>
      </c>
      <c r="AW243" s="11">
        <v>0.27630635811851401</v>
      </c>
      <c r="AX243" s="11">
        <f t="shared" si="293"/>
        <v>0.95278054523625522</v>
      </c>
      <c r="AY243" s="11">
        <f t="shared" si="294"/>
        <v>-4.8370679667291673E-2</v>
      </c>
      <c r="AZ243" s="11">
        <v>0.2429542021099485</v>
      </c>
      <c r="BA243" s="11">
        <f t="shared" si="295"/>
        <v>0.83777311072396043</v>
      </c>
      <c r="BB243" s="11">
        <f t="shared" si="296"/>
        <v>-0.17700796608576477</v>
      </c>
      <c r="BC243" s="11">
        <v>0.2276523490897675</v>
      </c>
      <c r="BD243" s="11">
        <f t="shared" si="297"/>
        <v>0.78500810030954316</v>
      </c>
      <c r="BE243" s="11">
        <f t="shared" si="298"/>
        <v>-0.24206124238730767</v>
      </c>
      <c r="BF243" s="11">
        <v>0.31528575542025067</v>
      </c>
      <c r="BG243" s="11">
        <f t="shared" si="279"/>
        <v>1.0871922600698301</v>
      </c>
      <c r="BH243" s="11">
        <f t="shared" si="280"/>
        <v>8.3598464688386942E-2</v>
      </c>
      <c r="BI243" s="11">
        <v>0.27969243531826776</v>
      </c>
      <c r="BJ243" s="11">
        <f t="shared" si="304"/>
        <v>0.96445667351126818</v>
      </c>
      <c r="BK243" s="11">
        <f t="shared" si="305"/>
        <v>-3.6190368836352974E-2</v>
      </c>
      <c r="BL243" s="11">
        <v>0.45437809946926089</v>
      </c>
      <c r="BM243" s="11">
        <f t="shared" si="281"/>
        <v>1.566821032652624</v>
      </c>
      <c r="BN243" s="11">
        <f t="shared" si="282"/>
        <v>0.44904874667439398</v>
      </c>
      <c r="BS243" t="b">
        <f t="shared" si="301"/>
        <v>0</v>
      </c>
      <c r="BU243" t="b">
        <f t="shared" si="302"/>
        <v>1</v>
      </c>
      <c r="BW243" t="b">
        <f t="shared" si="303"/>
        <v>1</v>
      </c>
    </row>
    <row r="244" spans="1:75">
      <c r="A244" s="88"/>
      <c r="B244" s="5">
        <f>'[50]Dados de entrada'!$B$28</f>
        <v>20</v>
      </c>
      <c r="C244" s="5">
        <f>'[50]Dados de entrada'!$B$31</f>
        <v>3</v>
      </c>
      <c r="D244" s="5">
        <f>'[50]Dados de entrada'!$B$32</f>
        <v>12</v>
      </c>
      <c r="E244" s="11">
        <f>'[50]Dados de entrada'!$B$27</f>
        <v>3.42</v>
      </c>
      <c r="F244" s="5">
        <f>'[50]Dados de entrada'!$B$30</f>
        <v>25</v>
      </c>
      <c r="G244" s="5">
        <f>'[50]Dados de entrada'!$B$22</f>
        <v>35</v>
      </c>
      <c r="H244" s="78">
        <f>'[50]Dados de entrada'!$B$29/(2*'[50]Dados de entrada'!$B$20*G244)</f>
        <v>8.9714285714285719E-2</v>
      </c>
      <c r="I244" s="53">
        <v>468.42539367582907</v>
      </c>
      <c r="J244" s="4">
        <v>0.31</v>
      </c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11">
        <v>0.19987023271441262</v>
      </c>
      <c r="AE244" s="11">
        <f t="shared" si="283"/>
        <v>0.64474268617552455</v>
      </c>
      <c r="AF244" s="29">
        <f t="shared" si="284"/>
        <v>-0.43890397794454256</v>
      </c>
      <c r="AG244" s="11">
        <v>0.27318096264481179</v>
      </c>
      <c r="AH244" s="11">
        <f t="shared" si="285"/>
        <v>0.88122891175745743</v>
      </c>
      <c r="AI244" s="11">
        <f t="shared" si="286"/>
        <v>-0.12643785506259944</v>
      </c>
      <c r="AJ244" s="11">
        <v>0.24170322553844709</v>
      </c>
      <c r="AK244" s="11">
        <f t="shared" si="287"/>
        <v>0.77968782431757122</v>
      </c>
      <c r="AL244" s="11">
        <f t="shared" si="288"/>
        <v>-0.24886166464387741</v>
      </c>
      <c r="AM244" s="11">
        <v>0.28989246541505231</v>
      </c>
      <c r="AN244" s="11">
        <v>0.76034164665905757</v>
      </c>
      <c r="AO244" s="11">
        <v>0.93513698520984623</v>
      </c>
      <c r="AP244" s="11">
        <f t="shared" si="266"/>
        <v>-6.7062252178910126E-2</v>
      </c>
      <c r="AQ244" s="11">
        <v>0.16456745163476608</v>
      </c>
      <c r="AR244" s="11">
        <f t="shared" si="289"/>
        <v>0.53086274720892279</v>
      </c>
      <c r="AS244" s="11">
        <f t="shared" si="290"/>
        <v>-0.63325177098440488</v>
      </c>
      <c r="AT244" s="11">
        <v>0.3905345535368821</v>
      </c>
      <c r="AU244" s="11">
        <f t="shared" si="291"/>
        <v>1.2597888823770391</v>
      </c>
      <c r="AV244" s="11">
        <f t="shared" si="292"/>
        <v>0.23094415325568587</v>
      </c>
      <c r="AW244" s="11">
        <v>0.29952537980914534</v>
      </c>
      <c r="AX244" s="11">
        <f t="shared" si="293"/>
        <v>0.9662109026101463</v>
      </c>
      <c r="AY244" s="11">
        <f t="shared" si="294"/>
        <v>-3.4373142915821456E-2</v>
      </c>
      <c r="AZ244" s="11">
        <v>0.26545321730766425</v>
      </c>
      <c r="BA244" s="11">
        <f t="shared" si="295"/>
        <v>0.85630070099246536</v>
      </c>
      <c r="BB244" s="11">
        <f t="shared" si="296"/>
        <v>-0.15513367832079714</v>
      </c>
      <c r="BC244" s="11">
        <v>0.24770696384950966</v>
      </c>
      <c r="BD244" s="11">
        <f t="shared" si="297"/>
        <v>0.79905472209519246</v>
      </c>
      <c r="BE244" s="11">
        <f t="shared" si="298"/>
        <v>-0.22432584733179692</v>
      </c>
      <c r="BF244" s="11">
        <v>0.34178035671606999</v>
      </c>
      <c r="BG244" s="11">
        <f t="shared" si="279"/>
        <v>1.1025172797292579</v>
      </c>
      <c r="BH244" s="11">
        <f t="shared" si="280"/>
        <v>9.7596001439857055E-2</v>
      </c>
      <c r="BI244" s="11">
        <v>0.30822042942034616</v>
      </c>
      <c r="BJ244" s="11">
        <f t="shared" si="304"/>
        <v>0.99425944974305214</v>
      </c>
      <c r="BK244" s="11">
        <f t="shared" si="305"/>
        <v>-5.7570905461898142E-3</v>
      </c>
      <c r="BL244" s="11">
        <v>0.5063722297513108</v>
      </c>
      <c r="BM244" s="11">
        <f t="shared" si="281"/>
        <v>1.6334588056493897</v>
      </c>
      <c r="BN244" s="11">
        <f t="shared" si="282"/>
        <v>0.49069973328332328</v>
      </c>
      <c r="BS244" t="b">
        <f t="shared" si="301"/>
        <v>0</v>
      </c>
      <c r="BU244" t="b">
        <f t="shared" si="302"/>
        <v>1</v>
      </c>
      <c r="BW244" t="b">
        <f t="shared" si="303"/>
        <v>1</v>
      </c>
    </row>
    <row r="245" spans="1:75">
      <c r="A245" s="89"/>
      <c r="B245" s="5">
        <f>'[50]Dados de entrada'!$B$28</f>
        <v>20</v>
      </c>
      <c r="C245" s="5">
        <f>'[50]Dados de entrada'!$B$31</f>
        <v>3</v>
      </c>
      <c r="D245" s="5">
        <f>'[50]Dados de entrada'!$B$32</f>
        <v>12</v>
      </c>
      <c r="E245" s="11">
        <f>'[50]Dados de entrada'!$B$27</f>
        <v>3.42</v>
      </c>
      <c r="F245" s="5">
        <f>'[50]Dados de entrada'!$B$30</f>
        <v>25</v>
      </c>
      <c r="G245" s="5">
        <f>'[50]Dados de entrada'!$B$22</f>
        <v>35</v>
      </c>
      <c r="H245" s="78">
        <f>'[50]Dados de entrada'!$B$29/(2*'[50]Dados de entrada'!$B$20*G245)</f>
        <v>8.9714285714285719E-2</v>
      </c>
      <c r="I245" s="53">
        <v>501.10623509507292</v>
      </c>
      <c r="J245" s="4">
        <v>0.37</v>
      </c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11">
        <v>0.21475249868629306</v>
      </c>
      <c r="AE245" s="11">
        <f t="shared" si="283"/>
        <v>0.58041215861160289</v>
      </c>
      <c r="AF245" s="29">
        <f t="shared" si="284"/>
        <v>-0.5440168095154343</v>
      </c>
      <c r="AG245" s="11">
        <v>0.294742965854767</v>
      </c>
      <c r="AH245" s="11">
        <f t="shared" si="285"/>
        <v>0.79660261041828917</v>
      </c>
      <c r="AI245" s="11">
        <f t="shared" si="286"/>
        <v>-0.22739933129006387</v>
      </c>
      <c r="AJ245" s="11">
        <v>0.2597003611792722</v>
      </c>
      <c r="AK245" s="11">
        <f t="shared" si="287"/>
        <v>0.70189286805208706</v>
      </c>
      <c r="AL245" s="11">
        <f t="shared" si="288"/>
        <v>-0.35397449621476929</v>
      </c>
      <c r="AM245" s="11">
        <v>0.3100043368965783</v>
      </c>
      <c r="AN245" s="11">
        <v>0.86950175438596489</v>
      </c>
      <c r="AO245" s="11">
        <v>0.83784955917994142</v>
      </c>
      <c r="AP245" s="11">
        <f t="shared" si="266"/>
        <v>-0.17691671826797484</v>
      </c>
      <c r="AQ245" s="11">
        <v>0.17644287840526202</v>
      </c>
      <c r="AR245" s="11">
        <f t="shared" si="289"/>
        <v>0.47687264433854598</v>
      </c>
      <c r="AS245" s="11">
        <f t="shared" si="290"/>
        <v>-0.7405058167437244</v>
      </c>
      <c r="AT245" s="11">
        <v>0.41853991678622454</v>
      </c>
      <c r="AU245" s="11">
        <f t="shared" si="291"/>
        <v>1.1311889642870934</v>
      </c>
      <c r="AV245" s="11">
        <f t="shared" si="292"/>
        <v>0.12326926035506354</v>
      </c>
      <c r="AW245" s="11">
        <v>0.32042249933071365</v>
      </c>
      <c r="AX245" s="11">
        <f t="shared" si="293"/>
        <v>0.86600675494787471</v>
      </c>
      <c r="AY245" s="11">
        <f t="shared" si="294"/>
        <v>-0.14386257027936705</v>
      </c>
      <c r="AZ245" s="11">
        <v>0.28570233098560849</v>
      </c>
      <c r="BA245" s="11">
        <f t="shared" si="295"/>
        <v>0.77216846212326617</v>
      </c>
      <c r="BB245" s="11">
        <f t="shared" si="296"/>
        <v>-0.25855253757725344</v>
      </c>
      <c r="BC245" s="11">
        <v>0.26575611713327757</v>
      </c>
      <c r="BD245" s="11">
        <f t="shared" si="297"/>
        <v>0.71825977603588531</v>
      </c>
      <c r="BE245" s="11">
        <f t="shared" si="298"/>
        <v>-0.33092397030567505</v>
      </c>
      <c r="BF245" s="11">
        <v>0.36562549788230742</v>
      </c>
      <c r="BG245" s="11">
        <f t="shared" si="279"/>
        <v>0.98817702130353358</v>
      </c>
      <c r="BH245" s="11">
        <f t="shared" si="280"/>
        <v>-1.1893425923688517E-2</v>
      </c>
      <c r="BI245" s="11">
        <v>0.33061738255264667</v>
      </c>
      <c r="BJ245" s="11">
        <f t="shared" si="304"/>
        <v>0.89356049338553156</v>
      </c>
      <c r="BK245" s="11">
        <f t="shared" si="305"/>
        <v>-0.11254124282942926</v>
      </c>
      <c r="BL245" s="11">
        <v>0.55459810298498535</v>
      </c>
      <c r="BM245" s="11">
        <f t="shared" si="281"/>
        <v>1.4989137918513118</v>
      </c>
      <c r="BN245" s="11">
        <f t="shared" si="282"/>
        <v>0.40474070702725351</v>
      </c>
      <c r="BS245" t="b">
        <f t="shared" si="301"/>
        <v>0</v>
      </c>
      <c r="BU245" t="b">
        <f t="shared" si="302"/>
        <v>1</v>
      </c>
      <c r="BW245" t="b">
        <f t="shared" si="303"/>
        <v>1</v>
      </c>
    </row>
    <row r="246" spans="1:75">
      <c r="A246" s="85" t="s">
        <v>96</v>
      </c>
      <c r="B246" s="21">
        <f>'[51]Dados de entrada'!$B$28</f>
        <v>16</v>
      </c>
      <c r="C246" s="21">
        <f>'[51]Dados de entrada'!$B$31</f>
        <v>2</v>
      </c>
      <c r="D246" s="21">
        <f>'[51]Dados de entrada'!$B$32</f>
        <v>52</v>
      </c>
      <c r="E246" s="20">
        <f>'[51]Dados de entrada'!$B$27</f>
        <v>2.98</v>
      </c>
      <c r="F246" s="21">
        <f>'[51]Dados de entrada'!$B$30</f>
        <v>27</v>
      </c>
      <c r="G246" s="21">
        <f>'[51]Dados de entrada'!$B$22</f>
        <v>35</v>
      </c>
      <c r="H246" s="79">
        <f>'[51]Dados de entrada'!$B$29/(2*'[51]Dados de entrada'!$B$20*G246)</f>
        <v>3.8285714285714284E-2</v>
      </c>
      <c r="I246" s="27" cm="1">
        <f t="array" ref="I246:I248">'[51]fib Model Code 2010'!$K$5:$K$7</f>
        <v>370.74728404873275</v>
      </c>
      <c r="J246" s="19" cm="1">
        <f t="array" ref="J246:J248">'[51]Dados de entrada'!$C$7:$C$9</f>
        <v>0.16</v>
      </c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0" cm="1">
        <f t="array" ref="AD246:AD248">'[51]fib Model Code 2010'!$L$5:$L$7</f>
        <v>0.23593566188489304</v>
      </c>
      <c r="AE246" s="20">
        <f t="shared" si="283"/>
        <v>1.4745978867805816</v>
      </c>
      <c r="AF246" s="54">
        <f t="shared" si="284"/>
        <v>0.38838533349262333</v>
      </c>
      <c r="AG246" s="20" cm="1">
        <f t="array" ref="AG246:AG248">'[51]fib Model Code 2020'!$L$5:$L$7</f>
        <v>0.2505652204437212</v>
      </c>
      <c r="AH246" s="20">
        <f t="shared" si="285"/>
        <v>1.5660326277732575</v>
      </c>
      <c r="AI246" s="20">
        <f t="shared" si="286"/>
        <v>0.44854543245581485</v>
      </c>
      <c r="AJ246" s="20" cm="1">
        <f t="array" ref="AJ246:AJ248">'[51]Eurocode 2'!$L$5:$L$7</f>
        <v>0.23898546695454101</v>
      </c>
      <c r="AK246" s="20">
        <f t="shared" si="287"/>
        <v>1.4936591684658813</v>
      </c>
      <c r="AL246" s="20">
        <f t="shared" si="288"/>
        <v>0.40122892712723357</v>
      </c>
      <c r="AM246" s="20" cm="1">
        <f t="array" ref="AM246:AM248">'[51]NBR 6118'!$Q$5:$Q$7</f>
        <v>0.28536096598764171</v>
      </c>
      <c r="AN246" s="20" cm="1">
        <f t="array" ref="AN246:AN248">'[51]NBR 6118'!$R$5:$R$7</f>
        <v>0.4337415561139179</v>
      </c>
      <c r="AO246" s="20" cm="1">
        <f t="array" ref="AO246:AO248">'[51]NBR 6118'!$W$5:$W$7</f>
        <v>1.7835060374227607</v>
      </c>
      <c r="AP246" s="20">
        <f t="shared" si="266"/>
        <v>0.57858111096541687</v>
      </c>
      <c r="AQ246" s="20" cm="1">
        <f t="array" ref="AQ246:AQ248">'[51]Clark (1956)'!$L$5:$L$7</f>
        <v>0.23059971471306279</v>
      </c>
      <c r="AR246" s="20">
        <f t="shared" si="289"/>
        <v>1.4412482169566423</v>
      </c>
      <c r="AS246" s="20">
        <f t="shared" si="290"/>
        <v>0.36550955544972796</v>
      </c>
      <c r="AT246" s="20" cm="1">
        <f t="array" ref="AT246:AT248">'[51]Leonhardt (1977)'!$L$5:$L$7</f>
        <v>0.38576330504641754</v>
      </c>
      <c r="AU246" s="20">
        <f t="shared" si="291"/>
        <v>2.4110206565401096</v>
      </c>
      <c r="AV246" s="20">
        <f t="shared" si="292"/>
        <v>0.8800501667857703</v>
      </c>
      <c r="AW246" s="20" cm="1">
        <f t="array" ref="AW246:AW248">'[51]Desayi; Ganesan (1985)'!$L$5:$L$7</f>
        <v>0.30168752538416338</v>
      </c>
      <c r="AX246" s="20">
        <f t="shared" si="293"/>
        <v>1.8855470336510212</v>
      </c>
      <c r="AY246" s="20">
        <f t="shared" si="294"/>
        <v>0.6342179823274684</v>
      </c>
      <c r="AZ246" s="20" cm="1">
        <f t="array" ref="AZ246:AZ248">'[51]Oh; Kang (1987)'!$L$5:$L$7</f>
        <v>0.24176316091598563</v>
      </c>
      <c r="BA246" s="20">
        <f t="shared" si="295"/>
        <v>1.5110197557249101</v>
      </c>
      <c r="BB246" s="20">
        <f t="shared" si="296"/>
        <v>0.41278475780798313</v>
      </c>
      <c r="BC246" s="20" cm="1">
        <f t="array" ref="BC246:BC248">'[51]Caldas (1997)'!$L$5:$L$7</f>
        <v>0.19261684920443534</v>
      </c>
      <c r="BD246" s="20">
        <f t="shared" si="297"/>
        <v>1.2038553075277207</v>
      </c>
      <c r="BE246" s="20">
        <f t="shared" si="298"/>
        <v>0.18552916319286575</v>
      </c>
      <c r="BF246" s="20" cm="1">
        <f t="array" ref="BF246:BF248">'[51]Gergely e Lutz (1968)'!$L$5:$L$7</f>
        <v>0.29314095694596359</v>
      </c>
      <c r="BG246" s="20">
        <f t="shared" si="279"/>
        <v>1.8321309809122723</v>
      </c>
      <c r="BH246" s="20">
        <f t="shared" si="280"/>
        <v>0.60547975982736502</v>
      </c>
      <c r="BI246" s="20" cm="1">
        <f t="array" ref="BI246:BI248">[51]Sugestão!$M$5:$M$7</f>
        <v>0.3001831883229612</v>
      </c>
      <c r="BJ246" s="20">
        <f t="shared" si="304"/>
        <v>1.8761449270185075</v>
      </c>
      <c r="BK246" s="20">
        <f t="shared" si="305"/>
        <v>0.62921910080831722</v>
      </c>
      <c r="BL246" s="20" cm="1">
        <f t="array" ref="BL246:BL248">'[51]fib Model Code 2020 modificado'!$L$5:$L$7</f>
        <v>0.36956004236325091</v>
      </c>
      <c r="BM246" s="20">
        <f t="shared" si="281"/>
        <v>2.3097502647703183</v>
      </c>
      <c r="BN246" s="20">
        <f t="shared" si="282"/>
        <v>0.8371394082003023</v>
      </c>
      <c r="BS246" t="b">
        <f t="shared" si="301"/>
        <v>0</v>
      </c>
      <c r="BU246" t="b">
        <f t="shared" si="302"/>
        <v>1</v>
      </c>
      <c r="BW246" t="b">
        <f t="shared" si="303"/>
        <v>1</v>
      </c>
    </row>
    <row r="247" spans="1:75">
      <c r="A247" s="90"/>
      <c r="B247" s="21">
        <f>'[51]Dados de entrada'!$B$28</f>
        <v>16</v>
      </c>
      <c r="C247" s="21">
        <f>'[51]Dados de entrada'!$B$31</f>
        <v>2</v>
      </c>
      <c r="D247" s="21">
        <f>'[51]Dados de entrada'!$B$32</f>
        <v>52</v>
      </c>
      <c r="E247" s="20">
        <f>'[51]Dados de entrada'!$B$27</f>
        <v>2.98</v>
      </c>
      <c r="F247" s="21">
        <f>'[51]Dados de entrada'!$B$30</f>
        <v>27</v>
      </c>
      <c r="G247" s="21">
        <f>'[51]Dados de entrada'!$B$22</f>
        <v>35</v>
      </c>
      <c r="H247" s="79">
        <f>'[51]Dados de entrada'!$B$29/(2*'[51]Dados de entrada'!$B$20*G247)</f>
        <v>3.8285714285714284E-2</v>
      </c>
      <c r="I247" s="27">
        <v>443.28479614522388</v>
      </c>
      <c r="J247" s="19">
        <v>0.2</v>
      </c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0">
        <v>0.28908411538548223</v>
      </c>
      <c r="AE247" s="20">
        <f t="shared" si="283"/>
        <v>1.4454205769274111</v>
      </c>
      <c r="AF247" s="54">
        <f t="shared" si="284"/>
        <v>0.36840033591278237</v>
      </c>
      <c r="AG247" s="20">
        <v>0.31490001064532835</v>
      </c>
      <c r="AH247" s="20">
        <f t="shared" si="285"/>
        <v>1.5745000532266418</v>
      </c>
      <c r="AI247" s="20">
        <f t="shared" si="286"/>
        <v>0.45393779536436679</v>
      </c>
      <c r="AJ247" s="20">
        <v>0.2928209400503668</v>
      </c>
      <c r="AK247" s="20">
        <f t="shared" si="287"/>
        <v>1.4641047002518339</v>
      </c>
      <c r="AL247" s="20">
        <f t="shared" si="288"/>
        <v>0.3812439295473925</v>
      </c>
      <c r="AM247" s="20">
        <v>0.34119245933304981</v>
      </c>
      <c r="AN247" s="20">
        <v>0.62007004123090814</v>
      </c>
      <c r="AO247" s="20">
        <v>1.705962296665249</v>
      </c>
      <c r="AP247" s="20">
        <f t="shared" si="266"/>
        <v>0.53412934839458281</v>
      </c>
      <c r="AQ247" s="20">
        <v>0.2800118348934188</v>
      </c>
      <c r="AR247" s="20">
        <f t="shared" si="289"/>
        <v>1.4000591744670938</v>
      </c>
      <c r="AS247" s="20">
        <f t="shared" si="290"/>
        <v>0.33651450320446391</v>
      </c>
      <c r="AT247" s="20">
        <v>0.46907891597074758</v>
      </c>
      <c r="AU247" s="20">
        <f t="shared" si="291"/>
        <v>2.3453945798537377</v>
      </c>
      <c r="AV247" s="20">
        <f t="shared" si="292"/>
        <v>0.85245365207334023</v>
      </c>
      <c r="AW247" s="20">
        <v>0.36071334556802137</v>
      </c>
      <c r="AX247" s="20">
        <f t="shared" si="293"/>
        <v>1.8035667278401069</v>
      </c>
      <c r="AY247" s="20">
        <f t="shared" si="294"/>
        <v>0.58976621975663435</v>
      </c>
      <c r="AZ247" s="20">
        <v>0.29478520842838585</v>
      </c>
      <c r="BA247" s="20">
        <f t="shared" si="295"/>
        <v>1.4739260421419291</v>
      </c>
      <c r="BB247" s="20">
        <f t="shared" si="296"/>
        <v>0.38792961757070771</v>
      </c>
      <c r="BC247" s="20">
        <v>0.23263380499637751</v>
      </c>
      <c r="BD247" s="20">
        <f t="shared" si="297"/>
        <v>1.1631690249818876</v>
      </c>
      <c r="BE247" s="20">
        <f t="shared" si="298"/>
        <v>0.1511481983004373</v>
      </c>
      <c r="BF247" s="20">
        <v>0.3504946224353912</v>
      </c>
      <c r="BG247" s="20">
        <f t="shared" si="279"/>
        <v>1.7524731121769559</v>
      </c>
      <c r="BH247" s="20">
        <f t="shared" si="280"/>
        <v>0.56102799725653096</v>
      </c>
      <c r="BI247" s="20">
        <v>0.3844332818818173</v>
      </c>
      <c r="BJ247" s="20">
        <f t="shared" si="304"/>
        <v>1.9221664094090865</v>
      </c>
      <c r="BK247" s="20">
        <f t="shared" si="305"/>
        <v>0.65345288817844638</v>
      </c>
      <c r="BL247" s="20">
        <v>0.47161471405057648</v>
      </c>
      <c r="BM247" s="20">
        <f t="shared" si="281"/>
        <v>2.3580735702528823</v>
      </c>
      <c r="BN247" s="20">
        <f t="shared" si="282"/>
        <v>0.85784500190534041</v>
      </c>
      <c r="BS247" t="b">
        <f t="shared" si="301"/>
        <v>0</v>
      </c>
      <c r="BU247" t="b">
        <f t="shared" si="302"/>
        <v>1</v>
      </c>
      <c r="BW247" t="b">
        <f t="shared" si="303"/>
        <v>1</v>
      </c>
    </row>
    <row r="248" spans="1:75">
      <c r="A248" s="86"/>
      <c r="B248" s="21">
        <f>'[51]Dados de entrada'!$B$28</f>
        <v>16</v>
      </c>
      <c r="C248" s="21">
        <f>'[51]Dados de entrada'!$B$31</f>
        <v>2</v>
      </c>
      <c r="D248" s="21">
        <f>'[51]Dados de entrada'!$B$32</f>
        <v>52</v>
      </c>
      <c r="E248" s="20">
        <f>'[51]Dados de entrada'!$B$27</f>
        <v>2.98</v>
      </c>
      <c r="F248" s="21">
        <f>'[51]Dados de entrada'!$B$30</f>
        <v>27</v>
      </c>
      <c r="G248" s="21">
        <f>'[51]Dados de entrada'!$B$22</f>
        <v>35</v>
      </c>
      <c r="H248" s="79">
        <f>'[51]Dados de entrada'!$B$29/(2*'[51]Dados de entrada'!$B$20*G248)</f>
        <v>3.8285714285714284E-2</v>
      </c>
      <c r="I248" s="27">
        <v>523.88203180799201</v>
      </c>
      <c r="J248" s="19">
        <v>0.26</v>
      </c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0">
        <v>0.34813795260835928</v>
      </c>
      <c r="AE248" s="20">
        <f t="shared" si="283"/>
        <v>1.3389921254167665</v>
      </c>
      <c r="AF248" s="54">
        <f t="shared" si="284"/>
        <v>0.29191718574832703</v>
      </c>
      <c r="AG248" s="20">
        <v>0.38638311086933647</v>
      </c>
      <c r="AH248" s="20">
        <f t="shared" si="285"/>
        <v>1.4860888879589864</v>
      </c>
      <c r="AI248" s="20">
        <f t="shared" si="286"/>
        <v>0.39614776143728342</v>
      </c>
      <c r="AJ248" s="20">
        <v>0.35263813237906227</v>
      </c>
      <c r="AK248" s="20">
        <f t="shared" si="287"/>
        <v>1.3563005091502394</v>
      </c>
      <c r="AL248" s="20">
        <f t="shared" si="288"/>
        <v>0.30476077938293689</v>
      </c>
      <c r="AM248" s="20">
        <v>0.38713656797945217</v>
      </c>
      <c r="AN248" s="20">
        <v>0.79830765100671142</v>
      </c>
      <c r="AO248" s="20">
        <v>1.4889867999209698</v>
      </c>
      <c r="AP248" s="20">
        <f t="shared" si="266"/>
        <v>0.39809588859942713</v>
      </c>
      <c r="AQ248" s="20">
        <v>0.33491419064937011</v>
      </c>
      <c r="AR248" s="20">
        <f t="shared" si="289"/>
        <v>1.2881315024975772</v>
      </c>
      <c r="AS248" s="20">
        <f t="shared" si="290"/>
        <v>0.25319272068289883</v>
      </c>
      <c r="AT248" s="20">
        <v>0.5604920778448782</v>
      </c>
      <c r="AU248" s="20">
        <f t="shared" si="291"/>
        <v>2.1557387609418392</v>
      </c>
      <c r="AV248" s="20">
        <f t="shared" si="292"/>
        <v>0.76813347731094461</v>
      </c>
      <c r="AW248" s="20">
        <v>0.42629759021675262</v>
      </c>
      <c r="AX248" s="20">
        <f t="shared" si="293"/>
        <v>1.6396061162182793</v>
      </c>
      <c r="AY248" s="20">
        <f t="shared" si="294"/>
        <v>0.49445603995230969</v>
      </c>
      <c r="AZ248" s="20">
        <v>0.35369859455327513</v>
      </c>
      <c r="BA248" s="20">
        <f t="shared" si="295"/>
        <v>1.3603792098202889</v>
      </c>
      <c r="BB248" s="20">
        <f t="shared" si="296"/>
        <v>0.30776349163210398</v>
      </c>
      <c r="BC248" s="20">
        <v>0.27709708920964671</v>
      </c>
      <c r="BD248" s="20">
        <f t="shared" si="297"/>
        <v>1.065758035421718</v>
      </c>
      <c r="BE248" s="20">
        <f t="shared" si="298"/>
        <v>6.3686316322038722E-2</v>
      </c>
      <c r="BF248" s="20">
        <v>0.41422091742364425</v>
      </c>
      <c r="BG248" s="20">
        <f t="shared" si="279"/>
        <v>1.5931573747063239</v>
      </c>
      <c r="BH248" s="20">
        <f t="shared" si="280"/>
        <v>0.46571781745220636</v>
      </c>
      <c r="BI248" s="20">
        <v>0.46464015145605214</v>
      </c>
      <c r="BJ248" s="20">
        <f t="shared" si="304"/>
        <v>1.7870775056002004</v>
      </c>
      <c r="BK248" s="20">
        <f t="shared" si="305"/>
        <v>0.58058160714509521</v>
      </c>
      <c r="BL248" s="20">
        <v>0.59055076202563694</v>
      </c>
      <c r="BM248" s="20">
        <f t="shared" si="281"/>
        <v>2.2713490847139881</v>
      </c>
      <c r="BN248" s="20">
        <f t="shared" si="282"/>
        <v>0.82037396540748853</v>
      </c>
      <c r="BS248" t="b">
        <f t="shared" si="301"/>
        <v>0</v>
      </c>
      <c r="BU248" t="b">
        <f t="shared" si="302"/>
        <v>1</v>
      </c>
      <c r="BW248" t="b">
        <f t="shared" si="303"/>
        <v>1</v>
      </c>
    </row>
    <row r="249" spans="1:75">
      <c r="A249" s="87" t="s">
        <v>97</v>
      </c>
      <c r="B249" s="5">
        <f>'[52]Dados de entrada'!$B$28</f>
        <v>20</v>
      </c>
      <c r="C249" s="5">
        <f>'[52]Dados de entrada'!$B$31</f>
        <v>2</v>
      </c>
      <c r="D249" s="5">
        <f>'[52]Dados de entrada'!$B$32</f>
        <v>44</v>
      </c>
      <c r="E249" s="11">
        <f>'[52]Dados de entrada'!$B$27</f>
        <v>2.98</v>
      </c>
      <c r="F249" s="5">
        <f>'[52]Dados de entrada'!$B$30</f>
        <v>25</v>
      </c>
      <c r="G249" s="5">
        <f>'[52]Dados de entrada'!$B$22</f>
        <v>35</v>
      </c>
      <c r="H249" s="78">
        <f>'[52]Dados de entrada'!$B$29/(2*'[52]Dados de entrada'!$B$20*G249)</f>
        <v>5.9809523809523812E-2</v>
      </c>
      <c r="I249" s="53" cm="1">
        <f t="array" ref="I249:I256">'[52]fib Model Code 2010'!$K$5:$K$12</f>
        <v>264.28009430947355</v>
      </c>
      <c r="J249" s="4" cm="1">
        <f t="array" ref="J249:J256">'[52]Dados de entrada'!$C$7:$C$14</f>
        <v>0.17</v>
      </c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11" cm="1">
        <f t="array" ref="AD249:AD256">'[52]fib Model Code 2010'!$L$5:$L$12</f>
        <v>0.13662419439598317</v>
      </c>
      <c r="AE249" s="11">
        <f t="shared" si="283"/>
        <v>0.80367173174107742</v>
      </c>
      <c r="AF249" s="29">
        <f t="shared" si="284"/>
        <v>-0.21856438703218276</v>
      </c>
      <c r="AG249" s="11" cm="1">
        <f t="array" ref="AG249:AG256">'[52]fib Model Code 2020'!$L$5:$L$12</f>
        <v>0.15414349743096403</v>
      </c>
      <c r="AH249" s="11">
        <f t="shared" si="285"/>
        <v>0.90672645547625896</v>
      </c>
      <c r="AI249" s="11">
        <f t="shared" si="286"/>
        <v>-9.7914466994391894E-2</v>
      </c>
      <c r="AJ249" s="11" cm="1">
        <f t="array" ref="AJ249:AJ256">'[52]Eurocode 2'!$L$5:$L$12</f>
        <v>0.14637788590728448</v>
      </c>
      <c r="AK249" s="11">
        <f t="shared" si="287"/>
        <v>0.86104638768990871</v>
      </c>
      <c r="AL249" s="11">
        <f t="shared" si="288"/>
        <v>-0.14960689947850639</v>
      </c>
      <c r="AM249" s="11" cm="1">
        <f t="array" ref="AM249:AM256">'[52]NBR 6118'!$Q$5:$Q$12</f>
        <v>0.20117179661976903</v>
      </c>
      <c r="AN249" s="11" cm="1">
        <f t="array" ref="AN249:AN256">'[52]NBR 6118'!$R$5:$R$12</f>
        <v>0.27855986364060603</v>
      </c>
      <c r="AO249" s="11" cm="1">
        <f t="array" ref="AO249:AO256">'[52]NBR 6118'!$W$5:$W$12</f>
        <v>1.183363509528053</v>
      </c>
      <c r="AP249" s="11">
        <f t="shared" si="266"/>
        <v>0.16836081550369181</v>
      </c>
      <c r="AQ249" s="11" cm="1">
        <f t="array" ref="AQ249:AQ256">'[52]Clark (1956)'!$L$5:$L$12</f>
        <v>0.13219403671847585</v>
      </c>
      <c r="AR249" s="11">
        <f t="shared" si="289"/>
        <v>0.77761198069691673</v>
      </c>
      <c r="AS249" s="11">
        <f t="shared" si="290"/>
        <v>-0.25152761867975709</v>
      </c>
      <c r="AT249" s="11" cm="1">
        <f t="array" ref="AT249:AT256">'[52]Leonhardt (1977)'!$L$5:$L$12</f>
        <v>0.25805122845267203</v>
      </c>
      <c r="AU249" s="11">
        <f t="shared" si="291"/>
        <v>1.5179484026627765</v>
      </c>
      <c r="AV249" s="11">
        <f t="shared" si="292"/>
        <v>0.41735968805502655</v>
      </c>
      <c r="AW249" s="11" cm="1">
        <f t="array" ref="AW249:AW256">'[52]Desayi; Ganesan (1985)'!$L$5:$L$12</f>
        <v>0.20111319768091604</v>
      </c>
      <c r="AX249" s="11">
        <f t="shared" si="293"/>
        <v>1.1830188098877412</v>
      </c>
      <c r="AY249" s="11">
        <f t="shared" si="294"/>
        <v>0.1680694850285428</v>
      </c>
      <c r="AZ249" s="11" cm="1">
        <f t="array" ref="AZ249:AZ256">'[52]Oh; Kang (1987)'!$L$5:$L$12</f>
        <v>0.17846102513414572</v>
      </c>
      <c r="BA249" s="11">
        <f t="shared" si="295"/>
        <v>1.04977073608321</v>
      </c>
      <c r="BB249" s="11">
        <f t="shared" si="296"/>
        <v>4.8571793740926392E-2</v>
      </c>
      <c r="BC249" s="11" cm="1">
        <f t="array" ref="BC249:BC256">'[52]Caldas (1997)'!$L$5:$L$12</f>
        <v>0.13481319117710291</v>
      </c>
      <c r="BD249" s="11">
        <f t="shared" si="297"/>
        <v>0.79301877163001711</v>
      </c>
      <c r="BE249" s="11">
        <f t="shared" si="298"/>
        <v>-0.23190838596287197</v>
      </c>
      <c r="BF249" s="11" cm="1">
        <f t="array" ref="BF249:BF256">'[52]Gergely e Lutz (1968)'!$L$5:$L$12</f>
        <v>0.21360585337041593</v>
      </c>
      <c r="BG249" s="11">
        <f t="shared" si="279"/>
        <v>1.256505019825976</v>
      </c>
      <c r="BH249" s="11">
        <f t="shared" si="280"/>
        <v>0.22833407307986131</v>
      </c>
      <c r="BI249" s="11" cm="1">
        <f t="array" ref="BI249:BI256">[52]Sugestão!$M$5:$M$12</f>
        <v>0.16693000107002398</v>
      </c>
      <c r="BJ249" s="11">
        <f t="shared" si="304"/>
        <v>0.98194118276484688</v>
      </c>
      <c r="BK249" s="11">
        <f t="shared" si="305"/>
        <v>-1.8223867772949116E-2</v>
      </c>
      <c r="BL249" s="11" cm="1">
        <f t="array" ref="BL249:BL256">'[52]fib Model Code 2020 modificado'!$L$5:$L$12</f>
        <v>0.26623829658196496</v>
      </c>
      <c r="BM249" s="11">
        <f t="shared" si="281"/>
        <v>1.566107626952735</v>
      </c>
      <c r="BN249" s="11">
        <f t="shared" si="282"/>
        <v>0.4485933225075957</v>
      </c>
      <c r="BS249" t="b">
        <f t="shared" si="301"/>
        <v>0</v>
      </c>
      <c r="BU249" t="b">
        <f t="shared" si="302"/>
        <v>1</v>
      </c>
      <c r="BW249" t="b">
        <f t="shared" si="303"/>
        <v>1</v>
      </c>
    </row>
    <row r="250" spans="1:75">
      <c r="A250" s="88"/>
      <c r="B250" s="5">
        <f>'[52]Dados de entrada'!$B$28</f>
        <v>20</v>
      </c>
      <c r="C250" s="5">
        <f>'[52]Dados de entrada'!$B$31</f>
        <v>2</v>
      </c>
      <c r="D250" s="5">
        <f>'[52]Dados de entrada'!$B$32</f>
        <v>44</v>
      </c>
      <c r="E250" s="11">
        <f>'[52]Dados de entrada'!$B$27</f>
        <v>2.98</v>
      </c>
      <c r="F250" s="5">
        <f>'[52]Dados de entrada'!$B$30</f>
        <v>25</v>
      </c>
      <c r="G250" s="5">
        <f>'[52]Dados de entrada'!$B$22</f>
        <v>35</v>
      </c>
      <c r="H250" s="78">
        <f>'[52]Dados de entrada'!$B$29/(2*'[52]Dados de entrada'!$B$20*G250)</f>
        <v>5.9809523809523812E-2</v>
      </c>
      <c r="I250" s="53">
        <v>301.27930751279979</v>
      </c>
      <c r="J250" s="4">
        <v>0.19</v>
      </c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11">
        <v>0.15853100890336841</v>
      </c>
      <c r="AE250" s="11">
        <f t="shared" si="283"/>
        <v>0.83437373107036006</v>
      </c>
      <c r="AF250" s="29">
        <f t="shared" si="284"/>
        <v>-0.18107385820922889</v>
      </c>
      <c r="AG250" s="11">
        <v>0.18259499046456978</v>
      </c>
      <c r="AH250" s="11">
        <f t="shared" si="285"/>
        <v>0.96102626560299886</v>
      </c>
      <c r="AI250" s="11">
        <f t="shared" si="286"/>
        <v>-3.9753538852566925E-2</v>
      </c>
      <c r="AJ250" s="11">
        <v>0.16984864237710898</v>
      </c>
      <c r="AK250" s="11">
        <f t="shared" si="287"/>
        <v>0.8939402230374156</v>
      </c>
      <c r="AL250" s="11">
        <f t="shared" si="288"/>
        <v>-0.11211637065555263</v>
      </c>
      <c r="AM250" s="11">
        <v>0.22933584814653671</v>
      </c>
      <c r="AN250" s="11">
        <v>0.36201639878733166</v>
      </c>
      <c r="AO250" s="11">
        <v>1.2070307797186142</v>
      </c>
      <c r="AP250" s="11">
        <f t="shared" si="266"/>
        <v>0.18816344279987157</v>
      </c>
      <c r="AQ250" s="11">
        <v>0.15236096455207232</v>
      </c>
      <c r="AR250" s="11">
        <f t="shared" si="289"/>
        <v>0.8018998134319596</v>
      </c>
      <c r="AS250" s="11">
        <f t="shared" si="290"/>
        <v>-0.22077159982667008</v>
      </c>
      <c r="AT250" s="11">
        <v>0.29877103473588551</v>
      </c>
      <c r="AU250" s="11">
        <f t="shared" si="291"/>
        <v>1.572479130188871</v>
      </c>
      <c r="AV250" s="11">
        <f t="shared" si="292"/>
        <v>0.45265343776440153</v>
      </c>
      <c r="AW250" s="11">
        <v>0.22926904535624426</v>
      </c>
      <c r="AX250" s="11">
        <f t="shared" si="293"/>
        <v>1.2066791860854962</v>
      </c>
      <c r="AY250" s="11">
        <f t="shared" si="294"/>
        <v>0.18787211232472262</v>
      </c>
      <c r="AZ250" s="11">
        <v>0.20790152246295171</v>
      </c>
      <c r="BA250" s="11">
        <f t="shared" si="295"/>
        <v>1.0942185392786932</v>
      </c>
      <c r="BB250" s="11">
        <f t="shared" si="296"/>
        <v>9.0040445730788413E-2</v>
      </c>
      <c r="BC250" s="11">
        <v>0.15526153557389136</v>
      </c>
      <c r="BD250" s="11">
        <f t="shared" si="297"/>
        <v>0.81716597670469138</v>
      </c>
      <c r="BE250" s="11">
        <f t="shared" si="298"/>
        <v>-0.20191305089377409</v>
      </c>
      <c r="BF250" s="11">
        <v>0.2435106728422741</v>
      </c>
      <c r="BG250" s="11">
        <f t="shared" si="279"/>
        <v>1.2816351202224951</v>
      </c>
      <c r="BH250" s="11">
        <f t="shared" si="280"/>
        <v>0.24813670037604077</v>
      </c>
      <c r="BI250" s="11">
        <v>0.201752540208612</v>
      </c>
      <c r="BJ250" s="11">
        <f t="shared" si="304"/>
        <v>1.0618554747821685</v>
      </c>
      <c r="BK250" s="11">
        <f t="shared" si="305"/>
        <v>6.0017825783229631E-2</v>
      </c>
      <c r="BL250" s="11">
        <v>0.31914657598887364</v>
      </c>
      <c r="BM250" s="11">
        <f t="shared" si="281"/>
        <v>1.6797188209940717</v>
      </c>
      <c r="BN250" s="11">
        <f t="shared" si="282"/>
        <v>0.51862641095159479</v>
      </c>
      <c r="BS250" t="b">
        <f t="shared" si="301"/>
        <v>0</v>
      </c>
      <c r="BU250" t="b">
        <f t="shared" si="302"/>
        <v>1</v>
      </c>
      <c r="BW250" t="b">
        <f t="shared" si="303"/>
        <v>1</v>
      </c>
    </row>
    <row r="251" spans="1:75">
      <c r="A251" s="88"/>
      <c r="B251" s="5">
        <f>'[52]Dados de entrada'!$B$28</f>
        <v>20</v>
      </c>
      <c r="C251" s="5">
        <f>'[52]Dados de entrada'!$B$31</f>
        <v>2</v>
      </c>
      <c r="D251" s="5">
        <f>'[52]Dados de entrada'!$B$32</f>
        <v>44</v>
      </c>
      <c r="E251" s="11">
        <f>'[52]Dados de entrada'!$B$27</f>
        <v>2.98</v>
      </c>
      <c r="F251" s="5">
        <f>'[52]Dados de entrada'!$B$30</f>
        <v>25</v>
      </c>
      <c r="G251" s="5">
        <f>'[52]Dados de entrada'!$B$22</f>
        <v>35</v>
      </c>
      <c r="H251" s="78">
        <f>'[52]Dados de entrada'!$B$29/(2*'[52]Dados de entrada'!$B$20*G251)</f>
        <v>5.9809523809523812E-2</v>
      </c>
      <c r="I251" s="53">
        <v>348.84972448850499</v>
      </c>
      <c r="J251" s="4">
        <v>0.23</v>
      </c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11">
        <v>0.18669691327000662</v>
      </c>
      <c r="AE251" s="11">
        <f t="shared" si="283"/>
        <v>0.81172570986959391</v>
      </c>
      <c r="AF251" s="29">
        <f t="shared" si="284"/>
        <v>-0.20859279161338823</v>
      </c>
      <c r="AG251" s="11">
        <v>0.21917548150777719</v>
      </c>
      <c r="AH251" s="11">
        <f t="shared" si="285"/>
        <v>0.95293687612077038</v>
      </c>
      <c r="AI251" s="11">
        <f t="shared" si="286"/>
        <v>-4.8206614540831833E-2</v>
      </c>
      <c r="AJ251" s="11">
        <v>0.20002532926688341</v>
      </c>
      <c r="AK251" s="11">
        <f t="shared" si="287"/>
        <v>0.8696753446386235</v>
      </c>
      <c r="AL251" s="11">
        <f t="shared" si="288"/>
        <v>-0.13963530405971164</v>
      </c>
      <c r="AM251" s="11">
        <v>0.26554677153809503</v>
      </c>
      <c r="AN251" s="11">
        <v>0.48536270640739188</v>
      </c>
      <c r="AO251" s="11">
        <v>1.1545511806004132</v>
      </c>
      <c r="AP251" s="11">
        <f t="shared" si="266"/>
        <v>0.14371168022903741</v>
      </c>
      <c r="AQ251" s="11">
        <v>0.17828987176669633</v>
      </c>
      <c r="AR251" s="11">
        <f t="shared" si="289"/>
        <v>0.77517335550737532</v>
      </c>
      <c r="AS251" s="11">
        <f t="shared" si="290"/>
        <v>-0.25466859011679793</v>
      </c>
      <c r="AT251" s="11">
        <v>0.35045615996932078</v>
      </c>
      <c r="AU251" s="11">
        <f t="shared" si="291"/>
        <v>1.5237224346492206</v>
      </c>
      <c r="AV251" s="11">
        <f t="shared" si="292"/>
        <v>0.42115631118160185</v>
      </c>
      <c r="AW251" s="11">
        <v>0.2654694209388091</v>
      </c>
      <c r="AX251" s="11">
        <f t="shared" si="293"/>
        <v>1.1542148736469959</v>
      </c>
      <c r="AY251" s="11">
        <f t="shared" si="294"/>
        <v>0.14342034975388843</v>
      </c>
      <c r="AZ251" s="11">
        <v>0.24575359045713094</v>
      </c>
      <c r="BA251" s="11">
        <f t="shared" si="295"/>
        <v>1.0684938715527432</v>
      </c>
      <c r="BB251" s="11">
        <f t="shared" si="296"/>
        <v>6.6250060199309638E-2</v>
      </c>
      <c r="BC251" s="11">
        <v>0.18155226408404798</v>
      </c>
      <c r="BD251" s="11">
        <f t="shared" si="297"/>
        <v>0.78935766993064338</v>
      </c>
      <c r="BE251" s="11">
        <f t="shared" si="298"/>
        <v>-0.23653574028383345</v>
      </c>
      <c r="BF251" s="11">
        <v>0.28195972644894896</v>
      </c>
      <c r="BG251" s="11">
        <f t="shared" si="279"/>
        <v>1.2259118541258649</v>
      </c>
      <c r="BH251" s="11">
        <f t="shared" si="280"/>
        <v>0.20368493780520691</v>
      </c>
      <c r="BI251" s="11">
        <v>0.24652437624393947</v>
      </c>
      <c r="BJ251" s="11">
        <f t="shared" si="304"/>
        <v>1.0718451141040846</v>
      </c>
      <c r="BK251" s="11">
        <f t="shared" si="305"/>
        <v>6.9381569098058538E-2</v>
      </c>
      <c r="BL251" s="11">
        <v>0.39033427880244653</v>
      </c>
      <c r="BM251" s="11">
        <f t="shared" si="281"/>
        <v>1.6971055600106371</v>
      </c>
      <c r="BN251" s="11">
        <f t="shared" si="282"/>
        <v>0.52892418821299159</v>
      </c>
      <c r="BS251" t="b">
        <f t="shared" si="301"/>
        <v>0</v>
      </c>
      <c r="BU251" t="b">
        <f t="shared" si="302"/>
        <v>1</v>
      </c>
      <c r="BW251" t="b">
        <f t="shared" si="303"/>
        <v>1</v>
      </c>
    </row>
    <row r="252" spans="1:75">
      <c r="A252" s="88"/>
      <c r="B252" s="5">
        <f>'[52]Dados de entrada'!$B$28</f>
        <v>20</v>
      </c>
      <c r="C252" s="5">
        <f>'[52]Dados de entrada'!$B$31</f>
        <v>2</v>
      </c>
      <c r="D252" s="5">
        <f>'[52]Dados de entrada'!$B$32</f>
        <v>44</v>
      </c>
      <c r="E252" s="11">
        <f>'[52]Dados de entrada'!$B$27</f>
        <v>2.98</v>
      </c>
      <c r="F252" s="5">
        <f>'[52]Dados de entrada'!$B$30</f>
        <v>25</v>
      </c>
      <c r="G252" s="5">
        <f>'[52]Dados de entrada'!$B$22</f>
        <v>35</v>
      </c>
      <c r="H252" s="78">
        <f>'[52]Dados de entrada'!$B$29/(2*'[52]Dados de entrada'!$B$20*G252)</f>
        <v>5.9809523809523812E-2</v>
      </c>
      <c r="I252" s="53">
        <v>369.99213203326286</v>
      </c>
      <c r="J252" s="4">
        <v>0.25</v>
      </c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11">
        <v>0.1992150929885125</v>
      </c>
      <c r="AE252" s="11">
        <f t="shared" si="283"/>
        <v>0.79686037195405002</v>
      </c>
      <c r="AF252" s="29">
        <f t="shared" si="284"/>
        <v>-0.22707580756737861</v>
      </c>
      <c r="AG252" s="11">
        <v>0.23543347752698049</v>
      </c>
      <c r="AH252" s="11">
        <f t="shared" si="285"/>
        <v>0.94173391010792196</v>
      </c>
      <c r="AI252" s="11">
        <f t="shared" si="286"/>
        <v>-6.0032517655039225E-2</v>
      </c>
      <c r="AJ252" s="11">
        <v>0.21343719010678314</v>
      </c>
      <c r="AK252" s="11">
        <f t="shared" si="287"/>
        <v>0.85374876042713255</v>
      </c>
      <c r="AL252" s="11">
        <f t="shared" si="288"/>
        <v>-0.15811832001370218</v>
      </c>
      <c r="AM252" s="11">
        <v>0.28164051526767664</v>
      </c>
      <c r="AN252" s="11">
        <v>0.54597733273558791</v>
      </c>
      <c r="AO252" s="11">
        <v>1.1265620610707066</v>
      </c>
      <c r="AP252" s="11">
        <f t="shared" si="266"/>
        <v>0.11917057131292012</v>
      </c>
      <c r="AQ252" s="11">
        <v>0.18981383052875145</v>
      </c>
      <c r="AR252" s="11">
        <f t="shared" si="289"/>
        <v>0.75925532211500579</v>
      </c>
      <c r="AS252" s="11">
        <f t="shared" si="290"/>
        <v>-0.27541716538047689</v>
      </c>
      <c r="AT252" s="11">
        <v>0.37325479006486861</v>
      </c>
      <c r="AU252" s="11">
        <f t="shared" si="291"/>
        <v>1.4930191602594745</v>
      </c>
      <c r="AV252" s="11">
        <f t="shared" si="292"/>
        <v>0.4008003518702013</v>
      </c>
      <c r="AW252" s="11">
        <v>0.28155847675328238</v>
      </c>
      <c r="AX252" s="11">
        <f t="shared" si="293"/>
        <v>1.1262339070131295</v>
      </c>
      <c r="AY252" s="11">
        <f t="shared" si="294"/>
        <v>0.11887924083777096</v>
      </c>
      <c r="AZ252" s="11">
        <v>0.26257673178787727</v>
      </c>
      <c r="BA252" s="11">
        <f t="shared" si="295"/>
        <v>1.0503069271515091</v>
      </c>
      <c r="BB252" s="11">
        <f t="shared" si="296"/>
        <v>4.9082433027593783E-2</v>
      </c>
      <c r="BC252" s="11">
        <v>0.19323703231078423</v>
      </c>
      <c r="BD252" s="11">
        <f t="shared" si="297"/>
        <v>0.77294812924313694</v>
      </c>
      <c r="BE252" s="11">
        <f t="shared" si="298"/>
        <v>-0.25754333582458216</v>
      </c>
      <c r="BF252" s="11">
        <v>0.29904819471858218</v>
      </c>
      <c r="BG252" s="11">
        <f t="shared" si="279"/>
        <v>1.1961927788743287</v>
      </c>
      <c r="BH252" s="11">
        <f t="shared" si="280"/>
        <v>0.17914382888908928</v>
      </c>
      <c r="BI252" s="11">
        <v>0.26642297003741838</v>
      </c>
      <c r="BJ252" s="11">
        <f t="shared" si="304"/>
        <v>1.0656918801496735</v>
      </c>
      <c r="BK252" s="11">
        <f t="shared" si="305"/>
        <v>6.3624240951107039E-2</v>
      </c>
      <c r="BL252" s="11">
        <v>0.42311536999509336</v>
      </c>
      <c r="BM252" s="11">
        <f t="shared" si="281"/>
        <v>1.6924614799803734</v>
      </c>
      <c r="BN252" s="11">
        <f t="shared" si="282"/>
        <v>0.52618396630179587</v>
      </c>
      <c r="BS252" t="b">
        <f t="shared" si="301"/>
        <v>0</v>
      </c>
      <c r="BU252" t="b">
        <f t="shared" si="302"/>
        <v>1</v>
      </c>
      <c r="BW252" t="b">
        <f t="shared" si="303"/>
        <v>1</v>
      </c>
    </row>
    <row r="253" spans="1:75">
      <c r="A253" s="88"/>
      <c r="B253" s="5">
        <f>'[52]Dados de entrada'!$B$28</f>
        <v>20</v>
      </c>
      <c r="C253" s="5">
        <f>'[52]Dados de entrada'!$B$31</f>
        <v>2</v>
      </c>
      <c r="D253" s="5">
        <f>'[52]Dados de entrada'!$B$32</f>
        <v>44</v>
      </c>
      <c r="E253" s="11">
        <f>'[52]Dados de entrada'!$B$27</f>
        <v>2.98</v>
      </c>
      <c r="F253" s="5">
        <f>'[52]Dados de entrada'!$B$30</f>
        <v>25</v>
      </c>
      <c r="G253" s="5">
        <f>'[52]Dados de entrada'!$B$22</f>
        <v>35</v>
      </c>
      <c r="H253" s="78">
        <f>'[52]Dados de entrada'!$B$29/(2*'[52]Dados de entrada'!$B$20*G253)</f>
        <v>5.9809523809523812E-2</v>
      </c>
      <c r="I253" s="53">
        <v>401.7057433503997</v>
      </c>
      <c r="J253" s="4">
        <v>0.3</v>
      </c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11">
        <v>0.21799236256627133</v>
      </c>
      <c r="AE253" s="11">
        <f t="shared" si="283"/>
        <v>0.72664120855423775</v>
      </c>
      <c r="AF253" s="29">
        <f t="shared" si="284"/>
        <v>-0.3193224465804933</v>
      </c>
      <c r="AG253" s="11">
        <v>0.25982047155578547</v>
      </c>
      <c r="AH253" s="11">
        <f t="shared" si="285"/>
        <v>0.86606823851928494</v>
      </c>
      <c r="AI253" s="11">
        <f t="shared" si="286"/>
        <v>-0.14379157615767146</v>
      </c>
      <c r="AJ253" s="11">
        <v>0.23355498136663277</v>
      </c>
      <c r="AK253" s="11">
        <f t="shared" si="287"/>
        <v>0.77851660455544258</v>
      </c>
      <c r="AL253" s="11">
        <f t="shared" si="288"/>
        <v>-0.25036495902681677</v>
      </c>
      <c r="AM253" s="11">
        <v>0.30578113086204883</v>
      </c>
      <c r="AN253" s="11">
        <v>0.64358470895525621</v>
      </c>
      <c r="AO253" s="11">
        <v>1.0192704362068294</v>
      </c>
      <c r="AP253" s="11">
        <f t="shared" si="266"/>
        <v>1.9087112755937295E-2</v>
      </c>
      <c r="AQ253" s="11">
        <v>0.20709976867183416</v>
      </c>
      <c r="AR253" s="11">
        <f t="shared" si="289"/>
        <v>0.69033256223944728</v>
      </c>
      <c r="AS253" s="11">
        <f t="shared" si="290"/>
        <v>-0.37058182324304989</v>
      </c>
      <c r="AT253" s="11">
        <v>0.40730342462417024</v>
      </c>
      <c r="AU253" s="11">
        <f t="shared" si="291"/>
        <v>1.3576780820805676</v>
      </c>
      <c r="AV253" s="11">
        <f t="shared" si="292"/>
        <v>0.30577594807519271</v>
      </c>
      <c r="AW253" s="11">
        <v>0.30569206047499231</v>
      </c>
      <c r="AX253" s="11">
        <f t="shared" si="293"/>
        <v>1.0189735349166411</v>
      </c>
      <c r="AY253" s="11">
        <f t="shared" si="294"/>
        <v>1.8795782280788528E-2</v>
      </c>
      <c r="AZ253" s="11">
        <v>0.28781144378399676</v>
      </c>
      <c r="BA253" s="11">
        <f t="shared" si="295"/>
        <v>0.95937147927998923</v>
      </c>
      <c r="BB253" s="11">
        <f t="shared" si="296"/>
        <v>-4.1476918019183254E-2</v>
      </c>
      <c r="BC253" s="11">
        <v>0.2107641846508887</v>
      </c>
      <c r="BD253" s="11">
        <f t="shared" si="297"/>
        <v>0.70254728216962903</v>
      </c>
      <c r="BE253" s="11">
        <f t="shared" si="298"/>
        <v>-0.35304257445961201</v>
      </c>
      <c r="BF253" s="11">
        <v>0.32468089712303211</v>
      </c>
      <c r="BG253" s="11">
        <f t="shared" si="279"/>
        <v>1.0822696570767738</v>
      </c>
      <c r="BH253" s="11">
        <f t="shared" si="280"/>
        <v>7.9060370332106902E-2</v>
      </c>
      <c r="BI253" s="11">
        <v>0.2962708607276367</v>
      </c>
      <c r="BJ253" s="11">
        <f t="shared" si="304"/>
        <v>0.98756953575878903</v>
      </c>
      <c r="BK253" s="11">
        <f t="shared" si="305"/>
        <v>-1.2508368727679959E-2</v>
      </c>
      <c r="BL253" s="11">
        <v>0.47360482851220842</v>
      </c>
      <c r="BM253" s="11">
        <f t="shared" si="281"/>
        <v>1.5786827617073615</v>
      </c>
      <c r="BN253" s="11">
        <f t="shared" si="282"/>
        <v>0.45659080419990078</v>
      </c>
      <c r="BS253" t="b">
        <f t="shared" si="301"/>
        <v>0</v>
      </c>
      <c r="BU253" t="b">
        <f t="shared" si="302"/>
        <v>1</v>
      </c>
      <c r="BW253" t="b">
        <f t="shared" si="303"/>
        <v>1</v>
      </c>
    </row>
    <row r="254" spans="1:75">
      <c r="A254" s="88"/>
      <c r="B254" s="5">
        <f>'[52]Dados de entrada'!$B$28</f>
        <v>20</v>
      </c>
      <c r="C254" s="5">
        <f>'[52]Dados de entrada'!$B$31</f>
        <v>2</v>
      </c>
      <c r="D254" s="5">
        <f>'[52]Dados de entrada'!$B$32</f>
        <v>44</v>
      </c>
      <c r="E254" s="11">
        <f>'[52]Dados de entrada'!$B$27</f>
        <v>2.98</v>
      </c>
      <c r="F254" s="5">
        <f>'[52]Dados de entrada'!$B$30</f>
        <v>25</v>
      </c>
      <c r="G254" s="5">
        <f>'[52]Dados de entrada'!$B$22</f>
        <v>35</v>
      </c>
      <c r="H254" s="78">
        <f>'[52]Dados de entrada'!$B$29/(2*'[52]Dados de entrada'!$B$20*G254)</f>
        <v>5.9809523809523812E-2</v>
      </c>
      <c r="I254" s="53">
        <v>422.84815089515763</v>
      </c>
      <c r="J254" s="4">
        <v>0.32</v>
      </c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11">
        <v>0.23051054228477727</v>
      </c>
      <c r="AE254" s="11">
        <f t="shared" si="283"/>
        <v>0.720345444639929</v>
      </c>
      <c r="AF254" s="29">
        <f t="shared" si="284"/>
        <v>-0.32802439780956127</v>
      </c>
      <c r="AG254" s="11">
        <v>0.27607846757498877</v>
      </c>
      <c r="AH254" s="11">
        <f t="shared" si="285"/>
        <v>0.86274521117183989</v>
      </c>
      <c r="AI254" s="11">
        <f t="shared" si="286"/>
        <v>-0.14763586767507697</v>
      </c>
      <c r="AJ254" s="11">
        <v>0.24696684220653253</v>
      </c>
      <c r="AK254" s="11">
        <f t="shared" si="287"/>
        <v>0.77177138189541417</v>
      </c>
      <c r="AL254" s="11">
        <f t="shared" si="288"/>
        <v>-0.25906691025588502</v>
      </c>
      <c r="AM254" s="11">
        <v>0.32187487459163039</v>
      </c>
      <c r="AN254" s="11">
        <v>0.71311325091995159</v>
      </c>
      <c r="AO254" s="11">
        <v>1.0058589830988449</v>
      </c>
      <c r="AP254" s="11">
        <f t="shared" si="266"/>
        <v>5.8418860059167256E-3</v>
      </c>
      <c r="AQ254" s="11">
        <v>0.2186237274338893</v>
      </c>
      <c r="AR254" s="11">
        <f t="shared" si="289"/>
        <v>0.68319914823090411</v>
      </c>
      <c r="AS254" s="11">
        <f t="shared" si="290"/>
        <v>-0.38096888324317923</v>
      </c>
      <c r="AT254" s="11">
        <v>0.42992039350916023</v>
      </c>
      <c r="AU254" s="11">
        <f t="shared" si="291"/>
        <v>1.3435012297161257</v>
      </c>
      <c r="AV254" s="11">
        <f t="shared" si="292"/>
        <v>0.29527906438086177</v>
      </c>
      <c r="AW254" s="11">
        <v>0.32178111628946565</v>
      </c>
      <c r="AX254" s="11">
        <f t="shared" si="293"/>
        <v>1.0055659884045802</v>
      </c>
      <c r="AY254" s="11">
        <f t="shared" si="294"/>
        <v>5.5505555307680714E-3</v>
      </c>
      <c r="AZ254" s="11">
        <v>0.30463458511474312</v>
      </c>
      <c r="BA254" s="11">
        <f t="shared" si="295"/>
        <v>0.95198307848357222</v>
      </c>
      <c r="BB254" s="11">
        <f t="shared" si="296"/>
        <v>-4.9208019050873651E-2</v>
      </c>
      <c r="BC254" s="11">
        <v>0.22244895287762498</v>
      </c>
      <c r="BD254" s="11">
        <f t="shared" si="297"/>
        <v>0.695152977742578</v>
      </c>
      <c r="BE254" s="11">
        <f t="shared" si="298"/>
        <v>-0.36362334577858169</v>
      </c>
      <c r="BF254" s="11">
        <v>0.34176936539266545</v>
      </c>
      <c r="BG254" s="11">
        <f t="shared" si="279"/>
        <v>1.0680292668520794</v>
      </c>
      <c r="BH254" s="11">
        <f t="shared" si="280"/>
        <v>6.5815143582086288E-2</v>
      </c>
      <c r="BI254" s="11">
        <v>0.31616945452111567</v>
      </c>
      <c r="BJ254" s="11">
        <f t="shared" si="304"/>
        <v>0.98802954537848642</v>
      </c>
      <c r="BK254" s="11">
        <f t="shared" si="305"/>
        <v>-1.2042677452154522E-2</v>
      </c>
      <c r="BL254" s="11">
        <v>0.5081430153423816</v>
      </c>
      <c r="BM254" s="11">
        <f t="shared" si="281"/>
        <v>1.5879469229449426</v>
      </c>
      <c r="BN254" s="11">
        <f t="shared" si="282"/>
        <v>0.46244193842815767</v>
      </c>
      <c r="BS254" t="b">
        <f t="shared" si="301"/>
        <v>0</v>
      </c>
      <c r="BU254" t="b">
        <f t="shared" si="302"/>
        <v>1</v>
      </c>
      <c r="BW254" t="b">
        <f t="shared" si="303"/>
        <v>1</v>
      </c>
    </row>
    <row r="255" spans="1:75">
      <c r="A255" s="88"/>
      <c r="B255" s="5">
        <f>'[52]Dados de entrada'!$B$28</f>
        <v>20</v>
      </c>
      <c r="C255" s="5">
        <f>'[52]Dados de entrada'!$B$31</f>
        <v>2</v>
      </c>
      <c r="D255" s="5">
        <f>'[52]Dados de entrada'!$B$32</f>
        <v>44</v>
      </c>
      <c r="E255" s="11">
        <f>'[52]Dados de entrada'!$B$27</f>
        <v>2.98</v>
      </c>
      <c r="F255" s="5">
        <f>'[52]Dados de entrada'!$B$30</f>
        <v>25</v>
      </c>
      <c r="G255" s="5">
        <f>'[52]Dados de entrada'!$B$22</f>
        <v>35</v>
      </c>
      <c r="H255" s="78">
        <f>'[52]Dados de entrada'!$B$29/(2*'[52]Dados de entrada'!$B$20*G255)</f>
        <v>5.9809523809523812E-2</v>
      </c>
      <c r="I255" s="53">
        <v>474.64704937981429</v>
      </c>
      <c r="J255" s="4">
        <v>0.36</v>
      </c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11">
        <v>0.2611800825951166</v>
      </c>
      <c r="AE255" s="11">
        <f t="shared" si="283"/>
        <v>0.72550022943087944</v>
      </c>
      <c r="AF255" s="29">
        <f t="shared" si="284"/>
        <v>-0.32089389041965444</v>
      </c>
      <c r="AG255" s="11">
        <v>0.31591055782203681</v>
      </c>
      <c r="AH255" s="11">
        <f t="shared" si="285"/>
        <v>0.87752932728343558</v>
      </c>
      <c r="AI255" s="11">
        <f t="shared" si="286"/>
        <v>-0.13064490279497432</v>
      </c>
      <c r="AJ255" s="11">
        <v>0.27982590126428686</v>
      </c>
      <c r="AK255" s="11">
        <f t="shared" si="287"/>
        <v>0.77729417017857461</v>
      </c>
      <c r="AL255" s="11">
        <f t="shared" si="288"/>
        <v>-0.25193640286597802</v>
      </c>
      <c r="AM255" s="11">
        <v>0.36130454672910511</v>
      </c>
      <c r="AN255" s="11">
        <v>0.89852715311695708</v>
      </c>
      <c r="AO255" s="11">
        <v>1.0036237409141808</v>
      </c>
      <c r="AP255" s="11">
        <f t="shared" si="266"/>
        <v>3.6171909838055897E-3</v>
      </c>
      <c r="AQ255" s="11">
        <v>0.24685742640092428</v>
      </c>
      <c r="AR255" s="11">
        <f t="shared" si="289"/>
        <v>0.68571507333590087</v>
      </c>
      <c r="AS255" s="11">
        <f t="shared" si="290"/>
        <v>-0.37729308252727228</v>
      </c>
      <c r="AT255" s="11">
        <v>0.48511553593266332</v>
      </c>
      <c r="AU255" s="11">
        <f t="shared" si="291"/>
        <v>1.3475431553685093</v>
      </c>
      <c r="AV255" s="11">
        <f t="shared" si="292"/>
        <v>0.29828304953568813</v>
      </c>
      <c r="AW255" s="11">
        <v>0.36119930303492503</v>
      </c>
      <c r="AX255" s="11">
        <f t="shared" si="293"/>
        <v>1.0033313973192362</v>
      </c>
      <c r="AY255" s="11">
        <f t="shared" si="294"/>
        <v>3.3258605086563631E-3</v>
      </c>
      <c r="AZ255" s="11">
        <v>0.34585128137507148</v>
      </c>
      <c r="BA255" s="11">
        <f t="shared" si="295"/>
        <v>0.9606980038196431</v>
      </c>
      <c r="BB255" s="11">
        <f t="shared" si="296"/>
        <v>-4.0095171408050113E-2</v>
      </c>
      <c r="BC255" s="11">
        <v>0.25107663503312877</v>
      </c>
      <c r="BD255" s="11">
        <f t="shared" si="297"/>
        <v>0.69743509731424658</v>
      </c>
      <c r="BE255" s="11">
        <f t="shared" si="298"/>
        <v>-0.36034582006160226</v>
      </c>
      <c r="BF255" s="11">
        <v>0.3836361126532668</v>
      </c>
      <c r="BG255" s="11">
        <f t="shared" si="279"/>
        <v>1.0656558684812967</v>
      </c>
      <c r="BH255" s="11">
        <f t="shared" si="280"/>
        <v>6.3590448559974797E-2</v>
      </c>
      <c r="BI255" s="11">
        <v>0.36492100931513882</v>
      </c>
      <c r="BJ255" s="11">
        <f t="shared" si="304"/>
        <v>1.0136694703198301</v>
      </c>
      <c r="BK255" s="11">
        <f t="shared" si="305"/>
        <v>1.3576885876463069E-2</v>
      </c>
      <c r="BL255" s="11">
        <v>0.59573194325154422</v>
      </c>
      <c r="BM255" s="11">
        <f t="shared" si="281"/>
        <v>1.6548109534765119</v>
      </c>
      <c r="BN255" s="11">
        <f t="shared" si="282"/>
        <v>0.50368677479792834</v>
      </c>
      <c r="BS255" t="b">
        <f t="shared" si="301"/>
        <v>0</v>
      </c>
      <c r="BU255" t="b">
        <f t="shared" si="302"/>
        <v>1</v>
      </c>
      <c r="BW255" t="b">
        <f t="shared" si="303"/>
        <v>1</v>
      </c>
    </row>
    <row r="256" spans="1:75">
      <c r="A256" s="89"/>
      <c r="B256" s="5">
        <f>'[52]Dados de entrada'!$B$28</f>
        <v>20</v>
      </c>
      <c r="C256" s="5">
        <f>'[52]Dados de entrada'!$B$31</f>
        <v>2</v>
      </c>
      <c r="D256" s="5">
        <f>'[52]Dados de entrada'!$B$32</f>
        <v>44</v>
      </c>
      <c r="E256" s="11">
        <f>'[52]Dados de entrada'!$B$27</f>
        <v>2.98</v>
      </c>
      <c r="F256" s="5">
        <f>'[52]Dados de entrada'!$B$30</f>
        <v>25</v>
      </c>
      <c r="G256" s="5">
        <f>'[52]Dados de entrada'!$B$22</f>
        <v>35</v>
      </c>
      <c r="H256" s="78">
        <f>'[52]Dados de entrada'!$B$29/(2*'[52]Dados de entrada'!$B$20*G256)</f>
        <v>5.9809523809523812E-2</v>
      </c>
      <c r="I256" s="53">
        <v>526.44594786447112</v>
      </c>
      <c r="J256" s="4">
        <v>0.47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11">
        <v>0.29184962290545596</v>
      </c>
      <c r="AE256" s="11">
        <f t="shared" si="283"/>
        <v>0.62095664447969356</v>
      </c>
      <c r="AF256" s="29">
        <f t="shared" si="284"/>
        <v>-0.47649401513855177</v>
      </c>
      <c r="AG256" s="11">
        <v>0.3557426480690849</v>
      </c>
      <c r="AH256" s="11">
        <f t="shared" si="285"/>
        <v>0.75689925121081902</v>
      </c>
      <c r="AI256" s="11">
        <f t="shared" si="286"/>
        <v>-0.27852512395166501</v>
      </c>
      <c r="AJ256" s="11">
        <v>0.31268496032204124</v>
      </c>
      <c r="AK256" s="11">
        <f t="shared" si="287"/>
        <v>0.66528714962136437</v>
      </c>
      <c r="AL256" s="11">
        <f t="shared" si="288"/>
        <v>-0.40753652758487513</v>
      </c>
      <c r="AM256" s="11">
        <v>0.38075707004060283</v>
      </c>
      <c r="AN256" s="11">
        <v>0.9978845637583893</v>
      </c>
      <c r="AO256" s="11">
        <v>0.81012142561830391</v>
      </c>
      <c r="AP256" s="11">
        <f t="shared" si="266"/>
        <v>-0.21057113438001404</v>
      </c>
      <c r="AQ256" s="11">
        <v>0.27509112536795938</v>
      </c>
      <c r="AR256" s="11">
        <f t="shared" si="289"/>
        <v>0.58530026674033908</v>
      </c>
      <c r="AS256" s="11">
        <f t="shared" si="290"/>
        <v>-0.53563028695238313</v>
      </c>
      <c r="AT256" s="11">
        <v>0.54007611973683578</v>
      </c>
      <c r="AU256" s="11">
        <f t="shared" si="291"/>
        <v>1.1490981270996508</v>
      </c>
      <c r="AV256" s="11">
        <f t="shared" si="292"/>
        <v>0.13897739739556156</v>
      </c>
      <c r="AW256" s="11">
        <v>0.40061748978038464</v>
      </c>
      <c r="AX256" s="11">
        <f t="shared" si="293"/>
        <v>0.85237763783060572</v>
      </c>
      <c r="AY256" s="11">
        <f t="shared" si="294"/>
        <v>-0.15972561346289321</v>
      </c>
      <c r="AZ256" s="11">
        <v>0.38706797763540002</v>
      </c>
      <c r="BA256" s="11">
        <f t="shared" si="295"/>
        <v>0.82354888858595754</v>
      </c>
      <c r="BB256" s="11">
        <f t="shared" si="296"/>
        <v>-0.19413236429481878</v>
      </c>
      <c r="BC256" s="11">
        <v>0.2797043171886327</v>
      </c>
      <c r="BD256" s="11">
        <f t="shared" si="297"/>
        <v>0.59511556848645264</v>
      </c>
      <c r="BE256" s="11">
        <f t="shared" si="298"/>
        <v>-0.51899965954690519</v>
      </c>
      <c r="BF256" s="11">
        <v>0.42550285991386838</v>
      </c>
      <c r="BG256" s="11">
        <f t="shared" si="279"/>
        <v>0.90532523385929453</v>
      </c>
      <c r="BH256" s="11">
        <f t="shared" si="280"/>
        <v>-9.9461025411574852E-2</v>
      </c>
      <c r="BI256" s="11">
        <v>0.40482410087816229</v>
      </c>
      <c r="BJ256" s="11">
        <f t="shared" si="304"/>
        <v>0.86132787420885593</v>
      </c>
      <c r="BK256" s="11">
        <f t="shared" si="305"/>
        <v>-0.14928004076065376</v>
      </c>
      <c r="BL256" s="11">
        <v>0.68753965778640769</v>
      </c>
      <c r="BM256" s="11">
        <f t="shared" si="281"/>
        <v>1.4628503357157612</v>
      </c>
      <c r="BN256" s="11">
        <f t="shared" si="282"/>
        <v>0.38038681722591783</v>
      </c>
      <c r="BS256" t="b">
        <f t="shared" si="301"/>
        <v>0</v>
      </c>
      <c r="BU256" t="b">
        <f t="shared" si="302"/>
        <v>1</v>
      </c>
      <c r="BW256" t="b">
        <f t="shared" si="303"/>
        <v>1</v>
      </c>
    </row>
    <row r="257" spans="1:75">
      <c r="A257" s="85" t="s">
        <v>98</v>
      </c>
      <c r="B257" s="21">
        <f>'[53]Dados de entrada'!$B$28</f>
        <v>20</v>
      </c>
      <c r="C257" s="21">
        <f>'[53]Dados de entrada'!$B$31</f>
        <v>3</v>
      </c>
      <c r="D257" s="21">
        <f>'[53]Dados de entrada'!$B$32</f>
        <v>12</v>
      </c>
      <c r="E257" s="20">
        <f>'[53]Dados de entrada'!$B$27</f>
        <v>2.98</v>
      </c>
      <c r="F257" s="21">
        <f>'[53]Dados de entrada'!$B$30</f>
        <v>25</v>
      </c>
      <c r="G257" s="21">
        <f>'[53]Dados de entrada'!$B$22</f>
        <v>35</v>
      </c>
      <c r="H257" s="79">
        <f>'[53]Dados de entrada'!$B$29/(2*'[53]Dados de entrada'!$B$20*G257)</f>
        <v>8.9714285714285719E-2</v>
      </c>
      <c r="I257" s="27" cm="1">
        <f t="array" ref="I257:I263">'[53]fib Model Code 2010'!$K$5:$K$11</f>
        <v>303.4025683141906</v>
      </c>
      <c r="J257" s="19" cm="1">
        <f t="array" ref="J257:J263">'[53]Dados de entrada'!$C$7:$C$13</f>
        <v>0.16</v>
      </c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0" cm="1">
        <f t="array" ref="AD257:AD263">'[53]fib Model Code 2010'!$L$5:$L$11</f>
        <v>0.12789012791537674</v>
      </c>
      <c r="AE257" s="20">
        <f t="shared" si="283"/>
        <v>0.79931329947110463</v>
      </c>
      <c r="AF257" s="54">
        <f t="shared" si="284"/>
        <v>-0.22400229559067217</v>
      </c>
      <c r="AG257" s="20" cm="1">
        <f t="array" ref="AG257:AG263">'[53]fib Model Code 2020'!$L$5:$L$11</f>
        <v>0.16920059472353005</v>
      </c>
      <c r="AH257" s="20">
        <f t="shared" si="285"/>
        <v>1.0575037170220627</v>
      </c>
      <c r="AI257" s="20">
        <f t="shared" si="286"/>
        <v>5.5911146846598772E-2</v>
      </c>
      <c r="AJ257" s="20" cm="1">
        <f t="array" ref="AJ257:AJ263">'[53]Eurocode 2'!$L$5:$L$11</f>
        <v>0.15399797461207157</v>
      </c>
      <c r="AK257" s="20">
        <f t="shared" si="287"/>
        <v>0.96248734132544733</v>
      </c>
      <c r="AL257" s="20">
        <f t="shared" si="288"/>
        <v>-3.8234364776349471E-2</v>
      </c>
      <c r="AM257" s="20" cm="1">
        <f t="array" ref="AM257:AM263">'[53]NBR 6118'!$Q$5:$Q$11</f>
        <v>0.18876718678189455</v>
      </c>
      <c r="AN257" s="20" cm="1">
        <f t="array" ref="AN257:AN263">'[53]NBR 6118'!$R$5:$R$11</f>
        <v>0.36999663347029554</v>
      </c>
      <c r="AO257" s="20" cm="1">
        <f t="array" ref="AO257:AO263">'[53]NBR 6118'!$W$5:$W$11</f>
        <v>1.1797949173868409</v>
      </c>
      <c r="AP257" s="20">
        <f t="shared" si="266"/>
        <v>0.16534062454809645</v>
      </c>
      <c r="AQ257" s="20" cm="1">
        <f t="array" ref="AQ257:AQ263">'[53]Clark (1956)'!$L$5:$L$11</f>
        <v>0.10460215108138089</v>
      </c>
      <c r="AR257" s="20">
        <f t="shared" si="289"/>
        <v>0.65376344425863053</v>
      </c>
      <c r="AS257" s="20">
        <f t="shared" si="290"/>
        <v>-0.42500969898290042</v>
      </c>
      <c r="AT257" s="20" cm="1">
        <f t="array" ref="AT257:AT263">'[53]Leonhardt (1977)'!$L$5:$L$11</f>
        <v>0.23572619789928739</v>
      </c>
      <c r="AU257" s="20">
        <f t="shared" si="291"/>
        <v>1.4732887368705461</v>
      </c>
      <c r="AV257" s="20">
        <f t="shared" si="292"/>
        <v>0.38749713787098927</v>
      </c>
      <c r="AW257" s="20" cm="1">
        <f t="array" ref="AW257:AW263">'[53]Desayi; Ganesan (1985)'!$L$5:$L$11</f>
        <v>0.1773928260722093</v>
      </c>
      <c r="AX257" s="20">
        <f t="shared" si="293"/>
        <v>1.1087051629513081</v>
      </c>
      <c r="AY257" s="20">
        <f t="shared" si="294"/>
        <v>0.10319281454667559</v>
      </c>
      <c r="AZ257" s="20" cm="1">
        <f t="array" ref="AZ257:AZ263">'[53]Oh; Kang (1987)'!$L$5:$L$11</f>
        <v>0.16251339397692882</v>
      </c>
      <c r="BA257" s="20">
        <f t="shared" si="295"/>
        <v>1.0157087123558051</v>
      </c>
      <c r="BB257" s="20">
        <f t="shared" si="296"/>
        <v>1.5586607612663058E-2</v>
      </c>
      <c r="BC257" s="20" cm="1">
        <f t="array" ref="BC257:BC263">'[53]Caldas (1997)'!$L$5:$L$11</f>
        <v>0.15656725810990152</v>
      </c>
      <c r="BD257" s="20">
        <f t="shared" si="297"/>
        <v>0.97854536318688445</v>
      </c>
      <c r="BE257" s="20">
        <f t="shared" si="298"/>
        <v>-2.1688133295316325E-2</v>
      </c>
      <c r="BF257" s="20" cm="1">
        <f t="array" ref="BF257:BF263">'[53]Gergely e Lutz (1968)'!$L$5:$L$11</f>
        <v>0.21997495191530891</v>
      </c>
      <c r="BG257" s="20">
        <f t="shared" si="279"/>
        <v>1.3748434494706807</v>
      </c>
      <c r="BH257" s="20">
        <f t="shared" si="280"/>
        <v>0.31833986970615596</v>
      </c>
      <c r="BI257" s="20" cm="1">
        <f t="array" ref="BI257:BI263">[53]Sugestão!$M$5:$M$11</f>
        <v>0.18134808592282184</v>
      </c>
      <c r="BJ257" s="20">
        <f t="shared" si="304"/>
        <v>1.1334255370176365</v>
      </c>
      <c r="BK257" s="20">
        <f t="shared" si="305"/>
        <v>0.12524449583680269</v>
      </c>
      <c r="BL257" s="20" cm="1">
        <f t="array" ref="BL257:BL263">'[53]fib Model Code 2020 modificado'!$L$5:$L$11</f>
        <v>0.30722097818359223</v>
      </c>
      <c r="BM257" s="20">
        <f t="shared" si="281"/>
        <v>1.9201311136474515</v>
      </c>
      <c r="BN257" s="20">
        <f t="shared" si="282"/>
        <v>0.65239347206619402</v>
      </c>
      <c r="BS257" t="b">
        <f t="shared" si="301"/>
        <v>0</v>
      </c>
      <c r="BU257" t="b">
        <f t="shared" si="302"/>
        <v>1</v>
      </c>
      <c r="BW257" t="b">
        <f t="shared" si="303"/>
        <v>1</v>
      </c>
    </row>
    <row r="258" spans="1:75">
      <c r="A258" s="90"/>
      <c r="B258" s="21">
        <f>'[53]Dados de entrada'!$B$28</f>
        <v>20</v>
      </c>
      <c r="C258" s="21">
        <f>'[53]Dados de entrada'!$B$31</f>
        <v>3</v>
      </c>
      <c r="D258" s="21">
        <f>'[53]Dados de entrada'!$B$32</f>
        <v>12</v>
      </c>
      <c r="E258" s="20">
        <f>'[53]Dados de entrada'!$B$27</f>
        <v>2.98</v>
      </c>
      <c r="F258" s="21">
        <f>'[53]Dados de entrada'!$B$30</f>
        <v>25</v>
      </c>
      <c r="G258" s="21">
        <f>'[53]Dados de entrada'!$B$22</f>
        <v>35</v>
      </c>
      <c r="H258" s="79">
        <f>'[53]Dados de entrada'!$B$29/(2*'[53]Dados de entrada'!$B$20*G258)</f>
        <v>8.9714285714285719E-2</v>
      </c>
      <c r="I258" s="27">
        <v>317.8503096624853</v>
      </c>
      <c r="J258" s="19">
        <v>0.18</v>
      </c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0">
        <v>0.13452667868681525</v>
      </c>
      <c r="AE258" s="20">
        <f t="shared" si="283"/>
        <v>0.74737043714897367</v>
      </c>
      <c r="AF258" s="54">
        <f t="shared" si="284"/>
        <v>-0.29119431696916676</v>
      </c>
      <c r="AG258" s="20">
        <v>0.17871200070263188</v>
      </c>
      <c r="AH258" s="20">
        <f t="shared" si="285"/>
        <v>0.99284444834795493</v>
      </c>
      <c r="AI258" s="20">
        <f t="shared" si="286"/>
        <v>-7.1812753969442006E-3</v>
      </c>
      <c r="AJ258" s="20">
        <v>0.16198932933092808</v>
      </c>
      <c r="AK258" s="20">
        <f t="shared" si="287"/>
        <v>0.899940718505156</v>
      </c>
      <c r="AL258" s="20">
        <f t="shared" si="288"/>
        <v>-0.1054263861548443</v>
      </c>
      <c r="AM258" s="20">
        <v>0.19775610043817518</v>
      </c>
      <c r="AN258" s="20">
        <v>0.40607340272023357</v>
      </c>
      <c r="AO258" s="20">
        <v>1.0986450024343066</v>
      </c>
      <c r="AP258" s="20">
        <f t="shared" si="266"/>
        <v>9.4077604526605588E-2</v>
      </c>
      <c r="AQ258" s="20">
        <v>0.10985211059679627</v>
      </c>
      <c r="AR258" s="20">
        <f t="shared" si="289"/>
        <v>0.61028950331553489</v>
      </c>
      <c r="AS258" s="20">
        <f t="shared" si="290"/>
        <v>-0.49382183880041391</v>
      </c>
      <c r="AT258" s="20">
        <v>0.24753953660852956</v>
      </c>
      <c r="AU258" s="20">
        <f t="shared" si="291"/>
        <v>1.3752196478251644</v>
      </c>
      <c r="AV258" s="20">
        <f t="shared" si="292"/>
        <v>0.31861346223368758</v>
      </c>
      <c r="AW258" s="20">
        <v>0.1858401035042192</v>
      </c>
      <c r="AX258" s="20">
        <f t="shared" si="293"/>
        <v>1.0324450194678845</v>
      </c>
      <c r="AY258" s="20">
        <f t="shared" si="294"/>
        <v>3.1929794525184726E-2</v>
      </c>
      <c r="AZ258" s="20">
        <v>0.17142732179790401</v>
      </c>
      <c r="BA258" s="20">
        <f t="shared" si="295"/>
        <v>0.95237400998835564</v>
      </c>
      <c r="BB258" s="20">
        <f t="shared" si="296"/>
        <v>-4.8797453708227204E-2</v>
      </c>
      <c r="BC258" s="20">
        <v>0.16454653547471412</v>
      </c>
      <c r="BD258" s="20">
        <f t="shared" si="297"/>
        <v>0.91414741930396737</v>
      </c>
      <c r="BE258" s="20">
        <f t="shared" si="298"/>
        <v>-8.9763430266940961E-2</v>
      </c>
      <c r="BF258" s="20">
        <v>0.23044994962556165</v>
      </c>
      <c r="BG258" s="20">
        <f t="shared" si="279"/>
        <v>1.2802774979197871</v>
      </c>
      <c r="BH258" s="20">
        <f t="shared" si="280"/>
        <v>0.2470768496846652</v>
      </c>
      <c r="BI258" s="20">
        <v>0.19240743373165534</v>
      </c>
      <c r="BJ258" s="20">
        <f t="shared" si="304"/>
        <v>1.0689301873980852</v>
      </c>
      <c r="BK258" s="20">
        <f t="shared" si="305"/>
        <v>6.6658323453927013E-2</v>
      </c>
      <c r="BL258" s="20">
        <v>0.32691504863932969</v>
      </c>
      <c r="BM258" s="20">
        <f t="shared" si="281"/>
        <v>1.8161947146629427</v>
      </c>
      <c r="BN258" s="20">
        <f t="shared" si="282"/>
        <v>0.59674349616195799</v>
      </c>
      <c r="BS258" t="b">
        <f t="shared" si="301"/>
        <v>0</v>
      </c>
      <c r="BU258" t="b">
        <f t="shared" si="302"/>
        <v>1</v>
      </c>
      <c r="BW258" t="b">
        <f t="shared" si="303"/>
        <v>1</v>
      </c>
    </row>
    <row r="259" spans="1:75">
      <c r="A259" s="90"/>
      <c r="B259" s="21">
        <f>'[53]Dados de entrada'!$B$28</f>
        <v>20</v>
      </c>
      <c r="C259" s="21">
        <f>'[53]Dados de entrada'!$B$31</f>
        <v>3</v>
      </c>
      <c r="D259" s="21">
        <f>'[53]Dados de entrada'!$B$32</f>
        <v>12</v>
      </c>
      <c r="E259" s="20">
        <f>'[53]Dados de entrada'!$B$27</f>
        <v>2.98</v>
      </c>
      <c r="F259" s="21">
        <f>'[53]Dados de entrada'!$B$30</f>
        <v>25</v>
      </c>
      <c r="G259" s="21">
        <f>'[53]Dados de entrada'!$B$22</f>
        <v>35</v>
      </c>
      <c r="H259" s="79">
        <f>'[53]Dados de entrada'!$B$29/(2*'[53]Dados de entrada'!$B$20*G259)</f>
        <v>8.9714285714285719E-2</v>
      </c>
      <c r="I259" s="27">
        <v>353.96966303322239</v>
      </c>
      <c r="J259" s="19">
        <v>0.18</v>
      </c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0">
        <v>0.15111805561541164</v>
      </c>
      <c r="AE259" s="20">
        <f t="shared" si="283"/>
        <v>0.83954475341895363</v>
      </c>
      <c r="AF259" s="54">
        <f t="shared" si="284"/>
        <v>-0.17489549427383</v>
      </c>
      <c r="AG259" s="20">
        <v>0.20249051565038667</v>
      </c>
      <c r="AH259" s="20">
        <f t="shared" si="285"/>
        <v>1.1249473091688149</v>
      </c>
      <c r="AI259" s="20">
        <f t="shared" si="286"/>
        <v>0.11773619826514323</v>
      </c>
      <c r="AJ259" s="20">
        <v>0.18196771612806956</v>
      </c>
      <c r="AK259" s="20">
        <f t="shared" si="287"/>
        <v>1.0109317562670532</v>
      </c>
      <c r="AL259" s="20">
        <f t="shared" si="288"/>
        <v>1.0872436540492598E-2</v>
      </c>
      <c r="AM259" s="20">
        <v>0.22022838457887689</v>
      </c>
      <c r="AN259" s="20">
        <v>0.50360652889012436</v>
      </c>
      <c r="AO259" s="20">
        <v>1.223491025438205</v>
      </c>
      <c r="AP259" s="20">
        <f t="shared" si="266"/>
        <v>0.20170826871897093</v>
      </c>
      <c r="AQ259" s="20">
        <v>0.1229770093853348</v>
      </c>
      <c r="AR259" s="20">
        <f t="shared" si="289"/>
        <v>0.68320560769630445</v>
      </c>
      <c r="AS259" s="20">
        <f t="shared" si="290"/>
        <v>-0.3809594285550682</v>
      </c>
      <c r="AT259" s="20">
        <v>0.27697027611423669</v>
      </c>
      <c r="AU259" s="20">
        <f t="shared" si="291"/>
        <v>1.5387237561902039</v>
      </c>
      <c r="AV259" s="20">
        <f t="shared" si="292"/>
        <v>0.43095334309258054</v>
      </c>
      <c r="AW259" s="20">
        <v>0.20695829708424418</v>
      </c>
      <c r="AX259" s="20">
        <f t="shared" si="293"/>
        <v>1.14976831713469</v>
      </c>
      <c r="AY259" s="20">
        <f t="shared" si="294"/>
        <v>0.13956045871755055</v>
      </c>
      <c r="AZ259" s="20">
        <v>0.19371214135034218</v>
      </c>
      <c r="BA259" s="20">
        <f t="shared" si="295"/>
        <v>1.0761785630574565</v>
      </c>
      <c r="BB259" s="20">
        <f t="shared" si="296"/>
        <v>7.3416398768175073E-2</v>
      </c>
      <c r="BC259" s="20">
        <v>0.18449472888674587</v>
      </c>
      <c r="BD259" s="20">
        <f t="shared" si="297"/>
        <v>1.024970716037477</v>
      </c>
      <c r="BE259" s="20">
        <f t="shared" si="298"/>
        <v>2.466404246271468E-2</v>
      </c>
      <c r="BF259" s="20">
        <v>0.25663744390119375</v>
      </c>
      <c r="BG259" s="20">
        <f t="shared" si="279"/>
        <v>1.4257635772288542</v>
      </c>
      <c r="BH259" s="20">
        <f t="shared" si="280"/>
        <v>0.35470751387703092</v>
      </c>
      <c r="BI259" s="20">
        <v>0.22005580325373927</v>
      </c>
      <c r="BJ259" s="20">
        <f t="shared" si="304"/>
        <v>1.2225322402985517</v>
      </c>
      <c r="BK259" s="20">
        <f t="shared" si="305"/>
        <v>0.20092431445149667</v>
      </c>
      <c r="BL259" s="20">
        <v>0.37758612573604677</v>
      </c>
      <c r="BM259" s="20">
        <f t="shared" si="281"/>
        <v>2.0977006985335933</v>
      </c>
      <c r="BN259" s="20">
        <f t="shared" si="282"/>
        <v>0.74084183942230986</v>
      </c>
      <c r="BS259" t="b">
        <f t="shared" si="301"/>
        <v>0</v>
      </c>
      <c r="BU259" t="b">
        <f t="shared" si="302"/>
        <v>1</v>
      </c>
      <c r="BW259" t="b">
        <f t="shared" si="303"/>
        <v>1</v>
      </c>
    </row>
    <row r="260" spans="1:75">
      <c r="A260" s="90"/>
      <c r="B260" s="21">
        <f>'[53]Dados de entrada'!$B$28</f>
        <v>20</v>
      </c>
      <c r="C260" s="21">
        <f>'[53]Dados de entrada'!$B$31</f>
        <v>3</v>
      </c>
      <c r="D260" s="21">
        <f>'[53]Dados de entrada'!$B$32</f>
        <v>12</v>
      </c>
      <c r="E260" s="20">
        <f>'[53]Dados de entrada'!$B$27</f>
        <v>2.98</v>
      </c>
      <c r="F260" s="21">
        <f>'[53]Dados de entrada'!$B$30</f>
        <v>25</v>
      </c>
      <c r="G260" s="21">
        <f>'[53]Dados de entrada'!$B$22</f>
        <v>35</v>
      </c>
      <c r="H260" s="79">
        <f>'[53]Dados de entrada'!$B$29/(2*'[53]Dados de entrada'!$B$20*G260)</f>
        <v>8.9714285714285719E-2</v>
      </c>
      <c r="I260" s="27">
        <v>393.70095174103312</v>
      </c>
      <c r="J260" s="19">
        <v>0.2</v>
      </c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0">
        <v>0.16936857023686763</v>
      </c>
      <c r="AE260" s="20">
        <f t="shared" si="283"/>
        <v>0.84684285118433811</v>
      </c>
      <c r="AF260" s="54">
        <f t="shared" si="284"/>
        <v>-0.16624013733578552</v>
      </c>
      <c r="AG260" s="20">
        <v>0.22864688209291692</v>
      </c>
      <c r="AH260" s="20">
        <f t="shared" si="285"/>
        <v>1.1432344104645846</v>
      </c>
      <c r="AI260" s="20">
        <f t="shared" si="286"/>
        <v>0.13386144730699448</v>
      </c>
      <c r="AJ260" s="20">
        <v>0.20394394160492516</v>
      </c>
      <c r="AK260" s="20">
        <f t="shared" si="287"/>
        <v>1.0197197080246256</v>
      </c>
      <c r="AL260" s="20">
        <f t="shared" si="288"/>
        <v>1.952779347853709E-2</v>
      </c>
      <c r="AM260" s="20">
        <v>0.2449478971336489</v>
      </c>
      <c r="AN260" s="20">
        <v>0.62300595270132975</v>
      </c>
      <c r="AO260" s="20">
        <v>1.2247394856682443</v>
      </c>
      <c r="AP260" s="20">
        <f t="shared" si="266"/>
        <v>0.20272815661971669</v>
      </c>
      <c r="AQ260" s="20">
        <v>0.13741439805272718</v>
      </c>
      <c r="AR260" s="20">
        <f t="shared" si="289"/>
        <v>0.68707199026363586</v>
      </c>
      <c r="AS260" s="20">
        <f t="shared" si="290"/>
        <v>-0.37531620292864665</v>
      </c>
      <c r="AT260" s="20">
        <v>0.30921361831123506</v>
      </c>
      <c r="AU260" s="20">
        <f t="shared" si="291"/>
        <v>1.5460680915561753</v>
      </c>
      <c r="AV260" s="20">
        <f t="shared" si="292"/>
        <v>0.43571499289273175</v>
      </c>
      <c r="AW260" s="20">
        <v>0.23018831002227164</v>
      </c>
      <c r="AX260" s="20">
        <f t="shared" si="293"/>
        <v>1.150941550111358</v>
      </c>
      <c r="AY260" s="20">
        <f t="shared" si="294"/>
        <v>0.14058034661829602</v>
      </c>
      <c r="AZ260" s="20">
        <v>0.21822544285802417</v>
      </c>
      <c r="BA260" s="20">
        <f t="shared" si="295"/>
        <v>1.0911272142901207</v>
      </c>
      <c r="BB260" s="20">
        <f t="shared" si="296"/>
        <v>8.7211303435616588E-2</v>
      </c>
      <c r="BC260" s="20">
        <v>0.20643774163998074</v>
      </c>
      <c r="BD260" s="20">
        <f t="shared" si="297"/>
        <v>1.0321887081999037</v>
      </c>
      <c r="BE260" s="20">
        <f t="shared" si="298"/>
        <v>3.1681507125959671E-2</v>
      </c>
      <c r="BF260" s="20">
        <v>0.28544368760438898</v>
      </c>
      <c r="BG260" s="20">
        <f t="shared" si="279"/>
        <v>1.4272184380219448</v>
      </c>
      <c r="BH260" s="20">
        <f t="shared" si="280"/>
        <v>0.3557274017777764</v>
      </c>
      <c r="BI260" s="20">
        <v>0.2504690097280316</v>
      </c>
      <c r="BJ260" s="20">
        <f t="shared" si="304"/>
        <v>1.2523450486401579</v>
      </c>
      <c r="BK260" s="20">
        <f t="shared" si="305"/>
        <v>0.22501783266316416</v>
      </c>
      <c r="BL260" s="20">
        <v>0.43569354712210062</v>
      </c>
      <c r="BM260" s="20">
        <f t="shared" si="281"/>
        <v>2.1784677356105031</v>
      </c>
      <c r="BN260" s="20">
        <f t="shared" si="282"/>
        <v>0.77862175609639583</v>
      </c>
      <c r="BS260" t="b">
        <f t="shared" si="301"/>
        <v>0</v>
      </c>
      <c r="BU260" t="b">
        <f t="shared" si="302"/>
        <v>1</v>
      </c>
      <c r="BW260" t="b">
        <f t="shared" si="303"/>
        <v>1</v>
      </c>
    </row>
    <row r="261" spans="1:75">
      <c r="A261" s="90"/>
      <c r="B261" s="21">
        <f>'[53]Dados de entrada'!$B$28</f>
        <v>20</v>
      </c>
      <c r="C261" s="21">
        <f>'[53]Dados de entrada'!$B$31</f>
        <v>3</v>
      </c>
      <c r="D261" s="21">
        <f>'[53]Dados de entrada'!$B$32</f>
        <v>12</v>
      </c>
      <c r="E261" s="20">
        <f>'[53]Dados de entrada'!$B$27</f>
        <v>2.98</v>
      </c>
      <c r="F261" s="21">
        <f>'[53]Dados de entrada'!$B$30</f>
        <v>25</v>
      </c>
      <c r="G261" s="21">
        <f>'[53]Dados de entrada'!$B$22</f>
        <v>35</v>
      </c>
      <c r="H261" s="79">
        <f>'[53]Dados de entrada'!$B$29/(2*'[53]Dados de entrada'!$B$20*G261)</f>
        <v>8.9714285714285719E-2</v>
      </c>
      <c r="I261" s="27">
        <v>429.82030511177004</v>
      </c>
      <c r="J261" s="19">
        <v>0.2</v>
      </c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0">
        <v>0.18595994716546396</v>
      </c>
      <c r="AE261" s="20">
        <f t="shared" si="283"/>
        <v>0.92979973582731978</v>
      </c>
      <c r="AF261" s="54">
        <f t="shared" si="284"/>
        <v>-7.278605384343903E-2</v>
      </c>
      <c r="AG261" s="20">
        <v>0.25242539704067157</v>
      </c>
      <c r="AH261" s="20">
        <f t="shared" si="285"/>
        <v>1.2621269852033579</v>
      </c>
      <c r="AI261" s="20">
        <f t="shared" si="286"/>
        <v>0.23279838124661395</v>
      </c>
      <c r="AJ261" s="20">
        <v>0.22392232840206655</v>
      </c>
      <c r="AK261" s="20">
        <f t="shared" si="287"/>
        <v>1.1196116420103326</v>
      </c>
      <c r="AL261" s="20">
        <f t="shared" si="288"/>
        <v>0.11298187697088351</v>
      </c>
      <c r="AM261" s="20">
        <v>0.26742018127435052</v>
      </c>
      <c r="AN261" s="20">
        <v>0.74256268800635683</v>
      </c>
      <c r="AO261" s="20">
        <v>1.3371009063717525</v>
      </c>
      <c r="AP261" s="20">
        <f t="shared" si="266"/>
        <v>0.29050376750210205</v>
      </c>
      <c r="AQ261" s="20">
        <v>0.15053929684126566</v>
      </c>
      <c r="AR261" s="20">
        <f t="shared" si="289"/>
        <v>0.75269648420632829</v>
      </c>
      <c r="AS261" s="20">
        <f t="shared" si="290"/>
        <v>-0.28409320786218045</v>
      </c>
      <c r="AT261" s="20">
        <v>0.33843803581028936</v>
      </c>
      <c r="AU261" s="20">
        <f t="shared" si="291"/>
        <v>1.6921901790514466</v>
      </c>
      <c r="AV261" s="20">
        <f t="shared" si="292"/>
        <v>0.52602365383431704</v>
      </c>
      <c r="AW261" s="20">
        <v>0.2513065036022965</v>
      </c>
      <c r="AX261" s="20">
        <f t="shared" si="293"/>
        <v>1.2565325180114824</v>
      </c>
      <c r="AY261" s="20">
        <f t="shared" si="294"/>
        <v>0.22835595750068152</v>
      </c>
      <c r="AZ261" s="20">
        <v>0.24051026241046222</v>
      </c>
      <c r="BA261" s="20">
        <f t="shared" si="295"/>
        <v>1.202551312052311</v>
      </c>
      <c r="BB261" s="20">
        <f t="shared" si="296"/>
        <v>0.18444539323276476</v>
      </c>
      <c r="BC261" s="20">
        <v>0.2263859350520124</v>
      </c>
      <c r="BD261" s="20">
        <f t="shared" si="297"/>
        <v>1.1319296752600621</v>
      </c>
      <c r="BE261" s="20">
        <f t="shared" si="298"/>
        <v>0.12392385352262808</v>
      </c>
      <c r="BF261" s="20">
        <v>0.31163118188002098</v>
      </c>
      <c r="BG261" s="20">
        <f t="shared" si="279"/>
        <v>1.5581559094001047</v>
      </c>
      <c r="BH261" s="20">
        <f t="shared" si="280"/>
        <v>0.44350301266016195</v>
      </c>
      <c r="BI261" s="20">
        <v>0.27811737925011548</v>
      </c>
      <c r="BJ261" s="20">
        <f t="shared" si="304"/>
        <v>1.3905868962505774</v>
      </c>
      <c r="BK261" s="20">
        <f t="shared" si="305"/>
        <v>0.32972588554804583</v>
      </c>
      <c r="BL261" s="20">
        <v>0.49067232709093606</v>
      </c>
      <c r="BM261" s="20">
        <f t="shared" si="281"/>
        <v>2.4533616354546801</v>
      </c>
      <c r="BN261" s="20">
        <f t="shared" si="282"/>
        <v>0.89745918019690019</v>
      </c>
      <c r="BS261" t="b">
        <f t="shared" si="301"/>
        <v>0</v>
      </c>
      <c r="BU261" t="b">
        <f t="shared" si="302"/>
        <v>1</v>
      </c>
      <c r="BW261" t="b">
        <f t="shared" si="303"/>
        <v>1</v>
      </c>
    </row>
    <row r="262" spans="1:75">
      <c r="A262" s="90"/>
      <c r="B262" s="21">
        <f>'[53]Dados de entrada'!$B$28</f>
        <v>20</v>
      </c>
      <c r="C262" s="21">
        <f>'[53]Dados de entrada'!$B$31</f>
        <v>3</v>
      </c>
      <c r="D262" s="21">
        <f>'[53]Dados de entrada'!$B$32</f>
        <v>12</v>
      </c>
      <c r="E262" s="20">
        <f>'[53]Dados de entrada'!$B$27</f>
        <v>2.98</v>
      </c>
      <c r="F262" s="21">
        <f>'[53]Dados de entrada'!$B$30</f>
        <v>25</v>
      </c>
      <c r="G262" s="21">
        <f>'[53]Dados de entrada'!$B$22</f>
        <v>35</v>
      </c>
      <c r="H262" s="79">
        <f>'[53]Dados de entrada'!$B$29/(2*'[53]Dados de entrada'!$B$20*G262)</f>
        <v>8.9714285714285719E-2</v>
      </c>
      <c r="I262" s="27">
        <v>462.32772314543331</v>
      </c>
      <c r="J262" s="19">
        <v>0.2</v>
      </c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0">
        <v>0.20089218640120066</v>
      </c>
      <c r="AE262" s="20">
        <f t="shared" si="283"/>
        <v>1.0044609320060032</v>
      </c>
      <c r="AF262" s="54">
        <f t="shared" si="284"/>
        <v>4.451011540894066E-3</v>
      </c>
      <c r="AG262" s="20">
        <v>0.27382606049365088</v>
      </c>
      <c r="AH262" s="20">
        <f t="shared" si="285"/>
        <v>1.3691303024682544</v>
      </c>
      <c r="AI262" s="20">
        <f t="shared" si="286"/>
        <v>0.31417572254261827</v>
      </c>
      <c r="AJ262" s="20">
        <v>0.24190287651949383</v>
      </c>
      <c r="AK262" s="20">
        <f t="shared" si="287"/>
        <v>1.209514382597469</v>
      </c>
      <c r="AL262" s="20">
        <f t="shared" si="288"/>
        <v>0.1902189423552168</v>
      </c>
      <c r="AM262" s="20">
        <v>0.28764523700098216</v>
      </c>
      <c r="AN262" s="20">
        <v>0.85913050492875898</v>
      </c>
      <c r="AO262" s="20">
        <v>1.4382261850049107</v>
      </c>
      <c r="AP262" s="20">
        <f t="shared" si="266"/>
        <v>0.36341053831019016</v>
      </c>
      <c r="AQ262" s="20">
        <v>0.16235170575095029</v>
      </c>
      <c r="AR262" s="20">
        <f t="shared" si="289"/>
        <v>0.81175852875475141</v>
      </c>
      <c r="AS262" s="20">
        <f t="shared" si="290"/>
        <v>-0.20855236142702588</v>
      </c>
      <c r="AT262" s="20">
        <v>0.36468532875224025</v>
      </c>
      <c r="AU262" s="20">
        <f t="shared" si="291"/>
        <v>1.8234266437612012</v>
      </c>
      <c r="AV262" s="20">
        <f t="shared" si="292"/>
        <v>0.60071750219375142</v>
      </c>
      <c r="AW262" s="20">
        <v>0.2703128778243189</v>
      </c>
      <c r="AX262" s="20">
        <f t="shared" si="293"/>
        <v>1.3515643891215945</v>
      </c>
      <c r="AY262" s="20">
        <f t="shared" si="294"/>
        <v>0.30126272830876932</v>
      </c>
      <c r="AZ262" s="20">
        <v>0.26056660000765652</v>
      </c>
      <c r="BA262" s="20">
        <f t="shared" si="295"/>
        <v>1.3028330000382826</v>
      </c>
      <c r="BB262" s="20">
        <f t="shared" si="296"/>
        <v>0.26454112418686088</v>
      </c>
      <c r="BC262" s="20">
        <v>0.24433930912284094</v>
      </c>
      <c r="BD262" s="20">
        <f t="shared" si="297"/>
        <v>1.2216965456142046</v>
      </c>
      <c r="BE262" s="20">
        <f t="shared" si="298"/>
        <v>0.20024050390010509</v>
      </c>
      <c r="BF262" s="20">
        <v>0.33519992672808979</v>
      </c>
      <c r="BG262" s="20">
        <f t="shared" si="279"/>
        <v>1.6759996336404488</v>
      </c>
      <c r="BH262" s="20">
        <f t="shared" si="280"/>
        <v>0.51640978346824973</v>
      </c>
      <c r="BI262" s="20">
        <v>0.303000911819991</v>
      </c>
      <c r="BJ262" s="20">
        <f t="shared" si="304"/>
        <v>1.515004559099955</v>
      </c>
      <c r="BK262" s="20">
        <f t="shared" si="305"/>
        <v>0.4154184482637055</v>
      </c>
      <c r="BL262" s="20">
        <v>0.54190707951796491</v>
      </c>
      <c r="BM262" s="20">
        <f t="shared" si="281"/>
        <v>2.7095353975898244</v>
      </c>
      <c r="BN262" s="20">
        <f t="shared" si="282"/>
        <v>0.99677718019033745</v>
      </c>
      <c r="BS262" t="b">
        <f t="shared" si="301"/>
        <v>0</v>
      </c>
      <c r="BU262" t="b">
        <f t="shared" si="302"/>
        <v>1</v>
      </c>
      <c r="BW262" t="b">
        <f t="shared" si="303"/>
        <v>1</v>
      </c>
    </row>
    <row r="263" spans="1:75">
      <c r="A263" s="86"/>
      <c r="B263" s="21">
        <f>'[53]Dados de entrada'!$B$28</f>
        <v>20</v>
      </c>
      <c r="C263" s="21">
        <f>'[53]Dados de entrada'!$B$31</f>
        <v>3</v>
      </c>
      <c r="D263" s="21">
        <f>'[53]Dados de entrada'!$B$32</f>
        <v>12</v>
      </c>
      <c r="E263" s="20">
        <f>'[53]Dados de entrada'!$B$27</f>
        <v>2.98</v>
      </c>
      <c r="F263" s="21">
        <f>'[53]Dados de entrada'!$B$30</f>
        <v>25</v>
      </c>
      <c r="G263" s="21">
        <f>'[53]Dados de entrada'!$B$22</f>
        <v>35</v>
      </c>
      <c r="H263" s="79">
        <f>'[53]Dados de entrada'!$B$29/(2*'[53]Dados de entrada'!$B$20*G263)</f>
        <v>8.9714285714285719E-2</v>
      </c>
      <c r="I263" s="27">
        <v>502.05901185324399</v>
      </c>
      <c r="J263" s="19">
        <v>0.22</v>
      </c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0">
        <v>0.21914270102265665</v>
      </c>
      <c r="AE263" s="20">
        <f t="shared" si="283"/>
        <v>0.9961031864666211</v>
      </c>
      <c r="AF263" s="54">
        <f t="shared" si="284"/>
        <v>-3.9044258936368256E-3</v>
      </c>
      <c r="AG263" s="20">
        <v>0.29998242693618105</v>
      </c>
      <c r="AH263" s="20">
        <f t="shared" si="285"/>
        <v>1.3635564860735503</v>
      </c>
      <c r="AI263" s="20">
        <f t="shared" si="286"/>
        <v>0.31009634970875066</v>
      </c>
      <c r="AJ263" s="20">
        <v>0.2638791019963494</v>
      </c>
      <c r="AK263" s="20">
        <f t="shared" si="287"/>
        <v>1.19945046361977</v>
      </c>
      <c r="AL263" s="20">
        <f t="shared" si="288"/>
        <v>0.18186350492068595</v>
      </c>
      <c r="AM263" s="20">
        <v>0.3100043368965783</v>
      </c>
      <c r="AN263" s="20">
        <v>0.9978845637583893</v>
      </c>
      <c r="AO263" s="20">
        <v>1.4091106222571741</v>
      </c>
      <c r="AP263" s="20">
        <f t="shared" si="266"/>
        <v>0.34295874101793367</v>
      </c>
      <c r="AQ263" s="20">
        <v>0.17678909441834265</v>
      </c>
      <c r="AR263" s="20">
        <f t="shared" si="289"/>
        <v>0.80358679281064838</v>
      </c>
      <c r="AS263" s="20">
        <f t="shared" si="290"/>
        <v>-0.21867008120547304</v>
      </c>
      <c r="AT263" s="20">
        <v>0.39671018522664003</v>
      </c>
      <c r="AU263" s="20">
        <f t="shared" si="291"/>
        <v>1.8032281146665456</v>
      </c>
      <c r="AV263" s="20">
        <f t="shared" si="292"/>
        <v>0.58957845572272505</v>
      </c>
      <c r="AW263" s="20">
        <v>0.2935428907623463</v>
      </c>
      <c r="AX263" s="20">
        <f t="shared" si="293"/>
        <v>1.334285867101574</v>
      </c>
      <c r="AY263" s="20">
        <f t="shared" si="294"/>
        <v>0.28839621771551899</v>
      </c>
      <c r="AZ263" s="20">
        <v>0.28507990151533846</v>
      </c>
      <c r="BA263" s="20">
        <f t="shared" si="295"/>
        <v>1.2958177341606294</v>
      </c>
      <c r="BB263" s="20">
        <f t="shared" si="296"/>
        <v>0.25914195081800501</v>
      </c>
      <c r="BC263" s="20">
        <v>0.26628232187607576</v>
      </c>
      <c r="BD263" s="20">
        <f t="shared" si="297"/>
        <v>1.210374190345799</v>
      </c>
      <c r="BE263" s="20">
        <f t="shared" si="298"/>
        <v>0.19092956002094358</v>
      </c>
      <c r="BF263" s="20">
        <v>0.36400617043128497</v>
      </c>
      <c r="BG263" s="20">
        <f t="shared" si="279"/>
        <v>1.6545735019603862</v>
      </c>
      <c r="BH263" s="20">
        <f t="shared" si="280"/>
        <v>0.50354327287499945</v>
      </c>
      <c r="BI263" s="20">
        <v>0.33052135777379082</v>
      </c>
      <c r="BJ263" s="20">
        <f t="shared" si="304"/>
        <v>1.5023698080626855</v>
      </c>
      <c r="BK263" s="20">
        <f t="shared" si="305"/>
        <v>0.40704373346501621</v>
      </c>
      <c r="BL263" s="20">
        <v>0.60678374827449089</v>
      </c>
      <c r="BM263" s="20">
        <f t="shared" si="281"/>
        <v>2.7581079467022311</v>
      </c>
      <c r="BN263" s="20">
        <f t="shared" si="282"/>
        <v>1.0145449180911235</v>
      </c>
      <c r="BS263" t="b">
        <f t="shared" si="301"/>
        <v>0</v>
      </c>
      <c r="BU263" t="b">
        <f t="shared" si="302"/>
        <v>1</v>
      </c>
      <c r="BW263" t="b">
        <f t="shared" si="303"/>
        <v>1</v>
      </c>
    </row>
    <row r="264" spans="1:75" ht="15" customHeight="1">
      <c r="A264" s="87" t="s">
        <v>99</v>
      </c>
      <c r="B264" s="5">
        <f>'[54]Dados de entrada'!$B$28</f>
        <v>28</v>
      </c>
      <c r="C264" s="5">
        <f>'[54]Dados de entrada'!$B$31</f>
        <v>4</v>
      </c>
      <c r="D264" s="5">
        <f>'[54]Dados de entrada'!$B$32</f>
        <v>16</v>
      </c>
      <c r="E264" s="11">
        <f>'[54]Dados de entrada'!$B$27</f>
        <v>5.3084743571011064</v>
      </c>
      <c r="F264" s="5">
        <f>'[54]Dados de entrada'!$B$30</f>
        <v>30</v>
      </c>
      <c r="G264" s="5">
        <f>'[54]Dados de entrada'!$B$22</f>
        <v>44</v>
      </c>
      <c r="H264" s="78">
        <f>'[54]Dados de entrada'!$B$29/(2*'[54]Dados de entrada'!$B$20*G264)</f>
        <v>0.13994318181818183</v>
      </c>
      <c r="I264" s="53" cm="1">
        <f t="array" ref="I264:I271">'[54]fib Model Code 2010'!$K$5:$K$12</f>
        <v>111.43533786909821</v>
      </c>
      <c r="J264" s="4" cm="1">
        <f t="array" ref="J264:J271">'[54]Dados de entrada'!$C$7:$C$14</f>
        <v>0.2</v>
      </c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11" cm="1">
        <f t="array" ref="AD264:AD271">'[54]fib Model Code 2010'!$L$5:$L$12</f>
        <v>3.7198868887620064E-2</v>
      </c>
      <c r="AE264" s="11">
        <f t="shared" ref="AE264:AE271" si="306">AD264/J264</f>
        <v>0.18599434443810031</v>
      </c>
      <c r="AF264" s="29">
        <f t="shared" ref="AF264:AF271" si="307">LN(AE264)</f>
        <v>-1.6820390119779876</v>
      </c>
      <c r="AG264" s="11" cm="1">
        <f t="array" ref="AG264:AG271">'[54]fib Model Code 2020'!$L$5:$L$12</f>
        <v>3.8596968092179766E-2</v>
      </c>
      <c r="AH264" s="11">
        <f t="shared" ref="AH264:AH271" si="308">AG264/J264</f>
        <v>0.19298484046089881</v>
      </c>
      <c r="AI264" s="11">
        <f t="shared" ref="AI264:AI271" si="309">LN(AH264)</f>
        <v>-1.6451436399969368</v>
      </c>
      <c r="AJ264" s="11" cm="1">
        <f t="array" ref="AJ264:AJ271">'[54]Eurocode 2'!$L$5:$L$12</f>
        <v>4.8312819683654099E-2</v>
      </c>
      <c r="AK264" s="11">
        <f t="shared" ref="AK264:AK271" si="310">AJ264/J264</f>
        <v>0.24156409841827048</v>
      </c>
      <c r="AL264" s="11">
        <f t="shared" ref="AL264:AL271" si="311">LN(AK264)</f>
        <v>-1.420620423225567</v>
      </c>
      <c r="AM264" s="11" cm="1">
        <f t="array" ref="AM264:AM271">'[54]NBR 6118'!$Q$5:$Q$12</f>
        <v>0</v>
      </c>
      <c r="AN264" s="11" cm="1">
        <f t="array" ref="AN264:AN271">'[54]NBR 6118'!$R$5:$R$12</f>
        <v>0</v>
      </c>
      <c r="AO264" s="11" cm="1">
        <f t="array" ref="AO264:AO271">'[54]NBR 6118'!$W$5:$W$12</f>
        <v>0</v>
      </c>
      <c r="AP264" s="11" t="e">
        <f t="shared" ref="AP264:AP309" si="312">LN(AO264)</f>
        <v>#NUM!</v>
      </c>
      <c r="AQ264" s="11" cm="1">
        <f t="array" ref="AQ264:AQ271">'[54]Clark (1956)'!$L$5:$L$12</f>
        <v>3.2681120834482567E-2</v>
      </c>
      <c r="AR264" s="11">
        <f t="shared" ref="AR264:AR271" si="313">AQ264/J264</f>
        <v>0.16340560417241282</v>
      </c>
      <c r="AS264" s="11">
        <f t="shared" ref="AS264:AS271" si="314">LN(AR264)</f>
        <v>-1.8115197998835837</v>
      </c>
      <c r="AT264" s="11" cm="1">
        <f t="array" ref="AT264:AT271">'[54]Leonhardt (1977)'!$L$5:$L$12</f>
        <v>8.7357863921345619E-2</v>
      </c>
      <c r="AU264" s="11">
        <f t="shared" ref="AU264:AU271" si="315">AT264/J264</f>
        <v>0.43678931960672807</v>
      </c>
      <c r="AV264" s="11">
        <f t="shared" ref="AV264:AV271" si="316">LN(AU264)</f>
        <v>-0.8283043063001817</v>
      </c>
      <c r="AW264" s="11" cm="1">
        <f t="array" ref="AW264:AW271">'[54]Desayi; Ganesan (1985)'!$L$5:$L$12</f>
        <v>8.9874707166590059E-2</v>
      </c>
      <c r="AX264" s="11">
        <f t="shared" ref="AX264:AX271" si="317">AW264/J264</f>
        <v>0.44937353583295025</v>
      </c>
      <c r="AY264" s="11">
        <f t="shared" ref="AY264:AY271" si="318">LN(AX264)</f>
        <v>-0.7999008087420082</v>
      </c>
      <c r="AZ264" s="11" cm="1">
        <f t="array" ref="AZ264:AZ271">'[54]Oh; Kang (1987)'!$L$5:$L$12</f>
        <v>4.9169776475293893E-2</v>
      </c>
      <c r="BA264" s="11">
        <f t="shared" ref="BA264:BA271" si="319">AZ264/J264</f>
        <v>0.24584888237646946</v>
      </c>
      <c r="BB264" s="11">
        <f t="shared" ref="BB264:BB271" si="320">LN(BA264)</f>
        <v>-1.4030382310915301</v>
      </c>
      <c r="BC264" s="11" cm="1">
        <f t="array" ref="BC264:BC271">'[54]Caldas (1997)'!$L$5:$L$12</f>
        <v>6.6998497358580017E-2</v>
      </c>
      <c r="BD264" s="11">
        <f t="shared" ref="BD264:BD271" si="321">BC264/J264</f>
        <v>0.33499248679290006</v>
      </c>
      <c r="BE264" s="11">
        <f t="shared" ref="BE264:BE271" si="322">LN(BD264)</f>
        <v>-1.0936471748924508</v>
      </c>
      <c r="BF264" s="11" cm="1">
        <f t="array" ref="BF264:BF271">'[54]Gergely e Lutz (1968)'!$L$5:$L$12</f>
        <v>9.6380546573143322E-2</v>
      </c>
      <c r="BG264" s="11">
        <f t="shared" si="279"/>
        <v>0.48190273286571661</v>
      </c>
      <c r="BH264" s="11">
        <f t="shared" si="280"/>
        <v>-0.73001298432948447</v>
      </c>
      <c r="BI264" s="11" cm="1">
        <f t="array" ref="BI264:BI271">[54]Sugestão!$M$5:$M$12</f>
        <v>3.8596968092179766E-2</v>
      </c>
      <c r="BJ264" s="11">
        <f t="shared" ref="BJ264:BJ271" si="323">BI264/J264</f>
        <v>0.19298484046089881</v>
      </c>
      <c r="BK264" s="11">
        <f t="shared" ref="BK264:BK271" si="324">LN(BJ264)</f>
        <v>-1.6451436399969368</v>
      </c>
      <c r="BL264" s="11" cm="1">
        <f t="array" ref="BL264:BL271">'[54]fib Model Code 2020 modificado'!$L$5:$L$12</f>
        <v>7.2666319950042649E-2</v>
      </c>
      <c r="BM264" s="11">
        <f t="shared" si="281"/>
        <v>0.36333159975021323</v>
      </c>
      <c r="BN264" s="11">
        <f t="shared" si="282"/>
        <v>-1.0124393637681286</v>
      </c>
      <c r="BS264" t="b">
        <f t="shared" si="238"/>
        <v>0</v>
      </c>
      <c r="BU264" t="b">
        <f t="shared" si="239"/>
        <v>1</v>
      </c>
      <c r="BW264" t="b">
        <f t="shared" si="240"/>
        <v>1</v>
      </c>
    </row>
    <row r="265" spans="1:75">
      <c r="A265" s="88"/>
      <c r="B265" s="5">
        <f>'[54]Dados de entrada'!$B$28</f>
        <v>28</v>
      </c>
      <c r="C265" s="5">
        <f>'[54]Dados de entrada'!$B$31</f>
        <v>4</v>
      </c>
      <c r="D265" s="5">
        <f>'[54]Dados de entrada'!$B$32</f>
        <v>16</v>
      </c>
      <c r="E265" s="11">
        <f>'[54]Dados de entrada'!$B$27</f>
        <v>5.3084743571011064</v>
      </c>
      <c r="F265" s="5">
        <f>'[54]Dados de entrada'!$B$30</f>
        <v>30</v>
      </c>
      <c r="G265" s="5">
        <f>'[54]Dados de entrada'!$B$22</f>
        <v>44</v>
      </c>
      <c r="H265" s="78">
        <f>'[54]Dados de entrada'!$B$29/(2*'[54]Dados de entrada'!$B$20*G265)</f>
        <v>0.13994318181818183</v>
      </c>
      <c r="I265" s="53">
        <v>151.17196997745879</v>
      </c>
      <c r="J265" s="4">
        <v>0.22</v>
      </c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11">
        <v>5.6084396803587552E-2</v>
      </c>
      <c r="AE265" s="11">
        <f t="shared" si="306"/>
        <v>0.25492907637994344</v>
      </c>
      <c r="AF265" s="29">
        <f t="shared" si="307"/>
        <v>-1.3667699043529045</v>
      </c>
      <c r="AG265" s="11">
        <v>6.7647653042968173E-2</v>
      </c>
      <c r="AH265" s="11">
        <f t="shared" si="308"/>
        <v>0.30748933201349171</v>
      </c>
      <c r="AI265" s="11">
        <f t="shared" si="309"/>
        <v>-1.1793148849764195</v>
      </c>
      <c r="AJ265" s="11">
        <v>7.28407994883951E-2</v>
      </c>
      <c r="AK265" s="11">
        <f t="shared" si="310"/>
        <v>0.33109454312906861</v>
      </c>
      <c r="AL265" s="11">
        <f t="shared" si="311"/>
        <v>-1.1053513156004837</v>
      </c>
      <c r="AM265" s="11">
        <v>0.11044982359729417</v>
      </c>
      <c r="AN265" s="11">
        <v>7.3361377368608163E-2</v>
      </c>
      <c r="AO265" s="11">
        <v>0.3334608062209462</v>
      </c>
      <c r="AP265" s="11">
        <f t="shared" si="312"/>
        <v>-1.0982299431086511</v>
      </c>
      <c r="AQ265" s="11">
        <v>4.5640522399196387E-2</v>
      </c>
      <c r="AR265" s="11">
        <f t="shared" si="313"/>
        <v>0.20745691999634722</v>
      </c>
      <c r="AS265" s="11">
        <f t="shared" si="314"/>
        <v>-1.5728315753416877</v>
      </c>
      <c r="AT265" s="11">
        <v>0.13890415290354707</v>
      </c>
      <c r="AU265" s="11">
        <f t="shared" si="315"/>
        <v>0.63138251319794125</v>
      </c>
      <c r="AV265" s="11">
        <f t="shared" si="316"/>
        <v>-0.45984339852535727</v>
      </c>
      <c r="AW265" s="11">
        <v>0.12192305235777719</v>
      </c>
      <c r="AX265" s="11">
        <f t="shared" si="317"/>
        <v>0.55419569253535084</v>
      </c>
      <c r="AY265" s="11">
        <f t="shared" si="318"/>
        <v>-0.59023741898449122</v>
      </c>
      <c r="AZ265" s="11">
        <v>7.6520963953813206E-2</v>
      </c>
      <c r="BA265" s="11">
        <f t="shared" si="319"/>
        <v>0.34782256342642365</v>
      </c>
      <c r="BB265" s="11">
        <f t="shared" si="320"/>
        <v>-1.0560628044496561</v>
      </c>
      <c r="BC265" s="11">
        <v>9.59824202295676E-2</v>
      </c>
      <c r="BD265" s="11">
        <f t="shared" si="321"/>
        <v>0.43628372831621637</v>
      </c>
      <c r="BE265" s="11">
        <f t="shared" si="322"/>
        <v>-0.82946249426218821</v>
      </c>
      <c r="BF265" s="11">
        <v>0.13074880349069828</v>
      </c>
      <c r="BG265" s="11">
        <f t="shared" si="279"/>
        <v>0.59431274313953764</v>
      </c>
      <c r="BH265" s="11">
        <f t="shared" si="280"/>
        <v>-0.5203495945719675</v>
      </c>
      <c r="BI265" s="11">
        <v>6.7647653042968173E-2</v>
      </c>
      <c r="BJ265" s="11">
        <f t="shared" si="323"/>
        <v>0.30748933201349171</v>
      </c>
      <c r="BK265" s="11">
        <f t="shared" si="324"/>
        <v>-1.1793148849764195</v>
      </c>
      <c r="BL265" s="11">
        <v>0.11719465240651869</v>
      </c>
      <c r="BM265" s="11">
        <f t="shared" si="281"/>
        <v>0.53270296548417584</v>
      </c>
      <c r="BN265" s="11">
        <f t="shared" si="282"/>
        <v>-0.62979129818116297</v>
      </c>
      <c r="BS265" t="b">
        <f t="shared" ref="BS265:BS271" si="325">IF(AND(B265&lt;=12.7,F265&lt;=45),TRUE,FALSE)</f>
        <v>0</v>
      </c>
      <c r="BU265" t="b">
        <f t="shared" ref="BU265:BU271" si="326">IF(AND(B265&gt;12.7,F265&lt;=45),TRUE,FALSE)</f>
        <v>1</v>
      </c>
      <c r="BW265" t="b">
        <f t="shared" ref="BW265:BW271" si="327">IF(AND(F265&lt;=45,C265&gt;1),TRUE,FALSE)</f>
        <v>1</v>
      </c>
    </row>
    <row r="266" spans="1:75">
      <c r="A266" s="88"/>
      <c r="B266" s="5">
        <f>'[54]Dados de entrada'!$B$28</f>
        <v>28</v>
      </c>
      <c r="C266" s="5">
        <f>'[54]Dados de entrada'!$B$31</f>
        <v>4</v>
      </c>
      <c r="D266" s="5">
        <f>'[54]Dados de entrada'!$B$32</f>
        <v>16</v>
      </c>
      <c r="E266" s="11">
        <f>'[54]Dados de entrada'!$B$27</f>
        <v>5.3084743571011064</v>
      </c>
      <c r="F266" s="5">
        <f>'[54]Dados de entrada'!$B$30</f>
        <v>30</v>
      </c>
      <c r="G266" s="5">
        <f>'[54]Dados de entrada'!$B$22</f>
        <v>44</v>
      </c>
      <c r="H266" s="78">
        <f>'[54]Dados de entrada'!$B$29/(2*'[54]Dados de entrada'!$B$20*G266)</f>
        <v>0.13994318181818183</v>
      </c>
      <c r="I266" s="53">
        <v>201.70659994135215</v>
      </c>
      <c r="J266" s="4">
        <v>0.25</v>
      </c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11">
        <v>8.0101861653241874E-2</v>
      </c>
      <c r="AE266" s="11">
        <f t="shared" si="306"/>
        <v>0.32040744661296749</v>
      </c>
      <c r="AF266" s="29">
        <f t="shared" si="307"/>
        <v>-1.1381618224445085</v>
      </c>
      <c r="AG266" s="11">
        <v>0.10459254586081865</v>
      </c>
      <c r="AH266" s="11">
        <f t="shared" si="308"/>
        <v>0.41837018344327459</v>
      </c>
      <c r="AI266" s="11">
        <f t="shared" si="309"/>
        <v>-0.87138863205166461</v>
      </c>
      <c r="AJ266" s="11">
        <v>0.10403399119659834</v>
      </c>
      <c r="AK266" s="11">
        <f t="shared" si="310"/>
        <v>0.41613596478639336</v>
      </c>
      <c r="AL266" s="11">
        <f t="shared" si="311"/>
        <v>-0.87674323369208773</v>
      </c>
      <c r="AM266" s="11">
        <v>0.14737162177124677</v>
      </c>
      <c r="AN266" s="11">
        <v>0.13060660758320314</v>
      </c>
      <c r="AO266" s="11">
        <v>0.52242643033281255</v>
      </c>
      <c r="AP266" s="11">
        <f t="shared" si="312"/>
        <v>-0.64927110824766021</v>
      </c>
      <c r="AQ266" s="11">
        <v>6.2121500476060715E-2</v>
      </c>
      <c r="AR266" s="11">
        <f t="shared" si="313"/>
        <v>0.24848600190424286</v>
      </c>
      <c r="AS266" s="11">
        <f t="shared" si="314"/>
        <v>-1.392368765397288</v>
      </c>
      <c r="AT266" s="11">
        <v>0.19953179125099435</v>
      </c>
      <c r="AU266" s="11">
        <f t="shared" si="315"/>
        <v>0.7981271650039774</v>
      </c>
      <c r="AV266" s="11">
        <f t="shared" si="316"/>
        <v>-0.22548733958635478</v>
      </c>
      <c r="AW266" s="11">
        <v>0.16268018700309125</v>
      </c>
      <c r="AX266" s="11">
        <f t="shared" si="317"/>
        <v>0.65072074801236501</v>
      </c>
      <c r="AY266" s="11">
        <f t="shared" si="318"/>
        <v>-0.42967468730893832</v>
      </c>
      <c r="AZ266" s="11">
        <v>0.11130453933410413</v>
      </c>
      <c r="BA266" s="11">
        <f t="shared" si="319"/>
        <v>0.44521815733641651</v>
      </c>
      <c r="BB266" s="11">
        <f t="shared" si="320"/>
        <v>-0.80919087573942639</v>
      </c>
      <c r="BC266" s="11">
        <v>0.13284240909810618</v>
      </c>
      <c r="BD266" s="11">
        <f t="shared" si="321"/>
        <v>0.53136963639242474</v>
      </c>
      <c r="BE266" s="11">
        <f t="shared" si="322"/>
        <v>-0.63229738618160225</v>
      </c>
      <c r="BF266" s="11">
        <v>0.17445626065758885</v>
      </c>
      <c r="BG266" s="11">
        <f t="shared" si="279"/>
        <v>0.69782504263035539</v>
      </c>
      <c r="BH266" s="11">
        <f t="shared" si="280"/>
        <v>-0.35978686289641448</v>
      </c>
      <c r="BI266" s="11">
        <v>0.10634972385684166</v>
      </c>
      <c r="BJ266" s="11">
        <f t="shared" si="323"/>
        <v>0.42539889542736664</v>
      </c>
      <c r="BK266" s="11">
        <f t="shared" si="324"/>
        <v>-0.85472797276999035</v>
      </c>
      <c r="BL266" s="11">
        <v>0.17635106460204125</v>
      </c>
      <c r="BM266" s="11">
        <f t="shared" si="281"/>
        <v>0.70540425840816501</v>
      </c>
      <c r="BN266" s="11">
        <f t="shared" si="282"/>
        <v>-0.34898422432831228</v>
      </c>
      <c r="BS266" t="b">
        <f t="shared" si="325"/>
        <v>0</v>
      </c>
      <c r="BU266" t="b">
        <f t="shared" si="326"/>
        <v>1</v>
      </c>
      <c r="BW266" t="b">
        <f t="shared" si="327"/>
        <v>1</v>
      </c>
    </row>
    <row r="267" spans="1:75">
      <c r="A267" s="88"/>
      <c r="B267" s="5">
        <f>'[54]Dados de entrada'!$B$28</f>
        <v>28</v>
      </c>
      <c r="C267" s="5">
        <f>'[54]Dados de entrada'!$B$31</f>
        <v>4</v>
      </c>
      <c r="D267" s="5">
        <f>'[54]Dados de entrada'!$B$32</f>
        <v>16</v>
      </c>
      <c r="E267" s="11">
        <f>'[54]Dados de entrada'!$B$27</f>
        <v>5.3084743571011064</v>
      </c>
      <c r="F267" s="5">
        <f>'[54]Dados de entrada'!$B$30</f>
        <v>30</v>
      </c>
      <c r="G267" s="5">
        <f>'[54]Dados de entrada'!$B$22</f>
        <v>44</v>
      </c>
      <c r="H267" s="78">
        <f>'[54]Dados de entrada'!$B$29/(2*'[54]Dados de entrada'!$B$20*G267)</f>
        <v>0.13994318181818183</v>
      </c>
      <c r="I267" s="53">
        <v>230.64523419418001</v>
      </c>
      <c r="J267" s="4">
        <v>0.28999999999999998</v>
      </c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11">
        <v>9.3855452635522557E-2</v>
      </c>
      <c r="AE267" s="11">
        <f t="shared" si="306"/>
        <v>0.32363949184662955</v>
      </c>
      <c r="AF267" s="29">
        <f t="shared" si="307"/>
        <v>-1.1281250621629078</v>
      </c>
      <c r="AG267" s="11">
        <v>0.12574902294454501</v>
      </c>
      <c r="AH267" s="11">
        <f t="shared" si="308"/>
        <v>0.4336173204984311</v>
      </c>
      <c r="AI267" s="11">
        <f t="shared" si="309"/>
        <v>-0.83559288385554809</v>
      </c>
      <c r="AJ267" s="11">
        <v>0.12189675909787713</v>
      </c>
      <c r="AK267" s="11">
        <f t="shared" si="310"/>
        <v>0.4203336520616453</v>
      </c>
      <c r="AL267" s="11">
        <f t="shared" si="311"/>
        <v>-0.86670647341048712</v>
      </c>
      <c r="AM267" s="11">
        <v>0.16851487371701451</v>
      </c>
      <c r="AN267" s="11">
        <v>0.17077091367283942</v>
      </c>
      <c r="AO267" s="11">
        <v>0.58108577143798112</v>
      </c>
      <c r="AP267" s="11">
        <f t="shared" si="312"/>
        <v>-0.54285690576619317</v>
      </c>
      <c r="AQ267" s="11">
        <v>7.1559325528624054E-2</v>
      </c>
      <c r="AR267" s="11">
        <f t="shared" si="313"/>
        <v>0.24675629492628987</v>
      </c>
      <c r="AS267" s="11">
        <f t="shared" si="314"/>
        <v>-1.39935408964121</v>
      </c>
      <c r="AT267" s="11">
        <v>0.23305036490381525</v>
      </c>
      <c r="AU267" s="11">
        <f t="shared" si="315"/>
        <v>0.80362194794419062</v>
      </c>
      <c r="AV267" s="11">
        <f t="shared" si="316"/>
        <v>-0.21862633438820356</v>
      </c>
      <c r="AW267" s="11">
        <v>0.18601974274015148</v>
      </c>
      <c r="AX267" s="11">
        <f t="shared" si="317"/>
        <v>0.64144738875914309</v>
      </c>
      <c r="AY267" s="11">
        <f t="shared" si="318"/>
        <v>-0.44402811113591384</v>
      </c>
      <c r="AZ267" s="11">
        <v>0.13122333891085189</v>
      </c>
      <c r="BA267" s="11">
        <f t="shared" si="319"/>
        <v>0.45249427210638588</v>
      </c>
      <c r="BB267" s="11">
        <f t="shared" si="320"/>
        <v>-0.79298017425070255</v>
      </c>
      <c r="BC267" s="11">
        <v>0.15395026597154279</v>
      </c>
      <c r="BD267" s="11">
        <f t="shared" si="321"/>
        <v>0.53086298610876825</v>
      </c>
      <c r="BE267" s="11">
        <f t="shared" si="322"/>
        <v>-0.63325132096263759</v>
      </c>
      <c r="BF267" s="11">
        <v>0.19948531732580826</v>
      </c>
      <c r="BG267" s="11">
        <f t="shared" si="279"/>
        <v>0.6878804045717527</v>
      </c>
      <c r="BH267" s="11">
        <f t="shared" si="280"/>
        <v>-0.37414028672339</v>
      </c>
      <c r="BI267" s="11">
        <v>0.13185876427251048</v>
      </c>
      <c r="BJ267" s="11">
        <f t="shared" si="323"/>
        <v>0.45468539404313962</v>
      </c>
      <c r="BK267" s="11">
        <f t="shared" si="324"/>
        <v>-0.78814954085065103</v>
      </c>
      <c r="BL267" s="11">
        <v>0.21150144669289611</v>
      </c>
      <c r="BM267" s="11">
        <f t="shared" si="281"/>
        <v>0.72931533342377974</v>
      </c>
      <c r="BN267" s="11">
        <f t="shared" si="282"/>
        <v>-0.31564908436204359</v>
      </c>
      <c r="BS267" t="b">
        <f t="shared" si="325"/>
        <v>0</v>
      </c>
      <c r="BU267" t="b">
        <f t="shared" si="326"/>
        <v>1</v>
      </c>
      <c r="BW267" t="b">
        <f t="shared" si="327"/>
        <v>1</v>
      </c>
    </row>
    <row r="268" spans="1:75">
      <c r="A268" s="88"/>
      <c r="B268" s="5">
        <f>'[54]Dados de entrada'!$B$28</f>
        <v>28</v>
      </c>
      <c r="C268" s="5">
        <f>'[54]Dados de entrada'!$B$31</f>
        <v>4</v>
      </c>
      <c r="D268" s="5">
        <f>'[54]Dados de entrada'!$B$32</f>
        <v>16</v>
      </c>
      <c r="E268" s="11">
        <f>'[54]Dados de entrada'!$B$27</f>
        <v>5.3084743571011064</v>
      </c>
      <c r="F268" s="5">
        <f>'[54]Dados de entrada'!$B$30</f>
        <v>30</v>
      </c>
      <c r="G268" s="5">
        <f>'[54]Dados de entrada'!$B$22</f>
        <v>44</v>
      </c>
      <c r="H268" s="78">
        <f>'[54]Dados de entrada'!$B$29/(2*'[54]Dados de entrada'!$B$20*G268)</f>
        <v>0.13994318181818183</v>
      </c>
      <c r="I268" s="53">
        <v>263.90306758922088</v>
      </c>
      <c r="J268" s="4">
        <v>0.31</v>
      </c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11">
        <v>0.10966181839127793</v>
      </c>
      <c r="AE268" s="11">
        <f t="shared" si="306"/>
        <v>0.35374780126218691</v>
      </c>
      <c r="AF268" s="29">
        <f t="shared" si="307"/>
        <v>-1.0391710455572587</v>
      </c>
      <c r="AG268" s="11">
        <v>0.15006318317509615</v>
      </c>
      <c r="AH268" s="11">
        <f t="shared" si="308"/>
        <v>0.48407478443579405</v>
      </c>
      <c r="AI268" s="11">
        <f t="shared" si="309"/>
        <v>-0.7255158709043602</v>
      </c>
      <c r="AJ268" s="11">
        <v>0.14242561176054078</v>
      </c>
      <c r="AK268" s="11">
        <f t="shared" si="310"/>
        <v>0.45943745729206703</v>
      </c>
      <c r="AL268" s="11">
        <f t="shared" si="311"/>
        <v>-0.77775245680483773</v>
      </c>
      <c r="AM268" s="11">
        <v>0.19281383490841922</v>
      </c>
      <c r="AN268" s="11">
        <v>0.22357014498470335</v>
      </c>
      <c r="AO268" s="11">
        <v>0.62198011260780395</v>
      </c>
      <c r="AP268" s="11">
        <f t="shared" si="312"/>
        <v>-0.474847160053465</v>
      </c>
      <c r="AQ268" s="11">
        <v>8.2405781186047578E-2</v>
      </c>
      <c r="AR268" s="11">
        <f t="shared" si="313"/>
        <v>0.26582510060015346</v>
      </c>
      <c r="AS268" s="11">
        <f t="shared" si="314"/>
        <v>-1.3249167030000162</v>
      </c>
      <c r="AT268" s="11">
        <v>0.27095354827819368</v>
      </c>
      <c r="AU268" s="11">
        <f t="shared" si="315"/>
        <v>0.87404370412320542</v>
      </c>
      <c r="AV268" s="11">
        <f t="shared" si="316"/>
        <v>-0.13462489985916948</v>
      </c>
      <c r="AW268" s="11">
        <v>0.21284281425886242</v>
      </c>
      <c r="AX268" s="11">
        <f t="shared" si="317"/>
        <v>0.68658972341568525</v>
      </c>
      <c r="AY268" s="11">
        <f t="shared" si="318"/>
        <v>-0.37601836542318584</v>
      </c>
      <c r="AZ268" s="11">
        <v>0.15411509364830822</v>
      </c>
      <c r="BA268" s="11">
        <f t="shared" si="319"/>
        <v>0.49714546338163945</v>
      </c>
      <c r="BB268" s="11">
        <f t="shared" si="320"/>
        <v>-0.69887261284833957</v>
      </c>
      <c r="BC268" s="11">
        <v>0.17820854924399976</v>
      </c>
      <c r="BD268" s="11">
        <f t="shared" si="321"/>
        <v>0.57486628788387018</v>
      </c>
      <c r="BE268" s="11">
        <f t="shared" si="322"/>
        <v>-0.55361780803771898</v>
      </c>
      <c r="BF268" s="11">
        <v>0.22825005409376184</v>
      </c>
      <c r="BG268" s="11">
        <f t="shared" si="279"/>
        <v>0.73629049707665106</v>
      </c>
      <c r="BH268" s="11">
        <f t="shared" si="280"/>
        <v>-0.30613054101066206</v>
      </c>
      <c r="BI268" s="11">
        <v>0.16117512415320437</v>
      </c>
      <c r="BJ268" s="11">
        <f t="shared" si="323"/>
        <v>0.51991975533291734</v>
      </c>
      <c r="BK268" s="11">
        <f t="shared" si="324"/>
        <v>-0.65408079598217272</v>
      </c>
      <c r="BL268" s="11">
        <v>0.25304444925653458</v>
      </c>
      <c r="BM268" s="11">
        <f t="shared" si="281"/>
        <v>0.81627241695656316</v>
      </c>
      <c r="BN268" s="11">
        <f t="shared" si="282"/>
        <v>-0.20300713542212842</v>
      </c>
      <c r="BS268" t="b">
        <f t="shared" si="325"/>
        <v>0</v>
      </c>
      <c r="BU268" t="b">
        <f t="shared" si="326"/>
        <v>1</v>
      </c>
      <c r="BW268" t="b">
        <f t="shared" si="327"/>
        <v>1</v>
      </c>
    </row>
    <row r="269" spans="1:75">
      <c r="A269" s="88"/>
      <c r="B269" s="5">
        <f>'[54]Dados de entrada'!$B$28</f>
        <v>28</v>
      </c>
      <c r="C269" s="5">
        <f>'[54]Dados de entrada'!$B$31</f>
        <v>4</v>
      </c>
      <c r="D269" s="5">
        <f>'[54]Dados de entrada'!$B$32</f>
        <v>16</v>
      </c>
      <c r="E269" s="11">
        <f>'[54]Dados de entrada'!$B$27</f>
        <v>5.3084743571011064</v>
      </c>
      <c r="F269" s="5">
        <f>'[54]Dados de entrada'!$B$30</f>
        <v>30</v>
      </c>
      <c r="G269" s="5">
        <f>'[54]Dados de entrada'!$B$22</f>
        <v>44</v>
      </c>
      <c r="H269" s="78">
        <f>'[54]Dados de entrada'!$B$29/(2*'[54]Dados de entrada'!$B$20*G269)</f>
        <v>0.13994318181818183</v>
      </c>
      <c r="I269" s="53">
        <v>315.73345729577818</v>
      </c>
      <c r="J269" s="4">
        <v>0.33</v>
      </c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11">
        <v>0.13429511567297467</v>
      </c>
      <c r="AE269" s="11">
        <f t="shared" si="306"/>
        <v>0.4069548959787111</v>
      </c>
      <c r="AF269" s="29">
        <f t="shared" si="307"/>
        <v>-0.89905292037173612</v>
      </c>
      <c r="AG269" s="11">
        <v>0.18795538093699407</v>
      </c>
      <c r="AH269" s="11">
        <f t="shared" si="308"/>
        <v>0.56956176041513351</v>
      </c>
      <c r="AI269" s="11">
        <f t="shared" si="309"/>
        <v>-0.56288805524061059</v>
      </c>
      <c r="AJ269" s="11">
        <v>0.17441862889715948</v>
      </c>
      <c r="AK269" s="11">
        <f t="shared" si="310"/>
        <v>0.52854129968836205</v>
      </c>
      <c r="AL269" s="11">
        <f t="shared" si="311"/>
        <v>-0.63763433161931515</v>
      </c>
      <c r="AM269" s="11">
        <v>0.23068234585606295</v>
      </c>
      <c r="AN269" s="11">
        <v>0.32001190997605566</v>
      </c>
      <c r="AO269" s="11">
        <v>0.69903741168503919</v>
      </c>
      <c r="AP269" s="11">
        <f t="shared" si="312"/>
        <v>-0.3580510164566158</v>
      </c>
      <c r="AQ269" s="11">
        <v>9.9309348444369963E-2</v>
      </c>
      <c r="AR269" s="11">
        <f t="shared" si="313"/>
        <v>0.30093741952839381</v>
      </c>
      <c r="AS269" s="11">
        <f t="shared" si="314"/>
        <v>-1.2008529443927809</v>
      </c>
      <c r="AT269" s="11">
        <v>0.32918147488740823</v>
      </c>
      <c r="AU269" s="11">
        <f t="shared" si="315"/>
        <v>0.99751962087093404</v>
      </c>
      <c r="AV269" s="11">
        <f t="shared" si="316"/>
        <v>-2.4834603655221835E-3</v>
      </c>
      <c r="AW269" s="11">
        <v>0.25464500363867176</v>
      </c>
      <c r="AX269" s="11">
        <f t="shared" si="317"/>
        <v>0.7716515261777932</v>
      </c>
      <c r="AY269" s="11">
        <f t="shared" si="318"/>
        <v>-0.25922222182633659</v>
      </c>
      <c r="AZ269" s="11">
        <v>0.18979055557681171</v>
      </c>
      <c r="BA269" s="11">
        <f t="shared" si="319"/>
        <v>0.57512289568730823</v>
      </c>
      <c r="BB269" s="11">
        <f t="shared" si="320"/>
        <v>-0.55317152939203618</v>
      </c>
      <c r="BC269" s="11">
        <v>0.21601366603224445</v>
      </c>
      <c r="BD269" s="11">
        <f t="shared" si="321"/>
        <v>0.65458686676437705</v>
      </c>
      <c r="BE269" s="11">
        <f t="shared" si="322"/>
        <v>-0.42375098010994039</v>
      </c>
      <c r="BF269" s="11">
        <v>0.27307821529057269</v>
      </c>
      <c r="BG269" s="11">
        <f t="shared" si="279"/>
        <v>0.82750974330476568</v>
      </c>
      <c r="BH269" s="11">
        <f t="shared" si="280"/>
        <v>-0.18933439741381286</v>
      </c>
      <c r="BI269" s="11">
        <v>0.20686295773350663</v>
      </c>
      <c r="BJ269" s="11">
        <f t="shared" si="323"/>
        <v>0.62685744767729279</v>
      </c>
      <c r="BK269" s="11">
        <f t="shared" si="324"/>
        <v>-0.46703612037511649</v>
      </c>
      <c r="BL269" s="11">
        <v>0.32023073109979766</v>
      </c>
      <c r="BM269" s="11">
        <f t="shared" si="281"/>
        <v>0.97039615484787167</v>
      </c>
      <c r="BN269" s="11">
        <f t="shared" si="282"/>
        <v>-3.0050883800510238E-2</v>
      </c>
      <c r="BS269" t="b">
        <f t="shared" si="325"/>
        <v>0</v>
      </c>
      <c r="BU269" t="b">
        <f t="shared" si="326"/>
        <v>1</v>
      </c>
      <c r="BW269" t="b">
        <f t="shared" si="327"/>
        <v>1</v>
      </c>
    </row>
    <row r="270" spans="1:75">
      <c r="A270" s="88"/>
      <c r="B270" s="5">
        <f>'[54]Dados de entrada'!$B$28</f>
        <v>28</v>
      </c>
      <c r="C270" s="5">
        <f>'[54]Dados de entrada'!$B$31</f>
        <v>4</v>
      </c>
      <c r="D270" s="5">
        <f>'[54]Dados de entrada'!$B$32</f>
        <v>16</v>
      </c>
      <c r="E270" s="11">
        <f>'[54]Dados de entrada'!$B$27</f>
        <v>5.3084743571011064</v>
      </c>
      <c r="F270" s="5">
        <f>'[54]Dados de entrada'!$B$30</f>
        <v>30</v>
      </c>
      <c r="G270" s="5">
        <f>'[54]Dados de entrada'!$B$22</f>
        <v>44</v>
      </c>
      <c r="H270" s="78">
        <f>'[54]Dados de entrada'!$B$29/(2*'[54]Dados de entrada'!$B$20*G270)</f>
        <v>0.13994318181818183</v>
      </c>
      <c r="I270" s="53">
        <v>342.08057206327823</v>
      </c>
      <c r="J270" s="4">
        <v>0.34</v>
      </c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11">
        <v>0.14681704179117055</v>
      </c>
      <c r="AE270" s="11">
        <f t="shared" si="306"/>
        <v>0.43181482879756045</v>
      </c>
      <c r="AF270" s="29">
        <f t="shared" si="307"/>
        <v>-0.83975841967182763</v>
      </c>
      <c r="AG270" s="11">
        <v>0.20721724813262554</v>
      </c>
      <c r="AH270" s="11">
        <f t="shared" si="308"/>
        <v>0.60946249450772216</v>
      </c>
      <c r="AI270" s="11">
        <f t="shared" si="309"/>
        <v>-0.49517786680613102</v>
      </c>
      <c r="AJ270" s="11">
        <v>0.19068174594160736</v>
      </c>
      <c r="AK270" s="11">
        <f t="shared" si="310"/>
        <v>0.56082866453413927</v>
      </c>
      <c r="AL270" s="11">
        <f t="shared" si="311"/>
        <v>-0.57833983091940688</v>
      </c>
      <c r="AM270" s="11">
        <v>0.24993217225444855</v>
      </c>
      <c r="AN270" s="11">
        <v>0.3756485797040216</v>
      </c>
      <c r="AO270" s="11">
        <v>0.73509462427778982</v>
      </c>
      <c r="AP270" s="11">
        <f t="shared" si="312"/>
        <v>-0.30775604754164942</v>
      </c>
      <c r="AQ270" s="11">
        <v>0.10790199513401721</v>
      </c>
      <c r="AR270" s="11">
        <f t="shared" si="313"/>
        <v>0.31735880921769766</v>
      </c>
      <c r="AS270" s="11">
        <f t="shared" si="314"/>
        <v>-1.1477222549330335</v>
      </c>
      <c r="AT270" s="11">
        <v>0.35851553204254821</v>
      </c>
      <c r="AU270" s="11">
        <f t="shared" si="315"/>
        <v>1.0544574471839652</v>
      </c>
      <c r="AV270" s="11">
        <f t="shared" si="316"/>
        <v>5.3026366574779979E-2</v>
      </c>
      <c r="AW270" s="11">
        <v>0.27589444990674156</v>
      </c>
      <c r="AX270" s="11">
        <f t="shared" si="317"/>
        <v>0.81145426443159274</v>
      </c>
      <c r="AY270" s="11">
        <f t="shared" si="318"/>
        <v>-0.20892725291137026</v>
      </c>
      <c r="AZ270" s="11">
        <v>0.20792558205713438</v>
      </c>
      <c r="BA270" s="11">
        <f t="shared" si="319"/>
        <v>0.61154582957980697</v>
      </c>
      <c r="BB270" s="11">
        <f t="shared" si="320"/>
        <v>-0.49176538049838153</v>
      </c>
      <c r="BC270" s="11">
        <v>0.2352312670662689</v>
      </c>
      <c r="BD270" s="11">
        <f t="shared" si="321"/>
        <v>0.69185666784196731</v>
      </c>
      <c r="BE270" s="11">
        <f t="shared" si="322"/>
        <v>-0.36837647221431008</v>
      </c>
      <c r="BF270" s="11">
        <v>0.29586586389895159</v>
      </c>
      <c r="BG270" s="11">
        <f t="shared" si="279"/>
        <v>0.87019371734985751</v>
      </c>
      <c r="BH270" s="11">
        <f t="shared" si="280"/>
        <v>-0.13903942849884651</v>
      </c>
      <c r="BI270" s="11">
        <v>0.23008760647016038</v>
      </c>
      <c r="BJ270" s="11">
        <f t="shared" si="323"/>
        <v>0.67672825432400108</v>
      </c>
      <c r="BK270" s="11">
        <f t="shared" si="324"/>
        <v>-0.39048548351377449</v>
      </c>
      <c r="BL270" s="11">
        <v>0.35552519355750478</v>
      </c>
      <c r="BM270" s="11">
        <f t="shared" si="281"/>
        <v>1.045662333992661</v>
      </c>
      <c r="BN270" s="11">
        <f t="shared" si="282"/>
        <v>4.4650497075673493E-2</v>
      </c>
      <c r="BS270" t="b">
        <f t="shared" si="325"/>
        <v>0</v>
      </c>
      <c r="BU270" t="b">
        <f t="shared" si="326"/>
        <v>1</v>
      </c>
      <c r="BW270" t="b">
        <f t="shared" si="327"/>
        <v>1</v>
      </c>
    </row>
    <row r="271" spans="1:75">
      <c r="A271" s="89"/>
      <c r="B271" s="5">
        <f>'[54]Dados de entrada'!$B$28</f>
        <v>28</v>
      </c>
      <c r="C271" s="5">
        <f>'[54]Dados de entrada'!$B$31</f>
        <v>4</v>
      </c>
      <c r="D271" s="5">
        <f>'[54]Dados de entrada'!$B$32</f>
        <v>16</v>
      </c>
      <c r="E271" s="11">
        <f>'[54]Dados de entrada'!$B$27</f>
        <v>5.3084743571011064</v>
      </c>
      <c r="F271" s="5">
        <f>'[54]Dados de entrada'!$B$30</f>
        <v>30</v>
      </c>
      <c r="G271" s="5">
        <f>'[54]Dados de entrada'!$B$22</f>
        <v>44</v>
      </c>
      <c r="H271" s="78">
        <f>'[54]Dados de entrada'!$B$29/(2*'[54]Dados de entrada'!$B$20*G271)</f>
        <v>0.13994318181818183</v>
      </c>
      <c r="I271" s="53">
        <v>380.5214444289748</v>
      </c>
      <c r="J271" s="4">
        <v>0.37</v>
      </c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11">
        <v>0.1650867372750956</v>
      </c>
      <c r="AE271" s="11">
        <f t="shared" si="306"/>
        <v>0.44618037101377189</v>
      </c>
      <c r="AF271" s="29">
        <f t="shared" si="307"/>
        <v>-0.80703198940413201</v>
      </c>
      <c r="AG271" s="11">
        <v>0.23532062813936647</v>
      </c>
      <c r="AH271" s="11">
        <f t="shared" si="308"/>
        <v>0.63600169767396342</v>
      </c>
      <c r="AI271" s="11">
        <f t="shared" si="309"/>
        <v>-0.45255404634689284</v>
      </c>
      <c r="AJ271" s="11">
        <v>0.21440990031793289</v>
      </c>
      <c r="AK271" s="11">
        <f t="shared" si="310"/>
        <v>0.5794862170754943</v>
      </c>
      <c r="AL271" s="11">
        <f t="shared" si="311"/>
        <v>-0.54561340065171116</v>
      </c>
      <c r="AM271" s="11">
        <v>0.27358028479302049</v>
      </c>
      <c r="AN271" s="11">
        <v>0.45009793258907616</v>
      </c>
      <c r="AO271" s="11">
        <v>0.7394061751162716</v>
      </c>
      <c r="AP271" s="11">
        <f t="shared" si="312"/>
        <v>-0.30190788099125559</v>
      </c>
      <c r="AQ271" s="11">
        <v>0.12043880751727296</v>
      </c>
      <c r="AR271" s="11">
        <f t="shared" si="313"/>
        <v>0.32551029058722419</v>
      </c>
      <c r="AS271" s="11">
        <f t="shared" si="314"/>
        <v>-1.1223612031259536</v>
      </c>
      <c r="AT271" s="11">
        <v>0.40109206541061937</v>
      </c>
      <c r="AU271" s="11">
        <f t="shared" si="315"/>
        <v>1.0840326092178902</v>
      </c>
      <c r="AV271" s="11">
        <f t="shared" si="316"/>
        <v>8.0687984869317816E-2</v>
      </c>
      <c r="AW271" s="11">
        <v>0.30689774036343337</v>
      </c>
      <c r="AX271" s="11">
        <f t="shared" si="317"/>
        <v>0.82945335233360373</v>
      </c>
      <c r="AY271" s="11">
        <f t="shared" si="318"/>
        <v>-0.18698840681767986</v>
      </c>
      <c r="AZ271" s="11">
        <v>0.23438488298744109</v>
      </c>
      <c r="BA271" s="11">
        <f t="shared" si="319"/>
        <v>0.63347265672281372</v>
      </c>
      <c r="BB271" s="11">
        <f t="shared" si="320"/>
        <v>-0.45653844238953334</v>
      </c>
      <c r="BC271" s="11">
        <v>0.26327006201755027</v>
      </c>
      <c r="BD271" s="11">
        <f t="shared" si="321"/>
        <v>0.71154070815554127</v>
      </c>
      <c r="BE271" s="11">
        <f t="shared" si="322"/>
        <v>-0.34032264853439981</v>
      </c>
      <c r="BF271" s="11">
        <v>0.32911341678658623</v>
      </c>
      <c r="BG271" s="11">
        <f t="shared" si="279"/>
        <v>0.88949572104482766</v>
      </c>
      <c r="BH271" s="11">
        <f t="shared" si="280"/>
        <v>-0.117100582405156</v>
      </c>
      <c r="BI271" s="11">
        <v>0.26397274970888446</v>
      </c>
      <c r="BJ271" s="11">
        <f t="shared" si="323"/>
        <v>0.71343986407806614</v>
      </c>
      <c r="BK271" s="11">
        <f t="shared" si="324"/>
        <v>-0.33765712861926733</v>
      </c>
      <c r="BL271" s="11">
        <v>0.40840053676760768</v>
      </c>
      <c r="BM271" s="11">
        <f t="shared" si="281"/>
        <v>1.1037852345070478</v>
      </c>
      <c r="BN271" s="11">
        <f t="shared" si="282"/>
        <v>9.874539496971084E-2</v>
      </c>
      <c r="BS271" t="b">
        <f t="shared" si="325"/>
        <v>0</v>
      </c>
      <c r="BU271" t="b">
        <f t="shared" si="326"/>
        <v>1</v>
      </c>
      <c r="BW271" t="b">
        <f t="shared" si="327"/>
        <v>1</v>
      </c>
    </row>
    <row r="272" spans="1:75" ht="14.4" customHeight="1">
      <c r="A272" s="87" t="s">
        <v>103</v>
      </c>
      <c r="B272" s="5">
        <f>'[55]Dados de entrada'!$B$28</f>
        <v>15.9</v>
      </c>
      <c r="C272" s="5">
        <f>'[55]Dados de entrada'!$B$31</f>
        <v>2</v>
      </c>
      <c r="D272" s="5">
        <f>'[55]Dados de entrada'!$B$32</f>
        <v>46</v>
      </c>
      <c r="E272" s="11">
        <f>'[55]Dados de entrada'!$B$27</f>
        <v>2.8258773978663156</v>
      </c>
      <c r="F272" s="5">
        <f>'[55]Dados de entrada'!$B$30</f>
        <v>30</v>
      </c>
      <c r="G272" s="5">
        <f>'[55]Dados de entrada'!$B$22</f>
        <v>38</v>
      </c>
      <c r="H272" s="78">
        <f>'[55]Dados de entrada'!$B$29/(2*'[55]Dados de entrada'!$B$20*G272)</f>
        <v>3.4842105263157896E-2</v>
      </c>
      <c r="I272" s="53" cm="1">
        <f t="array" ref="I272:I273">'[55]fib Model Code 2010'!$K$5:$K$6</f>
        <v>361.66957450902817</v>
      </c>
      <c r="J272" s="4" cm="1">
        <f t="array" ref="J272:J273">'[55]Dados de entrada'!$C$7:$C$8</f>
        <v>0.2</v>
      </c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11" cm="1">
        <f t="array" ref="AD272:AD273">'[55]fib Model Code 2010'!$L$5:$L$6</f>
        <v>0.24981880799060688</v>
      </c>
      <c r="AE272" s="11">
        <f t="shared" ref="AE272:AE309" si="328">AD272/J272</f>
        <v>1.2490940399530344</v>
      </c>
      <c r="AF272" s="29">
        <f t="shared" ref="AF272:AF309" si="329">LN(AE272)</f>
        <v>0.22241852050530991</v>
      </c>
      <c r="AG272" s="11" cm="1">
        <f t="array" ref="AG272:AG273">'[55]fib Model Code 2020'!$L$5:$L$6</f>
        <v>0.26728929873091839</v>
      </c>
      <c r="AH272" s="11">
        <f t="shared" ref="AH272:AH309" si="330">AG272/J272</f>
        <v>1.3364464936545919</v>
      </c>
      <c r="AI272" s="11">
        <f t="shared" ref="AI272:AI309" si="331">LN(AH272)</f>
        <v>0.29001422111872865</v>
      </c>
      <c r="AJ272" s="11" cm="1">
        <f t="array" ref="AJ272:AJ273">'[55]Eurocode 2'!$L$5:$L$6</f>
        <v>0.25478881615385329</v>
      </c>
      <c r="AK272" s="11">
        <f t="shared" ref="AK272:AK309" si="332">AJ272/J272</f>
        <v>1.2739440807692664</v>
      </c>
      <c r="AL272" s="11">
        <f t="shared" ref="AL272:AL309" si="333">LN(AK272)</f>
        <v>0.24211766354087344</v>
      </c>
      <c r="AM272" s="11" cm="1">
        <f t="array" ref="AM272:AM273">'[55]NBR 6118'!$Q$5:$Q$6</f>
        <v>0.28199361842550319</v>
      </c>
      <c r="AN272" s="11" cm="1">
        <f t="array" ref="AN272:AN273">'[55]NBR 6118'!$R$5:$R$6</f>
        <v>0.43113366848373058</v>
      </c>
      <c r="AO272" s="11" cm="1">
        <f t="array" ref="AO272:AO273">'[55]NBR 6118'!$W$5:$W$6</f>
        <v>1.4099680921275159</v>
      </c>
      <c r="AP272" s="11">
        <f t="shared" si="312"/>
        <v>0.34356707443722428</v>
      </c>
      <c r="AQ272" s="11" cm="1">
        <f t="array" ref="AQ272:AQ273">'[55]Clark (1956)'!$L$5:$L$6</f>
        <v>0.24347863384105645</v>
      </c>
      <c r="AR272" s="11">
        <f t="shared" ref="AR272:AR309" si="334">AQ272/J272</f>
        <v>1.2173931692052822</v>
      </c>
      <c r="AS272" s="11">
        <f t="shared" ref="AS272:AS309" si="335">LN(AR272)</f>
        <v>0.19671182609207702</v>
      </c>
      <c r="AT272" s="11" cm="1">
        <f t="array" ref="AT272:AT273">'[55]Leonhardt (1977)'!$L$5:$L$6</f>
        <v>0.38622010388926009</v>
      </c>
      <c r="AU272" s="11">
        <f t="shared" ref="AU272:AU309" si="336">AT272/J272</f>
        <v>1.9311005194463005</v>
      </c>
      <c r="AV272" s="11">
        <f t="shared" ref="AV272:AV309" si="337">LN(AU272)</f>
        <v>0.65809005773435725</v>
      </c>
      <c r="AW272" s="11" cm="1">
        <f t="array" ref="AW272:AW273">'[55]Desayi; Ganesan (1985)'!$L$5:$L$6</f>
        <v>0.27246081076315715</v>
      </c>
      <c r="AX272" s="11">
        <f t="shared" ref="AX272:AX309" si="338">AW272/J272</f>
        <v>1.3623040538157856</v>
      </c>
      <c r="AY272" s="11">
        <f t="shared" ref="AY272:AY309" si="339">LN(AX272)</f>
        <v>0.30917742349989358</v>
      </c>
      <c r="AZ272" s="11" cm="1">
        <f t="array" ref="AZ272:AZ273">'[55]Oh; Kang (1987)'!$L$5:$L$6</f>
        <v>0.24138283874457872</v>
      </c>
      <c r="BA272" s="11">
        <f t="shared" ref="BA272:BA309" si="340">AZ272/J272</f>
        <v>1.2069141937228935</v>
      </c>
      <c r="BB272" s="11">
        <f t="shared" ref="BB272:BB309" si="341">LN(BA272)</f>
        <v>0.18806684905221455</v>
      </c>
      <c r="BC272" s="11" cm="1">
        <f t="array" ref="BC272:BC273">'[55]Caldas (1997)'!$L$5:$L$6</f>
        <v>0.19708565182586593</v>
      </c>
      <c r="BD272" s="11">
        <f t="shared" ref="BD272:BD309" si="342">BC272/J272</f>
        <v>0.98542825912932963</v>
      </c>
      <c r="BE272" s="11">
        <f t="shared" ref="BE272:BE309" si="343">LN(BD272)</f>
        <v>-1.4678951457892176E-2</v>
      </c>
      <c r="BF272" s="11" cm="1">
        <f t="array" ref="BF272:BF273">'[55]Gergely e Lutz (1968)'!$L$5:$L$6</f>
        <v>0.30288745462493416</v>
      </c>
      <c r="BG272" s="11">
        <f t="shared" ref="BG272:BG309" si="344">BF272/J272</f>
        <v>1.5144372731246707</v>
      </c>
      <c r="BH272" s="11">
        <f t="shared" ref="BH272:BH309" si="345">LN(BG272)</f>
        <v>0.41504393308016196</v>
      </c>
      <c r="BI272" s="11" cm="1">
        <f t="array" ref="BI272:BI273">[55]Sugestão!$M$5:$M$6</f>
        <v>0.31773914093066064</v>
      </c>
      <c r="BJ272" s="11">
        <f t="shared" ref="BJ272:BJ309" si="346">BI272/J272</f>
        <v>1.588695704653303</v>
      </c>
      <c r="BK272" s="11">
        <f t="shared" ref="BK272:BK309" si="347">LN(BJ272)</f>
        <v>0.46291336805371452</v>
      </c>
      <c r="BL272" s="11" cm="1">
        <f t="array" ref="BL272:BL273">'[55]fib Model Code 2020 modificado'!$L$5:$L$6</f>
        <v>0.36890934795193298</v>
      </c>
      <c r="BM272" s="11">
        <f t="shared" ref="BM272:BM309" si="348">BL272/J272</f>
        <v>1.8445467397596649</v>
      </c>
      <c r="BN272" s="11">
        <f t="shared" ref="BN272:BN309" si="349">LN(BM272)</f>
        <v>0.61223357780383725</v>
      </c>
      <c r="BO272" s="107" t="s">
        <v>108</v>
      </c>
      <c r="BS272" t="b">
        <f t="shared" si="238"/>
        <v>0</v>
      </c>
      <c r="BU272" t="b">
        <f t="shared" si="239"/>
        <v>1</v>
      </c>
      <c r="BW272" t="b">
        <f t="shared" si="240"/>
        <v>1</v>
      </c>
    </row>
    <row r="273" spans="1:75">
      <c r="A273" s="89"/>
      <c r="B273" s="5">
        <f>'[55]Dados de entrada'!$B$28</f>
        <v>15.9</v>
      </c>
      <c r="C273" s="5">
        <f>'[55]Dados de entrada'!$B$31</f>
        <v>2</v>
      </c>
      <c r="D273" s="5">
        <f>'[55]Dados de entrada'!$B$32</f>
        <v>46</v>
      </c>
      <c r="E273" s="11">
        <f>'[55]Dados de entrada'!$B$27</f>
        <v>2.8258773978663156</v>
      </c>
      <c r="F273" s="5">
        <f>'[55]Dados de entrada'!$B$30</f>
        <v>30</v>
      </c>
      <c r="G273" s="5">
        <f>'[55]Dados de entrada'!$B$22</f>
        <v>38</v>
      </c>
      <c r="H273" s="78">
        <f>'[55]Dados de entrada'!$B$29/(2*'[55]Dados de entrada'!$B$20*G273)</f>
        <v>3.4842105263157896E-2</v>
      </c>
      <c r="I273" s="53">
        <v>392.3</v>
      </c>
      <c r="J273" s="4">
        <v>0.35</v>
      </c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11">
        <v>0.27432948922960282</v>
      </c>
      <c r="AE273" s="11">
        <f t="shared" si="328"/>
        <v>0.78379854065600807</v>
      </c>
      <c r="AF273" s="29">
        <f t="shared" si="329"/>
        <v>-0.24360325510146244</v>
      </c>
      <c r="AG273" s="11">
        <v>0.29702172941567545</v>
      </c>
      <c r="AH273" s="11">
        <f t="shared" si="330"/>
        <v>0.84863351261621567</v>
      </c>
      <c r="AI273" s="11">
        <f t="shared" si="331"/>
        <v>-0.16412785534130028</v>
      </c>
      <c r="AJ273" s="11">
        <v>0.27978712395237204</v>
      </c>
      <c r="AK273" s="11">
        <f t="shared" si="332"/>
        <v>0.79939178272106304</v>
      </c>
      <c r="AL273" s="11">
        <f t="shared" si="333"/>
        <v>-0.22390411206589866</v>
      </c>
      <c r="AM273" s="11">
        <v>0.29185886340253192</v>
      </c>
      <c r="AN273" s="11">
        <v>0.46182682241819578</v>
      </c>
      <c r="AO273" s="11">
        <v>0.83388246686437695</v>
      </c>
      <c r="AP273" s="11">
        <f t="shared" si="312"/>
        <v>-0.18166281357566674</v>
      </c>
      <c r="AQ273" s="11">
        <v>0.26626281210622382</v>
      </c>
      <c r="AR273" s="11">
        <f t="shared" si="334"/>
        <v>0.76075089173206811</v>
      </c>
      <c r="AS273" s="11">
        <f t="shared" si="335"/>
        <v>-0.27344931803082656</v>
      </c>
      <c r="AT273" s="11">
        <v>0.42262897836105034</v>
      </c>
      <c r="AU273" s="11">
        <f t="shared" si="336"/>
        <v>1.2075113667458581</v>
      </c>
      <c r="AV273" s="11">
        <f t="shared" si="337"/>
        <v>0.18856151995441123</v>
      </c>
      <c r="AW273" s="11">
        <v>0.29553599084879173</v>
      </c>
      <c r="AX273" s="11">
        <f t="shared" si="338"/>
        <v>0.84438854528226215</v>
      </c>
      <c r="AY273" s="11">
        <f t="shared" si="339"/>
        <v>-0.16914252861127932</v>
      </c>
      <c r="AZ273" s="11">
        <v>0.26436809953043394</v>
      </c>
      <c r="BA273" s="11">
        <f t="shared" si="340"/>
        <v>0.75533742722981134</v>
      </c>
      <c r="BB273" s="11">
        <f t="shared" si="341"/>
        <v>-0.28059070609047215</v>
      </c>
      <c r="BC273" s="11">
        <v>0.21484833224410843</v>
      </c>
      <c r="BD273" s="11">
        <f t="shared" si="342"/>
        <v>0.61385237784030988</v>
      </c>
      <c r="BE273" s="11">
        <f t="shared" si="343"/>
        <v>-0.48800080671237139</v>
      </c>
      <c r="BF273" s="11">
        <v>0.32853952011491516</v>
      </c>
      <c r="BG273" s="11">
        <f t="shared" si="344"/>
        <v>0.938684343185472</v>
      </c>
      <c r="BH273" s="11">
        <f t="shared" si="345"/>
        <v>-6.3276019031010905E-2</v>
      </c>
      <c r="BI273" s="11">
        <v>0.35647441315660378</v>
      </c>
      <c r="BJ273" s="11">
        <f t="shared" si="346"/>
        <v>1.0184983233045823</v>
      </c>
      <c r="BK273" s="11">
        <f t="shared" si="347"/>
        <v>1.832931044339034E-2</v>
      </c>
      <c r="BL273" s="11">
        <v>0.41195283177017566</v>
      </c>
      <c r="BM273" s="11">
        <f t="shared" si="348"/>
        <v>1.1770080907719305</v>
      </c>
      <c r="BN273" s="11">
        <f t="shared" si="349"/>
        <v>0.16297570231732603</v>
      </c>
      <c r="BO273" s="107"/>
      <c r="BS273" t="b">
        <f t="shared" ref="BS273:BS309" si="350">IF(AND(B273&lt;=12.7,F273&lt;=45),TRUE,FALSE)</f>
        <v>0</v>
      </c>
      <c r="BU273" t="b">
        <f t="shared" ref="BU273:BU309" si="351">IF(AND(B273&gt;12.7,F273&lt;=45),TRUE,FALSE)</f>
        <v>1</v>
      </c>
      <c r="BW273" t="b">
        <f t="shared" ref="BW273:BW309" si="352">IF(AND(F273&lt;=45,C273&gt;1),TRUE,FALSE)</f>
        <v>1</v>
      </c>
    </row>
    <row r="274" spans="1:75" ht="15" customHeight="1">
      <c r="A274" s="87" t="s">
        <v>104</v>
      </c>
      <c r="B274" s="5">
        <f>'[56]Dados de entrada'!$B$28</f>
        <v>15.9</v>
      </c>
      <c r="C274" s="5">
        <f>'[56]Dados de entrada'!$B$31</f>
        <v>2</v>
      </c>
      <c r="D274" s="5">
        <f>'[56]Dados de entrada'!$B$32</f>
        <v>46</v>
      </c>
      <c r="E274" s="11">
        <f>'[56]Dados de entrada'!$B$27</f>
        <v>2.8258773978663156</v>
      </c>
      <c r="F274" s="5">
        <f>'[56]Dados de entrada'!$B$33</f>
        <v>30</v>
      </c>
      <c r="G274" s="5">
        <f>'[56]Dados de entrada'!$B$22</f>
        <v>38</v>
      </c>
      <c r="H274" s="78">
        <f>'[56]Dados de entrada'!$B$29/(2*'[56]Dados de entrada'!$B$20*G274)</f>
        <v>3.4842105263157896E-2</v>
      </c>
      <c r="I274" s="53" cm="1">
        <f t="array" ref="I274:I275">'[56]fib Model Code 2010'!$K$5:$K$6</f>
        <v>363.0041485847072</v>
      </c>
      <c r="J274" s="4" cm="1">
        <f t="array" ref="J274:J275">'[56]Dados de entrada'!$C$7:$C$8</f>
        <v>0.2</v>
      </c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11" cm="1">
        <f t="array" ref="AD274:AD275">'[56]fib Model Code 2010'!$L$5:$L$6</f>
        <v>0.25088674352315238</v>
      </c>
      <c r="AE274" s="11">
        <f t="shared" si="328"/>
        <v>1.2544337176157618</v>
      </c>
      <c r="AF274" s="29">
        <f t="shared" si="329"/>
        <v>0.22668424972961063</v>
      </c>
      <c r="AG274" s="11" cm="1">
        <f t="array" ref="AG274:AG275">'[56]fib Model Code 2020'!$L$5:$L$6</f>
        <v>0.26858474698417545</v>
      </c>
      <c r="AH274" s="11">
        <f t="shared" si="330"/>
        <v>1.3429237349208771</v>
      </c>
      <c r="AI274" s="11">
        <f t="shared" si="331"/>
        <v>0.29484912882580544</v>
      </c>
      <c r="AJ274" s="11" cm="1">
        <f t="array" ref="AJ274:AJ275">'[56]Eurocode 2'!$L$5:$L$6</f>
        <v>0.25587799767807279</v>
      </c>
      <c r="AK274" s="11">
        <f t="shared" si="332"/>
        <v>1.2793899883903639</v>
      </c>
      <c r="AL274" s="11">
        <f t="shared" si="333"/>
        <v>0.24638339276517429</v>
      </c>
      <c r="AM274" s="11" cm="1">
        <f t="array" ref="AM274:AM275">'[56]NBR 6118'!$Q$5:$Q$6</f>
        <v>0.28303418528316193</v>
      </c>
      <c r="AN274" s="11" cm="1">
        <f t="array" ref="AN274:AN275">'[56]NBR 6118'!$R$5:$R$6</f>
        <v>0.43432133725167588</v>
      </c>
      <c r="AO274" s="11" cm="1">
        <f t="array" ref="AO274:AO275">'[56]NBR 6118'!$W$5:$W$6</f>
        <v>1.4151709264158097</v>
      </c>
      <c r="AP274" s="11">
        <f t="shared" si="312"/>
        <v>0.34725031985352089</v>
      </c>
      <c r="AQ274" s="11" cm="1">
        <f t="array" ref="AQ274:AQ275">'[56]Clark (1956)'!$L$5:$L$6</f>
        <v>0.24447134527620462</v>
      </c>
      <c r="AR274" s="11">
        <f t="shared" si="334"/>
        <v>1.2223567263810231</v>
      </c>
      <c r="AS274" s="11">
        <f t="shared" si="335"/>
        <v>0.20078073826442061</v>
      </c>
      <c r="AT274" s="11" cm="1">
        <f t="array" ref="AT274:AT275">'[56]Leonhardt (1977)'!$L$5:$L$6</f>
        <v>0.3878126857436745</v>
      </c>
      <c r="AU274" s="11">
        <f t="shared" si="336"/>
        <v>1.9390634287183723</v>
      </c>
      <c r="AV274" s="11">
        <f t="shared" si="337"/>
        <v>0.66220508780303788</v>
      </c>
      <c r="AW274" s="11" cm="1">
        <f t="array" ref="AW274:AW275">'[56]Desayi; Ganesan (1985)'!$L$5:$L$6</f>
        <v>0.27346620120877757</v>
      </c>
      <c r="AX274" s="11">
        <f t="shared" si="338"/>
        <v>1.3673310060438877</v>
      </c>
      <c r="AY274" s="11">
        <f t="shared" si="339"/>
        <v>0.31286066891618969</v>
      </c>
      <c r="AZ274" s="11" cm="1">
        <f t="array" ref="AZ274:AZ275">'[56]Oh; Kang (1987)'!$L$5:$L$6</f>
        <v>0.24238431138741112</v>
      </c>
      <c r="BA274" s="11">
        <f t="shared" si="340"/>
        <v>1.2119215569370556</v>
      </c>
      <c r="BB274" s="11">
        <f t="shared" si="341"/>
        <v>0.1922071635534347</v>
      </c>
      <c r="BC274" s="11" cm="1">
        <f t="array" ref="BC274:BC275">'[56]Caldas (1997)'!$L$5:$L$6</f>
        <v>0.19785957554454706</v>
      </c>
      <c r="BD274" s="11">
        <f t="shared" si="342"/>
        <v>0.98929787772273525</v>
      </c>
      <c r="BE274" s="11">
        <f t="shared" si="343"/>
        <v>-1.075980188650018E-2</v>
      </c>
      <c r="BF274" s="11" cm="1">
        <f t="array" ref="BF274:BF275">'[56]Gergely e Lutz (1968)'!$L$5:$L$6</f>
        <v>0.30400512050915895</v>
      </c>
      <c r="BG274" s="11">
        <f t="shared" si="344"/>
        <v>1.5200256025457948</v>
      </c>
      <c r="BH274" s="11">
        <f t="shared" si="345"/>
        <v>0.4187271784964583</v>
      </c>
      <c r="BI274" s="11" cm="1">
        <f t="array" ref="BI274:BI275">[56]Sugestão!$M$5:$M$6</f>
        <v>0.31942684488182999</v>
      </c>
      <c r="BJ274" s="11">
        <f t="shared" si="346"/>
        <v>1.5971342244091498</v>
      </c>
      <c r="BK274" s="11">
        <f t="shared" si="347"/>
        <v>0.46821091354648192</v>
      </c>
      <c r="BL274" s="11" cm="1">
        <f t="array" ref="BL274:BL275">'[56]fib Model Code 2020 modificado'!$L$5:$L$6</f>
        <v>0.37076945398985112</v>
      </c>
      <c r="BM274" s="11">
        <f t="shared" si="348"/>
        <v>1.8538472699492554</v>
      </c>
      <c r="BN274" s="11">
        <f t="shared" si="349"/>
        <v>0.61726308508220751</v>
      </c>
      <c r="BO274" s="107"/>
      <c r="BS274" t="b">
        <f t="shared" si="350"/>
        <v>0</v>
      </c>
      <c r="BU274" t="b">
        <f t="shared" si="351"/>
        <v>1</v>
      </c>
      <c r="BW274" t="b">
        <f t="shared" si="352"/>
        <v>1</v>
      </c>
    </row>
    <row r="275" spans="1:75">
      <c r="A275" s="89"/>
      <c r="B275" s="5">
        <f>'[56]Dados de entrada'!$B$28</f>
        <v>15.9</v>
      </c>
      <c r="C275" s="5">
        <f>'[56]Dados de entrada'!$B$31</f>
        <v>2</v>
      </c>
      <c r="D275" s="5">
        <f>'[56]Dados de entrada'!$B$32</f>
        <v>46</v>
      </c>
      <c r="E275" s="11">
        <f>'[56]Dados de entrada'!$B$27</f>
        <v>2.8258773978663156</v>
      </c>
      <c r="F275" s="5">
        <f>'[56]Dados de entrada'!$B$33</f>
        <v>30</v>
      </c>
      <c r="G275" s="5">
        <f>'[56]Dados de entrada'!$B$22</f>
        <v>38</v>
      </c>
      <c r="H275" s="78">
        <f>'[56]Dados de entrada'!$B$29/(2*'[56]Dados de entrada'!$B$20*G275)</f>
        <v>3.4842105263157896E-2</v>
      </c>
      <c r="I275" s="53">
        <v>392.3</v>
      </c>
      <c r="J275" s="4">
        <v>0.25</v>
      </c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11">
        <v>0.27432948922960282</v>
      </c>
      <c r="AE275" s="11">
        <f t="shared" si="328"/>
        <v>1.0973179569184113</v>
      </c>
      <c r="AF275" s="29">
        <f t="shared" si="329"/>
        <v>9.2868981519750482E-2</v>
      </c>
      <c r="AG275" s="11">
        <v>0.29702172941567545</v>
      </c>
      <c r="AH275" s="11">
        <f t="shared" si="330"/>
        <v>1.1880869176627018</v>
      </c>
      <c r="AI275" s="11">
        <f t="shared" si="331"/>
        <v>0.17234438127991256</v>
      </c>
      <c r="AJ275" s="11">
        <v>0.27978712395237204</v>
      </c>
      <c r="AK275" s="11">
        <f t="shared" si="332"/>
        <v>1.1191484958094882</v>
      </c>
      <c r="AL275" s="11">
        <f t="shared" si="333"/>
        <v>0.11256812455531418</v>
      </c>
      <c r="AM275" s="11">
        <v>0.29185886340253192</v>
      </c>
      <c r="AN275" s="11">
        <v>0.46182682241819578</v>
      </c>
      <c r="AO275" s="11">
        <v>1.1674354536101277</v>
      </c>
      <c r="AP275" s="11">
        <f t="shared" si="312"/>
        <v>0.15480942304554615</v>
      </c>
      <c r="AQ275" s="11">
        <v>0.26626281210622382</v>
      </c>
      <c r="AR275" s="11">
        <f t="shared" si="334"/>
        <v>1.0650512484248953</v>
      </c>
      <c r="AS275" s="11">
        <f t="shared" si="335"/>
        <v>6.3022918590386279E-2</v>
      </c>
      <c r="AT275" s="11">
        <v>0.42262897836105034</v>
      </c>
      <c r="AU275" s="11">
        <f t="shared" si="336"/>
        <v>1.6905159134442014</v>
      </c>
      <c r="AV275" s="11">
        <f t="shared" si="337"/>
        <v>0.52503375657562412</v>
      </c>
      <c r="AW275" s="11">
        <v>0.29553599084879173</v>
      </c>
      <c r="AX275" s="11">
        <f t="shared" si="338"/>
        <v>1.1821439633951669</v>
      </c>
      <c r="AY275" s="11">
        <f t="shared" si="339"/>
        <v>0.16732970800993355</v>
      </c>
      <c r="AZ275" s="11">
        <v>0.26436809953043394</v>
      </c>
      <c r="BA275" s="11">
        <f t="shared" si="340"/>
        <v>1.0574723981217358</v>
      </c>
      <c r="BB275" s="11">
        <f t="shared" si="341"/>
        <v>5.5881530530740679E-2</v>
      </c>
      <c r="BC275" s="11">
        <v>0.21484833224410843</v>
      </c>
      <c r="BD275" s="11">
        <f t="shared" si="342"/>
        <v>0.85939332897643372</v>
      </c>
      <c r="BE275" s="11">
        <f t="shared" si="343"/>
        <v>-0.15152857009115861</v>
      </c>
      <c r="BF275" s="11">
        <v>0.32853952011491516</v>
      </c>
      <c r="BG275" s="11">
        <f t="shared" si="344"/>
        <v>1.3141580804596606</v>
      </c>
      <c r="BH275" s="11">
        <f t="shared" si="345"/>
        <v>0.27319621759020191</v>
      </c>
      <c r="BI275" s="11">
        <v>0.35647441315660378</v>
      </c>
      <c r="BJ275" s="11">
        <f t="shared" si="346"/>
        <v>1.4258976526264151</v>
      </c>
      <c r="BK275" s="11">
        <f t="shared" si="347"/>
        <v>0.35480154706460315</v>
      </c>
      <c r="BL275" s="11">
        <v>0.41195283177017566</v>
      </c>
      <c r="BM275" s="11">
        <f t="shared" si="348"/>
        <v>1.6478113270807027</v>
      </c>
      <c r="BN275" s="11">
        <f t="shared" si="349"/>
        <v>0.49944793893853895</v>
      </c>
      <c r="BO275" s="107"/>
      <c r="BS275" t="b">
        <f t="shared" si="350"/>
        <v>0</v>
      </c>
      <c r="BU275" t="b">
        <f t="shared" si="351"/>
        <v>1</v>
      </c>
      <c r="BW275" t="b">
        <f t="shared" si="352"/>
        <v>1</v>
      </c>
    </row>
    <row r="276" spans="1:75">
      <c r="A276" s="87" t="s">
        <v>105</v>
      </c>
      <c r="B276" s="5">
        <f>'[57]Dados de entrada'!$B$28</f>
        <v>15.9</v>
      </c>
      <c r="C276" s="5">
        <f>'[57]Dados de entrada'!$B$31</f>
        <v>2</v>
      </c>
      <c r="D276" s="5">
        <f>'[57]Dados de entrada'!$B$32</f>
        <v>46</v>
      </c>
      <c r="E276" s="11">
        <f>'[57]Dados de entrada'!$B$27</f>
        <v>2.8258773978663156</v>
      </c>
      <c r="F276" s="5">
        <f>'[57]Dados de entrada'!$B$30</f>
        <v>30</v>
      </c>
      <c r="G276" s="5">
        <f>'[57]Dados de entrada'!$B$22</f>
        <v>38</v>
      </c>
      <c r="H276" s="78">
        <f>'[57]Dados de entrada'!$B$29/(2*'[57]Dados de entrada'!$B$20*G276)</f>
        <v>3.4842105263157896E-2</v>
      </c>
      <c r="I276" s="53" cm="1">
        <f t="array" ref="I276:I277">'[57]fib Model Code 2010'!$K$5:$K$6</f>
        <v>363.0041485847072</v>
      </c>
      <c r="J276" s="4" cm="1">
        <f t="array" ref="J276:J277">'[57]Dados de entrada'!$C$7:$C$8</f>
        <v>0.2</v>
      </c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11" cm="1">
        <f t="array" ref="AD276:AD277">'[57]fib Model Code 2010'!$L$5:$L$6</f>
        <v>0.25088674352315238</v>
      </c>
      <c r="AE276" s="11">
        <f t="shared" si="328"/>
        <v>1.2544337176157618</v>
      </c>
      <c r="AF276" s="29">
        <f t="shared" si="329"/>
        <v>0.22668424972961063</v>
      </c>
      <c r="AG276" s="11" cm="1">
        <f t="array" ref="AG276:AG277">'[57]fib Model Code 2020'!$L$5:$L$6</f>
        <v>0.26858474698417545</v>
      </c>
      <c r="AH276" s="11">
        <f t="shared" si="330"/>
        <v>1.3429237349208771</v>
      </c>
      <c r="AI276" s="11">
        <f t="shared" si="331"/>
        <v>0.29484912882580544</v>
      </c>
      <c r="AJ276" s="11" cm="1">
        <f t="array" ref="AJ276:AJ277">'[57]Eurocode 2'!$L$5:$L$6</f>
        <v>0.25587799767807279</v>
      </c>
      <c r="AK276" s="11">
        <f t="shared" si="332"/>
        <v>1.2793899883903639</v>
      </c>
      <c r="AL276" s="11">
        <f t="shared" si="333"/>
        <v>0.24638339276517429</v>
      </c>
      <c r="AM276" s="11" cm="1">
        <f t="array" ref="AM276:AM277">'[57]NBR 6118'!$Q$5:$Q$6</f>
        <v>0.28303418528316193</v>
      </c>
      <c r="AN276" s="11" cm="1">
        <f t="array" ref="AN276:AN277">'[57]NBR 6118'!$R$5:$R$6</f>
        <v>0.43432133725167588</v>
      </c>
      <c r="AO276" s="11" cm="1">
        <f t="array" ref="AO276:AO277">'[57]NBR 6118'!$W$5:$W$6</f>
        <v>1.4151709264158097</v>
      </c>
      <c r="AP276" s="11">
        <f t="shared" si="312"/>
        <v>0.34725031985352089</v>
      </c>
      <c r="AQ276" s="11" cm="1">
        <f t="array" ref="AQ276:AQ277">'[57]Clark (1956)'!$L$5:$L$6</f>
        <v>0.24447134527620462</v>
      </c>
      <c r="AR276" s="11">
        <f t="shared" si="334"/>
        <v>1.2223567263810231</v>
      </c>
      <c r="AS276" s="11">
        <f t="shared" si="335"/>
        <v>0.20078073826442061</v>
      </c>
      <c r="AT276" s="11" cm="1">
        <f t="array" ref="AT276:AT277">'[57]Leonhardt (1977)'!$L$5:$L$6</f>
        <v>0.3878126857436745</v>
      </c>
      <c r="AU276" s="11">
        <f t="shared" si="336"/>
        <v>1.9390634287183723</v>
      </c>
      <c r="AV276" s="11">
        <f t="shared" si="337"/>
        <v>0.66220508780303788</v>
      </c>
      <c r="AW276" s="11" cm="1">
        <f t="array" ref="AW276:AW277">'[57]Desayi; Ganesan (1985)'!$L$5:$L$6</f>
        <v>0.27346620120877757</v>
      </c>
      <c r="AX276" s="11">
        <f t="shared" si="338"/>
        <v>1.3673310060438877</v>
      </c>
      <c r="AY276" s="11">
        <f t="shared" si="339"/>
        <v>0.31286066891618969</v>
      </c>
      <c r="AZ276" s="11" cm="1">
        <f t="array" ref="AZ276:AZ277">'[57]Oh; Kang (1987)'!$L$5:$L$6</f>
        <v>0.24238431138741112</v>
      </c>
      <c r="BA276" s="11">
        <f t="shared" si="340"/>
        <v>1.2119215569370556</v>
      </c>
      <c r="BB276" s="11">
        <f t="shared" si="341"/>
        <v>0.1922071635534347</v>
      </c>
      <c r="BC276" s="11" cm="1">
        <f t="array" ref="BC276:BC277">'[57]Caldas (1997)'!$L$5:$L$6</f>
        <v>0.19785957554454706</v>
      </c>
      <c r="BD276" s="11">
        <f t="shared" si="342"/>
        <v>0.98929787772273525</v>
      </c>
      <c r="BE276" s="11">
        <f t="shared" si="343"/>
        <v>-1.075980188650018E-2</v>
      </c>
      <c r="BF276" s="11" cm="1">
        <f t="array" ref="BF276:BF277">'[57]Gergely e Lutz (1968)'!$L$5:$L$6</f>
        <v>0.30400512050915895</v>
      </c>
      <c r="BG276" s="11">
        <f t="shared" si="344"/>
        <v>1.5200256025457948</v>
      </c>
      <c r="BH276" s="11">
        <f t="shared" si="345"/>
        <v>0.4187271784964583</v>
      </c>
      <c r="BI276" s="11" cm="1">
        <f t="array" ref="BI276:BI277">[57]Sugestão!$M$5:$M$6</f>
        <v>0.31942684488182999</v>
      </c>
      <c r="BJ276" s="11">
        <f t="shared" si="346"/>
        <v>1.5971342244091498</v>
      </c>
      <c r="BK276" s="11">
        <f t="shared" si="347"/>
        <v>0.46821091354648192</v>
      </c>
      <c r="BL276" s="11" cm="1">
        <f t="array" ref="BL276:BL277">'[57]fib Model Code 2020 modificado'!$L$5:$L$6</f>
        <v>0.37076945398985112</v>
      </c>
      <c r="BM276" s="11">
        <f t="shared" si="348"/>
        <v>1.8538472699492554</v>
      </c>
      <c r="BN276" s="11">
        <f t="shared" si="349"/>
        <v>0.61726308508220751</v>
      </c>
      <c r="BO276" s="107"/>
      <c r="BS276" t="b">
        <f t="shared" si="350"/>
        <v>0</v>
      </c>
      <c r="BU276" t="b">
        <f t="shared" si="351"/>
        <v>1</v>
      </c>
      <c r="BW276" t="b">
        <f t="shared" si="352"/>
        <v>1</v>
      </c>
    </row>
    <row r="277" spans="1:75">
      <c r="A277" s="89"/>
      <c r="B277" s="5">
        <f>'[57]Dados de entrada'!$B$28</f>
        <v>15.9</v>
      </c>
      <c r="C277" s="5">
        <f>'[57]Dados de entrada'!$B$31</f>
        <v>2</v>
      </c>
      <c r="D277" s="5">
        <f>'[57]Dados de entrada'!$B$32</f>
        <v>46</v>
      </c>
      <c r="E277" s="11">
        <f>'[57]Dados de entrada'!$B$27</f>
        <v>2.8258773978663156</v>
      </c>
      <c r="F277" s="5">
        <f>'[57]Dados de entrada'!$B$30</f>
        <v>30</v>
      </c>
      <c r="G277" s="5">
        <f>'[57]Dados de entrada'!$B$22</f>
        <v>38</v>
      </c>
      <c r="H277" s="78">
        <f>'[57]Dados de entrada'!$B$29/(2*'[57]Dados de entrada'!$B$20*G277)</f>
        <v>3.4842105263157896E-2</v>
      </c>
      <c r="I277" s="53">
        <v>392.3</v>
      </c>
      <c r="J277" s="4">
        <v>0.25</v>
      </c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11">
        <v>0.27432948922960282</v>
      </c>
      <c r="AE277" s="11">
        <f t="shared" si="328"/>
        <v>1.0973179569184113</v>
      </c>
      <c r="AF277" s="29">
        <f t="shared" si="329"/>
        <v>9.2868981519750482E-2</v>
      </c>
      <c r="AG277" s="11">
        <v>0.29702172941567545</v>
      </c>
      <c r="AH277" s="11">
        <f t="shared" si="330"/>
        <v>1.1880869176627018</v>
      </c>
      <c r="AI277" s="11">
        <f t="shared" si="331"/>
        <v>0.17234438127991256</v>
      </c>
      <c r="AJ277" s="11">
        <v>0.27978712395237204</v>
      </c>
      <c r="AK277" s="11">
        <f t="shared" si="332"/>
        <v>1.1191484958094882</v>
      </c>
      <c r="AL277" s="11">
        <f t="shared" si="333"/>
        <v>0.11256812455531418</v>
      </c>
      <c r="AM277" s="11">
        <v>0.29185886340253192</v>
      </c>
      <c r="AN277" s="11">
        <v>0.46182682241819578</v>
      </c>
      <c r="AO277" s="11">
        <v>1.1674354536101277</v>
      </c>
      <c r="AP277" s="11">
        <f t="shared" si="312"/>
        <v>0.15480942304554615</v>
      </c>
      <c r="AQ277" s="11">
        <v>0.26626281210622382</v>
      </c>
      <c r="AR277" s="11">
        <f t="shared" si="334"/>
        <v>1.0650512484248953</v>
      </c>
      <c r="AS277" s="11">
        <f t="shared" si="335"/>
        <v>6.3022918590386279E-2</v>
      </c>
      <c r="AT277" s="11">
        <v>0.42262897836105034</v>
      </c>
      <c r="AU277" s="11">
        <f t="shared" si="336"/>
        <v>1.6905159134442014</v>
      </c>
      <c r="AV277" s="11">
        <f t="shared" si="337"/>
        <v>0.52503375657562412</v>
      </c>
      <c r="AW277" s="11">
        <v>0.29553599084879173</v>
      </c>
      <c r="AX277" s="11">
        <f t="shared" si="338"/>
        <v>1.1821439633951669</v>
      </c>
      <c r="AY277" s="11">
        <f t="shared" si="339"/>
        <v>0.16732970800993355</v>
      </c>
      <c r="AZ277" s="11">
        <v>0.26436809953043394</v>
      </c>
      <c r="BA277" s="11">
        <f t="shared" si="340"/>
        <v>1.0574723981217358</v>
      </c>
      <c r="BB277" s="11">
        <f t="shared" si="341"/>
        <v>5.5881530530740679E-2</v>
      </c>
      <c r="BC277" s="11">
        <v>0.21484833224410843</v>
      </c>
      <c r="BD277" s="11">
        <f t="shared" si="342"/>
        <v>0.85939332897643372</v>
      </c>
      <c r="BE277" s="11">
        <f t="shared" si="343"/>
        <v>-0.15152857009115861</v>
      </c>
      <c r="BF277" s="11">
        <v>0.32853952011491516</v>
      </c>
      <c r="BG277" s="11">
        <f t="shared" si="344"/>
        <v>1.3141580804596606</v>
      </c>
      <c r="BH277" s="11">
        <f t="shared" si="345"/>
        <v>0.27319621759020191</v>
      </c>
      <c r="BI277" s="11">
        <v>0.35647441315660378</v>
      </c>
      <c r="BJ277" s="11">
        <f t="shared" si="346"/>
        <v>1.4258976526264151</v>
      </c>
      <c r="BK277" s="11">
        <f t="shared" si="347"/>
        <v>0.35480154706460315</v>
      </c>
      <c r="BL277" s="11">
        <v>0.41195283177017566</v>
      </c>
      <c r="BM277" s="11">
        <f t="shared" si="348"/>
        <v>1.6478113270807027</v>
      </c>
      <c r="BN277" s="11">
        <f t="shared" si="349"/>
        <v>0.49944793893853895</v>
      </c>
      <c r="BO277" s="107"/>
      <c r="BS277" t="b">
        <f t="shared" si="350"/>
        <v>0</v>
      </c>
      <c r="BU277" t="b">
        <f t="shared" si="351"/>
        <v>1</v>
      </c>
      <c r="BW277" t="b">
        <f t="shared" si="352"/>
        <v>1</v>
      </c>
    </row>
    <row r="278" spans="1:75">
      <c r="A278" s="87" t="s">
        <v>106</v>
      </c>
      <c r="B278" s="5">
        <f>'[58]Dados de entrada'!$B$28</f>
        <v>15.9</v>
      </c>
      <c r="C278" s="5">
        <f>'[58]Dados de entrada'!$B$31</f>
        <v>2</v>
      </c>
      <c r="D278" s="5">
        <f>'[58]Dados de entrada'!$B$32</f>
        <v>46</v>
      </c>
      <c r="E278" s="11">
        <f>'[58]Dados de entrada'!$B$27</f>
        <v>2.8258773978663156</v>
      </c>
      <c r="F278" s="5">
        <f>'[58]Dados de entrada'!$B$30</f>
        <v>30</v>
      </c>
      <c r="G278" s="5">
        <f>'[58]Dados de entrada'!$B$22</f>
        <v>38</v>
      </c>
      <c r="H278" s="78">
        <f>'[58]Dados de entrada'!$B$29/(2*'[58]Dados de entrada'!$B$20*G278)</f>
        <v>3.4842105263157896E-2</v>
      </c>
      <c r="I278" s="53" cm="1">
        <f t="array" ref="I278:I279">'[58]fib Model Code 2010'!$K$5:$K$6</f>
        <v>364.33872266038628</v>
      </c>
      <c r="J278" s="4" cm="1">
        <f t="array" ref="J278:J279">'[58]Dados de entrada'!$C$7:$C$8</f>
        <v>0.2</v>
      </c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11" cm="1">
        <f t="array" ref="AD278:AD279">'[58]fib Model Code 2010'!$L$5:$L$6</f>
        <v>0.25195467905569791</v>
      </c>
      <c r="AE278" s="11">
        <f t="shared" si="328"/>
        <v>1.2597733952784895</v>
      </c>
      <c r="AF278" s="29">
        <f t="shared" si="329"/>
        <v>0.23093185977226049</v>
      </c>
      <c r="AG278" s="11" cm="1">
        <f t="array" ref="AG278:AG279">'[58]fib Model Code 2020'!$L$5:$L$6</f>
        <v>0.26988019523743262</v>
      </c>
      <c r="AH278" s="11">
        <f t="shared" si="330"/>
        <v>1.349400976187163</v>
      </c>
      <c r="AI278" s="11">
        <f t="shared" si="331"/>
        <v>0.29966077263404989</v>
      </c>
      <c r="AJ278" s="11" cm="1">
        <f t="array" ref="AJ278:AJ279">'[58]Eurocode 2'!$L$5:$L$6</f>
        <v>0.25696717920229234</v>
      </c>
      <c r="AK278" s="11">
        <f t="shared" si="332"/>
        <v>1.2848358960114616</v>
      </c>
      <c r="AL278" s="11">
        <f t="shared" si="333"/>
        <v>0.25063100280782424</v>
      </c>
      <c r="AM278" s="11" cm="1">
        <f t="array" ref="AM278:AM279">'[58]NBR 6118'!$Q$5:$Q$6</f>
        <v>0.28407475214082062</v>
      </c>
      <c r="AN278" s="11" cm="1">
        <f t="array" ref="AN278:AN279">'[58]NBR 6118'!$R$5:$R$6</f>
        <v>0.4375207469727258</v>
      </c>
      <c r="AO278" s="11" cm="1">
        <f t="array" ref="AO278:AO279">'[58]NBR 6118'!$W$5:$W$6</f>
        <v>1.4203737607041029</v>
      </c>
      <c r="AP278" s="11">
        <f t="shared" si="312"/>
        <v>0.35092004874248317</v>
      </c>
      <c r="AQ278" s="11" cm="1">
        <f t="array" ref="AQ278:AQ279">'[58]Clark (1956)'!$L$5:$L$6</f>
        <v>0.24546405671135285</v>
      </c>
      <c r="AR278" s="11">
        <f t="shared" si="334"/>
        <v>1.2273202835567643</v>
      </c>
      <c r="AS278" s="11">
        <f t="shared" si="335"/>
        <v>0.2048331614600391</v>
      </c>
      <c r="AT278" s="11" cm="1">
        <f t="array" ref="AT278:AT279">'[58]Leonhardt (1977)'!$L$5:$L$6</f>
        <v>0.38940465548415598</v>
      </c>
      <c r="AU278" s="11">
        <f t="shared" si="336"/>
        <v>1.9470232774207799</v>
      </c>
      <c r="AV278" s="11">
        <f t="shared" si="337"/>
        <v>0.66630168185058347</v>
      </c>
      <c r="AW278" s="11" cm="1">
        <f t="array" ref="AW278:AW279">'[58]Desayi; Ganesan (1985)'!$L$5:$L$6</f>
        <v>0.27447159165439811</v>
      </c>
      <c r="AX278" s="11">
        <f t="shared" si="338"/>
        <v>1.3723579582719905</v>
      </c>
      <c r="AY278" s="11">
        <f t="shared" si="339"/>
        <v>0.3165303978051523</v>
      </c>
      <c r="AZ278" s="11" cm="1">
        <f t="array" ref="AZ278:AZ279">'[58]Oh; Kang (1987)'!$L$5:$L$6</f>
        <v>0.24338578403024358</v>
      </c>
      <c r="BA278" s="11">
        <f t="shared" si="340"/>
        <v>1.2169289201512179</v>
      </c>
      <c r="BB278" s="11">
        <f t="shared" si="341"/>
        <v>0.19633040650777273</v>
      </c>
      <c r="BC278" s="11" cm="1">
        <f t="array" ref="BC278:BC279">'[58]Caldas (1997)'!$L$5:$L$6</f>
        <v>0.19863349926322821</v>
      </c>
      <c r="BD278" s="11">
        <f t="shared" si="342"/>
        <v>0.99316749631614099</v>
      </c>
      <c r="BE278" s="11">
        <f t="shared" si="343"/>
        <v>-6.85595210580977E-3</v>
      </c>
      <c r="BF278" s="11" cm="1">
        <f t="array" ref="BF278:BF279">'[58]Gergely e Lutz (1968)'!$L$5:$L$6</f>
        <v>0.3051227863933838</v>
      </c>
      <c r="BG278" s="11">
        <f t="shared" si="344"/>
        <v>1.5256139319669189</v>
      </c>
      <c r="BH278" s="11">
        <f t="shared" si="345"/>
        <v>0.42239690738542057</v>
      </c>
      <c r="BI278" s="11" cm="1">
        <f t="array" ref="BI278:BI279">[58]Sugestão!$M$5:$M$6</f>
        <v>0.3211145488329995</v>
      </c>
      <c r="BJ278" s="11">
        <f t="shared" si="346"/>
        <v>1.6055727441649974</v>
      </c>
      <c r="BK278" s="11">
        <f t="shared" si="347"/>
        <v>0.473480542873219</v>
      </c>
      <c r="BL278" s="11" cm="1">
        <f t="array" ref="BL278:BL279">'[58]fib Model Code 2020 modificado'!$L$5:$L$6</f>
        <v>0.37263095470463126</v>
      </c>
      <c r="BM278" s="11">
        <f t="shared" si="348"/>
        <v>1.8631547735231562</v>
      </c>
      <c r="BN278" s="11">
        <f t="shared" si="349"/>
        <v>0.62227116574420061</v>
      </c>
      <c r="BO278" s="107"/>
      <c r="BS278" t="b">
        <f t="shared" si="350"/>
        <v>0</v>
      </c>
      <c r="BU278" t="b">
        <f t="shared" si="351"/>
        <v>1</v>
      </c>
      <c r="BW278" t="b">
        <f t="shared" si="352"/>
        <v>1</v>
      </c>
    </row>
    <row r="279" spans="1:75">
      <c r="A279" s="89"/>
      <c r="B279" s="5">
        <f>'[58]Dados de entrada'!$B$28</f>
        <v>15.9</v>
      </c>
      <c r="C279" s="5">
        <f>'[58]Dados de entrada'!$B$31</f>
        <v>2</v>
      </c>
      <c r="D279" s="5">
        <f>'[58]Dados de entrada'!$B$32</f>
        <v>46</v>
      </c>
      <c r="E279" s="11">
        <f>'[58]Dados de entrada'!$B$27</f>
        <v>2.8258773978663156</v>
      </c>
      <c r="F279" s="5">
        <f>'[58]Dados de entrada'!$B$30</f>
        <v>30</v>
      </c>
      <c r="G279" s="5">
        <f>'[58]Dados de entrada'!$B$22</f>
        <v>38</v>
      </c>
      <c r="H279" s="78">
        <f>'[58]Dados de entrada'!$B$29/(2*'[58]Dados de entrada'!$B$20*G279)</f>
        <v>3.4842105263157896E-2</v>
      </c>
      <c r="I279" s="53">
        <v>392.3</v>
      </c>
      <c r="J279" s="4">
        <v>0.3</v>
      </c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11">
        <v>0.27432948922960282</v>
      </c>
      <c r="AE279" s="11">
        <f t="shared" si="328"/>
        <v>0.91443163076534273</v>
      </c>
      <c r="AF279" s="29">
        <f t="shared" si="329"/>
        <v>-8.9452575274204152E-2</v>
      </c>
      <c r="AG279" s="11">
        <v>0.29702172941567545</v>
      </c>
      <c r="AH279" s="11">
        <f t="shared" si="330"/>
        <v>0.99007243138558487</v>
      </c>
      <c r="AI279" s="11">
        <f t="shared" si="331"/>
        <v>-9.9771755140420464E-3</v>
      </c>
      <c r="AJ279" s="11">
        <v>0.27978712395237204</v>
      </c>
      <c r="AK279" s="11">
        <f t="shared" si="332"/>
        <v>0.9326237465079068</v>
      </c>
      <c r="AL279" s="11">
        <f t="shared" si="333"/>
        <v>-6.9753432238640445E-2</v>
      </c>
      <c r="AM279" s="11">
        <v>0.29185886340253192</v>
      </c>
      <c r="AN279" s="11">
        <v>0.46182682241819578</v>
      </c>
      <c r="AO279" s="11">
        <v>0.97286287800843974</v>
      </c>
      <c r="AP279" s="11">
        <f t="shared" si="312"/>
        <v>-2.7512133748408482E-2</v>
      </c>
      <c r="AQ279" s="11">
        <v>0.26626281210622382</v>
      </c>
      <c r="AR279" s="11">
        <f t="shared" si="334"/>
        <v>0.88754270702074611</v>
      </c>
      <c r="AS279" s="11">
        <f t="shared" si="335"/>
        <v>-0.1192986382035683</v>
      </c>
      <c r="AT279" s="11">
        <v>0.42262897836105034</v>
      </c>
      <c r="AU279" s="11">
        <f t="shared" si="336"/>
        <v>1.4087632612035013</v>
      </c>
      <c r="AV279" s="11">
        <f t="shared" si="337"/>
        <v>0.34271219978166961</v>
      </c>
      <c r="AW279" s="11">
        <v>0.29553599084879173</v>
      </c>
      <c r="AX279" s="11">
        <f t="shared" si="338"/>
        <v>0.98511996949597247</v>
      </c>
      <c r="AY279" s="11">
        <f t="shared" si="339"/>
        <v>-1.4991848784021039E-2</v>
      </c>
      <c r="AZ279" s="11">
        <v>0.26436809953043394</v>
      </c>
      <c r="BA279" s="11">
        <f t="shared" si="340"/>
        <v>0.88122699843477981</v>
      </c>
      <c r="BB279" s="11">
        <f t="shared" si="341"/>
        <v>-0.12644002626321396</v>
      </c>
      <c r="BC279" s="11">
        <v>0.21484833224410843</v>
      </c>
      <c r="BD279" s="11">
        <f t="shared" si="342"/>
        <v>0.71616110748036144</v>
      </c>
      <c r="BE279" s="11">
        <f t="shared" si="343"/>
        <v>-0.33385012688511323</v>
      </c>
      <c r="BF279" s="11">
        <v>0.32853952011491516</v>
      </c>
      <c r="BG279" s="11">
        <f t="shared" si="344"/>
        <v>1.0951317337163839</v>
      </c>
      <c r="BH279" s="11">
        <f t="shared" si="345"/>
        <v>9.0874660796247342E-2</v>
      </c>
      <c r="BI279" s="11">
        <v>0.35647441315660378</v>
      </c>
      <c r="BJ279" s="11">
        <f t="shared" si="346"/>
        <v>1.188248043855346</v>
      </c>
      <c r="BK279" s="11">
        <f t="shared" si="347"/>
        <v>0.17247999027064859</v>
      </c>
      <c r="BL279" s="11">
        <v>0.41195283177017566</v>
      </c>
      <c r="BM279" s="11">
        <f t="shared" si="348"/>
        <v>1.3731761059005856</v>
      </c>
      <c r="BN279" s="11">
        <f t="shared" si="349"/>
        <v>0.31712638214458438</v>
      </c>
      <c r="BO279" s="107"/>
      <c r="BS279" t="b">
        <f t="shared" si="350"/>
        <v>0</v>
      </c>
      <c r="BU279" t="b">
        <f t="shared" si="351"/>
        <v>1</v>
      </c>
      <c r="BW279" t="b">
        <f t="shared" si="352"/>
        <v>1</v>
      </c>
    </row>
    <row r="280" spans="1:75">
      <c r="A280" s="87" t="s">
        <v>109</v>
      </c>
      <c r="B280" s="5">
        <f>'[59]Dados de entrada'!$B$28</f>
        <v>12.7</v>
      </c>
      <c r="C280" s="5">
        <f>'[59]Dados de entrada'!$B$31</f>
        <v>2</v>
      </c>
      <c r="D280" s="5">
        <f>'[59]Dados de entrada'!$B$32</f>
        <v>52</v>
      </c>
      <c r="E280" s="11">
        <f>'[59]Dados de entrada'!$B$27</f>
        <v>2.9208758709847928</v>
      </c>
      <c r="F280" s="5">
        <f>'[59]Dados de entrada'!$B$30</f>
        <v>30</v>
      </c>
      <c r="G280" s="5">
        <f>'[59]Dados de entrada'!$B$22</f>
        <v>36.5</v>
      </c>
      <c r="H280" s="78">
        <f>'[59]Dados de entrada'!$B$29/(2*'[59]Dados de entrada'!$B$20*G280)</f>
        <v>2.3141552511415527E-2</v>
      </c>
      <c r="I280" s="53" cm="1">
        <f t="array" ref="I280:I281">'[59]fib Model Code 2010'!$K$5:$K$6</f>
        <v>317.10269794078823</v>
      </c>
      <c r="J280" s="4" cm="1">
        <f t="array" ref="J280:J281">'[59]Dados de entrada'!$C$7:$C$8</f>
        <v>0.15</v>
      </c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11" cm="1">
        <f t="array" ref="AD280:AD281">'[59]fib Model Code 2010'!$L$5:$L$6</f>
        <v>0.23181080280759936</v>
      </c>
      <c r="AE280" s="11">
        <f t="shared" si="328"/>
        <v>1.5454053520506625</v>
      </c>
      <c r="AF280" s="29">
        <f t="shared" si="329"/>
        <v>0.43528623972518576</v>
      </c>
      <c r="AG280" s="11" cm="1">
        <f t="array" ref="AG280:AG281">'[59]fib Model Code 2020'!$L$5:$L$6</f>
        <v>0.21302068526037121</v>
      </c>
      <c r="AH280" s="11">
        <f t="shared" si="330"/>
        <v>1.4201379017358082</v>
      </c>
      <c r="AI280" s="11">
        <f t="shared" si="331"/>
        <v>0.35075398079637649</v>
      </c>
      <c r="AJ280" s="11" cm="1">
        <f t="array" ref="AJ280:AJ281">'[59]Eurocode 2'!$L$5:$L$6</f>
        <v>0.22003405864266853</v>
      </c>
      <c r="AK280" s="11">
        <f t="shared" si="332"/>
        <v>1.4668937242844569</v>
      </c>
      <c r="AL280" s="11">
        <f t="shared" si="333"/>
        <v>0.38314705228609253</v>
      </c>
      <c r="AM280" s="11" cm="1">
        <f t="array" ref="AM280:AM281">'[59]NBR 6118'!$Q$5:$Q$6</f>
        <v>0.24661873508292353</v>
      </c>
      <c r="AN280" s="11" cm="1">
        <f t="array" ref="AN280:AN281">'[59]NBR 6118'!$R$5:$R$6</f>
        <v>0.2533316241930651</v>
      </c>
      <c r="AO280" s="11" cm="1">
        <f t="array" ref="AO280:AO281">'[59]NBR 6118'!$W$5:$W$6</f>
        <v>1.6441249005528236</v>
      </c>
      <c r="AP280" s="11">
        <f t="shared" si="312"/>
        <v>0.49720826732041962</v>
      </c>
      <c r="AQ280" s="11" cm="1">
        <f t="array" ref="AQ280:AQ281">'[59]Clark (1956)'!$L$5:$L$6</f>
        <v>0.23677888448534648</v>
      </c>
      <c r="AR280" s="11">
        <f t="shared" si="334"/>
        <v>1.5785258965689766</v>
      </c>
      <c r="AS280" s="11">
        <f t="shared" si="335"/>
        <v>0.45649143468999975</v>
      </c>
      <c r="AT280" s="11" cm="1">
        <f t="array" ref="AT280:AT281">'[59]Leonhardt (1977)'!$L$5:$L$6</f>
        <v>0.32848004590109303</v>
      </c>
      <c r="AU280" s="11">
        <f t="shared" si="336"/>
        <v>2.1898669726739537</v>
      </c>
      <c r="AV280" s="11">
        <f t="shared" si="337"/>
        <v>0.78384079891222036</v>
      </c>
      <c r="AW280" s="11" cm="1">
        <f t="array" ref="AW280:AW281">'[59]Desayi; Ganesan (1985)'!$L$5:$L$6</f>
        <v>0.25140813378365084</v>
      </c>
      <c r="AX280" s="11">
        <f t="shared" si="338"/>
        <v>1.6760542252243391</v>
      </c>
      <c r="AY280" s="11">
        <f t="shared" si="339"/>
        <v>0.5164423554889831</v>
      </c>
      <c r="AZ280" s="11" cm="1">
        <f t="array" ref="AZ280:AZ281">'[59]Oh; Kang (1987)'!$L$5:$L$6</f>
        <v>0.18866261416535396</v>
      </c>
      <c r="BA280" s="11">
        <f t="shared" si="340"/>
        <v>1.2577507611023597</v>
      </c>
      <c r="BB280" s="11">
        <f t="shared" si="341"/>
        <v>0.22932501551918905</v>
      </c>
      <c r="BC280" s="11" cm="1">
        <f t="array" ref="BC280:BC281">'[59]Caldas (1997)'!$L$5:$L$6</f>
        <v>0.16697779297207394</v>
      </c>
      <c r="BD280" s="11">
        <f t="shared" si="342"/>
        <v>1.113185286480493</v>
      </c>
      <c r="BE280" s="11">
        <f t="shared" si="343"/>
        <v>0.10722553326325253</v>
      </c>
      <c r="BF280" s="11" cm="1">
        <f t="array" ref="BF280:BF281">'[59]Gergely e Lutz (1968)'!$L$5:$L$6</f>
        <v>0.25182342460354623</v>
      </c>
      <c r="BG280" s="11">
        <f t="shared" si="344"/>
        <v>1.6788228306903084</v>
      </c>
      <c r="BH280" s="11">
        <f t="shared" si="345"/>
        <v>0.5180928517953044</v>
      </c>
      <c r="BI280" s="11" cm="1">
        <f t="array" ref="BI280:BI281">[59]Sugestão!$M$5:$M$6</f>
        <v>0.26705922088184081</v>
      </c>
      <c r="BJ280" s="11">
        <f t="shared" si="346"/>
        <v>1.7803948058789387</v>
      </c>
      <c r="BK280" s="11">
        <f t="shared" si="347"/>
        <v>0.5768351407653598</v>
      </c>
      <c r="BL280" s="11" cm="1">
        <f t="array" ref="BL280:BL281">'[59]fib Model Code 2020 modificado'!$L$5:$L$6</f>
        <v>0.2689691013170048</v>
      </c>
      <c r="BM280" s="11">
        <f t="shared" si="348"/>
        <v>1.7931273421133653</v>
      </c>
      <c r="BN280" s="11">
        <f t="shared" si="349"/>
        <v>0.58396121391554767</v>
      </c>
      <c r="BS280" t="b">
        <f t="shared" si="350"/>
        <v>1</v>
      </c>
      <c r="BU280" t="b">
        <f t="shared" si="351"/>
        <v>0</v>
      </c>
      <c r="BW280" t="b">
        <f t="shared" si="352"/>
        <v>1</v>
      </c>
    </row>
    <row r="281" spans="1:75">
      <c r="A281" s="89"/>
      <c r="B281" s="5">
        <f>'[59]Dados de entrada'!$B$28</f>
        <v>12.7</v>
      </c>
      <c r="C281" s="5">
        <f>'[59]Dados de entrada'!$B$31</f>
        <v>2</v>
      </c>
      <c r="D281" s="5">
        <f>'[59]Dados de entrada'!$B$32</f>
        <v>52</v>
      </c>
      <c r="E281" s="11">
        <f>'[59]Dados de entrada'!$B$27</f>
        <v>2.9208758709847928</v>
      </c>
      <c r="F281" s="5">
        <f>'[59]Dados de entrada'!$B$30</f>
        <v>30</v>
      </c>
      <c r="G281" s="5">
        <f>'[59]Dados de entrada'!$B$22</f>
        <v>36.5</v>
      </c>
      <c r="H281" s="78">
        <f>'[59]Dados de entrada'!$B$29/(2*'[59]Dados de entrada'!$B$20*G281)</f>
        <v>2.3141552511415527E-2</v>
      </c>
      <c r="I281" s="53">
        <v>392.3</v>
      </c>
      <c r="J281" s="4">
        <v>0.2</v>
      </c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11">
        <v>0.30460035377229411</v>
      </c>
      <c r="AE281" s="11">
        <f t="shared" si="328"/>
        <v>1.5230017688614705</v>
      </c>
      <c r="AF281" s="29">
        <f t="shared" si="329"/>
        <v>0.42068323534470126</v>
      </c>
      <c r="AG281" s="11">
        <v>0.2922790774211681</v>
      </c>
      <c r="AH281" s="11">
        <f t="shared" si="330"/>
        <v>1.4613953871058405</v>
      </c>
      <c r="AI281" s="11">
        <f t="shared" si="331"/>
        <v>0.37939172388022208</v>
      </c>
      <c r="AJ281" s="11">
        <v>0.28912566322518846</v>
      </c>
      <c r="AK281" s="11">
        <f t="shared" si="332"/>
        <v>1.4456283161259422</v>
      </c>
      <c r="AL281" s="11">
        <f t="shared" si="333"/>
        <v>0.36854404790560813</v>
      </c>
      <c r="AM281" s="11">
        <v>0.29271457269954582</v>
      </c>
      <c r="AN281" s="11">
        <v>0.35688308472413011</v>
      </c>
      <c r="AO281" s="11">
        <v>1.463572863497729</v>
      </c>
      <c r="AP281" s="11">
        <f t="shared" si="312"/>
        <v>0.38088061306299525</v>
      </c>
      <c r="AQ281" s="11">
        <v>0.30404573484725961</v>
      </c>
      <c r="AR281" s="11">
        <f t="shared" si="334"/>
        <v>1.520228674236298</v>
      </c>
      <c r="AS281" s="11">
        <f t="shared" si="335"/>
        <v>0.4188607671191969</v>
      </c>
      <c r="AT281" s="11">
        <v>0.42697819075524601</v>
      </c>
      <c r="AU281" s="11">
        <f t="shared" si="336"/>
        <v>2.1348909537762299</v>
      </c>
      <c r="AV281" s="11">
        <f t="shared" si="337"/>
        <v>0.75841556986154302</v>
      </c>
      <c r="AW281" s="11">
        <v>0.31102671634078205</v>
      </c>
      <c r="AX281" s="11">
        <f t="shared" si="338"/>
        <v>1.5551335817039103</v>
      </c>
      <c r="AY281" s="11">
        <f t="shared" si="339"/>
        <v>0.44156144657434548</v>
      </c>
      <c r="AZ281" s="11">
        <v>0.23985994890838896</v>
      </c>
      <c r="BA281" s="11">
        <f t="shared" si="340"/>
        <v>1.1992997445419447</v>
      </c>
      <c r="BB281" s="11">
        <f t="shared" si="341"/>
        <v>0.18173784024954937</v>
      </c>
      <c r="BC281" s="11">
        <v>0.20988664557260006</v>
      </c>
      <c r="BD281" s="11">
        <f t="shared" si="342"/>
        <v>1.0494332278630003</v>
      </c>
      <c r="BE281" s="11">
        <f t="shared" si="343"/>
        <v>4.8250235446530405E-2</v>
      </c>
      <c r="BF281" s="11">
        <v>0.31154048866029532</v>
      </c>
      <c r="BG281" s="11">
        <f t="shared" si="344"/>
        <v>1.5577024433014766</v>
      </c>
      <c r="BH281" s="11">
        <f t="shared" si="345"/>
        <v>0.44321194288066668</v>
      </c>
      <c r="BI281" s="11">
        <v>0.37829420906230976</v>
      </c>
      <c r="BJ281" s="11">
        <f t="shared" si="346"/>
        <v>1.8914710453115486</v>
      </c>
      <c r="BK281" s="11">
        <f t="shared" si="347"/>
        <v>0.63735485718184315</v>
      </c>
      <c r="BL281" s="11">
        <v>0.36835857345606948</v>
      </c>
      <c r="BM281" s="11">
        <f t="shared" si="348"/>
        <v>1.8417928672803474</v>
      </c>
      <c r="BN281" s="11">
        <f t="shared" si="349"/>
        <v>0.61073948160805935</v>
      </c>
      <c r="BS281" t="b">
        <f t="shared" si="350"/>
        <v>1</v>
      </c>
      <c r="BU281" t="b">
        <f t="shared" si="351"/>
        <v>0</v>
      </c>
      <c r="BW281" t="b">
        <f t="shared" si="352"/>
        <v>1</v>
      </c>
    </row>
    <row r="282" spans="1:75">
      <c r="A282" s="87" t="s">
        <v>110</v>
      </c>
      <c r="B282" s="5">
        <f>'[60]Dados de entrada'!$B$28</f>
        <v>12.7</v>
      </c>
      <c r="C282" s="5">
        <f>'[60]Dados de entrada'!$B$31</f>
        <v>2</v>
      </c>
      <c r="D282" s="5">
        <f>'[60]Dados de entrada'!$B$32</f>
        <v>52</v>
      </c>
      <c r="E282" s="11">
        <f>'[60]Dados de entrada'!$B$27</f>
        <v>2.9208758709847928</v>
      </c>
      <c r="F282" s="5">
        <f>'[60]Dados de entrada'!$B$30</f>
        <v>30</v>
      </c>
      <c r="G282" s="5">
        <f>'[60]Dados de entrada'!$B$22</f>
        <v>36.5</v>
      </c>
      <c r="H282" s="78">
        <f>'[60]Dados de entrada'!$B$29/(2*'[60]Dados de entrada'!$B$20*G282)</f>
        <v>2.3141552511415527E-2</v>
      </c>
      <c r="I282" s="53" cm="1">
        <f t="array" ref="I282:I283">'[60]fib Model Code 2010'!$K$5:$K$6</f>
        <v>319.13540754297276</v>
      </c>
      <c r="J282" s="4" cm="1">
        <f t="array" ref="J282:J283">'[60]Dados de entrada'!$C$7:$C$8</f>
        <v>0.15</v>
      </c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11" cm="1">
        <f t="array" ref="AD282:AD283">'[60]fib Model Code 2010'!$L$5:$L$6</f>
        <v>0.23377842684639971</v>
      </c>
      <c r="AE282" s="11">
        <f t="shared" si="328"/>
        <v>1.5585228456426647</v>
      </c>
      <c r="AF282" s="29">
        <f t="shared" si="329"/>
        <v>0.44373847885549034</v>
      </c>
      <c r="AG282" s="11" cm="1">
        <f t="array" ref="AG282:AG283">'[60]fib Model Code 2020'!$L$5:$L$6</f>
        <v>0.21516317296122117</v>
      </c>
      <c r="AH282" s="11">
        <f t="shared" si="330"/>
        <v>1.4344211530748079</v>
      </c>
      <c r="AI282" s="11">
        <f t="shared" si="331"/>
        <v>0.36076139018471842</v>
      </c>
      <c r="AJ282" s="11" cm="1">
        <f t="array" ref="AJ282:AJ283">'[60]Eurocode 2'!$L$5:$L$6</f>
        <v>0.22190172096856739</v>
      </c>
      <c r="AK282" s="11">
        <f t="shared" si="332"/>
        <v>1.479344806457116</v>
      </c>
      <c r="AL282" s="11">
        <f t="shared" si="333"/>
        <v>0.39159929141639727</v>
      </c>
      <c r="AM282" s="11" cm="1">
        <f t="array" ref="AM282:AM283">'[60]NBR 6118'!$Q$5:$Q$6</f>
        <v>0.24819962441037818</v>
      </c>
      <c r="AN282" s="11" cm="1">
        <f t="array" ref="AN282:AN283">'[60]NBR 6118'!$R$5:$R$6</f>
        <v>0.25658987527674482</v>
      </c>
      <c r="AO282" s="11" cm="1">
        <f t="array" ref="AO282:AO283">'[60]NBR 6118'!$W$5:$W$6</f>
        <v>1.6546641627358547</v>
      </c>
      <c r="AP282" s="11">
        <f t="shared" si="312"/>
        <v>0.50359806541919072</v>
      </c>
      <c r="AQ282" s="11" cm="1">
        <f t="array" ref="AQ282:AQ283">'[60]Clark (1956)'!$L$5:$L$6</f>
        <v>0.23859722063431765</v>
      </c>
      <c r="AR282" s="11">
        <f t="shared" si="334"/>
        <v>1.5906481375621178</v>
      </c>
      <c r="AS282" s="11">
        <f t="shared" si="335"/>
        <v>0.46414156685896663</v>
      </c>
      <c r="AT282" s="11" cm="1">
        <f t="array" ref="AT282:AT283">'[60]Leonhardt (1977)'!$L$5:$L$6</f>
        <v>0.33119968980678799</v>
      </c>
      <c r="AU282" s="11">
        <f t="shared" si="336"/>
        <v>2.2079979320452532</v>
      </c>
      <c r="AV282" s="11">
        <f t="shared" si="337"/>
        <v>0.7920861918407025</v>
      </c>
      <c r="AW282" s="11" cm="1">
        <f t="array" ref="AW282:AW283">'[60]Desayi; Ganesan (1985)'!$L$5:$L$6</f>
        <v>0.25301972438482806</v>
      </c>
      <c r="AX282" s="11">
        <f t="shared" si="338"/>
        <v>1.6867981625655204</v>
      </c>
      <c r="AY282" s="11">
        <f t="shared" si="339"/>
        <v>0.52283215358775392</v>
      </c>
      <c r="AZ282" s="11" cm="1">
        <f t="array" ref="AZ282:AZ283">'[60]Oh; Kang (1987)'!$L$5:$L$6</f>
        <v>0.19004656426846372</v>
      </c>
      <c r="BA282" s="11">
        <f t="shared" si="340"/>
        <v>1.2669770951230916</v>
      </c>
      <c r="BB282" s="11">
        <f t="shared" si="341"/>
        <v>0.23663382313541204</v>
      </c>
      <c r="BC282" s="11" cm="1">
        <f t="array" ref="BC282:BC283">'[60]Caldas (1997)'!$L$5:$L$6</f>
        <v>0.16813769145661173</v>
      </c>
      <c r="BD282" s="11">
        <f t="shared" si="342"/>
        <v>1.1209179430440783</v>
      </c>
      <c r="BE282" s="11">
        <f t="shared" si="343"/>
        <v>0.11414794162852072</v>
      </c>
      <c r="BF282" s="11" cm="1">
        <f t="array" ref="BF282:BF283">'[60]Gergely e Lutz (1968)'!$L$5:$L$6</f>
        <v>0.25343767732536382</v>
      </c>
      <c r="BG282" s="11">
        <f t="shared" si="344"/>
        <v>1.6895845155024256</v>
      </c>
      <c r="BH282" s="11">
        <f t="shared" si="345"/>
        <v>0.52448264989407534</v>
      </c>
      <c r="BI282" s="11" cm="1">
        <f t="array" ref="BI282:BI283">[60]Sugestão!$M$5:$M$6</f>
        <v>0.27006608977715413</v>
      </c>
      <c r="BJ282" s="11">
        <f t="shared" si="346"/>
        <v>1.800440598514361</v>
      </c>
      <c r="BK282" s="11">
        <f t="shared" si="347"/>
        <v>0.58803141190155128</v>
      </c>
      <c r="BL282" s="11" cm="1">
        <f t="array" ref="BL282:BL283">'[60]fib Model Code 2020 modificado'!$L$5:$L$6</f>
        <v>0.27162116372332756</v>
      </c>
      <c r="BM282" s="11">
        <f t="shared" si="348"/>
        <v>1.8108077581555171</v>
      </c>
      <c r="BN282" s="11">
        <f t="shared" si="349"/>
        <v>0.59377302095060625</v>
      </c>
      <c r="BS282" t="b">
        <f t="shared" si="350"/>
        <v>1</v>
      </c>
      <c r="BU282" t="b">
        <f t="shared" si="351"/>
        <v>0</v>
      </c>
      <c r="BW282" t="b">
        <f t="shared" si="352"/>
        <v>1</v>
      </c>
    </row>
    <row r="283" spans="1:75">
      <c r="A283" s="89"/>
      <c r="B283" s="5">
        <f>'[60]Dados de entrada'!$B$28</f>
        <v>12.7</v>
      </c>
      <c r="C283" s="5">
        <f>'[60]Dados de entrada'!$B$31</f>
        <v>2</v>
      </c>
      <c r="D283" s="5">
        <f>'[60]Dados de entrada'!$B$32</f>
        <v>52</v>
      </c>
      <c r="E283" s="11">
        <f>'[60]Dados de entrada'!$B$27</f>
        <v>2.9208758709847928</v>
      </c>
      <c r="F283" s="5">
        <f>'[60]Dados de entrada'!$B$30</f>
        <v>30</v>
      </c>
      <c r="G283" s="5">
        <f>'[60]Dados de entrada'!$B$22</f>
        <v>36.5</v>
      </c>
      <c r="H283" s="78">
        <f>'[60]Dados de entrada'!$B$29/(2*'[60]Dados de entrada'!$B$20*G283)</f>
        <v>2.3141552511415527E-2</v>
      </c>
      <c r="I283" s="53">
        <v>392.3</v>
      </c>
      <c r="J283" s="4">
        <v>0.2</v>
      </c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11">
        <v>0.30460035377229411</v>
      </c>
      <c r="AE283" s="11">
        <f t="shared" si="328"/>
        <v>1.5230017688614705</v>
      </c>
      <c r="AF283" s="29">
        <f t="shared" si="329"/>
        <v>0.42068323534470126</v>
      </c>
      <c r="AG283" s="11">
        <v>0.2922790774211681</v>
      </c>
      <c r="AH283" s="11">
        <f t="shared" si="330"/>
        <v>1.4613953871058405</v>
      </c>
      <c r="AI283" s="11">
        <f t="shared" si="331"/>
        <v>0.37939172388022208</v>
      </c>
      <c r="AJ283" s="11">
        <v>0.28912566322518846</v>
      </c>
      <c r="AK283" s="11">
        <f t="shared" si="332"/>
        <v>1.4456283161259422</v>
      </c>
      <c r="AL283" s="11">
        <f t="shared" si="333"/>
        <v>0.36854404790560813</v>
      </c>
      <c r="AM283" s="11">
        <v>0.29271457269954582</v>
      </c>
      <c r="AN283" s="11">
        <v>0.35688308472413011</v>
      </c>
      <c r="AO283" s="11">
        <v>1.463572863497729</v>
      </c>
      <c r="AP283" s="11">
        <f t="shared" si="312"/>
        <v>0.38088061306299525</v>
      </c>
      <c r="AQ283" s="11">
        <v>0.30404573484725961</v>
      </c>
      <c r="AR283" s="11">
        <f t="shared" si="334"/>
        <v>1.520228674236298</v>
      </c>
      <c r="AS283" s="11">
        <f t="shared" si="335"/>
        <v>0.4188607671191969</v>
      </c>
      <c r="AT283" s="11">
        <v>0.42697819075524601</v>
      </c>
      <c r="AU283" s="11">
        <f t="shared" si="336"/>
        <v>2.1348909537762299</v>
      </c>
      <c r="AV283" s="11">
        <f t="shared" si="337"/>
        <v>0.75841556986154302</v>
      </c>
      <c r="AW283" s="11">
        <v>0.31102671634078205</v>
      </c>
      <c r="AX283" s="11">
        <f t="shared" si="338"/>
        <v>1.5551335817039103</v>
      </c>
      <c r="AY283" s="11">
        <f t="shared" si="339"/>
        <v>0.44156144657434548</v>
      </c>
      <c r="AZ283" s="11">
        <v>0.23985994890838896</v>
      </c>
      <c r="BA283" s="11">
        <f t="shared" si="340"/>
        <v>1.1992997445419447</v>
      </c>
      <c r="BB283" s="11">
        <f t="shared" si="341"/>
        <v>0.18173784024954937</v>
      </c>
      <c r="BC283" s="11">
        <v>0.20988664557260006</v>
      </c>
      <c r="BD283" s="11">
        <f t="shared" si="342"/>
        <v>1.0494332278630003</v>
      </c>
      <c r="BE283" s="11">
        <f t="shared" si="343"/>
        <v>4.8250235446530405E-2</v>
      </c>
      <c r="BF283" s="11">
        <v>0.31154048866029532</v>
      </c>
      <c r="BG283" s="11">
        <f t="shared" si="344"/>
        <v>1.5577024433014766</v>
      </c>
      <c r="BH283" s="11">
        <f t="shared" si="345"/>
        <v>0.44321194288066668</v>
      </c>
      <c r="BI283" s="11">
        <v>0.37829420906230976</v>
      </c>
      <c r="BJ283" s="11">
        <f t="shared" si="346"/>
        <v>1.8914710453115486</v>
      </c>
      <c r="BK283" s="11">
        <f t="shared" si="347"/>
        <v>0.63735485718184315</v>
      </c>
      <c r="BL283" s="11">
        <v>0.36835857345606948</v>
      </c>
      <c r="BM283" s="11">
        <f t="shared" si="348"/>
        <v>1.8417928672803474</v>
      </c>
      <c r="BN283" s="11">
        <f t="shared" si="349"/>
        <v>0.61073948160805935</v>
      </c>
      <c r="BS283" t="b">
        <f t="shared" si="350"/>
        <v>1</v>
      </c>
      <c r="BU283" t="b">
        <f t="shared" si="351"/>
        <v>0</v>
      </c>
      <c r="BW283" t="b">
        <f t="shared" si="352"/>
        <v>1</v>
      </c>
    </row>
    <row r="284" spans="1:75" ht="13.2" customHeight="1">
      <c r="A284" s="87" t="s">
        <v>111</v>
      </c>
      <c r="B284" s="5">
        <f>'[61]Dados de entrada'!$B$28</f>
        <v>15.9</v>
      </c>
      <c r="C284" s="5">
        <f>'[61]Dados de entrada'!$B$31</f>
        <v>2</v>
      </c>
      <c r="D284" s="5">
        <f>'[61]Dados de entrada'!$B$32</f>
        <v>46</v>
      </c>
      <c r="E284" s="11">
        <f>'[61]Dados de entrada'!$B$27</f>
        <v>2.9208758709847928</v>
      </c>
      <c r="F284" s="5">
        <f>'[61]Dados de entrada'!$B$30</f>
        <v>30</v>
      </c>
      <c r="G284" s="5">
        <f>'[61]Dados de entrada'!$B$22</f>
        <v>38</v>
      </c>
      <c r="H284" s="78">
        <f>'[61]Dados de entrada'!$B$29/(2*'[61]Dados de entrada'!$B$20*G284)</f>
        <v>3.4842105263157896E-2</v>
      </c>
      <c r="I284" s="53" cm="1">
        <f t="array" ref="I284:I286">'[61]fib Model Code 2010'!$K$5:$K$7</f>
        <v>260.02902224680844</v>
      </c>
      <c r="J284" s="4" cm="1">
        <f t="array" ref="J284:J286">'[61]Dados de entrada'!$C$7:$C$9</f>
        <v>0.15</v>
      </c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11" cm="1">
        <f t="array" ref="AD284:AD286">'[61]fib Model Code 2010'!$L$5:$L$7</f>
        <v>0.1674919062651099</v>
      </c>
      <c r="AE284" s="11">
        <f t="shared" si="328"/>
        <v>1.116612708434066</v>
      </c>
      <c r="AF284" s="29">
        <f t="shared" si="329"/>
        <v>0.11029973519606363</v>
      </c>
      <c r="AG284" s="11" cm="1">
        <f t="array" ref="AG284:AG286">'[61]fib Model Code 2020'!$L$5:$L$7</f>
        <v>0.16593842049260554</v>
      </c>
      <c r="AH284" s="11">
        <f t="shared" si="330"/>
        <v>1.1062561366173704</v>
      </c>
      <c r="AI284" s="11">
        <f t="shared" si="331"/>
        <v>0.10098146454935807</v>
      </c>
      <c r="AJ284" s="11" cm="1">
        <f t="array" ref="AJ284:AJ286">'[61]Eurocode 2'!$L$5:$L$7</f>
        <v>0.17071425757771175</v>
      </c>
      <c r="AK284" s="11">
        <f t="shared" si="332"/>
        <v>1.1380950505180785</v>
      </c>
      <c r="AL284" s="11">
        <f t="shared" si="333"/>
        <v>0.12935585639727726</v>
      </c>
      <c r="AM284" s="11" cm="1">
        <f t="array" ref="AM284:AM286">'[61]NBR 6118'!$Q$5:$Q$7</f>
        <v>0.20291053724344324</v>
      </c>
      <c r="AN284" s="11" cm="1">
        <f t="array" ref="AN284:AN286">'[61]NBR 6118'!$R$5:$R$7</f>
        <v>0.2159647123648005</v>
      </c>
      <c r="AO284" s="11" cm="1">
        <f t="array" ref="AO284:AO286">'[61]NBR 6118'!$W$5:$W$7</f>
        <v>1.3527369149562882</v>
      </c>
      <c r="AP284" s="11">
        <f t="shared" si="312"/>
        <v>0.30212988457305101</v>
      </c>
      <c r="AQ284" s="11" cm="1">
        <f t="array" ref="AQ284:AQ286">'[61]Clark (1956)'!$L$5:$L$7</f>
        <v>0.1678741841935957</v>
      </c>
      <c r="AR284" s="11">
        <f t="shared" si="334"/>
        <v>1.1191612279573047</v>
      </c>
      <c r="AS284" s="11">
        <f t="shared" si="335"/>
        <v>0.11257950112905769</v>
      </c>
      <c r="AT284" s="11" cm="1">
        <f t="array" ref="AT284:AT286">'[61]Leonhardt (1977)'!$L$5:$L$7</f>
        <v>0.26351316056177404</v>
      </c>
      <c r="AU284" s="11">
        <f t="shared" si="336"/>
        <v>1.7567544037451603</v>
      </c>
      <c r="AV284" s="11">
        <f t="shared" si="337"/>
        <v>0.56346801784391465</v>
      </c>
      <c r="AW284" s="11" cm="1">
        <f t="array" ref="AW284:AW286">'[61]Desayi; Ganesan (1985)'!$L$5:$L$7</f>
        <v>0.20014638609567872</v>
      </c>
      <c r="AX284" s="11">
        <f t="shared" si="338"/>
        <v>1.3343092406378583</v>
      </c>
      <c r="AY284" s="11">
        <f t="shared" si="339"/>
        <v>0.28841373519969415</v>
      </c>
      <c r="AZ284" s="11" cm="1">
        <f t="array" ref="AZ284:AZ286">'[61]Oh; Kang (1987)'!$L$5:$L$7</f>
        <v>0.16506313820449167</v>
      </c>
      <c r="BA284" s="11">
        <f t="shared" si="340"/>
        <v>1.1004209213632778</v>
      </c>
      <c r="BB284" s="11">
        <f t="shared" si="341"/>
        <v>9.5692762395069575E-2</v>
      </c>
      <c r="BC284" s="11" cm="1">
        <f t="array" ref="BC284:BC286">'[61]Caldas (1997)'!$L$5:$L$7</f>
        <v>0.1381439747701679</v>
      </c>
      <c r="BD284" s="11">
        <f t="shared" si="342"/>
        <v>0.9209598318011194</v>
      </c>
      <c r="BE284" s="11">
        <f t="shared" si="343"/>
        <v>-8.2338857357500725E-2</v>
      </c>
      <c r="BF284" s="11" cm="1">
        <f t="array" ref="BF284:BF286">'[61]Gergely e Lutz (1968)'!$L$5:$L$7</f>
        <v>0.21761687204786706</v>
      </c>
      <c r="BG284" s="11">
        <f t="shared" si="344"/>
        <v>1.4507791469857805</v>
      </c>
      <c r="BH284" s="11">
        <f t="shared" si="345"/>
        <v>0.37210075486437844</v>
      </c>
      <c r="BI284" s="11" cm="1">
        <f t="array" ref="BI284:BI286">[61]Sugestão!$M$5:$M$7</f>
        <v>0.18715407179110796</v>
      </c>
      <c r="BJ284" s="11">
        <f t="shared" si="346"/>
        <v>1.2476938119407197</v>
      </c>
      <c r="BK284" s="11">
        <f t="shared" si="347"/>
        <v>0.22129689684950127</v>
      </c>
      <c r="BL284" s="11" cm="1">
        <f t="array" ref="BL284:BL286">'[61]fib Model Code 2020 modificado'!$L$5:$L$7</f>
        <v>0.22731064085675326</v>
      </c>
      <c r="BM284" s="11">
        <f t="shared" si="348"/>
        <v>1.5154042723783552</v>
      </c>
      <c r="BN284" s="11">
        <f t="shared" si="349"/>
        <v>0.41568224981850971</v>
      </c>
      <c r="BS284" t="b">
        <f t="shared" si="350"/>
        <v>0</v>
      </c>
      <c r="BU284" t="b">
        <f t="shared" si="351"/>
        <v>1</v>
      </c>
      <c r="BW284" t="b">
        <f t="shared" si="352"/>
        <v>1</v>
      </c>
    </row>
    <row r="285" spans="1:75">
      <c r="A285" s="88"/>
      <c r="B285" s="5">
        <f>'[61]Dados de entrada'!$B$28</f>
        <v>15.9</v>
      </c>
      <c r="C285" s="5">
        <f>'[61]Dados de entrada'!$B$31</f>
        <v>2</v>
      </c>
      <c r="D285" s="5">
        <f>'[61]Dados de entrada'!$B$32</f>
        <v>46</v>
      </c>
      <c r="E285" s="11">
        <f>'[61]Dados de entrada'!$B$27</f>
        <v>2.9208758709847928</v>
      </c>
      <c r="F285" s="5">
        <f>'[61]Dados de entrada'!$B$30</f>
        <v>30</v>
      </c>
      <c r="G285" s="5">
        <f>'[61]Dados de entrada'!$B$22</f>
        <v>38</v>
      </c>
      <c r="H285" s="78">
        <f>'[61]Dados de entrada'!$B$29/(2*'[61]Dados de entrada'!$B$20*G285)</f>
        <v>3.4842105263157896E-2</v>
      </c>
      <c r="I285" s="53">
        <v>365.37411331090004</v>
      </c>
      <c r="J285" s="4">
        <v>0.25</v>
      </c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11">
        <v>0.251925495788488</v>
      </c>
      <c r="AE285" s="11">
        <f t="shared" si="328"/>
        <v>1.007701983153952</v>
      </c>
      <c r="AF285" s="29">
        <f t="shared" si="329"/>
        <v>7.6724743026324862E-3</v>
      </c>
      <c r="AG285" s="11">
        <v>0.26816066312683373</v>
      </c>
      <c r="AH285" s="11">
        <f t="shared" si="330"/>
        <v>1.0726426525073349</v>
      </c>
      <c r="AI285" s="11">
        <f t="shared" si="331"/>
        <v>7.012537230592665E-2</v>
      </c>
      <c r="AJ285" s="11">
        <v>0.25677225208933863</v>
      </c>
      <c r="AK285" s="11">
        <f t="shared" si="332"/>
        <v>1.0270890083573545</v>
      </c>
      <c r="AL285" s="11">
        <f t="shared" si="333"/>
        <v>2.6728595503845976E-2</v>
      </c>
      <c r="AM285" s="11">
        <v>0.28511531899847925</v>
      </c>
      <c r="AN285" s="11">
        <v>0.42639754754765979</v>
      </c>
      <c r="AO285" s="11">
        <v>1.140461275993917</v>
      </c>
      <c r="AP285" s="11">
        <f t="shared" si="312"/>
        <v>0.13143280863138387</v>
      </c>
      <c r="AQ285" s="11">
        <v>0.24623422313174248</v>
      </c>
      <c r="AR285" s="11">
        <f t="shared" si="334"/>
        <v>0.98493689252696992</v>
      </c>
      <c r="AS285" s="11">
        <f t="shared" si="335"/>
        <v>-1.517770836306037E-2</v>
      </c>
      <c r="AT285" s="11">
        <v>0.39358361903775879</v>
      </c>
      <c r="AU285" s="11">
        <f t="shared" si="336"/>
        <v>1.5743344761510352</v>
      </c>
      <c r="AV285" s="11">
        <f t="shared" si="337"/>
        <v>0.45383262815140946</v>
      </c>
      <c r="AW285" s="11">
        <v>0.28123133225751779</v>
      </c>
      <c r="AX285" s="11">
        <f t="shared" si="338"/>
        <v>1.1249253290300711</v>
      </c>
      <c r="AY285" s="11">
        <f t="shared" si="339"/>
        <v>0.11771665925802674</v>
      </c>
      <c r="AZ285" s="11">
        <v>0.24409176428260956</v>
      </c>
      <c r="BA285" s="11">
        <f t="shared" si="340"/>
        <v>0.97636705713043825</v>
      </c>
      <c r="BB285" s="11">
        <f t="shared" si="341"/>
        <v>-2.391668014512828E-2</v>
      </c>
      <c r="BC285" s="11">
        <v>0.19923392556937053</v>
      </c>
      <c r="BD285" s="11">
        <f t="shared" si="342"/>
        <v>0.79693570227748212</v>
      </c>
      <c r="BE285" s="11">
        <f t="shared" si="343"/>
        <v>-0.22698127812950869</v>
      </c>
      <c r="BF285" s="11">
        <v>0.30577960482623368</v>
      </c>
      <c r="BG285" s="11">
        <f t="shared" si="344"/>
        <v>1.2231184193049347</v>
      </c>
      <c r="BH285" s="11">
        <f t="shared" si="345"/>
        <v>0.20140367892271097</v>
      </c>
      <c r="BI285" s="11">
        <v>0.3213019786086907</v>
      </c>
      <c r="BJ285" s="11">
        <f t="shared" si="346"/>
        <v>1.2852079144347628</v>
      </c>
      <c r="BK285" s="11">
        <f t="shared" si="347"/>
        <v>0.25092050637534119</v>
      </c>
      <c r="BL285" s="11">
        <v>0.36886297806916946</v>
      </c>
      <c r="BM285" s="11">
        <f t="shared" si="348"/>
        <v>1.4754519122766778</v>
      </c>
      <c r="BN285" s="11">
        <f t="shared" si="349"/>
        <v>0.38896432407117365</v>
      </c>
      <c r="BS285" t="b">
        <f t="shared" si="350"/>
        <v>0</v>
      </c>
      <c r="BU285" t="b">
        <f t="shared" si="351"/>
        <v>1</v>
      </c>
      <c r="BW285" t="b">
        <f t="shared" si="352"/>
        <v>1</v>
      </c>
    </row>
    <row r="286" spans="1:75">
      <c r="A286" s="89"/>
      <c r="B286" s="5">
        <f>'[61]Dados de entrada'!$B$28</f>
        <v>15.9</v>
      </c>
      <c r="C286" s="5">
        <f>'[61]Dados de entrada'!$B$31</f>
        <v>2</v>
      </c>
      <c r="D286" s="5">
        <f>'[61]Dados de entrada'!$B$32</f>
        <v>46</v>
      </c>
      <c r="E286" s="11">
        <f>'[61]Dados de entrada'!$B$27</f>
        <v>2.9208758709847928</v>
      </c>
      <c r="F286" s="5">
        <f>'[61]Dados de entrada'!$B$30</f>
        <v>30</v>
      </c>
      <c r="G286" s="5">
        <f>'[61]Dados de entrada'!$B$22</f>
        <v>38</v>
      </c>
      <c r="H286" s="78">
        <f>'[61]Dados de entrada'!$B$29/(2*'[61]Dados de entrada'!$B$20*G286)</f>
        <v>3.4842105263157896E-2</v>
      </c>
      <c r="I286" s="53">
        <v>392.3</v>
      </c>
      <c r="J286" s="4">
        <v>0.3</v>
      </c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11">
        <v>0.27350646592479266</v>
      </c>
      <c r="AE286" s="11">
        <f t="shared" si="328"/>
        <v>0.91168821974930891</v>
      </c>
      <c r="AF286" s="29">
        <f t="shared" si="329"/>
        <v>-9.2457211666698624E-2</v>
      </c>
      <c r="AG286" s="11">
        <v>0.2942883592014458</v>
      </c>
      <c r="AH286" s="11">
        <f t="shared" si="330"/>
        <v>0.98096119733815268</v>
      </c>
      <c r="AI286" s="11">
        <f t="shared" si="331"/>
        <v>-1.9222374390547175E-2</v>
      </c>
      <c r="AJ286" s="11">
        <v>0.27876841522807938</v>
      </c>
      <c r="AK286" s="11">
        <f t="shared" si="332"/>
        <v>0.9292280507602646</v>
      </c>
      <c r="AL286" s="11">
        <f t="shared" si="333"/>
        <v>-7.3401090465484917E-2</v>
      </c>
      <c r="AM286" s="11">
        <v>0.29185886340253192</v>
      </c>
      <c r="AN286" s="11">
        <v>0.4468063816624937</v>
      </c>
      <c r="AO286" s="11">
        <v>0.97286287800843974</v>
      </c>
      <c r="AP286" s="11">
        <f t="shared" si="312"/>
        <v>-2.7512133748408482E-2</v>
      </c>
      <c r="AQ286" s="11">
        <v>0.26626281210622382</v>
      </c>
      <c r="AR286" s="11">
        <f t="shared" si="334"/>
        <v>0.88754270702074611</v>
      </c>
      <c r="AS286" s="11">
        <f t="shared" si="335"/>
        <v>-0.1192986382035683</v>
      </c>
      <c r="AT286" s="11">
        <v>0.42599386724750998</v>
      </c>
      <c r="AU286" s="11">
        <f t="shared" si="336"/>
        <v>1.4199795574917</v>
      </c>
      <c r="AV286" s="11">
        <f t="shared" si="337"/>
        <v>0.35064247537693843</v>
      </c>
      <c r="AW286" s="11">
        <v>0.30195639927765211</v>
      </c>
      <c r="AX286" s="11">
        <f t="shared" si="338"/>
        <v>1.006521330925507</v>
      </c>
      <c r="AY286" s="11">
        <f t="shared" si="339"/>
        <v>6.5001590430396996E-3</v>
      </c>
      <c r="AZ286" s="11">
        <v>0.26429124210811206</v>
      </c>
      <c r="BA286" s="11">
        <f t="shared" si="340"/>
        <v>0.88097080702704023</v>
      </c>
      <c r="BB286" s="11">
        <f t="shared" si="341"/>
        <v>-0.12673078977313373</v>
      </c>
      <c r="BC286" s="11">
        <v>0.21484833224410843</v>
      </c>
      <c r="BD286" s="11">
        <f t="shared" si="342"/>
        <v>0.71616110748036144</v>
      </c>
      <c r="BE286" s="11">
        <f t="shared" si="343"/>
        <v>-0.33385012688511323</v>
      </c>
      <c r="BF286" s="11">
        <v>0.32831373270075848</v>
      </c>
      <c r="BG286" s="11">
        <f t="shared" si="344"/>
        <v>1.0943791090025283</v>
      </c>
      <c r="BH286" s="11">
        <f t="shared" si="345"/>
        <v>9.0187178707723983E-2</v>
      </c>
      <c r="BI286" s="11">
        <v>0.35558977789829044</v>
      </c>
      <c r="BJ286" s="11">
        <f t="shared" si="346"/>
        <v>1.1852992596609682</v>
      </c>
      <c r="BK286" s="11">
        <f t="shared" si="347"/>
        <v>0.1699952825025727</v>
      </c>
      <c r="BL286" s="11">
        <v>0.4063819103105144</v>
      </c>
      <c r="BM286" s="11">
        <f t="shared" si="348"/>
        <v>1.3546063677017148</v>
      </c>
      <c r="BN286" s="11">
        <f t="shared" si="349"/>
        <v>0.30351090858616675</v>
      </c>
      <c r="BS286" t="b">
        <f t="shared" si="350"/>
        <v>0</v>
      </c>
      <c r="BU286" t="b">
        <f t="shared" si="351"/>
        <v>1</v>
      </c>
      <c r="BW286" t="b">
        <f t="shared" si="352"/>
        <v>1</v>
      </c>
    </row>
    <row r="287" spans="1:75" ht="13.2" customHeight="1">
      <c r="A287" s="87" t="s">
        <v>112</v>
      </c>
      <c r="B287" s="5">
        <f>'[62]Dados de entrada'!$B$28</f>
        <v>15.9</v>
      </c>
      <c r="C287" s="5">
        <f>'[62]Dados de entrada'!$B$31</f>
        <v>2</v>
      </c>
      <c r="D287" s="5">
        <f>'[62]Dados de entrada'!$B$32</f>
        <v>46</v>
      </c>
      <c r="E287" s="11">
        <f>'[62]Dados de entrada'!$B$27</f>
        <v>2.9208758709847928</v>
      </c>
      <c r="F287" s="5">
        <f>'[62]Dados de entrada'!$B$30</f>
        <v>30</v>
      </c>
      <c r="G287" s="5">
        <f>'[62]Dados de entrada'!$B$22</f>
        <v>38</v>
      </c>
      <c r="H287" s="78">
        <f>'[62]Dados de entrada'!$B$29/(2*'[62]Dados de entrada'!$B$20*G287)</f>
        <v>3.4842105263157896E-2</v>
      </c>
      <c r="I287" s="53" cm="1">
        <f t="array" ref="I287:I288">'[62]fib Model Code 2010'!$K$5:$K$6</f>
        <v>261.36250441217675</v>
      </c>
      <c r="J287" s="4" cm="1">
        <f t="array" ref="J287:J288">'[62]Dados de entrada'!$C$7:$C$8</f>
        <v>0.15</v>
      </c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11" cm="1">
        <f t="array" ref="AD287:AD288">'[62]fib Model Code 2010'!$L$5:$L$6</f>
        <v>0.16856068587932993</v>
      </c>
      <c r="AE287" s="11">
        <f t="shared" si="328"/>
        <v>1.1237379058621997</v>
      </c>
      <c r="AF287" s="29">
        <f t="shared" si="329"/>
        <v>0.11666054444295333</v>
      </c>
      <c r="AG287" s="11" cm="1">
        <f t="array" ref="AG287:AG288">'[62]fib Model Code 2020'!$L$5:$L$6</f>
        <v>0.16723237293101356</v>
      </c>
      <c r="AH287" s="11">
        <f t="shared" si="330"/>
        <v>1.1148824862067572</v>
      </c>
      <c r="AI287" s="11">
        <f t="shared" si="331"/>
        <v>0.10874900582125245</v>
      </c>
      <c r="AJ287" s="11" cm="1">
        <f t="array" ref="AJ287:AJ288">'[62]Eurocode 2'!$L$5:$L$6</f>
        <v>0.17180359928039066</v>
      </c>
      <c r="AK287" s="11">
        <f t="shared" si="332"/>
        <v>1.1453573285359377</v>
      </c>
      <c r="AL287" s="11">
        <f t="shared" si="333"/>
        <v>0.13571666564416693</v>
      </c>
      <c r="AM287" s="11" cm="1">
        <f t="array" ref="AM287:AM288">'[62]NBR 6118'!$Q$5:$Q$6</f>
        <v>0.20395110410110193</v>
      </c>
      <c r="AN287" s="11" cm="1">
        <f t="array" ref="AN287:AN288">'[62]NBR 6118'!$R$5:$R$6</f>
        <v>0.21818541460108287</v>
      </c>
      <c r="AO287" s="11" cm="1">
        <f t="array" ref="AO287:AO288">'[62]NBR 6118'!$W$5:$W$6</f>
        <v>1.3596740273406795</v>
      </c>
      <c r="AP287" s="11">
        <f t="shared" si="312"/>
        <v>0.30724498523982147</v>
      </c>
      <c r="AQ287" s="11" cm="1">
        <f t="array" ref="AQ287:AQ288">'[62]Clark (1956)'!$L$5:$L$6</f>
        <v>0.1688660834206609</v>
      </c>
      <c r="AR287" s="11">
        <f t="shared" si="334"/>
        <v>1.1257738894710727</v>
      </c>
      <c r="AS287" s="11">
        <f t="shared" si="335"/>
        <v>0.11847070091248894</v>
      </c>
      <c r="AT287" s="11" cm="1">
        <f t="array" ref="AT287:AT288">'[62]Leonhardt (1977)'!$L$5:$L$6</f>
        <v>0.26520845210462046</v>
      </c>
      <c r="AU287" s="11">
        <f t="shared" si="336"/>
        <v>1.7680563473641364</v>
      </c>
      <c r="AV287" s="11">
        <f t="shared" si="337"/>
        <v>0.56988083438866499</v>
      </c>
      <c r="AW287" s="11" cm="1">
        <f t="array" ref="AW287:AW288">'[62]Desayi; Ganesan (1985)'!$L$5:$L$6</f>
        <v>0.20117277781924639</v>
      </c>
      <c r="AX287" s="11">
        <f t="shared" si="338"/>
        <v>1.3411518521283092</v>
      </c>
      <c r="AY287" s="11">
        <f t="shared" si="339"/>
        <v>0.29352883586646483</v>
      </c>
      <c r="AZ287" s="11" cm="1">
        <f t="array" ref="AZ287:AZ288">'[62]Oh; Kang (1987)'!$L$5:$L$6</f>
        <v>0.16606350055991093</v>
      </c>
      <c r="BA287" s="11">
        <f t="shared" si="340"/>
        <v>1.1070900037327396</v>
      </c>
      <c r="BB287" s="11">
        <f t="shared" si="341"/>
        <v>0.10173495460644366</v>
      </c>
      <c r="BC287" s="11" cm="1">
        <f t="array" ref="BC287:BC288">'[62]Caldas (1997)'!$L$5:$L$6</f>
        <v>0.13891726528661352</v>
      </c>
      <c r="BD287" s="11">
        <f t="shared" si="342"/>
        <v>0.92611510191075685</v>
      </c>
      <c r="BE287" s="11">
        <f t="shared" si="343"/>
        <v>-7.6756751940969592E-2</v>
      </c>
      <c r="BF287" s="11" cm="1">
        <f t="array" ref="BF287:BF288">'[62]Gergely e Lutz (1968)'!$L$5:$L$6</f>
        <v>0.21873285600708692</v>
      </c>
      <c r="BG287" s="11">
        <f t="shared" si="344"/>
        <v>1.4582190400472461</v>
      </c>
      <c r="BH287" s="11">
        <f t="shared" si="345"/>
        <v>0.37721585553114889</v>
      </c>
      <c r="BI287" s="11" cm="1">
        <f t="array" ref="BI287:BI288">[62]Sugestão!$M$5:$M$6</f>
        <v>0.18885214656095087</v>
      </c>
      <c r="BJ287" s="11">
        <f t="shared" si="346"/>
        <v>1.2590143104063392</v>
      </c>
      <c r="BK287" s="11">
        <f t="shared" si="347"/>
        <v>0.23032912148398157</v>
      </c>
      <c r="BL287" s="11" cm="1">
        <f t="array" ref="BL287:BL288">'[62]fib Model Code 2020 modificado'!$L$5:$L$6</f>
        <v>0.22905031355298408</v>
      </c>
      <c r="BM287" s="11">
        <f t="shared" si="348"/>
        <v>1.5270020903532273</v>
      </c>
      <c r="BN287" s="11">
        <f t="shared" si="349"/>
        <v>0.42330639516367058</v>
      </c>
      <c r="BS287" t="b">
        <f t="shared" si="350"/>
        <v>0</v>
      </c>
      <c r="BU287" t="b">
        <f t="shared" si="351"/>
        <v>1</v>
      </c>
      <c r="BW287" t="b">
        <f t="shared" si="352"/>
        <v>1</v>
      </c>
    </row>
    <row r="288" spans="1:75">
      <c r="A288" s="88"/>
      <c r="B288" s="5">
        <f>'[62]Dados de entrada'!$B$28</f>
        <v>15.9</v>
      </c>
      <c r="C288" s="5">
        <f>'[62]Dados de entrada'!$B$31</f>
        <v>2</v>
      </c>
      <c r="D288" s="5">
        <f>'[62]Dados de entrada'!$B$32</f>
        <v>46</v>
      </c>
      <c r="E288" s="11">
        <f>'[62]Dados de entrada'!$B$27</f>
        <v>2.9208758709847928</v>
      </c>
      <c r="F288" s="5">
        <f>'[62]Dados de entrada'!$B$30</f>
        <v>30</v>
      </c>
      <c r="G288" s="5">
        <f>'[62]Dados de entrada'!$B$22</f>
        <v>38</v>
      </c>
      <c r="H288" s="78">
        <f>'[62]Dados de entrada'!$B$29/(2*'[62]Dados de entrada'!$B$20*G288)</f>
        <v>3.4842105263157896E-2</v>
      </c>
      <c r="I288" s="53">
        <v>366.70759547626835</v>
      </c>
      <c r="J288" s="4">
        <v>0.25</v>
      </c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11">
        <v>0.25299427540270802</v>
      </c>
      <c r="AE288" s="11">
        <f t="shared" si="328"/>
        <v>1.0119771016108321</v>
      </c>
      <c r="AF288" s="29">
        <f t="shared" si="329"/>
        <v>1.1905943742515688E-2</v>
      </c>
      <c r="AG288" s="11">
        <v>0.26945461556524175</v>
      </c>
      <c r="AH288" s="11">
        <f t="shared" si="330"/>
        <v>1.077818462260967</v>
      </c>
      <c r="AI288" s="11">
        <f t="shared" si="331"/>
        <v>7.4939055950218464E-2</v>
      </c>
      <c r="AJ288" s="11">
        <v>0.25786159379201756</v>
      </c>
      <c r="AK288" s="11">
        <f t="shared" si="332"/>
        <v>1.0314463751680703</v>
      </c>
      <c r="AL288" s="11">
        <f t="shared" si="333"/>
        <v>3.0962064943729418E-2</v>
      </c>
      <c r="AM288" s="11">
        <v>0.28615588585613794</v>
      </c>
      <c r="AN288" s="11">
        <v>0.42951561795103321</v>
      </c>
      <c r="AO288" s="11">
        <v>1.1446235434245517</v>
      </c>
      <c r="AP288" s="11">
        <f t="shared" si="312"/>
        <v>0.13507579990988494</v>
      </c>
      <c r="AQ288" s="11">
        <v>0.24722612235880767</v>
      </c>
      <c r="AR288" s="11">
        <f t="shared" si="334"/>
        <v>0.98890448943523068</v>
      </c>
      <c r="AS288" s="11">
        <f t="shared" si="335"/>
        <v>-1.1157524889183036E-2</v>
      </c>
      <c r="AT288" s="11">
        <v>0.39519438566208898</v>
      </c>
      <c r="AU288" s="11">
        <f t="shared" si="336"/>
        <v>1.5807775426483559</v>
      </c>
      <c r="AV288" s="11">
        <f t="shared" si="337"/>
        <v>0.45791684158993051</v>
      </c>
      <c r="AW288" s="11">
        <v>0.28225772398108545</v>
      </c>
      <c r="AX288" s="11">
        <f t="shared" si="338"/>
        <v>1.1290308959243418</v>
      </c>
      <c r="AY288" s="11">
        <f t="shared" si="339"/>
        <v>0.12135965053652811</v>
      </c>
      <c r="AZ288" s="11">
        <v>0.24509212663802887</v>
      </c>
      <c r="BA288" s="11">
        <f t="shared" si="340"/>
        <v>0.98036850655211549</v>
      </c>
      <c r="BB288" s="11">
        <f t="shared" si="341"/>
        <v>-1.9826750903993797E-2</v>
      </c>
      <c r="BC288" s="11">
        <v>0.20000721608581618</v>
      </c>
      <c r="BD288" s="11">
        <f t="shared" si="342"/>
        <v>0.8000288643432647</v>
      </c>
      <c r="BE288" s="11">
        <f t="shared" si="343"/>
        <v>-0.2231074715360119</v>
      </c>
      <c r="BF288" s="11">
        <v>0.30689558878545359</v>
      </c>
      <c r="BG288" s="11">
        <f t="shared" si="344"/>
        <v>1.2275823551418144</v>
      </c>
      <c r="BH288" s="11">
        <f t="shared" si="345"/>
        <v>0.20504667020121231</v>
      </c>
      <c r="BI288" s="11">
        <v>0.3230000533785336</v>
      </c>
      <c r="BJ288" s="11">
        <f t="shared" si="346"/>
        <v>1.2920002135141344</v>
      </c>
      <c r="BK288" s="11">
        <f t="shared" si="347"/>
        <v>0.25619157061901443</v>
      </c>
      <c r="BL288" s="11">
        <v>0.37070824548873837</v>
      </c>
      <c r="BM288" s="11">
        <f t="shared" si="348"/>
        <v>1.4828329819549535</v>
      </c>
      <c r="BN288" s="11">
        <f t="shared" si="349"/>
        <v>0.39395443507037065</v>
      </c>
      <c r="BS288" t="b">
        <f t="shared" si="350"/>
        <v>0</v>
      </c>
      <c r="BU288" t="b">
        <f t="shared" si="351"/>
        <v>1</v>
      </c>
      <c r="BW288" t="b">
        <f t="shared" si="352"/>
        <v>1</v>
      </c>
    </row>
    <row r="289" spans="1:75" ht="13.2" customHeight="1">
      <c r="A289" s="87" t="s">
        <v>114</v>
      </c>
      <c r="B289" s="5">
        <f>'[63]Dados de entrada'!$B$28</f>
        <v>19.100000000000001</v>
      </c>
      <c r="C289" s="5">
        <f>'[63]Dados de entrada'!$B$31</f>
        <v>2</v>
      </c>
      <c r="D289" s="5">
        <f>'[63]Dados de entrada'!$B$32</f>
        <v>40</v>
      </c>
      <c r="E289" s="11">
        <f>'[63]Dados de entrada'!$B$27</f>
        <v>2.9208758709847928</v>
      </c>
      <c r="F289" s="5">
        <f>'[63]Dados de entrada'!$B$30</f>
        <v>30</v>
      </c>
      <c r="G289" s="5">
        <f>'[63]Dados de entrada'!$B$22</f>
        <v>39.5</v>
      </c>
      <c r="H289" s="78">
        <f>'[63]Dados de entrada'!$B$29/(2*'[63]Dados de entrada'!$B$20*G289)</f>
        <v>4.8354430379746835E-2</v>
      </c>
      <c r="I289" s="53" cm="1">
        <f t="array" ref="I289:I292">'[63]fib Model Code 2010'!$K$5:$K$8</f>
        <v>187.02573904138569</v>
      </c>
      <c r="J289" s="4" cm="1">
        <f t="array" ref="J289:J292">'[63]Dados de entrada'!$C$7:$C$10</f>
        <v>0.15</v>
      </c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11" cm="1">
        <f t="array" ref="AD289:AD292">'[63]fib Model Code 2010'!$L$5:$L$8</f>
        <v>0.10386548783744019</v>
      </c>
      <c r="AE289" s="11">
        <f t="shared" si="328"/>
        <v>0.69243658558293464</v>
      </c>
      <c r="AF289" s="29">
        <f t="shared" si="329"/>
        <v>-0.36753861827915912</v>
      </c>
      <c r="AG289" s="11" cm="1">
        <f t="array" ref="AG289:AG292">'[63]fib Model Code 2020'!$L$5:$L$8</f>
        <v>0.10247434514056784</v>
      </c>
      <c r="AH289" s="11">
        <f t="shared" si="330"/>
        <v>0.68316230093711894</v>
      </c>
      <c r="AI289" s="11">
        <f t="shared" si="331"/>
        <v>-0.381022818157424</v>
      </c>
      <c r="AJ289" s="11" cm="1">
        <f t="array" ref="AJ289:AJ292">'[63]Eurocode 2'!$L$5:$L$8</f>
        <v>0.11245220647895145</v>
      </c>
      <c r="AK289" s="11">
        <f t="shared" si="332"/>
        <v>0.74968137652634304</v>
      </c>
      <c r="AL289" s="11">
        <f t="shared" si="333"/>
        <v>-0.28810699401637241</v>
      </c>
      <c r="AM289" s="11" cm="1">
        <f t="array" ref="AM289:AM292">'[63]NBR 6118'!$Q$5:$Q$8</f>
        <v>0.14814917423039506</v>
      </c>
      <c r="AN289" s="11" cm="1">
        <f t="array" ref="AN289:AN292">'[63]NBR 6118'!$R$5:$R$8</f>
        <v>0.1355080739737812</v>
      </c>
      <c r="AO289" s="11" cm="1">
        <f t="array" ref="AO289:AO292">'[63]NBR 6118'!$W$5:$W$8</f>
        <v>0.90338715982520801</v>
      </c>
      <c r="AP289" s="11">
        <f t="shared" si="312"/>
        <v>-0.10160406902933597</v>
      </c>
      <c r="AQ289" s="11" cm="1">
        <f t="array" ref="AQ289:AQ292">'[63]Clark (1956)'!$L$5:$L$8</f>
        <v>0.10457083423101082</v>
      </c>
      <c r="AR289" s="11">
        <f t="shared" si="334"/>
        <v>0.69713889487340552</v>
      </c>
      <c r="AS289" s="11">
        <f t="shared" si="335"/>
        <v>-0.3607706127896389</v>
      </c>
      <c r="AT289" s="11" cm="1">
        <f t="array" ref="AT289:AT292">'[63]Leonhardt (1977)'!$L$5:$L$8</f>
        <v>0.17816304051344647</v>
      </c>
      <c r="AU289" s="11">
        <f t="shared" si="336"/>
        <v>1.1877536034229765</v>
      </c>
      <c r="AV289" s="11">
        <f t="shared" si="337"/>
        <v>0.17206379490304602</v>
      </c>
      <c r="AW289" s="11" cm="1">
        <f t="array" ref="AW289:AW292">'[63]Desayi; Ganesan (1985)'!$L$5:$L$8</f>
        <v>0.14126225441748413</v>
      </c>
      <c r="AX289" s="11">
        <f t="shared" si="338"/>
        <v>0.9417483627832276</v>
      </c>
      <c r="AY289" s="11">
        <f t="shared" si="339"/>
        <v>-6.0017170894930097E-2</v>
      </c>
      <c r="AZ289" s="11" cm="1">
        <f t="array" ref="AZ289:AZ292">'[63]Oh; Kang (1987)'!$L$5:$L$8</f>
        <v>0.12045195342623187</v>
      </c>
      <c r="BA289" s="11">
        <f t="shared" si="340"/>
        <v>0.80301302284154585</v>
      </c>
      <c r="BB289" s="11">
        <f t="shared" si="341"/>
        <v>-0.21938434743145696</v>
      </c>
      <c r="BC289" s="11" cm="1">
        <f t="array" ref="BC289:BC292">'[63]Caldas (1997)'!$L$5:$L$8</f>
        <v>9.7961980084099287E-2</v>
      </c>
      <c r="BD289" s="11">
        <f t="shared" si="342"/>
        <v>0.65307986722732858</v>
      </c>
      <c r="BE289" s="11">
        <f t="shared" si="343"/>
        <v>-0.42605584902650223</v>
      </c>
      <c r="BF289" s="11" cm="1">
        <f t="array" ref="BF289:BF292">'[63]Gergely e Lutz (1968)'!$L$5:$L$8</f>
        <v>0.16516121781174603</v>
      </c>
      <c r="BG289" s="11">
        <f t="shared" si="344"/>
        <v>1.1010747854116403</v>
      </c>
      <c r="BH289" s="11">
        <f t="shared" si="345"/>
        <v>9.6286780421611207E-2</v>
      </c>
      <c r="BI289" s="11" cm="1">
        <f t="array" ref="BI289:BI292">[63]Sugestão!$M$5:$M$8</f>
        <v>0.10247434514056784</v>
      </c>
      <c r="BJ289" s="11">
        <f t="shared" si="346"/>
        <v>0.68316230093711894</v>
      </c>
      <c r="BK289" s="11">
        <f t="shared" si="347"/>
        <v>-0.381022818157424</v>
      </c>
      <c r="BL289" s="11" cm="1">
        <f t="array" ref="BL289:BL292">'[63]fib Model Code 2020 modificado'!$L$5:$L$8</f>
        <v>0.15494441608752402</v>
      </c>
      <c r="BM289" s="11">
        <f t="shared" si="348"/>
        <v>1.0329627739168268</v>
      </c>
      <c r="BN289" s="11">
        <f t="shared" si="349"/>
        <v>3.2431152621581812E-2</v>
      </c>
      <c r="BS289" t="b">
        <f t="shared" si="350"/>
        <v>0</v>
      </c>
      <c r="BU289" t="b">
        <f t="shared" si="351"/>
        <v>1</v>
      </c>
      <c r="BW289" t="b">
        <f t="shared" si="352"/>
        <v>1</v>
      </c>
    </row>
    <row r="290" spans="1:75">
      <c r="A290" s="88"/>
      <c r="B290" s="5">
        <f>'[63]Dados de entrada'!$B$28</f>
        <v>19.100000000000001</v>
      </c>
      <c r="C290" s="5">
        <f>'[63]Dados de entrada'!$B$31</f>
        <v>2</v>
      </c>
      <c r="D290" s="5">
        <f>'[63]Dados de entrada'!$B$32</f>
        <v>40</v>
      </c>
      <c r="E290" s="11">
        <f>'[63]Dados de entrada'!$B$27</f>
        <v>2.9208758709847928</v>
      </c>
      <c r="F290" s="5">
        <f>'[63]Dados de entrada'!$B$30</f>
        <v>30</v>
      </c>
      <c r="G290" s="5">
        <f>'[63]Dados de entrada'!$B$22</f>
        <v>39.5</v>
      </c>
      <c r="H290" s="78">
        <f>'[63]Dados de entrada'!$B$29/(2*'[63]Dados de entrada'!$B$20*G290)</f>
        <v>4.8354430379746835E-2</v>
      </c>
      <c r="I290" s="53">
        <v>261.07653927096982</v>
      </c>
      <c r="J290" s="4">
        <v>0.2</v>
      </c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11">
        <v>0.15521803357180655</v>
      </c>
      <c r="AE290" s="11">
        <f t="shared" si="328"/>
        <v>0.77609016785903273</v>
      </c>
      <c r="AF290" s="29">
        <f t="shared" si="329"/>
        <v>-0.25348656985448531</v>
      </c>
      <c r="AG290" s="11">
        <v>0.16913510332806375</v>
      </c>
      <c r="AH290" s="11">
        <f t="shared" si="330"/>
        <v>0.8456755166403187</v>
      </c>
      <c r="AI290" s="11">
        <f t="shared" si="331"/>
        <v>-0.16761954302060086</v>
      </c>
      <c r="AJ290" s="11">
        <v>0.16805014566331994</v>
      </c>
      <c r="AK290" s="11">
        <f t="shared" si="332"/>
        <v>0.84025072831659964</v>
      </c>
      <c r="AL290" s="11">
        <f t="shared" si="333"/>
        <v>-0.17405494559169857</v>
      </c>
      <c r="AM290" s="11">
        <v>0.20680722291045003</v>
      </c>
      <c r="AN290" s="11">
        <v>0.2640572571894973</v>
      </c>
      <c r="AO290" s="11">
        <v>1.0340361145522501</v>
      </c>
      <c r="AP290" s="11">
        <f t="shared" si="312"/>
        <v>3.3469702509426644E-2</v>
      </c>
      <c r="AQ290" s="11">
        <v>0.15224844195882856</v>
      </c>
      <c r="AR290" s="11">
        <f t="shared" si="334"/>
        <v>0.7612422097941427</v>
      </c>
      <c r="AS290" s="11">
        <f t="shared" si="335"/>
        <v>-0.2728036934499421</v>
      </c>
      <c r="AT290" s="11">
        <v>0.26957165351417106</v>
      </c>
      <c r="AU290" s="11">
        <f t="shared" si="336"/>
        <v>1.3478582675708553</v>
      </c>
      <c r="AV290" s="11">
        <f t="shared" si="337"/>
        <v>0.29851686421063767</v>
      </c>
      <c r="AW290" s="11">
        <v>0.19719350235943212</v>
      </c>
      <c r="AX290" s="11">
        <f t="shared" si="338"/>
        <v>0.98596751179716058</v>
      </c>
      <c r="AY290" s="11">
        <f t="shared" si="339"/>
        <v>-1.4131874418128541E-2</v>
      </c>
      <c r="AZ290" s="11">
        <v>0.18111863395839592</v>
      </c>
      <c r="BA290" s="11">
        <f t="shared" si="340"/>
        <v>0.90559316979197957</v>
      </c>
      <c r="BB290" s="11">
        <f t="shared" si="341"/>
        <v>-9.9165113752496314E-2</v>
      </c>
      <c r="BC290" s="11">
        <v>0.14156003614041548</v>
      </c>
      <c r="BD290" s="11">
        <f t="shared" si="342"/>
        <v>0.7078001807020774</v>
      </c>
      <c r="BE290" s="11">
        <f t="shared" si="343"/>
        <v>-0.3455934557697648</v>
      </c>
      <c r="BF290" s="11">
        <v>0.2305549994834018</v>
      </c>
      <c r="BG290" s="11">
        <f t="shared" si="344"/>
        <v>1.152774997417009</v>
      </c>
      <c r="BH290" s="11">
        <f t="shared" si="345"/>
        <v>0.14217207689841288</v>
      </c>
      <c r="BI290" s="11">
        <v>0.18555915799000014</v>
      </c>
      <c r="BJ290" s="11">
        <f t="shared" si="346"/>
        <v>0.92779578995000067</v>
      </c>
      <c r="BK290" s="11">
        <f t="shared" si="347"/>
        <v>-7.4943624344544699E-2</v>
      </c>
      <c r="BL290" s="11">
        <v>0.25309419789992316</v>
      </c>
      <c r="BM290" s="11">
        <f t="shared" si="348"/>
        <v>1.2654709894996157</v>
      </c>
      <c r="BN290" s="11">
        <f t="shared" si="349"/>
        <v>0.23544437659931999</v>
      </c>
      <c r="BS290" t="b">
        <f t="shared" si="350"/>
        <v>0</v>
      </c>
      <c r="BU290" t="b">
        <f t="shared" si="351"/>
        <v>1</v>
      </c>
      <c r="BW290" t="b">
        <f t="shared" si="352"/>
        <v>1</v>
      </c>
    </row>
    <row r="291" spans="1:75">
      <c r="A291" s="88"/>
      <c r="B291" s="5">
        <f>'[63]Dados de entrada'!$B$28</f>
        <v>19.100000000000001</v>
      </c>
      <c r="C291" s="5">
        <f>'[63]Dados de entrada'!$B$31</f>
        <v>2</v>
      </c>
      <c r="D291" s="5">
        <f>'[63]Dados de entrada'!$B$32</f>
        <v>40</v>
      </c>
      <c r="E291" s="11">
        <f>'[63]Dados de entrada'!$B$27</f>
        <v>2.9208758709847928</v>
      </c>
      <c r="F291" s="5">
        <f>'[63]Dados de entrada'!$B$30</f>
        <v>30</v>
      </c>
      <c r="G291" s="5">
        <f>'[63]Dados de entrada'!$B$22</f>
        <v>39.5</v>
      </c>
      <c r="H291" s="78">
        <f>'[63]Dados de entrada'!$B$29/(2*'[63]Dados de entrada'!$B$20*G291)</f>
        <v>4.8354430379746835E-2</v>
      </c>
      <c r="I291" s="53">
        <v>336.07670873426662</v>
      </c>
      <c r="J291" s="4">
        <v>0.3</v>
      </c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11">
        <v>0.20722894527712638</v>
      </c>
      <c r="AE291" s="11">
        <f t="shared" si="328"/>
        <v>0.69076315092375462</v>
      </c>
      <c r="AF291" s="29">
        <f t="shared" si="329"/>
        <v>-0.3699582767442014</v>
      </c>
      <c r="AG291" s="11">
        <v>0.23665048662052759</v>
      </c>
      <c r="AH291" s="11">
        <f t="shared" si="330"/>
        <v>0.78883495540175863</v>
      </c>
      <c r="AI291" s="11">
        <f t="shared" si="331"/>
        <v>-0.2371981620181749</v>
      </c>
      <c r="AJ291" s="11">
        <v>0.22436087893979573</v>
      </c>
      <c r="AK291" s="11">
        <f t="shared" si="332"/>
        <v>0.74786959646598583</v>
      </c>
      <c r="AL291" s="11">
        <f t="shared" si="333"/>
        <v>-0.29052665248141474</v>
      </c>
      <c r="AM291" s="11">
        <v>0.26621729785563381</v>
      </c>
      <c r="AN291" s="11">
        <v>0.43756164286888011</v>
      </c>
      <c r="AO291" s="11">
        <v>0.88739099285211276</v>
      </c>
      <c r="AP291" s="11">
        <f t="shared" si="312"/>
        <v>-0.11946959013153463</v>
      </c>
      <c r="AQ291" s="11">
        <v>0.20053730106777218</v>
      </c>
      <c r="AR291" s="11">
        <f t="shared" si="334"/>
        <v>0.6684576702259073</v>
      </c>
      <c r="AS291" s="11">
        <f t="shared" si="335"/>
        <v>-0.402782204974651</v>
      </c>
      <c r="AT291" s="11">
        <v>0.35824006167094863</v>
      </c>
      <c r="AU291" s="11">
        <f t="shared" si="336"/>
        <v>1.1941335389031622</v>
      </c>
      <c r="AV291" s="11">
        <f t="shared" si="337"/>
        <v>0.17742085034404084</v>
      </c>
      <c r="AW291" s="11">
        <v>0.2538418175826872</v>
      </c>
      <c r="AX291" s="11">
        <f t="shared" si="338"/>
        <v>0.84613939194229071</v>
      </c>
      <c r="AY291" s="11">
        <f t="shared" si="339"/>
        <v>-0.16707116705908956</v>
      </c>
      <c r="AZ291" s="11">
        <v>0.24256309244610058</v>
      </c>
      <c r="BA291" s="11">
        <f t="shared" si="340"/>
        <v>0.80854364148700197</v>
      </c>
      <c r="BB291" s="11">
        <f t="shared" si="341"/>
        <v>-0.21252062308285199</v>
      </c>
      <c r="BC291" s="11">
        <v>0.18571704163335118</v>
      </c>
      <c r="BD291" s="11">
        <f t="shared" si="342"/>
        <v>0.61905680544450392</v>
      </c>
      <c r="BE291" s="11">
        <f t="shared" si="343"/>
        <v>-0.47955824080779286</v>
      </c>
      <c r="BF291" s="11">
        <v>0.29678716297136087</v>
      </c>
      <c r="BG291" s="11">
        <f t="shared" si="344"/>
        <v>0.98929054323786958</v>
      </c>
      <c r="BH291" s="11">
        <f t="shared" si="345"/>
        <v>-1.0767215742548268E-2</v>
      </c>
      <c r="BI291" s="11">
        <v>0.27041104484597911</v>
      </c>
      <c r="BJ291" s="11">
        <f t="shared" si="346"/>
        <v>0.90137014948659711</v>
      </c>
      <c r="BK291" s="11">
        <f t="shared" si="347"/>
        <v>-0.10383928499769308</v>
      </c>
      <c r="BL291" s="11">
        <v>0.35869749118086919</v>
      </c>
      <c r="BM291" s="11">
        <f t="shared" si="348"/>
        <v>1.1956583039362307</v>
      </c>
      <c r="BN291" s="11">
        <f t="shared" si="349"/>
        <v>0.17869691565871715</v>
      </c>
      <c r="BS291" t="b">
        <f t="shared" si="350"/>
        <v>0</v>
      </c>
      <c r="BU291" t="b">
        <f t="shared" si="351"/>
        <v>1</v>
      </c>
      <c r="BW291" t="b">
        <f t="shared" si="352"/>
        <v>1</v>
      </c>
    </row>
    <row r="292" spans="1:75">
      <c r="A292" s="89"/>
      <c r="B292" s="5">
        <f>'[63]Dados de entrada'!$B$28</f>
        <v>19.100000000000001</v>
      </c>
      <c r="C292" s="5">
        <f>'[63]Dados de entrada'!$B$31</f>
        <v>2</v>
      </c>
      <c r="D292" s="5">
        <f>'[63]Dados de entrada'!$B$32</f>
        <v>40</v>
      </c>
      <c r="E292" s="11">
        <f>'[63]Dados de entrada'!$B$27</f>
        <v>2.9208758709847928</v>
      </c>
      <c r="F292" s="5">
        <f>'[63]Dados de entrada'!$B$30</f>
        <v>30</v>
      </c>
      <c r="G292" s="5">
        <f>'[63]Dados de entrada'!$B$22</f>
        <v>39.5</v>
      </c>
      <c r="H292" s="78">
        <f>'[63]Dados de entrada'!$B$29/(2*'[63]Dados de entrada'!$B$20*G292)</f>
        <v>4.8354430379746835E-2</v>
      </c>
      <c r="I292" s="53">
        <v>392.3</v>
      </c>
      <c r="J292" s="4">
        <v>0.33</v>
      </c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11">
        <v>0.24621851901716416</v>
      </c>
      <c r="AE292" s="11">
        <f t="shared" si="328"/>
        <v>0.74611672429443676</v>
      </c>
      <c r="AF292" s="29">
        <f t="shared" si="329"/>
        <v>-0.29287322413541916</v>
      </c>
      <c r="AG292" s="11">
        <v>0.28726286639158216</v>
      </c>
      <c r="AH292" s="11">
        <f t="shared" si="330"/>
        <v>0.87049353451994593</v>
      </c>
      <c r="AI292" s="11">
        <f t="shared" si="331"/>
        <v>-0.13869494711917163</v>
      </c>
      <c r="AJ292" s="11">
        <v>0.26657378033783419</v>
      </c>
      <c r="AK292" s="11">
        <f t="shared" si="332"/>
        <v>0.8077993343570733</v>
      </c>
      <c r="AL292" s="11">
        <f t="shared" si="333"/>
        <v>-0.21344159987263261</v>
      </c>
      <c r="AM292" s="11">
        <v>0.29484546616440754</v>
      </c>
      <c r="AN292" s="11">
        <v>0.5367296786008573</v>
      </c>
      <c r="AO292" s="11">
        <v>0.89347110958911369</v>
      </c>
      <c r="AP292" s="11">
        <f t="shared" si="312"/>
        <v>-0.11264127888513598</v>
      </c>
      <c r="AQ292" s="11">
        <v>0.23673666714921462</v>
      </c>
      <c r="AR292" s="11">
        <f t="shared" si="334"/>
        <v>0.71738383984610488</v>
      </c>
      <c r="AS292" s="11">
        <f t="shared" si="335"/>
        <v>-0.33214424013975313</v>
      </c>
      <c r="AT292" s="11">
        <v>0.42347873544006226</v>
      </c>
      <c r="AU292" s="11">
        <f t="shared" si="336"/>
        <v>1.2832688952729159</v>
      </c>
      <c r="AV292" s="11">
        <f t="shared" si="337"/>
        <v>0.24941064689529485</v>
      </c>
      <c r="AW292" s="11">
        <v>0.29630778465051877</v>
      </c>
      <c r="AX292" s="11">
        <f t="shared" si="338"/>
        <v>0.89790237772884474</v>
      </c>
      <c r="AY292" s="11">
        <f t="shared" si="339"/>
        <v>-0.10769392735904211</v>
      </c>
      <c r="AZ292" s="11">
        <v>0.28862445085289834</v>
      </c>
      <c r="BA292" s="11">
        <f t="shared" si="340"/>
        <v>0.87461954803908581</v>
      </c>
      <c r="BB292" s="11">
        <f t="shared" si="341"/>
        <v>-0.13396628941947097</v>
      </c>
      <c r="BC292" s="11">
        <v>0.21881899592249263</v>
      </c>
      <c r="BD292" s="11">
        <f t="shared" si="342"/>
        <v>0.66308786643179585</v>
      </c>
      <c r="BE292" s="11">
        <f t="shared" si="343"/>
        <v>-0.41084776902266279</v>
      </c>
      <c r="BF292" s="11">
        <v>0.34643758703827615</v>
      </c>
      <c r="BG292" s="11">
        <f t="shared" si="344"/>
        <v>1.049810869812958</v>
      </c>
      <c r="BH292" s="11">
        <f t="shared" si="345"/>
        <v>4.8610023957499221E-2</v>
      </c>
      <c r="BI292" s="11">
        <v>0.33401959911045176</v>
      </c>
      <c r="BJ292" s="11">
        <f t="shared" si="346"/>
        <v>1.0121806033650054</v>
      </c>
      <c r="BK292" s="11">
        <f t="shared" si="347"/>
        <v>1.2107016765984815E-2</v>
      </c>
      <c r="BL292" s="11">
        <v>0.44195087002207567</v>
      </c>
      <c r="BM292" s="11">
        <f t="shared" si="348"/>
        <v>1.3392450606729565</v>
      </c>
      <c r="BN292" s="11">
        <f t="shared" si="349"/>
        <v>0.29210606764292218</v>
      </c>
      <c r="BS292" t="b">
        <f t="shared" si="350"/>
        <v>0</v>
      </c>
      <c r="BU292" t="b">
        <f t="shared" si="351"/>
        <v>1</v>
      </c>
      <c r="BW292" t="b">
        <f t="shared" si="352"/>
        <v>1</v>
      </c>
    </row>
    <row r="293" spans="1:75">
      <c r="A293" s="87" t="s">
        <v>113</v>
      </c>
      <c r="B293" s="5">
        <f>'[64]Dados de entrada'!$B$28</f>
        <v>19.100000000000001</v>
      </c>
      <c r="C293" s="5">
        <f>'[64]Dados de entrada'!$B$31</f>
        <v>2</v>
      </c>
      <c r="D293" s="5">
        <f>'[64]Dados de entrada'!$B$32</f>
        <v>40</v>
      </c>
      <c r="E293" s="11">
        <f>'[64]Dados de entrada'!$B$27</f>
        <v>2.9208758709847928</v>
      </c>
      <c r="F293" s="5">
        <f>'[64]Dados de entrada'!$B$33</f>
        <v>30</v>
      </c>
      <c r="G293" s="5">
        <f>'[64]Dados de entrada'!$B$22</f>
        <v>39.5</v>
      </c>
      <c r="H293" s="78">
        <f>'[64]Dados de entrada'!$B$29/(2*'[64]Dados de entrada'!$B$20*G293)</f>
        <v>4.8354430379746835E-2</v>
      </c>
      <c r="I293" s="53" cm="1">
        <f t="array" ref="I293:I295">'[64]fib Model Code 2010'!$K$5:$K$7</f>
        <v>186.07636980767307</v>
      </c>
      <c r="J293" s="4" cm="1">
        <f t="array" ref="J293:J295">'[64]Dados de entrada'!$C$7:$C$9</f>
        <v>0.15</v>
      </c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11" cm="1">
        <f t="array" ref="AD293:AD295">'[64]fib Model Code 2010'!$L$5:$L$7</f>
        <v>0.1032071218664868</v>
      </c>
      <c r="AE293" s="11">
        <f t="shared" si="328"/>
        <v>0.68804747910991204</v>
      </c>
      <c r="AF293" s="29">
        <f t="shared" si="329"/>
        <v>-0.37389743309572249</v>
      </c>
      <c r="AG293" s="11" cm="1">
        <f t="array" ref="AG293:AG295">'[64]fib Model Code 2020'!$L$5:$L$7</f>
        <v>0.10161972003559995</v>
      </c>
      <c r="AH293" s="11">
        <f t="shared" si="330"/>
        <v>0.67746480023733302</v>
      </c>
      <c r="AI293" s="11">
        <f t="shared" si="331"/>
        <v>-0.38939768294725818</v>
      </c>
      <c r="AJ293" s="11" cm="1">
        <f t="array" ref="AJ293:AJ295">'[64]Eurocode 2'!$L$5:$L$7</f>
        <v>0.11173941238684416</v>
      </c>
      <c r="AK293" s="11">
        <f t="shared" si="332"/>
        <v>0.74492941591229445</v>
      </c>
      <c r="AL293" s="11">
        <f t="shared" si="333"/>
        <v>-0.29446580883293599</v>
      </c>
      <c r="AM293" s="11" cm="1">
        <f t="array" ref="AM293:AM295">'[64]NBR 6118'!$Q$5:$Q$7</f>
        <v>0.14739714796526618</v>
      </c>
      <c r="AN293" s="11" cm="1">
        <f t="array" ref="AN293:AN295">'[64]NBR 6118'!$R$5:$R$7</f>
        <v>0.13413584915294852</v>
      </c>
      <c r="AO293" s="11" cm="1">
        <f t="array" ref="AO293:AO295">'[64]NBR 6118'!$W$5:$W$7</f>
        <v>0.89423899435299015</v>
      </c>
      <c r="AP293" s="11">
        <f t="shared" si="312"/>
        <v>-0.11178220804427842</v>
      </c>
      <c r="AQ293" s="11" cm="1">
        <f t="array" ref="AQ293:AQ295">'[64]Clark (1956)'!$L$5:$L$7</f>
        <v>0.10395958284988495</v>
      </c>
      <c r="AR293" s="11">
        <f t="shared" si="334"/>
        <v>0.69306388566589971</v>
      </c>
      <c r="AS293" s="11">
        <f t="shared" si="335"/>
        <v>-0.36663309693312374</v>
      </c>
      <c r="AT293" s="11" cm="1">
        <f t="array" ref="AT293:AT295">'[64]Leonhardt (1977)'!$L$5:$L$7</f>
        <v>0.17694613044184809</v>
      </c>
      <c r="AU293" s="11">
        <f t="shared" si="336"/>
        <v>1.1796408696123206</v>
      </c>
      <c r="AV293" s="11">
        <f t="shared" si="337"/>
        <v>0.16521004436821782</v>
      </c>
      <c r="AW293" s="11" cm="1">
        <f t="array" ref="AW293:AW295">'[64]Desayi; Ganesan (1985)'!$L$5:$L$7</f>
        <v>0.14054518713617711</v>
      </c>
      <c r="AX293" s="11">
        <f t="shared" si="338"/>
        <v>0.93696791424118075</v>
      </c>
      <c r="AY293" s="11">
        <f t="shared" si="339"/>
        <v>-6.5106240402401386E-2</v>
      </c>
      <c r="AZ293" s="11" cm="1">
        <f t="array" ref="AZ293:AZ295">'[64]Oh; Kang (1987)'!$L$5:$L$7</f>
        <v>0.1196741754706913</v>
      </c>
      <c r="BA293" s="11">
        <f t="shared" si="340"/>
        <v>0.79782783647127531</v>
      </c>
      <c r="BB293" s="11">
        <f t="shared" si="341"/>
        <v>-0.22586244857869503</v>
      </c>
      <c r="BC293" s="11" cm="1">
        <f t="array" ref="BC293:BC295">'[64]Caldas (1997)'!$L$5:$L$7</f>
        <v>9.7403030647479835E-2</v>
      </c>
      <c r="BD293" s="11">
        <f t="shared" si="342"/>
        <v>0.64935353764986559</v>
      </c>
      <c r="BE293" s="11">
        <f t="shared" si="343"/>
        <v>-0.43177796845463701</v>
      </c>
      <c r="BF293" s="11" cm="1">
        <f t="array" ref="BF293:BF295">'[64]Gergely e Lutz (1968)'!$L$5:$L$7</f>
        <v>0.16432283599544276</v>
      </c>
      <c r="BG293" s="11">
        <f t="shared" si="344"/>
        <v>1.0954855733029518</v>
      </c>
      <c r="BH293" s="11">
        <f t="shared" si="345"/>
        <v>9.1197710914140001E-2</v>
      </c>
      <c r="BI293" s="11" cm="1">
        <f t="array" ref="BI293:BI295">[64]Sugestão!$M$5:$M$7</f>
        <v>0.10161972003559995</v>
      </c>
      <c r="BJ293" s="11">
        <f t="shared" si="346"/>
        <v>0.67746480023733302</v>
      </c>
      <c r="BK293" s="11">
        <f t="shared" si="347"/>
        <v>-0.38939768294725818</v>
      </c>
      <c r="BL293" s="11" cm="1">
        <f t="array" ref="BL293:BL295">'[64]fib Model Code 2020 modificado'!$L$5:$L$7</f>
        <v>0.15372554530263</v>
      </c>
      <c r="BM293" s="11">
        <f t="shared" si="348"/>
        <v>1.0248369686842</v>
      </c>
      <c r="BN293" s="11">
        <f t="shared" si="349"/>
        <v>2.4533544997548874E-2</v>
      </c>
      <c r="BS293" t="b">
        <f t="shared" si="350"/>
        <v>0</v>
      </c>
      <c r="BU293" t="b">
        <f t="shared" si="351"/>
        <v>1</v>
      </c>
      <c r="BW293" t="b">
        <f t="shared" si="352"/>
        <v>1</v>
      </c>
    </row>
    <row r="294" spans="1:75">
      <c r="A294" s="88"/>
      <c r="B294" s="5">
        <f>'[64]Dados de entrada'!$B$28</f>
        <v>19.100000000000001</v>
      </c>
      <c r="C294" s="5">
        <f>'[64]Dados de entrada'!$B$31</f>
        <v>2</v>
      </c>
      <c r="D294" s="5">
        <f>'[64]Dados de entrada'!$B$32</f>
        <v>40</v>
      </c>
      <c r="E294" s="11">
        <f>'[64]Dados de entrada'!$B$27</f>
        <v>2.9208758709847928</v>
      </c>
      <c r="F294" s="5">
        <f>'[64]Dados de entrada'!$B$33</f>
        <v>30</v>
      </c>
      <c r="G294" s="5">
        <f>'[64]Dados de entrada'!$B$22</f>
        <v>39.5</v>
      </c>
      <c r="H294" s="78">
        <f>'[64]Dados de entrada'!$B$29/(2*'[64]Dados de entrada'!$B$20*G294)</f>
        <v>4.8354430379746835E-2</v>
      </c>
      <c r="I294" s="53">
        <v>259.17780080354459</v>
      </c>
      <c r="J294" s="4">
        <v>0.25</v>
      </c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11">
        <v>0.15390130162989973</v>
      </c>
      <c r="AE294" s="11">
        <f t="shared" si="328"/>
        <v>0.61560520651959894</v>
      </c>
      <c r="AF294" s="29">
        <f t="shared" si="329"/>
        <v>-0.48514941941900219</v>
      </c>
      <c r="AG294" s="11">
        <v>0.16742585311812797</v>
      </c>
      <c r="AH294" s="11">
        <f t="shared" si="330"/>
        <v>0.66970341247251186</v>
      </c>
      <c r="AI294" s="11">
        <f t="shared" si="331"/>
        <v>-0.40092033255498172</v>
      </c>
      <c r="AJ294" s="11">
        <v>0.16662455747910535</v>
      </c>
      <c r="AK294" s="11">
        <f t="shared" si="332"/>
        <v>0.66649822991642138</v>
      </c>
      <c r="AL294" s="11">
        <f t="shared" si="333"/>
        <v>-0.40571779515621559</v>
      </c>
      <c r="AM294" s="11">
        <v>0.20530317038019216</v>
      </c>
      <c r="AN294" s="11">
        <v>0.26023039102249323</v>
      </c>
      <c r="AO294" s="11">
        <v>0.82121268152076865</v>
      </c>
      <c r="AP294" s="11">
        <f t="shared" si="312"/>
        <v>-0.19697315128639484</v>
      </c>
      <c r="AQ294" s="11">
        <v>0.15102593919657681</v>
      </c>
      <c r="AR294" s="11">
        <f t="shared" si="334"/>
        <v>0.60410375678630723</v>
      </c>
      <c r="AS294" s="11">
        <f t="shared" si="335"/>
        <v>-0.50400931304150387</v>
      </c>
      <c r="AT294" s="11">
        <v>0.26729001115865386</v>
      </c>
      <c r="AU294" s="11">
        <f t="shared" si="336"/>
        <v>1.0691600446346154</v>
      </c>
      <c r="AV294" s="11">
        <f t="shared" si="337"/>
        <v>6.6873335181656793E-2</v>
      </c>
      <c r="AW294" s="11">
        <v>0.19575936779681807</v>
      </c>
      <c r="AX294" s="11">
        <f t="shared" si="338"/>
        <v>0.78303747118727229</v>
      </c>
      <c r="AY294" s="11">
        <f t="shared" si="339"/>
        <v>-0.24457472821394982</v>
      </c>
      <c r="AZ294" s="11">
        <v>0.17956307804731475</v>
      </c>
      <c r="BA294" s="11">
        <f t="shared" si="340"/>
        <v>0.718252312189259</v>
      </c>
      <c r="BB294" s="11">
        <f t="shared" si="341"/>
        <v>-0.33093436192950831</v>
      </c>
      <c r="BC294" s="11">
        <v>0.14044213726717661</v>
      </c>
      <c r="BD294" s="11">
        <f t="shared" si="342"/>
        <v>0.56176854906870644</v>
      </c>
      <c r="BE294" s="11">
        <f t="shared" si="343"/>
        <v>-0.57666534831284155</v>
      </c>
      <c r="BF294" s="11">
        <v>0.22887823585079523</v>
      </c>
      <c r="BG294" s="11">
        <f t="shared" si="344"/>
        <v>0.9155129434031809</v>
      </c>
      <c r="BH294" s="11">
        <f t="shared" si="345"/>
        <v>-8.8270776897408462E-2</v>
      </c>
      <c r="BI294" s="11">
        <v>0.18341100895567153</v>
      </c>
      <c r="BJ294" s="11">
        <f t="shared" si="346"/>
        <v>0.73364403582268611</v>
      </c>
      <c r="BK294" s="11">
        <f t="shared" si="347"/>
        <v>-0.30973133282032173</v>
      </c>
      <c r="BL294" s="11">
        <v>0.25050161426861189</v>
      </c>
      <c r="BM294" s="11">
        <f t="shared" si="348"/>
        <v>1.0020064570744476</v>
      </c>
      <c r="BN294" s="11">
        <f t="shared" si="349"/>
        <v>2.0044468279848036E-3</v>
      </c>
      <c r="BS294" t="b">
        <f t="shared" si="350"/>
        <v>0</v>
      </c>
      <c r="BU294" t="b">
        <f t="shared" si="351"/>
        <v>1</v>
      </c>
      <c r="BW294" t="b">
        <f t="shared" si="352"/>
        <v>1</v>
      </c>
    </row>
    <row r="295" spans="1:75">
      <c r="A295" s="89"/>
      <c r="B295" s="5">
        <f>'[64]Dados de entrada'!$B$28</f>
        <v>19.100000000000001</v>
      </c>
      <c r="C295" s="5">
        <f>'[64]Dados de entrada'!$B$31</f>
        <v>2</v>
      </c>
      <c r="D295" s="5">
        <f>'[64]Dados de entrada'!$B$32</f>
        <v>40</v>
      </c>
      <c r="E295" s="11">
        <f>'[64]Dados de entrada'!$B$27</f>
        <v>2.9208758709847928</v>
      </c>
      <c r="F295" s="5">
        <f>'[64]Dados de entrada'!$B$33</f>
        <v>30</v>
      </c>
      <c r="G295" s="5">
        <f>'[64]Dados de entrada'!$B$22</f>
        <v>39.5</v>
      </c>
      <c r="H295" s="78">
        <f>'[64]Dados de entrada'!$B$29/(2*'[64]Dados de entrada'!$B$20*G295)</f>
        <v>4.8354430379746835E-2</v>
      </c>
      <c r="I295" s="53">
        <v>333.22860103312883</v>
      </c>
      <c r="J295" s="4">
        <v>0.28000000000000003</v>
      </c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11">
        <v>0.20525384736426619</v>
      </c>
      <c r="AE295" s="11">
        <f t="shared" si="328"/>
        <v>0.73304945487237916</v>
      </c>
      <c r="AF295" s="29">
        <f t="shared" si="329"/>
        <v>-0.31054211024130329</v>
      </c>
      <c r="AG295" s="11">
        <v>0.23408661130562394</v>
      </c>
      <c r="AH295" s="11">
        <f t="shared" si="330"/>
        <v>0.83602361180579976</v>
      </c>
      <c r="AI295" s="11">
        <f t="shared" si="331"/>
        <v>-0.17909842250944186</v>
      </c>
      <c r="AJ295" s="11">
        <v>0.22222249666347391</v>
      </c>
      <c r="AK295" s="11">
        <f t="shared" si="332"/>
        <v>0.79365177379812102</v>
      </c>
      <c r="AL295" s="11">
        <f t="shared" si="333"/>
        <v>-0.23111048597851674</v>
      </c>
      <c r="AM295" s="11">
        <v>0.26396121906024711</v>
      </c>
      <c r="AN295" s="11">
        <v>0.43017676883310102</v>
      </c>
      <c r="AO295" s="11">
        <v>0.94271863950088242</v>
      </c>
      <c r="AP295" s="11">
        <f t="shared" si="312"/>
        <v>-5.8987408312491905E-2</v>
      </c>
      <c r="AQ295" s="11">
        <v>0.19870354692439463</v>
      </c>
      <c r="AR295" s="11">
        <f t="shared" si="334"/>
        <v>0.70965552472998072</v>
      </c>
      <c r="AS295" s="11">
        <f t="shared" si="335"/>
        <v>-0.34297560311959358</v>
      </c>
      <c r="AT295" s="11">
        <v>0.35491326945201562</v>
      </c>
      <c r="AU295" s="11">
        <f t="shared" si="336"/>
        <v>1.2675473909000556</v>
      </c>
      <c r="AV295" s="11">
        <f t="shared" si="337"/>
        <v>0.2370838450545007</v>
      </c>
      <c r="AW295" s="11">
        <v>0.25169061573876617</v>
      </c>
      <c r="AX295" s="11">
        <f t="shared" si="338"/>
        <v>0.89889505620987908</v>
      </c>
      <c r="AY295" s="11">
        <f t="shared" si="339"/>
        <v>-0.10658898524004672</v>
      </c>
      <c r="AZ295" s="11">
        <v>0.24022975857947892</v>
      </c>
      <c r="BA295" s="11">
        <f t="shared" si="340"/>
        <v>0.85796342349813892</v>
      </c>
      <c r="BB295" s="11">
        <f t="shared" si="341"/>
        <v>-0.15319381035840618</v>
      </c>
      <c r="BC295" s="11">
        <v>0.18404019332349289</v>
      </c>
      <c r="BD295" s="11">
        <f t="shared" si="342"/>
        <v>0.65728640472676025</v>
      </c>
      <c r="BE295" s="11">
        <f t="shared" si="343"/>
        <v>-0.4196354274397337</v>
      </c>
      <c r="BF295" s="11">
        <v>0.29427201752245108</v>
      </c>
      <c r="BG295" s="11">
        <f t="shared" si="344"/>
        <v>1.0509714911516108</v>
      </c>
      <c r="BH295" s="11">
        <f t="shared" si="345"/>
        <v>4.9714966076494518E-2</v>
      </c>
      <c r="BI295" s="11">
        <v>0.26718882129448629</v>
      </c>
      <c r="BJ295" s="11">
        <f t="shared" si="346"/>
        <v>0.95424579033745094</v>
      </c>
      <c r="BK295" s="11">
        <f t="shared" si="347"/>
        <v>-4.6833998854659636E-2</v>
      </c>
      <c r="BL295" s="11">
        <v>0.35457335569849135</v>
      </c>
      <c r="BM295" s="11">
        <f t="shared" si="348"/>
        <v>1.2663334132088975</v>
      </c>
      <c r="BN295" s="11">
        <f t="shared" si="349"/>
        <v>0.23612564861363175</v>
      </c>
      <c r="BS295" t="b">
        <f t="shared" si="350"/>
        <v>0</v>
      </c>
      <c r="BU295" t="b">
        <f t="shared" si="351"/>
        <v>1</v>
      </c>
      <c r="BW295" t="b">
        <f t="shared" si="352"/>
        <v>1</v>
      </c>
    </row>
    <row r="296" spans="1:75">
      <c r="A296" s="87" t="s">
        <v>115</v>
      </c>
      <c r="B296" s="5">
        <f>'[65]Dados de entrada'!$B$28</f>
        <v>15.9</v>
      </c>
      <c r="C296" s="5">
        <f>'[65]Dados de entrada'!$B$31</f>
        <v>2</v>
      </c>
      <c r="D296" s="5">
        <f>'[65]Dados de entrada'!$B$32</f>
        <v>46</v>
      </c>
      <c r="E296" s="11">
        <f>'[65]Dados de entrada'!$B$27</f>
        <v>3.3538794827423906</v>
      </c>
      <c r="F296" s="5">
        <f>'[65]Dados de entrada'!$B$30</f>
        <v>30</v>
      </c>
      <c r="G296" s="5">
        <f>'[65]Dados de entrada'!$B$22</f>
        <v>38</v>
      </c>
      <c r="H296" s="78">
        <f>'[65]Dados de entrada'!$B$29/(2*'[65]Dados de entrada'!$B$20*G296)</f>
        <v>3.4842105263157896E-2</v>
      </c>
      <c r="I296" s="53" cm="1">
        <f t="array" ref="I296:I297">'[65]fib Model Code 2010'!$K$5:$K$6</f>
        <v>365.47269151625068</v>
      </c>
      <c r="J296" s="4" cm="1">
        <f t="array" ref="J296:J297">'[65]Dados de entrada'!$C$7:$C$8</f>
        <v>0.2</v>
      </c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11" cm="1">
        <f t="array" ref="AD296:AD297">'[65]fib Model Code 2010'!$L$5:$L$6</f>
        <v>0.24787609391279472</v>
      </c>
      <c r="AE296" s="11">
        <f t="shared" si="328"/>
        <v>1.2393804695639736</v>
      </c>
      <c r="AF296" s="29">
        <f t="shared" si="329"/>
        <v>0.21461163344525036</v>
      </c>
      <c r="AG296" s="11" cm="1">
        <f t="array" ref="AG296:AG297">'[65]fib Model Code 2020'!$L$5:$L$6</f>
        <v>0.2559318537568821</v>
      </c>
      <c r="AH296" s="11">
        <f t="shared" si="330"/>
        <v>1.2796592687844104</v>
      </c>
      <c r="AI296" s="11">
        <f t="shared" si="331"/>
        <v>0.24659384623283256</v>
      </c>
      <c r="AJ296" s="11" cm="1">
        <f t="array" ref="AJ296:AJ297">'[65]Eurocode 2'!$L$5:$L$6</f>
        <v>0.25197930642052585</v>
      </c>
      <c r="AK296" s="11">
        <f t="shared" si="332"/>
        <v>1.2598965321026292</v>
      </c>
      <c r="AL296" s="11">
        <f t="shared" si="333"/>
        <v>0.23102960021270436</v>
      </c>
      <c r="AM296" s="11" cm="1">
        <f t="array" ref="AM296:AM297">'[65]NBR 6118'!$Q$5:$Q$6</f>
        <v>0.28615588585613794</v>
      </c>
      <c r="AN296" s="11" cm="1">
        <f t="array" ref="AN296:AN297">'[65]NBR 6118'!$R$5:$R$6</f>
        <v>0.37406287588439796</v>
      </c>
      <c r="AO296" s="11" cm="1">
        <f t="array" ref="AO296:AO297">'[65]NBR 6118'!$W$5:$W$6</f>
        <v>1.4307794292806897</v>
      </c>
      <c r="AP296" s="11">
        <f t="shared" si="312"/>
        <v>0.35821935122409471</v>
      </c>
      <c r="AQ296" s="11" cm="1">
        <f t="array" ref="AQ296:AQ297">'[65]Clark (1956)'!$L$5:$L$6</f>
        <v>0.2463075496810074</v>
      </c>
      <c r="AR296" s="11">
        <f t="shared" si="334"/>
        <v>1.2315377484050369</v>
      </c>
      <c r="AS296" s="11">
        <f t="shared" si="335"/>
        <v>0.20826359048792331</v>
      </c>
      <c r="AT296" s="11" cm="1">
        <f t="array" ref="AT296:AT297">'[65]Leonhardt (1977)'!$L$5:$L$6</f>
        <v>0.40653331382420199</v>
      </c>
      <c r="AU296" s="11">
        <f t="shared" si="336"/>
        <v>2.0326665691210097</v>
      </c>
      <c r="AV296" s="11">
        <f t="shared" si="337"/>
        <v>0.70934851190894421</v>
      </c>
      <c r="AW296" s="11" cm="1">
        <f t="array" ref="AW296:AW297">'[65]Desayi; Ganesan (1985)'!$L$5:$L$6</f>
        <v>0.30775363409033601</v>
      </c>
      <c r="AX296" s="11">
        <f t="shared" si="338"/>
        <v>1.53876817045168</v>
      </c>
      <c r="AY296" s="11">
        <f t="shared" si="339"/>
        <v>0.43098220702628887</v>
      </c>
      <c r="AZ296" s="11" cm="1">
        <f t="array" ref="AZ296:AZ297">'[65]Oh; Kang (1987)'!$L$5:$L$6</f>
        <v>0.24388415917646628</v>
      </c>
      <c r="BA296" s="11">
        <f t="shared" si="340"/>
        <v>1.2194207958823313</v>
      </c>
      <c r="BB296" s="11">
        <f t="shared" si="341"/>
        <v>0.19837598853865498</v>
      </c>
      <c r="BC296" s="11" cm="1">
        <f t="array" ref="BC296:BC297">'[65]Caldas (1997)'!$L$5:$L$6</f>
        <v>0.1992910913817868</v>
      </c>
      <c r="BD296" s="11">
        <f t="shared" si="342"/>
        <v>0.996455456908934</v>
      </c>
      <c r="BE296" s="11">
        <f t="shared" si="343"/>
        <v>-3.5508398677959164E-3</v>
      </c>
      <c r="BF296" s="11" cm="1">
        <f t="array" ref="BF296:BF297">'[65]Gergely e Lutz (1968)'!$L$5:$L$6</f>
        <v>0.30500771306213503</v>
      </c>
      <c r="BG296" s="11">
        <f t="shared" si="344"/>
        <v>1.5250385653106751</v>
      </c>
      <c r="BH296" s="11">
        <f t="shared" si="345"/>
        <v>0.42201969846793197</v>
      </c>
      <c r="BI296" s="11" cm="1">
        <f t="array" ref="BI296:BI297">[65]Sugestão!$M$5:$M$6</f>
        <v>0.31638565265359381</v>
      </c>
      <c r="BJ296" s="11">
        <f t="shared" si="346"/>
        <v>1.581928263267969</v>
      </c>
      <c r="BK296" s="11">
        <f t="shared" si="347"/>
        <v>0.45864452272185113</v>
      </c>
      <c r="BL296" s="11" cm="1">
        <f t="array" ref="BL296:BL297">'[65]fib Model Code 2020 modificado'!$L$5:$L$6</f>
        <v>0.34704935812947924</v>
      </c>
      <c r="BM296" s="11">
        <f t="shared" si="348"/>
        <v>1.7352467906473961</v>
      </c>
      <c r="BN296" s="11">
        <f t="shared" si="349"/>
        <v>0.55114964573139158</v>
      </c>
      <c r="BS296" t="b">
        <f t="shared" si="350"/>
        <v>0</v>
      </c>
      <c r="BU296" t="b">
        <f t="shared" si="351"/>
        <v>1</v>
      </c>
      <c r="BW296" t="b">
        <f t="shared" si="352"/>
        <v>1</v>
      </c>
    </row>
    <row r="297" spans="1:75">
      <c r="A297" s="89"/>
      <c r="B297" s="5">
        <f>'[65]Dados de entrada'!$B$28</f>
        <v>15.9</v>
      </c>
      <c r="C297" s="5">
        <f>'[65]Dados de entrada'!$B$31</f>
        <v>2</v>
      </c>
      <c r="D297" s="5">
        <f>'[65]Dados de entrada'!$B$32</f>
        <v>46</v>
      </c>
      <c r="E297" s="11">
        <f>'[65]Dados de entrada'!$B$27</f>
        <v>3.3538794827423906</v>
      </c>
      <c r="F297" s="5">
        <f>'[65]Dados de entrada'!$B$30</f>
        <v>30</v>
      </c>
      <c r="G297" s="5">
        <f>'[65]Dados de entrada'!$B$22</f>
        <v>38</v>
      </c>
      <c r="H297" s="78">
        <f>'[65]Dados de entrada'!$B$29/(2*'[65]Dados de entrada'!$B$20*G297)</f>
        <v>3.4842105263157896E-2</v>
      </c>
      <c r="I297" s="53">
        <v>392.3</v>
      </c>
      <c r="J297" s="4">
        <v>0.22</v>
      </c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11">
        <v>0.26952078089345077</v>
      </c>
      <c r="AE297" s="11">
        <f t="shared" si="328"/>
        <v>1.2250944586065944</v>
      </c>
      <c r="AF297" s="29">
        <f t="shared" si="329"/>
        <v>0.20301795009054671</v>
      </c>
      <c r="AG297" s="11">
        <v>0.28192769917035537</v>
      </c>
      <c r="AH297" s="11">
        <f t="shared" si="330"/>
        <v>1.2814895416834335</v>
      </c>
      <c r="AI297" s="11">
        <f t="shared" si="331"/>
        <v>0.24802310579253745</v>
      </c>
      <c r="AJ297" s="11">
        <v>0.27398228834178312</v>
      </c>
      <c r="AK297" s="11">
        <f t="shared" si="332"/>
        <v>1.245374037917196</v>
      </c>
      <c r="AL297" s="11">
        <f t="shared" si="333"/>
        <v>0.21943591685800073</v>
      </c>
      <c r="AM297" s="11">
        <v>0.29185886340253192</v>
      </c>
      <c r="AN297" s="11">
        <v>0.38912131038557102</v>
      </c>
      <c r="AO297" s="11">
        <v>1.326631197284236</v>
      </c>
      <c r="AP297" s="11">
        <f t="shared" si="312"/>
        <v>0.28264279455543101</v>
      </c>
      <c r="AQ297" s="11">
        <v>0.26626281210622382</v>
      </c>
      <c r="AR297" s="11">
        <f t="shared" si="334"/>
        <v>1.2102855095737446</v>
      </c>
      <c r="AS297" s="11">
        <f t="shared" si="335"/>
        <v>0.19085629010027114</v>
      </c>
      <c r="AT297" s="11">
        <v>0.44076646673889397</v>
      </c>
      <c r="AU297" s="11">
        <f t="shared" si="336"/>
        <v>2.0034839397222455</v>
      </c>
      <c r="AV297" s="11">
        <f t="shared" si="337"/>
        <v>0.69488763495124939</v>
      </c>
      <c r="AW297" s="11">
        <v>0.33034410902974537</v>
      </c>
      <c r="AX297" s="11">
        <f t="shared" si="338"/>
        <v>1.5015641319533881</v>
      </c>
      <c r="AY297" s="11">
        <f t="shared" si="339"/>
        <v>0.40650731945278806</v>
      </c>
      <c r="AZ297" s="11">
        <v>0.26398647726050195</v>
      </c>
      <c r="BA297" s="11">
        <f t="shared" si="340"/>
        <v>1.1999385330022816</v>
      </c>
      <c r="BB297" s="11">
        <f t="shared" si="341"/>
        <v>0.18227033298393899</v>
      </c>
      <c r="BC297" s="11">
        <v>0.21484833224410843</v>
      </c>
      <c r="BD297" s="11">
        <f t="shared" si="342"/>
        <v>0.9765833283823111</v>
      </c>
      <c r="BE297" s="11">
        <f t="shared" si="343"/>
        <v>-2.3695198581273655E-2</v>
      </c>
      <c r="BF297" s="11">
        <v>0.32739662527960767</v>
      </c>
      <c r="BG297" s="11">
        <f t="shared" si="344"/>
        <v>1.4881664785436712</v>
      </c>
      <c r="BH297" s="11">
        <f t="shared" si="345"/>
        <v>0.39754481089443128</v>
      </c>
      <c r="BI297" s="11">
        <v>0.35162528560688727</v>
      </c>
      <c r="BJ297" s="11">
        <f t="shared" si="346"/>
        <v>1.5982967527585785</v>
      </c>
      <c r="BK297" s="11">
        <f t="shared" si="347"/>
        <v>0.46893853270585356</v>
      </c>
      <c r="BL297" s="11">
        <v>0.38306358553276815</v>
      </c>
      <c r="BM297" s="11">
        <f t="shared" si="348"/>
        <v>1.741198116058037</v>
      </c>
      <c r="BN297" s="11">
        <f t="shared" si="349"/>
        <v>0.5545734487163464</v>
      </c>
      <c r="BS297" t="b">
        <f t="shared" si="350"/>
        <v>0</v>
      </c>
      <c r="BU297" t="b">
        <f t="shared" si="351"/>
        <v>1</v>
      </c>
      <c r="BW297" t="b">
        <f t="shared" si="352"/>
        <v>1</v>
      </c>
    </row>
    <row r="298" spans="1:75">
      <c r="A298" s="87" t="s">
        <v>116</v>
      </c>
      <c r="B298" s="5">
        <f>'[66]Dados de entrada'!$B$28</f>
        <v>15.9</v>
      </c>
      <c r="C298" s="5">
        <f>'[66]Dados de entrada'!$B$31</f>
        <v>2</v>
      </c>
      <c r="D298" s="5">
        <f>'[66]Dados de entrada'!$B$32</f>
        <v>46</v>
      </c>
      <c r="E298" s="11">
        <f>'[66]Dados de entrada'!$B$27</f>
        <v>3.3538794827423906</v>
      </c>
      <c r="F298" s="5">
        <f>'[66]Dados de entrada'!$B$30</f>
        <v>30</v>
      </c>
      <c r="G298" s="5">
        <f>'[66]Dados de entrada'!$B$22</f>
        <v>38</v>
      </c>
      <c r="H298" s="78">
        <f>'[66]Dados de entrada'!$B$29/(2*'[66]Dados de entrada'!$B$20*G298)</f>
        <v>3.4842105263157896E-2</v>
      </c>
      <c r="I298" s="53" cm="1">
        <f t="array" ref="I298:I299">'[66]fib Model Code 2010'!$K$5:$K$6</f>
        <v>365.47269151625068</v>
      </c>
      <c r="J298" s="4" cm="1">
        <f t="array" ref="J298:J299">'[66]Dados de entrada'!$C$7:$C$8</f>
        <v>0.17</v>
      </c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11" cm="1">
        <f t="array" ref="AD298:AD299">'[66]fib Model Code 2010'!$L$5:$L$6</f>
        <v>0.24787609391279472</v>
      </c>
      <c r="AE298" s="11">
        <f t="shared" si="328"/>
        <v>1.4580946700752631</v>
      </c>
      <c r="AF298" s="29">
        <f t="shared" si="329"/>
        <v>0.37713056294302522</v>
      </c>
      <c r="AG298" s="11" cm="1">
        <f t="array" ref="AG298:AG299">'[66]fib Model Code 2020'!$L$5:$L$6</f>
        <v>0.2559318537568821</v>
      </c>
      <c r="AH298" s="11">
        <f t="shared" si="330"/>
        <v>1.5054814926875417</v>
      </c>
      <c r="AI298" s="11">
        <f t="shared" si="331"/>
        <v>0.40911277573060756</v>
      </c>
      <c r="AJ298" s="11" cm="1">
        <f t="array" ref="AJ298:AJ299">'[66]Eurocode 2'!$L$5:$L$6</f>
        <v>0.25197930642052585</v>
      </c>
      <c r="AK298" s="11">
        <f t="shared" si="332"/>
        <v>1.4822312142383873</v>
      </c>
      <c r="AL298" s="11">
        <f t="shared" si="333"/>
        <v>0.39354852971047932</v>
      </c>
      <c r="AM298" s="11" cm="1">
        <f t="array" ref="AM298:AM299">'[66]NBR 6118'!$Q$5:$Q$6</f>
        <v>0.28615588585613794</v>
      </c>
      <c r="AN298" s="11" cm="1">
        <f t="array" ref="AN298:AN299">'[66]NBR 6118'!$R$5:$R$6</f>
        <v>0.37406287588439796</v>
      </c>
      <c r="AO298" s="11" cm="1">
        <f t="array" ref="AO298:AO299">'[66]NBR 6118'!$W$5:$W$6</f>
        <v>1.6832699168008112</v>
      </c>
      <c r="AP298" s="11">
        <f t="shared" si="312"/>
        <v>0.52073828072186945</v>
      </c>
      <c r="AQ298" s="11" cm="1">
        <f t="array" ref="AQ298:AQ299">'[66]Clark (1956)'!$L$5:$L$6</f>
        <v>0.2463075496810074</v>
      </c>
      <c r="AR298" s="11">
        <f t="shared" si="334"/>
        <v>1.4488679393000434</v>
      </c>
      <c r="AS298" s="11">
        <f t="shared" si="335"/>
        <v>0.37078251998569822</v>
      </c>
      <c r="AT298" s="11" cm="1">
        <f t="array" ref="AT298:AT299">'[66]Leonhardt (1977)'!$L$5:$L$6</f>
        <v>0.40653331382420199</v>
      </c>
      <c r="AU298" s="11">
        <f t="shared" si="336"/>
        <v>2.3913724342600116</v>
      </c>
      <c r="AV298" s="11">
        <f t="shared" si="337"/>
        <v>0.87186744140671912</v>
      </c>
      <c r="AW298" s="11" cm="1">
        <f t="array" ref="AW298:AW299">'[66]Desayi; Ganesan (1985)'!$L$5:$L$6</f>
        <v>0.30775363409033601</v>
      </c>
      <c r="AX298" s="11">
        <f t="shared" si="338"/>
        <v>1.8103154946490352</v>
      </c>
      <c r="AY298" s="11">
        <f t="shared" si="339"/>
        <v>0.59350113652406367</v>
      </c>
      <c r="AZ298" s="11" cm="1">
        <f t="array" ref="AZ298:AZ299">'[66]Oh; Kang (1987)'!$L$5:$L$6</f>
        <v>0.24388415917646628</v>
      </c>
      <c r="BA298" s="11">
        <f t="shared" si="340"/>
        <v>1.4346127010380367</v>
      </c>
      <c r="BB298" s="11">
        <f t="shared" si="341"/>
        <v>0.36089491803642981</v>
      </c>
      <c r="BC298" s="11" cm="1">
        <f t="array" ref="BC298:BC299">'[66]Caldas (1997)'!$L$5:$L$6</f>
        <v>0.1992910913817868</v>
      </c>
      <c r="BD298" s="11">
        <f t="shared" si="342"/>
        <v>1.1723005375399222</v>
      </c>
      <c r="BE298" s="11">
        <f t="shared" si="343"/>
        <v>0.15896808962997891</v>
      </c>
      <c r="BF298" s="11" cm="1">
        <f t="array" ref="BF298:BF299">'[66]Gergely e Lutz (1968)'!$L$5:$L$6</f>
        <v>0.30500771306213503</v>
      </c>
      <c r="BG298" s="11">
        <f t="shared" si="344"/>
        <v>1.794163018012559</v>
      </c>
      <c r="BH298" s="11">
        <f t="shared" si="345"/>
        <v>0.58453862796570688</v>
      </c>
      <c r="BI298" s="11" cm="1">
        <f t="array" ref="BI298:BI299">[66]Sugestão!$M$5:$M$6</f>
        <v>0.31638565265359381</v>
      </c>
      <c r="BJ298" s="11">
        <f t="shared" si="346"/>
        <v>1.8610920744329047</v>
      </c>
      <c r="BK298" s="11">
        <f t="shared" si="347"/>
        <v>0.6211634522196261</v>
      </c>
      <c r="BL298" s="11" cm="1">
        <f t="array" ref="BL298:BL299">'[66]fib Model Code 2020 modificado'!$L$5:$L$6</f>
        <v>0.34704935812947924</v>
      </c>
      <c r="BM298" s="11">
        <f t="shared" si="348"/>
        <v>2.0414668125263482</v>
      </c>
      <c r="BN298" s="11">
        <f t="shared" si="349"/>
        <v>0.71366857522916649</v>
      </c>
      <c r="BS298" t="b">
        <f t="shared" si="350"/>
        <v>0</v>
      </c>
      <c r="BU298" t="b">
        <f t="shared" si="351"/>
        <v>1</v>
      </c>
      <c r="BW298" t="b">
        <f t="shared" si="352"/>
        <v>1</v>
      </c>
    </row>
    <row r="299" spans="1:75">
      <c r="A299" s="89"/>
      <c r="B299" s="5">
        <f>'[66]Dados de entrada'!$B$28</f>
        <v>15.9</v>
      </c>
      <c r="C299" s="5">
        <f>'[66]Dados de entrada'!$B$31</f>
        <v>2</v>
      </c>
      <c r="D299" s="5">
        <f>'[66]Dados de entrada'!$B$32</f>
        <v>46</v>
      </c>
      <c r="E299" s="11">
        <f>'[66]Dados de entrada'!$B$27</f>
        <v>3.3538794827423906</v>
      </c>
      <c r="F299" s="5">
        <f>'[66]Dados de entrada'!$B$30</f>
        <v>30</v>
      </c>
      <c r="G299" s="5">
        <f>'[66]Dados de entrada'!$B$22</f>
        <v>38</v>
      </c>
      <c r="H299" s="78">
        <f>'[66]Dados de entrada'!$B$29/(2*'[66]Dados de entrada'!$B$20*G299)</f>
        <v>3.4842105263157896E-2</v>
      </c>
      <c r="I299" s="53">
        <v>392.3</v>
      </c>
      <c r="J299" s="4">
        <v>0.21</v>
      </c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11">
        <v>0.26952078089345077</v>
      </c>
      <c r="AE299" s="11">
        <f t="shared" si="328"/>
        <v>1.2834322899688133</v>
      </c>
      <c r="AF299" s="29">
        <f t="shared" si="329"/>
        <v>0.24953796572543968</v>
      </c>
      <c r="AG299" s="11">
        <v>0.28192769917035537</v>
      </c>
      <c r="AH299" s="11">
        <f t="shared" si="330"/>
        <v>1.3425128531921684</v>
      </c>
      <c r="AI299" s="11">
        <f t="shared" si="331"/>
        <v>0.29454312142743028</v>
      </c>
      <c r="AJ299" s="11">
        <v>0.27398228834178312</v>
      </c>
      <c r="AK299" s="11">
        <f t="shared" si="332"/>
        <v>1.3046775635323007</v>
      </c>
      <c r="AL299" s="11">
        <f t="shared" si="333"/>
        <v>0.26595593249289368</v>
      </c>
      <c r="AM299" s="11">
        <v>0.29185886340253192</v>
      </c>
      <c r="AN299" s="11">
        <v>0.38912131038557102</v>
      </c>
      <c r="AO299" s="11">
        <v>1.3898041114406283</v>
      </c>
      <c r="AP299" s="11">
        <f t="shared" si="312"/>
        <v>0.32916281019032401</v>
      </c>
      <c r="AQ299" s="11">
        <v>0.26626281210622382</v>
      </c>
      <c r="AR299" s="11">
        <f t="shared" si="334"/>
        <v>1.2679181528867802</v>
      </c>
      <c r="AS299" s="11">
        <f t="shared" si="335"/>
        <v>0.23737630573516413</v>
      </c>
      <c r="AT299" s="11">
        <v>0.44076646673889397</v>
      </c>
      <c r="AU299" s="11">
        <f t="shared" si="336"/>
        <v>2.098887936851876</v>
      </c>
      <c r="AV299" s="11">
        <f t="shared" si="337"/>
        <v>0.74140765058614222</v>
      </c>
      <c r="AW299" s="11">
        <v>0.33034410902974537</v>
      </c>
      <c r="AX299" s="11">
        <f t="shared" si="338"/>
        <v>1.5730671858559304</v>
      </c>
      <c r="AY299" s="11">
        <f t="shared" si="339"/>
        <v>0.45302733508768095</v>
      </c>
      <c r="AZ299" s="11">
        <v>0.26398647726050195</v>
      </c>
      <c r="BA299" s="11">
        <f t="shared" si="340"/>
        <v>1.2570784631452474</v>
      </c>
      <c r="BB299" s="11">
        <f t="shared" si="341"/>
        <v>0.22879034861883188</v>
      </c>
      <c r="BC299" s="11">
        <v>0.21484833224410843</v>
      </c>
      <c r="BD299" s="11">
        <f t="shared" si="342"/>
        <v>1.0230872964005164</v>
      </c>
      <c r="BE299" s="11">
        <f t="shared" si="343"/>
        <v>2.2824817053619245E-2</v>
      </c>
      <c r="BF299" s="11">
        <v>0.32739662527960767</v>
      </c>
      <c r="BG299" s="11">
        <f t="shared" si="344"/>
        <v>1.5590315489505127</v>
      </c>
      <c r="BH299" s="11">
        <f t="shared" si="345"/>
        <v>0.44406482652932405</v>
      </c>
      <c r="BI299" s="11">
        <v>0.35162528560688727</v>
      </c>
      <c r="BJ299" s="11">
        <f t="shared" si="346"/>
        <v>1.6744061219375586</v>
      </c>
      <c r="BK299" s="11">
        <f t="shared" si="347"/>
        <v>0.51545854834074645</v>
      </c>
      <c r="BL299" s="11">
        <v>0.38306358553276815</v>
      </c>
      <c r="BM299" s="11">
        <f t="shared" si="348"/>
        <v>1.8241123120608007</v>
      </c>
      <c r="BN299" s="11">
        <f t="shared" si="349"/>
        <v>0.60109346435123934</v>
      </c>
      <c r="BS299" t="b">
        <f t="shared" si="350"/>
        <v>0</v>
      </c>
      <c r="BU299" t="b">
        <f t="shared" si="351"/>
        <v>1</v>
      </c>
      <c r="BW299" t="b">
        <f t="shared" si="352"/>
        <v>1</v>
      </c>
    </row>
    <row r="300" spans="1:75" ht="13.2" customHeight="1">
      <c r="A300" s="87" t="s">
        <v>117</v>
      </c>
      <c r="B300" s="5">
        <f>'[67]Dados de entrada'!$B$28</f>
        <v>19.100000000000001</v>
      </c>
      <c r="C300" s="5">
        <f>'[67]Dados de entrada'!$B$31</f>
        <v>2</v>
      </c>
      <c r="D300" s="5">
        <f>'[67]Dados de entrada'!$B$32</f>
        <v>40</v>
      </c>
      <c r="E300" s="11">
        <f>'[67]Dados de entrada'!$B$27</f>
        <v>3.3538794827423906</v>
      </c>
      <c r="F300" s="5">
        <f>'[67]Dados de entrada'!$B$30</f>
        <v>30</v>
      </c>
      <c r="G300" s="5">
        <f>'[67]Dados de entrada'!$B$22</f>
        <v>39.5</v>
      </c>
      <c r="H300" s="78">
        <f>'[67]Dados de entrada'!$B$29/(2*'[67]Dados de entrada'!$B$20*G300)</f>
        <v>4.8354430379746835E-2</v>
      </c>
      <c r="I300" s="53" cm="1">
        <f t="array" ref="I300:I305">'[67]fib Model Code 2010'!$K$5:$K$10</f>
        <v>221.31013180149799</v>
      </c>
      <c r="J300" s="4" cm="1">
        <f t="array" ref="J300:J305">'[67]Dados de entrada'!$C$7:$C$12</f>
        <v>0.17</v>
      </c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11" cm="1">
        <f t="array" ref="AD300:AD305">'[67]fib Model Code 2010'!$L$5:$L$10</f>
        <v>0.1250242104051538</v>
      </c>
      <c r="AE300" s="11">
        <f t="shared" si="328"/>
        <v>0.73543653179502233</v>
      </c>
      <c r="AF300" s="29">
        <f t="shared" si="329"/>
        <v>-0.30729103526090767</v>
      </c>
      <c r="AG300" s="11" cm="1">
        <f t="array" ref="AG300:AG305">'[67]fib Model Code 2020'!$L$5:$L$10</f>
        <v>0.12418568445184547</v>
      </c>
      <c r="AH300" s="11">
        <f t="shared" si="330"/>
        <v>0.73050402618732624</v>
      </c>
      <c r="AI300" s="11">
        <f t="shared" si="331"/>
        <v>-0.31402053625650128</v>
      </c>
      <c r="AJ300" s="11" cm="1">
        <f t="array" ref="AJ300:AJ305">'[67]Eurocode 2'!$L$5:$L$10</f>
        <v>0.13495075566019682</v>
      </c>
      <c r="AK300" s="11">
        <f t="shared" si="332"/>
        <v>0.79382797447174591</v>
      </c>
      <c r="AL300" s="11">
        <f t="shared" si="333"/>
        <v>-0.23088849804507633</v>
      </c>
      <c r="AM300" s="11" cm="1">
        <f t="array" ref="AM300:AM305">'[67]NBR 6118'!$Q$5:$Q$10</f>
        <v>0.17597414604016473</v>
      </c>
      <c r="AN300" s="11" cm="1">
        <f t="array" ref="AN300:AN305">'[67]NBR 6118'!$R$5:$R$10</f>
        <v>0.16650607497088082</v>
      </c>
      <c r="AO300" s="11" cm="1">
        <f t="array" ref="AO300:AO305">'[67]NBR 6118'!$W$5:$W$10</f>
        <v>0.97944749982871071</v>
      </c>
      <c r="AP300" s="11">
        <f t="shared" si="312"/>
        <v>-2.0766641983776001E-2</v>
      </c>
      <c r="AQ300" s="11" cm="1">
        <f t="array" ref="AQ300:AQ305">'[67]Clark (1956)'!$L$5:$L$10</f>
        <v>0.12664484050960911</v>
      </c>
      <c r="AR300" s="11">
        <f t="shared" si="334"/>
        <v>0.74496965005652416</v>
      </c>
      <c r="AS300" s="11">
        <f t="shared" si="335"/>
        <v>-0.29441179961156189</v>
      </c>
      <c r="AT300" s="11" cm="1">
        <f t="array" ref="AT300:AT305">'[67]Leonhardt (1977)'!$L$5:$L$10</f>
        <v>0.22538674781496504</v>
      </c>
      <c r="AU300" s="11">
        <f t="shared" si="336"/>
        <v>1.3258043989115589</v>
      </c>
      <c r="AV300" s="11">
        <f t="shared" si="337"/>
        <v>0.2820193687496233</v>
      </c>
      <c r="AW300" s="11" cm="1">
        <f t="array" ref="AW300:AW305">'[67]Desayi; Ganesan (1985)'!$L$5:$L$10</f>
        <v>0.18287249019815305</v>
      </c>
      <c r="AX300" s="11">
        <f t="shared" si="338"/>
        <v>1.0757205305773707</v>
      </c>
      <c r="AY300" s="11">
        <f t="shared" si="339"/>
        <v>7.2990698057247005E-2</v>
      </c>
      <c r="AZ300" s="11" cm="1">
        <f t="array" ref="AZ300:AZ305">'[67]Oh; Kang (1987)'!$L$5:$L$10</f>
        <v>0.14823245470779992</v>
      </c>
      <c r="BA300" s="11">
        <f t="shared" si="340"/>
        <v>0.87195561592823478</v>
      </c>
      <c r="BB300" s="11">
        <f t="shared" si="341"/>
        <v>-0.13701675553343223</v>
      </c>
      <c r="BC300" s="11" cm="1">
        <f t="array" ref="BC300:BC305">'[67]Caldas (1997)'!$L$5:$L$10</f>
        <v>0.11814721606774738</v>
      </c>
      <c r="BD300" s="11">
        <f t="shared" si="342"/>
        <v>0.69498362392792568</v>
      </c>
      <c r="BE300" s="11">
        <f t="shared" si="343"/>
        <v>-0.36386699638858166</v>
      </c>
      <c r="BF300" s="11" cm="1">
        <f t="array" ref="BF300:BF305">'[67]Gergely e Lutz (1968)'!$L$5:$L$10</f>
        <v>0.19471858851908505</v>
      </c>
      <c r="BG300" s="11">
        <f t="shared" si="344"/>
        <v>1.1454034618769708</v>
      </c>
      <c r="BH300" s="11">
        <f t="shared" si="345"/>
        <v>0.13575694339052299</v>
      </c>
      <c r="BI300" s="11" cm="1">
        <f t="array" ref="BI300:BI305">[67]Sugestão!$M$5:$M$10</f>
        <v>0.13239376928063259</v>
      </c>
      <c r="BJ300" s="11">
        <f t="shared" si="346"/>
        <v>0.77878687812136815</v>
      </c>
      <c r="BK300" s="11">
        <f t="shared" si="347"/>
        <v>-0.25001785446865499</v>
      </c>
      <c r="BL300" s="11" cm="1">
        <f t="array" ref="BL300:BL305">'[67]fib Model Code 2020 modificado'!$L$5:$L$10</f>
        <v>0.18470782045461417</v>
      </c>
      <c r="BM300" s="11">
        <f t="shared" si="348"/>
        <v>1.0865165909094952</v>
      </c>
      <c r="BN300" s="11">
        <f t="shared" si="349"/>
        <v>8.2976790647917853E-2</v>
      </c>
      <c r="BS300" t="b">
        <f t="shared" si="350"/>
        <v>0</v>
      </c>
      <c r="BU300" t="b">
        <f t="shared" si="351"/>
        <v>1</v>
      </c>
      <c r="BW300" t="b">
        <f t="shared" si="352"/>
        <v>1</v>
      </c>
    </row>
    <row r="301" spans="1:75">
      <c r="A301" s="88"/>
      <c r="B301" s="5">
        <f>'[67]Dados de entrada'!$B$28</f>
        <v>19.100000000000001</v>
      </c>
      <c r="C301" s="5">
        <f>'[67]Dados de entrada'!$B$31</f>
        <v>2</v>
      </c>
      <c r="D301" s="5">
        <f>'[67]Dados de entrada'!$B$32</f>
        <v>40</v>
      </c>
      <c r="E301" s="11">
        <f>'[67]Dados de entrada'!$B$27</f>
        <v>3.3538794827423906</v>
      </c>
      <c r="F301" s="5">
        <f>'[67]Dados de entrada'!$B$30</f>
        <v>30</v>
      </c>
      <c r="G301" s="5">
        <f>'[67]Dados de entrada'!$B$22</f>
        <v>39.5</v>
      </c>
      <c r="H301" s="78">
        <f>'[67]Dados de entrada'!$B$29/(2*'[67]Dados de entrada'!$B$20*G301)</f>
        <v>4.8354430379746835E-2</v>
      </c>
      <c r="I301" s="53">
        <v>259.14092356243782</v>
      </c>
      <c r="J301" s="4">
        <v>0.18</v>
      </c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11">
        <v>0.15144280284122463</v>
      </c>
      <c r="AE301" s="11">
        <f t="shared" si="328"/>
        <v>0.84134890467347023</v>
      </c>
      <c r="AF301" s="29">
        <f t="shared" si="329"/>
        <v>-0.17274883622839571</v>
      </c>
      <c r="AG301" s="11">
        <v>0.15819691921097215</v>
      </c>
      <c r="AH301" s="11">
        <f t="shared" si="330"/>
        <v>0.87887177339428979</v>
      </c>
      <c r="AI301" s="11">
        <f t="shared" si="331"/>
        <v>-0.12911626976036036</v>
      </c>
      <c r="AJ301" s="11">
        <v>0.16346690466184294</v>
      </c>
      <c r="AK301" s="11">
        <f t="shared" si="332"/>
        <v>0.90814947034357196</v>
      </c>
      <c r="AL301" s="11">
        <f t="shared" si="333"/>
        <v>-9.6346299012564127E-2</v>
      </c>
      <c r="AM301" s="11">
        <v>0.20605519664532107</v>
      </c>
      <c r="AN301" s="11">
        <v>0.228296626570857</v>
      </c>
      <c r="AO301" s="11">
        <v>1.1447510924740061</v>
      </c>
      <c r="AP301" s="11">
        <f t="shared" si="312"/>
        <v>0.13518722688875182</v>
      </c>
      <c r="AQ301" s="11">
        <v>0.15100219578489021</v>
      </c>
      <c r="AR301" s="11">
        <f t="shared" si="334"/>
        <v>0.83890108769383454</v>
      </c>
      <c r="AS301" s="11">
        <f t="shared" si="335"/>
        <v>-0.1756624725592249</v>
      </c>
      <c r="AT301" s="11">
        <v>0.27452178182149056</v>
      </c>
      <c r="AU301" s="11">
        <f t="shared" si="336"/>
        <v>1.5251210101193922</v>
      </c>
      <c r="AV301" s="11">
        <f t="shared" si="337"/>
        <v>0.42207375780922107</v>
      </c>
      <c r="AW301" s="11">
        <v>0.21413274493288006</v>
      </c>
      <c r="AX301" s="11">
        <f t="shared" si="338"/>
        <v>1.1896263607382227</v>
      </c>
      <c r="AY301" s="11">
        <f t="shared" si="339"/>
        <v>0.17363927524766745</v>
      </c>
      <c r="AZ301" s="11">
        <v>0.17916151019160051</v>
      </c>
      <c r="BA301" s="11">
        <f t="shared" si="340"/>
        <v>0.99534172328666948</v>
      </c>
      <c r="BB301" s="11">
        <f t="shared" si="341"/>
        <v>-4.6691602966143966E-3</v>
      </c>
      <c r="BC301" s="11">
        <v>0.14042042546905978</v>
      </c>
      <c r="BD301" s="11">
        <f t="shared" si="342"/>
        <v>0.78011347482810989</v>
      </c>
      <c r="BE301" s="11">
        <f t="shared" si="343"/>
        <v>-0.24831588933090962</v>
      </c>
      <c r="BF301" s="11">
        <v>0.22800381732576627</v>
      </c>
      <c r="BG301" s="11">
        <f t="shared" si="344"/>
        <v>1.2666878740320349</v>
      </c>
      <c r="BH301" s="11">
        <f t="shared" si="345"/>
        <v>0.2364055205809433</v>
      </c>
      <c r="BI301" s="11">
        <v>0.17633003721722093</v>
      </c>
      <c r="BJ301" s="11">
        <f t="shared" si="346"/>
        <v>0.97961131787344968</v>
      </c>
      <c r="BK301" s="11">
        <f t="shared" si="347"/>
        <v>-2.0599400404666141E-2</v>
      </c>
      <c r="BL301" s="11">
        <v>0.23362544371712252</v>
      </c>
      <c r="BM301" s="11">
        <f t="shared" si="348"/>
        <v>1.2979191317617917</v>
      </c>
      <c r="BN301" s="11">
        <f t="shared" si="349"/>
        <v>0.26076231415443529</v>
      </c>
      <c r="BS301" t="b">
        <f t="shared" si="350"/>
        <v>0</v>
      </c>
      <c r="BU301" t="b">
        <f t="shared" si="351"/>
        <v>1</v>
      </c>
      <c r="BW301" t="b">
        <f t="shared" si="352"/>
        <v>1</v>
      </c>
    </row>
    <row r="302" spans="1:75">
      <c r="A302" s="88"/>
      <c r="B302" s="5">
        <f>'[67]Dados de entrada'!$B$28</f>
        <v>19.100000000000001</v>
      </c>
      <c r="C302" s="5">
        <f>'[67]Dados de entrada'!$B$31</f>
        <v>2</v>
      </c>
      <c r="D302" s="5">
        <f>'[67]Dados de entrada'!$B$32</f>
        <v>40</v>
      </c>
      <c r="E302" s="11">
        <f>'[67]Dados de entrada'!$B$27</f>
        <v>3.3538794827423906</v>
      </c>
      <c r="F302" s="5">
        <f>'[67]Dados de entrada'!$B$30</f>
        <v>30</v>
      </c>
      <c r="G302" s="5">
        <f>'[67]Dados de entrada'!$B$22</f>
        <v>39.5</v>
      </c>
      <c r="H302" s="78">
        <f>'[67]Dados de entrada'!$B$29/(2*'[67]Dados de entrada'!$B$20*G302)</f>
        <v>4.8354430379746835E-2</v>
      </c>
      <c r="I302" s="53">
        <v>296.0259455293542</v>
      </c>
      <c r="J302" s="4">
        <v>0.2</v>
      </c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11">
        <v>0.17720093046639374</v>
      </c>
      <c r="AE302" s="11">
        <f t="shared" si="328"/>
        <v>0.88600465233196868</v>
      </c>
      <c r="AF302" s="29">
        <f t="shared" si="329"/>
        <v>-0.12103307745182566</v>
      </c>
      <c r="AG302" s="11">
        <v>0.19135787310112068</v>
      </c>
      <c r="AH302" s="11">
        <f t="shared" si="330"/>
        <v>0.95678936550560334</v>
      </c>
      <c r="AI302" s="11">
        <f t="shared" si="331"/>
        <v>-4.4172010494691612E-2</v>
      </c>
      <c r="AJ302" s="11">
        <v>0.19127014993844793</v>
      </c>
      <c r="AK302" s="11">
        <f t="shared" si="332"/>
        <v>0.95635074969223965</v>
      </c>
      <c r="AL302" s="11">
        <f t="shared" si="333"/>
        <v>-4.4630540235994144E-2</v>
      </c>
      <c r="AM302" s="11">
        <v>0.23538422098534853</v>
      </c>
      <c r="AN302" s="11">
        <v>0.2979113459497082</v>
      </c>
      <c r="AO302" s="11">
        <v>1.1769211049267425</v>
      </c>
      <c r="AP302" s="11">
        <f t="shared" si="312"/>
        <v>0.16290179538300831</v>
      </c>
      <c r="AQ302" s="11">
        <v>0.17475061717828932</v>
      </c>
      <c r="AR302" s="11">
        <f t="shared" si="334"/>
        <v>0.87375308589144662</v>
      </c>
      <c r="AS302" s="11">
        <f t="shared" si="335"/>
        <v>-0.13495745366187406</v>
      </c>
      <c r="AT302" s="11">
        <v>0.32122604310317937</v>
      </c>
      <c r="AU302" s="11">
        <f t="shared" si="336"/>
        <v>1.6061302155158967</v>
      </c>
      <c r="AV302" s="11">
        <f t="shared" si="337"/>
        <v>0.47382769288272875</v>
      </c>
      <c r="AW302" s="11">
        <v>0.24461149329923895</v>
      </c>
      <c r="AX302" s="11">
        <f t="shared" si="338"/>
        <v>1.2230574664961946</v>
      </c>
      <c r="AY302" s="11">
        <f t="shared" si="339"/>
        <v>0.20135384374192411</v>
      </c>
      <c r="AZ302" s="11">
        <v>0.20931733928830606</v>
      </c>
      <c r="BA302" s="11">
        <f t="shared" si="340"/>
        <v>1.0465866964415302</v>
      </c>
      <c r="BB302" s="11">
        <f t="shared" si="341"/>
        <v>4.5534103659369322E-2</v>
      </c>
      <c r="BC302" s="11">
        <v>0.16213680463533942</v>
      </c>
      <c r="BD302" s="11">
        <f t="shared" si="342"/>
        <v>0.81068402317669708</v>
      </c>
      <c r="BE302" s="11">
        <f t="shared" si="343"/>
        <v>-0.20987691462476046</v>
      </c>
      <c r="BF302" s="11">
        <v>0.2604569154122805</v>
      </c>
      <c r="BG302" s="11">
        <f t="shared" si="344"/>
        <v>1.3022845770614024</v>
      </c>
      <c r="BH302" s="11">
        <f t="shared" si="345"/>
        <v>0.26412008907520013</v>
      </c>
      <c r="BI302" s="11">
        <v>0.21916789845539458</v>
      </c>
      <c r="BJ302" s="11">
        <f t="shared" si="346"/>
        <v>1.0958394922769727</v>
      </c>
      <c r="BK302" s="11">
        <f t="shared" si="347"/>
        <v>9.1520729148775681E-2</v>
      </c>
      <c r="BL302" s="11">
        <v>0.28260220590087787</v>
      </c>
      <c r="BM302" s="11">
        <f t="shared" si="348"/>
        <v>1.4130110295043892</v>
      </c>
      <c r="BN302" s="11">
        <f t="shared" si="349"/>
        <v>0.34572290940751615</v>
      </c>
      <c r="BS302" t="b">
        <f t="shared" si="350"/>
        <v>0</v>
      </c>
      <c r="BU302" t="b">
        <f t="shared" si="351"/>
        <v>1</v>
      </c>
      <c r="BW302" t="b">
        <f t="shared" si="352"/>
        <v>1</v>
      </c>
    </row>
    <row r="303" spans="1:75">
      <c r="A303" s="88"/>
      <c r="B303" s="5">
        <f>'[67]Dados de entrada'!$B$28</f>
        <v>19.100000000000001</v>
      </c>
      <c r="C303" s="5">
        <f>'[67]Dados de entrada'!$B$31</f>
        <v>2</v>
      </c>
      <c r="D303" s="5">
        <f>'[67]Dados de entrada'!$B$32</f>
        <v>40</v>
      </c>
      <c r="E303" s="11">
        <f>'[67]Dados de entrada'!$B$27</f>
        <v>3.3538794827423906</v>
      </c>
      <c r="F303" s="5">
        <f>'[67]Dados de entrada'!$B$30</f>
        <v>30</v>
      </c>
      <c r="G303" s="5">
        <f>'[67]Dados de entrada'!$B$22</f>
        <v>39.5</v>
      </c>
      <c r="H303" s="78">
        <f>'[67]Dados de entrada'!$B$29/(2*'[67]Dados de entrada'!$B$20*G303)</f>
        <v>4.8354430379746835E-2</v>
      </c>
      <c r="I303" s="53">
        <v>333.85673729029395</v>
      </c>
      <c r="J303" s="4">
        <v>0.2</v>
      </c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11">
        <v>0.20361952290246452</v>
      </c>
      <c r="AE303" s="11">
        <f t="shared" si="328"/>
        <v>1.0180976145123226</v>
      </c>
      <c r="AF303" s="29">
        <f t="shared" si="329"/>
        <v>1.7935802050301784E-2</v>
      </c>
      <c r="AG303" s="11">
        <v>0.22536910786024728</v>
      </c>
      <c r="AH303" s="11">
        <f t="shared" si="330"/>
        <v>1.1268455393012362</v>
      </c>
      <c r="AI303" s="11">
        <f t="shared" si="331"/>
        <v>0.11942217091875998</v>
      </c>
      <c r="AJ303" s="11">
        <v>0.21978629894009402</v>
      </c>
      <c r="AK303" s="11">
        <f t="shared" si="332"/>
        <v>1.09893149470047</v>
      </c>
      <c r="AL303" s="11">
        <f t="shared" si="333"/>
        <v>9.43383392661334E-2</v>
      </c>
      <c r="AM303" s="11">
        <v>0.26546527159050493</v>
      </c>
      <c r="AN303" s="11">
        <v>0.37892021871660619</v>
      </c>
      <c r="AO303" s="11">
        <v>1.3273263579525245</v>
      </c>
      <c r="AP303" s="11">
        <f t="shared" si="312"/>
        <v>0.28316666177615202</v>
      </c>
      <c r="AQ303" s="11">
        <v>0.19910797245357037</v>
      </c>
      <c r="AR303" s="11">
        <f t="shared" si="334"/>
        <v>0.99553986226785185</v>
      </c>
      <c r="AS303" s="11">
        <f t="shared" si="335"/>
        <v>-4.4701138206469518E-3</v>
      </c>
      <c r="AT303" s="11">
        <v>0.36831035592009659</v>
      </c>
      <c r="AU303" s="11">
        <f t="shared" si="336"/>
        <v>1.8415517796004828</v>
      </c>
      <c r="AV303" s="11">
        <f t="shared" si="337"/>
        <v>0.61060857467247664</v>
      </c>
      <c r="AW303" s="11">
        <v>0.27587174803396586</v>
      </c>
      <c r="AX303" s="11">
        <f t="shared" si="338"/>
        <v>1.3793587401698293</v>
      </c>
      <c r="AY303" s="11">
        <f t="shared" si="339"/>
        <v>0.32161871013506732</v>
      </c>
      <c r="AZ303" s="11">
        <v>0.2402463947721066</v>
      </c>
      <c r="BA303" s="11">
        <f t="shared" si="340"/>
        <v>1.201231973860533</v>
      </c>
      <c r="BB303" s="11">
        <f t="shared" si="341"/>
        <v>0.18334767503829044</v>
      </c>
      <c r="BC303" s="11">
        <v>0.18441001403665175</v>
      </c>
      <c r="BD303" s="11">
        <f t="shared" si="342"/>
        <v>0.92205007018325869</v>
      </c>
      <c r="BE303" s="11">
        <f t="shared" si="343"/>
        <v>-8.1155750844468577E-2</v>
      </c>
      <c r="BF303" s="11">
        <v>0.29374214421896161</v>
      </c>
      <c r="BG303" s="11">
        <f t="shared" si="344"/>
        <v>1.468710721094808</v>
      </c>
      <c r="BH303" s="11">
        <f t="shared" si="345"/>
        <v>0.38438495546834339</v>
      </c>
      <c r="BI303" s="11">
        <v>0.26310416639198281</v>
      </c>
      <c r="BJ303" s="11">
        <f t="shared" si="346"/>
        <v>1.3155208319599139</v>
      </c>
      <c r="BK303" s="11">
        <f t="shared" si="347"/>
        <v>0.27423265714623052</v>
      </c>
      <c r="BL303" s="11">
        <v>0.3341497358358162</v>
      </c>
      <c r="BM303" s="11">
        <f t="shared" si="348"/>
        <v>1.6707486791790809</v>
      </c>
      <c r="BN303" s="11">
        <f t="shared" si="349"/>
        <v>0.5132718368530399</v>
      </c>
      <c r="BS303" t="b">
        <f t="shared" si="350"/>
        <v>0</v>
      </c>
      <c r="BU303" t="b">
        <f t="shared" si="351"/>
        <v>1</v>
      </c>
      <c r="BW303" t="b">
        <f t="shared" si="352"/>
        <v>1</v>
      </c>
    </row>
    <row r="304" spans="1:75">
      <c r="A304" s="88"/>
      <c r="B304" s="5">
        <f>'[67]Dados de entrada'!$B$28</f>
        <v>19.100000000000001</v>
      </c>
      <c r="C304" s="5">
        <f>'[67]Dados de entrada'!$B$31</f>
        <v>2</v>
      </c>
      <c r="D304" s="5">
        <f>'[67]Dados de entrada'!$B$32</f>
        <v>40</v>
      </c>
      <c r="E304" s="11">
        <f>'[67]Dados de entrada'!$B$27</f>
        <v>3.3538794827423906</v>
      </c>
      <c r="F304" s="5">
        <f>'[67]Dados de entrada'!$B$30</f>
        <v>30</v>
      </c>
      <c r="G304" s="5">
        <f>'[67]Dados de entrada'!$B$22</f>
        <v>39.5</v>
      </c>
      <c r="H304" s="78">
        <f>'[67]Dados de entrada'!$B$29/(2*'[67]Dados de entrada'!$B$20*G304)</f>
        <v>4.8354430379746835E-2</v>
      </c>
      <c r="I304" s="53">
        <v>369.79598946318686</v>
      </c>
      <c r="J304" s="4">
        <v>0.25</v>
      </c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11">
        <v>0.22871718571673189</v>
      </c>
      <c r="AE304" s="11">
        <f t="shared" si="328"/>
        <v>0.91486874286692754</v>
      </c>
      <c r="AF304" s="29">
        <f t="shared" si="329"/>
        <v>-8.8974674415269545E-2</v>
      </c>
      <c r="AG304" s="11">
        <v>0.25767978088141763</v>
      </c>
      <c r="AH304" s="11">
        <f t="shared" si="330"/>
        <v>1.0307191235256705</v>
      </c>
      <c r="AI304" s="11">
        <f t="shared" si="331"/>
        <v>3.0256736808804943E-2</v>
      </c>
      <c r="AJ304" s="11">
        <v>0.24687664049165789</v>
      </c>
      <c r="AK304" s="11">
        <f t="shared" si="332"/>
        <v>0.98750656196663156</v>
      </c>
      <c r="AL304" s="11">
        <f t="shared" si="333"/>
        <v>-1.2572137199437918E-2</v>
      </c>
      <c r="AM304" s="11">
        <v>0.29404226966540348</v>
      </c>
      <c r="AN304" s="11">
        <v>0.46489179720255736</v>
      </c>
      <c r="AO304" s="11">
        <v>1.1761690786616139</v>
      </c>
      <c r="AP304" s="11">
        <f t="shared" si="312"/>
        <v>0.16226261351401136</v>
      </c>
      <c r="AQ304" s="11">
        <v>0.22224745996508746</v>
      </c>
      <c r="AR304" s="11">
        <f t="shared" si="334"/>
        <v>0.88898983986034985</v>
      </c>
      <c r="AS304" s="11">
        <f t="shared" si="335"/>
        <v>-0.11766947226205625</v>
      </c>
      <c r="AT304" s="11">
        <v>0.41250311294003189</v>
      </c>
      <c r="AU304" s="11">
        <f t="shared" si="336"/>
        <v>1.6500124517601276</v>
      </c>
      <c r="AV304" s="11">
        <f t="shared" si="337"/>
        <v>0.5007828344053038</v>
      </c>
      <c r="AW304" s="11">
        <v>0.30556899003195659</v>
      </c>
      <c r="AX304" s="11">
        <f t="shared" si="338"/>
        <v>1.2222759601278264</v>
      </c>
      <c r="AY304" s="11">
        <f t="shared" si="339"/>
        <v>0.20071466187292683</v>
      </c>
      <c r="AZ304" s="11">
        <v>0.26962899748171715</v>
      </c>
      <c r="BA304" s="11">
        <f t="shared" si="340"/>
        <v>1.0785159899268686</v>
      </c>
      <c r="BB304" s="11">
        <f t="shared" si="341"/>
        <v>7.5586012816787326E-2</v>
      </c>
      <c r="BC304" s="11">
        <v>0.20556956296789858</v>
      </c>
      <c r="BD304" s="11">
        <f t="shared" si="342"/>
        <v>0.82227825187159431</v>
      </c>
      <c r="BE304" s="11">
        <f t="shared" si="343"/>
        <v>-0.19567643527964843</v>
      </c>
      <c r="BF304" s="11">
        <v>0.32536311158530884</v>
      </c>
      <c r="BG304" s="11">
        <f t="shared" si="344"/>
        <v>1.3014524463412354</v>
      </c>
      <c r="BH304" s="11">
        <f t="shared" si="345"/>
        <v>0.26348090720620287</v>
      </c>
      <c r="BI304" s="11">
        <v>0.30484362093174178</v>
      </c>
      <c r="BJ304" s="11">
        <f t="shared" si="346"/>
        <v>1.2193744837269671</v>
      </c>
      <c r="BK304" s="11">
        <f t="shared" si="347"/>
        <v>0.19833800900363047</v>
      </c>
      <c r="BL304" s="11">
        <v>0.38435328221341958</v>
      </c>
      <c r="BM304" s="11">
        <f t="shared" si="348"/>
        <v>1.5374131288536783</v>
      </c>
      <c r="BN304" s="11">
        <f t="shared" si="349"/>
        <v>0.43010121754367947</v>
      </c>
      <c r="BS304" t="b">
        <f t="shared" si="350"/>
        <v>0</v>
      </c>
      <c r="BU304" t="b">
        <f t="shared" si="351"/>
        <v>1</v>
      </c>
      <c r="BW304" t="b">
        <f t="shared" si="352"/>
        <v>1</v>
      </c>
    </row>
    <row r="305" spans="1:77">
      <c r="A305" s="89"/>
      <c r="B305" s="5">
        <f>'[67]Dados de entrada'!$B$28</f>
        <v>19.100000000000001</v>
      </c>
      <c r="C305" s="5">
        <f>'[67]Dados de entrada'!$B$31</f>
        <v>2</v>
      </c>
      <c r="D305" s="5">
        <f>'[67]Dados de entrada'!$B$32</f>
        <v>40</v>
      </c>
      <c r="E305" s="11">
        <f>'[67]Dados de entrada'!$B$27</f>
        <v>3.3538794827423906</v>
      </c>
      <c r="F305" s="5">
        <f>'[67]Dados de entrada'!$B$30</f>
        <v>30</v>
      </c>
      <c r="G305" s="5">
        <f>'[67]Dados de entrada'!$B$22</f>
        <v>39.5</v>
      </c>
      <c r="H305" s="78">
        <f>'[67]Dados de entrada'!$B$29/(2*'[67]Dados de entrada'!$B$20*G305)</f>
        <v>4.8354430379746835E-2</v>
      </c>
      <c r="I305" s="53">
        <v>392.3</v>
      </c>
      <c r="J305" s="4">
        <v>0.27</v>
      </c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11">
        <v>0.24443253966189971</v>
      </c>
      <c r="AE305" s="11">
        <f t="shared" si="328"/>
        <v>0.90530570245148034</v>
      </c>
      <c r="AF305" s="29">
        <f t="shared" si="329"/>
        <v>-9.9482599557275411E-2</v>
      </c>
      <c r="AG305" s="11">
        <v>0.27791169117888265</v>
      </c>
      <c r="AH305" s="11">
        <f t="shared" si="330"/>
        <v>1.0293025599217875</v>
      </c>
      <c r="AI305" s="11">
        <f t="shared" si="331"/>
        <v>2.8881446598471704E-2</v>
      </c>
      <c r="AJ305" s="11">
        <v>0.26383974614531641</v>
      </c>
      <c r="AK305" s="11">
        <f t="shared" si="332"/>
        <v>0.97718424498265333</v>
      </c>
      <c r="AL305" s="11">
        <f t="shared" si="333"/>
        <v>-2.3080062341443646E-2</v>
      </c>
      <c r="AM305" s="11">
        <v>0.29484546616440754</v>
      </c>
      <c r="AN305" s="11">
        <v>0.46743503323046587</v>
      </c>
      <c r="AO305" s="11">
        <v>1.0920202450533611</v>
      </c>
      <c r="AP305" s="11">
        <f t="shared" si="312"/>
        <v>8.8029416577015157E-2</v>
      </c>
      <c r="AQ305" s="11">
        <v>0.23673666714921462</v>
      </c>
      <c r="AR305" s="11">
        <f t="shared" si="334"/>
        <v>0.87680247092301711</v>
      </c>
      <c r="AS305" s="11">
        <f t="shared" si="335"/>
        <v>-0.13147354467760192</v>
      </c>
      <c r="AT305" s="11">
        <v>0.43997406077432616</v>
      </c>
      <c r="AU305" s="11">
        <f t="shared" si="336"/>
        <v>1.6295335584234301</v>
      </c>
      <c r="AV305" s="11">
        <f t="shared" si="337"/>
        <v>0.48829381339052585</v>
      </c>
      <c r="AW305" s="11">
        <v>0.32416445338834615</v>
      </c>
      <c r="AX305" s="11">
        <f t="shared" si="338"/>
        <v>1.2006090866235042</v>
      </c>
      <c r="AY305" s="11">
        <f t="shared" si="339"/>
        <v>0.18282900020901793</v>
      </c>
      <c r="AZ305" s="11">
        <v>0.28802744377645673</v>
      </c>
      <c r="BA305" s="11">
        <f t="shared" si="340"/>
        <v>1.0667683102831731</v>
      </c>
      <c r="BB305" s="11">
        <f t="shared" si="341"/>
        <v>6.4633807488157446E-2</v>
      </c>
      <c r="BC305" s="11">
        <v>0.21881899592249263</v>
      </c>
      <c r="BD305" s="11">
        <f t="shared" si="342"/>
        <v>0.81044072563886149</v>
      </c>
      <c r="BE305" s="11">
        <f t="shared" si="343"/>
        <v>-0.21017707356051171</v>
      </c>
      <c r="BF305" s="11">
        <v>0.34516315025537397</v>
      </c>
      <c r="BG305" s="11">
        <f t="shared" si="344"/>
        <v>1.2783820379828665</v>
      </c>
      <c r="BH305" s="11">
        <f t="shared" si="345"/>
        <v>0.24559524554229392</v>
      </c>
      <c r="BI305" s="11">
        <v>0.33097953272659097</v>
      </c>
      <c r="BJ305" s="11">
        <f t="shared" si="346"/>
        <v>1.225850121209596</v>
      </c>
      <c r="BK305" s="11">
        <f t="shared" si="347"/>
        <v>0.20363457980397928</v>
      </c>
      <c r="BL305" s="11">
        <v>0.41640099019753685</v>
      </c>
      <c r="BM305" s="11">
        <f t="shared" si="348"/>
        <v>1.5422258896205068</v>
      </c>
      <c r="BN305" s="11">
        <f t="shared" si="349"/>
        <v>0.43322675573561747</v>
      </c>
      <c r="BS305" t="b">
        <f t="shared" si="350"/>
        <v>0</v>
      </c>
      <c r="BU305" t="b">
        <f t="shared" si="351"/>
        <v>1</v>
      </c>
      <c r="BW305" t="b">
        <f t="shared" si="352"/>
        <v>1</v>
      </c>
    </row>
    <row r="306" spans="1:77" ht="13.2" customHeight="1">
      <c r="A306" s="87" t="s">
        <v>118</v>
      </c>
      <c r="B306" s="5">
        <f>'[68]Dados de entrada'!$B$28</f>
        <v>19.100000000000001</v>
      </c>
      <c r="C306" s="5">
        <f>'[68]Dados de entrada'!$B$31</f>
        <v>2</v>
      </c>
      <c r="D306" s="5">
        <f>'[68]Dados de entrada'!$B$32</f>
        <v>40</v>
      </c>
      <c r="E306" s="11">
        <f>'[68]Dados de entrada'!$B$27</f>
        <v>3.3538794827423906</v>
      </c>
      <c r="F306" s="5">
        <f>'[68]Dados de entrada'!$B$30</f>
        <v>30</v>
      </c>
      <c r="G306" s="5">
        <f>'[68]Dados de entrada'!$B$22</f>
        <v>39.5</v>
      </c>
      <c r="H306" s="78">
        <f>'[68]Dados de entrada'!$B$29/(2*'[68]Dados de entrada'!$B$20*G306)</f>
        <v>4.8354430379746835E-2</v>
      </c>
      <c r="I306" s="53" cm="1">
        <f t="array" ref="I306:I309">'[68]fib Model Code 2010'!$K$5:$K$8</f>
        <v>296.0259455293542</v>
      </c>
      <c r="J306" s="4" cm="1">
        <f t="array" ref="J306:J309">'[68]Dados de entrada'!$C$7:$C$10</f>
        <v>0.18</v>
      </c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11" cm="1">
        <f t="array" ref="AD306:AD309">'[68]fib Model Code 2010'!$L$5:$L$8</f>
        <v>0.17720093046639374</v>
      </c>
      <c r="AE306" s="11">
        <f t="shared" si="328"/>
        <v>0.98444961370218742</v>
      </c>
      <c r="AF306" s="29">
        <f t="shared" si="329"/>
        <v>-1.5672561793999368E-2</v>
      </c>
      <c r="AG306" s="11" cm="1">
        <f t="array" ref="AG306:AG309">'[68]fib Model Code 2020'!$L$5:$L$8</f>
        <v>0.19135787310112068</v>
      </c>
      <c r="AH306" s="11">
        <f t="shared" si="330"/>
        <v>1.0630992950062261</v>
      </c>
      <c r="AI306" s="11">
        <f t="shared" si="331"/>
        <v>6.1188505163134878E-2</v>
      </c>
      <c r="AJ306" s="11" cm="1">
        <f t="array" ref="AJ306:AJ309">'[68]Eurocode 2'!$L$5:$L$8</f>
        <v>0.19127014993844793</v>
      </c>
      <c r="AK306" s="11">
        <f t="shared" si="332"/>
        <v>1.0626119441024886</v>
      </c>
      <c r="AL306" s="11">
        <f t="shared" si="333"/>
        <v>6.0729975421832248E-2</v>
      </c>
      <c r="AM306" s="11" cm="1">
        <f t="array" ref="AM306:AM309">'[68]NBR 6118'!$Q$5:$Q$8</f>
        <v>0.23538422098534853</v>
      </c>
      <c r="AN306" s="11" cm="1">
        <f t="array" ref="AN306:AN309">'[68]NBR 6118'!$R$5:$R$8</f>
        <v>0.2979113459497082</v>
      </c>
      <c r="AO306" s="11" cm="1">
        <f t="array" ref="AO306:AO309">'[68]NBR 6118'!$W$5:$W$8</f>
        <v>1.3076901165852697</v>
      </c>
      <c r="AP306" s="11">
        <f t="shared" si="312"/>
        <v>0.26826231104083476</v>
      </c>
      <c r="AQ306" s="11" cm="1">
        <f t="array" ref="AQ306:AQ309">'[68]Clark (1956)'!$L$5:$L$8</f>
        <v>0.17475061717828932</v>
      </c>
      <c r="AR306" s="11">
        <f t="shared" si="334"/>
        <v>0.97083676210160741</v>
      </c>
      <c r="AS306" s="11">
        <f t="shared" si="335"/>
        <v>-2.959693800404772E-2</v>
      </c>
      <c r="AT306" s="11" cm="1">
        <f t="array" ref="AT306:AT309">'[68]Leonhardt (1977)'!$L$5:$L$8</f>
        <v>0.32122604310317937</v>
      </c>
      <c r="AU306" s="11">
        <f t="shared" si="336"/>
        <v>1.7845891283509965</v>
      </c>
      <c r="AV306" s="11">
        <f t="shared" si="337"/>
        <v>0.57918820854055508</v>
      </c>
      <c r="AW306" s="11" cm="1">
        <f t="array" ref="AW306:AW309">'[68]Desayi; Ganesan (1985)'!$L$5:$L$8</f>
        <v>0.24461149329923895</v>
      </c>
      <c r="AX306" s="11">
        <f t="shared" si="338"/>
        <v>1.3589527405513275</v>
      </c>
      <c r="AY306" s="11">
        <f t="shared" si="339"/>
        <v>0.30671435939975056</v>
      </c>
      <c r="AZ306" s="11" cm="1">
        <f t="array" ref="AZ306:AZ309">'[68]Oh; Kang (1987)'!$L$5:$L$8</f>
        <v>0.20931733928830606</v>
      </c>
      <c r="BA306" s="11">
        <f t="shared" si="340"/>
        <v>1.1628741071572559</v>
      </c>
      <c r="BB306" s="11">
        <f t="shared" si="341"/>
        <v>0.15089461931719569</v>
      </c>
      <c r="BC306" s="11" cm="1">
        <f t="array" ref="BC306:BC309">'[68]Caldas (1997)'!$L$5:$L$8</f>
        <v>0.16213680463533942</v>
      </c>
      <c r="BD306" s="11">
        <f t="shared" si="342"/>
        <v>0.90076002575188563</v>
      </c>
      <c r="BE306" s="11">
        <f t="shared" si="343"/>
        <v>-0.10451639896693418</v>
      </c>
      <c r="BF306" s="11" cm="1">
        <f t="array" ref="BF306:BF309">'[68]Gergely e Lutz (1968)'!$L$5:$L$8</f>
        <v>0.2604569154122805</v>
      </c>
      <c r="BG306" s="11">
        <f t="shared" si="344"/>
        <v>1.4469828634015585</v>
      </c>
      <c r="BH306" s="11">
        <f t="shared" si="345"/>
        <v>0.36948060473302657</v>
      </c>
      <c r="BI306" s="11" cm="1">
        <f t="array" ref="BI306:BI309">[68]Sugestão!$M$5:$M$8</f>
        <v>0.21916789845539458</v>
      </c>
      <c r="BJ306" s="11">
        <f t="shared" si="346"/>
        <v>1.2175994358633033</v>
      </c>
      <c r="BK306" s="11">
        <f t="shared" si="347"/>
        <v>0.19688124480660221</v>
      </c>
      <c r="BL306" s="11" cm="1">
        <f t="array" ref="BL306:BL309">'[68]fib Model Code 2020 modificado'!$L$5:$L$8</f>
        <v>0.28260220590087787</v>
      </c>
      <c r="BM306" s="11">
        <f t="shared" si="348"/>
        <v>1.5700122550048772</v>
      </c>
      <c r="BN306" s="11">
        <f t="shared" si="349"/>
        <v>0.45108342506534266</v>
      </c>
      <c r="BS306" t="b">
        <f t="shared" si="350"/>
        <v>0</v>
      </c>
      <c r="BU306" t="b">
        <f t="shared" si="351"/>
        <v>1</v>
      </c>
      <c r="BW306" t="b">
        <f t="shared" si="352"/>
        <v>1</v>
      </c>
    </row>
    <row r="307" spans="1:77">
      <c r="A307" s="88"/>
      <c r="B307" s="5">
        <f>'[68]Dados de entrada'!$B$28</f>
        <v>19.100000000000001</v>
      </c>
      <c r="C307" s="5">
        <f>'[68]Dados de entrada'!$B$31</f>
        <v>2</v>
      </c>
      <c r="D307" s="5">
        <f>'[68]Dados de entrada'!$B$32</f>
        <v>40</v>
      </c>
      <c r="E307" s="11">
        <f>'[68]Dados de entrada'!$B$27</f>
        <v>3.3538794827423906</v>
      </c>
      <c r="F307" s="5">
        <f>'[68]Dados de entrada'!$B$30</f>
        <v>30</v>
      </c>
      <c r="G307" s="5">
        <f>'[68]Dados de entrada'!$B$22</f>
        <v>39.5</v>
      </c>
      <c r="H307" s="78">
        <f>'[68]Dados de entrada'!$B$29/(2*'[68]Dados de entrada'!$B$20*G307)</f>
        <v>4.8354430379746835E-2</v>
      </c>
      <c r="I307" s="53">
        <v>331.965197702247</v>
      </c>
      <c r="J307" s="4">
        <v>0.19</v>
      </c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11">
        <v>0.20229859328066102</v>
      </c>
      <c r="AE307" s="11">
        <f t="shared" si="328"/>
        <v>1.0647294383192685</v>
      </c>
      <c r="AF307" s="29">
        <f t="shared" si="329"/>
        <v>6.2720718359086519E-2</v>
      </c>
      <c r="AG307" s="11">
        <v>0.22366854612229098</v>
      </c>
      <c r="AH307" s="11">
        <f t="shared" si="330"/>
        <v>1.1772028743278473</v>
      </c>
      <c r="AI307" s="11">
        <f t="shared" si="331"/>
        <v>0.16314117903903783</v>
      </c>
      <c r="AJ307" s="11">
        <v>0.21836049149001174</v>
      </c>
      <c r="AK307" s="11">
        <f t="shared" si="332"/>
        <v>1.1492657446842722</v>
      </c>
      <c r="AL307" s="11">
        <f t="shared" si="333"/>
        <v>0.13912325557491809</v>
      </c>
      <c r="AM307" s="11">
        <v>0.26396121906024711</v>
      </c>
      <c r="AN307" s="11">
        <v>0.37463866868448187</v>
      </c>
      <c r="AO307" s="11">
        <v>1.3892695740013006</v>
      </c>
      <c r="AP307" s="11">
        <f t="shared" si="312"/>
        <v>0.32877812269627166</v>
      </c>
      <c r="AQ307" s="11">
        <v>0.19789010468980636</v>
      </c>
      <c r="AR307" s="11">
        <f t="shared" si="334"/>
        <v>1.0415268667884545</v>
      </c>
      <c r="AS307" s="11">
        <f t="shared" si="335"/>
        <v>4.068777763048767E-2</v>
      </c>
      <c r="AT307" s="11">
        <v>0.36597148836903443</v>
      </c>
      <c r="AU307" s="11">
        <f t="shared" si="336"/>
        <v>1.926165728258076</v>
      </c>
      <c r="AV307" s="11">
        <f t="shared" si="337"/>
        <v>0.65553135757541492</v>
      </c>
      <c r="AW307" s="11">
        <v>0.27430873529722954</v>
      </c>
      <c r="AX307" s="11">
        <f t="shared" si="338"/>
        <v>1.4437301857748923</v>
      </c>
      <c r="AY307" s="11">
        <f t="shared" si="339"/>
        <v>0.36723017105518702</v>
      </c>
      <c r="AZ307" s="11">
        <v>0.23869994199791661</v>
      </c>
      <c r="BA307" s="11">
        <f t="shared" si="340"/>
        <v>1.2563154841995612</v>
      </c>
      <c r="BB307" s="11">
        <f t="shared" si="341"/>
        <v>0.22818321819271711</v>
      </c>
      <c r="BC307" s="11">
        <v>0.18329635356658616</v>
      </c>
      <c r="BD307" s="11">
        <f t="shared" si="342"/>
        <v>0.96471765035045343</v>
      </c>
      <c r="BE307" s="11">
        <f t="shared" si="343"/>
        <v>-3.5919810766458254E-2</v>
      </c>
      <c r="BF307" s="11">
        <v>0.29207788277862762</v>
      </c>
      <c r="BG307" s="11">
        <f t="shared" si="344"/>
        <v>1.5372520146243558</v>
      </c>
      <c r="BH307" s="11">
        <f t="shared" si="345"/>
        <v>0.42999641638846314</v>
      </c>
      <c r="BI307" s="11">
        <v>0.26090735299515344</v>
      </c>
      <c r="BJ307" s="11">
        <f t="shared" si="346"/>
        <v>1.3731965947113338</v>
      </c>
      <c r="BK307" s="11">
        <f t="shared" si="347"/>
        <v>0.3171413027784401</v>
      </c>
      <c r="BL307" s="11">
        <v>0.33154073387908439</v>
      </c>
      <c r="BM307" s="11">
        <f t="shared" si="348"/>
        <v>1.7449512309425494</v>
      </c>
      <c r="BN307" s="11">
        <f t="shared" si="349"/>
        <v>0.55672660737991531</v>
      </c>
      <c r="BS307" t="b">
        <f t="shared" si="350"/>
        <v>0</v>
      </c>
      <c r="BU307" t="b">
        <f t="shared" si="351"/>
        <v>1</v>
      </c>
      <c r="BW307" t="b">
        <f t="shared" si="352"/>
        <v>1</v>
      </c>
    </row>
    <row r="308" spans="1:77">
      <c r="A308" s="88"/>
      <c r="B308" s="5">
        <f>'[68]Dados de entrada'!$B$28</f>
        <v>19.100000000000001</v>
      </c>
      <c r="C308" s="5">
        <f>'[68]Dados de entrada'!$B$31</f>
        <v>2</v>
      </c>
      <c r="D308" s="5">
        <f>'[68]Dados de entrada'!$B$32</f>
        <v>40</v>
      </c>
      <c r="E308" s="11">
        <f>'[68]Dados de entrada'!$B$27</f>
        <v>3.3538794827423906</v>
      </c>
      <c r="F308" s="5">
        <f>'[68]Dados de entrada'!$B$30</f>
        <v>30</v>
      </c>
      <c r="G308" s="5">
        <f>'[68]Dados de entrada'!$B$22</f>
        <v>39.5</v>
      </c>
      <c r="H308" s="78">
        <f>'[68]Dados de entrada'!$B$29/(2*'[68]Dados de entrada'!$B$20*G308)</f>
        <v>4.8354430379746835E-2</v>
      </c>
      <c r="I308" s="53">
        <v>369.79598946318686</v>
      </c>
      <c r="J308" s="4">
        <v>0.21</v>
      </c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11">
        <v>0.22871718571673189</v>
      </c>
      <c r="AE308" s="11">
        <f t="shared" si="328"/>
        <v>1.0891294557939615</v>
      </c>
      <c r="AF308" s="29">
        <f t="shared" si="329"/>
        <v>8.537871272950831E-2</v>
      </c>
      <c r="AG308" s="11">
        <v>0.25767978088141763</v>
      </c>
      <c r="AH308" s="11">
        <f t="shared" si="330"/>
        <v>1.2270465756257982</v>
      </c>
      <c r="AI308" s="11">
        <f t="shared" si="331"/>
        <v>0.20461012395358269</v>
      </c>
      <c r="AJ308" s="11">
        <v>0.24687664049165789</v>
      </c>
      <c r="AK308" s="11">
        <f t="shared" si="332"/>
        <v>1.1756030499602756</v>
      </c>
      <c r="AL308" s="11">
        <f t="shared" si="333"/>
        <v>0.16178124994533982</v>
      </c>
      <c r="AM308" s="11">
        <v>0.29404226966540348</v>
      </c>
      <c r="AN308" s="11">
        <v>0.46489179720255736</v>
      </c>
      <c r="AO308" s="11">
        <v>1.400201284120969</v>
      </c>
      <c r="AP308" s="11">
        <f t="shared" si="312"/>
        <v>0.33661600065878916</v>
      </c>
      <c r="AQ308" s="11">
        <v>0.22224745996508746</v>
      </c>
      <c r="AR308" s="11">
        <f t="shared" si="334"/>
        <v>1.0583212379289879</v>
      </c>
      <c r="AS308" s="11">
        <f t="shared" si="335"/>
        <v>5.6683914882721502E-2</v>
      </c>
      <c r="AT308" s="11">
        <v>0.41250311294003189</v>
      </c>
      <c r="AU308" s="11">
        <f t="shared" si="336"/>
        <v>1.9643005378096758</v>
      </c>
      <c r="AV308" s="11">
        <f t="shared" si="337"/>
        <v>0.67513622155008168</v>
      </c>
      <c r="AW308" s="11">
        <v>0.30556899003195659</v>
      </c>
      <c r="AX308" s="11">
        <f t="shared" si="338"/>
        <v>1.4550904287236028</v>
      </c>
      <c r="AY308" s="11">
        <f t="shared" si="339"/>
        <v>0.37506804901770463</v>
      </c>
      <c r="AZ308" s="11">
        <v>0.26962899748171715</v>
      </c>
      <c r="BA308" s="11">
        <f t="shared" si="340"/>
        <v>1.283947607055796</v>
      </c>
      <c r="BB308" s="11">
        <f t="shared" si="341"/>
        <v>0.24993939996156514</v>
      </c>
      <c r="BC308" s="11">
        <v>0.20556956296789858</v>
      </c>
      <c r="BD308" s="11">
        <f t="shared" si="342"/>
        <v>0.97890268079951703</v>
      </c>
      <c r="BE308" s="11">
        <f t="shared" si="343"/>
        <v>-2.1323048134870674E-2</v>
      </c>
      <c r="BF308" s="11">
        <v>0.32536311158530884</v>
      </c>
      <c r="BG308" s="11">
        <f t="shared" si="344"/>
        <v>1.5493481504062325</v>
      </c>
      <c r="BH308" s="11">
        <f t="shared" si="345"/>
        <v>0.43783429435098059</v>
      </c>
      <c r="BI308" s="11">
        <v>0.30484362093174178</v>
      </c>
      <c r="BJ308" s="11">
        <f t="shared" si="346"/>
        <v>1.4516362901511515</v>
      </c>
      <c r="BK308" s="11">
        <f t="shared" si="347"/>
        <v>0.37269139614840829</v>
      </c>
      <c r="BL308" s="11">
        <v>0.38435328221341958</v>
      </c>
      <c r="BM308" s="11">
        <f t="shared" si="348"/>
        <v>1.8302537248258075</v>
      </c>
      <c r="BN308" s="11">
        <f t="shared" si="349"/>
        <v>0.60445460468845724</v>
      </c>
      <c r="BS308" t="b">
        <f t="shared" si="350"/>
        <v>0</v>
      </c>
      <c r="BU308" t="b">
        <f t="shared" si="351"/>
        <v>1</v>
      </c>
      <c r="BW308" t="b">
        <f t="shared" si="352"/>
        <v>1</v>
      </c>
    </row>
    <row r="309" spans="1:77">
      <c r="A309" s="89"/>
      <c r="B309" s="5">
        <f>'[68]Dados de entrada'!$B$28</f>
        <v>19.100000000000001</v>
      </c>
      <c r="C309" s="5">
        <f>'[68]Dados de entrada'!$B$31</f>
        <v>2</v>
      </c>
      <c r="D309" s="5">
        <f>'[68]Dados de entrada'!$B$32</f>
        <v>40</v>
      </c>
      <c r="E309" s="11">
        <f>'[68]Dados de entrada'!$B$27</f>
        <v>3.3538794827423906</v>
      </c>
      <c r="F309" s="5">
        <f>'[68]Dados de entrada'!$B$30</f>
        <v>30</v>
      </c>
      <c r="G309" s="5">
        <f>'[68]Dados de entrada'!$B$22</f>
        <v>39.5</v>
      </c>
      <c r="H309" s="78">
        <f>'[68]Dados de entrada'!$B$29/(2*'[68]Dados de entrada'!$B$20*G309)</f>
        <v>4.8354430379746835E-2</v>
      </c>
      <c r="I309" s="53">
        <v>392.3</v>
      </c>
      <c r="J309" s="4">
        <v>0.26</v>
      </c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11">
        <v>0.24443253966189971</v>
      </c>
      <c r="AE309" s="11">
        <f t="shared" si="328"/>
        <v>0.94012515254576812</v>
      </c>
      <c r="AF309" s="29">
        <f t="shared" si="329"/>
        <v>-6.1742271574428305E-2</v>
      </c>
      <c r="AG309" s="11">
        <v>0.27791169117888265</v>
      </c>
      <c r="AH309" s="11">
        <f t="shared" si="330"/>
        <v>1.0688911199187794</v>
      </c>
      <c r="AI309" s="11">
        <f t="shared" si="331"/>
        <v>6.6621774581318752E-2</v>
      </c>
      <c r="AJ309" s="11">
        <v>0.26383974614531641</v>
      </c>
      <c r="AK309" s="11">
        <f t="shared" si="332"/>
        <v>1.0147682544050631</v>
      </c>
      <c r="AL309" s="11">
        <f t="shared" si="333"/>
        <v>1.4660265641403439E-2</v>
      </c>
      <c r="AM309" s="11">
        <v>0.29484546616440754</v>
      </c>
      <c r="AN309" s="11">
        <v>0.46743503323046587</v>
      </c>
      <c r="AO309" s="11">
        <v>1.1340210237092598</v>
      </c>
      <c r="AP309" s="11">
        <f t="shared" si="312"/>
        <v>0.12576974455986234</v>
      </c>
      <c r="AQ309" s="11">
        <v>0.23673666714921462</v>
      </c>
      <c r="AR309" s="11">
        <f t="shared" si="334"/>
        <v>0.91052564288159465</v>
      </c>
      <c r="AS309" s="11">
        <f t="shared" si="335"/>
        <v>-9.3733216694754942E-2</v>
      </c>
      <c r="AT309" s="11">
        <v>0.43997406077432616</v>
      </c>
      <c r="AU309" s="11">
        <f t="shared" si="336"/>
        <v>1.6922079260551006</v>
      </c>
      <c r="AV309" s="11">
        <f t="shared" si="337"/>
        <v>0.52603414137337301</v>
      </c>
      <c r="AW309" s="11">
        <v>0.32416445338834615</v>
      </c>
      <c r="AX309" s="11">
        <f t="shared" si="338"/>
        <v>1.2467863591859467</v>
      </c>
      <c r="AY309" s="11">
        <f t="shared" si="339"/>
        <v>0.22056932819186501</v>
      </c>
      <c r="AZ309" s="11">
        <v>0.28802744377645673</v>
      </c>
      <c r="BA309" s="11">
        <f t="shared" si="340"/>
        <v>1.1077978606786796</v>
      </c>
      <c r="BB309" s="11">
        <f t="shared" si="341"/>
        <v>0.10237413547100432</v>
      </c>
      <c r="BC309" s="11">
        <v>0.21881899592249263</v>
      </c>
      <c r="BD309" s="11">
        <f t="shared" si="342"/>
        <v>0.84161152277881779</v>
      </c>
      <c r="BE309" s="11">
        <f t="shared" si="343"/>
        <v>-0.17243674557766459</v>
      </c>
      <c r="BF309" s="11">
        <v>0.34516315025537397</v>
      </c>
      <c r="BG309" s="11">
        <f t="shared" si="344"/>
        <v>1.3275505779052845</v>
      </c>
      <c r="BH309" s="11">
        <f t="shared" si="345"/>
        <v>0.28333557352514099</v>
      </c>
      <c r="BI309" s="11">
        <v>0.33097953272659097</v>
      </c>
      <c r="BJ309" s="11">
        <f t="shared" si="346"/>
        <v>1.2729982027945805</v>
      </c>
      <c r="BK309" s="11">
        <f t="shared" si="347"/>
        <v>0.24137490778682635</v>
      </c>
      <c r="BL309" s="11">
        <v>0.41640099019753685</v>
      </c>
      <c r="BM309" s="11">
        <f t="shared" si="348"/>
        <v>1.6015422699905262</v>
      </c>
      <c r="BN309" s="11">
        <f t="shared" si="349"/>
        <v>0.47096708371846446</v>
      </c>
      <c r="BS309" t="b">
        <f t="shared" si="350"/>
        <v>0</v>
      </c>
      <c r="BU309" t="b">
        <f t="shared" si="351"/>
        <v>1</v>
      </c>
      <c r="BW309" t="b">
        <f t="shared" si="352"/>
        <v>1</v>
      </c>
    </row>
    <row r="310" spans="1:77">
      <c r="A310" s="62" t="s">
        <v>0</v>
      </c>
      <c r="B310" s="6"/>
      <c r="C310" s="6"/>
      <c r="D310" s="6"/>
      <c r="E310" s="6"/>
      <c r="F310" s="6"/>
      <c r="G310" s="75"/>
      <c r="H310" s="75"/>
      <c r="I310" s="6"/>
      <c r="J310" s="7"/>
      <c r="K310" s="7"/>
      <c r="L310" s="8">
        <f>AVERAGE(L3:L48)</f>
        <v>0.97756794841286221</v>
      </c>
      <c r="M310" s="8">
        <f>AVERAGE(M3:M48)</f>
        <v>-0.12312947132480039</v>
      </c>
      <c r="N310" s="7"/>
      <c r="O310" s="8">
        <f>AVERAGE(O3:O48)</f>
        <v>0.83384751369426369</v>
      </c>
      <c r="P310" s="8">
        <f>AVERAGE(P3:P48)</f>
        <v>-0.22908989479212347</v>
      </c>
      <c r="Q310" s="7"/>
      <c r="R310" s="8">
        <f>AVERAGE(R3:R48)</f>
        <v>0.97761027319712235</v>
      </c>
      <c r="S310" s="8">
        <f>AVERAGE(S3:S48)</f>
        <v>-0.10176614229154818</v>
      </c>
      <c r="T310" s="8"/>
      <c r="U310" s="7"/>
      <c r="V310" s="8">
        <f>AVERAGE(V3:V48)</f>
        <v>0.96688795018464746</v>
      </c>
      <c r="W310" s="8">
        <f>AVERAGE(W3:W48)</f>
        <v>-0.13130923640193154</v>
      </c>
      <c r="X310" s="8"/>
      <c r="Y310" s="8">
        <f>AVERAGE(Y3:Y48)</f>
        <v>1.156647383718669</v>
      </c>
      <c r="Z310" s="8">
        <f>AVERAGE(Z3:Z48)</f>
        <v>6.6223238588311722E-2</v>
      </c>
      <c r="AA310" s="8"/>
      <c r="AB310" s="8">
        <f>AVERAGE(AB3:AB48)</f>
        <v>1.1399530358440126</v>
      </c>
      <c r="AC310" s="8">
        <f>AVERAGE(AC3:AC48)</f>
        <v>9.0222637807884309E-2</v>
      </c>
      <c r="AD310" s="13"/>
      <c r="AE310" s="14">
        <f>AVERAGE(AE28:AE309)</f>
        <v>0.86547191827395276</v>
      </c>
      <c r="AF310" s="8">
        <f>AVERAGE(AF28:AF309)</f>
        <v>-0.21731552311220328</v>
      </c>
      <c r="AG310" s="13"/>
      <c r="AH310" s="14">
        <f>AVERAGE(AH28:AH309)</f>
        <v>0.85437713455731978</v>
      </c>
      <c r="AI310" s="8">
        <f>AVERAGE(AI28:AI309)</f>
        <v>-0.21161931238989559</v>
      </c>
      <c r="AJ310" s="13"/>
      <c r="AK310" s="14">
        <f>AVERAGE(AK28:AK309)</f>
        <v>0.92866008710507453</v>
      </c>
      <c r="AL310" s="8">
        <f>AVERAGE(AL28:AL309)</f>
        <v>-0.13599461054220849</v>
      </c>
      <c r="AM310" s="13"/>
      <c r="AN310" s="13"/>
      <c r="AO310" s="14">
        <f>AVERAGE(AO28:AO309)</f>
        <v>0.9072789681259511</v>
      </c>
      <c r="AP310" s="8" t="e">
        <f>AVERAGE(AP28:AP309)</f>
        <v>#NUM!</v>
      </c>
      <c r="AQ310" s="13"/>
      <c r="AR310" s="14">
        <f>AVERAGE(AR28:AR309)</f>
        <v>0.98178683387982124</v>
      </c>
      <c r="AS310" s="8">
        <f>AVERAGE(AS28:AS309)</f>
        <v>-0.13742054187604028</v>
      </c>
      <c r="AT310" s="13"/>
      <c r="AU310" s="14">
        <f>AVERAGE(AU28:AU309)</f>
        <v>1.3500832965542791</v>
      </c>
      <c r="AV310" s="8">
        <f>AVERAGE(AV28:AV309)</f>
        <v>0.21425657798759884</v>
      </c>
      <c r="AW310" s="13"/>
      <c r="AX310" s="14">
        <f>AVERAGE(AX28:AX309)</f>
        <v>1.2215554173872176</v>
      </c>
      <c r="AY310" s="8">
        <f>AVERAGE(AY28:AY309)</f>
        <v>0.13075492687917098</v>
      </c>
      <c r="AZ310" s="13"/>
      <c r="BA310" s="14">
        <f>AVERAGE(BA28:BA309)</f>
        <v>0.85283279968225079</v>
      </c>
      <c r="BB310" s="8">
        <f>AVERAGE(BB28:BB309)</f>
        <v>-0.24211806978941247</v>
      </c>
      <c r="BC310" s="13"/>
      <c r="BD310" s="14">
        <f>AVERAGE(BD28:BD309)</f>
        <v>0.80790200985390948</v>
      </c>
      <c r="BE310" s="8">
        <f>AVERAGE(BE28:BE309)</f>
        <v>-0.2501594341939013</v>
      </c>
      <c r="BF310" s="8"/>
      <c r="BG310" s="14">
        <f>AVERAGE(BG28:BG309)</f>
        <v>1.1592471976789605</v>
      </c>
      <c r="BH310" s="8">
        <f>AVERAGE(BH28:BH309)</f>
        <v>9.7802904124181411E-2</v>
      </c>
      <c r="BI310" s="13"/>
      <c r="BJ310" s="14">
        <f>AVERAGE(BJ28:BJ309)</f>
        <v>1.0735907436997176</v>
      </c>
      <c r="BK310" s="8">
        <f>AVERAGE(BK28:BK309)</f>
        <v>-5.1952880968346203E-3</v>
      </c>
      <c r="BL310" s="8"/>
      <c r="BM310" s="14">
        <f>AVERAGE(BM28:BM309)</f>
        <v>1.17073340159655</v>
      </c>
      <c r="BN310" s="8">
        <f>AVERAGE(BN28:BN309)</f>
        <v>9.7987445717146918E-2</v>
      </c>
      <c r="BR310" s="2" t="s">
        <v>56</v>
      </c>
      <c r="BS310" s="1">
        <f>COUNTIF(BS3:BS309,TRUE)</f>
        <v>106</v>
      </c>
      <c r="BT310" s="1"/>
      <c r="BU310" s="1">
        <f>COUNTIF(BU3:BU309,TRUE)</f>
        <v>178</v>
      </c>
      <c r="BV310" s="1"/>
      <c r="BW310" s="1">
        <f>COUNTIF(BW3:BW309,TRUE)</f>
        <v>222</v>
      </c>
      <c r="BY310" s="1"/>
    </row>
    <row r="311" spans="1:77">
      <c r="A311" s="62" t="s">
        <v>12</v>
      </c>
      <c r="B311" s="6"/>
      <c r="C311" s="6"/>
      <c r="D311" s="6"/>
      <c r="E311" s="6"/>
      <c r="F311" s="6"/>
      <c r="G311" s="75"/>
      <c r="H311" s="75"/>
      <c r="I311" s="6"/>
      <c r="J311" s="7"/>
      <c r="K311" s="7"/>
      <c r="L311" s="8">
        <f>_xlfn.STDEV.S(L3:L48)</f>
        <v>0.38203585866670581</v>
      </c>
      <c r="M311" s="8">
        <f>_xlfn.STDEV.S(M3:M48)</f>
        <v>0.5008536088426343</v>
      </c>
      <c r="N311" s="7"/>
      <c r="O311" s="8">
        <f>_xlfn.STDEV.S(O3:O48)</f>
        <v>0.22648273494829682</v>
      </c>
      <c r="P311" s="8">
        <f>_xlfn.STDEV.S(P3:P48)</f>
        <v>0.33719479918316431</v>
      </c>
      <c r="Q311" s="7"/>
      <c r="R311" s="8">
        <f>_xlfn.STDEV.S(R3:R48)</f>
        <v>0.34128482796094145</v>
      </c>
      <c r="S311" s="8">
        <f>_xlfn.STDEV.S(S3:S48)</f>
        <v>0.4403979296388128</v>
      </c>
      <c r="T311" s="8"/>
      <c r="U311" s="7"/>
      <c r="V311" s="8">
        <f>_xlfn.STDEV.S(V3:V48)</f>
        <v>0.37044714309213106</v>
      </c>
      <c r="W311" s="8">
        <f>_xlfn.STDEV.S(W3:W48)</f>
        <v>0.4972041365980836</v>
      </c>
      <c r="X311" s="8"/>
      <c r="Y311" s="8">
        <f>_xlfn.STDEV.S(Y3:Y48)</f>
        <v>0.39736907640813268</v>
      </c>
      <c r="Z311" s="8">
        <f>_xlfn.STDEV.S(Z3:Z48)</f>
        <v>0.44351341872598565</v>
      </c>
      <c r="AA311" s="8"/>
      <c r="AB311" s="8">
        <f>_xlfn.STDEV.S(AB3:AB48)</f>
        <v>0.30827552714814799</v>
      </c>
      <c r="AC311" s="8">
        <f>_xlfn.STDEV.S(AC3:AC48)</f>
        <v>0.3029707599679155</v>
      </c>
      <c r="AD311" s="13"/>
      <c r="AE311" s="14">
        <f>_xlfn.STDEV.S(AE28:AE309)</f>
        <v>0.28934279043414945</v>
      </c>
      <c r="AF311" s="8">
        <f>_xlfn.STDEV.S(AF28:AF309)</f>
        <v>0.42895486351545481</v>
      </c>
      <c r="AG311" s="13"/>
      <c r="AH311" s="14">
        <f>_xlfn.STDEV.S(AH28:AH309)</f>
        <v>0.26651347445377893</v>
      </c>
      <c r="AI311" s="8">
        <f>_xlfn.STDEV.S(AI28:AI309)</f>
        <v>0.34562737566279372</v>
      </c>
      <c r="AJ311" s="13"/>
      <c r="AK311" s="14">
        <f>_xlfn.STDEV.S(AK28:AK309)</f>
        <v>0.32602563001542095</v>
      </c>
      <c r="AL311" s="8">
        <f>_xlfn.STDEV.S(AL28:AL309)</f>
        <v>0.3617702631556331</v>
      </c>
      <c r="AM311" s="13"/>
      <c r="AN311" s="13"/>
      <c r="AO311" s="14">
        <f>_xlfn.STDEV.S(AO28:AO309)</f>
        <v>0.31240063685267561</v>
      </c>
      <c r="AP311" s="8" t="e">
        <f>_xlfn.STDEV.S(AP28:AP309)</f>
        <v>#NUM!</v>
      </c>
      <c r="AQ311" s="13"/>
      <c r="AR311" s="14">
        <f>_xlfn.STDEV.S(AR28:AR309)</f>
        <v>0.46610952968695946</v>
      </c>
      <c r="AS311" s="8">
        <f>_xlfn.STDEV.S(AS28:AS309)</f>
        <v>0.50714060940652728</v>
      </c>
      <c r="AT311" s="13"/>
      <c r="AU311" s="14">
        <f>_xlfn.STDEV.S(AU28:AU309)</f>
        <v>0.46221280141125015</v>
      </c>
      <c r="AV311" s="8">
        <f>_xlfn.STDEV.S(AV28:AV309)</f>
        <v>0.47961457572928085</v>
      </c>
      <c r="AW311" s="13"/>
      <c r="AX311" s="14">
        <f>_xlfn.STDEV.S(AX28:AX309)</f>
        <v>0.43766667733942083</v>
      </c>
      <c r="AY311" s="8">
        <f>_xlfn.STDEV.S(AY28:AY309)</f>
        <v>0.38440818766179929</v>
      </c>
      <c r="AZ311" s="13"/>
      <c r="BA311" s="14">
        <f>_xlfn.STDEV.S(BA28:BA309)</f>
        <v>0.31765126082177358</v>
      </c>
      <c r="BB311" s="8">
        <f>_xlfn.STDEV.S(BB28:BB309)</f>
        <v>0.43211871930166706</v>
      </c>
      <c r="BC311" s="13"/>
      <c r="BD311" s="14">
        <f>_xlfn.STDEV.S(BD28:BD309)</f>
        <v>0.21402952851616464</v>
      </c>
      <c r="BE311" s="8">
        <f>_xlfn.STDEV.S(BE28:BE309)</f>
        <v>0.27835648625607362</v>
      </c>
      <c r="BF311" s="8"/>
      <c r="BG311" s="14">
        <f>_xlfn.STDEV.S(BG28:BG309)</f>
        <v>0.3544080279873249</v>
      </c>
      <c r="BH311" s="8">
        <f>_xlfn.STDEV.S(BH28:BH309)</f>
        <v>0.32494008918940803</v>
      </c>
      <c r="BI311" s="13"/>
      <c r="BJ311" s="14">
        <f>_xlfn.STDEV.S(BJ28:BJ309)</f>
        <v>0.39571596142483123</v>
      </c>
      <c r="BK311" s="8">
        <f>_xlfn.STDEV.S(BK28:BK309)</f>
        <v>0.41219969063409428</v>
      </c>
      <c r="BL311" s="8"/>
      <c r="BM311" s="14">
        <f>_xlfn.STDEV.S(BM28:BM309)</f>
        <v>0.4053736421096969</v>
      </c>
      <c r="BN311" s="8">
        <f>_xlfn.STDEV.S(BN28:BN309)</f>
        <v>0.35161749025454586</v>
      </c>
    </row>
    <row r="312" spans="1:77">
      <c r="A312" s="62" t="s">
        <v>1</v>
      </c>
      <c r="B312" s="6"/>
      <c r="C312" s="6"/>
      <c r="D312" s="6"/>
      <c r="E312" s="6"/>
      <c r="F312" s="6"/>
      <c r="G312" s="75"/>
      <c r="H312" s="75"/>
      <c r="I312" s="6"/>
      <c r="J312" s="7"/>
      <c r="K312" s="7"/>
      <c r="L312" s="9">
        <f>L311/L310</f>
        <v>0.39080235730617291</v>
      </c>
      <c r="M312" s="9"/>
      <c r="N312" s="7"/>
      <c r="O312" s="9">
        <f>O311/O310</f>
        <v>0.27161169305991162</v>
      </c>
      <c r="P312" s="9"/>
      <c r="Q312" s="7"/>
      <c r="R312" s="9">
        <f>R311/R310</f>
        <v>0.34910110635889957</v>
      </c>
      <c r="S312" s="9"/>
      <c r="T312" s="9"/>
      <c r="U312" s="7"/>
      <c r="V312" s="9">
        <f>V311/V310</f>
        <v>0.38313347789822638</v>
      </c>
      <c r="W312" s="9"/>
      <c r="X312" s="9"/>
      <c r="Y312" s="9">
        <f>Y311/Y310</f>
        <v>0.34355247934817845</v>
      </c>
      <c r="Z312" s="9"/>
      <c r="AA312" s="9"/>
      <c r="AB312" s="9">
        <f>AB311/AB310</f>
        <v>0.27042826981017082</v>
      </c>
      <c r="AC312" s="9"/>
      <c r="AD312" s="13"/>
      <c r="AE312" s="15">
        <f>AE311/AE310</f>
        <v>0.33431794183593849</v>
      </c>
      <c r="AF312" s="9"/>
      <c r="AG312" s="13"/>
      <c r="AH312" s="15">
        <f>AH311/AH310</f>
        <v>0.31193891277517405</v>
      </c>
      <c r="AI312" s="9"/>
      <c r="AJ312" s="13"/>
      <c r="AK312" s="15">
        <f>AK311/AK310</f>
        <v>0.35107100492683535</v>
      </c>
      <c r="AL312" s="9"/>
      <c r="AM312" s="13"/>
      <c r="AN312" s="13"/>
      <c r="AO312" s="15">
        <f>AO311/AO310</f>
        <v>0.34432699073578354</v>
      </c>
      <c r="AP312" s="9"/>
      <c r="AQ312" s="13"/>
      <c r="AR312" s="15">
        <f>AR311/AR310</f>
        <v>0.47475634588110099</v>
      </c>
      <c r="AS312" s="9"/>
      <c r="AT312" s="13"/>
      <c r="AU312" s="15">
        <f>AU311/AU310</f>
        <v>0.34235872896948122</v>
      </c>
      <c r="AV312" s="9"/>
      <c r="AW312" s="13"/>
      <c r="AX312" s="15">
        <f>AX311/AX310</f>
        <v>0.35828638726480799</v>
      </c>
      <c r="AY312" s="9"/>
      <c r="AZ312" s="13"/>
      <c r="BA312" s="15">
        <f>BA311/BA310</f>
        <v>0.37246604602933231</v>
      </c>
      <c r="BB312" s="9"/>
      <c r="BC312" s="13"/>
      <c r="BD312" s="15">
        <f>BD311/BD310</f>
        <v>0.2649201585163366</v>
      </c>
      <c r="BE312" s="9"/>
      <c r="BF312" s="9"/>
      <c r="BG312" s="15">
        <f>BG311/BG310</f>
        <v>0.30572256607298176</v>
      </c>
      <c r="BH312" s="9"/>
      <c r="BI312" s="13"/>
      <c r="BJ312" s="15">
        <f>BJ311/BJ310</f>
        <v>0.36859107043075684</v>
      </c>
      <c r="BK312" s="9"/>
      <c r="BL312" s="9"/>
      <c r="BM312" s="15">
        <f>BM311/BM310</f>
        <v>0.34625615153448397</v>
      </c>
      <c r="BN312" s="9"/>
    </row>
    <row r="313" spans="1:77" ht="18" customHeight="1">
      <c r="AF313"/>
      <c r="AI313"/>
      <c r="AL313"/>
      <c r="AP313"/>
      <c r="AS313"/>
      <c r="AV313"/>
      <c r="AY313"/>
      <c r="BB313"/>
      <c r="BE313"/>
      <c r="BF313"/>
      <c r="BG313"/>
      <c r="BH313"/>
      <c r="BI313" s="17"/>
      <c r="BJ313" s="16"/>
      <c r="BM313" s="16"/>
    </row>
    <row r="314" spans="1:77" ht="42">
      <c r="A314" s="10" t="s">
        <v>38</v>
      </c>
      <c r="B314" s="10"/>
      <c r="C314" s="10"/>
      <c r="D314" s="10"/>
      <c r="E314" s="10"/>
      <c r="F314" s="10"/>
      <c r="G314" s="76"/>
      <c r="H314" s="76"/>
      <c r="I314" s="10"/>
      <c r="M314" s="18">
        <f>EXP(M310-0.674*M311)</f>
        <v>0.63083887122514726</v>
      </c>
      <c r="P314" s="18">
        <f>EXP(P310-0.674*P311)</f>
        <v>0.63358621874184073</v>
      </c>
      <c r="S314" s="18">
        <f>EXP(S310-0.674*S311)</f>
        <v>0.67126294604764347</v>
      </c>
      <c r="W314" s="18">
        <f>EXP(W310-0.674*W311)</f>
        <v>0.62724076021550779</v>
      </c>
      <c r="X314" s="17"/>
      <c r="Z314" s="18">
        <f>EXP(Z310-0.674*Z311)</f>
        <v>0.79238744731442967</v>
      </c>
      <c r="AA314" s="17"/>
      <c r="AC314" s="18">
        <f>EXP(AC310-0.674*AC311)</f>
        <v>0.8922761095811883</v>
      </c>
      <c r="AE314" s="17"/>
      <c r="AF314" s="18">
        <f>EXP(AF310-0.674*AF311)</f>
        <v>0.60264251563136306</v>
      </c>
      <c r="AH314" s="17"/>
      <c r="AI314" s="18">
        <f>EXP(AI310-0.674*AI311)</f>
        <v>0.64109850265006751</v>
      </c>
      <c r="AK314" s="17"/>
      <c r="AL314" s="18">
        <f>EXP(AL310-0.674*AL311)</f>
        <v>0.68397920223632502</v>
      </c>
      <c r="AO314" s="17"/>
      <c r="AP314" s="18" t="e">
        <f>EXP(AP310-0.674*AP311)</f>
        <v>#NUM!</v>
      </c>
      <c r="AR314" s="17"/>
      <c r="AS314" s="18">
        <f>EXP(AS310-0.674*AS311)</f>
        <v>0.61925798713592106</v>
      </c>
      <c r="AU314" s="17"/>
      <c r="AV314" s="18">
        <f>EXP(AV310-0.674*AV311)</f>
        <v>0.89672714797672726</v>
      </c>
      <c r="AX314" s="17"/>
      <c r="AY314" s="18">
        <f>EXP(AY310-0.674*AY311)</f>
        <v>0.87955762954210093</v>
      </c>
      <c r="BA314" s="17"/>
      <c r="BB314" s="18">
        <f>EXP(BB310-0.674*BB311)</f>
        <v>0.58662700524537337</v>
      </c>
      <c r="BD314" s="17"/>
      <c r="BE314" s="18">
        <f>EXP(BE310-0.674*BE311)</f>
        <v>0.64547312372430277</v>
      </c>
      <c r="BF314" s="17"/>
      <c r="BG314" s="17"/>
      <c r="BH314" s="18">
        <f>EXP(BH310-0.674*BH311)</f>
        <v>0.88585082113568159</v>
      </c>
      <c r="BI314" s="17"/>
      <c r="BJ314" s="17"/>
      <c r="BK314" s="18">
        <f>EXP(BK310-0.674*BK311)</f>
        <v>0.75350631535965484</v>
      </c>
      <c r="BL314" s="17"/>
      <c r="BM314" s="17"/>
      <c r="BN314" s="18">
        <f>EXP(BN310-0.674*BN311)</f>
        <v>0.87022564167456506</v>
      </c>
    </row>
    <row r="315" spans="1:77">
      <c r="AF315"/>
      <c r="AI315"/>
      <c r="AL315"/>
      <c r="AP315"/>
      <c r="AS315"/>
      <c r="AV315"/>
      <c r="AY315"/>
      <c r="BB315"/>
      <c r="BE315"/>
      <c r="BF315"/>
      <c r="BG315"/>
      <c r="BH315"/>
      <c r="BI315" s="17"/>
      <c r="BJ315" s="16"/>
      <c r="BM315" s="16"/>
    </row>
    <row r="316" spans="1:77" ht="42">
      <c r="A316" s="10" t="s">
        <v>39</v>
      </c>
      <c r="B316" s="10"/>
      <c r="C316" s="10"/>
      <c r="D316" s="10"/>
      <c r="E316" s="10"/>
      <c r="F316" s="10"/>
      <c r="G316" s="76"/>
      <c r="H316" s="76"/>
      <c r="I316" s="10"/>
      <c r="M316" s="18">
        <f>IF(M314&lt;1,1/M314,1)</f>
        <v>1.5851908397114272</v>
      </c>
      <c r="P316" s="18">
        <f>IF(P314&lt;1,1/P314,1)</f>
        <v>1.5783171578222999</v>
      </c>
      <c r="S316" s="18">
        <f>IF(S314&lt;1,1/S314,1)</f>
        <v>1.4897291827113963</v>
      </c>
      <c r="W316" s="18">
        <f>IF(W314&lt;1,1/W314,1)</f>
        <v>1.5942841464199797</v>
      </c>
      <c r="X316" s="17"/>
      <c r="Z316" s="18">
        <f>IF(Z314&lt;1,1/Z314,1)</f>
        <v>1.2620088864219312</v>
      </c>
      <c r="AA316" s="17"/>
      <c r="AC316" s="18">
        <f>IF(AC314&lt;1,1/AC314,1)</f>
        <v>1.1207293227534407</v>
      </c>
      <c r="AF316" s="18">
        <f>IF(AF314&lt;1,1/AF314,1)</f>
        <v>1.6593585319023541</v>
      </c>
      <c r="AI316" s="18">
        <f>IF(AI314&lt;1,1/AI314,1)</f>
        <v>1.5598227041029804</v>
      </c>
      <c r="AL316" s="18">
        <f>IF(AL314&lt;1,1/AL314,1)</f>
        <v>1.4620327587891848</v>
      </c>
      <c r="AP316" s="18" t="e">
        <f>IF(AP314&lt;1,1/AP314,1)</f>
        <v>#NUM!</v>
      </c>
      <c r="AS316" s="18">
        <f>IF(AS314&lt;1,1/AS314,1)</f>
        <v>1.6148358531878084</v>
      </c>
      <c r="AV316" s="18">
        <f>IF(AV314&lt;1,1/AV314,1)</f>
        <v>1.1151664162909374</v>
      </c>
      <c r="AY316" s="18">
        <f>IF(AY314&lt;1,1/AY314,1)</f>
        <v>1.1369351665116036</v>
      </c>
      <c r="BB316" s="18">
        <f>IF(BB314&lt;1,1/BB314,1)</f>
        <v>1.7046606976126537</v>
      </c>
      <c r="BE316" s="18">
        <f>IF(BE314&lt;1,1/BE314,1)</f>
        <v>1.5492511821872916</v>
      </c>
      <c r="BF316" s="17"/>
      <c r="BG316" s="17"/>
      <c r="BH316" s="18">
        <f>IF(BH314&lt;1,1/BH314,1)</f>
        <v>1.1288582412984349</v>
      </c>
      <c r="BI316" s="17"/>
      <c r="BJ316" s="16"/>
      <c r="BK316" s="18">
        <f>IF(BK314&lt;1,1/BK314,1)</f>
        <v>1.3271288901177845</v>
      </c>
      <c r="BL316" s="17"/>
      <c r="BM316" s="16"/>
      <c r="BN316" s="18">
        <f>IF(BN314&lt;1,1/BN314,1)</f>
        <v>1.1491272517271631</v>
      </c>
    </row>
    <row r="317" spans="1:77">
      <c r="BI317" s="17"/>
      <c r="BJ317" s="16"/>
      <c r="BK317" s="16"/>
      <c r="BL317" s="16"/>
      <c r="BM317" s="16"/>
      <c r="BN317" s="16"/>
    </row>
    <row r="318" spans="1:77" s="46" customFormat="1" ht="26.4">
      <c r="A318" s="58" t="s">
        <v>52</v>
      </c>
      <c r="G318" s="47"/>
      <c r="H318" s="47"/>
      <c r="J318" s="47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61"/>
      <c r="BJ318" s="48"/>
      <c r="BK318" s="48"/>
      <c r="BL318" s="48"/>
      <c r="BM318" s="48"/>
      <c r="BN318" s="48"/>
    </row>
    <row r="319" spans="1:77">
      <c r="BI319" s="17"/>
      <c r="BJ319" s="16"/>
      <c r="BK319" s="16"/>
      <c r="BL319" s="16"/>
      <c r="BM319" s="16"/>
      <c r="BN319" s="16"/>
    </row>
    <row r="320" spans="1:77">
      <c r="A320" s="62" t="s">
        <v>0</v>
      </c>
      <c r="B320" s="6"/>
      <c r="C320" s="6"/>
      <c r="D320" s="6"/>
      <c r="E320" s="6"/>
      <c r="F320" s="6"/>
      <c r="G320" s="75"/>
      <c r="H320" s="75"/>
      <c r="I320" s="6"/>
      <c r="J320" s="7"/>
      <c r="K320" s="13"/>
      <c r="L320" s="8">
        <f>AVERAGEIF($BS3:$BS48,TRUE,L3:L48)</f>
        <v>1.011166937556532</v>
      </c>
      <c r="M320" s="8">
        <f>AVERAGEIF($BS3:$BS48,TRUE,M3:M48)</f>
        <v>-1.0181009728590316E-2</v>
      </c>
      <c r="N320" s="13"/>
      <c r="O320" s="8">
        <f>AVERAGEIF($BS3:$BS48,TRUE,O3:O48)</f>
        <v>0.89243350703501423</v>
      </c>
      <c r="P320" s="8">
        <f>AVERAGEIF($BS3:$BS48,TRUE,P3:P48)</f>
        <v>-0.12279114651503691</v>
      </c>
      <c r="Q320" s="13"/>
      <c r="R320" s="8">
        <f>AVERAGEIF($BS3:$BS48,TRUE,R3:R48)</f>
        <v>1.0822948406727035</v>
      </c>
      <c r="S320" s="8">
        <f>AVERAGEIF($BS3:$BS48,TRUE,S3:S48)</f>
        <v>5.1305718823456477E-2</v>
      </c>
      <c r="T320" s="13"/>
      <c r="U320" s="13"/>
      <c r="V320" s="8">
        <f>AVERAGEIF($BS3:$BS48,TRUE,V3:V48)</f>
        <v>0.91688962022715581</v>
      </c>
      <c r="W320" s="8">
        <f>AVERAGEIF($BS3:$BS48,TRUE,W3:W48)</f>
        <v>-0.10068801395297611</v>
      </c>
      <c r="X320" s="8"/>
      <c r="Y320" s="8">
        <f>AVERAGEIF($BS3:$BS48,TRUE,Y3:Y48)</f>
        <v>1.3191945890056826</v>
      </c>
      <c r="Z320" s="8">
        <f>AVERAGEIF($BS3:$BS48,TRUE,Z3:Z48)</f>
        <v>0.24911550342983196</v>
      </c>
      <c r="AA320" s="8"/>
      <c r="AB320" s="8"/>
      <c r="AC320" s="8"/>
      <c r="AD320" s="13"/>
      <c r="AE320" s="8">
        <f>AVERAGEIF($BS28:$BS309,TRUE,AE28:AE309)</f>
        <v>0.98144303897996865</v>
      </c>
      <c r="AF320" s="8">
        <f>AVERAGEIF($BS28:$BS309,TRUE,AF28:AF309)</f>
        <v>-7.8537533025864165E-2</v>
      </c>
      <c r="AG320" s="13"/>
      <c r="AH320" s="8">
        <f>AVERAGEIF($BS28:$BS309,TRUE,AH28:AH309)</f>
        <v>0.86393940430860294</v>
      </c>
      <c r="AI320" s="8">
        <f>AVERAGEIF($BS28:$BS309,TRUE,AI28:AI309)</f>
        <v>-0.1932285149903786</v>
      </c>
      <c r="AJ320" s="13"/>
      <c r="AK320" s="8">
        <f>AVERAGEIF($BS28:$BS309,TRUE,AK28:AK309)</f>
        <v>1.0628568634422284</v>
      </c>
      <c r="AL320" s="8">
        <f>AVERAGEIF($BS28:$BS309,TRUE,AL28:AL309)</f>
        <v>-2.3188125335257674E-3</v>
      </c>
      <c r="AM320" s="13"/>
      <c r="AN320" s="13"/>
      <c r="AO320" s="8">
        <f>AVERAGEIF($BS28:$BS309,TRUE,AO28:AO309)</f>
        <v>0.88262595314384751</v>
      </c>
      <c r="AP320" s="8">
        <f>AVERAGEIF($BS28:$BS309,TRUE,AP28:AP309)</f>
        <v>-0.16568874990153046</v>
      </c>
      <c r="AQ320" s="13"/>
      <c r="AR320" s="8">
        <f>AVERAGEIF($BS28:$BS309,TRUE,AR28:AR309)</f>
        <v>1.2806098069084464</v>
      </c>
      <c r="AS320" s="8">
        <f>AVERAGEIF($BS28:$BS309,TRUE,AS28:AS309)</f>
        <v>0.13251713824283823</v>
      </c>
      <c r="AT320" s="13"/>
      <c r="AU320" s="8">
        <f>AVERAGEIF($BS28:$BS309,TRUE,AU28:AU309)</f>
        <v>1.3795331406103564</v>
      </c>
      <c r="AV320" s="8">
        <f>AVERAGEIF($BS28:$BS309,TRUE,AV28:AV309)</f>
        <v>0.27985747773021186</v>
      </c>
      <c r="AW320" s="13"/>
      <c r="AX320" s="8">
        <f>AVERAGEIF($BS28:$BS309,TRUE,AX28:AX309)</f>
        <v>1.3988038636189775</v>
      </c>
      <c r="AY320" s="8">
        <f>AVERAGEIF($BS28:$BS309,TRUE,AY28:AY309)</f>
        <v>0.25142426738304985</v>
      </c>
      <c r="AZ320" s="13"/>
      <c r="BA320" s="8">
        <f>AVERAGEIF($BS28:$BS309,TRUE,BA28:BA309)</f>
        <v>0.86023073990571508</v>
      </c>
      <c r="BB320" s="8">
        <f>AVERAGEIF($BS28:$BS309,TRUE,BB28:BB309)</f>
        <v>-0.23216252837948689</v>
      </c>
      <c r="BC320" s="13"/>
      <c r="BD320" s="8">
        <f>AVERAGEIF($BS28:$BS309,TRUE,BD28:BD309)</f>
        <v>0.84676710396918009</v>
      </c>
      <c r="BE320" s="8">
        <f>AVERAGEIF($BS28:$BS309,TRUE,BE28:BE309)</f>
        <v>-0.19547113311779499</v>
      </c>
      <c r="BF320" s="8"/>
      <c r="BG320" s="8">
        <f>AVERAGEIF($BS28:$BS309,TRUE,BG28:BG309)</f>
        <v>1.2134298797789416</v>
      </c>
      <c r="BH320" s="8">
        <f>AVERAGEIF($BS28:$BS309,TRUE,BH28:BH309)</f>
        <v>0.12562777608760886</v>
      </c>
      <c r="BI320" s="13"/>
      <c r="BJ320" s="8">
        <f>AVERAGEIF($BS28:$BS309,TRUE,BJ28:BJ309)</f>
        <v>1.2363775625260216</v>
      </c>
      <c r="BK320" s="8">
        <f>AVERAGEIF($BS28:$BS309,TRUE,BK28:BK309)</f>
        <v>0.14467337869672656</v>
      </c>
      <c r="BL320" s="8"/>
      <c r="BM320" s="8">
        <f>AVERAGEIF($BS28:$BS309,TRUE,BM28:BM309)</f>
        <v>1.0498337319698576</v>
      </c>
      <c r="BN320" s="8">
        <f>AVERAGEIF($BS28:$BS309,TRUE,BN28:BN309)</f>
        <v>1.1118799660933433E-2</v>
      </c>
    </row>
    <row r="321" spans="1:66">
      <c r="A321" s="62" t="s">
        <v>12</v>
      </c>
      <c r="B321" s="6"/>
      <c r="C321" s="6"/>
      <c r="D321" s="6"/>
      <c r="E321" s="6"/>
      <c r="F321" s="6"/>
      <c r="G321" s="75"/>
      <c r="H321" s="75"/>
      <c r="I321" s="6"/>
      <c r="J321" s="7"/>
      <c r="K321" s="13"/>
      <c r="L321" s="14" cm="1">
        <f t="array" ref="L321">_xlfn.STDEV.S(_xlfn._xlws.FILTER(L3:L48,$BS3:$BS48=TRUE))</f>
        <v>0.20458797577769683</v>
      </c>
      <c r="M321" s="14" cm="1">
        <f t="array" ref="M321">_xlfn.STDEV.S(_xlfn._xlws.FILTER(M3:M48,$BS3:$BS48=TRUE))</f>
        <v>0.21567213064027196</v>
      </c>
      <c r="N321" s="13"/>
      <c r="O321" s="14" cm="1">
        <f t="array" ref="O321">_xlfn.STDEV.S(_xlfn._xlws.FILTER(O3:O48,$BS3:$BS48=TRUE))</f>
        <v>0.11629782001412145</v>
      </c>
      <c r="P321" s="14" cm="1">
        <f t="array" ref="P321">_xlfn.STDEV.S(_xlfn._xlws.FILTER(P3:P48,$BS3:$BS48=TRUE))</f>
        <v>0.14095839000583063</v>
      </c>
      <c r="Q321" s="13"/>
      <c r="R321" s="14" cm="1">
        <f t="array" ref="R321">_xlfn.STDEV.S(_xlfn._xlws.FILTER(R3:R48,$BS3:$BS48=TRUE))</f>
        <v>0.26581021247273046</v>
      </c>
      <c r="S321" s="14" cm="1">
        <f t="array" ref="S321">_xlfn.STDEV.S(_xlfn._xlws.FILTER(S3:S48,$BS3:$BS48=TRUE))</f>
        <v>0.23932146683195468</v>
      </c>
      <c r="T321" s="13"/>
      <c r="U321" s="13"/>
      <c r="V321" s="14" cm="1">
        <f t="array" ref="V321">_xlfn.STDEV.S(_xlfn._xlws.FILTER(V3:V48,$BS3:$BS48=TRUE))</f>
        <v>0.14247601287734982</v>
      </c>
      <c r="W321" s="14" cm="1">
        <f t="array" ref="W321">_xlfn.STDEV.S(_xlfn._xlws.FILTER(W3:W48,$BS3:$BS48=TRUE))</f>
        <v>0.179281987196131</v>
      </c>
      <c r="X321" s="14"/>
      <c r="Y321" s="14" cm="1">
        <f t="array" ref="Y321">_xlfn.STDEV.S(_xlfn._xlws.FILTER(Y3:Y48,$BS3:$BS48=TRUE))</f>
        <v>0.30101083367534498</v>
      </c>
      <c r="Z321" s="14" cm="1">
        <f t="array" ref="Z321">_xlfn.STDEV.S(_xlfn._xlws.FILTER(Z3:Z48,$BS3:$BS48=TRUE))</f>
        <v>0.25011444852668158</v>
      </c>
      <c r="AA321" s="14"/>
      <c r="AB321" s="14"/>
      <c r="AC321" s="14"/>
      <c r="AD321" s="13"/>
      <c r="AE321" s="14" cm="1">
        <f t="array" ref="AE321">_xlfn.STDEV.S(_xlfn._xlws.FILTER(AE28:AE309,$BS28:$BS309=TRUE))</f>
        <v>0.2779878071512778</v>
      </c>
      <c r="AF321" s="14" cm="1">
        <f t="array" ref="AF321">_xlfn.STDEV.S(_xlfn._xlws.FILTER(AF28:AF309,$BS28:$BS309=TRUE))</f>
        <v>0.43237056958548653</v>
      </c>
      <c r="AG321" s="13"/>
      <c r="AH321" s="14" cm="1">
        <f t="array" ref="AH321">_xlfn.STDEV.S(_xlfn._xlws.FILTER(AH28:AH309,$BS28:$BS309=TRUE))</f>
        <v>0.25554591226007101</v>
      </c>
      <c r="AI321" s="14" cm="1">
        <f t="array" ref="AI321">_xlfn.STDEV.S(_xlfn._xlws.FILTER(AI28:AI309,$BS28:$BS309=TRUE))</f>
        <v>0.31773997784315211</v>
      </c>
      <c r="AJ321" s="13"/>
      <c r="AK321" s="14" cm="1">
        <f t="array" ref="AK321">_xlfn.STDEV.S(_xlfn._xlws.FILTER(AK28:AK309,$BS28:$BS309=TRUE))</f>
        <v>0.39076727958751517</v>
      </c>
      <c r="AL321" s="14" cm="1">
        <f t="array" ref="AL321">_xlfn.STDEV.S(_xlfn._xlws.FILTER(AL28:AL309,$BS28:$BS309=TRUE))</f>
        <v>0.35402363853565305</v>
      </c>
      <c r="AM321" s="13"/>
      <c r="AN321" s="13"/>
      <c r="AO321" s="14" cm="1">
        <f t="array" ref="AO321">_xlfn.STDEV.S(_xlfn._xlws.FILTER(AO28:AO309,$BS28:$BS309=TRUE))</f>
        <v>0.25398466812353038</v>
      </c>
      <c r="AP321" s="14" cm="1">
        <f t="array" ref="AP321">_xlfn.STDEV.S(_xlfn._xlws.FILTER(AP28:AP309,$BS28:$BS309=TRUE))</f>
        <v>0.29049431787091956</v>
      </c>
      <c r="AQ321" s="13"/>
      <c r="AR321" s="14" cm="1">
        <f t="array" ref="AR321">_xlfn.STDEV.S(_xlfn._xlws.FILTER(AR28:AR309,$BS28:$BS309=TRUE))</f>
        <v>0.56627636250824676</v>
      </c>
      <c r="AS321" s="14" cm="1">
        <f t="array" ref="AS321">_xlfn.STDEV.S(_xlfn._xlws.FILTER(AS28:AS309,$BS28:$BS309=TRUE))</f>
        <v>0.50295146489610554</v>
      </c>
      <c r="AT321" s="13"/>
      <c r="AU321" s="14" cm="1">
        <f t="array" ref="AU321">_xlfn.STDEV.S(_xlfn._xlws.FILTER(AU28:AU309,$BS28:$BS309=TRUE))</f>
        <v>0.38681690783865047</v>
      </c>
      <c r="AV321" s="14" cm="1">
        <f t="array" ref="AV321">_xlfn.STDEV.S(_xlfn._xlws.FILTER(AV28:AV309,$BS28:$BS309=TRUE))</f>
        <v>0.29993304826095585</v>
      </c>
      <c r="AW321" s="13"/>
      <c r="AX321" s="14" cm="1">
        <f t="array" ref="AX321">_xlfn.STDEV.S(_xlfn._xlws.FILTER(AX28:AX309,$BS28:$BS309=TRUE))</f>
        <v>0.52465690286734523</v>
      </c>
      <c r="AY321" s="14" cm="1">
        <f t="array" ref="AY321">_xlfn.STDEV.S(_xlfn._xlws.FILTER(AY28:AY309,$BS28:$BS309=TRUE))</f>
        <v>0.43415172705762323</v>
      </c>
      <c r="AZ321" s="13"/>
      <c r="BA321" s="14" cm="1">
        <f t="array" ref="BA321">_xlfn.STDEV.S(_xlfn._xlws.FILTER(BA28:BA309,$BS28:$BS309=TRUE))</f>
        <v>0.33570961723445092</v>
      </c>
      <c r="BB321" s="14" cm="1">
        <f t="array" ref="BB321">_xlfn.STDEV.S(_xlfn._xlws.FILTER(BB28:BB309,$BS28:$BS309=TRUE))</f>
        <v>0.41654378998956426</v>
      </c>
      <c r="BC321" s="13"/>
      <c r="BD321" s="14" cm="1">
        <f t="array" ref="BD321">_xlfn.STDEV.S(_xlfn._xlws.FILTER(BD28:BD309,$BS28:$BS309=TRUE))</f>
        <v>0.20646620701992494</v>
      </c>
      <c r="BE321" s="14" cm="1">
        <f t="array" ref="BE321">_xlfn.STDEV.S(_xlfn._xlws.FILTER(BE28:BE309,$BS28:$BS309=TRUE))</f>
        <v>0.2434071672017237</v>
      </c>
      <c r="BF321" s="14"/>
      <c r="BG321" s="14" cm="1">
        <f t="array" ref="BG321">_xlfn.STDEV.S(_xlfn._xlws.FILTER(BG28:BG309,$BS28:$BS309=TRUE))</f>
        <v>0.42697717022753845</v>
      </c>
      <c r="BH321" s="14" cm="1">
        <f t="array" ref="BH321">_xlfn.STDEV.S(_xlfn._xlws.FILTER(BH28:BH309,$BS28:$BS309=TRUE))</f>
        <v>0.38198022221783706</v>
      </c>
      <c r="BI321" s="13"/>
      <c r="BJ321" s="14" cm="1">
        <f t="array" ref="BJ321">_xlfn.STDEV.S(_xlfn._xlws.FILTER(BJ28:BJ309,$BS28:$BS309=TRUE))</f>
        <v>0.43614603559829218</v>
      </c>
      <c r="BK321" s="14" cm="1">
        <f t="array" ref="BK321">_xlfn.STDEV.S(_xlfn._xlws.FILTER(BK28:BK309,$BS28:$BS309=TRUE))</f>
        <v>0.38244217957051069</v>
      </c>
      <c r="BL321" s="14"/>
      <c r="BM321" s="14" cm="1">
        <f t="array" ref="BM321">_xlfn.STDEV.S(_xlfn._xlws.FILTER(BM28:BM309,$BS28:$BS309=TRUE))</f>
        <v>0.28797458174264334</v>
      </c>
      <c r="BN321" s="14" cm="1">
        <f t="array" ref="BN321">_xlfn.STDEV.S(_xlfn._xlws.FILTER(BN28:BN309,$BS28:$BS309=TRUE))</f>
        <v>0.27857634677083881</v>
      </c>
    </row>
    <row r="322" spans="1:66">
      <c r="A322" s="62" t="s">
        <v>1</v>
      </c>
      <c r="B322" s="6"/>
      <c r="C322" s="6"/>
      <c r="D322" s="6"/>
      <c r="E322" s="6"/>
      <c r="F322" s="6"/>
      <c r="G322" s="75"/>
      <c r="H322" s="75"/>
      <c r="I322" s="6"/>
      <c r="J322" s="7"/>
      <c r="K322" s="13"/>
      <c r="L322" s="15">
        <f>L321/L320</f>
        <v>0.20232858510196175</v>
      </c>
      <c r="M322" s="9"/>
      <c r="N322" s="13"/>
      <c r="O322" s="15">
        <f>O321/O320</f>
        <v>0.13031538943501206</v>
      </c>
      <c r="P322" s="9"/>
      <c r="Q322" s="13"/>
      <c r="R322" s="15">
        <f>R321/R320</f>
        <v>0.2455987060859639</v>
      </c>
      <c r="S322" s="9"/>
      <c r="T322" s="13"/>
      <c r="U322" s="13"/>
      <c r="V322" s="15">
        <f>V321/V320</f>
        <v>0.15539058326568464</v>
      </c>
      <c r="W322" s="9"/>
      <c r="X322" s="9"/>
      <c r="Y322" s="15">
        <f>Y321/Y320</f>
        <v>0.22817773525149618</v>
      </c>
      <c r="Z322" s="9"/>
      <c r="AA322" s="9"/>
      <c r="AB322" s="9"/>
      <c r="AC322" s="9"/>
      <c r="AD322" s="13"/>
      <c r="AE322" s="15">
        <f>AE321/AE320</f>
        <v>0.28324395416793163</v>
      </c>
      <c r="AF322" s="9"/>
      <c r="AG322" s="13"/>
      <c r="AH322" s="15">
        <f>AH321/AH320</f>
        <v>0.29579147679295908</v>
      </c>
      <c r="AI322" s="9"/>
      <c r="AJ322" s="13"/>
      <c r="AK322" s="15">
        <f>AK321/AK320</f>
        <v>0.36765748336229787</v>
      </c>
      <c r="AL322" s="9"/>
      <c r="AM322" s="13"/>
      <c r="AN322" s="13"/>
      <c r="AO322" s="15">
        <f>AO321/AO320</f>
        <v>0.28776025361463259</v>
      </c>
      <c r="AP322" s="9"/>
      <c r="AQ322" s="13"/>
      <c r="AR322" s="15">
        <f>AR321/AR320</f>
        <v>0.44219274243675311</v>
      </c>
      <c r="AS322" s="9"/>
      <c r="AT322" s="13"/>
      <c r="AU322" s="15">
        <f>AU321/AU320</f>
        <v>0.28039696651833124</v>
      </c>
      <c r="AV322" s="9"/>
      <c r="AW322" s="13"/>
      <c r="AX322" s="15">
        <f>AX321/AX320</f>
        <v>0.3750753887038572</v>
      </c>
      <c r="AY322" s="9"/>
      <c r="AZ322" s="13"/>
      <c r="BA322" s="15">
        <f>BA321/BA320</f>
        <v>0.39025531367461491</v>
      </c>
      <c r="BB322" s="9"/>
      <c r="BC322" s="13"/>
      <c r="BD322" s="15">
        <f>BD321/BD320</f>
        <v>0.24382880021215339</v>
      </c>
      <c r="BE322" s="9"/>
      <c r="BF322" s="9"/>
      <c r="BG322" s="15">
        <f>BG321/BG320</f>
        <v>0.35187626194380811</v>
      </c>
      <c r="BH322" s="9"/>
      <c r="BI322" s="13"/>
      <c r="BJ322" s="15">
        <f>BJ321/BJ320</f>
        <v>0.35276120241717246</v>
      </c>
      <c r="BK322" s="9"/>
      <c r="BL322" s="9"/>
      <c r="BM322" s="15">
        <f>BM321/BM320</f>
        <v>0.27430494274774508</v>
      </c>
      <c r="BN322" s="9"/>
    </row>
    <row r="323" spans="1:66">
      <c r="K323" s="16"/>
      <c r="L323" s="16"/>
      <c r="N323" s="16"/>
      <c r="O323" s="16"/>
      <c r="Q323" s="16"/>
      <c r="R323" s="16"/>
      <c r="T323" s="16"/>
      <c r="U323" s="16"/>
      <c r="V323" s="16"/>
      <c r="Y323" s="16"/>
      <c r="AF323"/>
      <c r="AI323"/>
      <c r="AL323"/>
      <c r="AP323"/>
      <c r="AS323"/>
      <c r="AV323"/>
      <c r="AY323"/>
      <c r="BB323"/>
      <c r="BE323"/>
      <c r="BF323"/>
      <c r="BH323"/>
      <c r="BI323" s="17"/>
      <c r="BJ323" s="16"/>
      <c r="BM323" s="16"/>
    </row>
    <row r="324" spans="1:66" ht="42">
      <c r="A324" s="10" t="s">
        <v>38</v>
      </c>
      <c r="B324" s="49"/>
      <c r="C324" s="49"/>
      <c r="D324" s="49"/>
      <c r="E324" s="49"/>
      <c r="F324" s="49"/>
      <c r="G324" s="77"/>
      <c r="H324" s="77"/>
      <c r="I324" s="49"/>
      <c r="K324" s="16"/>
      <c r="L324" s="17"/>
      <c r="M324" s="18">
        <f>EXP(M320-0.674*M321)</f>
        <v>0.85594939225963762</v>
      </c>
      <c r="N324" s="16"/>
      <c r="O324" s="17"/>
      <c r="P324" s="18">
        <f>EXP(P320-0.674*P321)</f>
        <v>0.80428861416298902</v>
      </c>
      <c r="Q324" s="16"/>
      <c r="R324" s="17"/>
      <c r="S324" s="18">
        <f>EXP(S320-0.674*S321)</f>
        <v>0.89583686775491078</v>
      </c>
      <c r="T324" s="16"/>
      <c r="U324" s="16"/>
      <c r="V324" s="17"/>
      <c r="W324" s="18">
        <f>EXP(W320-0.674*W321)</f>
        <v>0.80129663204297041</v>
      </c>
      <c r="X324" s="17"/>
      <c r="Y324" s="17"/>
      <c r="Z324" s="18">
        <f>EXP(Z320-0.674*Z321)</f>
        <v>1.0838704286667438</v>
      </c>
      <c r="AA324" s="18"/>
      <c r="AB324" s="18"/>
      <c r="AC324" s="18"/>
      <c r="AE324" s="17"/>
      <c r="AF324" s="18">
        <f>EXP(AF320-0.674*AF321)</f>
        <v>0.69076520927509832</v>
      </c>
      <c r="AH324" s="17"/>
      <c r="AI324" s="18">
        <f>EXP(AI320-0.674*AI321)</f>
        <v>0.66538779357592803</v>
      </c>
      <c r="AK324" s="17"/>
      <c r="AL324" s="18">
        <f>EXP(AL320-0.674*AL321)</f>
        <v>0.78589605180821032</v>
      </c>
      <c r="AO324" s="17"/>
      <c r="AP324" s="18">
        <f>EXP(AP320-0.674*AP321)</f>
        <v>0.69664319116845352</v>
      </c>
      <c r="AR324" s="17"/>
      <c r="AS324" s="18">
        <f>EXP(AS320-0.674*AS321)</f>
        <v>0.81344891642823447</v>
      </c>
      <c r="AU324" s="17"/>
      <c r="AV324" s="18">
        <f>EXP(AV320-0.674*AV321)</f>
        <v>1.0808011840586329</v>
      </c>
      <c r="AX324" s="17"/>
      <c r="AY324" s="18">
        <f>EXP(AY320-0.674*AY321)</f>
        <v>0.95964294436865416</v>
      </c>
      <c r="BA324" s="17"/>
      <c r="BB324" s="18">
        <f>EXP(BB320-0.674*BB321)</f>
        <v>0.59874885484654972</v>
      </c>
      <c r="BD324" s="17"/>
      <c r="BE324" s="18">
        <f>EXP(BE320-0.674*BE321)</f>
        <v>0.69800601148667607</v>
      </c>
      <c r="BF324" s="17"/>
      <c r="BG324" s="17"/>
      <c r="BH324" s="18">
        <f>EXP(BH320-0.674*BH321)</f>
        <v>0.87649270836866056</v>
      </c>
      <c r="BI324" s="17"/>
      <c r="BJ324" s="17"/>
      <c r="BK324" s="18">
        <f>EXP(BK320-0.674*BK321)</f>
        <v>0.89306791324254609</v>
      </c>
      <c r="BL324" s="17"/>
      <c r="BM324" s="17"/>
      <c r="BN324" s="18">
        <f>EXP(BN320-0.674*BN321)</f>
        <v>0.83808004994971874</v>
      </c>
    </row>
    <row r="325" spans="1:66">
      <c r="K325" s="16"/>
      <c r="L325" s="16"/>
      <c r="N325" s="16"/>
      <c r="O325" s="16"/>
      <c r="Q325" s="16"/>
      <c r="R325" s="16"/>
      <c r="T325" s="16"/>
      <c r="U325" s="16"/>
      <c r="V325" s="16"/>
      <c r="Y325" s="16"/>
      <c r="AF325"/>
      <c r="AI325"/>
      <c r="AL325"/>
      <c r="AP325"/>
      <c r="AS325"/>
      <c r="AV325"/>
      <c r="AY325"/>
      <c r="BB325"/>
      <c r="BE325"/>
      <c r="BF325"/>
      <c r="BH325"/>
      <c r="BI325" s="17"/>
      <c r="BJ325" s="16"/>
      <c r="BM325" s="16"/>
    </row>
    <row r="326" spans="1:66" ht="42">
      <c r="A326" s="10" t="s">
        <v>39</v>
      </c>
      <c r="B326" s="49"/>
      <c r="C326" s="49"/>
      <c r="D326" s="49"/>
      <c r="E326" s="49"/>
      <c r="F326" s="49"/>
      <c r="G326" s="77"/>
      <c r="H326" s="77"/>
      <c r="I326" s="49"/>
      <c r="K326" s="16"/>
      <c r="L326" s="16"/>
      <c r="M326" s="18">
        <f>IF(M324&lt;1,1/M324,1)</f>
        <v>1.1682933699620726</v>
      </c>
      <c r="N326" s="16"/>
      <c r="O326" s="16"/>
      <c r="P326" s="18">
        <f>IF(P324&lt;1,1/P324,1)</f>
        <v>1.2433347711140792</v>
      </c>
      <c r="Q326" s="16"/>
      <c r="R326" s="16"/>
      <c r="S326" s="18">
        <f>IF(S324&lt;1,1/S324,1)</f>
        <v>1.1162746656164488</v>
      </c>
      <c r="T326" s="16"/>
      <c r="U326" s="16"/>
      <c r="V326" s="16"/>
      <c r="W326" s="18">
        <f>IF(W324&lt;1,1/W324,1)</f>
        <v>1.2479772908197795</v>
      </c>
      <c r="X326" s="17"/>
      <c r="Y326" s="16"/>
      <c r="Z326" s="18">
        <f>IF(Z324&lt;1,1/Z324,1)</f>
        <v>1</v>
      </c>
      <c r="AA326" s="18"/>
      <c r="AB326" s="18"/>
      <c r="AC326" s="18"/>
      <c r="AF326" s="18">
        <f>IF(AF324&lt;1,1/AF324,1)</f>
        <v>1.4476698979229401</v>
      </c>
      <c r="AI326" s="18">
        <f>IF(AI324&lt;1,1/AI324,1)</f>
        <v>1.5028829949311191</v>
      </c>
      <c r="AL326" s="18">
        <f>IF(AL324&lt;1,1/AL324,1)</f>
        <v>1.2724329097966247</v>
      </c>
      <c r="AP326" s="18">
        <f>IF(AP324&lt;1,1/AP324,1)</f>
        <v>1.4354550689324006</v>
      </c>
      <c r="AS326" s="18">
        <f>IF(AS324&lt;1,1/AS324,1)</f>
        <v>1.2293334956925028</v>
      </c>
      <c r="AV326" s="18">
        <f>IF(AV324&lt;1,1/AV324,1)</f>
        <v>1</v>
      </c>
      <c r="AY326" s="18">
        <f>IF(AY324&lt;1,1/AY324,1)</f>
        <v>1.042054240973862</v>
      </c>
      <c r="BB326" s="18">
        <f>IF(BB324&lt;1,1/BB324,1)</f>
        <v>1.6701493320705973</v>
      </c>
      <c r="BE326" s="18">
        <f>IF(BE324&lt;1,1/BE324,1)</f>
        <v>1.4326524178067033</v>
      </c>
      <c r="BF326" s="17"/>
      <c r="BH326" s="18">
        <f>IF(BH324&lt;1,1/BH324,1)</f>
        <v>1.1409108033097193</v>
      </c>
      <c r="BI326" s="17"/>
      <c r="BJ326" s="16"/>
      <c r="BK326" s="18">
        <f>IF(BK324&lt;1,1/BK324,1)</f>
        <v>1.1197356720265601</v>
      </c>
      <c r="BL326" s="17"/>
      <c r="BM326" s="16"/>
      <c r="BN326" s="18">
        <f>IF(BN324&lt;1,1/BN324,1)</f>
        <v>1.193203441676002</v>
      </c>
    </row>
    <row r="327" spans="1:66">
      <c r="BI327" s="17"/>
      <c r="BJ327" s="16"/>
      <c r="BK327" s="16"/>
      <c r="BL327" s="16"/>
      <c r="BM327" s="16"/>
      <c r="BN327" s="16"/>
    </row>
    <row r="328" spans="1:66">
      <c r="BI328" s="17"/>
      <c r="BJ328" s="16"/>
      <c r="BK328" s="16"/>
      <c r="BL328" s="16"/>
      <c r="BM328" s="16"/>
      <c r="BN328" s="16"/>
    </row>
    <row r="329" spans="1:66" s="46" customFormat="1" ht="26.4">
      <c r="A329" s="58" t="s">
        <v>54</v>
      </c>
      <c r="G329" s="47"/>
      <c r="H329" s="47"/>
      <c r="J329" s="47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61"/>
      <c r="BJ329" s="48"/>
      <c r="BK329" s="48"/>
      <c r="BL329" s="48"/>
      <c r="BM329" s="48"/>
      <c r="BN329" s="48"/>
    </row>
    <row r="330" spans="1:66">
      <c r="BI330" s="17"/>
      <c r="BJ330" s="16"/>
      <c r="BK330" s="16"/>
      <c r="BL330" s="16"/>
      <c r="BM330" s="16"/>
      <c r="BN330" s="16"/>
    </row>
    <row r="331" spans="1:66">
      <c r="A331" s="62" t="s">
        <v>0</v>
      </c>
      <c r="B331" s="6"/>
      <c r="C331" s="6"/>
      <c r="D331" s="6"/>
      <c r="E331" s="6"/>
      <c r="F331" s="6"/>
      <c r="G331" s="75"/>
      <c r="H331" s="75"/>
      <c r="I331" s="6"/>
      <c r="J331" s="7"/>
      <c r="K331" s="13"/>
      <c r="L331" s="8">
        <f>AVERAGEIF($BU3:$BU48,TRUE,L3:L48)</f>
        <v>0.9346359067292842</v>
      </c>
      <c r="M331" s="8">
        <f>AVERAGEIF($BU3:$BU48,TRUE,M3:M48)</f>
        <v>-0.26745250558662437</v>
      </c>
      <c r="N331" s="13"/>
      <c r="O331" s="8">
        <f>AVERAGEIF($BU3:$BU48,TRUE,O3:O48)</f>
        <v>0.75898763331441532</v>
      </c>
      <c r="P331" s="8">
        <f>AVERAGEIF($BU3:$BU48,TRUE,P3:P48)</f>
        <v>-0.36491607314617852</v>
      </c>
      <c r="Q331" s="13"/>
      <c r="R331" s="8">
        <f>AVERAGEIF($BU3:$BU48,TRUE,R3:R48)</f>
        <v>0.84384665920054569</v>
      </c>
      <c r="S331" s="8">
        <f>AVERAGEIF($BU3:$BU48,TRUE,S3:S48)</f>
        <v>-0.29735796482738741</v>
      </c>
      <c r="T331" s="13"/>
      <c r="U331" s="13"/>
      <c r="V331" s="8">
        <f>AVERAGEIF($BU3:$BU48,TRUE,V3:V48)</f>
        <v>1.0307747051303309</v>
      </c>
      <c r="W331" s="8">
        <f>AVERAGEIF($BU3:$BU48,TRUE,W3:W48)</f>
        <v>-0.17043635397559675</v>
      </c>
      <c r="X331" s="8"/>
      <c r="Y331" s="8">
        <f>AVERAGEIF($BU3:$BU48,TRUE,Y3:Y48)</f>
        <v>0.94894817696304079</v>
      </c>
      <c r="Z331" s="8">
        <f>AVERAGEIF($BU3:$BU48,TRUE,Z3:Z48)</f>
        <v>-0.1674724331536307</v>
      </c>
      <c r="AA331" s="8"/>
      <c r="AB331" s="8"/>
      <c r="AC331" s="8"/>
      <c r="AD331" s="13"/>
      <c r="AE331" s="8">
        <f>AVERAGEIF($BU28:$BU309,TRUE,AE28:AE309)</f>
        <v>0.84299459768500407</v>
      </c>
      <c r="AF331" s="8">
        <f>AVERAGEIF($BU28:$BU309,TRUE,AF28:AF309)</f>
        <v>-0.23626093150798216</v>
      </c>
      <c r="AG331" s="13"/>
      <c r="AH331" s="8">
        <f>AVERAGEIF($BU28:$BU309,TRUE,AH28:AH309)</f>
        <v>0.86758064614326313</v>
      </c>
      <c r="AI331" s="8">
        <f>AVERAGEIF($BU28:$BU309,TRUE,AI28:AI309)</f>
        <v>-0.19883439707945522</v>
      </c>
      <c r="AJ331" s="13"/>
      <c r="AK331" s="8">
        <f>AVERAGEIF($BU28:$BU309,TRUE,AK28:AK309)</f>
        <v>0.86733720654001734</v>
      </c>
      <c r="AL331" s="8">
        <f>AVERAGEIF($BU28:$BU309,TRUE,AL28:AL309)</f>
        <v>-0.19460633925956103</v>
      </c>
      <c r="AM331" s="13"/>
      <c r="AN331" s="13"/>
      <c r="AO331" s="8">
        <f>AVERAGEIF($BU28:$BU309,TRUE,AO28:AO309)</f>
        <v>0.98109013385321053</v>
      </c>
      <c r="AP331" s="8" t="e">
        <f>AVERAGEIF($BU28:$BU309,TRUE,AP28:AP309)</f>
        <v>#NUM!</v>
      </c>
      <c r="AQ331" s="13"/>
      <c r="AR331" s="8">
        <f>AVERAGEIF($BU28:$BU309,TRUE,AR28:AR309)</f>
        <v>0.83812151722352723</v>
      </c>
      <c r="AS331" s="8">
        <f>AVERAGEIF($BU28:$BU309,TRUE,AS28:AS309)</f>
        <v>-0.26539481872515702</v>
      </c>
      <c r="AT331" s="13"/>
      <c r="AU331" s="8">
        <f>AVERAGEIF($BU28:$BU309,TRUE,AU28:AU309)</f>
        <v>1.4065763055842468</v>
      </c>
      <c r="AV331" s="8">
        <f>AVERAGEIF($BU28:$BU309,TRUE,AV28:AV309)</f>
        <v>0.26784262698982136</v>
      </c>
      <c r="AW331" s="13"/>
      <c r="AX331" s="8">
        <f>AVERAGEIF($BU28:$BU309,TRUE,AX28:AX309)</f>
        <v>1.1442368561762002</v>
      </c>
      <c r="AY331" s="8">
        <f>AVERAGEIF($BU28:$BU309,TRUE,AY28:AY309)</f>
        <v>8.3312461928212941E-2</v>
      </c>
      <c r="AZ331" s="13"/>
      <c r="BA331" s="8">
        <f>AVERAGEIF($BU28:$BU309,TRUE,BA28:BA309)</f>
        <v>0.90899797865931653</v>
      </c>
      <c r="BB331" s="8">
        <f>AVERAGEIF($BU28:$BU309,TRUE,BB28:BB309)</f>
        <v>-0.15320367067316853</v>
      </c>
      <c r="BC331" s="13"/>
      <c r="BD331" s="8">
        <f>AVERAGEIF($BU28:$BU309,TRUE,BD28:BD309)</f>
        <v>0.78116321588654669</v>
      </c>
      <c r="BE331" s="8">
        <f>AVERAGEIF($BU28:$BU309,TRUE,BE28:BE309)</f>
        <v>-0.28182017927598274</v>
      </c>
      <c r="BF331" s="8"/>
      <c r="BG331" s="8">
        <f>AVERAGEIF($BU28:$BU309,TRUE,BG28:BG309)</f>
        <v>1.1425572210693895</v>
      </c>
      <c r="BH331" s="8">
        <f>AVERAGEIF($BU28:$BU309,TRUE,BH28:BH309)</f>
        <v>9.3281861751134371E-2</v>
      </c>
      <c r="BI331" s="13"/>
      <c r="BJ331" s="8">
        <f>AVERAGEIF($BU28:$BU309,TRUE,BJ28:BJ309)</f>
        <v>1.0154465065510048</v>
      </c>
      <c r="BK331" s="8">
        <f>AVERAGEIF($BU28:$BU309,TRUE,BK28:BK309)</f>
        <v>-5.4227003266429347E-2</v>
      </c>
      <c r="BL331" s="8"/>
      <c r="BM331" s="8">
        <f>AVERAGEIF($BU28:$BU309,TRUE,BM28:BM309)</f>
        <v>1.2860308182200038</v>
      </c>
      <c r="BN331" s="8">
        <f>AVERAGEIF($BU28:$BU309,TRUE,BN28:BN309)</f>
        <v>0.19143075066564572</v>
      </c>
    </row>
    <row r="332" spans="1:66">
      <c r="A332" s="62" t="s">
        <v>12</v>
      </c>
      <c r="B332" s="6"/>
      <c r="C332" s="6"/>
      <c r="D332" s="6"/>
      <c r="E332" s="6"/>
      <c r="F332" s="6"/>
      <c r="G332" s="75"/>
      <c r="H332" s="75"/>
      <c r="I332" s="6"/>
      <c r="J332" s="7"/>
      <c r="K332" s="13"/>
      <c r="L332" s="14" cm="1">
        <f t="array" ref="L332">_xlfn.STDEV.S(_xlfn._xlws.FILTER(L3:L48,$BU3:$BU48=TRUE))</f>
        <v>0.53457389378975717</v>
      </c>
      <c r="M332" s="14" cm="1">
        <f t="array" ref="M332">_xlfn.STDEV.S(_xlfn._xlws.FILTER(M3:M48,$BU3:$BU48=TRUE))</f>
        <v>0.70052549824088683</v>
      </c>
      <c r="N332" s="13"/>
      <c r="O332" s="14" cm="1">
        <f t="array" ref="O332">_xlfn.STDEV.S(_xlfn._xlws.FILTER(O3:O48,$BU3:$BU48=TRUE))</f>
        <v>0.30432256357506204</v>
      </c>
      <c r="P332" s="14" cm="1">
        <f t="array" ref="P332">_xlfn.STDEV.S(_xlfn._xlws.FILTER(P3:P48,$BU3:$BU48=TRUE))</f>
        <v>0.4549676880398818</v>
      </c>
      <c r="Q332" s="13"/>
      <c r="R332" s="14" cm="1">
        <f t="array" ref="R332">_xlfn.STDEV.S(_xlfn._xlws.FILTER(R3:R48,$BU3:$BU48=TRUE))</f>
        <v>0.38581307601146919</v>
      </c>
      <c r="S332" s="14" cm="1">
        <f t="array" ref="S332">_xlfn.STDEV.S(_xlfn._xlws.FILTER(S3:S48,$BU3:$BU48=TRUE))</f>
        <v>0.55679993568442421</v>
      </c>
      <c r="T332" s="13"/>
      <c r="U332" s="13"/>
      <c r="V332" s="14" cm="1">
        <f t="array" ref="V332">_xlfn.STDEV.S(_xlfn._xlws.FILTER(V3:V48,$BU3:$BU48=TRUE))</f>
        <v>0.5375156822010092</v>
      </c>
      <c r="W332" s="14" cm="1">
        <f t="array" ref="W332">_xlfn.STDEV.S(_xlfn._xlws.FILTER(W3:W48,$BU3:$BU48=TRUE))</f>
        <v>0.73293248748044271</v>
      </c>
      <c r="X332" s="14"/>
      <c r="Y332" s="14" cm="1">
        <f t="array" ref="Y332">_xlfn.STDEV.S(_xlfn._xlws.FILTER(Y3:Y48,$BU3:$BU48=TRUE))</f>
        <v>0.41575755676362308</v>
      </c>
      <c r="Z332" s="14" cm="1">
        <f t="array" ref="Z332">_xlfn.STDEV.S(_xlfn._xlws.FILTER(Z3:Z48,$BU3:$BU48=TRUE))</f>
        <v>0.52801072423436124</v>
      </c>
      <c r="AA332" s="14"/>
      <c r="AB332" s="14"/>
      <c r="AC332" s="14"/>
      <c r="AD332" s="13"/>
      <c r="AE332" s="14" cm="1">
        <f t="array" ref="AE332">_xlfn.STDEV.S(_xlfn._xlws.FILTER(AE28:AE309,$BU28:$BU309=TRUE))</f>
        <v>0.27049405111843378</v>
      </c>
      <c r="AF332" s="14" cm="1">
        <f t="array" ref="AF332">_xlfn.STDEV.S(_xlfn._xlws.FILTER(AF28:AF309,$BU28:$BU309=TRUE))</f>
        <v>0.39433472696174965</v>
      </c>
      <c r="AG332" s="13"/>
      <c r="AH332" s="14" cm="1">
        <f t="array" ref="AH332">_xlfn.STDEV.S(_xlfn._xlws.FILTER(AH28:AH309,$BU28:$BU309=TRUE))</f>
        <v>0.27066167458474555</v>
      </c>
      <c r="AI332" s="14" cm="1">
        <f t="array" ref="AI332">_xlfn.STDEV.S(_xlfn._xlws.FILTER(AI28:AI309,$BU28:$BU309=TRUE))</f>
        <v>0.35992847002591455</v>
      </c>
      <c r="AJ332" s="13"/>
      <c r="AK332" s="14" cm="1">
        <f t="array" ref="AK332">_xlfn.STDEV.S(_xlfn._xlws.FILTER(AK28:AK309,$BU28:$BU309=TRUE))</f>
        <v>0.25405949539382006</v>
      </c>
      <c r="AL332" s="14" cm="1">
        <f t="array" ref="AL332">_xlfn.STDEV.S(_xlfn._xlws.FILTER(AL28:AL309,$BU28:$BU309=TRUE))</f>
        <v>0.34778260504557873</v>
      </c>
      <c r="AM332" s="13"/>
      <c r="AN332" s="13"/>
      <c r="AO332" s="14" cm="1">
        <f t="array" ref="AO332">_xlfn.STDEV.S(_xlfn._xlws.FILTER(AO28:AO309,$BU28:$BU309=TRUE))</f>
        <v>0.30762221920567961</v>
      </c>
      <c r="AP332" s="14" t="e" cm="1">
        <f t="array" ref="AP332">_xlfn.STDEV.S(_xlfn._xlws.FILTER(AP28:AP309,$BU28:$BU309=TRUE))</f>
        <v>#NUM!</v>
      </c>
      <c r="AQ332" s="13"/>
      <c r="AR332" s="14" cm="1">
        <f t="array" ref="AR332">_xlfn.STDEV.S(_xlfn._xlws.FILTER(AR28:AR309,$BU28:$BU309=TRUE))</f>
        <v>0.31288582953868638</v>
      </c>
      <c r="AS332" s="14" cm="1">
        <f t="array" ref="AS332">_xlfn.STDEV.S(_xlfn._xlws.FILTER(AS28:AS309,$BU28:$BU309=TRUE))</f>
        <v>0.45743961040290831</v>
      </c>
      <c r="AT332" s="13"/>
      <c r="AU332" s="14" cm="1">
        <f t="array" ref="AU332">_xlfn.STDEV.S(_xlfn._xlws.FILTER(AU28:AU309,$BU28:$BU309=TRUE))</f>
        <v>0.45363316754769406</v>
      </c>
      <c r="AV332" s="14" cm="1">
        <f t="array" ref="AV332">_xlfn.STDEV.S(_xlfn._xlws.FILTER(AV28:AV309,$BU28:$BU309=TRUE))</f>
        <v>0.43399107882877253</v>
      </c>
      <c r="AW332" s="13"/>
      <c r="AX332" s="14" cm="1">
        <f t="array" ref="AX332">_xlfn.STDEV.S(_xlfn._xlws.FILTER(AX28:AX309,$BU28:$BU309=TRUE))</f>
        <v>0.34279366050636156</v>
      </c>
      <c r="AY332" s="14" cm="1">
        <f t="array" ref="AY332">_xlfn.STDEV.S(_xlfn._xlws.FILTER(AY28:AY309,$BU28:$BU309=TRUE))</f>
        <v>0.33653882868361451</v>
      </c>
      <c r="AZ332" s="13"/>
      <c r="BA332" s="14" cm="1">
        <f t="array" ref="BA332">_xlfn.STDEV.S(_xlfn._xlws.FILTER(BA28:BA309,$BU28:$BU309=TRUE))</f>
        <v>0.27681088586882768</v>
      </c>
      <c r="BB332" s="14" cm="1">
        <f t="array" ref="BB332">_xlfn.STDEV.S(_xlfn._xlws.FILTER(BB28:BB309,$BU28:$BU309=TRUE))</f>
        <v>0.36686173680959588</v>
      </c>
      <c r="BC332" s="13"/>
      <c r="BD332" s="14" cm="1">
        <f t="array" ref="BD332">_xlfn.STDEV.S(_xlfn._xlws.FILTER(BD28:BD309,$BU28:$BU309=TRUE))</f>
        <v>0.19322339235835082</v>
      </c>
      <c r="BE332" s="14" cm="1">
        <f t="array" ref="BE332">_xlfn.STDEV.S(_xlfn._xlws.FILTER(BE28:BE309,$BU28:$BU309=TRUE))</f>
        <v>0.27632296531318978</v>
      </c>
      <c r="BF332" s="14"/>
      <c r="BG332" s="14" cm="1">
        <f t="array" ref="BG332">_xlfn.STDEV.S(_xlfn._xlws.FILTER(BG28:BG309,$BU28:$BU309=TRUE))</f>
        <v>0.30500490624047388</v>
      </c>
      <c r="BH332" s="14" cm="1">
        <f t="array" ref="BH332">_xlfn.STDEV.S(_xlfn._xlws.FILTER(BH28:BH309,$BU28:$BU309=TRUE))</f>
        <v>0.29444581038726614</v>
      </c>
      <c r="BI332" s="13"/>
      <c r="BJ332" s="14" cm="1">
        <f t="array" ref="BJ332">_xlfn.STDEV.S(_xlfn._xlws.FILTER(BJ28:BJ309,$BU28:$BU309=TRUE))</f>
        <v>0.34453806809276766</v>
      </c>
      <c r="BK332" s="14" cm="1">
        <f t="array" ref="BK332">_xlfn.STDEV.S(_xlfn._xlws.FILTER(BK28:BK309,$BU28:$BU309=TRUE))</f>
        <v>0.40304645792787774</v>
      </c>
      <c r="BL332" s="14"/>
      <c r="BM332" s="14" cm="1">
        <f t="array" ref="BM332">_xlfn.STDEV.S(_xlfn._xlws.FILTER(BM28:BM309,$BU28:$BU309=TRUE))</f>
        <v>0.4338458977368313</v>
      </c>
      <c r="BN332" s="14" cm="1">
        <f t="array" ref="BN332">_xlfn.STDEV.S(_xlfn._xlws.FILTER(BN28:BN309,$BU28:$BU309=TRUE))</f>
        <v>0.36037349389865214</v>
      </c>
    </row>
    <row r="333" spans="1:66">
      <c r="A333" s="62" t="s">
        <v>1</v>
      </c>
      <c r="B333" s="6"/>
      <c r="C333" s="6"/>
      <c r="D333" s="6"/>
      <c r="E333" s="6"/>
      <c r="F333" s="6"/>
      <c r="G333" s="75"/>
      <c r="H333" s="75"/>
      <c r="I333" s="6"/>
      <c r="J333" s="7"/>
      <c r="K333" s="13"/>
      <c r="L333" s="15">
        <f>L332/L331</f>
        <v>0.57195950844695687</v>
      </c>
      <c r="M333" s="9"/>
      <c r="N333" s="13"/>
      <c r="O333" s="15">
        <f>O332/O331</f>
        <v>0.40095852714505897</v>
      </c>
      <c r="P333" s="9"/>
      <c r="Q333" s="13"/>
      <c r="R333" s="15">
        <f>R332/R331</f>
        <v>0.45720756467411477</v>
      </c>
      <c r="S333" s="9"/>
      <c r="T333" s="13"/>
      <c r="U333" s="13"/>
      <c r="V333" s="15">
        <f>V332/V331</f>
        <v>0.52146766846887838</v>
      </c>
      <c r="W333" s="9"/>
      <c r="X333" s="9"/>
      <c r="Y333" s="15">
        <f>Y332/Y331</f>
        <v>0.43812461718846407</v>
      </c>
      <c r="Z333" s="9"/>
      <c r="AA333" s="9"/>
      <c r="AB333" s="9"/>
      <c r="AC333" s="9"/>
      <c r="AD333" s="13"/>
      <c r="AE333" s="15">
        <f>AE332/AE331</f>
        <v>0.32087281681431062</v>
      </c>
      <c r="AF333" s="9"/>
      <c r="AG333" s="13"/>
      <c r="AH333" s="15">
        <f>AH332/AH331</f>
        <v>0.3119729281513402</v>
      </c>
      <c r="AI333" s="9"/>
      <c r="AJ333" s="13"/>
      <c r="AK333" s="15">
        <f>AK332/AK331</f>
        <v>0.29291894026697474</v>
      </c>
      <c r="AL333" s="9"/>
      <c r="AM333" s="13"/>
      <c r="AN333" s="13"/>
      <c r="AO333" s="15">
        <f>AO332/AO331</f>
        <v>0.31355143486918979</v>
      </c>
      <c r="AP333" s="9"/>
      <c r="AQ333" s="13"/>
      <c r="AR333" s="15">
        <f>AR332/AR331</f>
        <v>0.37331797729664973</v>
      </c>
      <c r="AS333" s="9"/>
      <c r="AT333" s="13"/>
      <c r="AU333" s="15">
        <f>AU332/AU331</f>
        <v>0.32250875103378723</v>
      </c>
      <c r="AV333" s="9"/>
      <c r="AW333" s="13"/>
      <c r="AX333" s="15">
        <f>AX332/AX331</f>
        <v>0.29958278188303261</v>
      </c>
      <c r="AY333" s="9"/>
      <c r="AZ333" s="13"/>
      <c r="BA333" s="15">
        <f>BA332/BA331</f>
        <v>0.30452310386552978</v>
      </c>
      <c r="BB333" s="9"/>
      <c r="BC333" s="13"/>
      <c r="BD333" s="15">
        <f>BD332/BD331</f>
        <v>0.24735341914309222</v>
      </c>
      <c r="BE333" s="9"/>
      <c r="BF333" s="9"/>
      <c r="BG333" s="15">
        <f>BG332/BG331</f>
        <v>0.26694934889562999</v>
      </c>
      <c r="BH333" s="9"/>
      <c r="BI333" s="13"/>
      <c r="BJ333" s="15">
        <f>BJ332/BJ331</f>
        <v>0.33929711301386201</v>
      </c>
      <c r="BK333" s="9"/>
      <c r="BL333" s="9"/>
      <c r="BM333" s="15">
        <f>BM332/BM331</f>
        <v>0.33735264473468662</v>
      </c>
      <c r="BN333" s="9"/>
    </row>
    <row r="334" spans="1:66">
      <c r="K334" s="16"/>
      <c r="L334" s="16"/>
      <c r="N334" s="16"/>
      <c r="O334" s="16"/>
      <c r="Q334" s="16"/>
      <c r="R334" s="16"/>
      <c r="T334" s="16"/>
      <c r="U334" s="16"/>
      <c r="V334" s="16"/>
      <c r="Y334" s="16"/>
      <c r="AF334"/>
      <c r="AI334"/>
      <c r="AL334"/>
      <c r="AP334"/>
      <c r="AS334"/>
      <c r="AV334"/>
      <c r="AY334"/>
      <c r="BB334"/>
      <c r="BE334"/>
      <c r="BF334"/>
      <c r="BH334"/>
      <c r="BI334" s="17"/>
      <c r="BJ334" s="16"/>
      <c r="BM334" s="16"/>
    </row>
    <row r="335" spans="1:66" ht="42">
      <c r="A335" s="10" t="s">
        <v>38</v>
      </c>
      <c r="B335" s="49"/>
      <c r="C335" s="49"/>
      <c r="D335" s="49"/>
      <c r="E335" s="49"/>
      <c r="F335" s="49"/>
      <c r="G335" s="77"/>
      <c r="H335" s="77"/>
      <c r="I335" s="49"/>
      <c r="K335" s="16"/>
      <c r="L335" s="17"/>
      <c r="M335" s="18">
        <f>EXP(M331-0.674*M332)</f>
        <v>0.47730160543432881</v>
      </c>
      <c r="N335" s="16"/>
      <c r="O335" s="17"/>
      <c r="P335" s="18">
        <f>EXP(P331-0.674*P332)</f>
        <v>0.51090874042951484</v>
      </c>
      <c r="Q335" s="16"/>
      <c r="R335" s="17"/>
      <c r="S335" s="18">
        <f>EXP(S331-0.674*S332)</f>
        <v>0.51035887641813038</v>
      </c>
      <c r="T335" s="16"/>
      <c r="U335" s="16"/>
      <c r="V335" s="17"/>
      <c r="W335" s="18">
        <f>EXP(W331-0.674*W332)</f>
        <v>0.51456528038736005</v>
      </c>
      <c r="X335" s="17"/>
      <c r="Y335" s="17"/>
      <c r="Z335" s="18">
        <f>EXP(Z331-0.674*Z332)</f>
        <v>0.59253125205019952</v>
      </c>
      <c r="AA335" s="18"/>
      <c r="AB335" s="18"/>
      <c r="AC335" s="18"/>
      <c r="AE335" s="17"/>
      <c r="AF335" s="18">
        <f>EXP(AF331-0.674*AF332)</f>
        <v>0.60529306245693626</v>
      </c>
      <c r="AH335" s="17"/>
      <c r="AI335" s="18">
        <f>EXP(AI331-0.674*AI332)</f>
        <v>0.64311856011092516</v>
      </c>
      <c r="AK335" s="17"/>
      <c r="AL335" s="18">
        <f>EXP(AL331-0.674*AL332)</f>
        <v>0.65115223573266601</v>
      </c>
      <c r="AO335" s="17"/>
      <c r="AP335" s="18" t="e">
        <f>EXP(AP331-0.674*AP332)</f>
        <v>#NUM!</v>
      </c>
      <c r="AR335" s="17"/>
      <c r="AS335" s="18">
        <f>EXP(AS331-0.674*AS332)</f>
        <v>0.56343172448408663</v>
      </c>
      <c r="AU335" s="17"/>
      <c r="AV335" s="18">
        <f>EXP(AV331-0.674*AV332)</f>
        <v>0.97563439294482535</v>
      </c>
      <c r="AX335" s="17"/>
      <c r="AY335" s="18">
        <f>EXP(AY331-0.674*AY332)</f>
        <v>0.86630805791089793</v>
      </c>
      <c r="BA335" s="17"/>
      <c r="BB335" s="18">
        <f>EXP(BB331-0.674*BB332)</f>
        <v>0.67000608718822563</v>
      </c>
      <c r="BD335" s="17"/>
      <c r="BE335" s="18">
        <f>EXP(BE331-0.674*BE332)</f>
        <v>0.62621478612967152</v>
      </c>
      <c r="BF335" s="17"/>
      <c r="BG335" s="17"/>
      <c r="BH335" s="18">
        <f>EXP(BH331-0.674*BH332)</f>
        <v>0.90016732663977927</v>
      </c>
      <c r="BI335" s="17"/>
      <c r="BJ335" s="17"/>
      <c r="BK335" s="18">
        <f>EXP(BK331-0.674*BK332)</f>
        <v>0.72189158119873809</v>
      </c>
      <c r="BL335" s="17"/>
      <c r="BM335" s="17"/>
      <c r="BN335" s="18">
        <f>EXP(BN331-0.674*BN332)</f>
        <v>0.94984070801342613</v>
      </c>
    </row>
    <row r="336" spans="1:66">
      <c r="K336" s="16"/>
      <c r="L336" s="16"/>
      <c r="N336" s="16"/>
      <c r="O336" s="16"/>
      <c r="Q336" s="16"/>
      <c r="R336" s="16"/>
      <c r="T336" s="16"/>
      <c r="U336" s="16"/>
      <c r="V336" s="16"/>
      <c r="Y336" s="16"/>
      <c r="AF336"/>
      <c r="AI336"/>
      <c r="AL336"/>
      <c r="AP336"/>
      <c r="AS336"/>
      <c r="AV336"/>
      <c r="AY336"/>
      <c r="BB336"/>
      <c r="BE336"/>
      <c r="BF336"/>
      <c r="BH336"/>
      <c r="BI336" s="17"/>
      <c r="BJ336" s="16"/>
      <c r="BM336" s="16"/>
    </row>
    <row r="337" spans="1:66" ht="42">
      <c r="A337" s="10" t="s">
        <v>39</v>
      </c>
      <c r="B337" s="49"/>
      <c r="C337" s="49"/>
      <c r="D337" s="49"/>
      <c r="E337" s="49"/>
      <c r="F337" s="49"/>
      <c r="G337" s="77"/>
      <c r="H337" s="77"/>
      <c r="I337" s="49"/>
      <c r="K337" s="16"/>
      <c r="L337" s="16"/>
      <c r="M337" s="18">
        <f>IF(M335&lt;1,1/M335,1)</f>
        <v>2.0951113271241417</v>
      </c>
      <c r="N337" s="16"/>
      <c r="O337" s="16"/>
      <c r="P337" s="18">
        <f>IF(P335&lt;1,1/P335,1)</f>
        <v>1.9572967163554729</v>
      </c>
      <c r="Q337" s="16"/>
      <c r="R337" s="16"/>
      <c r="S337" s="18">
        <f>IF(S335&lt;1,1/S335,1)</f>
        <v>1.9594055207158052</v>
      </c>
      <c r="T337" s="16"/>
      <c r="U337" s="16"/>
      <c r="V337" s="16"/>
      <c r="W337" s="18">
        <f>IF(W335&lt;1,1/W335,1)</f>
        <v>1.9433880172545048</v>
      </c>
      <c r="X337" s="17"/>
      <c r="Y337" s="16"/>
      <c r="Z337" s="18">
        <f>IF(Z335&lt;1,1/Z335,1)</f>
        <v>1.6876746948619674</v>
      </c>
      <c r="AA337" s="18"/>
      <c r="AB337" s="18"/>
      <c r="AC337" s="18"/>
      <c r="AF337" s="18">
        <f>IF(AF335&lt;1,1/AF335,1)</f>
        <v>1.652092287231766</v>
      </c>
      <c r="AI337" s="18">
        <f>IF(AI335&lt;1,1/AI335,1)</f>
        <v>1.5549232474763595</v>
      </c>
      <c r="AL337" s="18">
        <f>IF(AL335&lt;1,1/AL335,1)</f>
        <v>1.5357391791411361</v>
      </c>
      <c r="AP337" s="18" t="e">
        <f>IF(AP335&lt;1,1/AP335,1)</f>
        <v>#NUM!</v>
      </c>
      <c r="AS337" s="18">
        <f>IF(AS335&lt;1,1/AS335,1)</f>
        <v>1.7748379378453754</v>
      </c>
      <c r="AV337" s="18">
        <f>IF(AV335&lt;1,1/AV335,1)</f>
        <v>1.0249741165659711</v>
      </c>
      <c r="AY337" s="18">
        <f>IF(AY335&lt;1,1/AY335,1)</f>
        <v>1.1543237891743732</v>
      </c>
      <c r="BB337" s="18">
        <f>IF(BB335&lt;1,1/BB335,1)</f>
        <v>1.4925237533238542</v>
      </c>
      <c r="BE337" s="18">
        <f>IF(BE335&lt;1,1/BE335,1)</f>
        <v>1.5968961802714892</v>
      </c>
      <c r="BF337" s="17"/>
      <c r="BH337" s="18">
        <f>IF(BH335&lt;1,1/BH335,1)</f>
        <v>1.110904573411795</v>
      </c>
      <c r="BI337" s="17"/>
      <c r="BJ337" s="16"/>
      <c r="BK337" s="18">
        <f>IF(BK335&lt;1,1/BK335,1)</f>
        <v>1.3852495666169822</v>
      </c>
      <c r="BL337" s="17"/>
      <c r="BM337" s="16"/>
      <c r="BN337" s="18">
        <f>IF(BN335&lt;1,1/BN335,1)</f>
        <v>1.0528081093633912</v>
      </c>
    </row>
    <row r="338" spans="1:66">
      <c r="BI338" s="17"/>
      <c r="BJ338" s="16"/>
      <c r="BK338" s="16"/>
      <c r="BL338" s="16"/>
      <c r="BM338" s="16"/>
      <c r="BN338" s="16"/>
    </row>
    <row r="339" spans="1:66">
      <c r="BI339" s="17"/>
      <c r="BJ339" s="16"/>
      <c r="BK339" s="16"/>
      <c r="BL339" s="16"/>
      <c r="BM339" s="16"/>
      <c r="BN339" s="16"/>
    </row>
    <row r="340" spans="1:66" s="46" customFormat="1" ht="34.200000000000003" customHeight="1">
      <c r="A340" s="58" t="s">
        <v>84</v>
      </c>
      <c r="G340" s="47"/>
      <c r="H340" s="47"/>
      <c r="J340" s="47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61"/>
      <c r="BJ340" s="48"/>
      <c r="BK340" s="48"/>
      <c r="BL340" s="48"/>
      <c r="BM340" s="48"/>
      <c r="BN340" s="48"/>
    </row>
    <row r="341" spans="1:66">
      <c r="BI341" s="17"/>
      <c r="BJ341" s="16"/>
      <c r="BK341" s="16"/>
      <c r="BL341" s="16"/>
      <c r="BM341" s="16"/>
      <c r="BN341" s="16"/>
    </row>
    <row r="342" spans="1:66">
      <c r="A342" s="62" t="s">
        <v>0</v>
      </c>
      <c r="B342" s="6"/>
      <c r="C342" s="6"/>
      <c r="D342" s="6"/>
      <c r="E342" s="6"/>
      <c r="F342" s="6"/>
      <c r="G342" s="75"/>
      <c r="H342" s="75"/>
      <c r="I342" s="6"/>
      <c r="J342" s="7"/>
      <c r="K342" s="13"/>
      <c r="L342" s="8">
        <f>AVERAGEIF($BW3:$BW48,TRUE,L3:L48)</f>
        <v>0.97756794841286221</v>
      </c>
      <c r="M342" s="8">
        <f>AVERAGEIF($BW3:$BW48,TRUE,M3:M48)</f>
        <v>-0.12312947132480039</v>
      </c>
      <c r="N342" s="7"/>
      <c r="O342" s="8">
        <f>AVERAGEIF($BW3:$BW48,TRUE,O3:O48)</f>
        <v>0.83384751369426369</v>
      </c>
      <c r="P342" s="8">
        <f>AVERAGEIF($BW3:$BW48,TRUE,P3:P48)</f>
        <v>-0.22908989479212347</v>
      </c>
      <c r="Q342" s="7"/>
      <c r="R342" s="8">
        <f>AVERAGEIF($BW3:$BW48,TRUE,R3:R48)</f>
        <v>0.97761027319712235</v>
      </c>
      <c r="S342" s="8">
        <f>AVERAGEIF($BW3:$BW48,TRUE,S3:S48)</f>
        <v>-0.10176614229154818</v>
      </c>
      <c r="T342" s="8"/>
      <c r="U342" s="7"/>
      <c r="V342" s="8">
        <f>AVERAGEIF($BW3:$BW48,TRUE,V3:V48)</f>
        <v>0.96688795018464746</v>
      </c>
      <c r="W342" s="8">
        <f>AVERAGEIF($BW3:$BW48,TRUE,W3:W48)</f>
        <v>-0.13130923640193154</v>
      </c>
      <c r="X342" s="8"/>
      <c r="Y342" s="8">
        <f>AVERAGEIF($BW3:$BW48,TRUE,Y3:Y48)</f>
        <v>1.156647383718669</v>
      </c>
      <c r="Z342" s="8">
        <f>AVERAGEIF($BW3:$BW48,TRUE,Z3:Z48)</f>
        <v>6.6223238588311722E-2</v>
      </c>
      <c r="AA342" s="8"/>
      <c r="AB342" s="8"/>
      <c r="AC342" s="8"/>
      <c r="AD342" s="13"/>
      <c r="AE342" s="8">
        <f>AVERAGEIF($BW39:$BW320,TRUE,AE39:AE320)</f>
        <v>0.83892248765241484</v>
      </c>
      <c r="AF342" s="8">
        <f>AVERAGEIF($BW39:$BW320,TRUE,AF39:AF320)</f>
        <v>-0.2503655276537935</v>
      </c>
      <c r="AG342" s="13"/>
      <c r="AH342" s="8">
        <f>AVERAGEIF($BW39:$BW320,TRUE,AH39:AH320)</f>
        <v>0.83991805624360327</v>
      </c>
      <c r="AI342" s="8">
        <f>AVERAGEIF($BW39:$BW320,TRUE,AI39:AI320)</f>
        <v>-0.23750797078341923</v>
      </c>
      <c r="AJ342" s="13"/>
      <c r="AK342" s="8">
        <f>AVERAGEIF($BW39:$BW320,TRUE,AK39:AK320)</f>
        <v>0.85165888318775884</v>
      </c>
      <c r="AL342" s="8">
        <f>AVERAGEIF($BW39:$BW320,TRUE,AL39:AL320)</f>
        <v>-0.21188997558322706</v>
      </c>
      <c r="AM342" s="13"/>
      <c r="AN342" s="13"/>
      <c r="AO342" s="8">
        <f>AVERAGEIF($BW39:$BW320,TRUE,AO39:AO320)</f>
        <v>0.94131036145586555</v>
      </c>
      <c r="AP342" s="8" t="e">
        <f>AVERAGEIF($BW39:$BW320,TRUE,AP39:AP320)</f>
        <v>#NUM!</v>
      </c>
      <c r="AQ342" s="13"/>
      <c r="AR342" s="8">
        <f>AVERAGEIF($BW39:$BW320,TRUE,AR39:AR320)</f>
        <v>0.84444139989408873</v>
      </c>
      <c r="AS342" s="8">
        <f>AVERAGEIF($BW39:$BW320,TRUE,AS39:AS320)</f>
        <v>-0.26720242732153948</v>
      </c>
      <c r="AT342" s="13"/>
      <c r="AU342" s="8">
        <f>AVERAGEIF($BW39:$BW320,TRUE,AU39:AU320)</f>
        <v>1.3774994518969812</v>
      </c>
      <c r="AV342" s="8">
        <f>AVERAGEIF($BW39:$BW320,TRUE,AV39:AV320)</f>
        <v>0.2428836950647722</v>
      </c>
      <c r="AW342" s="13"/>
      <c r="AX342" s="8">
        <f>AVERAGEIF($BW39:$BW320,TRUE,AX39:AX320)</f>
        <v>1.1344225812065407</v>
      </c>
      <c r="AY342" s="8">
        <f>AVERAGEIF($BW39:$BW320,TRUE,AY39:AY320)</f>
        <v>6.2129635217602029E-2</v>
      </c>
      <c r="AZ342" s="13"/>
      <c r="BA342" s="8">
        <f>AVERAGEIF($BW39:$BW320,TRUE,BA39:BA320)</f>
        <v>0.82584623134648727</v>
      </c>
      <c r="BB342" s="8">
        <f>AVERAGEIF($BW39:$BW320,TRUE,BB39:BB320)</f>
        <v>-0.26103863905143254</v>
      </c>
      <c r="BC342" s="13"/>
      <c r="BD342" s="8">
        <f>AVERAGEIF($BW39:$BW320,TRUE,BD39:BD320)</f>
        <v>0.80054796619941049</v>
      </c>
      <c r="BE342" s="8">
        <f>AVERAGEIF($BW39:$BW320,TRUE,BE39:BE320)</f>
        <v>-0.25158219695304185</v>
      </c>
      <c r="BF342" s="8"/>
      <c r="BG342" s="8">
        <f>AVERAGEIF($BW39:$BW320,TRUE,BG39:BG320)</f>
        <v>1.0793781892834007</v>
      </c>
      <c r="BH342" s="8">
        <f>AVERAGEIF($BW39:$BW320,TRUE,BH39:BH320)</f>
        <v>2.8788588792014524E-2</v>
      </c>
      <c r="BI342" s="13"/>
      <c r="BJ342" s="8">
        <f>AVERAGEIF($BW39:$BW320,TRUE,BJ39:BJ320)</f>
        <v>1.0139609109397918</v>
      </c>
      <c r="BK342" s="8">
        <f>AVERAGEIF($BW39:$BW320,TRUE,BK39:BK320)</f>
        <v>-5.6025382027623902E-2</v>
      </c>
      <c r="BL342" s="13"/>
      <c r="BM342" s="8">
        <f>AVERAGEIF($BW39:$BW320,TRUE,BM39:BM320)</f>
        <v>1.2210281115644814</v>
      </c>
      <c r="BN342" s="8">
        <f>AVERAGEIF($BW39:$BW320,TRUE,BN39:BN320)</f>
        <v>0.12860333017408984</v>
      </c>
    </row>
    <row r="343" spans="1:66">
      <c r="A343" s="62" t="s">
        <v>12</v>
      </c>
      <c r="B343" s="6"/>
      <c r="C343" s="6"/>
      <c r="D343" s="6"/>
      <c r="E343" s="6"/>
      <c r="F343" s="6"/>
      <c r="G343" s="75"/>
      <c r="H343" s="75"/>
      <c r="I343" s="6"/>
      <c r="J343" s="7"/>
      <c r="K343" s="13"/>
      <c r="L343" s="14" cm="1">
        <f t="array" ref="L343">STDEVA(_xlfn._xlws.FILTER(L3:L48,$BW3:$BW48=TRUE))</f>
        <v>0.38203585866670581</v>
      </c>
      <c r="M343" s="14" cm="1">
        <f t="array" ref="M343">STDEVA(_xlfn._xlws.FILTER(M3:M48,$BW3:$BW48=TRUE))</f>
        <v>0.5008536088426343</v>
      </c>
      <c r="N343" s="7"/>
      <c r="O343" s="14" cm="1">
        <f t="array" ref="O343">STDEVA(_xlfn._xlws.FILTER(O3:O48,$BW3:$BW48=TRUE))</f>
        <v>0.22648273494829682</v>
      </c>
      <c r="P343" s="14" cm="1">
        <f t="array" ref="P343">STDEVA(_xlfn._xlws.FILTER(P3:P48,$BW3:$BW48=TRUE))</f>
        <v>0.33719479918316431</v>
      </c>
      <c r="Q343" s="7"/>
      <c r="R343" s="14" cm="1">
        <f t="array" ref="R343">STDEVA(_xlfn._xlws.FILTER(R3:R48,$BW3:$BW48=TRUE))</f>
        <v>0.34128482796094145</v>
      </c>
      <c r="S343" s="14" cm="1">
        <f t="array" ref="S343">STDEVA(_xlfn._xlws.FILTER(S3:S48,$BW3:$BW48=TRUE))</f>
        <v>0.4403979296388128</v>
      </c>
      <c r="T343" s="8"/>
      <c r="U343" s="7"/>
      <c r="V343" s="14" cm="1">
        <f t="array" ref="V343">STDEVA(_xlfn._xlws.FILTER(V3:V48,$BW3:$BW48=TRUE))</f>
        <v>0.37044714309213106</v>
      </c>
      <c r="W343" s="14" cm="1">
        <f t="array" ref="W343">STDEVA(_xlfn._xlws.FILTER(W3:W48,$BW3:$BW48=TRUE))</f>
        <v>0.4972041365980836</v>
      </c>
      <c r="X343" s="14"/>
      <c r="Y343" s="14" cm="1">
        <f t="array" ref="Y343">STDEVA(_xlfn._xlws.FILTER(Y3:Y48,$BW3:$BW48=TRUE))</f>
        <v>0.39736907640813268</v>
      </c>
      <c r="Z343" s="14" cm="1">
        <f t="array" ref="Z343">STDEVA(_xlfn._xlws.FILTER(Z3:Z48,$BW3:$BW48=TRUE))</f>
        <v>0.44351341872598565</v>
      </c>
      <c r="AA343" s="14"/>
      <c r="AB343" s="14"/>
      <c r="AC343" s="14"/>
      <c r="AD343" s="13"/>
      <c r="AE343" s="14" cm="1">
        <f t="array" ref="AE343">STDEVA(_xlfn._xlws.FILTER(AE39:AE320,$BW39:$BW320=TRUE))</f>
        <v>0.2786627033274871</v>
      </c>
      <c r="AF343" s="14" cm="1">
        <f t="array" ref="AF343">STDEVA(_xlfn._xlws.FILTER(AF39:AF320,$BW39:$BW320=TRUE))</f>
        <v>0.44494596404166115</v>
      </c>
      <c r="AG343" s="13"/>
      <c r="AH343" s="14" cm="1">
        <f t="array" ref="AH343">STDEVA(_xlfn._xlws.FILTER(AH39:AH320,$BW39:$BW320=TRUE))</f>
        <v>0.28414060432509142</v>
      </c>
      <c r="AI343" s="14" cm="1">
        <f t="array" ref="AI343">STDEVA(_xlfn._xlws.FILTER(AI39:AI320,$BW39:$BW320=TRUE))</f>
        <v>0.37270650001755723</v>
      </c>
      <c r="AJ343" s="13"/>
      <c r="AK343" s="14" cm="1">
        <f t="array" ref="AK343">STDEVA(_xlfn._xlws.FILTER(AK39:AK320,$BW39:$BW320=TRUE))</f>
        <v>0.25672920534147398</v>
      </c>
      <c r="AL343" s="14" cm="1">
        <f t="array" ref="AL343">STDEVA(_xlfn._xlws.FILTER(AL39:AL320,$BW39:$BW320=TRUE))</f>
        <v>0.33851441477122574</v>
      </c>
      <c r="AM343" s="13"/>
      <c r="AN343" s="13"/>
      <c r="AO343" s="14" cm="1">
        <f t="array" ref="AO343">STDEVA(_xlfn._xlws.FILTER(AO39:AO320,$BW39:$BW320=TRUE))</f>
        <v>0.32550616508628488</v>
      </c>
      <c r="AP343" s="14" t="e" cm="1">
        <f t="array" ref="AP343">STDEVA(_xlfn._xlws.FILTER(AP39:AP320,$BW39:$BW320=TRUE))</f>
        <v>#NUM!</v>
      </c>
      <c r="AQ343" s="13"/>
      <c r="AR343" s="14" cm="1">
        <f t="array" ref="AR343">STDEVA(_xlfn._xlws.FILTER(AR39:AR320,$BW39:$BW320=TRUE))</f>
        <v>0.34732865121515938</v>
      </c>
      <c r="AS343" s="14" cm="1">
        <f t="array" ref="AS343">STDEVA(_xlfn._xlws.FILTER(AS39:AS320,$BW39:$BW320=TRUE))</f>
        <v>0.46986510657776681</v>
      </c>
      <c r="AT343" s="13"/>
      <c r="AU343" s="14" cm="1">
        <f t="array" ref="AU343">STDEVA(_xlfn._xlws.FILTER(AU39:AU320,$BW39:$BW320=TRUE))</f>
        <v>0.47009968035859551</v>
      </c>
      <c r="AV343" s="14" cm="1">
        <f t="array" ref="AV343">STDEVA(_xlfn._xlws.FILTER(AV39:AV320,$BW39:$BW320=TRUE))</f>
        <v>0.43837928629887968</v>
      </c>
      <c r="AW343" s="13"/>
      <c r="AX343" s="14" cm="1">
        <f t="array" ref="AX343">STDEVA(_xlfn._xlws.FILTER(AX39:AX320,$BW39:$BW320=TRUE))</f>
        <v>0.38323783569798614</v>
      </c>
      <c r="AY343" s="14" cm="1">
        <f t="array" ref="AY343">STDEVA(_xlfn._xlws.FILTER(AY39:AY320,$BW39:$BW320=TRUE))</f>
        <v>0.37226365322184329</v>
      </c>
      <c r="AZ343" s="13"/>
      <c r="BA343" s="14" cm="1">
        <f t="array" ref="BA343">STDEVA(_xlfn._xlws.FILTER(BA39:BA320,$BW39:$BW320=TRUE))</f>
        <v>0.2868864745278884</v>
      </c>
      <c r="BB343" s="14" cm="1">
        <f t="array" ref="BB343">STDEVA(_xlfn._xlws.FILTER(BB39:BB320,$BW39:$BW320=TRUE))</f>
        <v>0.39341771508022255</v>
      </c>
      <c r="BC343" s="13"/>
      <c r="BD343" s="14" cm="1">
        <f t="array" ref="BD343">STDEVA(_xlfn._xlws.FILTER(BD39:BD320,$BW39:$BW320=TRUE))</f>
        <v>0.18138938419513231</v>
      </c>
      <c r="BE343" s="14" cm="1">
        <f t="array" ref="BE343">STDEVA(_xlfn._xlws.FILTER(BE39:BE320,$BW39:$BW320=TRUE))</f>
        <v>0.25262532654868974</v>
      </c>
      <c r="BF343" s="14"/>
      <c r="BG343" s="14" cm="1">
        <f t="array" ref="BG343">STDEVA(_xlfn._xlws.FILTER(BG39:BG320,$BW39:$BW320=TRUE))</f>
        <v>0.31867528100133402</v>
      </c>
      <c r="BH343" s="14" cm="1">
        <f t="array" ref="BH343">STDEVA(_xlfn._xlws.FILTER(BH39:BH320,$BW39:$BW320=TRUE))</f>
        <v>0.31883417662777619</v>
      </c>
      <c r="BI343" s="13"/>
      <c r="BJ343" s="14" cm="1">
        <f t="array" ref="BJ343">STDEVA(_xlfn._xlws.FILTER(BJ39:BJ320,$BW39:$BW320=TRUE))</f>
        <v>0.35392583406334188</v>
      </c>
      <c r="BK343" s="14" cm="1">
        <f t="array" ref="BK343">STDEVA(_xlfn._xlws.FILTER(BK39:BK320,$BW39:$BW320=TRUE))</f>
        <v>0.39891930815027787</v>
      </c>
      <c r="BL343" s="13"/>
      <c r="BM343" s="14" cm="1">
        <f t="array" ref="BM343">STDEVA(_xlfn._xlws.FILTER(BM39:BM320,$BW39:$BW320=TRUE))</f>
        <v>0.45523466380594985</v>
      </c>
      <c r="BN343" s="14" cm="1">
        <f t="array" ref="BN343">STDEVA(_xlfn._xlws.FILTER(BN39:BN320,$BW39:$BW320=TRUE))</f>
        <v>0.38667891660808246</v>
      </c>
    </row>
    <row r="344" spans="1:66">
      <c r="A344" s="62" t="s">
        <v>1</v>
      </c>
      <c r="B344" s="6"/>
      <c r="C344" s="6"/>
      <c r="D344" s="6"/>
      <c r="E344" s="6"/>
      <c r="F344" s="6"/>
      <c r="G344" s="75"/>
      <c r="H344" s="75"/>
      <c r="I344" s="6"/>
      <c r="J344" s="7"/>
      <c r="K344" s="13"/>
      <c r="L344" s="15">
        <f>L343/L342</f>
        <v>0.39080235730617291</v>
      </c>
      <c r="M344" s="9"/>
      <c r="N344" s="7"/>
      <c r="O344" s="15">
        <f>O343/O342</f>
        <v>0.27161169305991162</v>
      </c>
      <c r="P344" s="9"/>
      <c r="Q344" s="7"/>
      <c r="R344" s="15">
        <f>R343/R342</f>
        <v>0.34910110635889957</v>
      </c>
      <c r="S344" s="9"/>
      <c r="T344" s="9"/>
      <c r="U344" s="7"/>
      <c r="V344" s="15">
        <f>V343/V342</f>
        <v>0.38313347789822638</v>
      </c>
      <c r="W344" s="9"/>
      <c r="X344" s="9"/>
      <c r="Y344" s="15">
        <f>Y343/Y342</f>
        <v>0.34355247934817845</v>
      </c>
      <c r="Z344" s="9"/>
      <c r="AA344" s="9"/>
      <c r="AB344" s="9"/>
      <c r="AC344" s="9"/>
      <c r="AD344" s="13"/>
      <c r="AE344" s="15">
        <f>AE343/AE342</f>
        <v>0.33216740214853269</v>
      </c>
      <c r="AF344" s="9"/>
      <c r="AG344" s="13"/>
      <c r="AH344" s="15">
        <f>AH343/AH342</f>
        <v>0.33829562564217752</v>
      </c>
      <c r="AI344" s="9"/>
      <c r="AJ344" s="13"/>
      <c r="AK344" s="15">
        <f>AK343/AK342</f>
        <v>0.30144604889288146</v>
      </c>
      <c r="AL344" s="9"/>
      <c r="AM344" s="13"/>
      <c r="AN344" s="13"/>
      <c r="AO344" s="15">
        <f>AO343/AO342</f>
        <v>0.34580110706828399</v>
      </c>
      <c r="AP344" s="9"/>
      <c r="AQ344" s="13"/>
      <c r="AR344" s="15">
        <f>AR343/AR342</f>
        <v>0.41131172779866304</v>
      </c>
      <c r="AS344" s="9"/>
      <c r="AT344" s="13"/>
      <c r="AU344" s="15">
        <f>AU343/AU342</f>
        <v>0.34127032116870326</v>
      </c>
      <c r="AV344" s="9"/>
      <c r="AW344" s="13"/>
      <c r="AX344" s="15">
        <f>AX343/AX342</f>
        <v>0.33782634623720631</v>
      </c>
      <c r="AY344" s="9"/>
      <c r="AZ344" s="13"/>
      <c r="BA344" s="15">
        <f>BA343/BA342</f>
        <v>0.34738485645219824</v>
      </c>
      <c r="BB344" s="9"/>
      <c r="BC344" s="13"/>
      <c r="BD344" s="15">
        <f>BD343/BD342</f>
        <v>0.22658153146809643</v>
      </c>
      <c r="BE344" s="9"/>
      <c r="BF344" s="9"/>
      <c r="BG344" s="15">
        <f>BG343/BG342</f>
        <v>0.29523968907774817</v>
      </c>
      <c r="BH344" s="9"/>
      <c r="BI344" s="13"/>
      <c r="BJ344" s="15">
        <f>BJ343/BJ342</f>
        <v>0.34905273984901941</v>
      </c>
      <c r="BK344" s="9"/>
      <c r="BL344" s="13"/>
      <c r="BM344" s="15">
        <f>BM343/BM342</f>
        <v>0.37282897870603965</v>
      </c>
      <c r="BN344" s="9"/>
    </row>
    <row r="345" spans="1:66">
      <c r="K345" s="16"/>
      <c r="L345" s="16"/>
      <c r="O345" s="16"/>
      <c r="R345" s="16"/>
      <c r="V345" s="16"/>
      <c r="Y345" s="16"/>
      <c r="AF345"/>
      <c r="AI345"/>
      <c r="AL345"/>
      <c r="AP345"/>
      <c r="AS345"/>
      <c r="AV345"/>
      <c r="AY345"/>
      <c r="BB345"/>
      <c r="BE345"/>
      <c r="BF345"/>
      <c r="BH345"/>
      <c r="BI345" s="17"/>
      <c r="BJ345" s="16"/>
      <c r="BM345" s="16"/>
    </row>
    <row r="346" spans="1:66" ht="42">
      <c r="A346" s="10" t="s">
        <v>38</v>
      </c>
      <c r="B346" s="49"/>
      <c r="C346" s="49"/>
      <c r="D346" s="49"/>
      <c r="E346" s="49"/>
      <c r="F346" s="49"/>
      <c r="G346" s="77"/>
      <c r="H346" s="77"/>
      <c r="I346" s="49"/>
      <c r="K346" s="16"/>
      <c r="L346" s="17"/>
      <c r="M346" s="18">
        <f>EXP(M342-0.674*M343)</f>
        <v>0.63083887122514726</v>
      </c>
      <c r="O346" s="17"/>
      <c r="P346" s="18">
        <f>EXP(P342-0.674*P343)</f>
        <v>0.63358621874184073</v>
      </c>
      <c r="R346" s="17"/>
      <c r="S346" s="18">
        <f>EXP(S342-0.674*S343)</f>
        <v>0.67126294604764347</v>
      </c>
      <c r="V346" s="17"/>
      <c r="W346" s="18">
        <f>EXP(W342-0.674*W343)</f>
        <v>0.62724076021550779</v>
      </c>
      <c r="X346" s="17"/>
      <c r="Y346" s="17"/>
      <c r="Z346" s="18">
        <f>EXP(Z342-0.674*Z343)</f>
        <v>0.79238744731442967</v>
      </c>
      <c r="AA346" s="18"/>
      <c r="AB346" s="18"/>
      <c r="AC346" s="18"/>
      <c r="AE346" s="17"/>
      <c r="AF346" s="18">
        <f>EXP(AF342-0.674*AF343)</f>
        <v>0.57680033777044393</v>
      </c>
      <c r="AH346" s="17"/>
      <c r="AI346" s="18">
        <f>EXP(AI342-0.674*AI343)</f>
        <v>0.61341587224118033</v>
      </c>
      <c r="AK346" s="17"/>
      <c r="AL346" s="18">
        <f>EXP(AL342-0.674*AL343)</f>
        <v>0.64400506297965698</v>
      </c>
      <c r="AO346" s="17"/>
      <c r="AP346" s="18" t="e">
        <f>EXP(AP342-0.674*AP343)</f>
        <v>#NUM!</v>
      </c>
      <c r="AR346" s="17"/>
      <c r="AS346" s="18">
        <f>EXP(AS342-0.674*AS343)</f>
        <v>0.55772375095867566</v>
      </c>
      <c r="AU346" s="17"/>
      <c r="AV346" s="18">
        <f>EXP(AV342-0.674*AV343)</f>
        <v>0.94877467386591641</v>
      </c>
      <c r="AX346" s="17"/>
      <c r="AY346" s="18">
        <f>EXP(AY342-0.674*AY343)</f>
        <v>0.82797189612252842</v>
      </c>
      <c r="BA346" s="17"/>
      <c r="BB346" s="18">
        <f>EXP(BB342-0.674*BB343)</f>
        <v>0.5908446362180958</v>
      </c>
      <c r="BD346" s="17"/>
      <c r="BE346" s="18">
        <f>EXP(BE342-0.674*BE343)</f>
        <v>0.65583131357428515</v>
      </c>
      <c r="BF346" s="17"/>
      <c r="BG346" s="17"/>
      <c r="BH346" s="18">
        <f>EXP(BH342-0.674*BH343)</f>
        <v>0.83018588431914209</v>
      </c>
      <c r="BI346" s="17"/>
      <c r="BJ346" s="17"/>
      <c r="BK346" s="18">
        <f>EXP(BK342-0.674*BK343)</f>
        <v>0.72260178088435245</v>
      </c>
      <c r="BL346" s="17"/>
      <c r="BM346" s="17"/>
      <c r="BN346" s="18">
        <f>EXP(BN342-0.674*BN343)</f>
        <v>0.87632499357211624</v>
      </c>
    </row>
    <row r="347" spans="1:66">
      <c r="K347" s="16"/>
      <c r="L347" s="16"/>
      <c r="O347" s="16"/>
      <c r="R347" s="16"/>
      <c r="V347" s="16"/>
      <c r="Y347" s="16"/>
      <c r="AF347"/>
      <c r="AI347"/>
      <c r="AL347"/>
      <c r="AP347"/>
      <c r="AS347"/>
      <c r="AV347"/>
      <c r="AY347"/>
      <c r="BB347"/>
      <c r="BE347"/>
      <c r="BF347"/>
      <c r="BH347"/>
      <c r="BI347" s="17"/>
      <c r="BJ347" s="16"/>
      <c r="BM347" s="16"/>
    </row>
    <row r="348" spans="1:66" ht="42">
      <c r="A348" s="10" t="s">
        <v>39</v>
      </c>
      <c r="B348" s="49"/>
      <c r="C348" s="49"/>
      <c r="D348" s="49"/>
      <c r="E348" s="49"/>
      <c r="F348" s="49"/>
      <c r="G348" s="77"/>
      <c r="H348" s="77"/>
      <c r="I348" s="49"/>
      <c r="K348" s="16"/>
      <c r="L348" s="16"/>
      <c r="M348" s="18">
        <f>IF(M346&lt;1,1/M346,1)</f>
        <v>1.5851908397114272</v>
      </c>
      <c r="O348" s="16"/>
      <c r="P348" s="18">
        <f>IF(P346&lt;1,1/P346,1)</f>
        <v>1.5783171578222999</v>
      </c>
      <c r="R348" s="16"/>
      <c r="S348" s="18">
        <f>IF(S346&lt;1,1/S346,1)</f>
        <v>1.4897291827113963</v>
      </c>
      <c r="V348" s="16"/>
      <c r="W348" s="18">
        <f>IF(W346&lt;1,1/W346,1)</f>
        <v>1.5942841464199797</v>
      </c>
      <c r="X348" s="17"/>
      <c r="Y348" s="16"/>
      <c r="Z348" s="18">
        <f>IF(Z346&lt;1,1/Z346,1)</f>
        <v>1.2620088864219312</v>
      </c>
      <c r="AA348" s="18"/>
      <c r="AB348" s="18"/>
      <c r="AC348" s="18"/>
      <c r="AF348" s="18">
        <f>IF(AF346&lt;1,1/AF346,1)</f>
        <v>1.7337021747688051</v>
      </c>
      <c r="AI348" s="18">
        <f>IF(AI346&lt;1,1/AI346,1)</f>
        <v>1.6302153975025024</v>
      </c>
      <c r="AL348" s="18">
        <f>IF(AL346&lt;1,1/AL346,1)</f>
        <v>1.5527828234350205</v>
      </c>
      <c r="AP348" s="18" t="e">
        <f>IF(AP346&lt;1,1/AP346,1)</f>
        <v>#NUM!</v>
      </c>
      <c r="AS348" s="18">
        <f>IF(AS346&lt;1,1/AS346,1)</f>
        <v>1.7930023569573508</v>
      </c>
      <c r="AV348" s="18">
        <f>IF(AV346&lt;1,1/AV346,1)</f>
        <v>1.0539910344838346</v>
      </c>
      <c r="AY348" s="18">
        <f>IF(AY346&lt;1,1/AY346,1)</f>
        <v>1.207770462600356</v>
      </c>
      <c r="BB348" s="18">
        <f>IF(BB346&lt;1,1/BB346,1)</f>
        <v>1.6924923045774669</v>
      </c>
      <c r="BE348" s="18">
        <f>IF(BE346&lt;1,1/BE346,1)</f>
        <v>1.5247823324415437</v>
      </c>
      <c r="BF348" s="17"/>
      <c r="BH348" s="18">
        <f>IF(BH346&lt;1,1/BH346,1)</f>
        <v>1.2045495098005998</v>
      </c>
      <c r="BI348" s="17"/>
      <c r="BJ348" s="16"/>
      <c r="BK348" s="18">
        <f>IF(BK346&lt;1,1/BK346,1)</f>
        <v>1.3838880922437737</v>
      </c>
      <c r="BL348" s="17"/>
      <c r="BM348" s="16"/>
      <c r="BN348" s="18">
        <f>IF(BN346&lt;1,1/BN346,1)</f>
        <v>1.1411291556614789</v>
      </c>
    </row>
    <row r="357" spans="9:9">
      <c r="I357" s="2"/>
    </row>
    <row r="358" spans="9:9">
      <c r="I358" s="2"/>
    </row>
    <row r="359" spans="9:9">
      <c r="I359" s="2"/>
    </row>
    <row r="360" spans="9:9">
      <c r="I360" s="2"/>
    </row>
    <row r="361" spans="9:9">
      <c r="I361" s="2"/>
    </row>
    <row r="362" spans="9:9">
      <c r="I362" s="2"/>
    </row>
    <row r="363" spans="9:9">
      <c r="I363" s="2"/>
    </row>
  </sheetData>
  <mergeCells count="78">
    <mergeCell ref="A296:A297"/>
    <mergeCell ref="A298:A299"/>
    <mergeCell ref="A300:A305"/>
    <mergeCell ref="A306:A309"/>
    <mergeCell ref="A287:A288"/>
    <mergeCell ref="A289:A292"/>
    <mergeCell ref="A293:A295"/>
    <mergeCell ref="BO272:BO279"/>
    <mergeCell ref="A280:A281"/>
    <mergeCell ref="A282:A283"/>
    <mergeCell ref="A284:A286"/>
    <mergeCell ref="A272:A273"/>
    <mergeCell ref="A274:A275"/>
    <mergeCell ref="A276:A277"/>
    <mergeCell ref="A278:A279"/>
    <mergeCell ref="AA1:AC1"/>
    <mergeCell ref="A186:A193"/>
    <mergeCell ref="A264:A271"/>
    <mergeCell ref="A220:A222"/>
    <mergeCell ref="A223:A225"/>
    <mergeCell ref="A194:A201"/>
    <mergeCell ref="A202:A208"/>
    <mergeCell ref="A209:A211"/>
    <mergeCell ref="A212:A214"/>
    <mergeCell ref="A215:A219"/>
    <mergeCell ref="A257:A263"/>
    <mergeCell ref="A226:A231"/>
    <mergeCell ref="A232:A237"/>
    <mergeCell ref="A238:A245"/>
    <mergeCell ref="A246:A248"/>
    <mergeCell ref="A249:A256"/>
    <mergeCell ref="A155:A157"/>
    <mergeCell ref="A158:A164"/>
    <mergeCell ref="A165:A172"/>
    <mergeCell ref="A173:A178"/>
    <mergeCell ref="A179:A185"/>
    <mergeCell ref="X1:Z1"/>
    <mergeCell ref="A110:A116"/>
    <mergeCell ref="A117:A123"/>
    <mergeCell ref="A124:A131"/>
    <mergeCell ref="A132:A136"/>
    <mergeCell ref="A44:A48"/>
    <mergeCell ref="A3:A8"/>
    <mergeCell ref="A9:A14"/>
    <mergeCell ref="A15:A17"/>
    <mergeCell ref="A18:A24"/>
    <mergeCell ref="A25:A27"/>
    <mergeCell ref="A152:A154"/>
    <mergeCell ref="A72:A74"/>
    <mergeCell ref="A75:A77"/>
    <mergeCell ref="A70:A71"/>
    <mergeCell ref="A86:A88"/>
    <mergeCell ref="A89:A91"/>
    <mergeCell ref="A92:A94"/>
    <mergeCell ref="A78:A81"/>
    <mergeCell ref="A82:A85"/>
    <mergeCell ref="A137:A140"/>
    <mergeCell ref="A141:A143"/>
    <mergeCell ref="A102:A109"/>
    <mergeCell ref="A100:A101"/>
    <mergeCell ref="A97:A99"/>
    <mergeCell ref="A95:A96"/>
    <mergeCell ref="BL1:BN1"/>
    <mergeCell ref="BI1:BK1"/>
    <mergeCell ref="A144:A145"/>
    <mergeCell ref="A146:A148"/>
    <mergeCell ref="A149:A151"/>
    <mergeCell ref="A49:A53"/>
    <mergeCell ref="A61:A65"/>
    <mergeCell ref="A66:A69"/>
    <mergeCell ref="AQ1:BE1"/>
    <mergeCell ref="A54:A60"/>
    <mergeCell ref="A38:A43"/>
    <mergeCell ref="A28:A37"/>
    <mergeCell ref="A1:A2"/>
    <mergeCell ref="K1:W1"/>
    <mergeCell ref="AD1:AP1"/>
    <mergeCell ref="B1:I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65F7-499F-4869-B990-E6386F0CDCE8}">
  <dimension ref="A1:BF352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:B293"/>
    </sheetView>
  </sheetViews>
  <sheetFormatPr defaultRowHeight="13.2"/>
  <cols>
    <col min="1" max="1" width="30.5546875" style="63" customWidth="1"/>
    <col min="2" max="4" width="17.5546875" customWidth="1"/>
    <col min="5" max="6" width="19.33203125" customWidth="1"/>
    <col min="7" max="8" width="19.33203125" style="1" customWidth="1"/>
    <col min="9" max="9" width="19.33203125" customWidth="1"/>
    <col min="10" max="10" width="12.21875" style="1" bestFit="1" customWidth="1"/>
    <col min="11" max="11" width="13.33203125" style="16" customWidth="1"/>
    <col min="12" max="12" width="9.5546875" style="16" bestFit="1" customWidth="1"/>
    <col min="13" max="13" width="12.6640625" style="16" customWidth="1"/>
    <col min="14" max="14" width="12.5546875" style="16" customWidth="1"/>
    <col min="15" max="15" width="9.5546875" style="16" bestFit="1" customWidth="1"/>
    <col min="16" max="16" width="13.5546875" style="16" customWidth="1"/>
    <col min="17" max="18" width="8.88671875" style="16"/>
    <col min="19" max="19" width="12.21875" style="16" customWidth="1"/>
    <col min="20" max="20" width="22.77734375" style="16" customWidth="1"/>
    <col min="21" max="21" width="25.5546875" style="16" customWidth="1"/>
    <col min="22" max="22" width="8.88671875" style="16"/>
    <col min="23" max="23" width="11.33203125" style="16" customWidth="1"/>
    <col min="24" max="25" width="8.88671875" style="16"/>
    <col min="26" max="26" width="12.77734375" style="16" customWidth="1"/>
    <col min="27" max="28" width="8.88671875" style="16"/>
    <col min="29" max="29" width="13.5546875" style="16" customWidth="1"/>
    <col min="30" max="30" width="16.44140625" style="16" customWidth="1"/>
    <col min="31" max="31" width="8.88671875" style="16"/>
    <col min="32" max="32" width="11.109375" style="16" customWidth="1"/>
    <col min="33" max="34" width="8.88671875" style="16"/>
    <col min="35" max="35" width="12.5546875" style="16" customWidth="1"/>
    <col min="36" max="37" width="8.88671875" style="16"/>
    <col min="38" max="41" width="12.5546875" style="16" customWidth="1"/>
    <col min="42" max="42" width="8.88671875" style="16"/>
    <col min="44" max="47" width="11.21875" customWidth="1"/>
    <col min="48" max="48" width="12.5546875" customWidth="1"/>
    <col min="52" max="52" width="15.21875" customWidth="1"/>
    <col min="54" max="54" width="13.77734375" customWidth="1"/>
    <col min="56" max="56" width="24.109375" customWidth="1"/>
    <col min="58" max="58" width="15.6640625" customWidth="1"/>
  </cols>
  <sheetData>
    <row r="1" spans="1:58" s="1" customFormat="1" ht="30.6" customHeight="1">
      <c r="A1" s="94" t="s">
        <v>15</v>
      </c>
      <c r="B1" s="100" t="s">
        <v>43</v>
      </c>
      <c r="C1" s="101"/>
      <c r="D1" s="101"/>
      <c r="E1" s="101"/>
      <c r="F1" s="101"/>
      <c r="G1" s="101"/>
      <c r="H1" s="101"/>
      <c r="I1" s="101"/>
      <c r="J1" s="24" t="s">
        <v>42</v>
      </c>
      <c r="K1" s="97" t="s">
        <v>21</v>
      </c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9"/>
      <c r="X1" s="91" t="s">
        <v>22</v>
      </c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80"/>
      <c r="AN1" s="80"/>
      <c r="AO1" s="80"/>
      <c r="AP1" s="84" t="s">
        <v>71</v>
      </c>
      <c r="AQ1" s="84"/>
      <c r="AR1" s="84"/>
      <c r="AS1" s="83" t="s">
        <v>101</v>
      </c>
      <c r="AT1" s="83"/>
      <c r="AU1" s="83"/>
      <c r="AV1" s="50" t="s">
        <v>107</v>
      </c>
      <c r="AZ1" s="50" t="s">
        <v>53</v>
      </c>
      <c r="BB1" s="50" t="s">
        <v>55</v>
      </c>
      <c r="BD1" s="50" t="s">
        <v>70</v>
      </c>
      <c r="BF1" s="50"/>
    </row>
    <row r="2" spans="1:58" s="1" customFormat="1" ht="42.6" customHeight="1">
      <c r="A2" s="94"/>
      <c r="B2" s="3" t="s">
        <v>44</v>
      </c>
      <c r="C2" s="3" t="s">
        <v>82</v>
      </c>
      <c r="D2" s="3" t="s">
        <v>83</v>
      </c>
      <c r="E2" s="3" t="s">
        <v>48</v>
      </c>
      <c r="F2" s="3" t="s">
        <v>45</v>
      </c>
      <c r="G2" s="3" t="s">
        <v>57</v>
      </c>
      <c r="H2" s="3" t="s">
        <v>47</v>
      </c>
      <c r="I2" s="3" t="s">
        <v>46</v>
      </c>
      <c r="J2" s="3" t="s">
        <v>10</v>
      </c>
      <c r="K2" s="3" t="s">
        <v>2</v>
      </c>
      <c r="L2" s="3" t="s">
        <v>14</v>
      </c>
      <c r="M2" s="3" t="s">
        <v>40</v>
      </c>
      <c r="N2" s="3" t="s">
        <v>3</v>
      </c>
      <c r="O2" s="3" t="s">
        <v>14</v>
      </c>
      <c r="P2" s="3" t="s">
        <v>40</v>
      </c>
      <c r="Q2" s="3" t="s">
        <v>4</v>
      </c>
      <c r="R2" s="3" t="s">
        <v>14</v>
      </c>
      <c r="S2" s="3" t="s">
        <v>40</v>
      </c>
      <c r="T2" s="3" t="s">
        <v>17</v>
      </c>
      <c r="U2" s="3" t="s">
        <v>18</v>
      </c>
      <c r="V2" s="3" t="s">
        <v>14</v>
      </c>
      <c r="W2" s="3" t="s">
        <v>40</v>
      </c>
      <c r="X2" s="3" t="s">
        <v>5</v>
      </c>
      <c r="Y2" s="3" t="s">
        <v>13</v>
      </c>
      <c r="Z2" s="3" t="s">
        <v>37</v>
      </c>
      <c r="AA2" s="3" t="s">
        <v>6</v>
      </c>
      <c r="AB2" s="3" t="s">
        <v>13</v>
      </c>
      <c r="AC2" s="3" t="s">
        <v>37</v>
      </c>
      <c r="AD2" s="3" t="s">
        <v>11</v>
      </c>
      <c r="AE2" s="3" t="s">
        <v>13</v>
      </c>
      <c r="AF2" s="3" t="s">
        <v>37</v>
      </c>
      <c r="AG2" s="3" t="s">
        <v>7</v>
      </c>
      <c r="AH2" s="3" t="s">
        <v>13</v>
      </c>
      <c r="AI2" s="3" t="s">
        <v>37</v>
      </c>
      <c r="AJ2" s="3" t="s">
        <v>8</v>
      </c>
      <c r="AK2" s="3" t="s">
        <v>13</v>
      </c>
      <c r="AL2" s="3" t="s">
        <v>37</v>
      </c>
      <c r="AM2" s="3" t="s">
        <v>100</v>
      </c>
      <c r="AN2" s="3" t="s">
        <v>13</v>
      </c>
      <c r="AO2" s="3" t="s">
        <v>37</v>
      </c>
      <c r="AP2" s="60" t="s">
        <v>92</v>
      </c>
      <c r="AQ2" s="3" t="s">
        <v>13</v>
      </c>
      <c r="AR2" s="3" t="s">
        <v>37</v>
      </c>
      <c r="AS2" s="3" t="s">
        <v>102</v>
      </c>
      <c r="AT2" s="3" t="s">
        <v>13</v>
      </c>
      <c r="AU2" s="3" t="s">
        <v>37</v>
      </c>
      <c r="AZ2" s="49" t="s">
        <v>52</v>
      </c>
      <c r="BB2" s="49" t="s">
        <v>54</v>
      </c>
      <c r="BD2" s="49" t="s">
        <v>84</v>
      </c>
      <c r="BF2" s="49"/>
    </row>
    <row r="3" spans="1:58" s="1" customFormat="1" ht="13.2" customHeight="1">
      <c r="A3" s="87" t="s">
        <v>88</v>
      </c>
      <c r="B3" s="37">
        <f>'[2]Dados de entrada'!$B$28</f>
        <v>20</v>
      </c>
      <c r="C3" s="37">
        <f>'[2]Dados de entrada'!$B$31</f>
        <v>2</v>
      </c>
      <c r="D3" s="37">
        <f>'[2]Dados de entrada'!$B$32</f>
        <v>126</v>
      </c>
      <c r="E3" s="41">
        <f>'[2]Dados de entrada'!$B$27</f>
        <v>4.1203405239014401</v>
      </c>
      <c r="F3" s="37">
        <f>'[2]Dados de entrada'!$B$30</f>
        <v>25</v>
      </c>
      <c r="G3" s="37">
        <f>'[2]Dados de entrada'!$B$22</f>
        <v>39</v>
      </c>
      <c r="H3" s="42">
        <f>'[2]Dados de entrada'!$B$29/(2*'[2]Dados de entrada'!$B$20*G3)</f>
        <v>3.7274453941120611E-2</v>
      </c>
      <c r="I3" s="25" cm="1">
        <f t="array" ref="I3:I8">'[2]fib Model Code 2010'!$K$5:$K$10</f>
        <v>231.81100493873356</v>
      </c>
      <c r="J3" s="73" cm="1">
        <f t="array" ref="J3:J8">'[2]Dados de entrada'!$C$7:$C$12</f>
        <v>0.16</v>
      </c>
      <c r="K3" s="73" cm="1">
        <f t="array" ref="K3:K8">'[2]fib Model Code 2010'!$L$5:$L$10</f>
        <v>0.12573406896410511</v>
      </c>
      <c r="L3" s="73">
        <f>K3/$J3</f>
        <v>0.78583793102565691</v>
      </c>
      <c r="M3" s="73">
        <f>LN(L3)</f>
        <v>-0.24100470243781077</v>
      </c>
      <c r="N3" s="73" cm="1">
        <f t="array" ref="N3:N8">'[2]fib Model Code 2020'!$L$5:$L$10</f>
        <v>8.6159382513197727E-2</v>
      </c>
      <c r="O3" s="73">
        <f>N3/$J3</f>
        <v>0.53849614070748575</v>
      </c>
      <c r="P3" s="73">
        <f>LN(O3)</f>
        <v>-0.61897494915699114</v>
      </c>
      <c r="Q3" s="73" cm="1">
        <f t="array" ref="Q3:Q8">'[2]Eurocode 2'!$L$5:$L$10</f>
        <v>0.12529165250414639</v>
      </c>
      <c r="R3" s="73">
        <f>Q3/$J3</f>
        <v>0.78307282815091495</v>
      </c>
      <c r="S3" s="73">
        <f>LN(R3)</f>
        <v>-0.24452957562966043</v>
      </c>
      <c r="T3" s="73" cm="1">
        <f t="array" ref="T3:T8">'[2]NBR 6118'!$Q$5:$Q$10</f>
        <v>0.26246778690532796</v>
      </c>
      <c r="U3" s="73" cm="1">
        <f t="array" ref="U3:U8">'[2]NBR 6118'!$R$5:$R$10</f>
        <v>0.15737967840740144</v>
      </c>
      <c r="V3" s="73" cm="1">
        <f t="array" ref="V3:V8">'[2]NBR 6118'!$W$5:$W$10</f>
        <v>0.98362299004625897</v>
      </c>
      <c r="W3" s="73">
        <f>LN(V3)</f>
        <v>-1.651259554373341E-2</v>
      </c>
      <c r="X3" s="73" cm="1">
        <f t="array" ref="X3:X8">'[2]Clark (1956)'!$L$5:$L$10</f>
        <v>0.18100616392384755</v>
      </c>
      <c r="Y3" s="73">
        <f>X3/$J3</f>
        <v>1.1312885245240472</v>
      </c>
      <c r="Z3" s="73">
        <f>LN(Y3)</f>
        <v>0.12335727028003332</v>
      </c>
      <c r="AA3" s="73" cm="1">
        <f t="array" ref="AA3:AA8">'[2]Leonhardt (1977)'!$L$5:$L$10</f>
        <v>0.29637407304529567</v>
      </c>
      <c r="AB3" s="73">
        <f>AA3/$J3</f>
        <v>1.852337956533098</v>
      </c>
      <c r="AC3" s="73">
        <f>LN(AB3)</f>
        <v>0.61644860150550418</v>
      </c>
      <c r="AD3" s="73" cm="1">
        <f t="array" ref="AD3:AD8">'[2]Desayi; Ganesan (1985)'!$L$5:$L$10</f>
        <v>0.31268420853835605</v>
      </c>
      <c r="AE3" s="73">
        <f>AD3/$J3</f>
        <v>1.9542763033647252</v>
      </c>
      <c r="AF3" s="73">
        <f>LN(AE3)</f>
        <v>0.67001994759775052</v>
      </c>
      <c r="AG3" s="73" cm="1">
        <f t="array" ref="AG3:AG8">'[2]Oh; Kang (1987)'!$L$5:$L$10</f>
        <v>0.18596904047926571</v>
      </c>
      <c r="AH3" s="73">
        <f>AG3/$J3</f>
        <v>1.1623065029954107</v>
      </c>
      <c r="AI3" s="73">
        <f>LN(AH3)</f>
        <v>0.1504063955889903</v>
      </c>
      <c r="AJ3" s="73" cm="1">
        <f t="array" ref="AJ3:AJ8">'[2]Caldas (1997)'!$L$5:$L$10</f>
        <v>0.12999764117006196</v>
      </c>
      <c r="AK3" s="73">
        <f>AJ3/$J3</f>
        <v>0.81248525731288723</v>
      </c>
      <c r="AL3" s="73">
        <f>LN(AK3)</f>
        <v>-0.20765750978854144</v>
      </c>
      <c r="AM3" s="73" cm="1">
        <f t="array" ref="AM3:AM8">'[2]Gergely e Lutz (1968)'!$L$5:$L$10</f>
        <v>0.24152794750458398</v>
      </c>
      <c r="AN3" s="73">
        <f>AM3/$J3</f>
        <v>1.5095496719036499</v>
      </c>
      <c r="AO3" s="73">
        <f>LN(AN3)</f>
        <v>0.41181137581988136</v>
      </c>
      <c r="AP3" s="81" cm="1">
        <f t="array" ref="AP3:AP8">[2]Sugestão!$N$5:$N$10</f>
        <v>0.1021297239736778</v>
      </c>
      <c r="AQ3" s="73">
        <f>AP3/$J3</f>
        <v>0.63831077483548626</v>
      </c>
      <c r="AR3" s="73">
        <f>LN(AQ3)</f>
        <v>-0.44893000634327301</v>
      </c>
      <c r="AS3" s="73" cm="1">
        <f t="array" ref="AS3:AS8">'[2]fib Model Code 2020 modificado'!$L$5:$L$10</f>
        <v>0.15370893746373848</v>
      </c>
      <c r="AT3" s="73">
        <f>AS3/$J3</f>
        <v>0.96068085914836554</v>
      </c>
      <c r="AU3" s="73">
        <f>LN(AT3)</f>
        <v>-4.0113017624232097E-2</v>
      </c>
      <c r="AZ3" t="b">
        <f t="shared" ref="AZ3:AZ66" si="0">IF(AND(B3&lt;=12.7,F3&lt;=45),TRUE,FALSE)</f>
        <v>0</v>
      </c>
      <c r="BA3"/>
      <c r="BB3" t="b">
        <f t="shared" ref="BB3:BB66" si="1">IF(AND(B3&gt;12.7,F3&lt;=45),TRUE,FALSE)</f>
        <v>1</v>
      </c>
      <c r="BC3"/>
      <c r="BD3" t="b">
        <f t="shared" ref="BD3:BD66" si="2">IF(AND(F3&lt;=45,C3&gt;1),TRUE,FALSE)</f>
        <v>1</v>
      </c>
      <c r="BF3" s="49"/>
    </row>
    <row r="4" spans="1:58" s="1" customFormat="1">
      <c r="A4" s="88"/>
      <c r="B4" s="37">
        <f>'[2]Dados de entrada'!$B$28</f>
        <v>20</v>
      </c>
      <c r="C4" s="37">
        <f>'[2]Dados de entrada'!$B$31</f>
        <v>2</v>
      </c>
      <c r="D4" s="37">
        <f>'[2]Dados de entrada'!$B$32</f>
        <v>126</v>
      </c>
      <c r="E4" s="41">
        <f>'[2]Dados de entrada'!$B$27</f>
        <v>4.1203405239014401</v>
      </c>
      <c r="F4" s="37">
        <f>'[2]Dados de entrada'!$B$30</f>
        <v>25</v>
      </c>
      <c r="G4" s="37">
        <f>'[2]Dados de entrada'!$B$22</f>
        <v>39</v>
      </c>
      <c r="H4" s="42">
        <f>'[2]Dados de entrada'!$B$29/(2*'[2]Dados de entrada'!$B$20*G4)</f>
        <v>3.7274453941120611E-2</v>
      </c>
      <c r="I4" s="25">
        <v>304.25194398208777</v>
      </c>
      <c r="J4" s="71">
        <v>0.23</v>
      </c>
      <c r="K4" s="73">
        <v>0.17698216291811808</v>
      </c>
      <c r="L4" s="73">
        <f t="shared" ref="L4:L8" si="3">K4/$J4</f>
        <v>0.76948766486138287</v>
      </c>
      <c r="M4" s="73">
        <f t="shared" ref="M4:M8" si="4">LN(L4)</f>
        <v>-0.26203035590136398</v>
      </c>
      <c r="N4" s="73">
        <v>0.14712654185263452</v>
      </c>
      <c r="O4" s="73">
        <f t="shared" ref="O4:O8" si="5">N4/$J4</f>
        <v>0.63968061675058485</v>
      </c>
      <c r="P4" s="73">
        <f t="shared" ref="P4:P8" si="6">LN(O4)</f>
        <v>-0.44678626351570033</v>
      </c>
      <c r="Q4" s="73">
        <v>0.17635942142379471</v>
      </c>
      <c r="R4" s="73">
        <f t="shared" ref="R4:R8" si="7">Q4/$J4</f>
        <v>0.76678009314693352</v>
      </c>
      <c r="S4" s="73">
        <f t="shared" ref="S4:S8" si="8">LN(R4)</f>
        <v>-0.26555522909321322</v>
      </c>
      <c r="T4" s="73">
        <v>0.34448897031324288</v>
      </c>
      <c r="U4" s="73">
        <v>0.27111108663150013</v>
      </c>
      <c r="V4" s="73">
        <v>1.1787438549195657</v>
      </c>
      <c r="W4" s="73">
        <f t="shared" ref="W4:W8" si="9">LN(V4)</f>
        <v>0.16444934173418158</v>
      </c>
      <c r="X4" s="73">
        <v>0.24436254780391009</v>
      </c>
      <c r="Y4" s="73">
        <f t="shared" ref="Y4:Y8" si="10">X4/$J4</f>
        <v>1.0624458600170004</v>
      </c>
      <c r="Z4" s="73">
        <f t="shared" ref="Z4:Z8" si="11">LN(Y4)</f>
        <v>6.0573665240053254E-2</v>
      </c>
      <c r="AA4" s="73">
        <v>0.44704918265926941</v>
      </c>
      <c r="AB4" s="73">
        <f t="shared" ref="AB4:AB8" si="12">AA4/$J4</f>
        <v>1.9436920985185626</v>
      </c>
      <c r="AC4" s="73">
        <f t="shared" ref="AC4:AC8" si="13">LN(AB4)</f>
        <v>0.66458930795821503</v>
      </c>
      <c r="AD4" s="73">
        <v>0.41039802370659229</v>
      </c>
      <c r="AE4" s="73">
        <f t="shared" ref="AE4:AE8" si="14">AD4/$J4</f>
        <v>1.7843392335069228</v>
      </c>
      <c r="AF4" s="73">
        <f t="shared" ref="AF4:AF8" si="15">LN(AE4)</f>
        <v>0.57904816939202375</v>
      </c>
      <c r="AG4" s="73">
        <v>0.25620365464862777</v>
      </c>
      <c r="AH4" s="73">
        <f t="shared" ref="AH4:AH8" si="16">AG4/$J4</f>
        <v>1.1139289332549034</v>
      </c>
      <c r="AI4" s="73">
        <f t="shared" ref="AI4:AI8" si="17">LN(AH4)</f>
        <v>0.10789334526450314</v>
      </c>
      <c r="AJ4" s="73">
        <v>0.17474555573506692</v>
      </c>
      <c r="AK4" s="73">
        <f t="shared" ref="AK4:AK8" si="18">AJ4/$J4</f>
        <v>0.7597632858046387</v>
      </c>
      <c r="AL4" s="73">
        <f t="shared" ref="AL4:AL8" si="19">LN(AK4)</f>
        <v>-0.27474836026391164</v>
      </c>
      <c r="AM4" s="73">
        <v>0.31700543109976642</v>
      </c>
      <c r="AN4" s="73">
        <f t="shared" ref="AN4:AN8" si="20">AM4/$J4</f>
        <v>1.3782844830424625</v>
      </c>
      <c r="AO4" s="73">
        <f t="shared" ref="AO4:AO8" si="21">LN(AN4)</f>
        <v>0.32083959761415443</v>
      </c>
      <c r="AP4" s="81">
        <v>0.19078251655555628</v>
      </c>
      <c r="AQ4" s="73">
        <f t="shared" ref="AQ4:AQ8" si="22">AP4/$J4</f>
        <v>0.82948920241546209</v>
      </c>
      <c r="AR4" s="73">
        <f t="shared" ref="AR4:AR8" si="23">LN(AQ4)</f>
        <v>-0.1869451864159109</v>
      </c>
      <c r="AS4" s="73">
        <v>0.24627331158163718</v>
      </c>
      <c r="AT4" s="73">
        <f t="shared" ref="AT4:AT8" si="24">AS4/$J4</f>
        <v>1.0707535286158139</v>
      </c>
      <c r="AU4" s="73">
        <f t="shared" ref="AU4:AU8" si="25">LN(AT4)</f>
        <v>6.8362632969798748E-2</v>
      </c>
      <c r="AZ4" t="b">
        <f t="shared" si="0"/>
        <v>0</v>
      </c>
      <c r="BA4"/>
      <c r="BB4" t="b">
        <f t="shared" si="1"/>
        <v>1</v>
      </c>
      <c r="BC4"/>
      <c r="BD4" t="b">
        <f t="shared" si="2"/>
        <v>1</v>
      </c>
      <c r="BF4" s="49"/>
    </row>
    <row r="5" spans="1:58" s="1" customFormat="1">
      <c r="A5" s="88"/>
      <c r="B5" s="37">
        <f>'[2]Dados de entrada'!$B$28</f>
        <v>20</v>
      </c>
      <c r="C5" s="37">
        <f>'[2]Dados de entrada'!$B$31</f>
        <v>2</v>
      </c>
      <c r="D5" s="37">
        <f>'[2]Dados de entrada'!$B$32</f>
        <v>126</v>
      </c>
      <c r="E5" s="41">
        <f>'[2]Dados de entrada'!$B$27</f>
        <v>4.1203405239014401</v>
      </c>
      <c r="F5" s="37">
        <f>'[2]Dados de entrada'!$B$30</f>
        <v>25</v>
      </c>
      <c r="G5" s="37">
        <f>'[2]Dados de entrada'!$B$22</f>
        <v>39</v>
      </c>
      <c r="H5" s="42">
        <f>'[2]Dados de entrada'!$B$29/(2*'[2]Dados de entrada'!$B$20*G5)</f>
        <v>3.7274453941120611E-2</v>
      </c>
      <c r="I5" s="25">
        <v>314.28222784962912</v>
      </c>
      <c r="J5" s="71">
        <v>0.24</v>
      </c>
      <c r="K5" s="73">
        <v>0.1840780528502122</v>
      </c>
      <c r="L5" s="73">
        <f t="shared" si="3"/>
        <v>0.76699188687588415</v>
      </c>
      <c r="M5" s="73">
        <f t="shared" si="4"/>
        <v>-0.26527905540761282</v>
      </c>
      <c r="N5" s="73">
        <v>0.15556814853040268</v>
      </c>
      <c r="O5" s="73">
        <f t="shared" si="5"/>
        <v>0.6482006188766779</v>
      </c>
      <c r="P5" s="73">
        <f t="shared" si="6"/>
        <v>-0.43355503351322372</v>
      </c>
      <c r="Q5" s="73">
        <v>0.18343034327420754</v>
      </c>
      <c r="R5" s="73">
        <f t="shared" si="7"/>
        <v>0.76429309697586478</v>
      </c>
      <c r="S5" s="73">
        <f t="shared" si="8"/>
        <v>-0.26880392859946228</v>
      </c>
      <c r="T5" s="73">
        <v>0.35584574955433879</v>
      </c>
      <c r="U5" s="73">
        <v>0.28928119327085311</v>
      </c>
      <c r="V5" s="73">
        <v>1.2053383052952213</v>
      </c>
      <c r="W5" s="73">
        <f t="shared" si="9"/>
        <v>0.18676027882169324</v>
      </c>
      <c r="X5" s="73">
        <v>0.25313497018730335</v>
      </c>
      <c r="Y5" s="73">
        <f t="shared" si="10"/>
        <v>1.0547290424470974</v>
      </c>
      <c r="Z5" s="73">
        <f t="shared" si="11"/>
        <v>5.3283902137394812E-2</v>
      </c>
      <c r="AA5" s="73">
        <v>0.46699968256137087</v>
      </c>
      <c r="AB5" s="73">
        <f t="shared" si="12"/>
        <v>1.9458320106723788</v>
      </c>
      <c r="AC5" s="73">
        <f t="shared" si="13"/>
        <v>0.66568965458656981</v>
      </c>
      <c r="AD5" s="73">
        <v>0.42392762888373264</v>
      </c>
      <c r="AE5" s="73">
        <f t="shared" si="14"/>
        <v>1.7663651203488862</v>
      </c>
      <c r="AF5" s="73">
        <f t="shared" si="15"/>
        <v>0.56892383072638175</v>
      </c>
      <c r="AG5" s="73">
        <v>0.26592844737977017</v>
      </c>
      <c r="AH5" s="73">
        <f t="shared" si="16"/>
        <v>1.108035197415709</v>
      </c>
      <c r="AI5" s="73">
        <f t="shared" si="17"/>
        <v>0.10258835444121965</v>
      </c>
      <c r="AJ5" s="73">
        <v>0.18094142082868298</v>
      </c>
      <c r="AK5" s="73">
        <f t="shared" si="18"/>
        <v>0.75392258678617907</v>
      </c>
      <c r="AL5" s="73">
        <f t="shared" si="19"/>
        <v>-0.28246558628996615</v>
      </c>
      <c r="AM5" s="73">
        <v>0.32745615959756097</v>
      </c>
      <c r="AN5" s="73">
        <f t="shared" si="20"/>
        <v>1.3644006649898375</v>
      </c>
      <c r="AO5" s="73">
        <f t="shared" si="21"/>
        <v>0.31071525894851265</v>
      </c>
      <c r="AP5" s="81">
        <v>0.2030575186053549</v>
      </c>
      <c r="AQ5" s="73">
        <f t="shared" si="22"/>
        <v>0.84607299418897874</v>
      </c>
      <c r="AR5" s="73">
        <f t="shared" si="23"/>
        <v>-0.16714964155069617</v>
      </c>
      <c r="AS5" s="73">
        <v>0.25948354889502412</v>
      </c>
      <c r="AT5" s="73">
        <f t="shared" si="24"/>
        <v>1.0811814537292672</v>
      </c>
      <c r="AU5" s="73">
        <f t="shared" si="25"/>
        <v>7.8054381859481672E-2</v>
      </c>
      <c r="AZ5" t="b">
        <f t="shared" si="0"/>
        <v>0</v>
      </c>
      <c r="BA5"/>
      <c r="BB5" t="b">
        <f t="shared" si="1"/>
        <v>1</v>
      </c>
      <c r="BC5"/>
      <c r="BD5" t="b">
        <f t="shared" si="2"/>
        <v>1</v>
      </c>
      <c r="BF5" s="49"/>
    </row>
    <row r="6" spans="1:58" s="1" customFormat="1">
      <c r="A6" s="88"/>
      <c r="B6" s="37">
        <f>'[2]Dados de entrada'!$B$28</f>
        <v>20</v>
      </c>
      <c r="C6" s="37">
        <f>'[2]Dados de entrada'!$B$31</f>
        <v>2</v>
      </c>
      <c r="D6" s="37">
        <f>'[2]Dados de entrada'!$B$32</f>
        <v>126</v>
      </c>
      <c r="E6" s="41">
        <f>'[2]Dados de entrada'!$B$27</f>
        <v>4.1203405239014401</v>
      </c>
      <c r="F6" s="37">
        <f>'[2]Dados de entrada'!$B$30</f>
        <v>25</v>
      </c>
      <c r="G6" s="37">
        <f>'[2]Dados de entrada'!$B$22</f>
        <v>39</v>
      </c>
      <c r="H6" s="42">
        <f>'[2]Dados de entrada'!$B$29/(2*'[2]Dados de entrada'!$B$20*G6)</f>
        <v>3.7274453941120611E-2</v>
      </c>
      <c r="I6" s="25">
        <v>363.31917120205361</v>
      </c>
      <c r="J6" s="71">
        <v>0.27</v>
      </c>
      <c r="K6" s="73">
        <v>0.21876907029600567</v>
      </c>
      <c r="L6" s="73">
        <f t="shared" si="3"/>
        <v>0.81025581591113205</v>
      </c>
      <c r="M6" s="73">
        <f t="shared" si="4"/>
        <v>-0.21040525906444935</v>
      </c>
      <c r="N6" s="73">
        <v>0.19683822562171382</v>
      </c>
      <c r="O6" s="73">
        <f t="shared" si="5"/>
        <v>0.72903046526560666</v>
      </c>
      <c r="P6" s="73">
        <f t="shared" si="6"/>
        <v>-0.31603975735887635</v>
      </c>
      <c r="Q6" s="73">
        <v>0.2179992945428926</v>
      </c>
      <c r="R6" s="73">
        <f t="shared" si="7"/>
        <v>0.80740479460330583</v>
      </c>
      <c r="S6" s="73">
        <f t="shared" si="8"/>
        <v>-0.21393013225629892</v>
      </c>
      <c r="T6" s="73">
        <v>0.41136778139969671</v>
      </c>
      <c r="U6" s="73">
        <v>0.38659584648726419</v>
      </c>
      <c r="V6" s="73">
        <v>1.4318364684713487</v>
      </c>
      <c r="W6" s="73">
        <f t="shared" si="9"/>
        <v>0.35895786402249819</v>
      </c>
      <c r="X6" s="73">
        <v>0.29602236850611502</v>
      </c>
      <c r="Y6" s="73">
        <f t="shared" si="10"/>
        <v>1.0963791426152407</v>
      </c>
      <c r="Z6" s="73">
        <f t="shared" si="11"/>
        <v>9.2013061747887134E-2</v>
      </c>
      <c r="AA6" s="73">
        <v>0.56249750889728678</v>
      </c>
      <c r="AB6" s="73">
        <f t="shared" si="12"/>
        <v>2.0833241070269879</v>
      </c>
      <c r="AC6" s="73">
        <f t="shared" si="13"/>
        <v>0.73396474644334819</v>
      </c>
      <c r="AD6" s="73">
        <v>0.49007236530530812</v>
      </c>
      <c r="AE6" s="73">
        <f t="shared" si="14"/>
        <v>1.8150828344641041</v>
      </c>
      <c r="AF6" s="73">
        <f t="shared" si="15"/>
        <v>0.59613110549859261</v>
      </c>
      <c r="AG6" s="73">
        <v>0.31347187850980002</v>
      </c>
      <c r="AH6" s="73">
        <f t="shared" si="16"/>
        <v>1.1610069574437036</v>
      </c>
      <c r="AI6" s="73">
        <f t="shared" si="17"/>
        <v>0.1492876953280344</v>
      </c>
      <c r="AJ6" s="73">
        <v>0.21123231684191718</v>
      </c>
      <c r="AK6" s="73">
        <f t="shared" si="18"/>
        <v>0.78234191422932287</v>
      </c>
      <c r="AL6" s="73">
        <f t="shared" si="19"/>
        <v>-0.24546340352193632</v>
      </c>
      <c r="AM6" s="73">
        <v>0.37854861003122303</v>
      </c>
      <c r="AN6" s="73">
        <f t="shared" si="20"/>
        <v>1.4020318890045296</v>
      </c>
      <c r="AO6" s="73">
        <f t="shared" si="21"/>
        <v>0.33792253372072323</v>
      </c>
      <c r="AP6" s="81">
        <v>0.2630686397377035</v>
      </c>
      <c r="AQ6" s="73">
        <f t="shared" si="22"/>
        <v>0.97432829532482768</v>
      </c>
      <c r="AR6" s="73">
        <f t="shared" si="23"/>
        <v>-2.6006973276117579E-2</v>
      </c>
      <c r="AS6" s="73">
        <v>0.32544523318659158</v>
      </c>
      <c r="AT6" s="73">
        <f t="shared" si="24"/>
        <v>1.2053527155058947</v>
      </c>
      <c r="AU6" s="73">
        <f t="shared" si="25"/>
        <v>0.18677223407481297</v>
      </c>
      <c r="AZ6" t="b">
        <f t="shared" si="0"/>
        <v>0</v>
      </c>
      <c r="BA6"/>
      <c r="BB6" t="b">
        <f t="shared" si="1"/>
        <v>1</v>
      </c>
      <c r="BC6"/>
      <c r="BD6" t="b">
        <f t="shared" si="2"/>
        <v>1</v>
      </c>
      <c r="BF6" s="49"/>
    </row>
    <row r="7" spans="1:58" s="1" customFormat="1">
      <c r="A7" s="88"/>
      <c r="B7" s="37">
        <f>'[2]Dados de entrada'!$B$28</f>
        <v>20</v>
      </c>
      <c r="C7" s="37">
        <f>'[2]Dados de entrada'!$B$31</f>
        <v>2</v>
      </c>
      <c r="D7" s="37">
        <f>'[2]Dados de entrada'!$B$32</f>
        <v>126</v>
      </c>
      <c r="E7" s="41">
        <f>'[2]Dados de entrada'!$B$27</f>
        <v>4.1203405239014401</v>
      </c>
      <c r="F7" s="37">
        <f>'[2]Dados de entrada'!$B$30</f>
        <v>25</v>
      </c>
      <c r="G7" s="37">
        <f>'[2]Dados de entrada'!$B$22</f>
        <v>39</v>
      </c>
      <c r="H7" s="42">
        <f>'[2]Dados de entrada'!$B$29/(2*'[2]Dados de entrada'!$B$20*G7)</f>
        <v>3.7274453941120611E-2</v>
      </c>
      <c r="I7" s="25">
        <v>459.16410593633765</v>
      </c>
      <c r="J7" s="71">
        <v>0.35</v>
      </c>
      <c r="K7" s="73">
        <v>0.28657424075823829</v>
      </c>
      <c r="L7" s="73">
        <f t="shared" si="3"/>
        <v>0.81878354502353801</v>
      </c>
      <c r="M7" s="73">
        <f t="shared" si="4"/>
        <v>-0.19993552185084962</v>
      </c>
      <c r="N7" s="73">
        <v>0.27750246720927635</v>
      </c>
      <c r="O7" s="73">
        <f t="shared" si="5"/>
        <v>0.79286419202650393</v>
      </c>
      <c r="P7" s="73">
        <f t="shared" si="6"/>
        <v>-0.23210333049225429</v>
      </c>
      <c r="Q7" s="73">
        <v>0.28556588111350423</v>
      </c>
      <c r="R7" s="73">
        <f t="shared" si="7"/>
        <v>0.81590251746715503</v>
      </c>
      <c r="S7" s="73">
        <f t="shared" si="8"/>
        <v>-0.20346039504269911</v>
      </c>
      <c r="T7" s="73">
        <v>0.51988811637016885</v>
      </c>
      <c r="U7" s="73">
        <v>0.61747078706513392</v>
      </c>
      <c r="V7" s="73">
        <v>1.4853946182004825</v>
      </c>
      <c r="W7" s="73">
        <f t="shared" si="9"/>
        <v>0.39568047311500393</v>
      </c>
      <c r="X7" s="73">
        <v>0.37984773794742854</v>
      </c>
      <c r="Y7" s="73">
        <f t="shared" si="10"/>
        <v>1.0852792512783673</v>
      </c>
      <c r="Z7" s="73">
        <f t="shared" si="11"/>
        <v>8.1837328327409101E-2</v>
      </c>
      <c r="AA7" s="73">
        <v>0.74267835540591742</v>
      </c>
      <c r="AB7" s="73">
        <f t="shared" si="12"/>
        <v>2.1219381583026213</v>
      </c>
      <c r="AC7" s="73">
        <f t="shared" si="13"/>
        <v>0.75232989664865935</v>
      </c>
      <c r="AD7" s="73">
        <v>0.61935525922020529</v>
      </c>
      <c r="AE7" s="73">
        <f t="shared" si="14"/>
        <v>1.7695864549148723</v>
      </c>
      <c r="AF7" s="73">
        <f t="shared" si="15"/>
        <v>0.5707458779963267</v>
      </c>
      <c r="AG7" s="73">
        <v>0.4063976757184945</v>
      </c>
      <c r="AH7" s="73">
        <f t="shared" si="16"/>
        <v>1.1611362163385557</v>
      </c>
      <c r="AI7" s="73">
        <f t="shared" si="17"/>
        <v>0.14939902256784021</v>
      </c>
      <c r="AJ7" s="73">
        <v>0.27043724995869295</v>
      </c>
      <c r="AK7" s="73">
        <f t="shared" si="18"/>
        <v>0.77267785702483704</v>
      </c>
      <c r="AL7" s="73">
        <f t="shared" si="19"/>
        <v>-0.25789306107953491</v>
      </c>
      <c r="AM7" s="73">
        <v>0.47841112678792597</v>
      </c>
      <c r="AN7" s="73">
        <f t="shared" si="20"/>
        <v>1.3668889336797885</v>
      </c>
      <c r="AO7" s="73">
        <f t="shared" si="21"/>
        <v>0.31253730621845738</v>
      </c>
      <c r="AP7" s="81">
        <v>0.38036310376911198</v>
      </c>
      <c r="AQ7" s="73">
        <f t="shared" si="22"/>
        <v>1.0867517250546057</v>
      </c>
      <c r="AR7" s="73">
        <f t="shared" si="23"/>
        <v>8.3193178237338655E-2</v>
      </c>
      <c r="AS7" s="73">
        <v>0.46097815424742983</v>
      </c>
      <c r="AT7" s="73">
        <f t="shared" si="24"/>
        <v>1.3170804407069425</v>
      </c>
      <c r="AU7" s="73">
        <f t="shared" si="25"/>
        <v>0.27541749964074447</v>
      </c>
      <c r="AZ7" t="b">
        <f t="shared" si="0"/>
        <v>0</v>
      </c>
      <c r="BA7"/>
      <c r="BB7" t="b">
        <f t="shared" si="1"/>
        <v>1</v>
      </c>
      <c r="BC7"/>
      <c r="BD7" t="b">
        <f t="shared" si="2"/>
        <v>1</v>
      </c>
      <c r="BF7" s="49"/>
    </row>
    <row r="8" spans="1:58" s="1" customFormat="1">
      <c r="A8" s="89"/>
      <c r="B8" s="37">
        <f>'[2]Dados de entrada'!$B$28</f>
        <v>20</v>
      </c>
      <c r="C8" s="37">
        <f>'[2]Dados de entrada'!$B$31</f>
        <v>2</v>
      </c>
      <c r="D8" s="37">
        <f>'[2]Dados de entrada'!$B$32</f>
        <v>126</v>
      </c>
      <c r="E8" s="41">
        <f>'[2]Dados de entrada'!$B$27</f>
        <v>4.1203405239014401</v>
      </c>
      <c r="F8" s="37">
        <f>'[2]Dados de entrada'!$B$30</f>
        <v>25</v>
      </c>
      <c r="G8" s="37">
        <f>'[2]Dados de entrada'!$B$22</f>
        <v>39</v>
      </c>
      <c r="H8" s="42">
        <f>'[2]Dados de entrada'!$B$29/(2*'[2]Dados de entrada'!$B$20*G8)</f>
        <v>3.7274453941120611E-2</v>
      </c>
      <c r="I8" s="25">
        <v>500</v>
      </c>
      <c r="J8" s="71">
        <v>0.4</v>
      </c>
      <c r="K8" s="73">
        <v>0.31546345400295095</v>
      </c>
      <c r="L8" s="73">
        <f t="shared" si="3"/>
        <v>0.78865863500737732</v>
      </c>
      <c r="M8" s="73">
        <f t="shared" si="4"/>
        <v>-0.23742170700902313</v>
      </c>
      <c r="N8" s="73">
        <v>0.31187044328779839</v>
      </c>
      <c r="O8" s="73">
        <f t="shared" si="5"/>
        <v>0.77967610821949596</v>
      </c>
      <c r="P8" s="73">
        <f t="shared" si="6"/>
        <v>-0.24887669140938226</v>
      </c>
      <c r="Q8" s="73">
        <v>0.31435344280458455</v>
      </c>
      <c r="R8" s="73">
        <f t="shared" si="7"/>
        <v>0.78588360701146132</v>
      </c>
      <c r="S8" s="73">
        <f t="shared" si="8"/>
        <v>-0.24094658020087267</v>
      </c>
      <c r="T8" s="73">
        <v>0.53225468628992978</v>
      </c>
      <c r="U8" s="73">
        <v>0.64719569928692966</v>
      </c>
      <c r="V8" s="73">
        <v>1.3306367157248244</v>
      </c>
      <c r="W8" s="73">
        <f t="shared" si="9"/>
        <v>0.28565756130496667</v>
      </c>
      <c r="X8" s="73">
        <v>0.41556255079427151</v>
      </c>
      <c r="Y8" s="73">
        <f t="shared" si="10"/>
        <v>1.0389063769856788</v>
      </c>
      <c r="Z8" s="73">
        <f t="shared" si="11"/>
        <v>3.8168599284845811E-2</v>
      </c>
      <c r="AA8" s="73">
        <v>0.81781094146393984</v>
      </c>
      <c r="AB8" s="73">
        <f t="shared" si="12"/>
        <v>2.0445273536598494</v>
      </c>
      <c r="AC8" s="73">
        <f t="shared" si="13"/>
        <v>0.71516663987703133</v>
      </c>
      <c r="AD8" s="73">
        <v>0.67443780035593404</v>
      </c>
      <c r="AE8" s="73">
        <f t="shared" si="14"/>
        <v>1.6860945008898349</v>
      </c>
      <c r="AF8" s="73">
        <f t="shared" si="15"/>
        <v>0.52241490835874438</v>
      </c>
      <c r="AG8" s="73">
        <v>0.44598983592097036</v>
      </c>
      <c r="AH8" s="73">
        <f t="shared" si="16"/>
        <v>1.1149745898024259</v>
      </c>
      <c r="AI8" s="73">
        <f t="shared" si="17"/>
        <v>0.10883161523753478</v>
      </c>
      <c r="AJ8" s="73">
        <v>0.29566222802879705</v>
      </c>
      <c r="AK8" s="73">
        <f t="shared" si="18"/>
        <v>0.73915557007199262</v>
      </c>
      <c r="AL8" s="73">
        <f t="shared" si="19"/>
        <v>-0.3022468658831538</v>
      </c>
      <c r="AM8" s="73">
        <v>0.52095876028064014</v>
      </c>
      <c r="AN8" s="73">
        <f t="shared" si="20"/>
        <v>1.3023969007016003</v>
      </c>
      <c r="AO8" s="73">
        <f t="shared" si="21"/>
        <v>0.26420633658087517</v>
      </c>
      <c r="AP8" s="81">
        <v>0.4208059706607985</v>
      </c>
      <c r="AQ8" s="73">
        <f t="shared" si="22"/>
        <v>1.0520149266519963</v>
      </c>
      <c r="AR8" s="73">
        <f t="shared" si="23"/>
        <v>5.0707303047553637E-2</v>
      </c>
      <c r="AS8" s="73">
        <v>0.52137957042962946</v>
      </c>
      <c r="AT8" s="73">
        <f t="shared" si="24"/>
        <v>1.3034489260740736</v>
      </c>
      <c r="AU8" s="73">
        <f t="shared" si="25"/>
        <v>0.26501377147884131</v>
      </c>
      <c r="AZ8" t="b">
        <f t="shared" si="0"/>
        <v>0</v>
      </c>
      <c r="BA8"/>
      <c r="BB8" t="b">
        <f t="shared" si="1"/>
        <v>1</v>
      </c>
      <c r="BC8"/>
      <c r="BD8" t="b">
        <f t="shared" si="2"/>
        <v>1</v>
      </c>
      <c r="BF8" s="49"/>
    </row>
    <row r="9" spans="1:58" s="1" customFormat="1" ht="12" customHeight="1">
      <c r="A9" s="85" t="s">
        <v>91</v>
      </c>
      <c r="B9" s="43">
        <f>'[5]Dados de entrada'!$B$28</f>
        <v>10</v>
      </c>
      <c r="C9" s="43">
        <f>'[5]Dados de entrada'!$B$31</f>
        <v>8</v>
      </c>
      <c r="D9" s="43">
        <f>'[5]Dados de entrada'!$B$32</f>
        <v>87.7</v>
      </c>
      <c r="E9" s="44">
        <f>'[5]Dados de entrada'!$B$27</f>
        <v>4.1311267633290143</v>
      </c>
      <c r="F9" s="43">
        <f>'[5]Dados de entrada'!$B$30</f>
        <v>25</v>
      </c>
      <c r="G9" s="43">
        <f>'[5]Dados de entrada'!$B$22</f>
        <v>53</v>
      </c>
      <c r="H9" s="45">
        <f>'[5]Dados de entrada'!$B$29/(2*'[5]Dados de entrada'!$B$20*G9)</f>
        <v>1.9235481499632442E-2</v>
      </c>
      <c r="I9" s="26" cm="1">
        <f t="array" ref="I9:I11">'[5]fib Model Code 2010'!$K$5:$K$7</f>
        <v>322.91971563781163</v>
      </c>
      <c r="J9" s="68" cm="1">
        <f t="array" ref="J9:J11">'[5]Dados de entrada'!$C$7:$C$9</f>
        <v>0.16</v>
      </c>
      <c r="K9" s="68" cm="1">
        <f t="array" ref="K9:K11">'[5]fib Model Code 2010'!$L$5:$L$7</f>
        <v>0.17110696370812956</v>
      </c>
      <c r="L9" s="68">
        <f t="shared" ref="L9:L40" si="26">K9/J9</f>
        <v>1.0694185231758098</v>
      </c>
      <c r="M9" s="68" cm="1">
        <f t="array" ref="M9:M11">LN(L9:L11)</f>
        <v>6.7115064474509101E-2</v>
      </c>
      <c r="N9" s="68" cm="1">
        <f t="array" ref="N9:N11">'[5]fib Model Code 2020'!$L$5:$L$7</f>
        <v>0.13580672680659342</v>
      </c>
      <c r="O9" s="68">
        <f t="shared" ref="O9:O27" si="27">N9/J9</f>
        <v>0.84879204254120888</v>
      </c>
      <c r="P9" s="68" cm="1">
        <f t="array" ref="P9:P11">LN(O9:O11)</f>
        <v>-0.16394106667775923</v>
      </c>
      <c r="Q9" s="68" cm="1">
        <f t="array" ref="Q9:Q11">'[5]Eurocode 2'!$L$5:$L$7</f>
        <v>0.18936618884976517</v>
      </c>
      <c r="R9" s="68">
        <f t="shared" ref="R9:R72" si="28">Q9/J9</f>
        <v>1.1835386803110322</v>
      </c>
      <c r="S9" s="68" cm="1">
        <f t="array" ref="S9:S11">LN(R9:R11)</f>
        <v>0.16850883242137513</v>
      </c>
      <c r="T9" s="68" cm="1">
        <f t="array" ref="T9:T11">'[5]NBR 6118'!$Q$5:$Q$7</f>
        <v>0.2432137981836999</v>
      </c>
      <c r="U9" s="68" cm="1">
        <f t="array" ref="U9:U11">'[5]NBR 6118'!$R$5:$R$7</f>
        <v>0.1448495333689632</v>
      </c>
      <c r="V9" s="68" cm="1">
        <f t="array" ref="V9:V11">'[5]NBR 6118'!$W$5:$W$7</f>
        <v>0.90530958355601998</v>
      </c>
      <c r="W9" s="68" cm="1">
        <f t="array" ref="W9:W11">LN(V9:V11)</f>
        <v>-9.9478312501300972E-2</v>
      </c>
      <c r="X9" s="68" cm="1">
        <f t="array" ref="X9:X11">'[5]Clark (1956)'!$L$5:$L$7</f>
        <v>0.18168753501004353</v>
      </c>
      <c r="Y9" s="68">
        <f t="shared" ref="Y9:Y72" si="29">X9/J9</f>
        <v>1.1355470938127721</v>
      </c>
      <c r="Z9" s="68" cm="1">
        <f t="array" ref="Z9:Z11">LN(Y9:Y11)</f>
        <v>0.12711455577898725</v>
      </c>
      <c r="AA9" s="68" cm="1">
        <f t="array" ref="AA9:AA11">'[5]Leonhardt (1977)'!$L$5:$L$7</f>
        <v>0.25673146221285098</v>
      </c>
      <c r="AB9" s="68">
        <f t="shared" ref="AB9:AB55" si="30">AA9/J9</f>
        <v>1.6045716388303186</v>
      </c>
      <c r="AC9" s="68" cm="1">
        <f t="array" ref="AC9:AC11">LN(AB9:AB11)</f>
        <v>0.47285682926554706</v>
      </c>
      <c r="AD9" s="68" cm="1">
        <f t="array" ref="AD9:AD11">'[5]Desayi; Ganesan (1985)'!$L$5:$L$7</f>
        <v>0.26529737942563375</v>
      </c>
      <c r="AE9" s="68">
        <f t="shared" ref="AE9:AE72" si="31">AD9/J9</f>
        <v>1.658108621410211</v>
      </c>
      <c r="AF9" s="68" cm="1">
        <f t="array" ref="AF9:AF11">LN(AE9:AE11)</f>
        <v>0.50567756808359843</v>
      </c>
      <c r="AG9" s="68" cm="1">
        <f t="array" ref="AG9:AG11">'[5]Oh; Kang (1987)'!$L$5:$L$7</f>
        <v>0.10483022583657002</v>
      </c>
      <c r="AH9" s="68">
        <f t="shared" ref="AH9:AH72" si="32">AG9/J9</f>
        <v>0.65518891147856262</v>
      </c>
      <c r="AI9" s="68" cm="1">
        <f t="array" ref="AI9:AI11">LN(AH9:AH11)</f>
        <v>-0.4228316704592554</v>
      </c>
      <c r="AJ9" s="68" cm="1">
        <f t="array" ref="AJ9:AJ11">'[5]Caldas (1997)'!$L$5:$L$7</f>
        <v>0.25496881340038491</v>
      </c>
      <c r="AK9" s="68">
        <f t="shared" ref="AK9:AK72" si="33">AJ9/J9</f>
        <v>1.5935550837524057</v>
      </c>
      <c r="AL9" s="68" cm="1">
        <f t="array" ref="AL9:AL11">LN(AK9:AK11)</f>
        <v>0.46596742205464925</v>
      </c>
      <c r="AM9" s="68" cm="1">
        <f t="array" ref="AM9:AM11">'[5]Gergely e Lutz (1968)'!$L$5:$L$7</f>
        <v>0.18984252639749352</v>
      </c>
      <c r="AN9" s="68">
        <f t="shared" ref="AN9:AN72" si="34">AM9/J9</f>
        <v>1.1865157899843344</v>
      </c>
      <c r="AO9" s="68" cm="1">
        <f t="array" ref="AO9:AO11">LN(AN9:AN11)</f>
        <v>0.17102110484081012</v>
      </c>
      <c r="AP9" s="82" cm="1">
        <f t="array" ref="AP9:AP11">[5]Sugestão!$N$5:$N$7</f>
        <v>0.22051936594500704</v>
      </c>
      <c r="AQ9" s="68">
        <f t="shared" ref="AQ9:AQ72" si="35">AP9/J9</f>
        <v>1.3782460371562939</v>
      </c>
      <c r="AR9" s="68" cm="1">
        <f t="array" ref="AR9:AR11">LN(AQ9:AQ11)</f>
        <v>0.32081170321147001</v>
      </c>
      <c r="AS9" s="68" cm="1">
        <f t="array" ref="AS9:AS11">'[5]fib Model Code 2020 modificado'!$L$5:$L$7</f>
        <v>0.17131099106952305</v>
      </c>
      <c r="AT9" s="68">
        <f t="shared" ref="AT9:AT72" si="36">AS9/J9</f>
        <v>1.0706936941845191</v>
      </c>
      <c r="AU9" s="68" cm="1">
        <f t="array" ref="AU9:AU11">LN(AT9:AT11)</f>
        <v>6.8306750732148189E-2</v>
      </c>
      <c r="AZ9" t="b">
        <f t="shared" si="0"/>
        <v>1</v>
      </c>
      <c r="BA9"/>
      <c r="BB9" t="b">
        <f t="shared" si="1"/>
        <v>0</v>
      </c>
      <c r="BC9"/>
      <c r="BD9" t="b">
        <f t="shared" si="2"/>
        <v>1</v>
      </c>
      <c r="BF9" s="49"/>
    </row>
    <row r="10" spans="1:58" s="1" customFormat="1">
      <c r="A10" s="90"/>
      <c r="B10" s="43">
        <f>'[5]Dados de entrada'!$B$28</f>
        <v>10</v>
      </c>
      <c r="C10" s="43">
        <f>'[5]Dados de entrada'!$B$31</f>
        <v>8</v>
      </c>
      <c r="D10" s="43">
        <f>'[5]Dados de entrada'!$B$32</f>
        <v>87.7</v>
      </c>
      <c r="E10" s="44">
        <f>'[5]Dados de entrada'!$B$27</f>
        <v>4.1311267633290143</v>
      </c>
      <c r="F10" s="43">
        <f>'[5]Dados de entrada'!$B$30</f>
        <v>25</v>
      </c>
      <c r="G10" s="43">
        <f>'[5]Dados de entrada'!$B$22</f>
        <v>53</v>
      </c>
      <c r="H10" s="45">
        <f>'[5]Dados de entrada'!$B$29/(2*'[5]Dados de entrada'!$B$20*G10)</f>
        <v>1.9235481499632442E-2</v>
      </c>
      <c r="I10" s="26">
        <v>367.82093324078352</v>
      </c>
      <c r="J10" s="67">
        <v>0.18</v>
      </c>
      <c r="K10" s="68">
        <v>0.22285815917347976</v>
      </c>
      <c r="L10" s="68">
        <f t="shared" si="26"/>
        <v>1.2381008842971097</v>
      </c>
      <c r="M10" s="68">
        <v>0.21357866068147988</v>
      </c>
      <c r="N10" s="68">
        <v>0.17995415539612394</v>
      </c>
      <c r="O10" s="68">
        <f t="shared" si="27"/>
        <v>0.99974530775624415</v>
      </c>
      <c r="P10" s="68">
        <v>-2.5472468333355381E-4</v>
      </c>
      <c r="Q10" s="68">
        <v>0.21569710653744678</v>
      </c>
      <c r="R10" s="68">
        <f t="shared" si="28"/>
        <v>1.1983172585413711</v>
      </c>
      <c r="S10" s="68">
        <v>0.18091828812399974</v>
      </c>
      <c r="T10" s="68">
        <v>0.2770320977406715</v>
      </c>
      <c r="U10" s="68">
        <v>0.18793205453378584</v>
      </c>
      <c r="V10" s="68">
        <v>1.0440669696321436</v>
      </c>
      <c r="W10" s="68">
        <v>4.3123634560331761E-2</v>
      </c>
      <c r="X10" s="68">
        <v>0.21973648361278203</v>
      </c>
      <c r="Y10" s="68">
        <f t="shared" si="29"/>
        <v>1.2207582422932335</v>
      </c>
      <c r="Z10" s="68">
        <v>0.1994721757641858</v>
      </c>
      <c r="AA10" s="68">
        <v>0.30109270048343972</v>
      </c>
      <c r="AB10" s="68">
        <f t="shared" si="30"/>
        <v>1.6727372249079986</v>
      </c>
      <c r="AC10" s="68">
        <v>0.51446134147213018</v>
      </c>
      <c r="AD10" s="68">
        <v>0.30218634837434094</v>
      </c>
      <c r="AE10" s="68">
        <f t="shared" si="31"/>
        <v>1.6788130465241164</v>
      </c>
      <c r="AF10" s="68">
        <v>0.51808702378622307</v>
      </c>
      <c r="AG10" s="68">
        <v>0.12146747139241644</v>
      </c>
      <c r="AH10" s="68">
        <f t="shared" si="32"/>
        <v>0.67481928551342474</v>
      </c>
      <c r="AI10" s="68">
        <v>-0.39331034911968382</v>
      </c>
      <c r="AJ10" s="68">
        <v>0.29679813828389767</v>
      </c>
      <c r="AK10" s="68">
        <f t="shared" si="33"/>
        <v>1.6488785460216537</v>
      </c>
      <c r="AL10" s="68">
        <v>0.50009538775496487</v>
      </c>
      <c r="AM10" s="68">
        <v>0.21623967768704974</v>
      </c>
      <c r="AN10" s="68">
        <f t="shared" si="34"/>
        <v>1.201331542705832</v>
      </c>
      <c r="AO10" s="68">
        <v>0.18343056054343473</v>
      </c>
      <c r="AP10" s="82">
        <v>0.29328843636092294</v>
      </c>
      <c r="AQ10" s="68">
        <f t="shared" si="35"/>
        <v>1.6293802020051276</v>
      </c>
      <c r="AR10" s="68">
        <v>0.48819969833889248</v>
      </c>
      <c r="AS10" s="68">
        <v>0.22225377502577889</v>
      </c>
      <c r="AT10" s="68">
        <f t="shared" si="36"/>
        <v>1.2347431945876606</v>
      </c>
      <c r="AU10" s="68">
        <v>0.21086300885237019</v>
      </c>
      <c r="AZ10" t="b">
        <f t="shared" si="0"/>
        <v>1</v>
      </c>
      <c r="BA10"/>
      <c r="BB10" t="b">
        <f t="shared" si="1"/>
        <v>0</v>
      </c>
      <c r="BC10"/>
      <c r="BD10" t="b">
        <f t="shared" si="2"/>
        <v>1</v>
      </c>
      <c r="BF10" s="49"/>
    </row>
    <row r="11" spans="1:58" s="1" customFormat="1">
      <c r="A11" s="86"/>
      <c r="B11" s="43">
        <f>'[5]Dados de entrada'!$B$28</f>
        <v>10</v>
      </c>
      <c r="C11" s="43">
        <f>'[5]Dados de entrada'!$B$31</f>
        <v>8</v>
      </c>
      <c r="D11" s="43">
        <f>'[5]Dados de entrada'!$B$32</f>
        <v>87.7</v>
      </c>
      <c r="E11" s="44">
        <f>'[5]Dados de entrada'!$B$27</f>
        <v>4.1311267633290143</v>
      </c>
      <c r="F11" s="43">
        <f>'[5]Dados de entrada'!$B$30</f>
        <v>25</v>
      </c>
      <c r="G11" s="43">
        <f>'[5]Dados de entrada'!$B$22</f>
        <v>53</v>
      </c>
      <c r="H11" s="45">
        <f>'[5]Dados de entrada'!$B$29/(2*'[5]Dados de entrada'!$B$20*G11)</f>
        <v>1.9235481499632442E-2</v>
      </c>
      <c r="I11" s="26">
        <v>500</v>
      </c>
      <c r="J11" s="67">
        <v>0.26</v>
      </c>
      <c r="K11" s="68">
        <v>0.37520201721244406</v>
      </c>
      <c r="L11" s="68">
        <f t="shared" si="26"/>
        <v>1.4430846815863232</v>
      </c>
      <c r="M11" s="68">
        <v>0.36678296246787828</v>
      </c>
      <c r="N11" s="68">
        <v>0.30991423715562322</v>
      </c>
      <c r="O11" s="68">
        <f t="shared" si="27"/>
        <v>1.1919778352139354</v>
      </c>
      <c r="P11" s="68">
        <v>0.17561397385109423</v>
      </c>
      <c r="Q11" s="68">
        <v>0.318170216250936</v>
      </c>
      <c r="R11" s="68">
        <f t="shared" si="28"/>
        <v>1.2237316009651384</v>
      </c>
      <c r="S11" s="68">
        <v>0.20190487978746371</v>
      </c>
      <c r="T11" s="68">
        <v>0.36304860082717388</v>
      </c>
      <c r="U11" s="68">
        <v>0.32275294604101767</v>
      </c>
      <c r="V11" s="68">
        <v>1.2413574847731448</v>
      </c>
      <c r="W11" s="68">
        <v>0.21620552660455364</v>
      </c>
      <c r="X11" s="68">
        <v>0.33174401449868146</v>
      </c>
      <c r="Y11" s="68">
        <f t="shared" si="29"/>
        <v>1.275938517302621</v>
      </c>
      <c r="Z11" s="68">
        <v>0.24368199982959998</v>
      </c>
      <c r="AA11" s="68">
        <v>0.42745968973439941</v>
      </c>
      <c r="AB11" s="68">
        <f t="shared" si="30"/>
        <v>1.64407572974769</v>
      </c>
      <c r="AC11" s="68">
        <v>0.49717835989647224</v>
      </c>
      <c r="AD11" s="68">
        <v>0.41077916054402924</v>
      </c>
      <c r="AE11" s="68">
        <f t="shared" si="31"/>
        <v>1.5799198482462662</v>
      </c>
      <c r="AF11" s="68">
        <v>0.45737411679405893</v>
      </c>
      <c r="AG11" s="68">
        <v>0.17044377333729177</v>
      </c>
      <c r="AH11" s="68">
        <f t="shared" si="32"/>
        <v>0.65555297437419913</v>
      </c>
      <c r="AI11" s="68">
        <v>-0.42227616382758665</v>
      </c>
      <c r="AJ11" s="68">
        <v>0.43772597472228192</v>
      </c>
      <c r="AK11" s="68">
        <f t="shared" si="33"/>
        <v>1.6835614412395459</v>
      </c>
      <c r="AL11" s="68">
        <v>0.52091145508581083</v>
      </c>
      <c r="AM11" s="68">
        <v>0.30517473532265971</v>
      </c>
      <c r="AN11" s="68">
        <f t="shared" si="34"/>
        <v>1.1737489820102296</v>
      </c>
      <c r="AO11" s="68">
        <v>0.1602028842430305</v>
      </c>
      <c r="AP11" s="82">
        <v>0.49160614061620145</v>
      </c>
      <c r="AQ11" s="68">
        <f t="shared" si="35"/>
        <v>1.8907928485238517</v>
      </c>
      <c r="AR11" s="68">
        <v>0.6369962376809295</v>
      </c>
      <c r="AS11" s="68">
        <v>0.37485186351740063</v>
      </c>
      <c r="AT11" s="68">
        <f t="shared" si="36"/>
        <v>1.4417379366053871</v>
      </c>
      <c r="AU11" s="68">
        <v>0.3658492862894685</v>
      </c>
      <c r="AZ11" t="b">
        <f t="shared" si="0"/>
        <v>1</v>
      </c>
      <c r="BA11"/>
      <c r="BB11" t="b">
        <f t="shared" si="1"/>
        <v>0</v>
      </c>
      <c r="BC11"/>
      <c r="BD11" t="b">
        <f t="shared" si="2"/>
        <v>1</v>
      </c>
      <c r="BF11" s="49"/>
    </row>
    <row r="12" spans="1:58">
      <c r="A12" s="93" t="s">
        <v>9</v>
      </c>
      <c r="B12" s="37">
        <f>'[6]Dados de entrada'!$B$28</f>
        <v>10</v>
      </c>
      <c r="C12" s="37">
        <f>'[6]Dados de entrada'!$B$31</f>
        <v>4</v>
      </c>
      <c r="D12" s="41">
        <f>'[6]Leonhardt (1977)'!$B$27</f>
        <v>32.466666666666669</v>
      </c>
      <c r="E12" s="41">
        <f>'[6]Dados de entrada'!$B$27</f>
        <v>3.262</v>
      </c>
      <c r="F12" s="37">
        <f>'[6]Dados de entrada'!$B$30</f>
        <v>25</v>
      </c>
      <c r="G12" s="37">
        <f>'[6]Dados de entrada'!$B$22</f>
        <v>36</v>
      </c>
      <c r="H12" s="42">
        <f>'[6]Dados de entrada'!$B$29/('[6]Dados de entrada'!$B$20*2*G12)</f>
        <v>2.1805555555555557E-2</v>
      </c>
      <c r="I12" s="25">
        <f>'[6]fib Model Code 2010'!$K$5</f>
        <v>285.04803218471648</v>
      </c>
      <c r="J12" s="4">
        <f>'[6]Dados de entrada'!$C$7</f>
        <v>0.16</v>
      </c>
      <c r="K12" s="11">
        <f>'[6]fib Model Code 2010'!$L$5</f>
        <v>0.16007091811290758</v>
      </c>
      <c r="L12" s="11">
        <f t="shared" si="26"/>
        <v>1.0004432382056723</v>
      </c>
      <c r="M12" s="11">
        <f>LN(L12)</f>
        <v>4.4314000463534838E-4</v>
      </c>
      <c r="N12" s="11">
        <f>'[6]fib Model Code 2020'!$L$5</f>
        <v>0.13868029025440845</v>
      </c>
      <c r="O12" s="11">
        <f t="shared" si="27"/>
        <v>0.86675181409005275</v>
      </c>
      <c r="P12" s="11">
        <f>LN(O12)</f>
        <v>-0.14300260143961246</v>
      </c>
      <c r="Q12" s="11">
        <f>'[6]Eurocode 2'!$L$5</f>
        <v>0.1485932826557089</v>
      </c>
      <c r="R12" s="11">
        <f t="shared" si="28"/>
        <v>0.92870801659818059</v>
      </c>
      <c r="S12" s="11">
        <f>LN(R12)</f>
        <v>-7.3960888173060277E-2</v>
      </c>
      <c r="T12" s="11">
        <f>'[6]NBR 6118'!$Q$5</f>
        <v>0.18440399789461248</v>
      </c>
      <c r="U12" s="11">
        <f>'[6]NBR 6118'!$R$5</f>
        <v>0.13403771715746998</v>
      </c>
      <c r="V12" s="11">
        <f>'[6]NBR 6118'!$W$5</f>
        <v>0.8377357322341874</v>
      </c>
      <c r="W12" s="11">
        <f>LN(V12)</f>
        <v>-0.1770525835641342</v>
      </c>
      <c r="X12" s="11">
        <f>'[6]Clark (1956)'!$L$5</f>
        <v>0.1060172840918551</v>
      </c>
      <c r="Y12" s="11">
        <f t="shared" si="29"/>
        <v>0.66260802557409437</v>
      </c>
      <c r="Z12" s="11">
        <f>LN(Y12)</f>
        <v>-0.41157167694385305</v>
      </c>
      <c r="AA12" s="11">
        <f>'[6]Leonhardt (1977)'!$L$5</f>
        <v>0.22216282542619536</v>
      </c>
      <c r="AB12" s="11">
        <f t="shared" si="30"/>
        <v>1.3885176589137209</v>
      </c>
      <c r="AC12" s="11">
        <f>LN(AB12)</f>
        <v>0.32823674566275751</v>
      </c>
      <c r="AD12" s="11">
        <f>'[6]Desayi; Ganesan (1985)'!$L$5</f>
        <v>0.16892962653245996</v>
      </c>
      <c r="AE12" s="11">
        <f t="shared" si="31"/>
        <v>1.0558101658278747</v>
      </c>
      <c r="AF12" s="11">
        <f>LN(AE12)</f>
        <v>5.430840191555638E-2</v>
      </c>
      <c r="AG12" s="11">
        <f>'[6]Oh; Kang (1987)'!$L$5</f>
        <v>0.11084938491756892</v>
      </c>
      <c r="AH12" s="11">
        <f t="shared" si="32"/>
        <v>0.69280865573480577</v>
      </c>
      <c r="AI12" s="11">
        <f>LN(AH12)</f>
        <v>-0.36700142796841723</v>
      </c>
      <c r="AJ12" s="11">
        <f>'[6]Caldas (1997)'!$L$5</f>
        <v>0.21176098535955973</v>
      </c>
      <c r="AK12" s="11">
        <f t="shared" si="33"/>
        <v>1.3235061584972483</v>
      </c>
      <c r="AL12" s="11">
        <f>LN(AK12)</f>
        <v>0.2802843958644069</v>
      </c>
      <c r="AM12" s="11" cm="1">
        <f t="array" ref="AM12:AM21">'[6]Gergely e Lutz (1968)'!$L$5:$L$14</f>
        <v>0.1708750527360991</v>
      </c>
      <c r="AN12" s="11">
        <f t="shared" si="34"/>
        <v>1.0679690796006194</v>
      </c>
      <c r="AO12" s="11">
        <f>LN(AN12)</f>
        <v>6.5758788434081658E-2</v>
      </c>
      <c r="AP12" s="11" cm="1">
        <f t="array" ref="AP12:AP21">[6]Sugestão!$N$5:$N$14</f>
        <v>0.16724728494892779</v>
      </c>
      <c r="AQ12" s="11">
        <f t="shared" si="35"/>
        <v>1.0452955309307987</v>
      </c>
      <c r="AR12" s="11">
        <f>LN(AQ12)</f>
        <v>4.4299650153525466E-2</v>
      </c>
      <c r="AS12" s="11" cm="1">
        <f t="array" ref="AS12:AS21">'[6]fib Model Code 2020 modificado'!$L$5:$L$14</f>
        <v>0.17212596418336307</v>
      </c>
      <c r="AT12" s="11">
        <f t="shared" si="36"/>
        <v>1.0757872761460192</v>
      </c>
      <c r="AU12" s="11">
        <f>LN(AT12)</f>
        <v>7.3052743445566157E-2</v>
      </c>
      <c r="AZ12" t="b">
        <f t="shared" si="0"/>
        <v>1</v>
      </c>
      <c r="BB12" t="b">
        <f t="shared" si="1"/>
        <v>0</v>
      </c>
      <c r="BD12" t="b">
        <f t="shared" si="2"/>
        <v>1</v>
      </c>
    </row>
    <row r="13" spans="1:58">
      <c r="A13" s="93"/>
      <c r="B13" s="37">
        <f>B16</f>
        <v>10</v>
      </c>
      <c r="C13" s="37">
        <f>'[6]Dados de entrada'!$B$31</f>
        <v>4</v>
      </c>
      <c r="D13" s="41">
        <f>'[6]Leonhardt (1977)'!$B$27</f>
        <v>32.466666666666669</v>
      </c>
      <c r="E13" s="41">
        <f>'[6]Dados de entrada'!$B$27</f>
        <v>3.262</v>
      </c>
      <c r="F13" s="37">
        <f>'[6]Dados de entrada'!$B$30</f>
        <v>25</v>
      </c>
      <c r="G13" s="37">
        <f>'[6]Dados de entrada'!$B$22</f>
        <v>36</v>
      </c>
      <c r="H13" s="42">
        <f>'[6]Dados de entrada'!$B$29/('[6]Dados de entrada'!$B$20*2*G13)</f>
        <v>2.1805555555555557E-2</v>
      </c>
      <c r="I13" s="25">
        <f>'[6]fib Model Code 2010'!$K$6</f>
        <v>324.99964614446418</v>
      </c>
      <c r="J13" s="4">
        <f>'[6]Dados de entrada'!$C$8</f>
        <v>0.2</v>
      </c>
      <c r="K13" s="11">
        <f>'[6]fib Model Code 2010'!$L$6</f>
        <v>0.19987712128481272</v>
      </c>
      <c r="L13" s="11">
        <f t="shared" si="26"/>
        <v>0.9993856064240636</v>
      </c>
      <c r="M13" s="11">
        <f t="shared" ref="M13:M76" si="37">LN(L13)</f>
        <v>-6.1458239301210302E-4</v>
      </c>
      <c r="N13" s="11">
        <f>'[6]fib Model Code 2020'!$L$6</f>
        <v>0.17212891101716857</v>
      </c>
      <c r="O13" s="11">
        <f t="shared" si="27"/>
        <v>0.86064455508584281</v>
      </c>
      <c r="P13" s="11">
        <f t="shared" ref="P13:P76" si="38">LN(O13)</f>
        <v>-0.15007368779849881</v>
      </c>
      <c r="Q13" s="11">
        <f>'[6]Eurocode 2'!$L$6</f>
        <v>0.17429163285246455</v>
      </c>
      <c r="R13" s="11">
        <f t="shared" si="28"/>
        <v>0.8714581642623227</v>
      </c>
      <c r="S13" s="11">
        <f t="shared" ref="S13:S76" si="39">LN(R13)</f>
        <v>-0.13758741946309053</v>
      </c>
      <c r="T13" s="11">
        <f>'[6]NBR 6118'!$Q$6</f>
        <v>0.21024959759952672</v>
      </c>
      <c r="U13" s="11">
        <f>'[6]NBR 6118'!$R$6</f>
        <v>0.17424354747035525</v>
      </c>
      <c r="V13" s="11">
        <f>'[6]NBR 6118'!$W$6</f>
        <v>0.87121773735177621</v>
      </c>
      <c r="W13" s="11">
        <f t="shared" ref="W13:W76" si="40">LN(V13)</f>
        <v>-0.13786334789229443</v>
      </c>
      <c r="X13" s="11">
        <f>'[6]Clark (1956)'!$L$6</f>
        <v>0.1358817516989633</v>
      </c>
      <c r="Y13" s="11">
        <f t="shared" si="29"/>
        <v>0.67940875849481641</v>
      </c>
      <c r="Z13" s="11">
        <f t="shared" ref="Z13:Z76" si="41">LN(Y13)</f>
        <v>-0.38653233182444691</v>
      </c>
      <c r="AA13" s="11">
        <f>'[6]Leonhardt (1977)'!$L$6</f>
        <v>0.2698880415363058</v>
      </c>
      <c r="AB13" s="11">
        <f t="shared" si="30"/>
        <v>1.3494402076815288</v>
      </c>
      <c r="AC13" s="11">
        <f t="shared" ref="AC13:AC55" si="42">LN(AB13)</f>
        <v>0.29968984547805649</v>
      </c>
      <c r="AD13" s="11">
        <f>'[6]Desayi; Ganesan (1985)'!$L$6</f>
        <v>0.1926063773377969</v>
      </c>
      <c r="AE13" s="11">
        <f t="shared" si="31"/>
        <v>0.96303188668898443</v>
      </c>
      <c r="AF13" s="11">
        <f t="shared" ref="AF13:AF76" si="43">LN(AE13)</f>
        <v>-3.7668755905628501E-2</v>
      </c>
      <c r="AG13" s="11">
        <f>'[6]Oh; Kang (1987)'!$L$6</f>
        <v>0.1290705233242212</v>
      </c>
      <c r="AH13" s="11">
        <f t="shared" si="32"/>
        <v>0.64535261662110599</v>
      </c>
      <c r="AI13" s="11">
        <f t="shared" ref="AI13:AI76" si="44">LN(AH13)</f>
        <v>-0.43795841913240952</v>
      </c>
      <c r="AJ13" s="11">
        <f>'[6]Caldas (1997)'!$L$6</f>
        <v>0.2466862096623729</v>
      </c>
      <c r="AK13" s="11">
        <f t="shared" si="33"/>
        <v>1.2334310483118645</v>
      </c>
      <c r="AL13" s="11">
        <f t="shared" ref="AL13:AL76" si="45">LN(AK13)</f>
        <v>0.20979975620463942</v>
      </c>
      <c r="AM13" s="11">
        <v>0.19482446957627678</v>
      </c>
      <c r="AN13" s="11">
        <f t="shared" si="34"/>
        <v>0.97412234788138385</v>
      </c>
      <c r="AO13" s="11">
        <f t="shared" ref="AO13:AO76" si="46">LN(AN13)</f>
        <v>-2.6218369387103369E-2</v>
      </c>
      <c r="AP13" s="11">
        <v>0.21404081084914578</v>
      </c>
      <c r="AQ13" s="11">
        <f t="shared" si="35"/>
        <v>1.0702040542457287</v>
      </c>
      <c r="AR13" s="11">
        <f t="shared" ref="AR13:AR76" si="47">LN(AQ13)</f>
        <v>6.7849335194496638E-2</v>
      </c>
      <c r="AS13" s="11">
        <v>0.21216296832064094</v>
      </c>
      <c r="AT13" s="11">
        <f t="shared" si="36"/>
        <v>1.0608148416032046</v>
      </c>
      <c r="AU13" s="11">
        <f t="shared" ref="AU13:AU76" si="48">LN(AT13)</f>
        <v>5.9037331304835711E-2</v>
      </c>
      <c r="AZ13" t="b">
        <f t="shared" si="0"/>
        <v>1</v>
      </c>
      <c r="BB13" t="b">
        <f t="shared" si="1"/>
        <v>0</v>
      </c>
      <c r="BD13" t="b">
        <f t="shared" si="2"/>
        <v>1</v>
      </c>
    </row>
    <row r="14" spans="1:58">
      <c r="A14" s="93"/>
      <c r="B14" s="37">
        <f>'Sem outliers'!$B$16</f>
        <v>10</v>
      </c>
      <c r="C14" s="37">
        <f>'[6]Dados de entrada'!$B$31</f>
        <v>4</v>
      </c>
      <c r="D14" s="41">
        <f>'[6]Leonhardt (1977)'!$B$27</f>
        <v>32.466666666666669</v>
      </c>
      <c r="E14" s="41">
        <f>'[6]Dados de entrada'!$B$27</f>
        <v>3.262</v>
      </c>
      <c r="F14" s="37">
        <f>'[6]Dados de entrada'!$B$30</f>
        <v>25</v>
      </c>
      <c r="G14" s="37">
        <f>'[6]Dados de entrada'!$B$22</f>
        <v>36</v>
      </c>
      <c r="H14" s="42">
        <f>'[6]Dados de entrada'!$B$29/('[6]Dados de entrada'!$B$20*2*G14)</f>
        <v>2.1805555555555557E-2</v>
      </c>
      <c r="I14" s="25">
        <f>'[6]fib Model Code 2010'!$K$7</f>
        <v>367.6446273374533</v>
      </c>
      <c r="J14" s="4">
        <f>'[6]Dados de entrada'!$C$9</f>
        <v>0.2</v>
      </c>
      <c r="K14" s="11">
        <f>'[6]fib Model Code 2010'!$L$7</f>
        <v>0.24236688871549797</v>
      </c>
      <c r="L14" s="11">
        <f t="shared" si="26"/>
        <v>1.2118344435774897</v>
      </c>
      <c r="M14" s="11">
        <f t="shared" si="37"/>
        <v>0.19213528060846424</v>
      </c>
      <c r="N14" s="11">
        <f>'[6]fib Model Code 2020'!$L$7</f>
        <v>0.2078324949774181</v>
      </c>
      <c r="O14" s="11">
        <f t="shared" si="27"/>
        <v>1.0391624748870905</v>
      </c>
      <c r="P14" s="11">
        <f t="shared" si="38"/>
        <v>3.841507610632109E-2</v>
      </c>
      <c r="Q14" s="11">
        <f>'[6]Eurocode 2'!$L$7</f>
        <v>0.21134245136241825</v>
      </c>
      <c r="R14" s="11">
        <f t="shared" si="28"/>
        <v>1.0567122568120912</v>
      </c>
      <c r="S14" s="11">
        <f t="shared" si="39"/>
        <v>5.5162443538385987E-2</v>
      </c>
      <c r="T14" s="11">
        <f>'[6]NBR 6118'!$Q$7</f>
        <v>0.23783759728454748</v>
      </c>
      <c r="U14" s="11">
        <f>'[6]NBR 6118'!$R$7</f>
        <v>0.22297048347265605</v>
      </c>
      <c r="V14" s="11">
        <f>'[6]NBR 6118'!$W$7</f>
        <v>1.1148524173632801</v>
      </c>
      <c r="W14" s="11">
        <f t="shared" si="40"/>
        <v>0.10872203504241161</v>
      </c>
      <c r="X14" s="11">
        <f>'[6]Clark (1956)'!$L$7</f>
        <v>0.16775955420093275</v>
      </c>
      <c r="Y14" s="11">
        <f t="shared" si="29"/>
        <v>0.83879777100466368</v>
      </c>
      <c r="Z14" s="11">
        <f t="shared" si="41"/>
        <v>-0.17578563732001112</v>
      </c>
      <c r="AA14" s="11">
        <f>'[6]Leonhardt (1977)'!$L$7</f>
        <v>0.31897202344812936</v>
      </c>
      <c r="AB14" s="11">
        <f t="shared" si="30"/>
        <v>1.5948601172406467</v>
      </c>
      <c r="AC14" s="11">
        <f t="shared" si="42"/>
        <v>0.46678603160130561</v>
      </c>
      <c r="AD14" s="11">
        <f>'[6]Desayi; Ganesan (1985)'!$L$7</f>
        <v>0.21787931359068463</v>
      </c>
      <c r="AE14" s="11">
        <f t="shared" si="31"/>
        <v>1.089396567953423</v>
      </c>
      <c r="AF14" s="11">
        <f t="shared" si="43"/>
        <v>8.5623935561724554E-2</v>
      </c>
      <c r="AG14" s="11">
        <f>'[6]Oh; Kang (1987)'!$L$7</f>
        <v>0.14852005308413091</v>
      </c>
      <c r="AH14" s="11">
        <f t="shared" si="32"/>
        <v>0.74260026542065449</v>
      </c>
      <c r="AI14" s="11">
        <f t="shared" si="44"/>
        <v>-0.29759737981846374</v>
      </c>
      <c r="AJ14" s="11">
        <f>'[6]Caldas (1997)'!$L$7</f>
        <v>0.28396594346874648</v>
      </c>
      <c r="AK14" s="11">
        <f t="shared" si="33"/>
        <v>1.4198297173437324</v>
      </c>
      <c r="AL14" s="11">
        <f t="shared" si="45"/>
        <v>0.35053694705893873</v>
      </c>
      <c r="AM14" s="11">
        <v>0.2203884538438822</v>
      </c>
      <c r="AN14" s="11">
        <f t="shared" si="34"/>
        <v>1.101942269219411</v>
      </c>
      <c r="AO14" s="11">
        <f t="shared" si="46"/>
        <v>9.7074322080249895E-2</v>
      </c>
      <c r="AP14" s="11">
        <v>0.26398895647297405</v>
      </c>
      <c r="AQ14" s="11">
        <f t="shared" si="35"/>
        <v>1.3199447823648702</v>
      </c>
      <c r="AR14" s="11">
        <f t="shared" si="47"/>
        <v>0.27758990418155116</v>
      </c>
      <c r="AS14" s="11">
        <v>0.25541471835064256</v>
      </c>
      <c r="AT14" s="11">
        <f t="shared" si="36"/>
        <v>1.2770735917532128</v>
      </c>
      <c r="AU14" s="11">
        <f t="shared" si="48"/>
        <v>0.24457120401422253</v>
      </c>
      <c r="AZ14" t="b">
        <f t="shared" si="0"/>
        <v>1</v>
      </c>
      <c r="BB14" t="b">
        <f t="shared" si="1"/>
        <v>0</v>
      </c>
      <c r="BD14" t="b">
        <f t="shared" si="2"/>
        <v>1</v>
      </c>
    </row>
    <row r="15" spans="1:58">
      <c r="A15" s="93"/>
      <c r="B15" s="37">
        <f>'[6]Dados de entrada'!$B$28</f>
        <v>10</v>
      </c>
      <c r="C15" s="37">
        <f>'[6]Dados de entrada'!$B$31</f>
        <v>4</v>
      </c>
      <c r="D15" s="41">
        <f>'[6]Leonhardt (1977)'!$B$27</f>
        <v>32.466666666666669</v>
      </c>
      <c r="E15" s="41">
        <f>'[6]Dados de entrada'!$B$27</f>
        <v>3.262</v>
      </c>
      <c r="F15" s="37">
        <f>'[6]Dados de entrada'!$B$30</f>
        <v>25</v>
      </c>
      <c r="G15" s="37">
        <f>'[6]Dados de entrada'!$B$22</f>
        <v>36</v>
      </c>
      <c r="H15" s="42">
        <f>'[6]Dados de entrada'!$B$29/('[6]Dados de entrada'!$B$20*2*G15)</f>
        <v>2.1805555555555557E-2</v>
      </c>
      <c r="I15" s="25">
        <f>'[6]fib Model Code 2010'!$K$8</f>
        <v>410.73850306931587</v>
      </c>
      <c r="J15" s="4">
        <f>'[6]Dados de entrada'!$C$10</f>
        <v>0.24</v>
      </c>
      <c r="K15" s="11">
        <f>'[6]fib Model Code 2010'!$L$8</f>
        <v>0.28530391685597978</v>
      </c>
      <c r="L15" s="11">
        <f t="shared" si="26"/>
        <v>1.188766320233249</v>
      </c>
      <c r="M15" s="11">
        <f t="shared" si="37"/>
        <v>0.17291606368606077</v>
      </c>
      <c r="N15" s="11">
        <f>'[6]fib Model Code 2020'!$L$8</f>
        <v>0.24391190613724908</v>
      </c>
      <c r="O15" s="11">
        <f t="shared" si="27"/>
        <v>1.0162996089052045</v>
      </c>
      <c r="P15" s="11">
        <f t="shared" si="38"/>
        <v>1.6168196339315963E-2</v>
      </c>
      <c r="Q15" s="11">
        <f>'[6]Eurocode 2'!$L$8</f>
        <v>0.24878327848826612</v>
      </c>
      <c r="R15" s="11">
        <f t="shared" si="28"/>
        <v>1.0365969937011088</v>
      </c>
      <c r="S15" s="11">
        <f t="shared" si="39"/>
        <v>3.5943226615982565E-2</v>
      </c>
      <c r="T15" s="11">
        <f>'[6]NBR 6118'!$Q$8</f>
        <v>0.26571599696625259</v>
      </c>
      <c r="U15" s="11">
        <f>'[6]NBR 6118'!$R$8</f>
        <v>0.27830548142392658</v>
      </c>
      <c r="V15" s="11">
        <f>'[6]NBR 6118'!$W$8</f>
        <v>1.1071499873593857</v>
      </c>
      <c r="W15" s="11">
        <f t="shared" si="40"/>
        <v>0.10178913448477857</v>
      </c>
      <c r="X15" s="11">
        <f>'[6]Clark (1956)'!$L$8</f>
        <v>0.1999729125187123</v>
      </c>
      <c r="Y15" s="11">
        <f t="shared" si="29"/>
        <v>0.83322046882796796</v>
      </c>
      <c r="Z15" s="11">
        <f t="shared" si="41"/>
        <v>-0.1824570033728668</v>
      </c>
      <c r="AA15" s="11">
        <f>'[6]Leonhardt (1977)'!$L$8</f>
        <v>0.36721961962806549</v>
      </c>
      <c r="AB15" s="11">
        <f t="shared" si="30"/>
        <v>1.5300817484502729</v>
      </c>
      <c r="AC15" s="11">
        <f t="shared" si="42"/>
        <v>0.42532116433664874</v>
      </c>
      <c r="AD15" s="11">
        <f>'[6]Desayi; Ganesan (1985)'!$L$8</f>
        <v>0.24341828075149743</v>
      </c>
      <c r="AE15" s="11">
        <f t="shared" si="31"/>
        <v>1.0142428364645726</v>
      </c>
      <c r="AF15" s="11">
        <f t="shared" si="43"/>
        <v>1.4142360190221718E-2</v>
      </c>
      <c r="AG15" s="11">
        <f>'[6]Oh; Kang (1987)'!$L$8</f>
        <v>0.16817431473625016</v>
      </c>
      <c r="AH15" s="11">
        <f t="shared" si="32"/>
        <v>0.70072631140104236</v>
      </c>
      <c r="AI15" s="11">
        <f t="shared" si="44"/>
        <v>-0.3556378941450295</v>
      </c>
      <c r="AJ15" s="11">
        <f>'[6]Caldas (1997)'!$L$8</f>
        <v>0.32163809552571332</v>
      </c>
      <c r="AK15" s="11">
        <f t="shared" si="33"/>
        <v>1.3401587313571388</v>
      </c>
      <c r="AL15" s="11">
        <f t="shared" si="45"/>
        <v>0.29278806318410477</v>
      </c>
      <c r="AM15" s="11">
        <v>0.24622153268272548</v>
      </c>
      <c r="AN15" s="11">
        <f t="shared" si="34"/>
        <v>1.0259230528446894</v>
      </c>
      <c r="AO15" s="11">
        <f t="shared" si="46"/>
        <v>2.5592746708746901E-2</v>
      </c>
      <c r="AP15" s="11">
        <v>0.31446287205073714</v>
      </c>
      <c r="AQ15" s="11">
        <f t="shared" si="35"/>
        <v>1.3102619668780715</v>
      </c>
      <c r="AR15" s="11">
        <f t="shared" si="47"/>
        <v>0.270227091936867</v>
      </c>
      <c r="AS15" s="11">
        <v>0.29966262211823425</v>
      </c>
      <c r="AT15" s="11">
        <f t="shared" si="36"/>
        <v>1.248594258825976</v>
      </c>
      <c r="AU15" s="11">
        <f t="shared" si="48"/>
        <v>0.22201832554585646</v>
      </c>
      <c r="AZ15" t="b">
        <f t="shared" si="0"/>
        <v>1</v>
      </c>
      <c r="BB15" t="b">
        <f t="shared" si="1"/>
        <v>0</v>
      </c>
      <c r="BD15" t="b">
        <f t="shared" si="2"/>
        <v>1</v>
      </c>
    </row>
    <row r="16" spans="1:58">
      <c r="A16" s="93"/>
      <c r="B16" s="37">
        <f>'[6]Dados de entrada'!$B$28</f>
        <v>10</v>
      </c>
      <c r="C16" s="37">
        <f>'[6]Dados de entrada'!$B$31</f>
        <v>4</v>
      </c>
      <c r="D16" s="41">
        <f>'[6]Leonhardt (1977)'!$B$27</f>
        <v>32.466666666666669</v>
      </c>
      <c r="E16" s="41">
        <f>'[6]Dados de entrada'!$B$27</f>
        <v>3.262</v>
      </c>
      <c r="F16" s="37">
        <f>'[6]Dados de entrada'!$B$30</f>
        <v>25</v>
      </c>
      <c r="G16" s="37">
        <f>'[6]Dados de entrada'!$B$22</f>
        <v>36</v>
      </c>
      <c r="H16" s="42">
        <f>'[6]Dados de entrada'!$B$29/('[6]Dados de entrada'!$B$20*2*G16)</f>
        <v>2.1805555555555557E-2</v>
      </c>
      <c r="I16" s="25">
        <f>'[6]fib Model Code 2010'!$K$9</f>
        <v>438.56996447947728</v>
      </c>
      <c r="J16" s="4">
        <f>'[6]Dados de entrada'!$C$11</f>
        <v>0.3</v>
      </c>
      <c r="K16" s="11">
        <f>'[6]fib Model Code 2010'!$L$9</f>
        <v>0.31303408086337448</v>
      </c>
      <c r="L16" s="11">
        <f t="shared" si="26"/>
        <v>1.0434469362112484</v>
      </c>
      <c r="M16" s="11">
        <f t="shared" si="37"/>
        <v>4.2529594503982512E-2</v>
      </c>
      <c r="N16" s="11">
        <f>'[6]fib Model Code 2020'!$L$9</f>
        <v>0.26721319251130676</v>
      </c>
      <c r="O16" s="11">
        <f t="shared" si="27"/>
        <v>0.89071064170435588</v>
      </c>
      <c r="P16" s="11">
        <f t="shared" si="38"/>
        <v>-0.11573566104146704</v>
      </c>
      <c r="Q16" s="11">
        <f>'[6]Eurocode 2'!$L$9</f>
        <v>0.27296381267370967</v>
      </c>
      <c r="R16" s="11">
        <f t="shared" si="28"/>
        <v>0.90987937557903231</v>
      </c>
      <c r="S16" s="11">
        <f t="shared" si="39"/>
        <v>-9.4443242566095847E-2</v>
      </c>
      <c r="T16" s="11">
        <f>'[6]NBR 6118'!$Q$9</f>
        <v>0.28372079676068723</v>
      </c>
      <c r="U16" s="11">
        <f>'[6]NBR 6118'!$R$9</f>
        <v>0.31729899713708887</v>
      </c>
      <c r="V16" s="11">
        <f>'[6]NBR 6118'!$W$9</f>
        <v>0.94573598920229085</v>
      </c>
      <c r="W16" s="11">
        <f t="shared" si="40"/>
        <v>-5.5791830062169492E-2</v>
      </c>
      <c r="X16" s="11">
        <f>'[6]Clark (1956)'!$L$9</f>
        <v>0.22077737309894505</v>
      </c>
      <c r="Y16" s="11">
        <f t="shared" si="29"/>
        <v>0.7359245769964835</v>
      </c>
      <c r="Z16" s="11">
        <f t="shared" si="41"/>
        <v>-0.30662764241132956</v>
      </c>
      <c r="AA16" s="11">
        <f>'[6]Leonhardt (1977)'!$L$9</f>
        <v>0.39784384604502626</v>
      </c>
      <c r="AB16" s="11">
        <f t="shared" si="30"/>
        <v>1.3261461534834209</v>
      </c>
      <c r="AC16" s="11">
        <f t="shared" si="42"/>
        <v>0.28227710701962633</v>
      </c>
      <c r="AD16" s="11">
        <f>'[6]Desayi; Ganesan (1985)'!$L$9</f>
        <v>0.25991219704285579</v>
      </c>
      <c r="AE16" s="11">
        <f t="shared" si="31"/>
        <v>0.86637399014285266</v>
      </c>
      <c r="AF16" s="11">
        <f t="shared" si="43"/>
        <v>-0.14343860435672628</v>
      </c>
      <c r="AG16" s="11">
        <f>'[6]Oh; Kang (1987)'!$L$9</f>
        <v>0.18086769205324393</v>
      </c>
      <c r="AH16" s="11">
        <f t="shared" si="32"/>
        <v>0.60289230684414652</v>
      </c>
      <c r="AI16" s="11">
        <f t="shared" si="44"/>
        <v>-0.50601669382006165</v>
      </c>
      <c r="AJ16" s="11">
        <f>'[6]Caldas (1997)'!$L$9</f>
        <v>0.34596802706250462</v>
      </c>
      <c r="AK16" s="11">
        <f t="shared" si="33"/>
        <v>1.1532267568750154</v>
      </c>
      <c r="AL16" s="11">
        <f t="shared" si="45"/>
        <v>0.14256388879790083</v>
      </c>
      <c r="AM16" s="11">
        <v>0.26290539609947855</v>
      </c>
      <c r="AN16" s="11">
        <f t="shared" si="34"/>
        <v>0.87635132033159524</v>
      </c>
      <c r="AO16" s="11">
        <f t="shared" si="46"/>
        <v>-0.13198821783820094</v>
      </c>
      <c r="AP16" s="11">
        <v>0.34706060919470938</v>
      </c>
      <c r="AQ16" s="11">
        <f t="shared" si="35"/>
        <v>1.1568686973156981</v>
      </c>
      <c r="AR16" s="11">
        <f t="shared" si="47"/>
        <v>0.14571695630545584</v>
      </c>
      <c r="AS16" s="11">
        <v>0.32852835401607444</v>
      </c>
      <c r="AT16" s="11">
        <f t="shared" si="36"/>
        <v>1.0950945133869148</v>
      </c>
      <c r="AU16" s="11">
        <f t="shared" si="48"/>
        <v>9.0840673139016059E-2</v>
      </c>
      <c r="AZ16" t="b">
        <f t="shared" si="0"/>
        <v>1</v>
      </c>
      <c r="BB16" t="b">
        <f t="shared" si="1"/>
        <v>0</v>
      </c>
      <c r="BD16" t="b">
        <f t="shared" si="2"/>
        <v>1</v>
      </c>
    </row>
    <row r="17" spans="1:56">
      <c r="A17" s="93"/>
      <c r="B17" s="37">
        <f>'[6]Dados de entrada'!$B$28</f>
        <v>10</v>
      </c>
      <c r="C17" s="37">
        <f>'[6]Dados de entrada'!$B$31</f>
        <v>4</v>
      </c>
      <c r="D17" s="41">
        <f>'[6]Leonhardt (1977)'!$B$27</f>
        <v>32.466666666666669</v>
      </c>
      <c r="E17" s="41">
        <f>'[6]Dados de entrada'!$B$27</f>
        <v>3.262</v>
      </c>
      <c r="F17" s="37">
        <f>'[6]Dados de entrada'!$B$30</f>
        <v>25</v>
      </c>
      <c r="G17" s="37">
        <f>'[6]Dados de entrada'!$B$22</f>
        <v>36</v>
      </c>
      <c r="H17" s="42">
        <f>'[6]Dados de entrada'!$B$29/('[6]Dados de entrada'!$B$20*2*G17)</f>
        <v>2.1805555555555557E-2</v>
      </c>
      <c r="I17" s="25">
        <f>'[6]fib Model Code 2010'!$K$10</f>
        <v>498.27293814966185</v>
      </c>
      <c r="J17" s="4">
        <f>'[6]Dados de entrada'!$C$12</f>
        <v>0.32</v>
      </c>
      <c r="K17" s="11">
        <f>'[6]fib Model Code 2010'!$L$10</f>
        <v>0.37251975526633363</v>
      </c>
      <c r="L17" s="11">
        <f t="shared" si="26"/>
        <v>1.1641242352072925</v>
      </c>
      <c r="M17" s="11">
        <f t="shared" si="37"/>
        <v>0.15196907489161118</v>
      </c>
      <c r="N17" s="11">
        <f>'[6]fib Model Code 2020'!$L$10</f>
        <v>0.31719821005565602</v>
      </c>
      <c r="O17" s="11">
        <f t="shared" si="27"/>
        <v>0.99124440642392508</v>
      </c>
      <c r="P17" s="11">
        <f t="shared" si="38"/>
        <v>-8.7941490009049005E-3</v>
      </c>
      <c r="Q17" s="11">
        <f>'[6]Eurocode 2'!$L$10</f>
        <v>0.32483495858764466</v>
      </c>
      <c r="R17" s="11">
        <f t="shared" si="28"/>
        <v>1.0151092455863895</v>
      </c>
      <c r="S17" s="11">
        <f t="shared" si="39"/>
        <v>1.4996237821532837E-2</v>
      </c>
      <c r="T17" s="11">
        <f>'[6]NBR 6118'!$Q$10</f>
        <v>0.32234399631971627</v>
      </c>
      <c r="U17" s="11">
        <f>'[6]NBR 6118'!$R$10</f>
        <v>0.4095675399831824</v>
      </c>
      <c r="V17" s="11">
        <f>'[6]NBR 6118'!$W$10</f>
        <v>1.0073249884991133</v>
      </c>
      <c r="W17" s="11">
        <f t="shared" si="40"/>
        <v>7.2982910638562286E-3</v>
      </c>
      <c r="X17" s="11">
        <f>'[6]Clark (1956)'!$L$10</f>
        <v>0.26540629660170212</v>
      </c>
      <c r="Y17" s="11">
        <f t="shared" si="29"/>
        <v>0.82939467688031909</v>
      </c>
      <c r="Z17" s="11">
        <f t="shared" si="41"/>
        <v>-0.18705914922720235</v>
      </c>
      <c r="AA17" s="11">
        <f>'[6]Leonhardt (1977)'!$L$10</f>
        <v>0.46249133747939219</v>
      </c>
      <c r="AB17" s="11">
        <f t="shared" si="30"/>
        <v>1.4452854296231006</v>
      </c>
      <c r="AC17" s="11">
        <f t="shared" si="42"/>
        <v>0.36830683120901608</v>
      </c>
      <c r="AD17" s="11">
        <f>'[6]Desayi; Ganesan (1985)'!$L$10</f>
        <v>0.29529430779689847</v>
      </c>
      <c r="AE17" s="11">
        <f t="shared" si="31"/>
        <v>0.9227947118653077</v>
      </c>
      <c r="AF17" s="11">
        <f t="shared" si="43"/>
        <v>-8.034848323070086E-2</v>
      </c>
      <c r="AG17" s="11">
        <f>'[6]Oh; Kang (1987)'!$L$10</f>
        <v>0.20809703371711741</v>
      </c>
      <c r="AH17" s="11">
        <f t="shared" si="32"/>
        <v>0.65030323036599191</v>
      </c>
      <c r="AI17" s="11">
        <f t="shared" si="44"/>
        <v>-0.43031651661822801</v>
      </c>
      <c r="AJ17" s="11">
        <f>'[6]Caldas (1997)'!$L$10</f>
        <v>0.39815965439142748</v>
      </c>
      <c r="AK17" s="11">
        <f t="shared" si="33"/>
        <v>1.2442489199732107</v>
      </c>
      <c r="AL17" s="11">
        <f t="shared" si="45"/>
        <v>0.2185320707418526</v>
      </c>
      <c r="AM17" s="11">
        <v>0.29869497407412599</v>
      </c>
      <c r="AN17" s="11">
        <f t="shared" si="34"/>
        <v>0.93342179398164371</v>
      </c>
      <c r="AO17" s="11">
        <f t="shared" si="46"/>
        <v>-6.8898096712175477E-2</v>
      </c>
      <c r="AP17" s="11">
        <v>0.4169880130680686</v>
      </c>
      <c r="AQ17" s="11">
        <f t="shared" si="35"/>
        <v>1.3030875408377143</v>
      </c>
      <c r="AR17" s="11">
        <f t="shared" si="47"/>
        <v>0.26473647995174204</v>
      </c>
      <c r="AS17" s="11">
        <v>0.39121503084686815</v>
      </c>
      <c r="AT17" s="11">
        <f t="shared" si="36"/>
        <v>1.222546971396463</v>
      </c>
      <c r="AU17" s="11">
        <f t="shared" si="48"/>
        <v>0.20093636403896278</v>
      </c>
      <c r="AZ17" t="b">
        <f t="shared" si="0"/>
        <v>1</v>
      </c>
      <c r="BB17" t="b">
        <f t="shared" si="1"/>
        <v>0</v>
      </c>
      <c r="BD17" t="b">
        <f t="shared" si="2"/>
        <v>1</v>
      </c>
    </row>
    <row r="18" spans="1:56">
      <c r="A18" s="93"/>
      <c r="B18" s="37">
        <f>'[6]Dados de entrada'!$B$28</f>
        <v>10</v>
      </c>
      <c r="C18" s="37">
        <f>'[6]Dados de entrada'!$B$31</f>
        <v>4</v>
      </c>
      <c r="D18" s="41">
        <f>'[6]Leonhardt (1977)'!$B$27</f>
        <v>32.466666666666669</v>
      </c>
      <c r="E18" s="41">
        <f>'[6]Dados de entrada'!$B$27</f>
        <v>3.262</v>
      </c>
      <c r="F18" s="37">
        <f>'[6]Dados de entrada'!$B$30</f>
        <v>25</v>
      </c>
      <c r="G18" s="37">
        <f>'[6]Dados de entrada'!$B$22</f>
        <v>36</v>
      </c>
      <c r="H18" s="42">
        <f>'[6]Dados de entrada'!$B$29/('[6]Dados de entrada'!$B$20*2*G18)</f>
        <v>2.1805555555555557E-2</v>
      </c>
      <c r="I18" s="25">
        <f>'[6]fib Model Code 2010'!$K$11</f>
        <v>502.76188353839768</v>
      </c>
      <c r="J18" s="4">
        <f>'[6]Dados de entrada'!$C$13</f>
        <v>0.38</v>
      </c>
      <c r="K18" s="11">
        <f>'[6]fib Model Code 2010'!$L$11</f>
        <v>0.37699236236430061</v>
      </c>
      <c r="L18" s="11">
        <f t="shared" si="26"/>
        <v>0.99208516411658054</v>
      </c>
      <c r="M18" s="11">
        <f t="shared" si="37"/>
        <v>-7.9463244582716076E-3</v>
      </c>
      <c r="N18" s="11">
        <f>'[6]fib Model Code 2020'!$L$11</f>
        <v>0.32095648205147187</v>
      </c>
      <c r="O18" s="11">
        <f t="shared" si="27"/>
        <v>0.84462232118808389</v>
      </c>
      <c r="P18" s="11">
        <f t="shared" si="38"/>
        <v>-0.16886570871395903</v>
      </c>
      <c r="Q18" s="11">
        <f>'[6]Eurocode 2'!$L$11</f>
        <v>0.32873504474658727</v>
      </c>
      <c r="R18" s="11">
        <f t="shared" si="28"/>
        <v>0.8650922230173349</v>
      </c>
      <c r="S18" s="11">
        <f t="shared" si="39"/>
        <v>-0.14491916152834994</v>
      </c>
      <c r="T18" s="11">
        <f>'[6]NBR 6118'!$Q$11</f>
        <v>0.32524799628656048</v>
      </c>
      <c r="U18" s="11">
        <f>'[6]NBR 6118'!$R$11</f>
        <v>0.4169803767185325</v>
      </c>
      <c r="V18" s="11">
        <f>'[6]NBR 6118'!$W$11</f>
        <v>0.85591577970147492</v>
      </c>
      <c r="W18" s="11">
        <f t="shared" si="40"/>
        <v>-0.15558329588004285</v>
      </c>
      <c r="X18" s="11">
        <f>'[6]Clark (1956)'!$L$11</f>
        <v>0.26876185475980424</v>
      </c>
      <c r="Y18" s="11">
        <f t="shared" si="29"/>
        <v>0.70726803884159006</v>
      </c>
      <c r="Z18" s="11">
        <f t="shared" si="41"/>
        <v>-0.34634556351725349</v>
      </c>
      <c r="AA18" s="11">
        <f>'[6]Leonhardt (1977)'!$L$11</f>
        <v>0.46730491473949903</v>
      </c>
      <c r="AB18" s="11">
        <f t="shared" si="30"/>
        <v>1.2297497756302607</v>
      </c>
      <c r="AC18" s="11">
        <f t="shared" si="42"/>
        <v>0.20681071424178962</v>
      </c>
      <c r="AD18" s="11">
        <f>'[6]Desayi; Ganesan (1985)'!$L$11</f>
        <v>0.29795461687614988</v>
      </c>
      <c r="AE18" s="11">
        <f t="shared" si="31"/>
        <v>0.78409109704249969</v>
      </c>
      <c r="AF18" s="11">
        <f t="shared" si="43"/>
        <v>-0.24323007017459941</v>
      </c>
      <c r="AG18" s="11">
        <f>'[6]Oh; Kang (1987)'!$L$11</f>
        <v>0.21014435263921324</v>
      </c>
      <c r="AH18" s="11">
        <f t="shared" si="32"/>
        <v>0.55301145431371901</v>
      </c>
      <c r="AI18" s="11">
        <f t="shared" si="44"/>
        <v>-0.59237656462961452</v>
      </c>
      <c r="AJ18" s="11">
        <f>'[6]Caldas (1997)'!$L$11</f>
        <v>0.40208383689736166</v>
      </c>
      <c r="AK18" s="11">
        <f t="shared" si="33"/>
        <v>1.0581153602562148</v>
      </c>
      <c r="AL18" s="11">
        <f t="shared" si="45"/>
        <v>5.6489363651090897E-2</v>
      </c>
      <c r="AM18" s="11">
        <v>0.30138591978650559</v>
      </c>
      <c r="AN18" s="11">
        <f t="shared" si="34"/>
        <v>0.79312084154343576</v>
      </c>
      <c r="AO18" s="11">
        <f t="shared" si="46"/>
        <v>-0.23177968365607399</v>
      </c>
      <c r="AP18" s="11">
        <v>0.42092646353136287</v>
      </c>
      <c r="AQ18" s="11">
        <f t="shared" si="35"/>
        <v>1.1077012198193759</v>
      </c>
      <c r="AR18" s="11">
        <f t="shared" si="47"/>
        <v>0.10228689475832184</v>
      </c>
      <c r="AS18" s="11">
        <v>0.39597049671190993</v>
      </c>
      <c r="AT18" s="11">
        <f t="shared" si="36"/>
        <v>1.0420276229260788</v>
      </c>
      <c r="AU18" s="11">
        <f t="shared" si="48"/>
        <v>4.1168452505791188E-2</v>
      </c>
      <c r="AZ18" t="b">
        <f t="shared" si="0"/>
        <v>1</v>
      </c>
      <c r="BB18" t="b">
        <f t="shared" si="1"/>
        <v>0</v>
      </c>
      <c r="BD18" t="b">
        <f t="shared" si="2"/>
        <v>1</v>
      </c>
    </row>
    <row r="19" spans="1:56">
      <c r="A19" s="93"/>
      <c r="B19" s="37">
        <f>'[6]Dados de entrada'!$B$28</f>
        <v>10</v>
      </c>
      <c r="C19" s="37">
        <f>'[6]Dados de entrada'!$B$31</f>
        <v>4</v>
      </c>
      <c r="D19" s="41">
        <f>'[6]Leonhardt (1977)'!$B$27</f>
        <v>32.466666666666669</v>
      </c>
      <c r="E19" s="41">
        <f>'[6]Dados de entrada'!$B$27</f>
        <v>3.262</v>
      </c>
      <c r="F19" s="37">
        <f>'[6]Dados de entrada'!$B$30</f>
        <v>25</v>
      </c>
      <c r="G19" s="37">
        <f>'[6]Dados de entrada'!$B$22</f>
        <v>36</v>
      </c>
      <c r="H19" s="42">
        <f>'[6]Dados de entrada'!$B$29/('[6]Dados de entrada'!$B$20*2*G19)</f>
        <v>2.1805555555555557E-2</v>
      </c>
      <c r="I19" s="25">
        <f>'[6]fib Model Code 2010'!$K$12</f>
        <v>538.67344664828317</v>
      </c>
      <c r="J19" s="4">
        <f>'[6]Dados de entrada'!$C$14</f>
        <v>0.42</v>
      </c>
      <c r="K19" s="11">
        <f>'[6]fib Model Code 2010'!$L$12</f>
        <v>0.41277321914803544</v>
      </c>
      <c r="L19" s="11">
        <f t="shared" si="26"/>
        <v>0.98279337892389396</v>
      </c>
      <c r="M19" s="11">
        <f t="shared" si="37"/>
        <v>-1.7356375309481215E-2</v>
      </c>
      <c r="N19" s="11">
        <f>'[6]fib Model Code 2020'!$L$12</f>
        <v>0.35102265801799776</v>
      </c>
      <c r="O19" s="11">
        <f t="shared" si="27"/>
        <v>0.83576823337618522</v>
      </c>
      <c r="P19" s="11">
        <f t="shared" si="38"/>
        <v>-0.17940393713715932</v>
      </c>
      <c r="Q19" s="11">
        <f>'[6]Eurocode 2'!$L$12</f>
        <v>0.35993573401812712</v>
      </c>
      <c r="R19" s="11">
        <f t="shared" si="28"/>
        <v>0.85698984290030267</v>
      </c>
      <c r="S19" s="11">
        <f t="shared" si="39"/>
        <v>-0.1543292123795596</v>
      </c>
      <c r="T19" s="11">
        <f>'[6]NBR 6118'!$Q$12</f>
        <v>0.34847999602131496</v>
      </c>
      <c r="U19" s="11">
        <f>'[6]NBR 6118'!$R$12</f>
        <v>0.47867645286566257</v>
      </c>
      <c r="V19" s="11">
        <f>'[6]NBR 6118'!$W$12</f>
        <v>0.82971427624122618</v>
      </c>
      <c r="W19" s="11">
        <f t="shared" si="40"/>
        <v>-0.18667388295007337</v>
      </c>
      <c r="X19" s="11">
        <f>'[6]Clark (1956)'!$L$12</f>
        <v>0.29560632002462056</v>
      </c>
      <c r="Y19" s="11">
        <f t="shared" si="29"/>
        <v>0.7038245714871918</v>
      </c>
      <c r="Z19" s="11">
        <f t="shared" si="41"/>
        <v>-0.3512261421050607</v>
      </c>
      <c r="AA19" s="11">
        <f>'[6]Leonhardt (1977)'!$L$12</f>
        <v>0.50562030661839974</v>
      </c>
      <c r="AB19" s="11">
        <f t="shared" si="30"/>
        <v>1.2038578729009517</v>
      </c>
      <c r="AC19" s="11">
        <f t="shared" si="42"/>
        <v>0.18553129415535066</v>
      </c>
      <c r="AD19" s="11">
        <f>'[6]Desayi; Ganesan (1985)'!$L$12</f>
        <v>0.31923708951016055</v>
      </c>
      <c r="AE19" s="11">
        <f t="shared" si="31"/>
        <v>0.76008830835752517</v>
      </c>
      <c r="AF19" s="11">
        <f t="shared" si="43"/>
        <v>-0.27432065724463056</v>
      </c>
      <c r="AG19" s="11">
        <f>'[6]Oh; Kang (1987)'!$L$12</f>
        <v>0.2265229040159793</v>
      </c>
      <c r="AH19" s="11">
        <f t="shared" si="32"/>
        <v>0.53934024765709354</v>
      </c>
      <c r="AI19" s="11">
        <f t="shared" si="44"/>
        <v>-0.61740864998340561</v>
      </c>
      <c r="AJ19" s="11">
        <f>'[6]Caldas (1997)'!$L$12</f>
        <v>0.43347729694483406</v>
      </c>
      <c r="AK19" s="11">
        <f t="shared" si="33"/>
        <v>1.0320888022496049</v>
      </c>
      <c r="AL19" s="11">
        <f t="shared" si="45"/>
        <v>3.1584712048872282E-2</v>
      </c>
      <c r="AM19" s="11">
        <v>0.32291348548554166</v>
      </c>
      <c r="AN19" s="11">
        <f t="shared" si="34"/>
        <v>0.76884163210843259</v>
      </c>
      <c r="AO19" s="11">
        <f t="shared" si="46"/>
        <v>-0.26287027072610514</v>
      </c>
      <c r="AP19" s="11">
        <v>0.45099263949788876</v>
      </c>
      <c r="AQ19" s="11">
        <f t="shared" si="35"/>
        <v>1.073791998804497</v>
      </c>
      <c r="AR19" s="11">
        <f t="shared" si="47"/>
        <v>7.11963076882908E-2</v>
      </c>
      <c r="AS19" s="11">
        <v>0.43422660798760682</v>
      </c>
      <c r="AT19" s="11">
        <f t="shared" si="36"/>
        <v>1.0338728761609686</v>
      </c>
      <c r="AU19" s="11">
        <f t="shared" si="48"/>
        <v>3.3311824776553804E-2</v>
      </c>
      <c r="AZ19" t="b">
        <f t="shared" si="0"/>
        <v>1</v>
      </c>
      <c r="BB19" t="b">
        <f t="shared" si="1"/>
        <v>0</v>
      </c>
      <c r="BD19" t="b">
        <f t="shared" si="2"/>
        <v>1</v>
      </c>
    </row>
    <row r="20" spans="1:56">
      <c r="A20" s="93"/>
      <c r="B20" s="37">
        <f>'[6]Dados de entrada'!$B$28</f>
        <v>10</v>
      </c>
      <c r="C20" s="37">
        <f>'[6]Dados de entrada'!$B$31</f>
        <v>4</v>
      </c>
      <c r="D20" s="41">
        <f>'[6]Leonhardt (1977)'!$B$27</f>
        <v>32.466666666666669</v>
      </c>
      <c r="E20" s="41">
        <f>'[6]Dados de entrada'!$B$27</f>
        <v>3.262</v>
      </c>
      <c r="F20" s="37">
        <f>'[6]Dados de entrada'!$B$30</f>
        <v>25</v>
      </c>
      <c r="G20" s="37">
        <f>'[6]Dados de entrada'!$B$22</f>
        <v>36</v>
      </c>
      <c r="H20" s="42">
        <f>'[6]Dados de entrada'!$B$29/('[6]Dados de entrada'!$B$20*2*G20)</f>
        <v>2.1805555555555557E-2</v>
      </c>
      <c r="I20" s="25">
        <f>'[6]fib Model Code 2010'!$K$13</f>
        <v>628</v>
      </c>
      <c r="J20" s="4">
        <f>'[6]Dados de entrada'!$C$15</f>
        <v>0.44</v>
      </c>
      <c r="K20" s="11">
        <f>'[6]fib Model Code 2010'!$L$13</f>
        <v>0.50177465310629754</v>
      </c>
      <c r="L20" s="11">
        <f t="shared" si="26"/>
        <v>1.1403969388779489</v>
      </c>
      <c r="M20" s="11">
        <f t="shared" si="37"/>
        <v>0.13137639379983873</v>
      </c>
      <c r="N20" s="11">
        <f>'[6]fib Model Code 2020'!$L$13</f>
        <v>0.42580937402192115</v>
      </c>
      <c r="O20" s="11">
        <f t="shared" si="27"/>
        <v>0.96774857732254804</v>
      </c>
      <c r="P20" s="11">
        <f t="shared" si="38"/>
        <v>-3.2782959613243103E-2</v>
      </c>
      <c r="Q20" s="11">
        <f>'[6]Eurocode 2'!$L$13</f>
        <v>0.43754444256407587</v>
      </c>
      <c r="R20" s="11">
        <f t="shared" si="28"/>
        <v>0.99441918764562698</v>
      </c>
      <c r="S20" s="11">
        <f t="shared" si="39"/>
        <v>-5.5964432702396592E-3</v>
      </c>
      <c r="T20" s="11">
        <f>'[6]NBR 6118'!$Q$13</f>
        <v>0.39471097380685027</v>
      </c>
      <c r="U20" s="11">
        <f>'[6]NBR 6118'!$R$13</f>
        <v>0.61410800657888331</v>
      </c>
      <c r="V20" s="11">
        <f>'[6]NBR 6118'!$W$13</f>
        <v>0.89707039501556884</v>
      </c>
      <c r="W20" s="11">
        <f t="shared" si="40"/>
        <v>-0.10862094172437377</v>
      </c>
      <c r="X20" s="11">
        <f>'[6]Clark (1956)'!$L$13</f>
        <v>0.36237934105237524</v>
      </c>
      <c r="Y20" s="11">
        <f t="shared" si="29"/>
        <v>0.82358941148267095</v>
      </c>
      <c r="Z20" s="11">
        <f t="shared" si="41"/>
        <v>-0.1940831602944991</v>
      </c>
      <c r="AA20" s="11">
        <f>'[6]Leonhardt (1977)'!$L$13</f>
        <v>0.59974401046133252</v>
      </c>
      <c r="AB20" s="11">
        <f t="shared" si="30"/>
        <v>1.3630545692303011</v>
      </c>
      <c r="AC20" s="11">
        <f t="shared" si="42"/>
        <v>0.30972818803204794</v>
      </c>
      <c r="AD20" s="11">
        <f>'[6]Desayi; Ganesan (1985)'!$L$13</f>
        <v>0.37217518973657732</v>
      </c>
      <c r="AE20" s="11">
        <f t="shared" si="31"/>
        <v>0.84585270394676659</v>
      </c>
      <c r="AF20" s="11">
        <f t="shared" si="43"/>
        <v>-0.16741004334458073</v>
      </c>
      <c r="AG20" s="11">
        <f>'[6]Oh; Kang (1987)'!$L$13</f>
        <v>0.26726297258118725</v>
      </c>
      <c r="AH20" s="11">
        <f t="shared" si="32"/>
        <v>0.60741584677542559</v>
      </c>
      <c r="AI20" s="11">
        <f t="shared" si="44"/>
        <v>-0.49854163718920486</v>
      </c>
      <c r="AJ20" s="11">
        <f>'[6]Caldas (1997)'!$L$13</f>
        <v>0.51156550422349734</v>
      </c>
      <c r="AK20" s="11">
        <f t="shared" si="33"/>
        <v>1.1626488732352211</v>
      </c>
      <c r="AL20" s="11">
        <f t="shared" si="45"/>
        <v>0.1507009132780483</v>
      </c>
      <c r="AM20" s="11">
        <v>0.37646123109782298</v>
      </c>
      <c r="AN20" s="11">
        <f t="shared" si="34"/>
        <v>0.85559370704050675</v>
      </c>
      <c r="AO20" s="11">
        <f t="shared" si="46"/>
        <v>-0.1559596568260555</v>
      </c>
      <c r="AP20" s="11">
        <v>0.5257793555018121</v>
      </c>
      <c r="AQ20" s="11">
        <f t="shared" si="35"/>
        <v>1.1949530806859365</v>
      </c>
      <c r="AR20" s="11">
        <f t="shared" si="47"/>
        <v>0.17810692158834038</v>
      </c>
      <c r="AS20" s="11">
        <v>0.53102263920296899</v>
      </c>
      <c r="AT20" s="11">
        <f t="shared" si="36"/>
        <v>1.2068696345522023</v>
      </c>
      <c r="AU20" s="11">
        <f t="shared" si="48"/>
        <v>0.18802992845462471</v>
      </c>
      <c r="AZ20" t="b">
        <f t="shared" si="0"/>
        <v>1</v>
      </c>
      <c r="BB20" t="b">
        <f t="shared" si="1"/>
        <v>0</v>
      </c>
      <c r="BD20" t="b">
        <f t="shared" si="2"/>
        <v>1</v>
      </c>
    </row>
    <row r="21" spans="1:56">
      <c r="A21" s="93"/>
      <c r="B21" s="37">
        <f>'[6]Dados de entrada'!$B$28</f>
        <v>10</v>
      </c>
      <c r="C21" s="37">
        <f>'[6]Dados de entrada'!$B$31</f>
        <v>4</v>
      </c>
      <c r="D21" s="41">
        <f>'[6]Leonhardt (1977)'!$B$27</f>
        <v>32.466666666666669</v>
      </c>
      <c r="E21" s="41">
        <f>'[6]Dados de entrada'!$B$27</f>
        <v>3.262</v>
      </c>
      <c r="F21" s="37">
        <f>'[6]Dados de entrada'!$B$30</f>
        <v>25</v>
      </c>
      <c r="G21" s="37">
        <f>'[6]Dados de entrada'!$B$22</f>
        <v>36</v>
      </c>
      <c r="H21" s="42">
        <f>'[6]Dados de entrada'!$B$29/('[6]Dados de entrada'!$B$20*2*G21)</f>
        <v>2.1805555555555557E-2</v>
      </c>
      <c r="I21" s="25">
        <f>'[6]fib Model Code 2010'!$K$14</f>
        <v>628</v>
      </c>
      <c r="J21" s="4">
        <f>'[6]Dados de entrada'!$C$16</f>
        <v>0.5</v>
      </c>
      <c r="K21" s="11">
        <f>'[6]fib Model Code 2010'!$L$14</f>
        <v>0.50177465310629754</v>
      </c>
      <c r="L21" s="11">
        <f t="shared" si="26"/>
        <v>1.0035493062125951</v>
      </c>
      <c r="M21" s="11">
        <f t="shared" si="37"/>
        <v>3.5430222899538863E-3</v>
      </c>
      <c r="N21" s="11">
        <f>'[6]fib Model Code 2020'!$L$14</f>
        <v>0.42580937402192115</v>
      </c>
      <c r="O21" s="11">
        <f t="shared" si="27"/>
        <v>0.8516187480438423</v>
      </c>
      <c r="P21" s="11">
        <f t="shared" si="38"/>
        <v>-0.16061633112312798</v>
      </c>
      <c r="Q21" s="11">
        <f>'[6]Eurocode 2'!$L$14</f>
        <v>0.43754444256407587</v>
      </c>
      <c r="R21" s="11">
        <f t="shared" si="28"/>
        <v>0.87508888512815175</v>
      </c>
      <c r="S21" s="11">
        <f t="shared" si="39"/>
        <v>-0.13342981478012456</v>
      </c>
      <c r="T21" s="11">
        <f>'[6]NBR 6118'!$Q$14</f>
        <v>0.39471097380685027</v>
      </c>
      <c r="U21" s="11">
        <f>'[6]NBR 6118'!$R$14</f>
        <v>0.61410800657888331</v>
      </c>
      <c r="V21" s="11">
        <f>'[6]NBR 6118'!$W$14</f>
        <v>0.78942194761370055</v>
      </c>
      <c r="W21" s="11">
        <f t="shared" si="40"/>
        <v>-0.23645431323425872</v>
      </c>
      <c r="X21" s="11">
        <f>'[6]Clark (1956)'!$L$14</f>
        <v>0.36237934105237524</v>
      </c>
      <c r="Y21" s="11">
        <f t="shared" si="29"/>
        <v>0.72475868210475047</v>
      </c>
      <c r="Z21" s="11">
        <f t="shared" si="41"/>
        <v>-0.32191653180438395</v>
      </c>
      <c r="AA21" s="11">
        <f>'[6]Leonhardt (1977)'!$L$14</f>
        <v>0.59974401046133252</v>
      </c>
      <c r="AB21" s="11">
        <f t="shared" si="30"/>
        <v>1.199488020922665</v>
      </c>
      <c r="AC21" s="11">
        <f t="shared" si="42"/>
        <v>0.18189481652216308</v>
      </c>
      <c r="AD21" s="11">
        <f>'[6]Desayi; Ganesan (1985)'!$L$14</f>
        <v>0.37217518973657732</v>
      </c>
      <c r="AE21" s="11">
        <f t="shared" si="31"/>
        <v>0.74435037947315463</v>
      </c>
      <c r="AF21" s="11">
        <f t="shared" si="43"/>
        <v>-0.29524341485446559</v>
      </c>
      <c r="AG21" s="11">
        <f>'[6]Oh; Kang (1987)'!$L$14</f>
        <v>0.26726297258118725</v>
      </c>
      <c r="AH21" s="11">
        <f t="shared" si="32"/>
        <v>0.53452594516237451</v>
      </c>
      <c r="AI21" s="11">
        <f t="shared" si="44"/>
        <v>-0.6263750086990898</v>
      </c>
      <c r="AJ21" s="11">
        <f>'[6]Caldas (1997)'!$L$14</f>
        <v>0.51156550422349734</v>
      </c>
      <c r="AK21" s="11">
        <f t="shared" si="33"/>
        <v>1.0231310084469947</v>
      </c>
      <c r="AL21" s="11">
        <f t="shared" si="45"/>
        <v>2.2867541768163469E-2</v>
      </c>
      <c r="AM21" s="11">
        <v>0.37646123109782298</v>
      </c>
      <c r="AN21" s="11">
        <f t="shared" si="34"/>
        <v>0.75292246219564596</v>
      </c>
      <c r="AO21" s="11">
        <f t="shared" si="46"/>
        <v>-0.28379302833594039</v>
      </c>
      <c r="AP21" s="11">
        <v>0.5257793555018121</v>
      </c>
      <c r="AQ21" s="11">
        <f t="shared" si="35"/>
        <v>1.0515587110036242</v>
      </c>
      <c r="AR21" s="11">
        <f t="shared" si="47"/>
        <v>5.0273550078455527E-2</v>
      </c>
      <c r="AS21" s="11">
        <v>0.53102263920296899</v>
      </c>
      <c r="AT21" s="11">
        <f t="shared" si="36"/>
        <v>1.062045278405938</v>
      </c>
      <c r="AU21" s="11">
        <f t="shared" si="48"/>
        <v>6.0196556944739778E-2</v>
      </c>
      <c r="AZ21" t="b">
        <f t="shared" si="0"/>
        <v>1</v>
      </c>
      <c r="BB21" t="b">
        <f t="shared" si="1"/>
        <v>0</v>
      </c>
      <c r="BD21" t="b">
        <f t="shared" si="2"/>
        <v>1</v>
      </c>
    </row>
    <row r="22" spans="1:56">
      <c r="A22" s="85" t="s">
        <v>16</v>
      </c>
      <c r="B22" s="43">
        <f>'[7]Dados de entrada'!$B$26</f>
        <v>10</v>
      </c>
      <c r="C22" s="43">
        <f>'[7]Dados de entrada'!$B$29</f>
        <v>4</v>
      </c>
      <c r="D22" s="44">
        <f>'[7]Leonhardt (1977)'!$B$25</f>
        <v>32.466666666666669</v>
      </c>
      <c r="E22" s="44">
        <f>'[7]Dados de entrada'!$B$25</f>
        <v>3.5139999999999993</v>
      </c>
      <c r="F22" s="43">
        <f>'[7]Dados de entrada'!$B$28</f>
        <v>25</v>
      </c>
      <c r="G22" s="43">
        <f>'[7]Dados de entrada'!$B$20</f>
        <v>36</v>
      </c>
      <c r="H22" s="45">
        <f>'[7]Dados de entrada'!$B$27/(2*'[7]Dados de entrada'!$B$18*G22)</f>
        <v>2.1805555555555557E-2</v>
      </c>
      <c r="I22" s="26">
        <f>'[7]fib Model Code 2010'!$K$7</f>
        <v>321.47187644259361</v>
      </c>
      <c r="J22" s="19">
        <f>'[7]Dados de entrada'!$C$9</f>
        <v>0.24</v>
      </c>
      <c r="K22" s="20">
        <f>'[7]fib Model Code 2010'!$L$7</f>
        <v>0.18922989304623691</v>
      </c>
      <c r="L22" s="20">
        <f t="shared" si="26"/>
        <v>0.78845788769265379</v>
      </c>
      <c r="M22" s="20">
        <f t="shared" si="37"/>
        <v>-0.23767628213130265</v>
      </c>
      <c r="N22" s="20">
        <f>'[7]fib Model Code 2020'!$L$7</f>
        <v>0.16333872081928372</v>
      </c>
      <c r="O22" s="20">
        <f t="shared" si="27"/>
        <v>0.68057800341368213</v>
      </c>
      <c r="P22" s="20">
        <f t="shared" si="38"/>
        <v>-0.38481283684154943</v>
      </c>
      <c r="Q22" s="20">
        <f>'[7]Eurocode 2'!$L$7</f>
        <v>0.16758074432571601</v>
      </c>
      <c r="R22" s="20">
        <f t="shared" si="28"/>
        <v>0.69825310135715013</v>
      </c>
      <c r="S22" s="20">
        <f t="shared" si="39"/>
        <v>-0.35917363255246476</v>
      </c>
      <c r="T22" s="20">
        <f>'[7]NBR 6118'!$Q$7</f>
        <v>0.20908799761278896</v>
      </c>
      <c r="U22" s="20">
        <f>'[7]NBR 6118'!$R$7</f>
        <v>0.15996566082219832</v>
      </c>
      <c r="V22" s="20">
        <f>'[7]NBR 6118'!$W$7</f>
        <v>0.66652358675915968</v>
      </c>
      <c r="W22" s="20">
        <f t="shared" si="40"/>
        <v>-0.40567975100356307</v>
      </c>
      <c r="X22" s="20">
        <f>'[7]Clark (1956)'!$L$7</f>
        <v>0.13324468767213826</v>
      </c>
      <c r="Y22" s="20">
        <f t="shared" si="29"/>
        <v>0.5551861986339095</v>
      </c>
      <c r="Z22" s="20">
        <f t="shared" si="41"/>
        <v>-0.58845172846683524</v>
      </c>
      <c r="AA22" s="20">
        <f>'[7]Leonhardt (1977)'!$L$7</f>
        <v>0.26595117250432371</v>
      </c>
      <c r="AB22" s="20">
        <f t="shared" si="30"/>
        <v>1.1081298854346822</v>
      </c>
      <c r="AC22" s="20">
        <f t="shared" si="42"/>
        <v>0.10267380657631871</v>
      </c>
      <c r="AD22" s="20">
        <f>'[7]Desayi; Ganesan (1985)'!$L$7</f>
        <v>0.19995733054196627</v>
      </c>
      <c r="AE22" s="20">
        <f t="shared" si="31"/>
        <v>0.83315554392485947</v>
      </c>
      <c r="AF22" s="20">
        <f t="shared" si="43"/>
        <v>-0.18253492684589387</v>
      </c>
      <c r="AG22" s="20">
        <f>'[7]Oh; Kang (1987)'!$L$7</f>
        <v>0.12790720519573359</v>
      </c>
      <c r="AH22" s="20">
        <f t="shared" si="32"/>
        <v>0.53294668831555669</v>
      </c>
      <c r="AI22" s="20">
        <f t="shared" si="44"/>
        <v>-0.62933388174085103</v>
      </c>
      <c r="AJ22" s="20">
        <f>'[7]Caldas (1997)'!$L$7</f>
        <v>0.24360227547511745</v>
      </c>
      <c r="AK22" s="20">
        <f t="shared" si="33"/>
        <v>1.0150094811463228</v>
      </c>
      <c r="AL22" s="20">
        <f t="shared" si="45"/>
        <v>1.4897953480983432E-2</v>
      </c>
      <c r="AM22" s="20" cm="1">
        <f t="array" ref="AM22:AM27">'[7]Gergely e Lutz (1968)'!$L$7:$L$12</f>
        <v>0.19246157522098073</v>
      </c>
      <c r="AN22" s="20">
        <f t="shared" si="34"/>
        <v>0.80192323008741973</v>
      </c>
      <c r="AO22" s="20">
        <f t="shared" si="46"/>
        <v>-0.22074239878038707</v>
      </c>
      <c r="AP22" s="20" cm="1">
        <f t="array" ref="AP22:AP27">[7]Sugestão!$N$7:$N$12</f>
        <v>0.20633910593613325</v>
      </c>
      <c r="AQ22" s="20">
        <f t="shared" si="35"/>
        <v>0.85974627473388854</v>
      </c>
      <c r="AR22" s="20">
        <f t="shared" si="47"/>
        <v>-0.15111796264351221</v>
      </c>
      <c r="AS22" s="20" cm="1">
        <f t="array" ref="AS22:AS27">'[7]fib Model Code 2020 modificado'!$L$7:$L$12</f>
        <v>0.20031653478615891</v>
      </c>
      <c r="AT22" s="20">
        <f t="shared" si="36"/>
        <v>0.8346522282756621</v>
      </c>
      <c r="AU22" s="20">
        <f t="shared" si="48"/>
        <v>-0.18074013397165514</v>
      </c>
      <c r="AZ22" t="b">
        <f t="shared" si="0"/>
        <v>1</v>
      </c>
      <c r="BB22" t="b">
        <f t="shared" si="1"/>
        <v>0</v>
      </c>
      <c r="BD22" t="b">
        <f t="shared" si="2"/>
        <v>1</v>
      </c>
    </row>
    <row r="23" spans="1:56">
      <c r="A23" s="90"/>
      <c r="B23" s="43">
        <f>'[7]Dados de entrada'!$B$26</f>
        <v>10</v>
      </c>
      <c r="C23" s="43">
        <f>'[7]Dados de entrada'!$B$29</f>
        <v>4</v>
      </c>
      <c r="D23" s="44">
        <f>'[7]Leonhardt (1977)'!$B$25</f>
        <v>32.466666666666669</v>
      </c>
      <c r="E23" s="44">
        <f>'[7]Dados de entrada'!$B$25</f>
        <v>3.5139999999999993</v>
      </c>
      <c r="F23" s="43">
        <f>'[7]Dados de entrada'!$B$28</f>
        <v>25</v>
      </c>
      <c r="G23" s="43">
        <f>'[7]Dados de entrada'!$B$20</f>
        <v>36</v>
      </c>
      <c r="H23" s="45">
        <f>'[7]Dados de entrada'!$B$27/(2*'[7]Dados de entrada'!$B$18*G23)</f>
        <v>2.1805555555555557E-2</v>
      </c>
      <c r="I23" s="26">
        <f>'[7]fib Model Code 2010'!$K$8</f>
        <v>357.19097382510409</v>
      </c>
      <c r="J23" s="19">
        <f>'[7]Dados de entrada'!$C$10</f>
        <v>0.3</v>
      </c>
      <c r="K23" s="20">
        <f>'[7]fib Model Code 2010'!$L$8</f>
        <v>0.2248189846147983</v>
      </c>
      <c r="L23" s="20">
        <f t="shared" si="26"/>
        <v>0.749396615382661</v>
      </c>
      <c r="M23" s="20">
        <f t="shared" si="37"/>
        <v>-0.28848690906901686</v>
      </c>
      <c r="N23" s="20">
        <f>'[7]fib Model Code 2020'!$L$8</f>
        <v>0.19321340015703939</v>
      </c>
      <c r="O23" s="20">
        <f t="shared" si="27"/>
        <v>0.64404466719013131</v>
      </c>
      <c r="P23" s="20">
        <f t="shared" si="38"/>
        <v>-0.43998719629211991</v>
      </c>
      <c r="Q23" s="20">
        <f>'[7]Eurocode 2'!$L$8</f>
        <v>0.19604078582316281</v>
      </c>
      <c r="R23" s="20">
        <f t="shared" si="28"/>
        <v>0.65346928607720944</v>
      </c>
      <c r="S23" s="20">
        <f t="shared" si="39"/>
        <v>-0.42545974613909499</v>
      </c>
      <c r="T23" s="20">
        <f>'[7]NBR 6118'!$Q$8</f>
        <v>0.23231999734754327</v>
      </c>
      <c r="U23" s="20">
        <f>'[7]NBR 6118'!$R$8</f>
        <v>0.1974884701508621</v>
      </c>
      <c r="V23" s="20">
        <f>'[7]NBR 6118'!$W$8</f>
        <v>0.65829490050287365</v>
      </c>
      <c r="W23" s="20">
        <f t="shared" si="40"/>
        <v>-0.41810227100212038</v>
      </c>
      <c r="X23" s="20">
        <f>'[7]Clark (1956)'!$L$8</f>
        <v>0.15994528174100089</v>
      </c>
      <c r="Y23" s="20">
        <f t="shared" si="29"/>
        <v>0.53315093913666967</v>
      </c>
      <c r="Z23" s="20">
        <f t="shared" si="41"/>
        <v>-0.62895070703273326</v>
      </c>
      <c r="AA23" s="20">
        <f>'[7]Leonhardt (1977)'!$L$8</f>
        <v>0.30872458220891225</v>
      </c>
      <c r="AB23" s="20">
        <f t="shared" si="30"/>
        <v>1.0290819406963743</v>
      </c>
      <c r="AC23" s="20">
        <f t="shared" si="42"/>
        <v>2.8667085067677216E-2</v>
      </c>
      <c r="AD23" s="20">
        <f>'[7]Desayi; Ganesan (1985)'!$L$8</f>
        <v>0.22217481171329587</v>
      </c>
      <c r="AE23" s="20">
        <f t="shared" si="31"/>
        <v>0.74058270571098628</v>
      </c>
      <c r="AF23" s="20">
        <f t="shared" si="43"/>
        <v>-0.30031796250227721</v>
      </c>
      <c r="AG23" s="20">
        <f>'[7]Oh; Kang (1987)'!$L$8</f>
        <v>0.14425493211719229</v>
      </c>
      <c r="AH23" s="20">
        <f t="shared" si="32"/>
        <v>0.48084977372397431</v>
      </c>
      <c r="AI23" s="20">
        <f t="shared" si="44"/>
        <v>-0.73220037839883378</v>
      </c>
      <c r="AJ23" s="20">
        <f>'[7]Caldas (1997)'!$L$8</f>
        <v>0.27482748427982534</v>
      </c>
      <c r="AK23" s="20">
        <f t="shared" si="33"/>
        <v>0.91609161426608454</v>
      </c>
      <c r="AL23" s="20">
        <f t="shared" si="45"/>
        <v>-8.7638903734902768E-2</v>
      </c>
      <c r="AM23" s="20">
        <v>0.21384619468997865</v>
      </c>
      <c r="AN23" s="20">
        <f t="shared" si="34"/>
        <v>0.71282064896659547</v>
      </c>
      <c r="AO23" s="20">
        <f t="shared" si="46"/>
        <v>-0.3385254344367703</v>
      </c>
      <c r="AP23" s="20">
        <v>0.24880889422913266</v>
      </c>
      <c r="AQ23" s="20">
        <f t="shared" si="35"/>
        <v>0.82936298076377557</v>
      </c>
      <c r="AR23" s="20">
        <f t="shared" si="47"/>
        <v>-0.18709736592076373</v>
      </c>
      <c r="AS23" s="20">
        <v>0.23597162927781823</v>
      </c>
      <c r="AT23" s="20">
        <f t="shared" si="36"/>
        <v>0.7865720975927275</v>
      </c>
      <c r="AU23" s="20">
        <f t="shared" si="48"/>
        <v>-0.24007089178148311</v>
      </c>
      <c r="AZ23" t="b">
        <f t="shared" si="0"/>
        <v>1</v>
      </c>
      <c r="BB23" t="b">
        <f t="shared" si="1"/>
        <v>0</v>
      </c>
      <c r="BD23" t="b">
        <f t="shared" si="2"/>
        <v>1</v>
      </c>
    </row>
    <row r="24" spans="1:56">
      <c r="A24" s="90"/>
      <c r="B24" s="43">
        <f>'[7]Dados de entrada'!$B$26</f>
        <v>10</v>
      </c>
      <c r="C24" s="43">
        <f>'[7]Dados de entrada'!$B$29</f>
        <v>4</v>
      </c>
      <c r="D24" s="44">
        <f>'[7]Leonhardt (1977)'!$B$25</f>
        <v>32.466666666666669</v>
      </c>
      <c r="E24" s="44">
        <f>'[7]Dados de entrada'!$B$25</f>
        <v>3.5139999999999993</v>
      </c>
      <c r="F24" s="43">
        <f>'[7]Dados de entrada'!$B$28</f>
        <v>25</v>
      </c>
      <c r="G24" s="43">
        <f>'[7]Dados de entrada'!$B$20</f>
        <v>36</v>
      </c>
      <c r="H24" s="45">
        <f>'[7]Dados de entrada'!$B$27/(2*'[7]Dados de entrada'!$B$18*G24)</f>
        <v>2.1805555555555557E-2</v>
      </c>
      <c r="I24" s="26">
        <f>'[7]fib Model Code 2010'!$K$9</f>
        <v>370.58563534354545</v>
      </c>
      <c r="J24" s="19">
        <f>'[7]Dados de entrada'!$C$11</f>
        <v>0.3</v>
      </c>
      <c r="K24" s="20">
        <f>'[7]fib Model Code 2010'!$L$9</f>
        <v>0.23816489395300877</v>
      </c>
      <c r="L24" s="20">
        <f t="shared" si="26"/>
        <v>0.79388297984336265</v>
      </c>
      <c r="M24" s="20">
        <f t="shared" si="37"/>
        <v>-0.23081920914650289</v>
      </c>
      <c r="N24" s="20">
        <f>'[7]fib Model Code 2020'!$L$9</f>
        <v>0.20441640490869767</v>
      </c>
      <c r="O24" s="20">
        <f t="shared" si="27"/>
        <v>0.6813880163623256</v>
      </c>
      <c r="P24" s="20">
        <f t="shared" si="38"/>
        <v>-0.3836233606984063</v>
      </c>
      <c r="Q24" s="20">
        <f>'[7]Eurocode 2'!$L$9</f>
        <v>0.20767833751244857</v>
      </c>
      <c r="R24" s="20">
        <f t="shared" si="28"/>
        <v>0.69226112504149528</v>
      </c>
      <c r="S24" s="20">
        <f t="shared" si="39"/>
        <v>-0.3677920462165814</v>
      </c>
      <c r="T24" s="20">
        <f>'[7]NBR 6118'!$Q$9</f>
        <v>0.24103199724807614</v>
      </c>
      <c r="U24" s="20">
        <f>'[7]NBR 6118'!$R$9</f>
        <v>0.21257782357332636</v>
      </c>
      <c r="V24" s="20">
        <f>'[7]NBR 6118'!$W$9</f>
        <v>0.70859274524442117</v>
      </c>
      <c r="W24" s="20">
        <f t="shared" si="40"/>
        <v>-0.34447432475668799</v>
      </c>
      <c r="X24" s="20">
        <f>'[7]Clark (1956)'!$L$9</f>
        <v>0.1699580045168243</v>
      </c>
      <c r="Y24" s="20">
        <f t="shared" si="29"/>
        <v>0.56652668172274767</v>
      </c>
      <c r="Z24" s="20">
        <f t="shared" si="41"/>
        <v>-0.56823110037740721</v>
      </c>
      <c r="AA24" s="20">
        <f>'[7]Leonhardt (1977)'!$L$9</f>
        <v>0.32445331455853083</v>
      </c>
      <c r="AB24" s="20">
        <f t="shared" si="30"/>
        <v>1.081511048528436</v>
      </c>
      <c r="AC24" s="20">
        <f t="shared" si="42"/>
        <v>7.8359182288924564E-2</v>
      </c>
      <c r="AD24" s="20">
        <f>'[7]Desayi; Ganesan (1985)'!$L$9</f>
        <v>0.23050636715254444</v>
      </c>
      <c r="AE24" s="20">
        <f t="shared" si="31"/>
        <v>0.76835455717514811</v>
      </c>
      <c r="AF24" s="20">
        <f t="shared" si="43"/>
        <v>-0.2635039893795611</v>
      </c>
      <c r="AG24" s="20">
        <f>'[7]Oh; Kang (1987)'!$L$9</f>
        <v>0.15038532971273924</v>
      </c>
      <c r="AH24" s="20">
        <f t="shared" si="32"/>
        <v>0.50128443237579745</v>
      </c>
      <c r="AI24" s="20">
        <f t="shared" si="44"/>
        <v>-0.69058160970156823</v>
      </c>
      <c r="AJ24" s="20">
        <f>'[7]Caldas (1997)'!$L$9</f>
        <v>0.28653693758159071</v>
      </c>
      <c r="AK24" s="20">
        <f t="shared" si="33"/>
        <v>0.95512312527196908</v>
      </c>
      <c r="AL24" s="20">
        <f t="shared" si="45"/>
        <v>-4.5915019825421378E-2</v>
      </c>
      <c r="AM24" s="20">
        <v>0.22186542699085282</v>
      </c>
      <c r="AN24" s="20">
        <f t="shared" si="34"/>
        <v>0.73955142330284274</v>
      </c>
      <c r="AO24" s="20">
        <f t="shared" si="46"/>
        <v>-0.30171146131405407</v>
      </c>
      <c r="AP24" s="20">
        <v>0.26473506483900733</v>
      </c>
      <c r="AQ24" s="20">
        <f t="shared" si="35"/>
        <v>0.8824502161300245</v>
      </c>
      <c r="AR24" s="20">
        <f t="shared" si="47"/>
        <v>-0.12505290408317252</v>
      </c>
      <c r="AS24" s="20">
        <v>0.24942849030937828</v>
      </c>
      <c r="AT24" s="20">
        <f t="shared" si="36"/>
        <v>0.83142830103126097</v>
      </c>
      <c r="AU24" s="20">
        <f t="shared" si="48"/>
        <v>-0.1846102125321526</v>
      </c>
      <c r="AZ24" t="b">
        <f t="shared" si="0"/>
        <v>1</v>
      </c>
      <c r="BB24" t="b">
        <f t="shared" si="1"/>
        <v>0</v>
      </c>
      <c r="BD24" t="b">
        <f t="shared" si="2"/>
        <v>1</v>
      </c>
    </row>
    <row r="25" spans="1:56">
      <c r="A25" s="90"/>
      <c r="B25" s="43">
        <f>'[7]Dados de entrada'!$B$26</f>
        <v>10</v>
      </c>
      <c r="C25" s="43">
        <f>'[7]Dados de entrada'!$B$29</f>
        <v>4</v>
      </c>
      <c r="D25" s="44">
        <f>'[7]Leonhardt (1977)'!$B$25</f>
        <v>32.466666666666669</v>
      </c>
      <c r="E25" s="44">
        <f>'[7]Dados de entrada'!$B$25</f>
        <v>3.5139999999999993</v>
      </c>
      <c r="F25" s="43">
        <f>'[7]Dados de entrada'!$B$28</f>
        <v>25</v>
      </c>
      <c r="G25" s="43">
        <f>'[7]Dados de entrada'!$B$20</f>
        <v>36</v>
      </c>
      <c r="H25" s="45">
        <f>'[7]Dados de entrada'!$B$27/(2*'[7]Dados de entrada'!$B$18*G25)</f>
        <v>2.1805555555555557E-2</v>
      </c>
      <c r="I25" s="26">
        <f>'[7]fib Model Code 2010'!$K$10</f>
        <v>392.91007120761441</v>
      </c>
      <c r="J25" s="19">
        <f>'[7]Dados de entrada'!$C$12</f>
        <v>0.3</v>
      </c>
      <c r="K25" s="20">
        <f>'[7]fib Model Code 2010'!$L$10</f>
        <v>0.26040807618335954</v>
      </c>
      <c r="L25" s="20">
        <f t="shared" si="26"/>
        <v>0.86802692061119846</v>
      </c>
      <c r="M25" s="20">
        <f t="shared" si="37"/>
        <v>-0.14153255027369696</v>
      </c>
      <c r="N25" s="20">
        <f>'[7]fib Model Code 2020'!$L$10</f>
        <v>0.22308807949479487</v>
      </c>
      <c r="O25" s="20">
        <f t="shared" si="27"/>
        <v>0.74362693164931626</v>
      </c>
      <c r="P25" s="20">
        <f t="shared" si="38"/>
        <v>-0.29621580586531637</v>
      </c>
      <c r="Q25" s="20">
        <f>'[7]Eurocode 2'!$L$10</f>
        <v>0.22707425699459161</v>
      </c>
      <c r="R25" s="20">
        <f t="shared" si="28"/>
        <v>0.75691418998197202</v>
      </c>
      <c r="S25" s="20">
        <f t="shared" si="39"/>
        <v>-0.27850538734377533</v>
      </c>
      <c r="T25" s="20">
        <f>'[7]NBR 6118'!$Q$10</f>
        <v>0.25555199708229764</v>
      </c>
      <c r="U25" s="20">
        <f>'[7]NBR 6118'!$R$10</f>
        <v>0.23896104888254321</v>
      </c>
      <c r="V25" s="20">
        <f>'[7]NBR 6118'!$W$10</f>
        <v>0.79653682960847738</v>
      </c>
      <c r="W25" s="20">
        <f t="shared" si="40"/>
        <v>-0.22748191139347032</v>
      </c>
      <c r="X25" s="20">
        <f>'[7]Clark (1956)'!$L$10</f>
        <v>0.18664587580986336</v>
      </c>
      <c r="Y25" s="20">
        <f t="shared" si="29"/>
        <v>0.6221529193662112</v>
      </c>
      <c r="Z25" s="20">
        <f t="shared" si="41"/>
        <v>-0.47456936538830069</v>
      </c>
      <c r="AA25" s="20">
        <f>'[7]Leonhardt (1977)'!$L$10</f>
        <v>0.350359144881568</v>
      </c>
      <c r="AB25" s="20">
        <f t="shared" si="30"/>
        <v>1.1678638162718933</v>
      </c>
      <c r="AC25" s="20">
        <f t="shared" si="42"/>
        <v>0.15517628195060762</v>
      </c>
      <c r="AD25" s="20">
        <f>'[7]Desayi; Ganesan (1985)'!$L$10</f>
        <v>0.24439229288462541</v>
      </c>
      <c r="AE25" s="20">
        <f t="shared" si="31"/>
        <v>0.81464097628208476</v>
      </c>
      <c r="AF25" s="20">
        <f t="shared" si="43"/>
        <v>-0.20500778269795253</v>
      </c>
      <c r="AG25" s="20">
        <f>'[7]Oh; Kang (1987)'!$L$10</f>
        <v>0.1606026590386509</v>
      </c>
      <c r="AH25" s="20">
        <f t="shared" si="32"/>
        <v>0.53534219679550299</v>
      </c>
      <c r="AI25" s="20">
        <f t="shared" si="44"/>
        <v>-0.62484911637742258</v>
      </c>
      <c r="AJ25" s="20">
        <f>'[7]Caldas (1997)'!$L$10</f>
        <v>0.30605269308453309</v>
      </c>
      <c r="AK25" s="20">
        <f t="shared" si="33"/>
        <v>1.0201756436151104</v>
      </c>
      <c r="AL25" s="20">
        <f t="shared" si="45"/>
        <v>1.9974812094183763E-2</v>
      </c>
      <c r="AM25" s="20">
        <v>0.23523081415897645</v>
      </c>
      <c r="AN25" s="20">
        <f t="shared" si="34"/>
        <v>0.78410271386325492</v>
      </c>
      <c r="AO25" s="20">
        <f t="shared" si="46"/>
        <v>-0.24321525463244556</v>
      </c>
      <c r="AP25" s="20">
        <v>0.29127868252213185</v>
      </c>
      <c r="AQ25" s="20">
        <f t="shared" si="35"/>
        <v>0.97092894174043953</v>
      </c>
      <c r="AR25" s="20">
        <f t="shared" si="47"/>
        <v>-2.9501993862518203E-2</v>
      </c>
      <c r="AS25" s="20">
        <v>0.27196107760099414</v>
      </c>
      <c r="AT25" s="20">
        <f t="shared" si="36"/>
        <v>0.9065369253366472</v>
      </c>
      <c r="AU25" s="20">
        <f t="shared" si="48"/>
        <v>-9.8123515654732693E-2</v>
      </c>
      <c r="AZ25" t="b">
        <f t="shared" si="0"/>
        <v>1</v>
      </c>
      <c r="BB25" t="b">
        <f t="shared" si="1"/>
        <v>0</v>
      </c>
      <c r="BD25" t="b">
        <f t="shared" si="2"/>
        <v>1</v>
      </c>
    </row>
    <row r="26" spans="1:56">
      <c r="A26" s="90"/>
      <c r="B26" s="43">
        <f>'[7]Dados de entrada'!$B$26</f>
        <v>10</v>
      </c>
      <c r="C26" s="43">
        <f>'[7]Dados de entrada'!$B$29</f>
        <v>4</v>
      </c>
      <c r="D26" s="44">
        <f>'[7]Leonhardt (1977)'!$B$25</f>
        <v>32.466666666666669</v>
      </c>
      <c r="E26" s="44">
        <f>'[7]Dados de entrada'!$B$25</f>
        <v>3.5139999999999993</v>
      </c>
      <c r="F26" s="43">
        <f>'[7]Dados de entrada'!$B$28</f>
        <v>25</v>
      </c>
      <c r="G26" s="43">
        <f>'[7]Dados de entrada'!$B$20</f>
        <v>36</v>
      </c>
      <c r="H26" s="45">
        <f>'[7]Dados de entrada'!$B$27/(2*'[7]Dados de entrada'!$B$18*G26)</f>
        <v>2.1805555555555557E-2</v>
      </c>
      <c r="I26" s="26">
        <f>'[7]fib Model Code 2010'!$K$11</f>
        <v>424.16428141731097</v>
      </c>
      <c r="J26" s="19">
        <f>'[7]Dados de entrada'!$C$13</f>
        <v>0.38</v>
      </c>
      <c r="K26" s="20">
        <f>'[7]fib Model Code 2010'!$L$11</f>
        <v>0.29154853130585062</v>
      </c>
      <c r="L26" s="20">
        <f t="shared" si="26"/>
        <v>0.76723297712065952</v>
      </c>
      <c r="M26" s="20">
        <f t="shared" si="37"/>
        <v>-0.26496477260276791</v>
      </c>
      <c r="N26" s="20">
        <f>'[7]fib Model Code 2020'!$L$11</f>
        <v>0.24922842391533095</v>
      </c>
      <c r="O26" s="20">
        <f t="shared" si="27"/>
        <v>0.6558642734613972</v>
      </c>
      <c r="P26" s="20">
        <f t="shared" si="38"/>
        <v>-0.42180141165613427</v>
      </c>
      <c r="Q26" s="20">
        <f>'[7]Eurocode 2'!$L$11</f>
        <v>0.25422854426959185</v>
      </c>
      <c r="R26" s="20">
        <f t="shared" si="28"/>
        <v>0.66902248491997851</v>
      </c>
      <c r="S26" s="20">
        <f t="shared" si="39"/>
        <v>-0.4019376096728462</v>
      </c>
      <c r="T26" s="20">
        <f>'[7]NBR 6118'!$Q$11</f>
        <v>0.27587999685020764</v>
      </c>
      <c r="U26" s="20">
        <f>'[7]NBR 6118'!$R$11</f>
        <v>0.27848960048617671</v>
      </c>
      <c r="V26" s="20">
        <f>'[7]NBR 6118'!$W$11</f>
        <v>0.72599999171107277</v>
      </c>
      <c r="W26" s="20">
        <f t="shared" si="40"/>
        <v>-0.32020527557459616</v>
      </c>
      <c r="X26" s="20">
        <f>'[7]Clark (1956)'!$L$11</f>
        <v>0.21000889562011807</v>
      </c>
      <c r="Y26" s="20">
        <f t="shared" si="29"/>
        <v>0.55265498847399486</v>
      </c>
      <c r="Z26" s="20">
        <f t="shared" si="41"/>
        <v>-0.59302136280432605</v>
      </c>
      <c r="AA26" s="20">
        <f>'[7]Leonhardt (1977)'!$L$11</f>
        <v>0.38608135403252564</v>
      </c>
      <c r="AB26" s="20">
        <f t="shared" si="30"/>
        <v>1.0160035632434885</v>
      </c>
      <c r="AC26" s="20">
        <f t="shared" si="42"/>
        <v>1.5876856279558007E-2</v>
      </c>
      <c r="AD26" s="20">
        <f>'[7]Desayi; Ganesan (1985)'!$L$11</f>
        <v>0.26383258890953881</v>
      </c>
      <c r="AE26" s="20">
        <f t="shared" si="31"/>
        <v>0.69429628660404952</v>
      </c>
      <c r="AF26" s="20">
        <f t="shared" si="43"/>
        <v>-0.36485648363984857</v>
      </c>
      <c r="AG26" s="20">
        <f>'[7]Oh; Kang (1987)'!$L$11</f>
        <v>0.17490692009492717</v>
      </c>
      <c r="AH26" s="20">
        <f t="shared" si="32"/>
        <v>0.46028136867086095</v>
      </c>
      <c r="AI26" s="20">
        <f t="shared" si="44"/>
        <v>-0.77591730546985738</v>
      </c>
      <c r="AJ26" s="20">
        <f>'[7]Caldas (1997)'!$L$11</f>
        <v>0.33337475078865242</v>
      </c>
      <c r="AK26" s="20">
        <f t="shared" si="33"/>
        <v>0.87730197575961166</v>
      </c>
      <c r="AL26" s="20">
        <f t="shared" si="45"/>
        <v>-0.13090401775913266</v>
      </c>
      <c r="AM26" s="20">
        <v>0.25394235619434957</v>
      </c>
      <c r="AN26" s="20">
        <f t="shared" si="34"/>
        <v>0.66826935840618307</v>
      </c>
      <c r="AO26" s="20">
        <f t="shared" si="46"/>
        <v>-0.40306395557434171</v>
      </c>
      <c r="AP26" s="20">
        <v>0.32843974727850617</v>
      </c>
      <c r="AQ26" s="20">
        <f t="shared" si="35"/>
        <v>0.86431512441712144</v>
      </c>
      <c r="AR26" s="20">
        <f t="shared" si="47"/>
        <v>-0.14581784934029612</v>
      </c>
      <c r="AS26" s="20">
        <v>0.30372611951118927</v>
      </c>
      <c r="AT26" s="20">
        <f t="shared" si="36"/>
        <v>0.79927926187155074</v>
      </c>
      <c r="AU26" s="20">
        <f t="shared" si="48"/>
        <v>-0.22404488004950443</v>
      </c>
      <c r="AZ26" t="b">
        <f t="shared" si="0"/>
        <v>1</v>
      </c>
      <c r="BB26" t="b">
        <f t="shared" si="1"/>
        <v>0</v>
      </c>
      <c r="BD26" t="b">
        <f t="shared" si="2"/>
        <v>1</v>
      </c>
    </row>
    <row r="27" spans="1:56">
      <c r="A27" s="86"/>
      <c r="B27" s="43">
        <f>'[7]Dados de entrada'!$B$26</f>
        <v>10</v>
      </c>
      <c r="C27" s="43">
        <f>'[7]Dados de entrada'!$B$29</f>
        <v>4</v>
      </c>
      <c r="D27" s="44">
        <f>'[7]Leonhardt (1977)'!$B$25</f>
        <v>32.466666666666669</v>
      </c>
      <c r="E27" s="44">
        <f>'[7]Dados de entrada'!$B$25</f>
        <v>3.5139999999999993</v>
      </c>
      <c r="F27" s="43">
        <f>'[7]Dados de entrada'!$B$28</f>
        <v>25</v>
      </c>
      <c r="G27" s="43">
        <f>'[7]Dados de entrada'!$B$20</f>
        <v>36</v>
      </c>
      <c r="H27" s="45">
        <f>'[7]Dados de entrada'!$B$27/(2*'[7]Dados de entrada'!$B$18*G27)</f>
        <v>2.1805555555555557E-2</v>
      </c>
      <c r="I27" s="26">
        <f>'[7]fib Model Code 2010'!$K$12</f>
        <v>491.13758900951802</v>
      </c>
      <c r="J27" s="19">
        <f>'[7]Dados de entrada'!$C$14</f>
        <v>0.44</v>
      </c>
      <c r="K27" s="20">
        <f>'[7]fib Model Code 2010'!$L$12</f>
        <v>0.35827807799690314</v>
      </c>
      <c r="L27" s="20">
        <f t="shared" si="26"/>
        <v>0.81426835908387074</v>
      </c>
      <c r="M27" s="20">
        <f t="shared" si="37"/>
        <v>-0.20546528784771548</v>
      </c>
      <c r="N27" s="20">
        <f>'[7]fib Model Code 2020'!$L$12</f>
        <v>0.30524344767362266</v>
      </c>
      <c r="O27" s="20">
        <f t="shared" si="27"/>
        <v>0.69373510834914243</v>
      </c>
      <c r="P27" s="20">
        <f t="shared" si="38"/>
        <v>-0.3656650795945563</v>
      </c>
      <c r="Q27" s="20">
        <f>'[7]Eurocode 2'!$L$12</f>
        <v>0.31241630271602105</v>
      </c>
      <c r="R27" s="20">
        <f t="shared" si="28"/>
        <v>0.71003705162732056</v>
      </c>
      <c r="S27" s="20">
        <f t="shared" si="39"/>
        <v>-0.34243812491779374</v>
      </c>
      <c r="T27" s="20">
        <f>'[7]NBR 6118'!$Q$12</f>
        <v>0.31943999635287207</v>
      </c>
      <c r="U27" s="20">
        <f>'[7]NBR 6118'!$R$12</f>
        <v>0.37337663887897365</v>
      </c>
      <c r="V27" s="20">
        <f>'[7]NBR 6118'!$W$12</f>
        <v>0.72599999171107288</v>
      </c>
      <c r="W27" s="20">
        <f t="shared" si="40"/>
        <v>-0.32020527557459599</v>
      </c>
      <c r="X27" s="20">
        <f>'[7]Clark (1956)'!$L$12</f>
        <v>0.26007250949923538</v>
      </c>
      <c r="Y27" s="20">
        <f t="shared" si="29"/>
        <v>0.59107388522553495</v>
      </c>
      <c r="Z27" s="20">
        <f t="shared" si="41"/>
        <v>-0.52581425208796095</v>
      </c>
      <c r="AA27" s="20">
        <f>'[7]Leonhardt (1977)'!$L$12</f>
        <v>0.46101058349859836</v>
      </c>
      <c r="AB27" s="20">
        <f t="shared" si="30"/>
        <v>1.0477513261331781</v>
      </c>
      <c r="AC27" s="20">
        <f t="shared" si="42"/>
        <v>4.6646273518428115E-2</v>
      </c>
      <c r="AD27" s="20">
        <f>'[7]Desayi; Ganesan (1985)'!$L$12</f>
        <v>0.30549036610578179</v>
      </c>
      <c r="AE27" s="20">
        <f t="shared" si="31"/>
        <v>0.69429628660404952</v>
      </c>
      <c r="AF27" s="20">
        <f t="shared" si="43"/>
        <v>-0.36485648363984857</v>
      </c>
      <c r="AG27" s="20">
        <f>'[7]Oh; Kang (1987)'!$L$12</f>
        <v>0.20555890807266211</v>
      </c>
      <c r="AH27" s="20">
        <f t="shared" si="32"/>
        <v>0.46717933652877752</v>
      </c>
      <c r="AI27" s="20">
        <f t="shared" si="44"/>
        <v>-0.76104207676647428</v>
      </c>
      <c r="AJ27" s="20">
        <f>'[7]Caldas (1997)'!$L$12</f>
        <v>0.39192201729747961</v>
      </c>
      <c r="AK27" s="20">
        <f t="shared" si="33"/>
        <v>0.89073185749427186</v>
      </c>
      <c r="AL27" s="20">
        <f t="shared" si="45"/>
        <v>-0.11571184237774197</v>
      </c>
      <c r="AM27" s="20">
        <v>0.29403851769872058</v>
      </c>
      <c r="AN27" s="20">
        <f t="shared" si="34"/>
        <v>0.66826935840618318</v>
      </c>
      <c r="AO27" s="20">
        <f t="shared" si="46"/>
        <v>-0.40306395557434155</v>
      </c>
      <c r="AP27" s="20">
        <v>0.40807060032787995</v>
      </c>
      <c r="AQ27" s="20">
        <f t="shared" si="35"/>
        <v>0.92743318256336349</v>
      </c>
      <c r="AR27" s="20">
        <f t="shared" si="47"/>
        <v>-7.5334527458528838E-2</v>
      </c>
      <c r="AS27" s="20">
        <v>0.37265607243348686</v>
      </c>
      <c r="AT27" s="20">
        <f t="shared" si="36"/>
        <v>0.84694561916701561</v>
      </c>
      <c r="AU27" s="20">
        <f t="shared" si="48"/>
        <v>-0.16611879044436137</v>
      </c>
      <c r="AZ27" t="b">
        <f t="shared" si="0"/>
        <v>1</v>
      </c>
      <c r="BB27" t="b">
        <f t="shared" si="1"/>
        <v>0</v>
      </c>
      <c r="BD27" t="b">
        <f t="shared" si="2"/>
        <v>1</v>
      </c>
    </row>
    <row r="28" spans="1:56">
      <c r="A28" s="87" t="s">
        <v>19</v>
      </c>
      <c r="B28" s="37">
        <f>'[8]Dados de entrada'!$B$28</f>
        <v>16</v>
      </c>
      <c r="C28" s="37">
        <f>'[8]Dados de entrada'!$B$31</f>
        <v>4</v>
      </c>
      <c r="D28" s="41">
        <f>'[8]Leonhardt (1977)'!$B$27</f>
        <v>37</v>
      </c>
      <c r="E28" s="41">
        <f>'[8]Dados de entrada'!$B$27</f>
        <v>4.2587999999999999</v>
      </c>
      <c r="F28" s="37">
        <f>'[8]Dados de entrada'!$B$30</f>
        <v>20</v>
      </c>
      <c r="G28" s="37">
        <f>'[8]Dados de entrada'!$B$22</f>
        <v>54</v>
      </c>
      <c r="H28" s="42">
        <f>'[8]Dados de entrada'!$B$29/('[8]Dados de entrada'!$B$20*2*G28)</f>
        <v>5.9259259259259262E-2</v>
      </c>
      <c r="I28" s="25">
        <f>'[8]fib Model Code 2010'!$K$6</f>
        <v>136.24998634844746</v>
      </c>
      <c r="J28" s="4">
        <f>'[8]Dados de entrada'!$C$8</f>
        <v>0.18</v>
      </c>
      <c r="K28" s="11">
        <f>'[8]fib Model Code 2010'!$L$6</f>
        <v>3.8537839874132902E-2</v>
      </c>
      <c r="L28" s="11"/>
      <c r="M28" s="11"/>
      <c r="N28" s="11">
        <f>'[8]fib Model Code 2020'!$L$6</f>
        <v>4.3068885937083114E-2</v>
      </c>
      <c r="O28" s="11"/>
      <c r="P28" s="11"/>
      <c r="Q28" s="11">
        <f>'[8]Eurocode 2'!$L$6</f>
        <v>4.5166877574692683E-2</v>
      </c>
      <c r="R28" s="11"/>
      <c r="S28" s="11"/>
      <c r="T28" s="11">
        <f>'[8]NBR 6118'!$Q$6</f>
        <v>4.8418033582336178E-2</v>
      </c>
      <c r="U28" s="11">
        <f>'[8]NBR 6118'!$R$6</f>
        <v>4.2063309858943153E-2</v>
      </c>
      <c r="V28" s="11"/>
      <c r="W28" s="11"/>
      <c r="X28" s="11">
        <f>'[8]Clark (1956)'!$L$6</f>
        <v>5.3334062616951713E-2</v>
      </c>
      <c r="Y28" s="11">
        <f t="shared" si="29"/>
        <v>0.29630034787195397</v>
      </c>
      <c r="Z28" s="11">
        <f t="shared" si="41"/>
        <v>-1.2163816503501377</v>
      </c>
      <c r="AA28" s="11">
        <f>'[8]Leonhardt (1977)'!$L$6</f>
        <v>7.6553053078508113E-2</v>
      </c>
      <c r="AB28" s="11">
        <f t="shared" si="30"/>
        <v>0.42529473932504508</v>
      </c>
      <c r="AC28" s="11">
        <f t="shared" si="42"/>
        <v>-0.8549728461264775</v>
      </c>
      <c r="AD28" s="11">
        <f>'[8]Desayi; Ganesan (1985)'!$L$6</f>
        <v>0.11739335717932614</v>
      </c>
      <c r="AE28" s="11">
        <f t="shared" si="31"/>
        <v>0.65218531766292298</v>
      </c>
      <c r="AF28" s="11">
        <f t="shared" si="43"/>
        <v>-0.42742652789668834</v>
      </c>
      <c r="AG28" s="11">
        <f>'[8]Oh; Kang (1987)'!$L$6</f>
        <v>5.3755393196897358E-2</v>
      </c>
      <c r="AH28" s="11">
        <f t="shared" si="32"/>
        <v>0.29864107331609646</v>
      </c>
      <c r="AI28" s="11">
        <f t="shared" si="44"/>
        <v>-1.2085128503690858</v>
      </c>
      <c r="AJ28" s="11">
        <f>'[8]Caldas (1997)'!$L$6</f>
        <v>5.8045479214654826E-2</v>
      </c>
      <c r="AK28" s="11">
        <f t="shared" si="33"/>
        <v>0.32247488452586015</v>
      </c>
      <c r="AL28" s="11">
        <f t="shared" si="45"/>
        <v>-1.1317300232181084</v>
      </c>
      <c r="AM28" s="11" cm="1">
        <f t="array" ref="AM28:AM32">'[8]Gergely e Lutz (1968)'!$L$6:$L$10</f>
        <v>0.10489888158351161</v>
      </c>
      <c r="AN28" s="11">
        <f t="shared" si="34"/>
        <v>0.58277156435284228</v>
      </c>
      <c r="AO28" s="11">
        <f t="shared" si="46"/>
        <v>-0.53995999728443711</v>
      </c>
      <c r="AP28" s="11" cm="1">
        <f t="array" ref="AP28:AP32">[8]Sugestão!$N$6:$N$10</f>
        <v>4.3068885937083114E-2</v>
      </c>
      <c r="AQ28" s="11"/>
      <c r="AR28" s="11"/>
      <c r="AS28" s="11" cm="1">
        <f t="array" ref="AS28:AS32">'[8]fib Model Code 2020 modificado'!$L$6:$L$10</f>
        <v>6.9035374486631218E-2</v>
      </c>
      <c r="AT28" s="11">
        <f t="shared" si="36"/>
        <v>0.38352985825906233</v>
      </c>
      <c r="AU28" s="11">
        <f t="shared" si="48"/>
        <v>-0.95833780394593038</v>
      </c>
      <c r="AZ28" t="b">
        <f t="shared" si="0"/>
        <v>0</v>
      </c>
      <c r="BB28" t="b">
        <f t="shared" si="1"/>
        <v>1</v>
      </c>
      <c r="BD28" t="b">
        <f t="shared" si="2"/>
        <v>1</v>
      </c>
    </row>
    <row r="29" spans="1:56">
      <c r="A29" s="88"/>
      <c r="B29" s="37">
        <f>'[8]Dados de entrada'!$B$28</f>
        <v>16</v>
      </c>
      <c r="C29" s="37">
        <f>'[8]Dados de entrada'!$B$31</f>
        <v>4</v>
      </c>
      <c r="D29" s="41">
        <f>'[8]Leonhardt (1977)'!$B$27</f>
        <v>37</v>
      </c>
      <c r="E29" s="41">
        <f>'[8]Dados de entrada'!$B$27</f>
        <v>4.2587999999999999</v>
      </c>
      <c r="F29" s="37">
        <f>'[8]Dados de entrada'!$B$30</f>
        <v>20</v>
      </c>
      <c r="G29" s="37">
        <f>'[8]Dados de entrada'!$B$22</f>
        <v>54</v>
      </c>
      <c r="H29" s="42">
        <f>'[8]Dados de entrada'!$B$29/('[8]Dados de entrada'!$B$20*2*G29)</f>
        <v>5.9259259259259262E-2</v>
      </c>
      <c r="I29" s="25">
        <f>'[8]fib Model Code 2010'!$K$7</f>
        <v>196.14009023787494</v>
      </c>
      <c r="J29" s="4">
        <f>'[8]Dados de entrada'!$C$9</f>
        <v>0.2</v>
      </c>
      <c r="K29" s="11">
        <f>'[8]fib Model Code 2010'!$L$7</f>
        <v>6.1464945828186207E-2</v>
      </c>
      <c r="L29" s="11">
        <f t="shared" si="26"/>
        <v>0.30732472914093101</v>
      </c>
      <c r="M29" s="11">
        <f t="shared" si="37"/>
        <v>-1.1798503407731995</v>
      </c>
      <c r="N29" s="11">
        <f>'[8]fib Model Code 2020'!$L$7</f>
        <v>7.927348825357626E-2</v>
      </c>
      <c r="O29" s="11">
        <f t="shared" ref="O29:O37" si="49">N29/J29</f>
        <v>0.39636744126788126</v>
      </c>
      <c r="P29" s="11">
        <f t="shared" si="38"/>
        <v>-0.9254136159544446</v>
      </c>
      <c r="Q29" s="11">
        <f>'[8]Eurocode 2'!$L$7</f>
        <v>7.2037760612011156E-2</v>
      </c>
      <c r="R29" s="11">
        <f t="shared" si="28"/>
        <v>0.36018880306005574</v>
      </c>
      <c r="S29" s="11">
        <f t="shared" si="39"/>
        <v>-1.0211269320647629</v>
      </c>
      <c r="T29" s="11">
        <f>'[8]NBR 6118'!$Q$7</f>
        <v>6.9700685706440002E-2</v>
      </c>
      <c r="U29" s="11">
        <f>'[8]NBR 6118'!$R$7</f>
        <v>8.7169238073822417E-2</v>
      </c>
      <c r="V29" s="11">
        <f>'[8]NBR 6118'!$W$7</f>
        <v>0.34850342853220001</v>
      </c>
      <c r="W29" s="11">
        <f t="shared" si="40"/>
        <v>-1.0541072108609408</v>
      </c>
      <c r="X29" s="11">
        <f>'[8]Clark (1956)'!$L$7</f>
        <v>7.9691697338688736E-2</v>
      </c>
      <c r="Y29" s="11">
        <f t="shared" si="29"/>
        <v>0.39845848669344364</v>
      </c>
      <c r="Z29" s="11">
        <f t="shared" si="41"/>
        <v>-0.92015196009693245</v>
      </c>
      <c r="AA29" s="11">
        <f>'[8]Leonhardt (1977)'!$L$7</f>
        <v>0.12704734905426315</v>
      </c>
      <c r="AB29" s="11">
        <f t="shared" si="30"/>
        <v>0.63523674527131568</v>
      </c>
      <c r="AC29" s="11">
        <f t="shared" si="42"/>
        <v>-0.45375752237331368</v>
      </c>
      <c r="AD29" s="11">
        <f>'[8]Desayi; Ganesan (1985)'!$L$7</f>
        <v>0.16899483286254643</v>
      </c>
      <c r="AE29" s="11">
        <f t="shared" si="31"/>
        <v>0.84497416431273209</v>
      </c>
      <c r="AF29" s="11">
        <f t="shared" si="43"/>
        <v>-0.1684492268702131</v>
      </c>
      <c r="AG29" s="11">
        <f>'[8]Oh; Kang (1987)'!$L$7</f>
        <v>8.7413694740726702E-2</v>
      </c>
      <c r="AH29" s="11">
        <f t="shared" si="32"/>
        <v>0.4370684737036335</v>
      </c>
      <c r="AI29" s="11">
        <f t="shared" si="44"/>
        <v>-0.82766540576387437</v>
      </c>
      <c r="AJ29" s="11">
        <f>'[8]Caldas (1997)'!$L$7</f>
        <v>8.825052032231516E-2</v>
      </c>
      <c r="AK29" s="11">
        <f t="shared" si="33"/>
        <v>0.44125260161157576</v>
      </c>
      <c r="AL29" s="11">
        <f t="shared" si="45"/>
        <v>-0.81813777474844074</v>
      </c>
      <c r="AM29" s="11">
        <v>0.15100828008175848</v>
      </c>
      <c r="AN29" s="11">
        <f t="shared" si="34"/>
        <v>0.75504140040879242</v>
      </c>
      <c r="AO29" s="11">
        <f t="shared" si="46"/>
        <v>-0.28098269625796179</v>
      </c>
      <c r="AP29" s="11">
        <v>7.9717100228499774E-2</v>
      </c>
      <c r="AQ29" s="11">
        <f t="shared" si="35"/>
        <v>0.39858550114249885</v>
      </c>
      <c r="AR29" s="11">
        <f t="shared" si="47"/>
        <v>-0.91983324631935226</v>
      </c>
      <c r="AS29" s="11">
        <v>0.12088101288805375</v>
      </c>
      <c r="AT29" s="11">
        <f t="shared" si="36"/>
        <v>0.60440506444026876</v>
      </c>
      <c r="AU29" s="11">
        <f t="shared" si="48"/>
        <v>-0.50351066933297228</v>
      </c>
      <c r="AZ29" t="b">
        <f t="shared" si="0"/>
        <v>0</v>
      </c>
      <c r="BB29" t="b">
        <f t="shared" si="1"/>
        <v>1</v>
      </c>
      <c r="BD29" t="b">
        <f t="shared" si="2"/>
        <v>1</v>
      </c>
    </row>
    <row r="30" spans="1:56">
      <c r="A30" s="88"/>
      <c r="B30" s="37">
        <f>'[8]Dados de entrada'!$B$28</f>
        <v>16</v>
      </c>
      <c r="C30" s="37">
        <f>'[8]Dados de entrada'!$B$31</f>
        <v>4</v>
      </c>
      <c r="D30" s="41">
        <f>'[8]Leonhardt (1977)'!$B$27</f>
        <v>37</v>
      </c>
      <c r="E30" s="41">
        <f>'[8]Dados de entrada'!$B$27</f>
        <v>4.2587999999999999</v>
      </c>
      <c r="F30" s="37">
        <f>'[8]Dados de entrada'!$B$30</f>
        <v>20</v>
      </c>
      <c r="G30" s="37">
        <f>'[8]Dados de entrada'!$B$22</f>
        <v>54</v>
      </c>
      <c r="H30" s="42">
        <f>'[8]Dados de entrada'!$B$29/('[8]Dados de entrada'!$B$20*2*G30)</f>
        <v>5.9259259259259262E-2</v>
      </c>
      <c r="I30" s="25">
        <f>'[8]fib Model Code 2010'!$K$8</f>
        <v>237.31453666185638</v>
      </c>
      <c r="J30" s="4">
        <f>'[8]Dados de entrada'!$C$10</f>
        <v>0.26</v>
      </c>
      <c r="K30" s="11">
        <f>'[8]fib Model Code 2010'!$L$8</f>
        <v>7.7227331171597871E-2</v>
      </c>
      <c r="L30" s="11">
        <f t="shared" si="26"/>
        <v>0.29702819681383796</v>
      </c>
      <c r="M30" s="11">
        <f t="shared" si="37"/>
        <v>-1.2139282059187058</v>
      </c>
      <c r="N30" s="11">
        <f>'[8]fib Model Code 2020'!$L$8</f>
        <v>0.10416415234616534</v>
      </c>
      <c r="O30" s="11">
        <f t="shared" si="49"/>
        <v>0.40063135517755899</v>
      </c>
      <c r="P30" s="11">
        <f t="shared" si="38"/>
        <v>-0.91471358827530758</v>
      </c>
      <c r="Q30" s="11">
        <f>'[8]Eurocode 2'!$L$8</f>
        <v>9.0511492700167645E-2</v>
      </c>
      <c r="R30" s="11">
        <f t="shared" si="28"/>
        <v>0.34812112576987553</v>
      </c>
      <c r="S30" s="11">
        <f t="shared" si="39"/>
        <v>-1.0552047972102689</v>
      </c>
      <c r="T30" s="11">
        <f>'[8]NBR 6118'!$Q$8</f>
        <v>8.4332509041761372E-2</v>
      </c>
      <c r="U30" s="11">
        <f>'[8]NBR 6118'!$R$8</f>
        <v>0.12760837895228047</v>
      </c>
      <c r="V30" s="11">
        <f>'[8]NBR 6118'!$W$8</f>
        <v>0.3243558040067745</v>
      </c>
      <c r="W30" s="11">
        <f t="shared" si="40"/>
        <v>-1.1259142052122484</v>
      </c>
      <c r="X30" s="11">
        <f>'[8]Clark (1956)'!$L$8</f>
        <v>9.7812571209882959E-2</v>
      </c>
      <c r="Y30" s="11">
        <f t="shared" si="29"/>
        <v>0.37620219696108831</v>
      </c>
      <c r="Z30" s="11">
        <f t="shared" si="41"/>
        <v>-0.97762852225695784</v>
      </c>
      <c r="AA30" s="11">
        <f>'[8]Leonhardt (1977)'!$L$8</f>
        <v>0.15974057213838819</v>
      </c>
      <c r="AB30" s="11">
        <f t="shared" si="30"/>
        <v>0.6143868159168776</v>
      </c>
      <c r="AC30" s="11">
        <f t="shared" si="42"/>
        <v>-0.48713055584753456</v>
      </c>
      <c r="AD30" s="11">
        <f>'[8]Desayi; Ganesan (1985)'!$L$8</f>
        <v>0.20447084739476043</v>
      </c>
      <c r="AE30" s="11">
        <f t="shared" si="31"/>
        <v>0.78642633613369395</v>
      </c>
      <c r="AF30" s="11">
        <f t="shared" si="43"/>
        <v>-0.24025622122152007</v>
      </c>
      <c r="AG30" s="11">
        <f>'[8]Oh; Kang (1987)'!$L$8</f>
        <v>0.11055377705210942</v>
      </c>
      <c r="AH30" s="11">
        <f t="shared" si="32"/>
        <v>0.42520683481580546</v>
      </c>
      <c r="AI30" s="11">
        <f t="shared" si="44"/>
        <v>-0.85517955828839542</v>
      </c>
      <c r="AJ30" s="11">
        <f>'[8]Caldas (1997)'!$L$8</f>
        <v>0.10901648608383162</v>
      </c>
      <c r="AK30" s="11">
        <f t="shared" si="33"/>
        <v>0.41929417724550622</v>
      </c>
      <c r="AL30" s="11">
        <f t="shared" si="45"/>
        <v>-0.86918251174776207</v>
      </c>
      <c r="AM30" s="11">
        <v>0.18270849154930321</v>
      </c>
      <c r="AN30" s="11">
        <f t="shared" si="34"/>
        <v>0.70272496749732005</v>
      </c>
      <c r="AO30" s="11">
        <f t="shared" si="46"/>
        <v>-0.35278969060926907</v>
      </c>
      <c r="AP30" s="11">
        <v>0.11020041095274997</v>
      </c>
      <c r="AQ30" s="11">
        <f t="shared" si="35"/>
        <v>0.42384773443365376</v>
      </c>
      <c r="AR30" s="11">
        <f t="shared" si="47"/>
        <v>-0.85838100514985582</v>
      </c>
      <c r="AS30" s="11">
        <v>0.15802235697078507</v>
      </c>
      <c r="AT30" s="11">
        <f t="shared" si="36"/>
        <v>0.60777829604148104</v>
      </c>
      <c r="AU30" s="11">
        <f t="shared" si="48"/>
        <v>-0.49794510818362009</v>
      </c>
      <c r="AZ30" t="b">
        <f t="shared" si="0"/>
        <v>0</v>
      </c>
      <c r="BB30" t="b">
        <f t="shared" si="1"/>
        <v>1</v>
      </c>
      <c r="BD30" t="b">
        <f t="shared" si="2"/>
        <v>1</v>
      </c>
    </row>
    <row r="31" spans="1:56">
      <c r="A31" s="88"/>
      <c r="B31" s="37">
        <f>'[8]Dados de entrada'!$B$28</f>
        <v>16</v>
      </c>
      <c r="C31" s="37">
        <f>'[8]Dados de entrada'!$B$31</f>
        <v>4</v>
      </c>
      <c r="D31" s="41">
        <f>'[8]Leonhardt (1977)'!$B$27</f>
        <v>37</v>
      </c>
      <c r="E31" s="41">
        <f>'[8]Dados de entrada'!$B$27</f>
        <v>4.2587999999999999</v>
      </c>
      <c r="F31" s="37">
        <f>'[8]Dados de entrada'!$B$30</f>
        <v>20</v>
      </c>
      <c r="G31" s="37">
        <f>'[8]Dados de entrada'!$B$22</f>
        <v>54</v>
      </c>
      <c r="H31" s="42">
        <f>'[8]Dados de entrada'!$B$29/('[8]Dados de entrada'!$B$20*2*G31)</f>
        <v>5.9259259259259262E-2</v>
      </c>
      <c r="I31" s="25">
        <f>'[8]fib Model Code 2010'!$K$9</f>
        <v>305.43952983608006</v>
      </c>
      <c r="J31" s="4">
        <f>'[8]Dados de entrada'!$C$11</f>
        <v>0.44</v>
      </c>
      <c r="K31" s="11">
        <f>'[8]fib Model Code 2010'!$L$9</f>
        <v>0.10330691419433347</v>
      </c>
      <c r="L31" s="11"/>
      <c r="M31" s="11"/>
      <c r="N31" s="11">
        <f>'[8]fib Model Code 2020'!$L$9</f>
        <v>0.14534688748117627</v>
      </c>
      <c r="O31" s="11">
        <f t="shared" si="49"/>
        <v>0.33033383518449155</v>
      </c>
      <c r="P31" s="11">
        <f t="shared" si="38"/>
        <v>-1.1076515140948995</v>
      </c>
      <c r="Q31" s="11">
        <f>'[8]Eurocode 2'!$L$9</f>
        <v>0.12107712215511736</v>
      </c>
      <c r="R31" s="11"/>
      <c r="S31" s="11"/>
      <c r="T31" s="11">
        <f>'[8]NBR 6118'!$Q$9</f>
        <v>0.10854152583292943</v>
      </c>
      <c r="U31" s="11">
        <f>'[8]NBR 6118'!$R$9</f>
        <v>0.21138832303946115</v>
      </c>
      <c r="V31" s="11"/>
      <c r="W31" s="11"/>
      <c r="X31" s="11">
        <f>'[8]Clark (1956)'!$L$9</f>
        <v>0.12779438070585877</v>
      </c>
      <c r="Y31" s="11">
        <f t="shared" si="29"/>
        <v>0.2904417743314972</v>
      </c>
      <c r="Z31" s="11">
        <f t="shared" si="41"/>
        <v>-1.2363521553732812</v>
      </c>
      <c r="AA31" s="11">
        <f>'[8]Leonhardt (1977)'!$L$9</f>
        <v>0.21221936042033682</v>
      </c>
      <c r="AB31" s="11">
        <f t="shared" si="30"/>
        <v>0.48231672822803823</v>
      </c>
      <c r="AC31" s="11">
        <f t="shared" si="42"/>
        <v>-0.72915426822912321</v>
      </c>
      <c r="AD31" s="11">
        <f>'[8]Desayi; Ganesan (1985)'!$L$9</f>
        <v>0.26316752598442344</v>
      </c>
      <c r="AE31" s="11">
        <f t="shared" si="31"/>
        <v>0.59810801360096233</v>
      </c>
      <c r="AF31" s="11">
        <f t="shared" si="43"/>
        <v>-0.5139839165914184</v>
      </c>
      <c r="AG31" s="11">
        <f>'[8]Oh; Kang (1987)'!$L$9</f>
        <v>0.14884009505821524</v>
      </c>
      <c r="AH31" s="11">
        <f t="shared" si="32"/>
        <v>0.33827294331412555</v>
      </c>
      <c r="AI31" s="11">
        <f t="shared" si="44"/>
        <v>-1.0839021847736803</v>
      </c>
      <c r="AJ31" s="11">
        <f>'[8]Caldas (1997)'!$L$9</f>
        <v>0.14337472034379523</v>
      </c>
      <c r="AK31" s="11">
        <f t="shared" si="33"/>
        <v>0.32585163714498916</v>
      </c>
      <c r="AL31" s="11">
        <f t="shared" si="45"/>
        <v>-1.1213131019874627</v>
      </c>
      <c r="AM31" s="11">
        <v>0.235157932341059</v>
      </c>
      <c r="AN31" s="11">
        <f t="shared" si="34"/>
        <v>0.5344498462296795</v>
      </c>
      <c r="AO31" s="11">
        <f t="shared" si="46"/>
        <v>-0.62651738597916729</v>
      </c>
      <c r="AP31" s="11">
        <v>0.16063643415105472</v>
      </c>
      <c r="AQ31" s="11">
        <f t="shared" si="35"/>
        <v>0.36508280488876071</v>
      </c>
      <c r="AR31" s="11">
        <f t="shared" si="47"/>
        <v>-1.0076310884201651</v>
      </c>
      <c r="AS31" s="11">
        <v>0.22215390817295699</v>
      </c>
      <c r="AT31" s="11">
        <f t="shared" si="36"/>
        <v>0.50489524584762957</v>
      </c>
      <c r="AU31" s="11">
        <f t="shared" si="48"/>
        <v>-0.68340430518926776</v>
      </c>
      <c r="AZ31" t="b">
        <f t="shared" si="0"/>
        <v>0</v>
      </c>
      <c r="BB31" t="b">
        <f t="shared" si="1"/>
        <v>1</v>
      </c>
      <c r="BD31" t="b">
        <f t="shared" si="2"/>
        <v>1</v>
      </c>
    </row>
    <row r="32" spans="1:56">
      <c r="A32" s="88"/>
      <c r="B32" s="37">
        <f>'[8]Dados de entrada'!$B$28</f>
        <v>16</v>
      </c>
      <c r="C32" s="37">
        <f>'[8]Dados de entrada'!$B$31</f>
        <v>4</v>
      </c>
      <c r="D32" s="41">
        <f>'[8]Leonhardt (1977)'!$B$27</f>
        <v>37</v>
      </c>
      <c r="E32" s="41">
        <f>'[8]Dados de entrada'!$B$27</f>
        <v>4.2587999999999999</v>
      </c>
      <c r="F32" s="37">
        <f>'[8]Dados de entrada'!$B$30</f>
        <v>20</v>
      </c>
      <c r="G32" s="37">
        <f>'[8]Dados de entrada'!$B$22</f>
        <v>54</v>
      </c>
      <c r="H32" s="42">
        <f>'[8]Dados de entrada'!$B$29/('[8]Dados de entrada'!$B$20*2*G32)</f>
        <v>5.9259259259259262E-2</v>
      </c>
      <c r="I32" s="25">
        <f>'[8]fib Model Code 2010'!$K$10</f>
        <v>405.00682755225324</v>
      </c>
      <c r="J32" s="4">
        <f>'[8]Dados de entrada'!$C$12</f>
        <v>0.6</v>
      </c>
      <c r="K32" s="11">
        <f>'[8]fib Model Code 2010'!$L$10</f>
        <v>0.14142322784294711</v>
      </c>
      <c r="L32" s="11"/>
      <c r="M32" s="11"/>
      <c r="N32" s="11">
        <f>'[8]fib Model Code 2020'!$L$10</f>
        <v>0.20553703883234614</v>
      </c>
      <c r="O32" s="11">
        <f t="shared" si="49"/>
        <v>0.34256173138724361</v>
      </c>
      <c r="P32" s="11">
        <f t="shared" si="38"/>
        <v>-1.071303399893718</v>
      </c>
      <c r="Q32" s="11">
        <f>'[8]Eurocode 2'!$L$10</f>
        <v>0.16574996520465934</v>
      </c>
      <c r="R32" s="11"/>
      <c r="S32" s="11"/>
      <c r="T32" s="11">
        <f>'[8]NBR 6118'!$Q$10</f>
        <v>0.14392393498925204</v>
      </c>
      <c r="U32" s="11">
        <f>'[8]NBR 6118'!$R$10</f>
        <v>0.37166802296900547</v>
      </c>
      <c r="V32" s="11"/>
      <c r="W32" s="11"/>
      <c r="X32" s="11">
        <f>'[8]Clark (1956)'!$L$10</f>
        <v>0.17161394843074659</v>
      </c>
      <c r="Y32" s="11">
        <f t="shared" si="29"/>
        <v>0.28602324738457768</v>
      </c>
      <c r="Z32" s="11">
        <f t="shared" si="41"/>
        <v>-1.2516821869042349</v>
      </c>
      <c r="AA32" s="11">
        <f>'[8]Leonhardt (1977)'!$L$10</f>
        <v>0.28716680216592066</v>
      </c>
      <c r="AB32" s="11">
        <f t="shared" si="30"/>
        <v>0.47861133694320113</v>
      </c>
      <c r="AC32" s="11">
        <f t="shared" si="42"/>
        <v>-0.73686641606755887</v>
      </c>
      <c r="AD32" s="11">
        <f>'[8]Desayi; Ganesan (1985)'!$L$10</f>
        <v>0.34895497930777719</v>
      </c>
      <c r="AE32" s="11">
        <f t="shared" si="31"/>
        <v>0.58159163217962873</v>
      </c>
      <c r="AF32" s="11">
        <f t="shared" si="43"/>
        <v>-0.54198674045293782</v>
      </c>
      <c r="AG32" s="11">
        <f>'[8]Oh; Kang (1987)'!$L$10</f>
        <v>0.20479702137483155</v>
      </c>
      <c r="AH32" s="11">
        <f t="shared" si="32"/>
        <v>0.34132836895805257</v>
      </c>
      <c r="AI32" s="11">
        <f t="shared" si="44"/>
        <v>-1.0749103062247649</v>
      </c>
      <c r="AJ32" s="11">
        <f>'[8]Caldas (1997)'!$L$10</f>
        <v>0.19359060118528054</v>
      </c>
      <c r="AK32" s="11">
        <f t="shared" si="33"/>
        <v>0.32265100197546759</v>
      </c>
      <c r="AL32" s="11">
        <f t="shared" si="45"/>
        <v>-1.1311840291488338</v>
      </c>
      <c r="AM32" s="11">
        <v>0.31181480734439448</v>
      </c>
      <c r="AN32" s="11">
        <f t="shared" si="34"/>
        <v>0.51969134557399088</v>
      </c>
      <c r="AO32" s="11">
        <f t="shared" si="46"/>
        <v>-0.65452020984068648</v>
      </c>
      <c r="AP32" s="11">
        <v>0.23435062190242334</v>
      </c>
      <c r="AQ32" s="11">
        <f t="shared" si="35"/>
        <v>0.39058436983737227</v>
      </c>
      <c r="AR32" s="11">
        <f t="shared" si="47"/>
        <v>-0.94011127711754783</v>
      </c>
      <c r="AS32" s="11">
        <v>0.32189306206178087</v>
      </c>
      <c r="AT32" s="11">
        <f t="shared" si="36"/>
        <v>0.53648843676963476</v>
      </c>
      <c r="AU32" s="11">
        <f t="shared" si="48"/>
        <v>-0.62271027022914471</v>
      </c>
      <c r="AZ32" t="b">
        <f t="shared" si="0"/>
        <v>0</v>
      </c>
      <c r="BB32" t="b">
        <f t="shared" si="1"/>
        <v>1</v>
      </c>
      <c r="BD32" t="b">
        <f t="shared" si="2"/>
        <v>1</v>
      </c>
    </row>
    <row r="33" spans="1:56">
      <c r="A33" s="90" t="s">
        <v>20</v>
      </c>
      <c r="B33" s="67">
        <f>'[9]Dados de entrada'!$B$28</f>
        <v>12</v>
      </c>
      <c r="C33" s="67">
        <f>'[9]Dados de entrada'!$B$31</f>
        <v>4</v>
      </c>
      <c r="D33" s="67">
        <f>'[9]Dados de entrada'!$B$32</f>
        <v>79.3</v>
      </c>
      <c r="E33" s="68">
        <f>'[9]Dados de entrada'!$B$27</f>
        <v>2.6933292113182881</v>
      </c>
      <c r="F33" s="67">
        <f>'[9]Dados de entrada'!$B$30</f>
        <v>32</v>
      </c>
      <c r="G33" s="67">
        <f>'[9]Dados de entrada'!$B$22</f>
        <v>38</v>
      </c>
      <c r="H33" s="69">
        <f>'[9]Dados de entrada'!$B$29/('[9]Dados de entrada'!$B$20*2*G33)</f>
        <v>1.6992481203007517E-2</v>
      </c>
      <c r="I33" s="26">
        <f>'[9]fib Model Code 2010'!$K$6</f>
        <v>300.43295624924116</v>
      </c>
      <c r="J33" s="19">
        <f>'[9]Dados de entrada'!$C$8</f>
        <v>0.36</v>
      </c>
      <c r="K33" s="20">
        <f>'[9]fib Model Code 2010'!$L$6</f>
        <v>0.26398215376277612</v>
      </c>
      <c r="L33" s="20">
        <f t="shared" si="26"/>
        <v>0.73328376045215593</v>
      </c>
      <c r="M33" s="20">
        <f t="shared" si="37"/>
        <v>-0.31022252997220456</v>
      </c>
      <c r="N33" s="20">
        <f>'[9]fib Model Code 2020'!$L$6</f>
        <v>0.26271820049061689</v>
      </c>
      <c r="O33" s="20">
        <f t="shared" si="49"/>
        <v>0.72977277914060246</v>
      </c>
      <c r="P33" s="20">
        <f t="shared" si="38"/>
        <v>-0.31502205474282968</v>
      </c>
      <c r="Q33" s="20">
        <f>'[9]Eurocode 2'!$L$6</f>
        <v>0.23331596795328791</v>
      </c>
      <c r="R33" s="20">
        <f t="shared" si="28"/>
        <v>0.64809991098135533</v>
      </c>
      <c r="S33" s="20">
        <f t="shared" si="39"/>
        <v>-0.43371041090173135</v>
      </c>
      <c r="T33" s="20">
        <f>'[9]NBR 6118'!$Q$6</f>
        <v>0.27932606045708902</v>
      </c>
      <c r="U33" s="20">
        <f>'[9]NBR 6118'!$R$6</f>
        <v>0.22693428965131127</v>
      </c>
      <c r="V33" s="20">
        <f>'[9]NBR 6118'!$W$6</f>
        <v>0.63037302680919793</v>
      </c>
      <c r="W33" s="20">
        <f t="shared" si="40"/>
        <v>-0.46144352877583311</v>
      </c>
      <c r="X33" s="20">
        <f>'[9]Clark (1956)'!$L$6</f>
        <v>0.19901621546256626</v>
      </c>
      <c r="Y33" s="20">
        <f t="shared" si="29"/>
        <v>0.55282282072935074</v>
      </c>
      <c r="Z33" s="20">
        <f t="shared" si="41"/>
        <v>-0.59271772530885025</v>
      </c>
      <c r="AA33" s="20">
        <f>'[9]Leonhardt (1977)'!$L$6</f>
        <v>0.34838263613442921</v>
      </c>
      <c r="AB33" s="20">
        <f t="shared" si="30"/>
        <v>0.967729544817859</v>
      </c>
      <c r="AC33" s="20">
        <f t="shared" si="42"/>
        <v>-3.2802626593171152E-2</v>
      </c>
      <c r="AD33" s="20">
        <f>'[9]Desayi; Ganesan (1985)'!$L$6</f>
        <v>0.24008937879822945</v>
      </c>
      <c r="AE33" s="20">
        <f t="shared" si="31"/>
        <v>0.66691494110619298</v>
      </c>
      <c r="AF33" s="20">
        <f t="shared" si="43"/>
        <v>-0.40509276577688508</v>
      </c>
      <c r="AG33" s="20">
        <f>'[9]Oh; Kang (1987)'!$L$6</f>
        <v>0.15276891917136376</v>
      </c>
      <c r="AH33" s="20">
        <f t="shared" si="32"/>
        <v>0.42435810880934377</v>
      </c>
      <c r="AI33" s="20">
        <f t="shared" si="44"/>
        <v>-0.85717758397243671</v>
      </c>
      <c r="AJ33" s="20">
        <f>'[9]Caldas (1997)'!$L$6</f>
        <v>0.25002482779531143</v>
      </c>
      <c r="AK33" s="20">
        <f t="shared" si="33"/>
        <v>0.69451341054253179</v>
      </c>
      <c r="AL33" s="20">
        <f t="shared" si="45"/>
        <v>-0.36454380733769237</v>
      </c>
      <c r="AM33" s="20" cm="1">
        <f t="array" ref="AM33:AM37">'[9]Gergely e Lutz (1968)'!$L$6:$L$10</f>
        <v>0.23257512149335927</v>
      </c>
      <c r="AN33" s="20">
        <f t="shared" si="34"/>
        <v>0.64604200414822022</v>
      </c>
      <c r="AO33" s="20">
        <f t="shared" si="46"/>
        <v>-0.43689075541209771</v>
      </c>
      <c r="AP33" s="20" cm="1">
        <f t="array" ref="AP33:AP37">[9]Sugestão!$M$6:$M$10</f>
        <v>0.34403441271139223</v>
      </c>
      <c r="AQ33" s="20">
        <f t="shared" si="35"/>
        <v>0.95565114642053406</v>
      </c>
      <c r="AR33" s="20">
        <f t="shared" si="47"/>
        <v>-4.536234212839782E-2</v>
      </c>
      <c r="AS33" s="20" cm="1">
        <f t="array" ref="AS33:AS37">'[9]fib Model Code 2020 modificado'!$L$6:$L$10</f>
        <v>0.31027905774682607</v>
      </c>
      <c r="AT33" s="20">
        <f t="shared" si="36"/>
        <v>0.86188627151896136</v>
      </c>
      <c r="AU33" s="20">
        <f t="shared" si="48"/>
        <v>-0.14863195261556214</v>
      </c>
      <c r="AZ33" t="b">
        <f t="shared" si="0"/>
        <v>1</v>
      </c>
      <c r="BB33" t="b">
        <f t="shared" si="1"/>
        <v>0</v>
      </c>
      <c r="BD33" t="b">
        <f t="shared" si="2"/>
        <v>1</v>
      </c>
    </row>
    <row r="34" spans="1:56">
      <c r="A34" s="90"/>
      <c r="B34" s="67">
        <f>'[9]Dados de entrada'!$B$28</f>
        <v>12</v>
      </c>
      <c r="C34" s="67">
        <f>'[9]Dados de entrada'!$B$31</f>
        <v>4</v>
      </c>
      <c r="D34" s="67">
        <f>'[9]Dados de entrada'!$B$32</f>
        <v>79.3</v>
      </c>
      <c r="E34" s="68">
        <f>'[9]Dados de entrada'!$B$27</f>
        <v>2.6933292113182881</v>
      </c>
      <c r="F34" s="67">
        <f>'[9]Dados de entrada'!$B$30</f>
        <v>32</v>
      </c>
      <c r="G34" s="67">
        <f>'[9]Dados de entrada'!$B$22</f>
        <v>38</v>
      </c>
      <c r="H34" s="69">
        <f>'[9]Dados de entrada'!$B$29/('[9]Dados de entrada'!$B$20*2*G34)</f>
        <v>1.6992481203007517E-2</v>
      </c>
      <c r="I34" s="26">
        <f>'[9]fib Model Code 2010'!$K$7</f>
        <v>386.27094374902435</v>
      </c>
      <c r="J34" s="19">
        <f>'[9]Dados de entrada'!$C$9</f>
        <v>0.43</v>
      </c>
      <c r="K34" s="20">
        <f>'[9]fib Model Code 2010'!$L$7</f>
        <v>0.39669046774087013</v>
      </c>
      <c r="L34" s="20">
        <f t="shared" si="26"/>
        <v>0.92253597149039568</v>
      </c>
      <c r="M34" s="20">
        <f t="shared" si="37"/>
        <v>-8.0628910342157217E-2</v>
      </c>
      <c r="N34" s="20">
        <f>'[9]fib Model Code 2020'!$L$7</f>
        <v>0.39776006136079389</v>
      </c>
      <c r="O34" s="20">
        <f t="shared" si="49"/>
        <v>0.92502339851347415</v>
      </c>
      <c r="P34" s="20">
        <f t="shared" si="38"/>
        <v>-7.7936246099400114E-2</v>
      </c>
      <c r="Q34" s="20">
        <f>'[9]Eurocode 2'!$L$7</f>
        <v>0.3321075898906467</v>
      </c>
      <c r="R34" s="20">
        <f t="shared" si="28"/>
        <v>0.77234323230382951</v>
      </c>
      <c r="S34" s="20">
        <f t="shared" si="39"/>
        <v>-0.25832622633346053</v>
      </c>
      <c r="T34" s="20">
        <f>'[9]NBR 6118'!$Q$7</f>
        <v>0.35913350630197144</v>
      </c>
      <c r="U34" s="20">
        <f>'[9]NBR 6118'!$R$7</f>
        <v>0.37513627472971839</v>
      </c>
      <c r="V34" s="20">
        <f>'[9]NBR 6118'!$W$7</f>
        <v>0.83519420070225914</v>
      </c>
      <c r="W34" s="20">
        <f t="shared" si="40"/>
        <v>-0.18009100548148663</v>
      </c>
      <c r="X34" s="20">
        <f>'[9]Clark (1956)'!$L$7</f>
        <v>0.29782409498510426</v>
      </c>
      <c r="Y34" s="20">
        <f t="shared" si="29"/>
        <v>0.69261417438396344</v>
      </c>
      <c r="Z34" s="20">
        <f t="shared" si="41"/>
        <v>-0.36728218175403676</v>
      </c>
      <c r="AA34" s="20">
        <f>'[9]Leonhardt (1977)'!$L$7</f>
        <v>0.52320849591990093</v>
      </c>
      <c r="AB34" s="20">
        <f t="shared" si="30"/>
        <v>1.2167639439997697</v>
      </c>
      <c r="AC34" s="20">
        <f t="shared" si="42"/>
        <v>0.19619482970255542</v>
      </c>
      <c r="AD34" s="20">
        <f>'[9]Desayi; Ganesan (1985)'!$L$7</f>
        <v>0.30868634416915214</v>
      </c>
      <c r="AE34" s="20">
        <f t="shared" si="31"/>
        <v>0.7178752189980282</v>
      </c>
      <c r="AF34" s="20">
        <f t="shared" si="43"/>
        <v>-0.3314595147334316</v>
      </c>
      <c r="AG34" s="20">
        <f>'[9]Oh; Kang (1987)'!$L$7</f>
        <v>0.20312113558454717</v>
      </c>
      <c r="AH34" s="20">
        <f t="shared" si="32"/>
        <v>0.47237473391755158</v>
      </c>
      <c r="AI34" s="20">
        <f t="shared" si="44"/>
        <v>-0.74998268059911721</v>
      </c>
      <c r="AJ34" s="20">
        <f>'[9]Caldas (1997)'!$L$7</f>
        <v>0.33594505364732091</v>
      </c>
      <c r="AK34" s="20">
        <f t="shared" si="33"/>
        <v>0.78126756662167651</v>
      </c>
      <c r="AL34" s="20">
        <f t="shared" si="45"/>
        <v>-0.24683759290856988</v>
      </c>
      <c r="AM34" s="20">
        <v>0.2990251562057476</v>
      </c>
      <c r="AN34" s="20">
        <f t="shared" si="34"/>
        <v>0.69540734001336657</v>
      </c>
      <c r="AO34" s="20">
        <f t="shared" si="46"/>
        <v>-0.36325750436864412</v>
      </c>
      <c r="AP34" s="20">
        <v>0.5422958223217913</v>
      </c>
      <c r="AQ34" s="20">
        <f t="shared" si="35"/>
        <v>1.2611530751669566</v>
      </c>
      <c r="AR34" s="20">
        <f t="shared" si="47"/>
        <v>0.23202644150036136</v>
      </c>
      <c r="AS34" s="20">
        <v>0.46590305794093373</v>
      </c>
      <c r="AT34" s="20">
        <f t="shared" si="36"/>
        <v>1.0834954835835668</v>
      </c>
      <c r="AU34" s="20">
        <f t="shared" si="48"/>
        <v>8.019237362709053E-2</v>
      </c>
      <c r="AZ34" t="b">
        <f t="shared" si="0"/>
        <v>1</v>
      </c>
      <c r="BB34" t="b">
        <f t="shared" si="1"/>
        <v>0</v>
      </c>
      <c r="BD34" t="b">
        <f t="shared" si="2"/>
        <v>1</v>
      </c>
    </row>
    <row r="35" spans="1:56">
      <c r="A35" s="90"/>
      <c r="B35" s="67">
        <f>'[9]Dados de entrada'!$B$28</f>
        <v>12</v>
      </c>
      <c r="C35" s="67">
        <f>'[9]Dados de entrada'!$B$31</f>
        <v>4</v>
      </c>
      <c r="D35" s="67">
        <f>'[9]Dados de entrada'!$B$32</f>
        <v>79.3</v>
      </c>
      <c r="E35" s="68">
        <f>'[9]Dados de entrada'!$B$27</f>
        <v>2.6933292113182881</v>
      </c>
      <c r="F35" s="67">
        <f>'[9]Dados de entrada'!$B$30</f>
        <v>32</v>
      </c>
      <c r="G35" s="67">
        <f>'[9]Dados de entrada'!$B$22</f>
        <v>38</v>
      </c>
      <c r="H35" s="69">
        <f>'[9]Dados de entrada'!$B$29/('[9]Dados de entrada'!$B$20*2*G35)</f>
        <v>1.6992481203007517E-2</v>
      </c>
      <c r="I35" s="26">
        <f>'[9]fib Model Code 2010'!$K$8</f>
        <v>500</v>
      </c>
      <c r="J35" s="19">
        <f>'[9]Dados de entrada'!$C$10</f>
        <v>0.56000000000000005</v>
      </c>
      <c r="K35" s="20">
        <f>'[9]fib Model Code 2010'!$L$8</f>
        <v>0.57251927902823763</v>
      </c>
      <c r="L35" s="20">
        <f t="shared" si="26"/>
        <v>1.0223558554075671</v>
      </c>
      <c r="M35" s="20">
        <f t="shared" si="37"/>
        <v>2.2109626290697983E-2</v>
      </c>
      <c r="N35" s="20">
        <f>'[9]fib Model Code 2020'!$L$8</f>
        <v>0.57668065163185067</v>
      </c>
      <c r="O35" s="20">
        <f t="shared" si="49"/>
        <v>1.0297868779140189</v>
      </c>
      <c r="P35" s="20">
        <f t="shared" si="38"/>
        <v>2.9351866185171948E-2</v>
      </c>
      <c r="Q35" s="20">
        <f>'[9]Eurocode 2'!$L$8</f>
        <v>0.47931073062285534</v>
      </c>
      <c r="R35" s="20">
        <f t="shared" si="28"/>
        <v>0.8559120189693844</v>
      </c>
      <c r="S35" s="20">
        <f t="shared" si="39"/>
        <v>-0.15558768970060524</v>
      </c>
      <c r="T35" s="20">
        <f>'[9]NBR 6118'!$Q$8</f>
        <v>0.45193571713743219</v>
      </c>
      <c r="U35" s="20">
        <f>'[9]NBR 6118'!$R$8</f>
        <v>0.59406031512087509</v>
      </c>
      <c r="V35" s="20">
        <f>'[9]NBR 6118'!$W$8</f>
        <v>0.8070280663168431</v>
      </c>
      <c r="W35" s="20">
        <f t="shared" si="40"/>
        <v>-0.21439683273350046</v>
      </c>
      <c r="X35" s="20">
        <f>'[9]Clark (1956)'!$L$8</f>
        <v>0.42873730970005475</v>
      </c>
      <c r="Y35" s="20">
        <f t="shared" si="29"/>
        <v>0.76560233875009764</v>
      </c>
      <c r="Z35" s="20">
        <f t="shared" si="41"/>
        <v>-0.26709238405430497</v>
      </c>
      <c r="AA35" s="20">
        <f>'[9]Leonhardt (1977)'!$L$8</f>
        <v>0.73742133167676249</v>
      </c>
      <c r="AB35" s="20">
        <f t="shared" si="30"/>
        <v>1.3168238065656472</v>
      </c>
      <c r="AC35" s="20">
        <f t="shared" si="42"/>
        <v>0.27522262988238244</v>
      </c>
      <c r="AD35" s="20">
        <f>'[9]Desayi; Ganesan (1985)'!$L$8</f>
        <v>0.39957230690605344</v>
      </c>
      <c r="AE35" s="20">
        <f t="shared" si="31"/>
        <v>0.71352197661795247</v>
      </c>
      <c r="AF35" s="20">
        <f t="shared" si="43"/>
        <v>-0.33754204139319705</v>
      </c>
      <c r="AG35" s="20">
        <f>'[9]Oh; Kang (1987)'!$L$8</f>
        <v>0.26983414015994794</v>
      </c>
      <c r="AH35" s="20">
        <f t="shared" si="32"/>
        <v>0.48184667885704985</v>
      </c>
      <c r="AI35" s="20">
        <f t="shared" si="44"/>
        <v>-0.73012930919162833</v>
      </c>
      <c r="AJ35" s="20">
        <f>'[9]Caldas (1997)'!$L$8</f>
        <v>0.44978306970104531</v>
      </c>
      <c r="AK35" s="20">
        <f t="shared" si="33"/>
        <v>0.80318405303758089</v>
      </c>
      <c r="AL35" s="20">
        <f t="shared" si="45"/>
        <v>-0.21917138452765161</v>
      </c>
      <c r="AM35" s="20">
        <v>0.38706659282148359</v>
      </c>
      <c r="AN35" s="20">
        <f t="shared" si="34"/>
        <v>0.69119034432407778</v>
      </c>
      <c r="AO35" s="20">
        <f t="shared" si="46"/>
        <v>-0.36934003102840957</v>
      </c>
      <c r="AP35" s="20">
        <v>0.78660896418685322</v>
      </c>
      <c r="AQ35" s="20">
        <f t="shared" si="35"/>
        <v>1.4046588646193807</v>
      </c>
      <c r="AR35" s="20">
        <f t="shared" si="47"/>
        <v>0.33979447232213122</v>
      </c>
      <c r="AS35" s="20">
        <v>0.67688057522388723</v>
      </c>
      <c r="AT35" s="20">
        <f t="shared" si="36"/>
        <v>1.2087153128997985</v>
      </c>
      <c r="AU35" s="20">
        <f t="shared" si="48"/>
        <v>0.18955807070332925</v>
      </c>
      <c r="AZ35" t="b">
        <f t="shared" si="0"/>
        <v>1</v>
      </c>
      <c r="BB35" t="b">
        <f t="shared" si="1"/>
        <v>0</v>
      </c>
      <c r="BD35" t="b">
        <f t="shared" si="2"/>
        <v>1</v>
      </c>
    </row>
    <row r="36" spans="1:56">
      <c r="A36" s="90"/>
      <c r="B36" s="67">
        <f>'[9]Dados de entrada'!$B$28</f>
        <v>12</v>
      </c>
      <c r="C36" s="67">
        <f>'[9]Dados de entrada'!$B$31</f>
        <v>4</v>
      </c>
      <c r="D36" s="67">
        <f>'[9]Dados de entrada'!$B$32</f>
        <v>79.3</v>
      </c>
      <c r="E36" s="68">
        <f>'[9]Dados de entrada'!$B$27</f>
        <v>2.6933292113182881</v>
      </c>
      <c r="F36" s="67">
        <f>'[9]Dados de entrada'!$B$30</f>
        <v>32</v>
      </c>
      <c r="G36" s="67">
        <f>'[9]Dados de entrada'!$B$22</f>
        <v>38</v>
      </c>
      <c r="H36" s="69">
        <f>'[9]Dados de entrada'!$B$29/('[9]Dados de entrada'!$B$20*2*G36)</f>
        <v>1.6992481203007517E-2</v>
      </c>
      <c r="I36" s="26">
        <f>'[9]fib Model Code 2010'!$K$9</f>
        <v>500</v>
      </c>
      <c r="J36" s="19">
        <f>'[9]Dados de entrada'!$C$11</f>
        <v>0.71</v>
      </c>
      <c r="K36" s="20">
        <f>'[9]fib Model Code 2010'!$L$9</f>
        <v>0.57251927902823763</v>
      </c>
      <c r="L36" s="20">
        <f t="shared" si="26"/>
        <v>0.80636518172991223</v>
      </c>
      <c r="M36" s="20">
        <f t="shared" si="37"/>
        <v>-0.21521856001546805</v>
      </c>
      <c r="N36" s="20">
        <f>'[9]fib Model Code 2020'!$L$9</f>
        <v>0.57668065163185067</v>
      </c>
      <c r="O36" s="20">
        <f t="shared" si="49"/>
        <v>0.81222626990401503</v>
      </c>
      <c r="P36" s="20">
        <f t="shared" si="38"/>
        <v>-0.2079763201209941</v>
      </c>
      <c r="Q36" s="20">
        <f>'[9]Eurocode 2'!$L$9</f>
        <v>0.47931073062285534</v>
      </c>
      <c r="R36" s="20">
        <f t="shared" si="28"/>
        <v>0.67508553608852873</v>
      </c>
      <c r="S36" s="20">
        <f t="shared" si="39"/>
        <v>-0.39291587600677114</v>
      </c>
      <c r="T36" s="20">
        <f>'[9]NBR 6118'!$Q$9</f>
        <v>0.45193571713743219</v>
      </c>
      <c r="U36" s="20">
        <f>'[9]NBR 6118'!$R$9</f>
        <v>0.59406031512087509</v>
      </c>
      <c r="V36" s="20">
        <f>'[9]NBR 6118'!$W$9</f>
        <v>0.63652917906680595</v>
      </c>
      <c r="W36" s="20">
        <f t="shared" si="40"/>
        <v>-0.45172501903966644</v>
      </c>
      <c r="X36" s="20">
        <f>'[9]Clark (1956)'!$L$9</f>
        <v>0.42873730970005475</v>
      </c>
      <c r="Y36" s="20">
        <f t="shared" si="29"/>
        <v>0.60385536577472498</v>
      </c>
      <c r="Z36" s="20">
        <f t="shared" si="41"/>
        <v>-0.50442057036047105</v>
      </c>
      <c r="AA36" s="20">
        <f>'[9]Leonhardt (1977)'!$L$9</f>
        <v>0.73742133167676249</v>
      </c>
      <c r="AB36" s="20">
        <f t="shared" si="30"/>
        <v>1.0386215939109331</v>
      </c>
      <c r="AC36" s="20">
        <f t="shared" si="42"/>
        <v>3.7894443576216311E-2</v>
      </c>
      <c r="AD36" s="20">
        <f>'[9]Desayi; Ganesan (1985)'!$L$9</f>
        <v>0.39957230690605344</v>
      </c>
      <c r="AE36" s="20">
        <f t="shared" si="31"/>
        <v>0.56277789705077952</v>
      </c>
      <c r="AF36" s="20">
        <f t="shared" si="43"/>
        <v>-0.57487022769936302</v>
      </c>
      <c r="AG36" s="20">
        <f>'[9]Oh; Kang (1987)'!$L$9</f>
        <v>0.26983414015994794</v>
      </c>
      <c r="AH36" s="20">
        <f t="shared" si="32"/>
        <v>0.38004808473232105</v>
      </c>
      <c r="AI36" s="20">
        <f t="shared" si="44"/>
        <v>-0.96745749549779447</v>
      </c>
      <c r="AJ36" s="20">
        <f>'[9]Caldas (1997)'!$L$9</f>
        <v>0.44978306970104531</v>
      </c>
      <c r="AK36" s="20">
        <f t="shared" si="33"/>
        <v>0.63349728126907789</v>
      </c>
      <c r="AL36" s="20">
        <f t="shared" si="45"/>
        <v>-0.45649957083381776</v>
      </c>
      <c r="AM36" s="20">
        <v>0.38706659282148359</v>
      </c>
      <c r="AN36" s="20">
        <f t="shared" si="34"/>
        <v>0.54516421524152625</v>
      </c>
      <c r="AO36" s="20">
        <f t="shared" si="46"/>
        <v>-0.60666821733457554</v>
      </c>
      <c r="AP36" s="20">
        <v>0.78660896418685322</v>
      </c>
      <c r="AQ36" s="20">
        <f t="shared" si="35"/>
        <v>1.1078999495589483</v>
      </c>
      <c r="AR36" s="20">
        <f t="shared" si="47"/>
        <v>0.10246628601596518</v>
      </c>
      <c r="AS36" s="20">
        <v>0.67688057522388723</v>
      </c>
      <c r="AT36" s="20">
        <f t="shared" si="36"/>
        <v>0.9533529228505454</v>
      </c>
      <c r="AU36" s="20">
        <f t="shared" si="48"/>
        <v>-4.7770115602836824E-2</v>
      </c>
      <c r="AZ36" t="b">
        <f t="shared" si="0"/>
        <v>1</v>
      </c>
      <c r="BB36" t="b">
        <f t="shared" si="1"/>
        <v>0</v>
      </c>
      <c r="BD36" t="b">
        <f t="shared" si="2"/>
        <v>1</v>
      </c>
    </row>
    <row r="37" spans="1:56">
      <c r="A37" s="86"/>
      <c r="B37" s="67">
        <f>'[9]Dados de entrada'!$B$28</f>
        <v>12</v>
      </c>
      <c r="C37" s="67">
        <f>'[9]Dados de entrada'!$B$31</f>
        <v>4</v>
      </c>
      <c r="D37" s="67">
        <f>'[9]Dados de entrada'!$B$32</f>
        <v>79.3</v>
      </c>
      <c r="E37" s="68">
        <f>'[9]Dados de entrada'!$B$27</f>
        <v>2.6933292113182881</v>
      </c>
      <c r="F37" s="67">
        <f>'[9]Dados de entrada'!$B$30</f>
        <v>32</v>
      </c>
      <c r="G37" s="67">
        <f>'[9]Dados de entrada'!$B$22</f>
        <v>38</v>
      </c>
      <c r="H37" s="69">
        <f>'[9]Dados de entrada'!$B$29/('[9]Dados de entrada'!$B$20*2*G37)</f>
        <v>1.6992481203007517E-2</v>
      </c>
      <c r="I37" s="26">
        <f>'[9]fib Model Code 2010'!$K$10</f>
        <v>500</v>
      </c>
      <c r="J37" s="19">
        <f>'[9]Dados de entrada'!$C$12</f>
        <v>0.79</v>
      </c>
      <c r="K37" s="20">
        <f>'[9]fib Model Code 2010'!$L$10</f>
        <v>0.57251927902823763</v>
      </c>
      <c r="L37" s="20">
        <f t="shared" si="26"/>
        <v>0.72470794813700967</v>
      </c>
      <c r="M37" s="20">
        <f t="shared" si="37"/>
        <v>-0.32198653544117417</v>
      </c>
      <c r="N37" s="20">
        <f>'[9]fib Model Code 2020'!$L$10</f>
        <v>0.57668065163185067</v>
      </c>
      <c r="O37" s="20">
        <f t="shared" si="49"/>
        <v>0.72997550839474767</v>
      </c>
      <c r="P37" s="20">
        <f t="shared" si="38"/>
        <v>-0.31474429554670019</v>
      </c>
      <c r="Q37" s="20">
        <f>'[9]Eurocode 2'!$L$10</f>
        <v>0.47931073062285534</v>
      </c>
      <c r="R37" s="20">
        <f t="shared" si="28"/>
        <v>0.60672244382639917</v>
      </c>
      <c r="S37" s="20">
        <f t="shared" si="39"/>
        <v>-0.49968385143247734</v>
      </c>
      <c r="T37" s="20">
        <f>'[9]NBR 6118'!$Q$10</f>
        <v>0.45193571713743219</v>
      </c>
      <c r="U37" s="20">
        <f>'[9]NBR 6118'!$R$10</f>
        <v>0.59406031512087509</v>
      </c>
      <c r="V37" s="20">
        <f>'[9]NBR 6118'!$W$10</f>
        <v>0.57207052802206604</v>
      </c>
      <c r="W37" s="20">
        <f t="shared" si="40"/>
        <v>-0.55849299446537271</v>
      </c>
      <c r="X37" s="20">
        <f>'[9]Clark (1956)'!$L$10</f>
        <v>0.42873730970005475</v>
      </c>
      <c r="Y37" s="20">
        <f t="shared" si="29"/>
        <v>0.54270545531652492</v>
      </c>
      <c r="Z37" s="20">
        <f t="shared" si="41"/>
        <v>-0.61118854578617721</v>
      </c>
      <c r="AA37" s="20">
        <f>'[9]Leonhardt (1977)'!$L$10</f>
        <v>0.73742133167676249</v>
      </c>
      <c r="AB37" s="20">
        <f t="shared" si="30"/>
        <v>0.93344472364147146</v>
      </c>
      <c r="AC37" s="20">
        <f t="shared" si="42"/>
        <v>-6.8873531849489841E-2</v>
      </c>
      <c r="AD37" s="20">
        <f>'[9]Desayi; Ganesan (1985)'!$L$10</f>
        <v>0.39957230690605344</v>
      </c>
      <c r="AE37" s="20">
        <f t="shared" si="31"/>
        <v>0.50578773026082713</v>
      </c>
      <c r="AF37" s="20">
        <f t="shared" si="43"/>
        <v>-0.68163820312506918</v>
      </c>
      <c r="AG37" s="20">
        <f>'[9]Oh; Kang (1987)'!$L$10</f>
        <v>0.26983414015994794</v>
      </c>
      <c r="AH37" s="20">
        <f t="shared" si="32"/>
        <v>0.34156220273411131</v>
      </c>
      <c r="AI37" s="20">
        <f t="shared" si="44"/>
        <v>-1.0742254709235006</v>
      </c>
      <c r="AJ37" s="20">
        <f>'[9]Caldas (1997)'!$L$10</f>
        <v>0.44978306970104531</v>
      </c>
      <c r="AK37" s="20">
        <f t="shared" si="33"/>
        <v>0.56934565784942437</v>
      </c>
      <c r="AL37" s="20">
        <f t="shared" si="45"/>
        <v>-0.56326754625952402</v>
      </c>
      <c r="AM37" s="20">
        <v>0.38706659282148359</v>
      </c>
      <c r="AN37" s="20">
        <f t="shared" si="34"/>
        <v>0.48995771243225766</v>
      </c>
      <c r="AO37" s="20">
        <f t="shared" si="46"/>
        <v>-0.71343619276028181</v>
      </c>
      <c r="AP37" s="20">
        <v>0.78660896418685322</v>
      </c>
      <c r="AQ37" s="20">
        <f t="shared" si="35"/>
        <v>0.99570754960361163</v>
      </c>
      <c r="AR37" s="20">
        <f t="shared" si="47"/>
        <v>-4.3016894097410502E-3</v>
      </c>
      <c r="AS37" s="20">
        <v>0.67688057522388723</v>
      </c>
      <c r="AT37" s="20">
        <f t="shared" si="36"/>
        <v>0.85681085471378127</v>
      </c>
      <c r="AU37" s="20">
        <f t="shared" si="48"/>
        <v>-0.15453809102854293</v>
      </c>
      <c r="AZ37" t="b">
        <f t="shared" si="0"/>
        <v>1</v>
      </c>
      <c r="BB37" t="b">
        <f t="shared" si="1"/>
        <v>0</v>
      </c>
      <c r="BD37" t="b">
        <f t="shared" si="2"/>
        <v>1</v>
      </c>
    </row>
    <row r="38" spans="1:56" ht="15.6" customHeight="1">
      <c r="A38" s="87" t="s">
        <v>23</v>
      </c>
      <c r="B38" s="37">
        <f>'[10]Dados de entrada'!$B$28</f>
        <v>25</v>
      </c>
      <c r="C38" s="37">
        <f>'[10]Dados de entrada'!$B$31</f>
        <v>4</v>
      </c>
      <c r="D38" s="37">
        <f>'[10]Dados de entrada'!$B$32</f>
        <v>62</v>
      </c>
      <c r="E38" s="41">
        <f>'[10]Dados de entrada'!$B$27</f>
        <v>2.6933292113182881</v>
      </c>
      <c r="F38" s="37">
        <f>'[10]Dados de entrada'!$B$30</f>
        <v>32</v>
      </c>
      <c r="G38" s="37">
        <f>'[10]Dados de entrada'!$B$22</f>
        <v>44.5</v>
      </c>
      <c r="H38" s="42">
        <f>'[10]Dados de entrada'!$B$29/('[10]Dados de entrada'!$B$20*2*G38)</f>
        <v>6.3049759229534513E-2</v>
      </c>
      <c r="I38" s="25">
        <f>'[10]fib Model Code 2010'!$K$5</f>
        <v>85.210124180795688</v>
      </c>
      <c r="J38" s="4">
        <f>'[10]Dados de entrada'!$C$7</f>
        <v>0.15</v>
      </c>
      <c r="K38" s="11">
        <f>'[10]fib Model Code 2010'!$L$5</f>
        <v>4.2830419555331803E-2</v>
      </c>
      <c r="L38" s="11">
        <f t="shared" si="26"/>
        <v>0.2855361303688787</v>
      </c>
      <c r="M38" s="11">
        <f t="shared" si="37"/>
        <v>-1.2533867066885216</v>
      </c>
      <c r="N38" s="11">
        <f>'[10]fib Model Code 2020'!$L$5</f>
        <v>4.1078708915824935E-2</v>
      </c>
      <c r="O38" s="11"/>
      <c r="P38" s="11"/>
      <c r="Q38" s="11">
        <f>'[10]Eurocode 2'!$L$5</f>
        <v>4.7759122106798169E-2</v>
      </c>
      <c r="R38" s="11">
        <f t="shared" si="28"/>
        <v>0.31839414737865446</v>
      </c>
      <c r="S38" s="11">
        <f t="shared" si="39"/>
        <v>-1.1444652065292953</v>
      </c>
      <c r="T38" s="11">
        <f>'[10]NBR 6118'!$Q$5</f>
        <v>8.3899400744937097E-2</v>
      </c>
      <c r="U38" s="11">
        <f>'[10]NBR 6118'!$R$5</f>
        <v>3.9488243261364124E-2</v>
      </c>
      <c r="V38" s="11"/>
      <c r="W38" s="11"/>
      <c r="X38" s="11">
        <f>'[10]Clark (1956)'!$L$5</f>
        <v>3.4841196424858105E-2</v>
      </c>
      <c r="Y38" s="11">
        <f t="shared" si="29"/>
        <v>0.23227464283238738</v>
      </c>
      <c r="Z38" s="11">
        <f t="shared" si="41"/>
        <v>-1.4598348021488183</v>
      </c>
      <c r="AA38" s="11">
        <f>'[10]Leonhardt (1977)'!$L$5</f>
        <v>3.3217082876863327E-2</v>
      </c>
      <c r="AB38" s="11"/>
      <c r="AC38" s="11"/>
      <c r="AD38" s="11">
        <f>'[10]Desayi; Ganesan (1985)'!$L$5</f>
        <v>6.3652881508084999E-2</v>
      </c>
      <c r="AE38" s="11">
        <f t="shared" si="31"/>
        <v>0.42435254338723333</v>
      </c>
      <c r="AF38" s="11">
        <f t="shared" si="43"/>
        <v>-0.85719069897717037</v>
      </c>
      <c r="AG38" s="11">
        <f>'[10]Oh; Kang (1987)'!$L$5</f>
        <v>3.4441476106329125E-2</v>
      </c>
      <c r="AH38" s="11">
        <f t="shared" si="32"/>
        <v>0.22960984070886084</v>
      </c>
      <c r="AI38" s="11">
        <f t="shared" si="44"/>
        <v>-1.471373755224969</v>
      </c>
      <c r="AJ38" s="11">
        <f>'[10]Caldas (1997)'!$L$5</f>
        <v>6.7581379984200246E-2</v>
      </c>
      <c r="AK38" s="11">
        <f t="shared" si="33"/>
        <v>0.45054253322800164</v>
      </c>
      <c r="AL38" s="11">
        <f t="shared" si="45"/>
        <v>-0.7973027930097154</v>
      </c>
      <c r="AM38" s="11" cm="1">
        <f t="array" ref="AM38:AM44">'[10]Gergely e Lutz (1968)'!$L$5:$L$11</f>
        <v>7.6910474837279794E-2</v>
      </c>
      <c r="AN38" s="11">
        <f t="shared" si="34"/>
        <v>0.51273649891519868</v>
      </c>
      <c r="AO38" s="11">
        <f t="shared" si="46"/>
        <v>-0.66799321311214577</v>
      </c>
      <c r="AP38" s="11" cm="1">
        <f t="array" ref="AP38:AP44">[10]Sugestão!$M$5:$M$11</f>
        <v>4.1078708915824935E-2</v>
      </c>
      <c r="AQ38" s="11"/>
      <c r="AR38" s="11"/>
      <c r="AS38" s="11" cm="1">
        <f t="array" ref="AS38:AS44">'[10]fib Model Code 2020 modificado'!$L$5:$L$11</f>
        <v>7.0068154643554523E-2</v>
      </c>
      <c r="AT38" s="11">
        <f t="shared" si="36"/>
        <v>0.46712103095703017</v>
      </c>
      <c r="AU38" s="11">
        <f t="shared" si="48"/>
        <v>-0.76116688795964538</v>
      </c>
      <c r="AZ38" t="b">
        <f t="shared" si="0"/>
        <v>0</v>
      </c>
      <c r="BB38" t="b">
        <f t="shared" si="1"/>
        <v>1</v>
      </c>
      <c r="BD38" t="b">
        <f t="shared" si="2"/>
        <v>1</v>
      </c>
    </row>
    <row r="39" spans="1:56">
      <c r="A39" s="88"/>
      <c r="B39" s="37">
        <f>'[10]Dados de entrada'!$B$28</f>
        <v>25</v>
      </c>
      <c r="C39" s="37">
        <f>'[10]Dados de entrada'!$B$31</f>
        <v>4</v>
      </c>
      <c r="D39" s="37">
        <f>'[10]Dados de entrada'!$B$32</f>
        <v>62</v>
      </c>
      <c r="E39" s="41">
        <f>'[10]Dados de entrada'!$B$27</f>
        <v>2.6933292113182881</v>
      </c>
      <c r="F39" s="37">
        <f>'[10]Dados de entrada'!$B$30</f>
        <v>32</v>
      </c>
      <c r="G39" s="37">
        <f>'[10]Dados de entrada'!$B$22</f>
        <v>44.5</v>
      </c>
      <c r="H39" s="42">
        <f>'[10]Dados de entrada'!$B$29/('[10]Dados de entrada'!$B$20*2*G39)</f>
        <v>6.3049759229534513E-2</v>
      </c>
      <c r="I39" s="25">
        <f>'[10]fib Model Code 2010'!$K$6</f>
        <v>106.51265522599461</v>
      </c>
      <c r="J39" s="4">
        <f>'[10]Dados de entrada'!$C$8</f>
        <v>0.2</v>
      </c>
      <c r="K39" s="11">
        <f>'[10]fib Model Code 2010'!$L$6</f>
        <v>6.3227388513615201E-2</v>
      </c>
      <c r="L39" s="11">
        <f t="shared" si="26"/>
        <v>0.31613694256807601</v>
      </c>
      <c r="M39" s="11">
        <f t="shared" si="37"/>
        <v>-1.1515797967124553</v>
      </c>
      <c r="N39" s="11">
        <f>'[10]fib Model Code 2020'!$L$6</f>
        <v>6.128577010593881E-2</v>
      </c>
      <c r="O39" s="11">
        <f t="shared" ref="O39:O102" si="50">N39/J39</f>
        <v>0.30642885052969404</v>
      </c>
      <c r="P39" s="11">
        <f t="shared" si="38"/>
        <v>-1.1827696858562335</v>
      </c>
      <c r="Q39" s="11">
        <f>'[10]Eurocode 2'!$L$6</f>
        <v>6.1685729194447148E-2</v>
      </c>
      <c r="R39" s="11">
        <f t="shared" si="28"/>
        <v>0.30842864597223574</v>
      </c>
      <c r="S39" s="11">
        <f t="shared" si="39"/>
        <v>-1.1762647558340895</v>
      </c>
      <c r="T39" s="11">
        <f>'[10]NBR 6118'!$Q$6</f>
        <v>0.10487425093117136</v>
      </c>
      <c r="U39" s="11">
        <f>'[10]NBR 6118'!$R$6</f>
        <v>6.1700380095881441E-2</v>
      </c>
      <c r="V39" s="11">
        <f>'[10]NBR 6118'!$W$6</f>
        <v>0.30850190047940718</v>
      </c>
      <c r="W39" s="11">
        <f t="shared" si="40"/>
        <v>-1.1760272752686123</v>
      </c>
      <c r="X39" s="11">
        <f>'[10]Clark (1956)'!$L$6</f>
        <v>4.8609340041895432E-2</v>
      </c>
      <c r="Y39" s="11">
        <f t="shared" si="29"/>
        <v>0.24304670020947716</v>
      </c>
      <c r="Z39" s="11">
        <f t="shared" si="41"/>
        <v>-1.4145016721741657</v>
      </c>
      <c r="AA39" s="11">
        <f>'[10]Leonhardt (1977)'!$L$6</f>
        <v>8.3108795017623249E-2</v>
      </c>
      <c r="AB39" s="11">
        <f t="shared" si="30"/>
        <v>0.41554397508811625</v>
      </c>
      <c r="AC39" s="11">
        <f t="shared" si="42"/>
        <v>-0.87816683373309734</v>
      </c>
      <c r="AD39" s="11">
        <f>'[10]Desayi; Ganesan (1985)'!$L$6</f>
        <v>7.9566101885106238E-2</v>
      </c>
      <c r="AE39" s="11">
        <f t="shared" si="31"/>
        <v>0.39783050942553116</v>
      </c>
      <c r="AF39" s="11">
        <f t="shared" si="43"/>
        <v>-0.92172922011474168</v>
      </c>
      <c r="AG39" s="11">
        <f>'[10]Oh; Kang (1987)'!$L$6</f>
        <v>5.0669934384026352E-2</v>
      </c>
      <c r="AH39" s="11">
        <f t="shared" si="32"/>
        <v>0.25334967192013175</v>
      </c>
      <c r="AI39" s="11">
        <f t="shared" si="44"/>
        <v>-1.372984642027973</v>
      </c>
      <c r="AJ39" s="11">
        <f>'[10]Caldas (1997)'!$L$6</f>
        <v>9.0550252029073575E-2</v>
      </c>
      <c r="AK39" s="11">
        <f t="shared" si="33"/>
        <v>0.45275126014536787</v>
      </c>
      <c r="AL39" s="11">
        <f t="shared" si="45"/>
        <v>-0.7924123989085885</v>
      </c>
      <c r="AM39" s="11">
        <v>9.6138093546599732E-2</v>
      </c>
      <c r="AN39" s="11">
        <f t="shared" si="34"/>
        <v>0.48069046773299862</v>
      </c>
      <c r="AO39" s="11">
        <f t="shared" si="46"/>
        <v>-0.73253173424971718</v>
      </c>
      <c r="AP39" s="11">
        <v>6.128577010593881E-2</v>
      </c>
      <c r="AQ39" s="11">
        <f t="shared" si="35"/>
        <v>0.30642885052969404</v>
      </c>
      <c r="AR39" s="11">
        <f t="shared" si="47"/>
        <v>-1.1827696858562335</v>
      </c>
      <c r="AS39" s="11">
        <v>9.9804834478334159E-2</v>
      </c>
      <c r="AT39" s="11">
        <f t="shared" si="36"/>
        <v>0.49902417239167079</v>
      </c>
      <c r="AU39" s="11">
        <f t="shared" si="48"/>
        <v>-0.69510074273720313</v>
      </c>
      <c r="AZ39" t="b">
        <f t="shared" si="0"/>
        <v>0</v>
      </c>
      <c r="BB39" t="b">
        <f t="shared" si="1"/>
        <v>1</v>
      </c>
      <c r="BD39" t="b">
        <f t="shared" si="2"/>
        <v>1</v>
      </c>
    </row>
    <row r="40" spans="1:56">
      <c r="A40" s="88"/>
      <c r="B40" s="37">
        <f>'[10]Dados de entrada'!$B$28</f>
        <v>25</v>
      </c>
      <c r="C40" s="37">
        <f>'[10]Dados de entrada'!$B$31</f>
        <v>4</v>
      </c>
      <c r="D40" s="37">
        <f>'[10]Dados de entrada'!$B$32</f>
        <v>62</v>
      </c>
      <c r="E40" s="41">
        <f>'[10]Dados de entrada'!$B$27</f>
        <v>2.6933292113182881</v>
      </c>
      <c r="F40" s="37">
        <f>'[10]Dados de entrada'!$B$30</f>
        <v>32</v>
      </c>
      <c r="G40" s="37">
        <f>'[10]Dados de entrada'!$B$22</f>
        <v>44.5</v>
      </c>
      <c r="H40" s="42">
        <f>'[10]Dados de entrada'!$B$29/('[10]Dados de entrada'!$B$20*2*G40)</f>
        <v>6.3049759229534513E-2</v>
      </c>
      <c r="I40" s="25">
        <f>'[10]fib Model Code 2010'!$K$7</f>
        <v>191.72277940679027</v>
      </c>
      <c r="J40" s="4">
        <f>'[10]Dados de entrada'!$C$9</f>
        <v>0.25</v>
      </c>
      <c r="K40" s="11">
        <f>'[10]fib Model Code 2010'!$L$7</f>
        <v>0.14481526434674882</v>
      </c>
      <c r="L40" s="11">
        <f t="shared" si="26"/>
        <v>0.57926105738699529</v>
      </c>
      <c r="M40" s="11">
        <f t="shared" si="37"/>
        <v>-0.54600202670727149</v>
      </c>
      <c r="N40" s="11">
        <f>'[10]fib Model Code 2020'!$L$7</f>
        <v>0.16398254239550109</v>
      </c>
      <c r="O40" s="11">
        <f t="shared" si="50"/>
        <v>0.65593016958200434</v>
      </c>
      <c r="P40" s="11">
        <f t="shared" si="38"/>
        <v>-0.42170094451204465</v>
      </c>
      <c r="Q40" s="11">
        <f>'[10]Eurocode 2'!$L$7</f>
        <v>0.14128426603911076</v>
      </c>
      <c r="R40" s="11">
        <f t="shared" si="28"/>
        <v>0.56513706415644305</v>
      </c>
      <c r="S40" s="11">
        <f t="shared" si="39"/>
        <v>-0.57068698582890554</v>
      </c>
      <c r="T40" s="11">
        <f>'[10]NBR 6118'!$Q$7</f>
        <v>0.18877365167610849</v>
      </c>
      <c r="U40" s="11">
        <f>'[10]NBR 6118'!$R$7</f>
        <v>0.19990923151065582</v>
      </c>
      <c r="V40" s="11">
        <f>'[10]NBR 6118'!$W$7</f>
        <v>0.75509460670443396</v>
      </c>
      <c r="W40" s="11">
        <f t="shared" si="40"/>
        <v>-0.28091223069007532</v>
      </c>
      <c r="X40" s="11">
        <f>'[10]Clark (1956)'!$L$7</f>
        <v>0.10368191451004474</v>
      </c>
      <c r="Y40" s="11">
        <f t="shared" si="29"/>
        <v>0.41472765804017897</v>
      </c>
      <c r="Z40" s="11">
        <f t="shared" si="41"/>
        <v>-0.88013321986120718</v>
      </c>
      <c r="AA40" s="11">
        <f>'[10]Leonhardt (1977)'!$L$7</f>
        <v>0.24160162736185395</v>
      </c>
      <c r="AB40" s="11">
        <f t="shared" si="30"/>
        <v>0.9664065094474158</v>
      </c>
      <c r="AC40" s="11">
        <f t="shared" si="42"/>
        <v>-3.417071605500871E-2</v>
      </c>
      <c r="AD40" s="11">
        <f>'[10]Desayi; Ganesan (1985)'!$L$7</f>
        <v>0.14321898339319122</v>
      </c>
      <c r="AE40" s="11">
        <f t="shared" si="31"/>
        <v>0.57287593357276489</v>
      </c>
      <c r="AF40" s="11">
        <f t="shared" si="43"/>
        <v>-0.55708610652683244</v>
      </c>
      <c r="AG40" s="11">
        <f>'[10]Oh; Kang (1987)'!$L$7</f>
        <v>0.11558376749481522</v>
      </c>
      <c r="AH40" s="11">
        <f t="shared" si="32"/>
        <v>0.46233506997926088</v>
      </c>
      <c r="AI40" s="11">
        <f t="shared" si="44"/>
        <v>-0.77146539107874768</v>
      </c>
      <c r="AJ40" s="11">
        <f>'[10]Caldas (1997)'!$L$7</f>
        <v>0.18242574020856681</v>
      </c>
      <c r="AK40" s="11">
        <f t="shared" si="33"/>
        <v>0.72970296083426722</v>
      </c>
      <c r="AL40" s="11">
        <f t="shared" si="45"/>
        <v>-0.3151177306139335</v>
      </c>
      <c r="AM40" s="11">
        <v>0.1730485683838795</v>
      </c>
      <c r="AN40" s="11">
        <f t="shared" si="34"/>
        <v>0.69219427353551799</v>
      </c>
      <c r="AO40" s="11">
        <f t="shared" si="46"/>
        <v>-0.367888620661808</v>
      </c>
      <c r="AP40" s="11">
        <v>0.16438242054594365</v>
      </c>
      <c r="AQ40" s="11">
        <f t="shared" si="35"/>
        <v>0.65752968218377461</v>
      </c>
      <c r="AR40" s="11">
        <f t="shared" si="47"/>
        <v>-0.41926537194343655</v>
      </c>
      <c r="AS40" s="11">
        <v>0.24974911019749291</v>
      </c>
      <c r="AT40" s="11">
        <f t="shared" si="36"/>
        <v>0.99899644078997163</v>
      </c>
      <c r="AU40" s="11">
        <f t="shared" si="48"/>
        <v>-1.0040631127313955E-3</v>
      </c>
      <c r="AZ40" t="b">
        <f t="shared" si="0"/>
        <v>0</v>
      </c>
      <c r="BB40" t="b">
        <f t="shared" si="1"/>
        <v>1</v>
      </c>
      <c r="BD40" t="b">
        <f t="shared" si="2"/>
        <v>1</v>
      </c>
    </row>
    <row r="41" spans="1:56">
      <c r="A41" s="88"/>
      <c r="B41" s="37">
        <f>'[10]Dados de entrada'!$B$28</f>
        <v>25</v>
      </c>
      <c r="C41" s="37">
        <f>'[10]Dados de entrada'!$B$31</f>
        <v>4</v>
      </c>
      <c r="D41" s="37">
        <f>'[10]Dados de entrada'!$B$32</f>
        <v>62</v>
      </c>
      <c r="E41" s="41">
        <f>'[10]Dados de entrada'!$B$27</f>
        <v>2.6933292113182881</v>
      </c>
      <c r="F41" s="37">
        <f>'[10]Dados de entrada'!$B$30</f>
        <v>32</v>
      </c>
      <c r="G41" s="37">
        <f>'[10]Dados de entrada'!$B$22</f>
        <v>44.5</v>
      </c>
      <c r="H41" s="42">
        <f>'[10]Dados de entrada'!$B$29/('[10]Dados de entrada'!$B$20*2*G41)</f>
        <v>6.3049759229534513E-2</v>
      </c>
      <c r="I41" s="25">
        <f>'[10]fib Model Code 2010'!$K$8</f>
        <v>276.93290358758594</v>
      </c>
      <c r="J41" s="4">
        <f>'[10]Dados de entrada'!$C$10</f>
        <v>0.36</v>
      </c>
      <c r="K41" s="11">
        <f>'[10]fib Model Code 2010'!$L$8</f>
        <v>0.22640314017988247</v>
      </c>
      <c r="L41" s="11">
        <f t="shared" ref="L41:L72" si="51">K41/J41</f>
        <v>0.62889761161078472</v>
      </c>
      <c r="M41" s="11">
        <f t="shared" si="37"/>
        <v>-0.46378681516483156</v>
      </c>
      <c r="N41" s="11">
        <f>'[10]fib Model Code 2020'!$L$8</f>
        <v>0.2666793146850634</v>
      </c>
      <c r="O41" s="11">
        <f t="shared" si="50"/>
        <v>0.74077587412517609</v>
      </c>
      <c r="P41" s="11">
        <f t="shared" si="38"/>
        <v>-0.30005716350612049</v>
      </c>
      <c r="Q41" s="11">
        <f>'[10]Eurocode 2'!$L$8</f>
        <v>0.22088280288377435</v>
      </c>
      <c r="R41" s="11">
        <f t="shared" si="28"/>
        <v>0.61356334134381763</v>
      </c>
      <c r="S41" s="11">
        <f t="shared" si="39"/>
        <v>-0.48847177428646599</v>
      </c>
      <c r="T41" s="11">
        <f>'[10]NBR 6118'!$Q$8</f>
        <v>0.27267305242104556</v>
      </c>
      <c r="U41" s="11">
        <f>'[10]NBR 6118'!$R$8</f>
        <v>0.41709456944815854</v>
      </c>
      <c r="V41" s="11">
        <f>'[10]NBR 6118'!$W$8</f>
        <v>0.75742514561401542</v>
      </c>
      <c r="W41" s="11">
        <f t="shared" si="40"/>
        <v>-0.27783056415266738</v>
      </c>
      <c r="X41" s="11">
        <f>'[10]Clark (1956)'!$L$8</f>
        <v>0.15875448897819405</v>
      </c>
      <c r="Y41" s="11">
        <f t="shared" si="29"/>
        <v>0.4409846916060946</v>
      </c>
      <c r="Z41" s="11">
        <f t="shared" si="41"/>
        <v>-0.81874511704914821</v>
      </c>
      <c r="AA41" s="11">
        <f>'[10]Leonhardt (1977)'!$L$8</f>
        <v>0.37987340556759402</v>
      </c>
      <c r="AB41" s="11">
        <f t="shared" si="30"/>
        <v>1.0552039043544279</v>
      </c>
      <c r="AC41" s="11">
        <f t="shared" si="42"/>
        <v>5.3734022522564318E-2</v>
      </c>
      <c r="AD41" s="11">
        <f>'[10]Desayi; Ganesan (1985)'!$L$8</f>
        <v>0.20687186490127621</v>
      </c>
      <c r="AE41" s="11">
        <f t="shared" si="31"/>
        <v>0.57464406917021171</v>
      </c>
      <c r="AF41" s="11">
        <f t="shared" si="43"/>
        <v>-0.55400443998942428</v>
      </c>
      <c r="AG41" s="11">
        <f>'[10]Oh; Kang (1987)'!$L$8</f>
        <v>0.18049760060560405</v>
      </c>
      <c r="AH41" s="11">
        <f t="shared" si="32"/>
        <v>0.50138222390445575</v>
      </c>
      <c r="AI41" s="11">
        <f t="shared" si="44"/>
        <v>-0.6903865468093181</v>
      </c>
      <c r="AJ41" s="11">
        <f>'[10]Caldas (1997)'!$L$8</f>
        <v>0.27430122838806004</v>
      </c>
      <c r="AK41" s="11">
        <f t="shared" si="33"/>
        <v>0.76194785663350018</v>
      </c>
      <c r="AL41" s="11">
        <f t="shared" si="45"/>
        <v>-0.27187715525173284</v>
      </c>
      <c r="AM41" s="11">
        <v>0.24995904322115928</v>
      </c>
      <c r="AN41" s="11">
        <f t="shared" si="34"/>
        <v>0.69433067561433137</v>
      </c>
      <c r="AO41" s="11">
        <f t="shared" si="46"/>
        <v>-0.36480695412439978</v>
      </c>
      <c r="AP41" s="11">
        <v>0.28713401134859573</v>
      </c>
      <c r="AQ41" s="11">
        <f t="shared" si="35"/>
        <v>0.79759447596832145</v>
      </c>
      <c r="AR41" s="11">
        <f t="shared" si="47"/>
        <v>-0.22615498617554139</v>
      </c>
      <c r="AS41" s="11">
        <v>0.41429983207814519</v>
      </c>
      <c r="AT41" s="11">
        <f t="shared" si="36"/>
        <v>1.1508328668837366</v>
      </c>
      <c r="AU41" s="11">
        <f t="shared" si="48"/>
        <v>0.14048591231847962</v>
      </c>
      <c r="AZ41" t="b">
        <f t="shared" si="0"/>
        <v>0</v>
      </c>
      <c r="BB41" t="b">
        <f t="shared" si="1"/>
        <v>1</v>
      </c>
      <c r="BD41" t="b">
        <f t="shared" si="2"/>
        <v>1</v>
      </c>
    </row>
    <row r="42" spans="1:56">
      <c r="A42" s="88"/>
      <c r="B42" s="37">
        <f>'[10]Dados de entrada'!$B$28</f>
        <v>25</v>
      </c>
      <c r="C42" s="37">
        <f>'[10]Dados de entrada'!$B$31</f>
        <v>4</v>
      </c>
      <c r="D42" s="37">
        <f>'[10]Dados de entrada'!$B$32</f>
        <v>62</v>
      </c>
      <c r="E42" s="41">
        <f>'[10]Dados de entrada'!$B$27</f>
        <v>2.6933292113182881</v>
      </c>
      <c r="F42" s="37">
        <f>'[10]Dados de entrada'!$B$30</f>
        <v>32</v>
      </c>
      <c r="G42" s="37">
        <f>'[10]Dados de entrada'!$B$22</f>
        <v>44.5</v>
      </c>
      <c r="H42" s="42">
        <f>'[10]Dados de entrada'!$B$29/('[10]Dados de entrada'!$B$20*2*G42)</f>
        <v>6.3049759229534513E-2</v>
      </c>
      <c r="I42" s="25">
        <f>'[10]fib Model Code 2010'!$K$9</f>
        <v>362.14302776838161</v>
      </c>
      <c r="J42" s="4">
        <f>'[10]Dados de entrada'!$C$11</f>
        <v>0.47</v>
      </c>
      <c r="K42" s="11">
        <f>'[10]fib Model Code 2010'!$L$9</f>
        <v>0.30799101601301604</v>
      </c>
      <c r="L42" s="11">
        <f t="shared" si="51"/>
        <v>0.65530003407024695</v>
      </c>
      <c r="M42" s="11">
        <f t="shared" si="37"/>
        <v>-0.42266208094485608</v>
      </c>
      <c r="N42" s="11">
        <f>'[10]fib Model Code 2020'!$L$9</f>
        <v>0.36937608697462571</v>
      </c>
      <c r="O42" s="11">
        <f t="shared" si="50"/>
        <v>0.78590656803111858</v>
      </c>
      <c r="P42" s="11">
        <f t="shared" si="38"/>
        <v>-0.24091736380796797</v>
      </c>
      <c r="Q42" s="11">
        <f>'[10]Eurocode 2'!$L$9</f>
        <v>0.30048133972843794</v>
      </c>
      <c r="R42" s="11">
        <f t="shared" si="28"/>
        <v>0.63932199942220835</v>
      </c>
      <c r="S42" s="11">
        <f t="shared" si="39"/>
        <v>-0.44734704006649034</v>
      </c>
      <c r="T42" s="11">
        <f>'[10]NBR 6118'!$Q$9</f>
        <v>0.35657245316598268</v>
      </c>
      <c r="U42" s="11">
        <f>'[10]NBR 6118'!$R$9</f>
        <v>0.71325639390838957</v>
      </c>
      <c r="V42" s="11">
        <f>'[10]NBR 6118'!$W$9</f>
        <v>0.75866479397017594</v>
      </c>
      <c r="W42" s="11">
        <f t="shared" si="40"/>
        <v>-0.27619524081193647</v>
      </c>
      <c r="X42" s="11">
        <f>'[10]Clark (1956)'!$L$9</f>
        <v>0.21382706344634334</v>
      </c>
      <c r="Y42" s="11">
        <f t="shared" si="29"/>
        <v>0.45495119882200713</v>
      </c>
      <c r="Z42" s="11">
        <f t="shared" si="41"/>
        <v>-0.78756512111969956</v>
      </c>
      <c r="AA42" s="11">
        <f>'[10]Leonhardt (1977)'!$L$9</f>
        <v>0.51219781490907224</v>
      </c>
      <c r="AB42" s="11">
        <f t="shared" si="30"/>
        <v>1.0897825849129197</v>
      </c>
      <c r="AC42" s="11">
        <f t="shared" si="42"/>
        <v>8.5978212962943681E-2</v>
      </c>
      <c r="AD42" s="11">
        <f>'[10]Desayi; Ganesan (1985)'!$L$9</f>
        <v>0.27052474640936119</v>
      </c>
      <c r="AE42" s="11">
        <f t="shared" si="31"/>
        <v>0.57558456682842807</v>
      </c>
      <c r="AF42" s="11">
        <f t="shared" si="43"/>
        <v>-0.55236911664869359</v>
      </c>
      <c r="AG42" s="11">
        <f>'[10]Oh; Kang (1987)'!$L$9</f>
        <v>0.24541143371639296</v>
      </c>
      <c r="AH42" s="11">
        <f t="shared" si="32"/>
        <v>0.52215198663062334</v>
      </c>
      <c r="AI42" s="11">
        <f t="shared" si="44"/>
        <v>-0.64979657135133373</v>
      </c>
      <c r="AJ42" s="11">
        <f>'[10]Caldas (1997)'!$L$9</f>
        <v>0.36617671656755335</v>
      </c>
      <c r="AK42" s="11">
        <f t="shared" si="33"/>
        <v>0.77909939695224117</v>
      </c>
      <c r="AL42" s="11">
        <f t="shared" si="45"/>
        <v>-0.24961664567688951</v>
      </c>
      <c r="AM42" s="11">
        <v>0.32686951805843906</v>
      </c>
      <c r="AN42" s="11">
        <f t="shared" si="34"/>
        <v>0.69546705969880651</v>
      </c>
      <c r="AO42" s="11">
        <f t="shared" si="46"/>
        <v>-0.3631716307836691</v>
      </c>
      <c r="AP42" s="11">
        <v>0.40988560215124781</v>
      </c>
      <c r="AQ42" s="11">
        <f t="shared" si="35"/>
        <v>0.87209702585371884</v>
      </c>
      <c r="AR42" s="11">
        <f t="shared" si="47"/>
        <v>-0.13685459308213208</v>
      </c>
      <c r="AS42" s="11">
        <v>0.59345700012029101</v>
      </c>
      <c r="AT42" s="11">
        <f t="shared" si="36"/>
        <v>1.2626744683410447</v>
      </c>
      <c r="AU42" s="11">
        <f t="shared" si="48"/>
        <v>0.23323206536502195</v>
      </c>
      <c r="AZ42" t="b">
        <f t="shared" si="0"/>
        <v>0</v>
      </c>
      <c r="BB42" t="b">
        <f t="shared" si="1"/>
        <v>1</v>
      </c>
      <c r="BD42" t="b">
        <f t="shared" si="2"/>
        <v>1</v>
      </c>
    </row>
    <row r="43" spans="1:56">
      <c r="A43" s="88"/>
      <c r="B43" s="37">
        <f>'[10]Dados de entrada'!$B$28</f>
        <v>25</v>
      </c>
      <c r="C43" s="37">
        <f>'[10]Dados de entrada'!$B$31</f>
        <v>4</v>
      </c>
      <c r="D43" s="37">
        <f>'[10]Dados de entrada'!$B$32</f>
        <v>62</v>
      </c>
      <c r="E43" s="41">
        <f>'[10]Dados de entrada'!$B$27</f>
        <v>2.6933292113182881</v>
      </c>
      <c r="F43" s="37">
        <f>'[10]Dados de entrada'!$B$30</f>
        <v>32</v>
      </c>
      <c r="G43" s="37">
        <f>'[10]Dados de entrada'!$B$22</f>
        <v>44.5</v>
      </c>
      <c r="H43" s="42">
        <f>'[10]Dados de entrada'!$B$29/('[10]Dados de entrada'!$B$20*2*G43)</f>
        <v>6.3049759229534513E-2</v>
      </c>
      <c r="I43" s="25">
        <f>'[10]fib Model Code 2010'!$K$10</f>
        <v>426.05062090397843</v>
      </c>
      <c r="J43" s="4">
        <f>'[10]Dados de entrada'!$C$12</f>
        <v>0.56999999999999995</v>
      </c>
      <c r="K43" s="11">
        <f>'[10]fib Model Code 2010'!$L$10</f>
        <v>0.36918192288786633</v>
      </c>
      <c r="L43" s="11">
        <f t="shared" si="51"/>
        <v>0.64768758401380067</v>
      </c>
      <c r="M43" s="11">
        <f t="shared" si="37"/>
        <v>-0.43434682232422761</v>
      </c>
      <c r="N43" s="11">
        <f>'[10]fib Model Code 2020'!$L$10</f>
        <v>0.44639866619179752</v>
      </c>
      <c r="O43" s="11">
        <f t="shared" si="50"/>
        <v>0.78315555472245191</v>
      </c>
      <c r="P43" s="11">
        <f t="shared" si="38"/>
        <v>-0.24442393768755888</v>
      </c>
      <c r="Q43" s="11">
        <f>'[10]Eurocode 2'!$L$10</f>
        <v>0.36018024236193569</v>
      </c>
      <c r="R43" s="11">
        <f t="shared" si="28"/>
        <v>0.63189516203848373</v>
      </c>
      <c r="S43" s="11">
        <f t="shared" si="39"/>
        <v>-0.45903178144586182</v>
      </c>
      <c r="T43" s="11">
        <f>'[10]NBR 6118'!$Q$10</f>
        <v>0.41949700372468546</v>
      </c>
      <c r="U43" s="11">
        <f>'[10]NBR 6118'!$R$10</f>
        <v>0.98720608153410305</v>
      </c>
      <c r="V43" s="11">
        <f>'[10]NBR 6118'!$W$10</f>
        <v>0.735959655657343</v>
      </c>
      <c r="W43" s="11">
        <f t="shared" si="40"/>
        <v>-0.30657997743865312</v>
      </c>
      <c r="X43" s="11">
        <f>'[10]Clark (1956)'!$L$10</f>
        <v>0.25513149429745535</v>
      </c>
      <c r="Y43" s="11">
        <f t="shared" si="29"/>
        <v>0.44759911280255327</v>
      </c>
      <c r="Z43" s="11">
        <f t="shared" si="41"/>
        <v>-0.80385728466752593</v>
      </c>
      <c r="AA43" s="11">
        <f>'[10]Leonhardt (1977)'!$L$10</f>
        <v>0.60968478954745375</v>
      </c>
      <c r="AB43" s="11">
        <f t="shared" si="30"/>
        <v>1.0696224378025505</v>
      </c>
      <c r="AC43" s="11">
        <f t="shared" si="42"/>
        <v>6.7305724336642073E-2</v>
      </c>
      <c r="AD43" s="11">
        <f>'[10]Desayi; Ganesan (1985)'!$L$10</f>
        <v>0.31826440754042495</v>
      </c>
      <c r="AE43" s="11">
        <f t="shared" si="31"/>
        <v>0.55835860972004381</v>
      </c>
      <c r="AF43" s="11">
        <f t="shared" si="43"/>
        <v>-0.58275385327541007</v>
      </c>
      <c r="AG43" s="11">
        <f>'[10]Oh; Kang (1987)'!$L$10</f>
        <v>0.29409680854948467</v>
      </c>
      <c r="AH43" s="11">
        <f t="shared" si="32"/>
        <v>0.51595931324471001</v>
      </c>
      <c r="AI43" s="11">
        <f t="shared" si="44"/>
        <v>-0.66172736691037237</v>
      </c>
      <c r="AJ43" s="11">
        <f>'[10]Caldas (1997)'!$L$10</f>
        <v>0.43508333270217331</v>
      </c>
      <c r="AK43" s="11">
        <f t="shared" si="33"/>
        <v>0.76330409245995323</v>
      </c>
      <c r="AL43" s="11">
        <f t="shared" si="45"/>
        <v>-0.27009877865670839</v>
      </c>
      <c r="AM43" s="11">
        <v>0.38455237418639893</v>
      </c>
      <c r="AN43" s="11">
        <f t="shared" si="34"/>
        <v>0.67465328804631397</v>
      </c>
      <c r="AO43" s="11">
        <f t="shared" si="46"/>
        <v>-0.39355636741038558</v>
      </c>
      <c r="AP43" s="11">
        <v>0.50194929525323695</v>
      </c>
      <c r="AQ43" s="11">
        <f t="shared" si="35"/>
        <v>0.88061279868988951</v>
      </c>
      <c r="AR43" s="11">
        <f t="shared" si="47"/>
        <v>-0.1271372517099022</v>
      </c>
      <c r="AS43" s="11">
        <v>0.73741035644538055</v>
      </c>
      <c r="AT43" s="11">
        <f t="shared" si="36"/>
        <v>1.2937023797287379</v>
      </c>
      <c r="AU43" s="11">
        <f t="shared" si="48"/>
        <v>0.25750816941497356</v>
      </c>
      <c r="AZ43" t="b">
        <f t="shared" si="0"/>
        <v>0</v>
      </c>
      <c r="BB43" t="b">
        <f t="shared" si="1"/>
        <v>1</v>
      </c>
      <c r="BD43" t="b">
        <f t="shared" si="2"/>
        <v>1</v>
      </c>
    </row>
    <row r="44" spans="1:56">
      <c r="A44" s="89"/>
      <c r="B44" s="37">
        <f>'[10]Dados de entrada'!$B$28</f>
        <v>25</v>
      </c>
      <c r="C44" s="37">
        <f>'[10]Dados de entrada'!$B$31</f>
        <v>4</v>
      </c>
      <c r="D44" s="37">
        <f>'[10]Dados de entrada'!$B$32</f>
        <v>62</v>
      </c>
      <c r="E44" s="41">
        <f>'[10]Dados de entrada'!$B$27</f>
        <v>2.6933292113182881</v>
      </c>
      <c r="F44" s="37">
        <f>'[10]Dados de entrada'!$B$30</f>
        <v>32</v>
      </c>
      <c r="G44" s="37">
        <f>'[10]Dados de entrada'!$B$22</f>
        <v>44.5</v>
      </c>
      <c r="H44" s="42">
        <f>'[10]Dados de entrada'!$B$29/('[10]Dados de entrada'!$B$20*2*G44)</f>
        <v>6.3049759229534513E-2</v>
      </c>
      <c r="I44" s="25">
        <f>'[10]fib Model Code 2010'!$K$11</f>
        <v>500</v>
      </c>
      <c r="J44" s="4">
        <f>'[10]Dados de entrada'!$C$13</f>
        <v>0.78</v>
      </c>
      <c r="K44" s="11">
        <f>'[10]fib Model Code 2010'!$L$11</f>
        <v>0.43998774341245744</v>
      </c>
      <c r="L44" s="11">
        <f t="shared" si="51"/>
        <v>0.56408685052879159</v>
      </c>
      <c r="M44" s="11">
        <f t="shared" si="37"/>
        <v>-0.57254704904009135</v>
      </c>
      <c r="N44" s="11">
        <f>'[10]fib Model Code 2020'!$L$11</f>
        <v>0.53552378622876884</v>
      </c>
      <c r="O44" s="11">
        <f t="shared" si="50"/>
        <v>0.68656895670354978</v>
      </c>
      <c r="P44" s="11">
        <f t="shared" si="38"/>
        <v>-0.37604861205445683</v>
      </c>
      <c r="Q44" s="11">
        <f>'[10]Eurocode 2'!$L$11</f>
        <v>0.42925962034905629</v>
      </c>
      <c r="R44" s="11">
        <f t="shared" si="28"/>
        <v>0.55033284660135418</v>
      </c>
      <c r="S44" s="11">
        <f t="shared" si="39"/>
        <v>-0.59723200816172572</v>
      </c>
      <c r="T44" s="11">
        <f>'[10]NBR 6118'!$Q$11</f>
        <v>0.46969896597778604</v>
      </c>
      <c r="U44" s="11">
        <f>'[10]NBR 6118'!$R$11</f>
        <v>1.2376256565018231</v>
      </c>
      <c r="V44" s="11">
        <f>'[10]NBR 6118'!$W$11</f>
        <v>0.60217816150998205</v>
      </c>
      <c r="W44" s="11">
        <f t="shared" si="40"/>
        <v>-0.50720192810555742</v>
      </c>
      <c r="X44" s="11">
        <f>'[10]Clark (1956)'!$L$11</f>
        <v>0.30292608122351122</v>
      </c>
      <c r="Y44" s="11">
        <f t="shared" si="29"/>
        <v>0.38836677079937337</v>
      </c>
      <c r="Z44" s="11">
        <f t="shared" si="41"/>
        <v>-0.94580510029450993</v>
      </c>
      <c r="AA44" s="11">
        <f>'[10]Leonhardt (1977)'!$L$11</f>
        <v>0.72144924936846344</v>
      </c>
      <c r="AB44" s="11">
        <f t="shared" si="30"/>
        <v>0.92493493508777358</v>
      </c>
      <c r="AC44" s="11">
        <f t="shared" si="42"/>
        <v>-7.8031884389367201E-2</v>
      </c>
      <c r="AD44" s="11">
        <f>'[10]Desayi; Ganesan (1985)'!$L$11</f>
        <v>0.37350539105557851</v>
      </c>
      <c r="AE44" s="11">
        <f t="shared" si="31"/>
        <v>0.47885306545586986</v>
      </c>
      <c r="AF44" s="11">
        <f t="shared" si="43"/>
        <v>-0.73636148133118862</v>
      </c>
      <c r="AG44" s="11">
        <f>'[10]Oh; Kang (1987)'!$L$11</f>
        <v>0.35043210555128729</v>
      </c>
      <c r="AH44" s="11">
        <f t="shared" si="32"/>
        <v>0.44927193019395806</v>
      </c>
      <c r="AI44" s="11">
        <f t="shared" si="44"/>
        <v>-0.80012693938699853</v>
      </c>
      <c r="AJ44" s="11">
        <f>'[10]Caldas (1997)'!$L$11</f>
        <v>0.51481723017428416</v>
      </c>
      <c r="AK44" s="11">
        <f t="shared" si="33"/>
        <v>0.66002208996703093</v>
      </c>
      <c r="AL44" s="11">
        <f t="shared" si="45"/>
        <v>-0.41548197487474542</v>
      </c>
      <c r="AM44" s="11">
        <v>0.45129892472691385</v>
      </c>
      <c r="AN44" s="11">
        <f t="shared" si="34"/>
        <v>0.57858836503450495</v>
      </c>
      <c r="AO44" s="11">
        <f t="shared" si="46"/>
        <v>-0.54716399546616412</v>
      </c>
      <c r="AP44" s="11">
        <v>0.60260898148478304</v>
      </c>
      <c r="AQ44" s="11">
        <f t="shared" si="35"/>
        <v>0.77257561728818336</v>
      </c>
      <c r="AR44" s="11">
        <f t="shared" si="47"/>
        <v>-0.25802538854360785</v>
      </c>
      <c r="AS44" s="11">
        <v>0.91423712194495588</v>
      </c>
      <c r="AT44" s="11">
        <f t="shared" si="36"/>
        <v>1.1720988742884049</v>
      </c>
      <c r="AU44" s="11">
        <f t="shared" si="48"/>
        <v>0.15879605132370966</v>
      </c>
      <c r="AZ44" t="b">
        <f t="shared" si="0"/>
        <v>0</v>
      </c>
      <c r="BB44" t="b">
        <f t="shared" si="1"/>
        <v>1</v>
      </c>
      <c r="BD44" t="b">
        <f t="shared" si="2"/>
        <v>1</v>
      </c>
    </row>
    <row r="45" spans="1:56" ht="12.6" customHeight="1">
      <c r="A45" s="85" t="s">
        <v>27</v>
      </c>
      <c r="B45" s="43">
        <f>'[11]Dados de entrada'!$B$28</f>
        <v>12</v>
      </c>
      <c r="C45" s="43">
        <f>'[11]Dados de entrada'!$B$31</f>
        <v>4</v>
      </c>
      <c r="D45" s="43">
        <f>'[11]Dados de entrada'!$B$32</f>
        <v>79.3</v>
      </c>
      <c r="E45" s="44">
        <f>'[11]Dados de entrada'!$B$27</f>
        <v>2.6933292113182881</v>
      </c>
      <c r="F45" s="43">
        <f>'[11]Dados de entrada'!$B$30</f>
        <v>32</v>
      </c>
      <c r="G45" s="43">
        <f>'[11]Dados de entrada'!$B$22</f>
        <v>38</v>
      </c>
      <c r="H45" s="45">
        <f>'[11]Dados de entrada'!$B$29/('[11]Dados de entrada'!$B$20*2*G45)</f>
        <v>1.6992481203007517E-2</v>
      </c>
      <c r="I45" s="26">
        <f>'[11]fib Model Code 2010'!$K$5</f>
        <v>214.59496874945796</v>
      </c>
      <c r="J45" s="19">
        <f>'[11]Dados de entrada'!$C$7</f>
        <v>0.21</v>
      </c>
      <c r="K45" s="20">
        <f>'[11]fib Model Code 2010'!$L$5</f>
        <v>0.13127383978468207</v>
      </c>
      <c r="L45" s="20">
        <f t="shared" si="51"/>
        <v>0.6251135227842004</v>
      </c>
      <c r="M45" s="20">
        <f t="shared" si="37"/>
        <v>-0.46982200928491852</v>
      </c>
      <c r="N45" s="20">
        <f>'[11]fib Model Code 2020'!$L$5</f>
        <v>0.13504186087017703</v>
      </c>
      <c r="O45" s="20">
        <f t="shared" si="50"/>
        <v>0.64305648033417639</v>
      </c>
      <c r="P45" s="20">
        <f t="shared" si="38"/>
        <v>-0.44152271982423791</v>
      </c>
      <c r="Q45" s="20">
        <f>'[11]Eurocode 2'!$L$5</f>
        <v>0.16665426282377707</v>
      </c>
      <c r="R45" s="20">
        <f t="shared" si="28"/>
        <v>0.79359172773227182</v>
      </c>
      <c r="S45" s="20">
        <f t="shared" si="39"/>
        <v>-0.23118614679025729</v>
      </c>
      <c r="T45" s="20">
        <f>'[11]NBR 6118'!$Q$5</f>
        <v>0.19951861461220641</v>
      </c>
      <c r="U45" s="20">
        <f>'[11]NBR 6118'!$R$5</f>
        <v>0.11578280084250574</v>
      </c>
      <c r="V45" s="20">
        <f>'[11]NBR 6118'!$W$5</f>
        <v>0.55134667067859877</v>
      </c>
      <c r="W45" s="20">
        <f t="shared" si="40"/>
        <v>-0.59539150128557194</v>
      </c>
      <c r="X45" s="20">
        <f>'[11]Clark (1956)'!$L$5</f>
        <v>0.1002083359400282</v>
      </c>
      <c r="Y45" s="20">
        <f t="shared" si="29"/>
        <v>0.47718255209537241</v>
      </c>
      <c r="Z45" s="20">
        <f t="shared" si="41"/>
        <v>-0.73985615251279757</v>
      </c>
      <c r="AA45" s="20">
        <f>'[11]Leonhardt (1977)'!$L$5</f>
        <v>0.14720598903748519</v>
      </c>
      <c r="AB45" s="20">
        <f t="shared" si="30"/>
        <v>0.7009809001785009</v>
      </c>
      <c r="AC45" s="20">
        <f t="shared" si="42"/>
        <v>-0.35527463885440264</v>
      </c>
      <c r="AD45" s="20">
        <f>'[11]Desayi; Ganesan (1985)'!$L$5</f>
        <v>0.17149241342730673</v>
      </c>
      <c r="AE45" s="20">
        <f t="shared" si="31"/>
        <v>0.81663054013003211</v>
      </c>
      <c r="AF45" s="20">
        <f t="shared" si="43"/>
        <v>-0.20256850166541113</v>
      </c>
      <c r="AG45" s="20">
        <f>'[11]Oh; Kang (1987)'!$L$5</f>
        <v>0.10241670275818041</v>
      </c>
      <c r="AH45" s="20">
        <f t="shared" si="32"/>
        <v>0.48769858456276388</v>
      </c>
      <c r="AI45" s="20">
        <f t="shared" si="44"/>
        <v>-0.71805771854066391</v>
      </c>
      <c r="AJ45" s="20">
        <f>'[11]Caldas (1997)'!$L$5</f>
        <v>0.16410460194330204</v>
      </c>
      <c r="AK45" s="20">
        <f t="shared" si="33"/>
        <v>0.78145048544429541</v>
      </c>
      <c r="AL45" s="20">
        <f t="shared" si="45"/>
        <v>-0.24660348948445898</v>
      </c>
      <c r="AM45" s="20" cm="1">
        <f t="array" ref="AM45:AM49">'[11]Gergely e Lutz (1968)'!$L$5:$L$9</f>
        <v>0.1661250867809709</v>
      </c>
      <c r="AN45" s="20">
        <f t="shared" si="34"/>
        <v>0.79107184181414725</v>
      </c>
      <c r="AO45" s="20">
        <f t="shared" si="46"/>
        <v>-0.23436649130062359</v>
      </c>
      <c r="AP45" s="20" cm="1">
        <f t="array" ref="AP45:AP49">[11]Sugestão!$M$5:$M$9</f>
        <v>0.15250358684376383</v>
      </c>
      <c r="AQ45" s="20">
        <f t="shared" si="35"/>
        <v>0.72620755639887546</v>
      </c>
      <c r="AR45" s="20">
        <f t="shared" si="47"/>
        <v>-0.31991941465962392</v>
      </c>
      <c r="AS45" s="20" cm="1">
        <f t="array" ref="AS45:AS49">'[11]fib Model Code 2020 modificado'!$L$5:$L$9</f>
        <v>0.16512872234246168</v>
      </c>
      <c r="AT45" s="20">
        <f t="shared" si="36"/>
        <v>0.78632724924981756</v>
      </c>
      <c r="AU45" s="20">
        <f t="shared" si="48"/>
        <v>-0.24038222555548358</v>
      </c>
      <c r="AZ45" t="b">
        <f t="shared" si="0"/>
        <v>1</v>
      </c>
      <c r="BB45" t="b">
        <f t="shared" si="1"/>
        <v>0</v>
      </c>
      <c r="BD45" t="b">
        <f t="shared" si="2"/>
        <v>1</v>
      </c>
    </row>
    <row r="46" spans="1:56" ht="12.6" customHeight="1">
      <c r="A46" s="90"/>
      <c r="B46" s="43">
        <f>'[11]Dados de entrada'!$B$28</f>
        <v>12</v>
      </c>
      <c r="C46" s="43">
        <f>'[11]Dados de entrada'!$B$31</f>
        <v>4</v>
      </c>
      <c r="D46" s="43">
        <f>'[11]Dados de entrada'!$B$32</f>
        <v>79.3</v>
      </c>
      <c r="E46" s="44">
        <f>'[11]Dados de entrada'!$B$27</f>
        <v>2.6933292113182881</v>
      </c>
      <c r="F46" s="43">
        <f>'[11]Dados de entrada'!$B$30</f>
        <v>32</v>
      </c>
      <c r="G46" s="43">
        <f>'[11]Dados de entrada'!$B$22</f>
        <v>38</v>
      </c>
      <c r="H46" s="45">
        <f>'[11]Dados de entrada'!$B$29/('[11]Dados de entrada'!$B$20*2*G46)</f>
        <v>1.6992481203007517E-2</v>
      </c>
      <c r="I46" s="26">
        <f>'[11]fib Model Code 2010'!$K$6</f>
        <v>257.51396249934959</v>
      </c>
      <c r="J46" s="19">
        <f>'[11]Dados de entrada'!$C$8</f>
        <v>0.31</v>
      </c>
      <c r="K46" s="20">
        <f>'[11]fib Model Code 2010'!$L$6</f>
        <v>0.19762799677372914</v>
      </c>
      <c r="L46" s="20">
        <f t="shared" si="51"/>
        <v>0.63750966701202949</v>
      </c>
      <c r="M46" s="20">
        <f t="shared" si="37"/>
        <v>-0.4501858381240888</v>
      </c>
      <c r="N46" s="20">
        <f>'[11]fib Model Code 2020'!$L$6</f>
        <v>0.19519727005552842</v>
      </c>
      <c r="O46" s="20">
        <f t="shared" si="50"/>
        <v>0.62966861308234978</v>
      </c>
      <c r="P46" s="20">
        <f t="shared" si="38"/>
        <v>-0.46256160896926429</v>
      </c>
      <c r="Q46" s="20">
        <f>'[11]Eurocode 2'!$L$6</f>
        <v>0.1999851153885325</v>
      </c>
      <c r="R46" s="20">
        <f t="shared" si="28"/>
        <v>0.64511327544687902</v>
      </c>
      <c r="S46" s="20">
        <f t="shared" si="39"/>
        <v>-0.43832935675802592</v>
      </c>
      <c r="T46" s="20">
        <f>'[11]NBR 6118'!$Q$6</f>
        <v>0.23942233753464767</v>
      </c>
      <c r="U46" s="20">
        <f>'[11]NBR 6118'!$R$6</f>
        <v>0.16672723321320823</v>
      </c>
      <c r="V46" s="20">
        <f>'[11]NBR 6118'!$W$6</f>
        <v>0.5378297845587362</v>
      </c>
      <c r="W46" s="20">
        <f t="shared" si="40"/>
        <v>-0.6202131544593863</v>
      </c>
      <c r="X46" s="20">
        <f>'[11]Clark (1956)'!$L$6</f>
        <v>0.14961227570129726</v>
      </c>
      <c r="Y46" s="20">
        <f t="shared" si="29"/>
        <v>0.48262024419773308</v>
      </c>
      <c r="Z46" s="20">
        <f t="shared" si="41"/>
        <v>-0.72852517847843901</v>
      </c>
      <c r="AA46" s="20">
        <f>'[11]Leonhardt (1977)'!$L$6</f>
        <v>0.25273508520685833</v>
      </c>
      <c r="AB46" s="20">
        <f t="shared" si="30"/>
        <v>0.81527446840922047</v>
      </c>
      <c r="AC46" s="20">
        <f t="shared" si="42"/>
        <v>-0.20423045138165921</v>
      </c>
      <c r="AD46" s="20">
        <f>'[11]Desayi; Ganesan (1985)'!$L$6</f>
        <v>0.20579089611276813</v>
      </c>
      <c r="AE46" s="20">
        <f t="shared" si="31"/>
        <v>0.66384160036376816</v>
      </c>
      <c r="AF46" s="20">
        <f t="shared" si="43"/>
        <v>-0.40971171163317954</v>
      </c>
      <c r="AG46" s="20">
        <f>'[11]Oh; Kang (1987)'!$L$6</f>
        <v>0.1275928109647721</v>
      </c>
      <c r="AH46" s="20">
        <f t="shared" si="32"/>
        <v>0.41158971278958739</v>
      </c>
      <c r="AI46" s="20">
        <f t="shared" si="44"/>
        <v>-0.88772826855715514</v>
      </c>
      <c r="AJ46" s="20">
        <f>'[11]Caldas (1997)'!$L$6</f>
        <v>0.20706471486930678</v>
      </c>
      <c r="AK46" s="20">
        <f t="shared" si="33"/>
        <v>0.667950693126796</v>
      </c>
      <c r="AL46" s="20">
        <f t="shared" si="45"/>
        <v>-0.40354092085421872</v>
      </c>
      <c r="AM46" s="20">
        <v>0.19935010413716509</v>
      </c>
      <c r="AN46" s="20">
        <f t="shared" si="34"/>
        <v>0.64306485205537123</v>
      </c>
      <c r="AO46" s="20">
        <f t="shared" si="46"/>
        <v>-0.44150970126839234</v>
      </c>
      <c r="AP46" s="20">
        <v>0.24490370790619276</v>
      </c>
      <c r="AQ46" s="20">
        <f t="shared" si="35"/>
        <v>0.79001196098771853</v>
      </c>
      <c r="AR46" s="20">
        <f t="shared" si="47"/>
        <v>-0.23570719314490299</v>
      </c>
      <c r="AS46" s="20">
        <v>0.2336326114772746</v>
      </c>
      <c r="AT46" s="20">
        <f t="shared" si="36"/>
        <v>0.75365358541056326</v>
      </c>
      <c r="AU46" s="20">
        <f t="shared" si="48"/>
        <v>-0.28282245234215203</v>
      </c>
      <c r="AZ46" t="b">
        <f t="shared" si="0"/>
        <v>1</v>
      </c>
      <c r="BB46" t="b">
        <f t="shared" si="1"/>
        <v>0</v>
      </c>
      <c r="BD46" t="b">
        <f t="shared" si="2"/>
        <v>1</v>
      </c>
    </row>
    <row r="47" spans="1:56" ht="12.6" customHeight="1">
      <c r="A47" s="90"/>
      <c r="B47" s="43">
        <f>'[11]Dados de entrada'!$B$28</f>
        <v>12</v>
      </c>
      <c r="C47" s="43">
        <f>'[11]Dados de entrada'!$B$31</f>
        <v>4</v>
      </c>
      <c r="D47" s="43">
        <f>'[11]Dados de entrada'!$B$32</f>
        <v>79.3</v>
      </c>
      <c r="E47" s="44">
        <f>'[11]Dados de entrada'!$B$27</f>
        <v>2.6933292113182881</v>
      </c>
      <c r="F47" s="43">
        <f>'[11]Dados de entrada'!$B$30</f>
        <v>32</v>
      </c>
      <c r="G47" s="43">
        <f>'[11]Dados de entrada'!$B$22</f>
        <v>38</v>
      </c>
      <c r="H47" s="45">
        <f>'[11]Dados de entrada'!$B$29/('[11]Dados de entrada'!$B$20*2*G47)</f>
        <v>1.6992481203007517E-2</v>
      </c>
      <c r="I47" s="26">
        <f>'[11]fib Model Code 2010'!$K$7</f>
        <v>300.43295624924116</v>
      </c>
      <c r="J47" s="19">
        <f>'[11]Dados de entrada'!$C$9</f>
        <v>0.38</v>
      </c>
      <c r="K47" s="20">
        <f>'[11]fib Model Code 2010'!$L$7</f>
        <v>0.26398215376277612</v>
      </c>
      <c r="L47" s="20">
        <f t="shared" si="51"/>
        <v>0.69468987832309503</v>
      </c>
      <c r="M47" s="20">
        <f t="shared" si="37"/>
        <v>-0.36428975124248042</v>
      </c>
      <c r="N47" s="20">
        <f>'[11]fib Model Code 2020'!$L$7</f>
        <v>0.26271820049061689</v>
      </c>
      <c r="O47" s="20">
        <f t="shared" si="50"/>
        <v>0.69136368550162342</v>
      </c>
      <c r="P47" s="20">
        <f t="shared" si="38"/>
        <v>-0.36908927601310537</v>
      </c>
      <c r="Q47" s="20">
        <f>'[11]Eurocode 2'!$L$7</f>
        <v>0.23331596795328791</v>
      </c>
      <c r="R47" s="20">
        <f t="shared" si="28"/>
        <v>0.61398938935075764</v>
      </c>
      <c r="S47" s="20">
        <f t="shared" si="39"/>
        <v>-0.48777763217200715</v>
      </c>
      <c r="T47" s="20">
        <f>'[11]NBR 6118'!$Q$7</f>
        <v>0.27932606045708902</v>
      </c>
      <c r="U47" s="20">
        <f>'[11]NBR 6118'!$R$7</f>
        <v>0.22693428965131127</v>
      </c>
      <c r="V47" s="20">
        <f>'[11]NBR 6118'!$W$7</f>
        <v>0.59719549908239811</v>
      </c>
      <c r="W47" s="20">
        <f t="shared" si="40"/>
        <v>-0.5155107500461088</v>
      </c>
      <c r="X47" s="20">
        <f>'[11]Clark (1956)'!$L$7</f>
        <v>0.19901621546256626</v>
      </c>
      <c r="Y47" s="20">
        <f t="shared" si="29"/>
        <v>0.52372688279622703</v>
      </c>
      <c r="Z47" s="20">
        <f t="shared" si="41"/>
        <v>-0.64678494657912589</v>
      </c>
      <c r="AA47" s="20">
        <f>'[11]Leonhardt (1977)'!$L$7</f>
        <v>0.34838263613442921</v>
      </c>
      <c r="AB47" s="20">
        <f t="shared" si="30"/>
        <v>0.91679641088007691</v>
      </c>
      <c r="AC47" s="20">
        <f t="shared" si="42"/>
        <v>-8.6869847863446967E-2</v>
      </c>
      <c r="AD47" s="20">
        <f>'[11]Desayi; Ganesan (1985)'!$L$7</f>
        <v>0.24008937879822945</v>
      </c>
      <c r="AE47" s="20">
        <f t="shared" si="31"/>
        <v>0.63181415473218272</v>
      </c>
      <c r="AF47" s="20">
        <f t="shared" si="43"/>
        <v>-0.45915998704716099</v>
      </c>
      <c r="AG47" s="20">
        <f>'[11]Oh; Kang (1987)'!$L$7</f>
        <v>0.15276891917136376</v>
      </c>
      <c r="AH47" s="20">
        <f t="shared" si="32"/>
        <v>0.40202347150358886</v>
      </c>
      <c r="AI47" s="20">
        <f t="shared" si="44"/>
        <v>-0.91124480524271245</v>
      </c>
      <c r="AJ47" s="20">
        <f>'[11]Caldas (1997)'!$L$7</f>
        <v>0.25002482779531143</v>
      </c>
      <c r="AK47" s="20">
        <f t="shared" si="33"/>
        <v>0.65796007314555638</v>
      </c>
      <c r="AL47" s="20">
        <f t="shared" si="45"/>
        <v>-0.41861102860796823</v>
      </c>
      <c r="AM47" s="20">
        <v>0.23257512149335927</v>
      </c>
      <c r="AN47" s="20">
        <f t="shared" si="34"/>
        <v>0.61203979340357706</v>
      </c>
      <c r="AO47" s="20">
        <f t="shared" si="46"/>
        <v>-0.49095797668237345</v>
      </c>
      <c r="AP47" s="20">
        <v>0.34403441271139223</v>
      </c>
      <c r="AQ47" s="20">
        <f t="shared" si="35"/>
        <v>0.90535371766155848</v>
      </c>
      <c r="AR47" s="20">
        <f t="shared" si="47"/>
        <v>-9.9429563398673704E-2</v>
      </c>
      <c r="AS47" s="20">
        <v>0.31027905774682607</v>
      </c>
      <c r="AT47" s="20">
        <f t="shared" si="36"/>
        <v>0.81652383617585811</v>
      </c>
      <c r="AU47" s="20">
        <f t="shared" si="48"/>
        <v>-0.20269917388583794</v>
      </c>
      <c r="AZ47" t="b">
        <f t="shared" si="0"/>
        <v>1</v>
      </c>
      <c r="BB47" t="b">
        <f t="shared" si="1"/>
        <v>0</v>
      </c>
      <c r="BD47" t="b">
        <f t="shared" si="2"/>
        <v>1</v>
      </c>
    </row>
    <row r="48" spans="1:56">
      <c r="A48" s="90"/>
      <c r="B48" s="43">
        <f>'[11]Dados de entrada'!$B$28</f>
        <v>12</v>
      </c>
      <c r="C48" s="43">
        <f>'[11]Dados de entrada'!$B$31</f>
        <v>4</v>
      </c>
      <c r="D48" s="43">
        <f>'[11]Dados de entrada'!$B$32</f>
        <v>79.3</v>
      </c>
      <c r="E48" s="44">
        <f>'[11]Dados de entrada'!$B$27</f>
        <v>2.6933292113182881</v>
      </c>
      <c r="F48" s="43">
        <f>'[11]Dados de entrada'!$B$30</f>
        <v>32</v>
      </c>
      <c r="G48" s="43">
        <f>'[11]Dados de entrada'!$B$22</f>
        <v>38</v>
      </c>
      <c r="H48" s="45">
        <f>'[11]Dados de entrada'!$B$29/('[11]Dados de entrada'!$B$20*2*G48)</f>
        <v>1.6992481203007517E-2</v>
      </c>
      <c r="I48" s="26">
        <f>'[11]fib Model Code 2010'!$K$8</f>
        <v>386.27094374902435</v>
      </c>
      <c r="J48" s="19">
        <f>'[11]Dados de entrada'!$C$10</f>
        <v>0.52</v>
      </c>
      <c r="K48" s="20">
        <f>'[11]fib Model Code 2010'!$L$8</f>
        <v>0.39669046774087013</v>
      </c>
      <c r="L48" s="20">
        <f t="shared" si="51"/>
        <v>0.76286628411705792</v>
      </c>
      <c r="M48" s="20">
        <f t="shared" si="37"/>
        <v>-0.27067251323002223</v>
      </c>
      <c r="N48" s="20">
        <f>'[11]fib Model Code 2020'!$L$8</f>
        <v>0.39776006136079389</v>
      </c>
      <c r="O48" s="20">
        <f t="shared" si="50"/>
        <v>0.76492319492460359</v>
      </c>
      <c r="P48" s="20">
        <f t="shared" si="38"/>
        <v>-0.26797984898726507</v>
      </c>
      <c r="Q48" s="20">
        <f>'[11]Eurocode 2'!$L$8</f>
        <v>0.3321075898906467</v>
      </c>
      <c r="R48" s="20">
        <f t="shared" si="28"/>
        <v>0.63866844209739748</v>
      </c>
      <c r="S48" s="20">
        <f t="shared" si="39"/>
        <v>-0.44836982922132546</v>
      </c>
      <c r="T48" s="20">
        <f>'[11]NBR 6118'!$Q$8</f>
        <v>0.35913350630197144</v>
      </c>
      <c r="U48" s="20">
        <f>'[11]NBR 6118'!$R$8</f>
        <v>0.37513627472971839</v>
      </c>
      <c r="V48" s="20">
        <f>'[11]NBR 6118'!$W$8</f>
        <v>0.69064135827302198</v>
      </c>
      <c r="W48" s="20">
        <f t="shared" si="40"/>
        <v>-0.37013460836935158</v>
      </c>
      <c r="X48" s="20">
        <f>'[11]Clark (1956)'!$L$8</f>
        <v>0.29782409498510426</v>
      </c>
      <c r="Y48" s="20">
        <f t="shared" si="29"/>
        <v>0.5727386442021235</v>
      </c>
      <c r="Z48" s="20">
        <f t="shared" si="41"/>
        <v>-0.55732578464190197</v>
      </c>
      <c r="AA48" s="20">
        <f>'[11]Leonhardt (1977)'!$L$8</f>
        <v>0.52320849591990093</v>
      </c>
      <c r="AB48" s="20">
        <f t="shared" si="30"/>
        <v>1.006170184461348</v>
      </c>
      <c r="AC48" s="20">
        <f t="shared" si="42"/>
        <v>6.1512268146904367E-3</v>
      </c>
      <c r="AD48" s="20">
        <f>'[11]Desayi; Ganesan (1985)'!$L$8</f>
        <v>0.30868634416915214</v>
      </c>
      <c r="AE48" s="20">
        <f t="shared" si="31"/>
        <v>0.59362758494067713</v>
      </c>
      <c r="AF48" s="20">
        <f t="shared" si="43"/>
        <v>-0.52150311762129653</v>
      </c>
      <c r="AG48" s="20">
        <f>'[11]Oh; Kang (1987)'!$L$8</f>
        <v>0.20312113558454717</v>
      </c>
      <c r="AH48" s="20">
        <f t="shared" si="32"/>
        <v>0.39061756843182144</v>
      </c>
      <c r="AI48" s="20">
        <f t="shared" si="44"/>
        <v>-0.94002628348698225</v>
      </c>
      <c r="AJ48" s="20">
        <f>'[11]Caldas (1997)'!$L$8</f>
        <v>0.33594505364732091</v>
      </c>
      <c r="AK48" s="20">
        <f t="shared" si="33"/>
        <v>0.64604818009100173</v>
      </c>
      <c r="AL48" s="20">
        <f t="shared" si="45"/>
        <v>-0.43688119579643481</v>
      </c>
      <c r="AM48" s="20">
        <v>0.2990251562057476</v>
      </c>
      <c r="AN48" s="20">
        <f t="shared" si="34"/>
        <v>0.57504837731874536</v>
      </c>
      <c r="AO48" s="20">
        <f t="shared" si="46"/>
        <v>-0.55330110725650916</v>
      </c>
      <c r="AP48" s="20">
        <v>0.5422958223217913</v>
      </c>
      <c r="AQ48" s="20">
        <f t="shared" si="35"/>
        <v>1.0428765813880601</v>
      </c>
      <c r="AR48" s="20">
        <f t="shared" si="47"/>
        <v>4.1982838612496201E-2</v>
      </c>
      <c r="AS48" s="20">
        <v>0.46590305794093373</v>
      </c>
      <c r="AT48" s="20">
        <f t="shared" si="36"/>
        <v>0.89596741911718025</v>
      </c>
      <c r="AU48" s="20">
        <f t="shared" si="48"/>
        <v>-0.10985122926077442</v>
      </c>
      <c r="AZ48" t="b">
        <f t="shared" si="0"/>
        <v>1</v>
      </c>
      <c r="BB48" t="b">
        <f t="shared" si="1"/>
        <v>0</v>
      </c>
      <c r="BD48" t="b">
        <f t="shared" si="2"/>
        <v>1</v>
      </c>
    </row>
    <row r="49" spans="1:56">
      <c r="A49" s="86"/>
      <c r="B49" s="43">
        <f>'[11]Dados de entrada'!$B$28</f>
        <v>12</v>
      </c>
      <c r="C49" s="43">
        <f>'[11]Dados de entrada'!$B$31</f>
        <v>4</v>
      </c>
      <c r="D49" s="43">
        <f>'[11]Dados de entrada'!$B$32</f>
        <v>79.3</v>
      </c>
      <c r="E49" s="44">
        <f>'[11]Dados de entrada'!$B$27</f>
        <v>2.6933292113182881</v>
      </c>
      <c r="F49" s="43">
        <f>'[11]Dados de entrada'!$B$30</f>
        <v>32</v>
      </c>
      <c r="G49" s="43">
        <f>'[11]Dados de entrada'!$B$22</f>
        <v>38</v>
      </c>
      <c r="H49" s="45">
        <f>'[11]Dados de entrada'!$B$29/('[11]Dados de entrada'!$B$20*2*G49)</f>
        <v>1.6992481203007517E-2</v>
      </c>
      <c r="I49" s="26">
        <f>'[11]fib Model Code 2010'!$K$9</f>
        <v>500</v>
      </c>
      <c r="J49" s="19">
        <f>'[11]Dados de entrada'!$C$11</f>
        <v>0.74</v>
      </c>
      <c r="K49" s="20">
        <f>'[11]fib Model Code 2010'!$L$9</f>
        <v>0.57251927902823763</v>
      </c>
      <c r="L49" s="20">
        <f t="shared" si="51"/>
        <v>0.77367470138951033</v>
      </c>
      <c r="M49" s="20">
        <f t="shared" si="37"/>
        <v>-0.25660377617832242</v>
      </c>
      <c r="N49" s="20">
        <f>'[11]fib Model Code 2020'!$L$9</f>
        <v>0.57668065163185067</v>
      </c>
      <c r="O49" s="20">
        <f t="shared" si="50"/>
        <v>0.77929817788087929</v>
      </c>
      <c r="P49" s="20">
        <f t="shared" si="38"/>
        <v>-0.24936153628384841</v>
      </c>
      <c r="Q49" s="20">
        <f>'[11]Eurocode 2'!$L$9</f>
        <v>0.47931073062285534</v>
      </c>
      <c r="R49" s="20">
        <f t="shared" si="28"/>
        <v>0.6477172035443991</v>
      </c>
      <c r="S49" s="20">
        <f t="shared" si="39"/>
        <v>-0.43430109216962559</v>
      </c>
      <c r="T49" s="20">
        <f>'[11]NBR 6118'!$Q$9</f>
        <v>0.45193571713743219</v>
      </c>
      <c r="U49" s="20">
        <f>'[11]NBR 6118'!$R$9</f>
        <v>0.59406031512087509</v>
      </c>
      <c r="V49" s="20">
        <f>'[11]NBR 6118'!$W$9</f>
        <v>0.61072394207761105</v>
      </c>
      <c r="W49" s="20">
        <f t="shared" si="40"/>
        <v>-0.4931102352025209</v>
      </c>
      <c r="X49" s="20">
        <f>'[11]Clark (1956)'!$L$9</f>
        <v>0.42873730970005475</v>
      </c>
      <c r="Y49" s="20">
        <f t="shared" si="29"/>
        <v>0.57937474283791179</v>
      </c>
      <c r="Z49" s="20">
        <f t="shared" si="41"/>
        <v>-0.54580578652332534</v>
      </c>
      <c r="AA49" s="20">
        <f>'[11]Leonhardt (1977)'!$L$9</f>
        <v>0.73742133167676249</v>
      </c>
      <c r="AB49" s="20">
        <f t="shared" si="30"/>
        <v>0.99651531307670604</v>
      </c>
      <c r="AC49" s="20">
        <f t="shared" si="42"/>
        <v>-3.4907725866380785E-3</v>
      </c>
      <c r="AD49" s="20">
        <f>'[11]Desayi; Ganesan (1985)'!$L$9</f>
        <v>0.39957230690605344</v>
      </c>
      <c r="AE49" s="20">
        <f t="shared" si="31"/>
        <v>0.53996257690007221</v>
      </c>
      <c r="AF49" s="20">
        <f t="shared" si="43"/>
        <v>-0.61625544386221742</v>
      </c>
      <c r="AG49" s="20">
        <f>'[11]Oh; Kang (1987)'!$L$9</f>
        <v>0.26983414015994794</v>
      </c>
      <c r="AH49" s="20">
        <f t="shared" si="32"/>
        <v>0.3646407299458756</v>
      </c>
      <c r="AI49" s="20">
        <f t="shared" si="44"/>
        <v>-1.0088427116606489</v>
      </c>
      <c r="AJ49" s="20">
        <f>'[11]Caldas (1997)'!$L$9</f>
        <v>0.44978306970104531</v>
      </c>
      <c r="AK49" s="20">
        <f t="shared" si="33"/>
        <v>0.60781495905546667</v>
      </c>
      <c r="AL49" s="20">
        <f t="shared" si="45"/>
        <v>-0.49788478699667205</v>
      </c>
      <c r="AM49" s="20">
        <v>0.38706659282148359</v>
      </c>
      <c r="AN49" s="20">
        <f t="shared" si="34"/>
        <v>0.52306296327227508</v>
      </c>
      <c r="AO49" s="20">
        <f t="shared" si="46"/>
        <v>-0.64805343349743005</v>
      </c>
      <c r="AP49" s="20">
        <v>0.78660896418685322</v>
      </c>
      <c r="AQ49" s="20">
        <f t="shared" si="35"/>
        <v>1.0629850867389909</v>
      </c>
      <c r="AR49" s="20">
        <f t="shared" si="47"/>
        <v>6.1081069853110834E-2</v>
      </c>
      <c r="AS49" s="20">
        <v>0.67688057522388723</v>
      </c>
      <c r="AT49" s="20">
        <f t="shared" si="36"/>
        <v>0.91470348003228008</v>
      </c>
      <c r="AU49" s="20">
        <f t="shared" si="48"/>
        <v>-8.9155331765691112E-2</v>
      </c>
      <c r="AZ49" t="b">
        <f t="shared" si="0"/>
        <v>1</v>
      </c>
      <c r="BB49" t="b">
        <f t="shared" si="1"/>
        <v>0</v>
      </c>
      <c r="BD49" t="b">
        <f t="shared" si="2"/>
        <v>1</v>
      </c>
    </row>
    <row r="50" spans="1:56" ht="12.6" customHeight="1">
      <c r="A50" s="87" t="s">
        <v>28</v>
      </c>
      <c r="B50" s="37">
        <f>'[12]Dados de entrada'!$B$28</f>
        <v>12</v>
      </c>
      <c r="C50" s="37">
        <f>'[12]Dados de entrada'!$B$31</f>
        <v>4</v>
      </c>
      <c r="D50" s="37">
        <f>'[12]Dados de entrada'!$B$32</f>
        <v>79.3</v>
      </c>
      <c r="E50" s="41">
        <f>'[12]Dados de entrada'!$B$27</f>
        <v>2.6933292113182881</v>
      </c>
      <c r="F50" s="37">
        <f>'[12]Dados de entrada'!$B$30</f>
        <v>32</v>
      </c>
      <c r="G50" s="37">
        <f>'[12]Dados de entrada'!$B$22</f>
        <v>38</v>
      </c>
      <c r="H50" s="42">
        <f>'[12]Dados de entrada'!$B$29/('[12]Dados de entrada'!$B$20*2*G50)</f>
        <v>1.6992481203007517E-2</v>
      </c>
      <c r="I50" s="25">
        <f>'[12]fib Model Code 2010'!$K$5</f>
        <v>214.59496874945796</v>
      </c>
      <c r="J50" s="4">
        <f>'[12]Dados de entrada'!$C$7</f>
        <v>0.17</v>
      </c>
      <c r="K50" s="11">
        <f>'[12]fib Model Code 2010'!$L$5</f>
        <v>0.13127383978468207</v>
      </c>
      <c r="L50" s="11">
        <f t="shared" si="51"/>
        <v>0.77219905755695328</v>
      </c>
      <c r="M50" s="11">
        <f t="shared" si="37"/>
        <v>-0.25851291561771178</v>
      </c>
      <c r="N50" s="11">
        <f>'[12]fib Model Code 2020'!$L$5</f>
        <v>0.13504186087017703</v>
      </c>
      <c r="O50" s="11">
        <f t="shared" si="50"/>
        <v>0.79436388747162956</v>
      </c>
      <c r="P50" s="11">
        <f t="shared" si="38"/>
        <v>-0.23021362615703111</v>
      </c>
      <c r="Q50" s="11">
        <f>'[12]Eurocode 2'!$L$5</f>
        <v>0.16665426282377707</v>
      </c>
      <c r="R50" s="11">
        <f t="shared" si="28"/>
        <v>0.98031919308104154</v>
      </c>
      <c r="S50" s="11">
        <f t="shared" si="39"/>
        <v>-1.9877053123050485E-2</v>
      </c>
      <c r="T50" s="11">
        <f>'[12]NBR 6118'!$Q$5</f>
        <v>0.19951861461220641</v>
      </c>
      <c r="U50" s="11">
        <f>'[12]NBR 6118'!$R$5</f>
        <v>0.11578280084250574</v>
      </c>
      <c r="V50" s="11">
        <f>'[12]NBR 6118'!$W$5</f>
        <v>0.68107529907356312</v>
      </c>
      <c r="W50" s="11">
        <f t="shared" si="40"/>
        <v>-0.38408240761836515</v>
      </c>
      <c r="X50" s="11">
        <f>'[12]Clark (1956)'!$L$5</f>
        <v>0.1002083359400282</v>
      </c>
      <c r="Y50" s="11">
        <f t="shared" si="29"/>
        <v>0.58946079964722464</v>
      </c>
      <c r="Z50" s="11">
        <f t="shared" si="41"/>
        <v>-0.52854705884559083</v>
      </c>
      <c r="AA50" s="11">
        <f>'[12]Leonhardt (1977)'!$L$5</f>
        <v>0.14720598903748519</v>
      </c>
      <c r="AB50" s="11">
        <f t="shared" si="30"/>
        <v>0.8659175825734422</v>
      </c>
      <c r="AC50" s="11">
        <f t="shared" si="42"/>
        <v>-0.14396554518719579</v>
      </c>
      <c r="AD50" s="11">
        <f>'[12]Desayi; Ganesan (1985)'!$L$5</f>
        <v>0.17149241342730673</v>
      </c>
      <c r="AE50" s="11">
        <f t="shared" si="31"/>
        <v>1.0087789025135689</v>
      </c>
      <c r="AF50" s="11">
        <f t="shared" si="43"/>
        <v>8.740592001795661E-3</v>
      </c>
      <c r="AG50" s="11">
        <f>'[12]Oh; Kang (1987)'!$L$5</f>
        <v>0.10241670275818041</v>
      </c>
      <c r="AH50" s="11">
        <f t="shared" si="32"/>
        <v>0.60245119269517877</v>
      </c>
      <c r="AI50" s="11">
        <f t="shared" si="44"/>
        <v>-0.50674862487345718</v>
      </c>
      <c r="AJ50" s="11">
        <f>'[12]Caldas (1997)'!$L$5</f>
        <v>0.16410460194330204</v>
      </c>
      <c r="AK50" s="11">
        <f t="shared" si="33"/>
        <v>0.96532118790177657</v>
      </c>
      <c r="AL50" s="11">
        <f t="shared" si="45"/>
        <v>-3.5294395817252168E-2</v>
      </c>
      <c r="AM50" s="11" cm="1">
        <f t="array" ref="AM50:AM53">'[12]Gergely e Lutz (1968)'!$L$5:$L$8</f>
        <v>0.1661250867809709</v>
      </c>
      <c r="AN50" s="11">
        <f t="shared" si="34"/>
        <v>0.97720639282924049</v>
      </c>
      <c r="AO50" s="11">
        <f t="shared" si="46"/>
        <v>-2.3057397633416899E-2</v>
      </c>
      <c r="AP50" s="11" cm="1">
        <f t="array" ref="AP50:AP53">[12]Sugestão!$M$5:$M$8</f>
        <v>0.15250358684376383</v>
      </c>
      <c r="AQ50" s="11">
        <f t="shared" si="35"/>
        <v>0.89707992261037539</v>
      </c>
      <c r="AR50" s="11">
        <f t="shared" si="47"/>
        <v>-0.10861032099241721</v>
      </c>
      <c r="AS50" s="11" cm="1">
        <f t="array" ref="AS50:AS53">'[12]fib Model Code 2020 modificado'!$L$5:$L$8</f>
        <v>0.16512872234246168</v>
      </c>
      <c r="AT50" s="11">
        <f t="shared" si="36"/>
        <v>0.97134542554389214</v>
      </c>
      <c r="AU50" s="11">
        <f t="shared" si="48"/>
        <v>-2.9073131888276812E-2</v>
      </c>
      <c r="AZ50" t="b">
        <f t="shared" si="0"/>
        <v>1</v>
      </c>
      <c r="BB50" t="b">
        <f t="shared" si="1"/>
        <v>0</v>
      </c>
      <c r="BD50" t="b">
        <f t="shared" si="2"/>
        <v>1</v>
      </c>
    </row>
    <row r="51" spans="1:56">
      <c r="A51" s="88"/>
      <c r="B51" s="37">
        <f>'[12]Dados de entrada'!$B$28</f>
        <v>12</v>
      </c>
      <c r="C51" s="37">
        <f>'[12]Dados de entrada'!$B$31</f>
        <v>4</v>
      </c>
      <c r="D51" s="37">
        <f>'[12]Dados de entrada'!$B$32</f>
        <v>79.3</v>
      </c>
      <c r="E51" s="41">
        <f>'[12]Dados de entrada'!$B$27</f>
        <v>2.6933292113182881</v>
      </c>
      <c r="F51" s="37">
        <f>'[12]Dados de entrada'!$B$30</f>
        <v>32</v>
      </c>
      <c r="G51" s="37">
        <f>'[12]Dados de entrada'!$B$22</f>
        <v>38</v>
      </c>
      <c r="H51" s="42">
        <f>'[12]Dados de entrada'!$B$29/('[12]Dados de entrada'!$B$20*2*G51)</f>
        <v>1.6992481203007517E-2</v>
      </c>
      <c r="I51" s="25">
        <f>'[12]fib Model Code 2010'!$K$6</f>
        <v>300.43295624924116</v>
      </c>
      <c r="J51" s="4">
        <f>'[12]Dados de entrada'!$C$8</f>
        <v>0.36</v>
      </c>
      <c r="K51" s="11">
        <f>'[12]fib Model Code 2010'!$L$6</f>
        <v>0.26398215376277612</v>
      </c>
      <c r="L51" s="11">
        <f t="shared" si="51"/>
        <v>0.73328376045215593</v>
      </c>
      <c r="M51" s="11">
        <f t="shared" si="37"/>
        <v>-0.31022252997220456</v>
      </c>
      <c r="N51" s="11">
        <f>'[12]fib Model Code 2020'!$L$6</f>
        <v>0.26271820049061689</v>
      </c>
      <c r="O51" s="11">
        <f t="shared" si="50"/>
        <v>0.72977277914060246</v>
      </c>
      <c r="P51" s="11">
        <f t="shared" si="38"/>
        <v>-0.31502205474282968</v>
      </c>
      <c r="Q51" s="11">
        <f>'[12]Eurocode 2'!$L$6</f>
        <v>0.23331596795328791</v>
      </c>
      <c r="R51" s="11">
        <f t="shared" si="28"/>
        <v>0.64809991098135533</v>
      </c>
      <c r="S51" s="11">
        <f t="shared" si="39"/>
        <v>-0.43371041090173135</v>
      </c>
      <c r="T51" s="11">
        <f>'[12]NBR 6118'!$Q$6</f>
        <v>0.27932606045708902</v>
      </c>
      <c r="U51" s="11">
        <f>'[12]NBR 6118'!$R$6</f>
        <v>0.22693428965131127</v>
      </c>
      <c r="V51" s="11">
        <f>'[12]NBR 6118'!$W$6</f>
        <v>0.63037302680919793</v>
      </c>
      <c r="W51" s="11">
        <f t="shared" si="40"/>
        <v>-0.46144352877583311</v>
      </c>
      <c r="X51" s="11">
        <f>'[12]Clark (1956)'!$L$6</f>
        <v>0.19901621546256626</v>
      </c>
      <c r="Y51" s="11">
        <f t="shared" si="29"/>
        <v>0.55282282072935074</v>
      </c>
      <c r="Z51" s="11">
        <f t="shared" si="41"/>
        <v>-0.59271772530885025</v>
      </c>
      <c r="AA51" s="11">
        <f>'[12]Leonhardt (1977)'!$L$6</f>
        <v>0.34838263613442921</v>
      </c>
      <c r="AB51" s="11">
        <f t="shared" si="30"/>
        <v>0.967729544817859</v>
      </c>
      <c r="AC51" s="11">
        <f t="shared" si="42"/>
        <v>-3.2802626593171152E-2</v>
      </c>
      <c r="AD51" s="11">
        <f>'[12]Desayi; Ganesan (1985)'!$L$6</f>
        <v>0.24008937879822945</v>
      </c>
      <c r="AE51" s="11">
        <f t="shared" si="31"/>
        <v>0.66691494110619298</v>
      </c>
      <c r="AF51" s="11">
        <f t="shared" si="43"/>
        <v>-0.40509276577688508</v>
      </c>
      <c r="AG51" s="11">
        <f>'[12]Oh; Kang (1987)'!$L$6</f>
        <v>0.15276891917136376</v>
      </c>
      <c r="AH51" s="11">
        <f t="shared" si="32"/>
        <v>0.42435810880934377</v>
      </c>
      <c r="AI51" s="11">
        <f t="shared" si="44"/>
        <v>-0.85717758397243671</v>
      </c>
      <c r="AJ51" s="11">
        <f>'[12]Caldas (1997)'!$L$6</f>
        <v>0.25002482779531143</v>
      </c>
      <c r="AK51" s="11">
        <f t="shared" si="33"/>
        <v>0.69451341054253179</v>
      </c>
      <c r="AL51" s="11">
        <f t="shared" si="45"/>
        <v>-0.36454380733769237</v>
      </c>
      <c r="AM51" s="11">
        <v>0.23257512149335927</v>
      </c>
      <c r="AN51" s="11">
        <f t="shared" si="34"/>
        <v>0.64604200414822022</v>
      </c>
      <c r="AO51" s="11">
        <f t="shared" si="46"/>
        <v>-0.43689075541209771</v>
      </c>
      <c r="AP51" s="11">
        <v>0.34403441271139223</v>
      </c>
      <c r="AQ51" s="11">
        <f t="shared" si="35"/>
        <v>0.95565114642053406</v>
      </c>
      <c r="AR51" s="11">
        <f t="shared" si="47"/>
        <v>-4.536234212839782E-2</v>
      </c>
      <c r="AS51" s="11">
        <v>0.31027905774682607</v>
      </c>
      <c r="AT51" s="11">
        <f t="shared" si="36"/>
        <v>0.86188627151896136</v>
      </c>
      <c r="AU51" s="11">
        <f t="shared" si="48"/>
        <v>-0.14863195261556214</v>
      </c>
      <c r="AZ51" t="b">
        <f t="shared" si="0"/>
        <v>1</v>
      </c>
      <c r="BB51" t="b">
        <f t="shared" si="1"/>
        <v>0</v>
      </c>
      <c r="BD51" t="b">
        <f t="shared" si="2"/>
        <v>1</v>
      </c>
    </row>
    <row r="52" spans="1:56">
      <c r="A52" s="88"/>
      <c r="B52" s="37">
        <f>'[12]Dados de entrada'!$B$28</f>
        <v>12</v>
      </c>
      <c r="C52" s="37">
        <f>'[12]Dados de entrada'!$B$31</f>
        <v>4</v>
      </c>
      <c r="D52" s="37">
        <f>'[12]Dados de entrada'!$B$32</f>
        <v>79.3</v>
      </c>
      <c r="E52" s="41">
        <f>'[12]Dados de entrada'!$B$27</f>
        <v>2.6933292113182881</v>
      </c>
      <c r="F52" s="37">
        <f>'[12]Dados de entrada'!$B$30</f>
        <v>32</v>
      </c>
      <c r="G52" s="37">
        <f>'[12]Dados de entrada'!$B$22</f>
        <v>38</v>
      </c>
      <c r="H52" s="42">
        <f>'[12]Dados de entrada'!$B$29/('[12]Dados de entrada'!$B$20*2*G52)</f>
        <v>1.6992481203007517E-2</v>
      </c>
      <c r="I52" s="25">
        <f>'[12]fib Model Code 2010'!$K$7</f>
        <v>386.27094374902435</v>
      </c>
      <c r="J52" s="4">
        <f>'[12]Dados de entrada'!$C$9</f>
        <v>0.56000000000000005</v>
      </c>
      <c r="K52" s="11">
        <f>'[12]fib Model Code 2010'!$L$7</f>
        <v>0.39669046774087013</v>
      </c>
      <c r="L52" s="11">
        <f t="shared" si="51"/>
        <v>0.70837583525155379</v>
      </c>
      <c r="M52" s="11">
        <f t="shared" si="37"/>
        <v>-0.34478048538374406</v>
      </c>
      <c r="N52" s="11">
        <f>'[12]fib Model Code 2020'!$L$7</f>
        <v>0.39776006136079389</v>
      </c>
      <c r="O52" s="11">
        <f t="shared" si="50"/>
        <v>0.71028582385856043</v>
      </c>
      <c r="P52" s="11">
        <f t="shared" si="38"/>
        <v>-0.34208782114098701</v>
      </c>
      <c r="Q52" s="11">
        <f>'[12]Eurocode 2'!$L$7</f>
        <v>0.3321075898906467</v>
      </c>
      <c r="R52" s="11">
        <f t="shared" si="28"/>
        <v>0.59304926766186905</v>
      </c>
      <c r="S52" s="11">
        <f t="shared" si="39"/>
        <v>-0.5224778013750474</v>
      </c>
      <c r="T52" s="11">
        <f>'[12]NBR 6118'!$Q$7</f>
        <v>0.35913350630197144</v>
      </c>
      <c r="U52" s="11">
        <f>'[12]NBR 6118'!$R$7</f>
        <v>0.37513627472971839</v>
      </c>
      <c r="V52" s="11">
        <f>'[12]NBR 6118'!$W$7</f>
        <v>0.64130983268209174</v>
      </c>
      <c r="W52" s="11">
        <f t="shared" si="40"/>
        <v>-0.44424258052307358</v>
      </c>
      <c r="X52" s="11">
        <f>'[12]Clark (1956)'!$L$7</f>
        <v>0.29782409498510426</v>
      </c>
      <c r="Y52" s="11">
        <f t="shared" si="29"/>
        <v>0.53182874104482902</v>
      </c>
      <c r="Z52" s="11">
        <f t="shared" si="41"/>
        <v>-0.63143375679562364</v>
      </c>
      <c r="AA52" s="11">
        <f>'[12]Leonhardt (1977)'!$L$7</f>
        <v>0.52320849591990093</v>
      </c>
      <c r="AB52" s="11">
        <f t="shared" si="30"/>
        <v>0.93430088557125157</v>
      </c>
      <c r="AC52" s="11">
        <f t="shared" si="42"/>
        <v>-6.795674533903158E-2</v>
      </c>
      <c r="AD52" s="11">
        <f>'[12]Desayi; Ganesan (1985)'!$L$7</f>
        <v>0.30868634416915214</v>
      </c>
      <c r="AE52" s="11">
        <f t="shared" si="31"/>
        <v>0.55122561458777164</v>
      </c>
      <c r="AF52" s="11">
        <f t="shared" si="43"/>
        <v>-0.59561108977501842</v>
      </c>
      <c r="AG52" s="11">
        <f>'[12]Oh; Kang (1987)'!$L$7</f>
        <v>0.20312113558454717</v>
      </c>
      <c r="AH52" s="11">
        <f t="shared" si="32"/>
        <v>0.36271631354383421</v>
      </c>
      <c r="AI52" s="11">
        <f t="shared" si="44"/>
        <v>-1.014134255640704</v>
      </c>
      <c r="AJ52" s="11">
        <f>'[12]Caldas (1997)'!$L$7</f>
        <v>0.33594505364732091</v>
      </c>
      <c r="AK52" s="11">
        <f t="shared" si="33"/>
        <v>0.599901881513073</v>
      </c>
      <c r="AL52" s="11">
        <f t="shared" si="45"/>
        <v>-0.51098916795015681</v>
      </c>
      <c r="AM52" s="11">
        <v>0.2990251562057476</v>
      </c>
      <c r="AN52" s="11">
        <f t="shared" si="34"/>
        <v>0.53397349322454923</v>
      </c>
      <c r="AO52" s="11">
        <f t="shared" si="46"/>
        <v>-0.62740907941023105</v>
      </c>
      <c r="AP52" s="11">
        <v>0.5422958223217913</v>
      </c>
      <c r="AQ52" s="11">
        <f t="shared" si="35"/>
        <v>0.9683853970031987</v>
      </c>
      <c r="AR52" s="11">
        <f t="shared" si="47"/>
        <v>-3.2125133541225592E-2</v>
      </c>
      <c r="AS52" s="11">
        <v>0.46590305794093373</v>
      </c>
      <c r="AT52" s="11">
        <f t="shared" si="36"/>
        <v>0.83196974632309584</v>
      </c>
      <c r="AU52" s="11">
        <f t="shared" si="48"/>
        <v>-0.18395920141449643</v>
      </c>
      <c r="AZ52" t="b">
        <f t="shared" si="0"/>
        <v>1</v>
      </c>
      <c r="BB52" t="b">
        <f t="shared" si="1"/>
        <v>0</v>
      </c>
      <c r="BD52" t="b">
        <f t="shared" si="2"/>
        <v>1</v>
      </c>
    </row>
    <row r="53" spans="1:56">
      <c r="A53" s="89"/>
      <c r="B53" s="37">
        <f>'[12]Dados de entrada'!$B$28</f>
        <v>12</v>
      </c>
      <c r="C53" s="37">
        <f>'[12]Dados de entrada'!$B$31</f>
        <v>4</v>
      </c>
      <c r="D53" s="37">
        <f>'[12]Dados de entrada'!$B$32</f>
        <v>79.3</v>
      </c>
      <c r="E53" s="41">
        <f>'[12]Dados de entrada'!$B$27</f>
        <v>2.6933292113182881</v>
      </c>
      <c r="F53" s="37">
        <f>'[12]Dados de entrada'!$B$30</f>
        <v>32</v>
      </c>
      <c r="G53" s="37">
        <f>'[12]Dados de entrada'!$B$22</f>
        <v>38</v>
      </c>
      <c r="H53" s="42">
        <f>'[12]Dados de entrada'!$B$29/('[12]Dados de entrada'!$B$20*2*G53)</f>
        <v>1.6992481203007517E-2</v>
      </c>
      <c r="I53" s="25">
        <f>'[12]fib Model Code 2010'!$K$8</f>
        <v>500</v>
      </c>
      <c r="J53" s="4">
        <f>'[12]Dados de entrada'!$C$10</f>
        <v>0.78</v>
      </c>
      <c r="K53" s="11">
        <f>'[12]fib Model Code 2010'!$L$8</f>
        <v>0.57251927902823763</v>
      </c>
      <c r="L53" s="11">
        <f t="shared" si="51"/>
        <v>0.73399907567722766</v>
      </c>
      <c r="M53" s="11">
        <f t="shared" si="37"/>
        <v>-0.30924750966374454</v>
      </c>
      <c r="N53" s="11">
        <f>'[12]fib Model Code 2020'!$L$8</f>
        <v>0.57668065163185067</v>
      </c>
      <c r="O53" s="11">
        <f t="shared" si="50"/>
        <v>0.73933416875878288</v>
      </c>
      <c r="P53" s="11">
        <f t="shared" si="38"/>
        <v>-0.30200526976927045</v>
      </c>
      <c r="Q53" s="11">
        <f>'[12]Eurocode 2'!$L$8</f>
        <v>0.47931073062285534</v>
      </c>
      <c r="R53" s="11">
        <f t="shared" si="28"/>
        <v>0.61450093669596839</v>
      </c>
      <c r="S53" s="11">
        <f t="shared" si="39"/>
        <v>-0.4869448256550476</v>
      </c>
      <c r="T53" s="11">
        <f>'[12]NBR 6118'!$Q$8</f>
        <v>0.45193571713743219</v>
      </c>
      <c r="U53" s="11">
        <f>'[12]NBR 6118'!$R$8</f>
        <v>0.59406031512087509</v>
      </c>
      <c r="V53" s="11">
        <f>'[12]NBR 6118'!$W$8</f>
        <v>0.57940476556081044</v>
      </c>
      <c r="W53" s="11">
        <f t="shared" si="40"/>
        <v>-0.5457539686879429</v>
      </c>
      <c r="X53" s="11">
        <f>'[12]Clark (1956)'!$L$8</f>
        <v>0.42873730970005475</v>
      </c>
      <c r="Y53" s="11">
        <f t="shared" si="29"/>
        <v>0.54966321756417269</v>
      </c>
      <c r="Z53" s="11">
        <f t="shared" si="41"/>
        <v>-0.5984495200087474</v>
      </c>
      <c r="AA53" s="11">
        <f>'[12]Leonhardt (1977)'!$L$8</f>
        <v>0.73742133167676249</v>
      </c>
      <c r="AB53" s="11">
        <f t="shared" si="30"/>
        <v>0.94541196368815705</v>
      </c>
      <c r="AC53" s="11">
        <f t="shared" si="42"/>
        <v>-5.6134506072060025E-2</v>
      </c>
      <c r="AD53" s="11">
        <f>'[12]Desayi; Ganesan (1985)'!$L$8</f>
        <v>0.39957230690605344</v>
      </c>
      <c r="AE53" s="11">
        <f t="shared" si="31"/>
        <v>0.51227218834109411</v>
      </c>
      <c r="AF53" s="11">
        <f t="shared" si="43"/>
        <v>-0.66889917734763948</v>
      </c>
      <c r="AG53" s="11">
        <f>'[12]Oh; Kang (1987)'!$L$8</f>
        <v>0.26983414015994794</v>
      </c>
      <c r="AH53" s="11">
        <f t="shared" si="32"/>
        <v>0.34594120533326661</v>
      </c>
      <c r="AI53" s="11">
        <f t="shared" si="44"/>
        <v>-1.0614864451460706</v>
      </c>
      <c r="AJ53" s="11">
        <f>'[12]Caldas (1997)'!$L$8</f>
        <v>0.44978306970104531</v>
      </c>
      <c r="AK53" s="11">
        <f t="shared" si="33"/>
        <v>0.57664496115518626</v>
      </c>
      <c r="AL53" s="11">
        <f t="shared" si="45"/>
        <v>-0.55052852048209411</v>
      </c>
      <c r="AM53" s="11">
        <v>0.38706659282148359</v>
      </c>
      <c r="AN53" s="11">
        <f t="shared" si="34"/>
        <v>0.49623922156600458</v>
      </c>
      <c r="AO53" s="11">
        <f t="shared" si="46"/>
        <v>-0.700697166982852</v>
      </c>
      <c r="AP53" s="11">
        <v>0.78660896418685322</v>
      </c>
      <c r="AQ53" s="11">
        <f t="shared" si="35"/>
        <v>1.0084730310087862</v>
      </c>
      <c r="AR53" s="11">
        <f t="shared" si="47"/>
        <v>8.4373363676887268E-3</v>
      </c>
      <c r="AS53" s="11">
        <v>0.67688057522388723</v>
      </c>
      <c r="AT53" s="11">
        <f t="shared" si="36"/>
        <v>0.86779560926139387</v>
      </c>
      <c r="AU53" s="11">
        <f t="shared" si="48"/>
        <v>-0.14179906525111316</v>
      </c>
      <c r="AZ53" t="b">
        <f t="shared" si="0"/>
        <v>1</v>
      </c>
      <c r="BB53" t="b">
        <f t="shared" si="1"/>
        <v>0</v>
      </c>
      <c r="BD53" t="b">
        <f t="shared" si="2"/>
        <v>1</v>
      </c>
    </row>
    <row r="54" spans="1:56">
      <c r="A54" s="85" t="s">
        <v>29</v>
      </c>
      <c r="B54" s="43">
        <f>'[13]Dados de entrada'!$B$28</f>
        <v>12</v>
      </c>
      <c r="C54" s="43">
        <f>'[13]Dados de entrada'!$B$31</f>
        <v>4</v>
      </c>
      <c r="D54" s="43">
        <f>'[13]Dados de entrada'!$B$32</f>
        <v>46</v>
      </c>
      <c r="E54" s="44">
        <f>'[13]Dados de entrada'!$B$27</f>
        <v>2.6933292113182881</v>
      </c>
      <c r="F54" s="43">
        <f>'[13]Dados de entrada'!$B$30</f>
        <v>82</v>
      </c>
      <c r="G54" s="43">
        <f>'[13]Dados de entrada'!$B$22</f>
        <v>88</v>
      </c>
      <c r="H54" s="45">
        <f>'[13]Dados de entrada'!$B$29/('[13]Dados de entrada'!$B$20*2*G54)</f>
        <v>7.3376623376623373E-3</v>
      </c>
      <c r="I54" s="26">
        <f>'[13]fib Model Code 2010'!$K$6</f>
        <v>245.19477048546645</v>
      </c>
      <c r="J54" s="19">
        <f>'[13]Dados de entrada'!$C$8</f>
        <v>0.31</v>
      </c>
      <c r="K54" s="20">
        <f>'[13]fib Model Code 2010'!$L$6</f>
        <v>0.18691065801267578</v>
      </c>
      <c r="L54" s="20">
        <f t="shared" si="51"/>
        <v>0.6029376064925025</v>
      </c>
      <c r="M54" s="20">
        <f t="shared" si="37"/>
        <v>-0.50594155942859187</v>
      </c>
      <c r="N54" s="20">
        <f>'[13]fib Model Code 2020'!$L$6</f>
        <v>0.28097015142574805</v>
      </c>
      <c r="O54" s="20">
        <f t="shared" si="50"/>
        <v>0.90635532717983247</v>
      </c>
      <c r="P54" s="20">
        <f t="shared" si="38"/>
        <v>-9.8323856471645613E-2</v>
      </c>
      <c r="Q54" s="20">
        <f>'[13]Eurocode 2'!$L$6</f>
        <v>0.35190889482744719</v>
      </c>
      <c r="R54" s="20">
        <f t="shared" si="28"/>
        <v>1.1351899833143457</v>
      </c>
      <c r="S54" s="20">
        <f t="shared" si="39"/>
        <v>0.12680002310590274</v>
      </c>
      <c r="T54" s="20">
        <f>'[13]NBR 6118'!$Q$6</f>
        <v>0.42115359778442191</v>
      </c>
      <c r="U54" s="20">
        <f>'[13]NBR 6118'!$R$6</f>
        <v>0.15160704695540023</v>
      </c>
      <c r="V54" s="20">
        <f>'[13]NBR 6118'!$W$6</f>
        <v>0.4890549901787104</v>
      </c>
      <c r="W54" s="20">
        <f t="shared" si="40"/>
        <v>-0.71528034147659081</v>
      </c>
      <c r="X54" s="20">
        <f>'[13]Clark (1956)'!$L$6</f>
        <v>0.35388215107782112</v>
      </c>
      <c r="Y54" s="20">
        <f t="shared" si="29"/>
        <v>1.1415553260574876</v>
      </c>
      <c r="Z54" s="20">
        <f t="shared" si="41"/>
        <v>0.13239165366906505</v>
      </c>
      <c r="AA54" s="20">
        <f>'[13]Leonhardt (1977)'!$L$6</f>
        <v>4.2260284514019641E-2</v>
      </c>
      <c r="AB54" s="20"/>
      <c r="AC54" s="20"/>
      <c r="AD54" s="20">
        <f>'[13]Desayi; Ganesan (1985)'!$L$6</f>
        <v>0.43368023499729708</v>
      </c>
      <c r="AE54" s="20">
        <f t="shared" si="31"/>
        <v>1.3989684999912808</v>
      </c>
      <c r="AF54" s="20">
        <f t="shared" si="43"/>
        <v>0.33573517934070435</v>
      </c>
      <c r="AG54" s="20">
        <f>'[13]Oh; Kang (1987)'!$L$6</f>
        <v>0.15711776961185428</v>
      </c>
      <c r="AH54" s="20">
        <f t="shared" si="32"/>
        <v>0.50683151487694933</v>
      </c>
      <c r="AI54" s="20">
        <f t="shared" si="44"/>
        <v>-0.67957664841769327</v>
      </c>
      <c r="AJ54" s="20">
        <f>'[13]Caldas (1997)'!$L$6</f>
        <v>0.27873857274862496</v>
      </c>
      <c r="AK54" s="20">
        <f t="shared" si="33"/>
        <v>0.89915668628588696</v>
      </c>
      <c r="AL54" s="20">
        <f t="shared" si="45"/>
        <v>-0.10629797016893293</v>
      </c>
      <c r="AM54" s="20" cm="1">
        <f t="array" ref="AM54:AM55">'[13]Gergely e Lutz (1968)'!$L$6:$L$7</f>
        <v>0.38870614788651509</v>
      </c>
      <c r="AN54" s="20">
        <f t="shared" si="34"/>
        <v>1.2538907996339197</v>
      </c>
      <c r="AO54" s="20">
        <f t="shared" si="46"/>
        <v>0.22625135678726055</v>
      </c>
      <c r="AP54" s="20" cm="1">
        <f t="array" ref="AP54:AP55">[13]Sugestão!$M$6:$M$7</f>
        <v>0.36254631705594237</v>
      </c>
      <c r="AQ54" s="20">
        <f t="shared" si="35"/>
        <v>1.169504248567556</v>
      </c>
      <c r="AR54" s="20">
        <f t="shared" si="47"/>
        <v>0.15657993984230092</v>
      </c>
      <c r="AS54" s="20" cm="1">
        <f t="array" ref="AS54:AS55">'[13]fib Model Code 2020 modificado'!$L$6:$L$7</f>
        <v>0.30371204517585998</v>
      </c>
      <c r="AT54" s="20">
        <f t="shared" si="36"/>
        <v>0.97971627476083867</v>
      </c>
      <c r="AU54" s="20">
        <f t="shared" si="48"/>
        <v>-2.0492264785401716E-2</v>
      </c>
      <c r="AZ54" t="b">
        <f t="shared" si="0"/>
        <v>0</v>
      </c>
      <c r="BB54" t="b">
        <f t="shared" si="1"/>
        <v>0</v>
      </c>
      <c r="BD54" t="b">
        <f t="shared" si="2"/>
        <v>0</v>
      </c>
    </row>
    <row r="55" spans="1:56">
      <c r="A55" s="86"/>
      <c r="B55" s="43">
        <f>'[13]Dados de entrada'!$B$28</f>
        <v>12</v>
      </c>
      <c r="C55" s="43">
        <f>'[13]Dados de entrada'!$B$31</f>
        <v>4</v>
      </c>
      <c r="D55" s="43">
        <f>'[13]Dados de entrada'!$B$32</f>
        <v>46</v>
      </c>
      <c r="E55" s="44">
        <f>'[13]Dados de entrada'!$B$27</f>
        <v>2.6933292113182881</v>
      </c>
      <c r="F55" s="43">
        <f>'[13]Dados de entrada'!$B$30</f>
        <v>82</v>
      </c>
      <c r="G55" s="43">
        <f>'[13]Dados de entrada'!$B$22</f>
        <v>88</v>
      </c>
      <c r="H55" s="45">
        <f>'[13]Dados de entrada'!$B$29/('[13]Dados de entrada'!$B$20*2*G55)</f>
        <v>7.3376623376623373E-3</v>
      </c>
      <c r="I55" s="26">
        <f>'[13]fib Model Code 2010'!$K$7</f>
        <v>294.23372458255977</v>
      </c>
      <c r="J55" s="19">
        <f>'[13]Dados de entrada'!$C$9</f>
        <v>0.44</v>
      </c>
      <c r="K55" s="20">
        <f>'[13]fib Model Code 2010'!$L$7</f>
        <v>0.30709427182839427</v>
      </c>
      <c r="L55" s="20">
        <f t="shared" si="51"/>
        <v>0.69794152688271427</v>
      </c>
      <c r="M55" s="20">
        <f t="shared" si="37"/>
        <v>-0.35961995210320075</v>
      </c>
      <c r="N55" s="20">
        <f>'[13]fib Model Code 2020'!$L$7</f>
        <v>0.38177508410215444</v>
      </c>
      <c r="O55" s="20">
        <f t="shared" si="50"/>
        <v>0.86767064568671459</v>
      </c>
      <c r="P55" s="20">
        <f t="shared" si="38"/>
        <v>-0.14194307678062457</v>
      </c>
      <c r="Q55" s="20">
        <f>'[13]Eurocode 2'!$L$7</f>
        <v>0.42229067379293672</v>
      </c>
      <c r="R55" s="20">
        <f t="shared" si="28"/>
        <v>0.95975153134758351</v>
      </c>
      <c r="S55" s="20">
        <f t="shared" si="39"/>
        <v>-4.108084953325724E-2</v>
      </c>
      <c r="T55" s="20">
        <f>'[13]NBR 6118'!$Q$7</f>
        <v>0.50538431734130629</v>
      </c>
      <c r="U55" s="20">
        <f>'[13]NBR 6118'!$R$7</f>
        <v>0.21831414761577628</v>
      </c>
      <c r="V55" s="20">
        <f>'[13]NBR 6118'!$W$7</f>
        <v>0.49616851730858247</v>
      </c>
      <c r="W55" s="20">
        <f t="shared" si="40"/>
        <v>-0.70083965732179665</v>
      </c>
      <c r="X55" s="20">
        <f>'[13]Clark (1956)'!$L$7</f>
        <v>0.48460524761713825</v>
      </c>
      <c r="Y55" s="20">
        <f t="shared" si="29"/>
        <v>1.1013755627662232</v>
      </c>
      <c r="Z55" s="20">
        <f t="shared" si="41"/>
        <v>9.6559910171574989E-2</v>
      </c>
      <c r="AA55" s="20">
        <f>'[13]Leonhardt (1977)'!$L$7</f>
        <v>0.27291843309892705</v>
      </c>
      <c r="AB55" s="20">
        <f t="shared" si="30"/>
        <v>0.62026916613392513</v>
      </c>
      <c r="AC55" s="20">
        <f t="shared" si="42"/>
        <v>-0.47760175622835138</v>
      </c>
      <c r="AD55" s="20">
        <f>'[13]Desayi; Ganesan (1985)'!$L$7</f>
        <v>0.52041628199675649</v>
      </c>
      <c r="AE55" s="20">
        <f t="shared" si="31"/>
        <v>1.1827642772653557</v>
      </c>
      <c r="AF55" s="20">
        <f t="shared" si="43"/>
        <v>0.16785430670154419</v>
      </c>
      <c r="AG55" s="20">
        <f>'[13]Oh; Kang (1987)'!$L$7</f>
        <v>0.19466692875272593</v>
      </c>
      <c r="AH55" s="20">
        <f t="shared" si="32"/>
        <v>0.4424248380743771</v>
      </c>
      <c r="AI55" s="20">
        <f t="shared" si="44"/>
        <v>-0.81548468642059957</v>
      </c>
      <c r="AJ55" s="20">
        <f>'[13]Caldas (1997)'!$L$7</f>
        <v>0.34899935700575707</v>
      </c>
      <c r="AK55" s="20">
        <f t="shared" si="33"/>
        <v>0.79318035683126609</v>
      </c>
      <c r="AL55" s="20">
        <f t="shared" si="45"/>
        <v>-0.23170464710195776</v>
      </c>
      <c r="AM55" s="20">
        <v>0.46644737746381815</v>
      </c>
      <c r="AN55" s="20">
        <f t="shared" si="34"/>
        <v>1.0601076760541321</v>
      </c>
      <c r="AO55" s="20">
        <f t="shared" si="46"/>
        <v>5.8370484148100289E-2</v>
      </c>
      <c r="AP55" s="20">
        <v>0.5503677050597654</v>
      </c>
      <c r="AQ55" s="20">
        <f t="shared" si="35"/>
        <v>1.2508356933176485</v>
      </c>
      <c r="AR55" s="20">
        <f t="shared" si="47"/>
        <v>0.2238118825852228</v>
      </c>
      <c r="AS55" s="20">
        <v>0.41010471120266756</v>
      </c>
      <c r="AT55" s="20">
        <f t="shared" si="36"/>
        <v>0.93205616182424444</v>
      </c>
      <c r="AU55" s="20">
        <f t="shared" si="48"/>
        <v>-7.0362206644001238E-2</v>
      </c>
      <c r="AZ55" t="b">
        <f t="shared" si="0"/>
        <v>0</v>
      </c>
      <c r="BB55" t="b">
        <f t="shared" si="1"/>
        <v>0</v>
      </c>
      <c r="BD55" t="b">
        <f t="shared" si="2"/>
        <v>0</v>
      </c>
    </row>
    <row r="56" spans="1:56">
      <c r="A56" s="87" t="s">
        <v>30</v>
      </c>
      <c r="B56" s="37">
        <f>'[14]Dados de entrada'!$B$28</f>
        <v>12</v>
      </c>
      <c r="C56" s="37">
        <f>'[14]Dados de entrada'!$B$31</f>
        <v>4</v>
      </c>
      <c r="D56" s="37">
        <f>'[14]Dados de entrada'!$B$32</f>
        <v>46</v>
      </c>
      <c r="E56" s="41">
        <f>'[14]Dados de entrada'!$B$27</f>
        <v>2.6933292113182881</v>
      </c>
      <c r="F56" s="37">
        <f>'[14]Dados de entrada'!$B$30</f>
        <v>82</v>
      </c>
      <c r="G56" s="37">
        <f>'[14]Dados de entrada'!$B$22</f>
        <v>88</v>
      </c>
      <c r="H56" s="42">
        <f>'[14]Dados de entrada'!$B$29/('[14]Dados de entrada'!$B$20*2*G56)</f>
        <v>7.3376623376623373E-3</v>
      </c>
      <c r="I56" s="25">
        <f>'[14]fib Model Code 2010'!$K$5</f>
        <v>196.15581638837318</v>
      </c>
      <c r="J56" s="4">
        <f>'[14]Dados de entrada'!$C$7</f>
        <v>0.14000000000000001</v>
      </c>
      <c r="K56" s="11">
        <f>'[14]fib Model Code 2010'!$L$5</f>
        <v>6.672704419695745E-2</v>
      </c>
      <c r="L56" s="11">
        <f t="shared" si="51"/>
        <v>0.47662174426398174</v>
      </c>
      <c r="M56" s="11">
        <f t="shared" si="37"/>
        <v>-0.74103209164026129</v>
      </c>
      <c r="N56" s="11">
        <f>'[14]fib Model Code 2020'!$L$5</f>
        <v>0.22477612114059844</v>
      </c>
      <c r="O56" s="11">
        <f t="shared" si="50"/>
        <v>1.6055437224328459</v>
      </c>
      <c r="P56" s="11">
        <f t="shared" si="38"/>
        <v>0.47346246708403217</v>
      </c>
      <c r="Q56" s="11">
        <f>'[14]Eurocode 2'!$L$5</f>
        <v>0.28152711586195778</v>
      </c>
      <c r="R56" s="11">
        <f t="shared" si="28"/>
        <v>2.0109079704425552</v>
      </c>
      <c r="S56" s="11">
        <f t="shared" si="39"/>
        <v>0.69858634666158059</v>
      </c>
      <c r="T56" s="11">
        <f>'[14]NBR 6118'!$Q$5</f>
        <v>0.33692287822753753</v>
      </c>
      <c r="U56" s="11">
        <f>'[14]NBR 6118'!$R$5</f>
        <v>9.7028510051456116E-2</v>
      </c>
      <c r="V56" s="11">
        <f>'[14]NBR 6118'!$W$5</f>
        <v>0.69306078608182931</v>
      </c>
      <c r="W56" s="11">
        <f t="shared" si="40"/>
        <v>-0.36663756923512308</v>
      </c>
      <c r="X56" s="11">
        <f>'[14]Clark (1956)'!$L$5</f>
        <v>0.22315905453850413</v>
      </c>
      <c r="Y56" s="11">
        <f t="shared" si="29"/>
        <v>1.5939932467036007</v>
      </c>
      <c r="Z56" s="11">
        <f t="shared" si="41"/>
        <v>0.46624234366118189</v>
      </c>
      <c r="AA56" s="11"/>
      <c r="AB56" s="11"/>
      <c r="AC56" s="11"/>
      <c r="AD56" s="11">
        <f>'[14]Desayi; Ganesan (1985)'!$L$5</f>
        <v>0.34694418799783772</v>
      </c>
      <c r="AE56" s="11">
        <f t="shared" si="31"/>
        <v>2.4781727714131265</v>
      </c>
      <c r="AF56" s="11">
        <f t="shared" si="43"/>
        <v>0.90752150289638245</v>
      </c>
      <c r="AG56" s="11">
        <f>'[14]Oh; Kang (1987)'!$L$5</f>
        <v>0.11956861047098272</v>
      </c>
      <c r="AH56" s="11">
        <f t="shared" si="32"/>
        <v>0.8540615033641622</v>
      </c>
      <c r="AI56" s="11">
        <f t="shared" si="44"/>
        <v>-0.15775206979591594</v>
      </c>
      <c r="AJ56" s="11">
        <f>'[14]Caldas (1997)'!$L$5</f>
        <v>0.20847778849149301</v>
      </c>
      <c r="AK56" s="11">
        <f t="shared" si="33"/>
        <v>1.4891270606535214</v>
      </c>
      <c r="AL56" s="11">
        <f t="shared" si="45"/>
        <v>0.3981900829380064</v>
      </c>
      <c r="AM56" s="11" cm="1">
        <f t="array" ref="AM56:AM58">'[14]Gergely e Lutz (1968)'!$L$5:$L$7</f>
        <v>0.31096491830921213</v>
      </c>
      <c r="AN56" s="11">
        <f t="shared" si="34"/>
        <v>2.2211779879229434</v>
      </c>
      <c r="AO56" s="11">
        <f t="shared" si="46"/>
        <v>0.79803768034293843</v>
      </c>
      <c r="AP56" s="11" cm="1">
        <f t="array" ref="AP56:AP58">[14]Sugestão!$M$5:$M$7</f>
        <v>0.23202964291580305</v>
      </c>
      <c r="AQ56" s="11">
        <f t="shared" si="35"/>
        <v>1.657354592255736</v>
      </c>
      <c r="AR56" s="11">
        <f t="shared" si="47"/>
        <v>0.50522271208376879</v>
      </c>
      <c r="AS56" s="11" cm="1">
        <f t="array" ref="AS56:AS58">'[14]fib Model Code 2020 modificado'!$L$5:$L$7</f>
        <v>0.24227673307376879</v>
      </c>
      <c r="AT56" s="11">
        <f t="shared" si="36"/>
        <v>1.7305480933840627</v>
      </c>
      <c r="AU56" s="11">
        <f t="shared" si="48"/>
        <v>0.54843817531879135</v>
      </c>
      <c r="AZ56" t="b">
        <f t="shared" si="0"/>
        <v>0</v>
      </c>
      <c r="BB56" t="b">
        <f t="shared" si="1"/>
        <v>0</v>
      </c>
      <c r="BD56" t="b">
        <f t="shared" si="2"/>
        <v>0</v>
      </c>
    </row>
    <row r="57" spans="1:56">
      <c r="A57" s="88"/>
      <c r="B57" s="37">
        <f>'[14]Dados de entrada'!$B$28</f>
        <v>12</v>
      </c>
      <c r="C57" s="37">
        <f>'[14]Dados de entrada'!$B$31</f>
        <v>4</v>
      </c>
      <c r="D57" s="37">
        <f>'[14]Dados de entrada'!$B$32</f>
        <v>46</v>
      </c>
      <c r="E57" s="41">
        <f>'[14]Dados de entrada'!$B$27</f>
        <v>2.6933292113182881</v>
      </c>
      <c r="F57" s="37">
        <f>'[14]Dados de entrada'!$B$30</f>
        <v>82</v>
      </c>
      <c r="G57" s="37">
        <f>'[14]Dados de entrada'!$B$22</f>
        <v>88</v>
      </c>
      <c r="H57" s="42">
        <f>'[14]Dados de entrada'!$B$29/('[14]Dados de entrada'!$B$20*2*G57)</f>
        <v>7.3376623376623373E-3</v>
      </c>
      <c r="I57" s="25">
        <f>'[14]fib Model Code 2010'!$K$6</f>
        <v>245.19477048546645</v>
      </c>
      <c r="J57" s="4">
        <f>'[14]Dados de entrada'!$C$8</f>
        <v>0.31</v>
      </c>
      <c r="K57" s="11">
        <f>'[14]fib Model Code 2010'!$L$6</f>
        <v>0.18691065801267578</v>
      </c>
      <c r="L57" s="11">
        <f t="shared" si="51"/>
        <v>0.6029376064925025</v>
      </c>
      <c r="M57" s="11">
        <f t="shared" si="37"/>
        <v>-0.50594155942859187</v>
      </c>
      <c r="N57" s="11">
        <f>'[14]fib Model Code 2020'!$L$6</f>
        <v>0.28097015142574805</v>
      </c>
      <c r="O57" s="11">
        <f t="shared" si="50"/>
        <v>0.90635532717983247</v>
      </c>
      <c r="P57" s="11">
        <f t="shared" si="38"/>
        <v>-9.8323856471645613E-2</v>
      </c>
      <c r="Q57" s="11">
        <f>'[14]Eurocode 2'!$L$6</f>
        <v>0.35190889482744719</v>
      </c>
      <c r="R57" s="11">
        <f t="shared" si="28"/>
        <v>1.1351899833143457</v>
      </c>
      <c r="S57" s="11">
        <f t="shared" si="39"/>
        <v>0.12680002310590274</v>
      </c>
      <c r="T57" s="11">
        <f>'[14]NBR 6118'!$Q$6</f>
        <v>0.42115359778442191</v>
      </c>
      <c r="U57" s="11">
        <f>'[14]NBR 6118'!$R$6</f>
        <v>0.15160704695540023</v>
      </c>
      <c r="V57" s="11">
        <f>'[14]NBR 6118'!$W$6</f>
        <v>0.4890549901787104</v>
      </c>
      <c r="W57" s="11">
        <f t="shared" si="40"/>
        <v>-0.71528034147659081</v>
      </c>
      <c r="X57" s="11">
        <f>'[14]Clark (1956)'!$L$6</f>
        <v>0.35388215107782112</v>
      </c>
      <c r="Y57" s="11">
        <f t="shared" si="29"/>
        <v>1.1415553260574876</v>
      </c>
      <c r="Z57" s="11">
        <f t="shared" si="41"/>
        <v>0.13239165366906505</v>
      </c>
      <c r="AA57" s="11">
        <f>'[14]Leonhardt (1977)'!$L$6</f>
        <v>4.2260284514019641E-2</v>
      </c>
      <c r="AB57" s="11"/>
      <c r="AC57" s="11"/>
      <c r="AD57" s="11">
        <f>'[14]Desayi; Ganesan (1985)'!$L$6</f>
        <v>0.43368023499729708</v>
      </c>
      <c r="AE57" s="11">
        <f t="shared" si="31"/>
        <v>1.3989684999912808</v>
      </c>
      <c r="AF57" s="11">
        <f t="shared" si="43"/>
        <v>0.33573517934070435</v>
      </c>
      <c r="AG57" s="11">
        <f>'[14]Oh; Kang (1987)'!$L$6</f>
        <v>0.15711776961185428</v>
      </c>
      <c r="AH57" s="11">
        <f t="shared" si="32"/>
        <v>0.50683151487694933</v>
      </c>
      <c r="AI57" s="11">
        <f t="shared" si="44"/>
        <v>-0.67957664841769327</v>
      </c>
      <c r="AJ57" s="11">
        <f>'[14]Caldas (1997)'!$L$6</f>
        <v>0.27873857274862496</v>
      </c>
      <c r="AK57" s="11">
        <f t="shared" si="33"/>
        <v>0.89915668628588696</v>
      </c>
      <c r="AL57" s="11">
        <f t="shared" si="45"/>
        <v>-0.10629797016893293</v>
      </c>
      <c r="AM57" s="11">
        <v>0.38870614788651509</v>
      </c>
      <c r="AN57" s="11">
        <f t="shared" si="34"/>
        <v>1.2538907996339197</v>
      </c>
      <c r="AO57" s="11">
        <f t="shared" si="46"/>
        <v>0.22625135678726055</v>
      </c>
      <c r="AP57" s="11">
        <v>0.36254631705594237</v>
      </c>
      <c r="AQ57" s="11">
        <f t="shared" si="35"/>
        <v>1.169504248567556</v>
      </c>
      <c r="AR57" s="11">
        <f t="shared" si="47"/>
        <v>0.15657993984230092</v>
      </c>
      <c r="AS57" s="11">
        <v>0.30371204517585998</v>
      </c>
      <c r="AT57" s="11">
        <f t="shared" si="36"/>
        <v>0.97971627476083867</v>
      </c>
      <c r="AU57" s="11">
        <f t="shared" si="48"/>
        <v>-2.0492264785401716E-2</v>
      </c>
      <c r="AZ57" t="b">
        <f t="shared" si="0"/>
        <v>0</v>
      </c>
      <c r="BB57" t="b">
        <f t="shared" si="1"/>
        <v>0</v>
      </c>
      <c r="BD57" t="b">
        <f t="shared" si="2"/>
        <v>0</v>
      </c>
    </row>
    <row r="58" spans="1:56">
      <c r="A58" s="89"/>
      <c r="B58" s="37">
        <f>'[14]Dados de entrada'!$B$28</f>
        <v>12</v>
      </c>
      <c r="C58" s="37">
        <f>'[14]Dados de entrada'!$B$31</f>
        <v>4</v>
      </c>
      <c r="D58" s="37">
        <f>'[14]Dados de entrada'!$B$32</f>
        <v>46</v>
      </c>
      <c r="E58" s="41">
        <f>'[14]Dados de entrada'!$B$27</f>
        <v>2.6933292113182881</v>
      </c>
      <c r="F58" s="37">
        <f>'[14]Dados de entrada'!$B$30</f>
        <v>82</v>
      </c>
      <c r="G58" s="37">
        <f>'[14]Dados de entrada'!$B$22</f>
        <v>88</v>
      </c>
      <c r="H58" s="42">
        <f>'[14]Dados de entrada'!$B$29/('[14]Dados de entrada'!$B$20*2*G58)</f>
        <v>7.3376623376623373E-3</v>
      </c>
      <c r="I58" s="25">
        <f>'[14]fib Model Code 2010'!$K$7</f>
        <v>294.23372458255977</v>
      </c>
      <c r="J58" s="4">
        <f>'[14]Dados de entrada'!$C$9</f>
        <v>0.4</v>
      </c>
      <c r="K58" s="11">
        <f>'[14]fib Model Code 2010'!$L$7</f>
        <v>0.30709427182839427</v>
      </c>
      <c r="L58" s="11">
        <f t="shared" si="51"/>
        <v>0.76773567957098565</v>
      </c>
      <c r="M58" s="11">
        <f t="shared" si="37"/>
        <v>-0.26430977229887598</v>
      </c>
      <c r="N58" s="11">
        <f>'[14]fib Model Code 2020'!$L$7</f>
        <v>0.38177508410215444</v>
      </c>
      <c r="O58" s="11">
        <f t="shared" si="50"/>
        <v>0.95443771025538604</v>
      </c>
      <c r="P58" s="11">
        <f t="shared" si="38"/>
        <v>-4.6632896976299715E-2</v>
      </c>
      <c r="Q58" s="11">
        <f>'[14]Eurocode 2'!$L$7</f>
        <v>0.42229067379293672</v>
      </c>
      <c r="R58" s="11">
        <f t="shared" si="28"/>
        <v>1.0557266844823416</v>
      </c>
      <c r="S58" s="11">
        <f t="shared" si="39"/>
        <v>5.4229330271067411E-2</v>
      </c>
      <c r="T58" s="11">
        <f>'[14]NBR 6118'!$Q$7</f>
        <v>0.50538431734130629</v>
      </c>
      <c r="U58" s="11">
        <f>'[14]NBR 6118'!$R$7</f>
        <v>0.21831414761577628</v>
      </c>
      <c r="V58" s="11">
        <f>'[14]NBR 6118'!$W$7</f>
        <v>0.54578536903944064</v>
      </c>
      <c r="W58" s="11">
        <f t="shared" si="40"/>
        <v>-0.60552947751747188</v>
      </c>
      <c r="X58" s="11">
        <f>'[14]Clark (1956)'!$L$7</f>
        <v>0.48460524761713825</v>
      </c>
      <c r="Y58" s="11">
        <f t="shared" si="29"/>
        <v>1.2115131190428456</v>
      </c>
      <c r="Z58" s="11">
        <f t="shared" si="41"/>
        <v>0.19187008997589997</v>
      </c>
      <c r="AA58" s="11">
        <f>'[14]Leonhardt (1977)'!$L$7</f>
        <v>0.27291843309892705</v>
      </c>
      <c r="AB58" s="11">
        <f>AA58/J58</f>
        <v>0.68229608274731757</v>
      </c>
      <c r="AC58" s="11">
        <f t="shared" ref="AC57:AC58" si="52">LN(AB58)</f>
        <v>-0.38229157642402661</v>
      </c>
      <c r="AD58" s="11">
        <f>'[14]Desayi; Ganesan (1985)'!$L$7</f>
        <v>0.52041628199675649</v>
      </c>
      <c r="AE58" s="11">
        <f t="shared" si="31"/>
        <v>1.3010407049918911</v>
      </c>
      <c r="AF58" s="11">
        <f t="shared" si="43"/>
        <v>0.26316448650586888</v>
      </c>
      <c r="AG58" s="11">
        <f>'[14]Oh; Kang (1987)'!$L$7</f>
        <v>0.19466692875272593</v>
      </c>
      <c r="AH58" s="11">
        <f t="shared" si="32"/>
        <v>0.48666732188181477</v>
      </c>
      <c r="AI58" s="11">
        <f t="shared" si="44"/>
        <v>-0.7201745066162748</v>
      </c>
      <c r="AJ58" s="11">
        <f>'[14]Caldas (1997)'!$L$7</f>
        <v>0.34899935700575707</v>
      </c>
      <c r="AK58" s="11">
        <f t="shared" si="33"/>
        <v>0.87249839251439265</v>
      </c>
      <c r="AL58" s="11">
        <f t="shared" si="45"/>
        <v>-0.13639446729763294</v>
      </c>
      <c r="AM58" s="11">
        <v>0.46644737746381815</v>
      </c>
      <c r="AN58" s="11">
        <f t="shared" si="34"/>
        <v>1.1661184436595453</v>
      </c>
      <c r="AO58" s="11">
        <f t="shared" si="46"/>
        <v>0.15368066395242511</v>
      </c>
      <c r="AP58" s="11">
        <v>0.5503677050597654</v>
      </c>
      <c r="AQ58" s="11">
        <f t="shared" si="35"/>
        <v>1.3759192626494134</v>
      </c>
      <c r="AR58" s="11">
        <f t="shared" si="47"/>
        <v>0.31912206238954771</v>
      </c>
      <c r="AS58" s="11">
        <v>0.41010471120266756</v>
      </c>
      <c r="AT58" s="11">
        <f t="shared" si="36"/>
        <v>1.0252617780066688</v>
      </c>
      <c r="AU58" s="11">
        <f t="shared" si="48"/>
        <v>2.4947973160323576E-2</v>
      </c>
      <c r="AZ58" t="b">
        <f t="shared" si="0"/>
        <v>0</v>
      </c>
      <c r="BB58" t="b">
        <f t="shared" si="1"/>
        <v>0</v>
      </c>
      <c r="BD58" t="b">
        <f t="shared" si="2"/>
        <v>0</v>
      </c>
    </row>
    <row r="59" spans="1:56">
      <c r="A59" s="85" t="s">
        <v>31</v>
      </c>
      <c r="B59" s="43">
        <f>'[15]Dados de entrada'!$B$28</f>
        <v>12</v>
      </c>
      <c r="C59" s="43">
        <f>'[15]Dados de entrada'!$B$31</f>
        <v>4</v>
      </c>
      <c r="D59" s="43">
        <f>'[15]Dados de entrada'!$B$32</f>
        <v>46</v>
      </c>
      <c r="E59" s="44">
        <f>'[15]Dados de entrada'!$B$27</f>
        <v>2.6933292113182881</v>
      </c>
      <c r="F59" s="43">
        <f>'[15]Dados de entrada'!$B$30</f>
        <v>82</v>
      </c>
      <c r="G59" s="43">
        <f>'[15]Dados de entrada'!$B$22</f>
        <v>88</v>
      </c>
      <c r="H59" s="45">
        <f>'[15]Dados de entrada'!$B$29/('[15]Dados de entrada'!$B$20*2*G59)</f>
        <v>7.3376623376623373E-3</v>
      </c>
      <c r="I59" s="26">
        <f>'[15]fib Model Code 2010'!$K$5</f>
        <v>196.15581638837318</v>
      </c>
      <c r="J59" s="19">
        <f>'[15]Dados de entrada'!$C$7</f>
        <v>0.25</v>
      </c>
      <c r="K59" s="20">
        <f>'[15]fib Model Code 2010'!$L$5</f>
        <v>6.672704419695745E-2</v>
      </c>
      <c r="L59" s="20"/>
      <c r="M59" s="20"/>
      <c r="N59" s="20">
        <f>'[15]fib Model Code 2020'!$L$5</f>
        <v>0.22477612114059844</v>
      </c>
      <c r="O59" s="20">
        <f t="shared" si="50"/>
        <v>0.89910448456239378</v>
      </c>
      <c r="P59" s="20">
        <f t="shared" si="38"/>
        <v>-0.10635602816890991</v>
      </c>
      <c r="Q59" s="20">
        <f>'[15]Eurocode 2'!$L$5</f>
        <v>0.28152711586195778</v>
      </c>
      <c r="R59" s="20">
        <f t="shared" si="28"/>
        <v>1.1261084634478311</v>
      </c>
      <c r="S59" s="20">
        <f t="shared" si="39"/>
        <v>0.11876785140863862</v>
      </c>
      <c r="T59" s="20">
        <f>'[15]NBR 6118'!$Q$5</f>
        <v>0.33692287822753753</v>
      </c>
      <c r="U59" s="20">
        <f>'[15]NBR 6118'!$R$5</f>
        <v>9.7028510051456116E-2</v>
      </c>
      <c r="V59" s="20">
        <f>'[15]NBR 6118'!$W$5</f>
        <v>0.38811404020582446</v>
      </c>
      <c r="W59" s="20">
        <f t="shared" si="40"/>
        <v>-0.94645606448806507</v>
      </c>
      <c r="X59" s="20">
        <f>'[15]Clark (1956)'!$L$5</f>
        <v>0.22315905453850413</v>
      </c>
      <c r="Y59" s="20">
        <f t="shared" si="29"/>
        <v>0.8926362181540165</v>
      </c>
      <c r="Z59" s="20">
        <f t="shared" si="41"/>
        <v>-0.1135761515917601</v>
      </c>
      <c r="AA59" s="20"/>
      <c r="AB59" s="20"/>
      <c r="AC59" s="20"/>
      <c r="AD59" s="20">
        <f>'[15]Desayi; Ganesan (1985)'!$L$5</f>
        <v>0.34694418799783772</v>
      </c>
      <c r="AE59" s="20">
        <f t="shared" si="31"/>
        <v>1.3877767519913509</v>
      </c>
      <c r="AF59" s="20">
        <f t="shared" si="43"/>
        <v>0.32770300764344035</v>
      </c>
      <c r="AG59" s="20">
        <f>'[15]Oh; Kang (1987)'!$L$5</f>
        <v>0.11956861047098272</v>
      </c>
      <c r="AH59" s="20">
        <f t="shared" si="32"/>
        <v>0.47827444188393087</v>
      </c>
      <c r="AI59" s="20">
        <f t="shared" si="44"/>
        <v>-0.73757056504885798</v>
      </c>
      <c r="AJ59" s="20">
        <f>'[15]Caldas (1997)'!$L$5</f>
        <v>0.20847778849149301</v>
      </c>
      <c r="AK59" s="20">
        <f t="shared" si="33"/>
        <v>0.83391115396597204</v>
      </c>
      <c r="AL59" s="20">
        <f t="shared" si="45"/>
        <v>-0.18162841231493565</v>
      </c>
      <c r="AM59" s="20" cm="1">
        <f t="array" ref="AM59:AM61">'[15]Gergely e Lutz (1968)'!$L$5:$L$7</f>
        <v>0.31096491830921213</v>
      </c>
      <c r="AN59" s="20">
        <f t="shared" si="34"/>
        <v>1.2438596732368485</v>
      </c>
      <c r="AO59" s="20">
        <f t="shared" si="46"/>
        <v>0.21821918508999646</v>
      </c>
      <c r="AP59" s="20" cm="1">
        <f t="array" ref="AP59:AP61">[15]Sugestão!$M$5:$M$7</f>
        <v>0.23202964291580305</v>
      </c>
      <c r="AQ59" s="20">
        <f t="shared" si="35"/>
        <v>0.92811857166321221</v>
      </c>
      <c r="AR59" s="20">
        <f t="shared" si="47"/>
        <v>-7.4595783169173313E-2</v>
      </c>
      <c r="AS59" s="20" cm="1">
        <f t="array" ref="AS59:AS61">'[15]fib Model Code 2020 modificado'!$L$5:$L$7</f>
        <v>0.24227673307376879</v>
      </c>
      <c r="AT59" s="20">
        <f t="shared" si="36"/>
        <v>0.96910693229507516</v>
      </c>
      <c r="AU59" s="20">
        <f t="shared" si="48"/>
        <v>-3.1380319934150719E-2</v>
      </c>
      <c r="AZ59" t="b">
        <f t="shared" si="0"/>
        <v>0</v>
      </c>
      <c r="BB59" t="b">
        <f t="shared" si="1"/>
        <v>0</v>
      </c>
      <c r="BD59" t="b">
        <f t="shared" si="2"/>
        <v>0</v>
      </c>
    </row>
    <row r="60" spans="1:56">
      <c r="A60" s="90"/>
      <c r="B60" s="43">
        <f>'[15]Dados de entrada'!$B$28</f>
        <v>12</v>
      </c>
      <c r="C60" s="43">
        <f>'[15]Dados de entrada'!$B$31</f>
        <v>4</v>
      </c>
      <c r="D60" s="43">
        <f>'[15]Dados de entrada'!$B$32</f>
        <v>46</v>
      </c>
      <c r="E60" s="44">
        <f>'[15]Dados de entrada'!$B$27</f>
        <v>2.6933292113182881</v>
      </c>
      <c r="F60" s="43">
        <f>'[15]Dados de entrada'!$B$30</f>
        <v>82</v>
      </c>
      <c r="G60" s="43">
        <f>'[15]Dados de entrada'!$B$22</f>
        <v>88</v>
      </c>
      <c r="H60" s="45">
        <f>'[15]Dados de entrada'!$B$29/('[15]Dados de entrada'!$B$20*2*G60)</f>
        <v>7.3376623376623373E-3</v>
      </c>
      <c r="I60" s="26">
        <f>'[15]fib Model Code 2010'!$K$6</f>
        <v>245.19477048546645</v>
      </c>
      <c r="J60" s="19">
        <f>'[15]Dados de entrada'!$C$8</f>
        <v>0.44</v>
      </c>
      <c r="K60" s="20">
        <f>'[15]fib Model Code 2010'!$L$6</f>
        <v>0.18691065801267578</v>
      </c>
      <c r="L60" s="20">
        <f t="shared" si="51"/>
        <v>0.42479695002880857</v>
      </c>
      <c r="M60" s="20">
        <f t="shared" si="37"/>
        <v>-0.85614398886170684</v>
      </c>
      <c r="N60" s="20">
        <f>'[15]fib Model Code 2020'!$L$6</f>
        <v>0.28097015142574805</v>
      </c>
      <c r="O60" s="20">
        <f t="shared" si="50"/>
        <v>0.63856852596760916</v>
      </c>
      <c r="P60" s="20">
        <f t="shared" si="38"/>
        <v>-0.44852628590476068</v>
      </c>
      <c r="Q60" s="20">
        <f>'[15]Eurocode 2'!$L$6</f>
        <v>0.35190889482744719</v>
      </c>
      <c r="R60" s="20">
        <f t="shared" si="28"/>
        <v>0.79979294278965274</v>
      </c>
      <c r="S60" s="20">
        <f t="shared" si="39"/>
        <v>-0.22340240632721209</v>
      </c>
      <c r="T60" s="20">
        <f>'[15]NBR 6118'!$Q$6</f>
        <v>0.42115359778442191</v>
      </c>
      <c r="U60" s="20">
        <f>'[15]NBR 6118'!$R$6</f>
        <v>0.15160704695540023</v>
      </c>
      <c r="V60" s="20">
        <f>'[15]NBR 6118'!$W$6</f>
        <v>0.34456147035318235</v>
      </c>
      <c r="W60" s="20">
        <f t="shared" si="40"/>
        <v>-1.0654827709097057</v>
      </c>
      <c r="X60" s="20">
        <f>'[15]Clark (1956)'!$L$6</f>
        <v>0.35388215107782112</v>
      </c>
      <c r="Y60" s="20">
        <f t="shared" si="29"/>
        <v>0.80427761608595705</v>
      </c>
      <c r="Z60" s="20">
        <f t="shared" si="41"/>
        <v>-0.21781077576404997</v>
      </c>
      <c r="AA60" s="20">
        <f>'[15]Leonhardt (1977)'!$L$6</f>
        <v>4.2260284514019641E-2</v>
      </c>
      <c r="AB60" s="20"/>
      <c r="AC60" s="20"/>
      <c r="AD60" s="20">
        <f>'[15]Desayi; Ganesan (1985)'!$L$6</f>
        <v>0.43368023499729708</v>
      </c>
      <c r="AE60" s="20">
        <f t="shared" si="31"/>
        <v>0.98563689772112972</v>
      </c>
      <c r="AF60" s="20">
        <f t="shared" si="43"/>
        <v>-1.4467250092410485E-2</v>
      </c>
      <c r="AG60" s="20">
        <f>'[15]Oh; Kang (1987)'!$L$6</f>
        <v>0.15711776961185428</v>
      </c>
      <c r="AH60" s="20">
        <f t="shared" si="32"/>
        <v>0.35708584002694155</v>
      </c>
      <c r="AI60" s="20">
        <f t="shared" si="44"/>
        <v>-1.0297790778508082</v>
      </c>
      <c r="AJ60" s="20">
        <f>'[15]Caldas (1997)'!$L$6</f>
        <v>0.27873857274862496</v>
      </c>
      <c r="AK60" s="20">
        <f t="shared" si="33"/>
        <v>0.63349675624687485</v>
      </c>
      <c r="AL60" s="20">
        <f t="shared" si="45"/>
        <v>-0.45650039960204797</v>
      </c>
      <c r="AM60" s="20">
        <v>0.38870614788651509</v>
      </c>
      <c r="AN60" s="20">
        <f t="shared" si="34"/>
        <v>0.88342306337844334</v>
      </c>
      <c r="AO60" s="20">
        <f t="shared" si="46"/>
        <v>-0.12395107264585446</v>
      </c>
      <c r="AP60" s="20">
        <v>0.36254631705594237</v>
      </c>
      <c r="AQ60" s="20">
        <f t="shared" si="35"/>
        <v>0.82396890239986897</v>
      </c>
      <c r="AR60" s="20">
        <f t="shared" si="47"/>
        <v>-0.19362248959081399</v>
      </c>
      <c r="AS60" s="20">
        <v>0.30371204517585998</v>
      </c>
      <c r="AT60" s="20">
        <f t="shared" si="36"/>
        <v>0.69025464812695447</v>
      </c>
      <c r="AU60" s="20">
        <f t="shared" si="48"/>
        <v>-0.3706946942185167</v>
      </c>
      <c r="AZ60" t="b">
        <f t="shared" si="0"/>
        <v>0</v>
      </c>
      <c r="BB60" t="b">
        <f t="shared" si="1"/>
        <v>0</v>
      </c>
      <c r="BD60" t="b">
        <f t="shared" si="2"/>
        <v>0</v>
      </c>
    </row>
    <row r="61" spans="1:56">
      <c r="A61" s="86"/>
      <c r="B61" s="43">
        <f>'[15]Dados de entrada'!$B$28</f>
        <v>12</v>
      </c>
      <c r="C61" s="43">
        <f>'[15]Dados de entrada'!$B$31</f>
        <v>4</v>
      </c>
      <c r="D61" s="43">
        <f>'[15]Dados de entrada'!$B$32</f>
        <v>46</v>
      </c>
      <c r="E61" s="44">
        <f>'[15]Dados de entrada'!$B$27</f>
        <v>2.6933292113182881</v>
      </c>
      <c r="F61" s="43">
        <f>'[15]Dados de entrada'!$B$30</f>
        <v>82</v>
      </c>
      <c r="G61" s="43">
        <f>'[15]Dados de entrada'!$B$22</f>
        <v>88</v>
      </c>
      <c r="H61" s="45">
        <f>'[15]Dados de entrada'!$B$29/('[15]Dados de entrada'!$B$20*2*G61)</f>
        <v>7.3376623376623373E-3</v>
      </c>
      <c r="I61" s="26">
        <f>'[15]fib Model Code 2010'!$K$7</f>
        <v>294.23372458255977</v>
      </c>
      <c r="J61" s="19">
        <f>'[15]Dados de entrada'!$C$9</f>
        <v>0.56000000000000005</v>
      </c>
      <c r="K61" s="20">
        <f>'[15]fib Model Code 2010'!$L$7</f>
        <v>0.30709427182839427</v>
      </c>
      <c r="L61" s="20">
        <f t="shared" si="51"/>
        <v>0.54838262826498974</v>
      </c>
      <c r="M61" s="20">
        <f t="shared" si="37"/>
        <v>-0.60078200892008893</v>
      </c>
      <c r="N61" s="20">
        <f>'[15]fib Model Code 2020'!$L$7</f>
        <v>0.38177508410215444</v>
      </c>
      <c r="O61" s="20">
        <f t="shared" si="50"/>
        <v>0.68174122161099004</v>
      </c>
      <c r="P61" s="20">
        <f t="shared" si="38"/>
        <v>-0.38310513359751264</v>
      </c>
      <c r="Q61" s="20">
        <f>'[15]Eurocode 2'!$L$7</f>
        <v>0.42229067379293672</v>
      </c>
      <c r="R61" s="20">
        <f t="shared" si="28"/>
        <v>0.75409048891595831</v>
      </c>
      <c r="S61" s="20">
        <f t="shared" si="39"/>
        <v>-0.28224290635014554</v>
      </c>
      <c r="T61" s="20">
        <f>'[15]NBR 6118'!$Q$7</f>
        <v>0.50538431734130629</v>
      </c>
      <c r="U61" s="20">
        <f>'[15]NBR 6118'!$R$7</f>
        <v>0.21831414761577628</v>
      </c>
      <c r="V61" s="20">
        <f>'[15]NBR 6118'!$W$7</f>
        <v>0.38984669217102902</v>
      </c>
      <c r="W61" s="20">
        <f t="shared" si="40"/>
        <v>-0.94200171413868483</v>
      </c>
      <c r="X61" s="20">
        <f>'[15]Clark (1956)'!$L$7</f>
        <v>0.48460524761713825</v>
      </c>
      <c r="Y61" s="20">
        <f t="shared" si="29"/>
        <v>0.86536651360203254</v>
      </c>
      <c r="Z61" s="20">
        <f t="shared" si="41"/>
        <v>-0.14460214664531304</v>
      </c>
      <c r="AA61" s="20">
        <f>'[15]Leonhardt (1977)'!$L$7</f>
        <v>0.27291843309892705</v>
      </c>
      <c r="AB61" s="20">
        <f t="shared" ref="AB60:AB69" si="53">AA61/J61</f>
        <v>0.48735434481951256</v>
      </c>
      <c r="AC61" s="20">
        <f t="shared" ref="AC60:AC69" si="54">LN(AB61)</f>
        <v>-0.71876381304523951</v>
      </c>
      <c r="AD61" s="20">
        <f>'[15]Desayi; Ganesan (1985)'!$L$7</f>
        <v>0.52041628199675649</v>
      </c>
      <c r="AE61" s="20">
        <f t="shared" si="31"/>
        <v>0.92931478927992217</v>
      </c>
      <c r="AF61" s="20">
        <f t="shared" si="43"/>
        <v>-7.3307750115344072E-2</v>
      </c>
      <c r="AG61" s="20">
        <f>'[15]Oh; Kang (1987)'!$L$7</f>
        <v>0.19466692875272593</v>
      </c>
      <c r="AH61" s="20">
        <f t="shared" si="32"/>
        <v>0.3476195156298677</v>
      </c>
      <c r="AI61" s="20">
        <f t="shared" si="44"/>
        <v>-1.0566467432374878</v>
      </c>
      <c r="AJ61" s="20">
        <f>'[15]Caldas (1997)'!$L$7</f>
        <v>0.34899935700575707</v>
      </c>
      <c r="AK61" s="20">
        <f t="shared" si="33"/>
        <v>0.6232131375102804</v>
      </c>
      <c r="AL61" s="20">
        <f t="shared" si="45"/>
        <v>-0.472866703918846</v>
      </c>
      <c r="AM61" s="20">
        <v>0.46644737746381815</v>
      </c>
      <c r="AN61" s="20">
        <f t="shared" si="34"/>
        <v>0.83294174547110378</v>
      </c>
      <c r="AO61" s="20">
        <f t="shared" si="46"/>
        <v>-0.18279157266878784</v>
      </c>
      <c r="AP61" s="20">
        <v>0.5503677050597654</v>
      </c>
      <c r="AQ61" s="20">
        <f t="shared" si="35"/>
        <v>0.98279947332100959</v>
      </c>
      <c r="AR61" s="20">
        <f t="shared" si="47"/>
        <v>-1.7350174231665235E-2</v>
      </c>
      <c r="AS61" s="20">
        <v>0.41010471120266756</v>
      </c>
      <c r="AT61" s="20">
        <f t="shared" si="36"/>
        <v>0.7323298414333349</v>
      </c>
      <c r="AU61" s="20">
        <f t="shared" si="48"/>
        <v>-0.31152426346088935</v>
      </c>
      <c r="AZ61" t="b">
        <f t="shared" si="0"/>
        <v>0</v>
      </c>
      <c r="BB61" t="b">
        <f t="shared" si="1"/>
        <v>0</v>
      </c>
      <c r="BD61" t="b">
        <f t="shared" si="2"/>
        <v>0</v>
      </c>
    </row>
    <row r="62" spans="1:56">
      <c r="A62" s="87" t="s">
        <v>32</v>
      </c>
      <c r="B62" s="37">
        <f>'[16]Dados de entrada'!$B$28</f>
        <v>25</v>
      </c>
      <c r="C62" s="37">
        <f>'[16]Dados de entrada'!$B$31</f>
        <v>4</v>
      </c>
      <c r="D62" s="37">
        <f>'[16]Dados de entrada'!$B$32</f>
        <v>62</v>
      </c>
      <c r="E62" s="41">
        <f>'[16]Dados de entrada'!$B$27</f>
        <v>2.6933292113182881</v>
      </c>
      <c r="F62" s="37">
        <f>'[16]Dados de entrada'!$B$30</f>
        <v>32</v>
      </c>
      <c r="G62" s="37">
        <f>'[16]Dados de entrada'!$B$22</f>
        <v>44.5</v>
      </c>
      <c r="H62" s="42">
        <f>'[16]Dados de entrada'!$B$29/('[16]Dados de entrada'!$B$20*2*G62)</f>
        <v>6.3049759229534513E-2</v>
      </c>
      <c r="I62" s="25">
        <f>'[16]fib Model Code 2010'!$K$6</f>
        <v>213.02531045198921</v>
      </c>
      <c r="J62" s="4">
        <f>'[16]Dados de entrada'!$C$8</f>
        <v>0.23</v>
      </c>
      <c r="K62" s="11">
        <f>'[16]fib Model Code 2010'!$L$6</f>
        <v>0.16521223330503229</v>
      </c>
      <c r="L62" s="11">
        <f t="shared" si="51"/>
        <v>0.71831405784796643</v>
      </c>
      <c r="M62" s="11">
        <f t="shared" si="37"/>
        <v>-0.33084839909474717</v>
      </c>
      <c r="N62" s="11">
        <f>'[16]fib Model Code 2020'!$L$6</f>
        <v>0.18965673546789175</v>
      </c>
      <c r="O62" s="11">
        <f t="shared" si="50"/>
        <v>0.82459450203431195</v>
      </c>
      <c r="P62" s="11">
        <f t="shared" si="38"/>
        <v>-0.19286352616509389</v>
      </c>
      <c r="Q62" s="11">
        <f>'[16]Eurocode 2'!$L$6</f>
        <v>0.16118390025027668</v>
      </c>
      <c r="R62" s="11">
        <f t="shared" si="28"/>
        <v>0.70079956630555074</v>
      </c>
      <c r="S62" s="11">
        <f t="shared" si="39"/>
        <v>-0.35553335821638155</v>
      </c>
      <c r="T62" s="11">
        <f>'[16]NBR 6118'!$Q$6</f>
        <v>0.20974850186234273</v>
      </c>
      <c r="U62" s="11">
        <f>'[16]NBR 6118'!$R$6</f>
        <v>0.24680152038352576</v>
      </c>
      <c r="V62" s="11">
        <f>'[16]NBR 6118'!$W$6</f>
        <v>0.91195000809714222</v>
      </c>
      <c r="W62" s="11">
        <f t="shared" si="40"/>
        <v>-9.2170106093198215E-2</v>
      </c>
      <c r="X62" s="11">
        <f>'[16]Clark (1956)'!$L$6</f>
        <v>0.11745005812708208</v>
      </c>
      <c r="Y62" s="11">
        <f t="shared" si="29"/>
        <v>0.51065242663948729</v>
      </c>
      <c r="Z62" s="11">
        <f t="shared" si="41"/>
        <v>-0.67206610290922553</v>
      </c>
      <c r="AA62" s="11">
        <f>'[16]Leonhardt (1977)'!$L$6</f>
        <v>0.27711743382603071</v>
      </c>
      <c r="AB62" s="11">
        <f t="shared" si="53"/>
        <v>1.2048584079392639</v>
      </c>
      <c r="AC62" s="11">
        <f t="shared" si="54"/>
        <v>0.1863620562536645</v>
      </c>
      <c r="AD62" s="11">
        <f>'[16]Desayi; Ganesan (1985)'!$L$6</f>
        <v>0.15913220377021248</v>
      </c>
      <c r="AE62" s="11">
        <f t="shared" si="31"/>
        <v>0.69187914682701079</v>
      </c>
      <c r="AF62" s="11">
        <f t="shared" si="43"/>
        <v>-0.36834398192995499</v>
      </c>
      <c r="AG62" s="11">
        <f>'[16]Oh; Kang (1987)'!$L$6</f>
        <v>0.13181222577251248</v>
      </c>
      <c r="AH62" s="11">
        <f t="shared" si="32"/>
        <v>0.57309663379353248</v>
      </c>
      <c r="AI62" s="11">
        <f t="shared" si="44"/>
        <v>-0.55670093112249719</v>
      </c>
      <c r="AJ62" s="11">
        <f>'[16]Caldas (1997)'!$L$6</f>
        <v>0.20539461225344013</v>
      </c>
      <c r="AK62" s="11">
        <f t="shared" si="33"/>
        <v>0.89302005327582668</v>
      </c>
      <c r="AL62" s="11">
        <f t="shared" si="45"/>
        <v>-0.11314624228181817</v>
      </c>
      <c r="AM62" s="11" cm="1">
        <f t="array" ref="AM62:AM65">'[16]Gergely e Lutz (1968)'!$L$6:$L$9</f>
        <v>0.19227618709319946</v>
      </c>
      <c r="AN62" s="11">
        <f t="shared" si="34"/>
        <v>0.8359834221443454</v>
      </c>
      <c r="AO62" s="11">
        <f t="shared" si="46"/>
        <v>-0.1791464960649306</v>
      </c>
      <c r="AP62" s="11" cm="1">
        <f t="array" ref="AP62:AP65">[16]Sugestão!$M$6:$M$9</f>
        <v>0.1950703182466067</v>
      </c>
      <c r="AQ62" s="11">
        <f t="shared" si="35"/>
        <v>0.84813181846350738</v>
      </c>
      <c r="AR62" s="11">
        <f t="shared" si="47"/>
        <v>-0.1647192089694525</v>
      </c>
      <c r="AS62" s="11" cm="1">
        <f t="array" ref="AS62:AS65">'[16]fib Model Code 2020 modificado'!$L$6:$L$9</f>
        <v>0.28951743634001603</v>
      </c>
      <c r="AT62" s="11">
        <f t="shared" si="36"/>
        <v>1.2587714623478958</v>
      </c>
      <c r="AU62" s="11">
        <f t="shared" si="48"/>
        <v>0.2301362154299206</v>
      </c>
      <c r="AZ62" t="b">
        <f t="shared" si="0"/>
        <v>0</v>
      </c>
      <c r="BB62" t="b">
        <f t="shared" si="1"/>
        <v>1</v>
      </c>
      <c r="BD62" t="b">
        <f t="shared" si="2"/>
        <v>1</v>
      </c>
    </row>
    <row r="63" spans="1:56">
      <c r="A63" s="88"/>
      <c r="B63" s="37">
        <f>'[16]Dados de entrada'!$B$28</f>
        <v>25</v>
      </c>
      <c r="C63" s="37">
        <f>'[16]Dados de entrada'!$B$31</f>
        <v>4</v>
      </c>
      <c r="D63" s="37">
        <f>'[16]Dados de entrada'!$B$32</f>
        <v>62</v>
      </c>
      <c r="E63" s="41">
        <f>'[16]Dados de entrada'!$B$27</f>
        <v>2.6933292113182881</v>
      </c>
      <c r="F63" s="37">
        <f>'[16]Dados de entrada'!$B$30</f>
        <v>32</v>
      </c>
      <c r="G63" s="37">
        <f>'[16]Dados de entrada'!$B$22</f>
        <v>44.5</v>
      </c>
      <c r="H63" s="42">
        <f>'[16]Dados de entrada'!$B$29/('[16]Dados de entrada'!$B$20*2*G63)</f>
        <v>6.3049759229534513E-2</v>
      </c>
      <c r="I63" s="25">
        <f>'[16]fib Model Code 2010'!$K$7</f>
        <v>319.53796567798378</v>
      </c>
      <c r="J63" s="4">
        <f>'[16]Dados de entrada'!$C$9</f>
        <v>0.35</v>
      </c>
      <c r="K63" s="11">
        <f>'[16]fib Model Code 2010'!$L$7</f>
        <v>0.26719707809644927</v>
      </c>
      <c r="L63" s="11">
        <f t="shared" si="51"/>
        <v>0.76342022313271229</v>
      </c>
      <c r="M63" s="11">
        <f t="shared" si="37"/>
        <v>-0.26994664814853875</v>
      </c>
      <c r="N63" s="11">
        <f>'[16]fib Model Code 2020'!$L$7</f>
        <v>0.31802770082984461</v>
      </c>
      <c r="O63" s="11">
        <f t="shared" si="50"/>
        <v>0.90865057379955605</v>
      </c>
      <c r="P63" s="11">
        <f t="shared" si="38"/>
        <v>-9.5794665969283863E-2</v>
      </c>
      <c r="Q63" s="11">
        <f>'[16]Eurocode 2'!$L$7</f>
        <v>0.26068207130610616</v>
      </c>
      <c r="R63" s="11">
        <f t="shared" si="28"/>
        <v>0.74480591801744622</v>
      </c>
      <c r="S63" s="11">
        <f t="shared" si="39"/>
        <v>-0.29463160727017296</v>
      </c>
      <c r="T63" s="11">
        <f>'[16]NBR 6118'!$Q$7</f>
        <v>0.31462275279351415</v>
      </c>
      <c r="U63" s="11">
        <f>'[16]NBR 6118'!$R$7</f>
        <v>0.55530342086293294</v>
      </c>
      <c r="V63" s="11">
        <f>'[16]NBR 6118'!$W$7</f>
        <v>0.89892215083861193</v>
      </c>
      <c r="W63" s="11">
        <f t="shared" si="40"/>
        <v>-0.10655884354529746</v>
      </c>
      <c r="X63" s="11">
        <f>'[16]Clark (1956)'!$L$7</f>
        <v>0.18629077621226869</v>
      </c>
      <c r="Y63" s="11">
        <f t="shared" si="29"/>
        <v>0.53225936060648205</v>
      </c>
      <c r="Z63" s="11">
        <f t="shared" si="41"/>
        <v>-0.63062438850273106</v>
      </c>
      <c r="AA63" s="11">
        <f>'[16]Leonhardt (1977)'!$L$7</f>
        <v>0.44648166290315272</v>
      </c>
      <c r="AB63" s="11">
        <f t="shared" si="53"/>
        <v>1.2756618940090079</v>
      </c>
      <c r="AC63" s="11">
        <f t="shared" si="54"/>
        <v>0.24346517646378568</v>
      </c>
      <c r="AD63" s="11">
        <f>'[16]Desayi; Ganesan (1985)'!$L$7</f>
        <v>0.23869830565531872</v>
      </c>
      <c r="AE63" s="11">
        <f t="shared" si="31"/>
        <v>0.68199515901519636</v>
      </c>
      <c r="AF63" s="11">
        <f t="shared" si="43"/>
        <v>-0.38273271938205455</v>
      </c>
      <c r="AG63" s="11">
        <f>'[16]Oh; Kang (1987)'!$L$7</f>
        <v>0.21295451716099853</v>
      </c>
      <c r="AH63" s="11">
        <f t="shared" si="32"/>
        <v>0.60844147760285294</v>
      </c>
      <c r="AI63" s="11">
        <f t="shared" si="44"/>
        <v>-0.49685454603116808</v>
      </c>
      <c r="AJ63" s="11">
        <f>'[16]Caldas (1997)'!$L$7</f>
        <v>0.32023897247780675</v>
      </c>
      <c r="AK63" s="11">
        <f t="shared" si="33"/>
        <v>0.9149684927937336</v>
      </c>
      <c r="AL63" s="11">
        <f t="shared" si="45"/>
        <v>-8.8865648404692327E-2</v>
      </c>
      <c r="AM63" s="11">
        <v>0.28841428063979918</v>
      </c>
      <c r="AN63" s="11">
        <f t="shared" si="34"/>
        <v>0.82404080182799766</v>
      </c>
      <c r="AO63" s="11">
        <f t="shared" si="46"/>
        <v>-0.19353523351703014</v>
      </c>
      <c r="AP63" s="11">
        <v>0.34850980674992177</v>
      </c>
      <c r="AQ63" s="11">
        <f t="shared" si="35"/>
        <v>0.99574230499977656</v>
      </c>
      <c r="AR63" s="11">
        <f t="shared" si="47"/>
        <v>-4.2667847938019435E-3</v>
      </c>
      <c r="AS63" s="11">
        <v>0.50205261032903148</v>
      </c>
      <c r="AT63" s="11">
        <f t="shared" si="36"/>
        <v>1.4344360295115186</v>
      </c>
      <c r="AU63" s="11">
        <f t="shared" si="48"/>
        <v>0.36077176116923532</v>
      </c>
      <c r="AZ63" t="b">
        <f t="shared" si="0"/>
        <v>0</v>
      </c>
      <c r="BB63" t="b">
        <f t="shared" si="1"/>
        <v>1</v>
      </c>
      <c r="BD63" t="b">
        <f t="shared" si="2"/>
        <v>1</v>
      </c>
    </row>
    <row r="64" spans="1:56">
      <c r="A64" s="88"/>
      <c r="B64" s="37">
        <f>'[16]Dados de entrada'!$B$28</f>
        <v>25</v>
      </c>
      <c r="C64" s="37">
        <f>'[16]Dados de entrada'!$B$31</f>
        <v>4</v>
      </c>
      <c r="D64" s="37">
        <f>'[16]Dados de entrada'!$B$32</f>
        <v>62</v>
      </c>
      <c r="E64" s="41">
        <f>'[16]Dados de entrada'!$B$27</f>
        <v>2.6933292113182881</v>
      </c>
      <c r="F64" s="37">
        <f>'[16]Dados de entrada'!$B$30</f>
        <v>32</v>
      </c>
      <c r="G64" s="37">
        <f>'[16]Dados de entrada'!$B$22</f>
        <v>44.5</v>
      </c>
      <c r="H64" s="42">
        <f>'[16]Dados de entrada'!$B$29/('[16]Dados de entrada'!$B$20*2*G64)</f>
        <v>6.3049759229534513E-2</v>
      </c>
      <c r="I64" s="25">
        <f>'[16]fib Model Code 2010'!$K$8</f>
        <v>426.05062090397843</v>
      </c>
      <c r="J64" s="4">
        <f>'[16]Dados de entrada'!$C$10</f>
        <v>0.49</v>
      </c>
      <c r="K64" s="11">
        <f>'[16]fib Model Code 2010'!$L$8</f>
        <v>0.36918192288786633</v>
      </c>
      <c r="L64" s="11">
        <f t="shared" si="51"/>
        <v>0.75343249568952309</v>
      </c>
      <c r="M64" s="11">
        <f t="shared" si="37"/>
        <v>-0.28311585260030425</v>
      </c>
      <c r="N64" s="11">
        <f>'[16]fib Model Code 2020'!$L$8</f>
        <v>0.44639866619179752</v>
      </c>
      <c r="O64" s="11">
        <f t="shared" si="50"/>
        <v>0.91101768610570921</v>
      </c>
      <c r="P64" s="11">
        <f t="shared" si="38"/>
        <v>-9.3192967963635506E-2</v>
      </c>
      <c r="Q64" s="11">
        <f>'[16]Eurocode 2'!$L$8</f>
        <v>0.36018024236193569</v>
      </c>
      <c r="R64" s="11">
        <f t="shared" si="28"/>
        <v>0.73506171910599116</v>
      </c>
      <c r="S64" s="11">
        <f t="shared" si="39"/>
        <v>-0.30780081172193846</v>
      </c>
      <c r="T64" s="11">
        <f>'[16]NBR 6118'!$Q$8</f>
        <v>0.41949700372468546</v>
      </c>
      <c r="U64" s="11">
        <f>'[16]NBR 6118'!$R$8</f>
        <v>0.98720608153410305</v>
      </c>
      <c r="V64" s="11">
        <f>'[16]NBR 6118'!$W$8</f>
        <v>0.85611633413201116</v>
      </c>
      <c r="W64" s="11">
        <f t="shared" si="40"/>
        <v>-0.1553490077147297</v>
      </c>
      <c r="X64" s="11">
        <f>'[16]Clark (1956)'!$L$8</f>
        <v>0.25513149429745535</v>
      </c>
      <c r="Y64" s="11">
        <f t="shared" si="29"/>
        <v>0.52067651897439871</v>
      </c>
      <c r="Z64" s="11">
        <f t="shared" si="41"/>
        <v>-0.65262631494360235</v>
      </c>
      <c r="AA64" s="11">
        <f>'[16]Leonhardt (1977)'!$L$8</f>
        <v>0.60968478954745375</v>
      </c>
      <c r="AB64" s="11">
        <f t="shared" si="53"/>
        <v>1.2442546725458241</v>
      </c>
      <c r="AC64" s="11">
        <f t="shared" si="54"/>
        <v>0.21853669406056567</v>
      </c>
      <c r="AD64" s="11">
        <f>'[16]Desayi; Ganesan (1985)'!$L$8</f>
        <v>0.31826440754042495</v>
      </c>
      <c r="AE64" s="11">
        <f t="shared" si="31"/>
        <v>0.64951919906209177</v>
      </c>
      <c r="AF64" s="11">
        <f t="shared" si="43"/>
        <v>-0.4315228835514866</v>
      </c>
      <c r="AG64" s="11">
        <f>'[16]Oh; Kang (1987)'!$L$8</f>
        <v>0.29409680854948467</v>
      </c>
      <c r="AH64" s="11">
        <f t="shared" si="32"/>
        <v>0.60019756846833605</v>
      </c>
      <c r="AI64" s="11">
        <f t="shared" si="44"/>
        <v>-0.5104963971864489</v>
      </c>
      <c r="AJ64" s="11">
        <f>'[16]Caldas (1997)'!$L$8</f>
        <v>0.43508333270217331</v>
      </c>
      <c r="AK64" s="11">
        <f t="shared" si="33"/>
        <v>0.88792516877994554</v>
      </c>
      <c r="AL64" s="11">
        <f t="shared" si="45"/>
        <v>-0.11886780893278491</v>
      </c>
      <c r="AM64" s="11">
        <v>0.38455237418639893</v>
      </c>
      <c r="AN64" s="11">
        <f t="shared" si="34"/>
        <v>0.78480076364571216</v>
      </c>
      <c r="AO64" s="11">
        <f t="shared" si="46"/>
        <v>-0.24232539768646202</v>
      </c>
      <c r="AP64" s="11">
        <v>0.50194929525323695</v>
      </c>
      <c r="AQ64" s="11">
        <f t="shared" si="35"/>
        <v>1.0243863168433407</v>
      </c>
      <c r="AR64" s="11">
        <f t="shared" si="47"/>
        <v>2.4093718014021173E-2</v>
      </c>
      <c r="AS64" s="11">
        <v>0.73741035644538055</v>
      </c>
      <c r="AT64" s="11">
        <f t="shared" si="36"/>
        <v>1.504919094786491</v>
      </c>
      <c r="AU64" s="11">
        <f t="shared" si="48"/>
        <v>0.40873913913889709</v>
      </c>
      <c r="AZ64" t="b">
        <f t="shared" si="0"/>
        <v>0</v>
      </c>
      <c r="BB64" t="b">
        <f t="shared" si="1"/>
        <v>1</v>
      </c>
      <c r="BD64" t="b">
        <f t="shared" si="2"/>
        <v>1</v>
      </c>
    </row>
    <row r="65" spans="1:56">
      <c r="A65" s="89"/>
      <c r="B65" s="37">
        <f>'[16]Dados de entrada'!$B$28</f>
        <v>25</v>
      </c>
      <c r="C65" s="37">
        <f>'[16]Dados de entrada'!$B$31</f>
        <v>4</v>
      </c>
      <c r="D65" s="37">
        <f>'[16]Dados de entrada'!$B$32</f>
        <v>62</v>
      </c>
      <c r="E65" s="41">
        <f>'[16]Dados de entrada'!$B$27</f>
        <v>2.6933292113182881</v>
      </c>
      <c r="F65" s="37">
        <f>'[16]Dados de entrada'!$B$30</f>
        <v>32</v>
      </c>
      <c r="G65" s="37">
        <f>'[16]Dados de entrada'!$B$22</f>
        <v>44.5</v>
      </c>
      <c r="H65" s="42">
        <f>'[16]Dados de entrada'!$B$29/('[16]Dados de entrada'!$B$20*2*G65)</f>
        <v>6.3049759229534513E-2</v>
      </c>
      <c r="I65" s="25">
        <f>'[16]fib Model Code 2010'!$K$9</f>
        <v>500</v>
      </c>
      <c r="J65" s="4">
        <f>'[16]Dados de entrada'!$C$11</f>
        <v>0.67</v>
      </c>
      <c r="K65" s="11">
        <f>'[16]fib Model Code 2010'!$L$9</f>
        <v>0.43998774341245744</v>
      </c>
      <c r="L65" s="11">
        <f t="shared" si="51"/>
        <v>0.65669812449620513</v>
      </c>
      <c r="M65" s="11">
        <f t="shared" si="37"/>
        <v>-0.42053084174146571</v>
      </c>
      <c r="N65" s="11">
        <f>'[16]fib Model Code 2020'!$L$9</f>
        <v>0.53552378622876884</v>
      </c>
      <c r="O65" s="11">
        <f t="shared" si="50"/>
        <v>0.79928923317726686</v>
      </c>
      <c r="P65" s="11">
        <f t="shared" si="38"/>
        <v>-0.22403240475583119</v>
      </c>
      <c r="Q65" s="11">
        <f>'[16]Eurocode 2'!$L$9</f>
        <v>0.42925962034905629</v>
      </c>
      <c r="R65" s="11">
        <f t="shared" si="28"/>
        <v>0.64068600052097946</v>
      </c>
      <c r="S65" s="11">
        <f t="shared" si="39"/>
        <v>-0.44521580086310014</v>
      </c>
      <c r="T65" s="11">
        <f>'[16]NBR 6118'!$Q$9</f>
        <v>0.46969896597778604</v>
      </c>
      <c r="U65" s="11">
        <f>'[16]NBR 6118'!$R$9</f>
        <v>1.2376256565018231</v>
      </c>
      <c r="V65" s="11">
        <f>'[16]NBR 6118'!$W$9</f>
        <v>0.70104323280266567</v>
      </c>
      <c r="W65" s="11">
        <f t="shared" si="40"/>
        <v>-0.35518572080693178</v>
      </c>
      <c r="X65" s="11">
        <f>'[16]Clark (1956)'!$L$9</f>
        <v>0.30292608122351122</v>
      </c>
      <c r="Y65" s="11">
        <f t="shared" si="29"/>
        <v>0.45212847943807644</v>
      </c>
      <c r="Z65" s="11">
        <f t="shared" si="41"/>
        <v>-0.79378889299588429</v>
      </c>
      <c r="AA65" s="11">
        <f>'[16]Leonhardt (1977)'!$L$9</f>
        <v>0.72144924936846344</v>
      </c>
      <c r="AB65" s="11">
        <f t="shared" si="53"/>
        <v>1.0767899244305423</v>
      </c>
      <c r="AC65" s="11">
        <f t="shared" si="54"/>
        <v>7.3984322909258438E-2</v>
      </c>
      <c r="AD65" s="11">
        <f>'[16]Desayi; Ganesan (1985)'!$L$9</f>
        <v>0.37350539105557851</v>
      </c>
      <c r="AE65" s="11">
        <f t="shared" si="31"/>
        <v>0.5574707329187738</v>
      </c>
      <c r="AF65" s="11">
        <f t="shared" si="43"/>
        <v>-0.58434527403256309</v>
      </c>
      <c r="AG65" s="11">
        <f>'[16]Oh; Kang (1987)'!$L$9</f>
        <v>0.35043210555128729</v>
      </c>
      <c r="AH65" s="11">
        <f t="shared" si="32"/>
        <v>0.52303299336013021</v>
      </c>
      <c r="AI65" s="11">
        <f t="shared" si="44"/>
        <v>-0.648110732088373</v>
      </c>
      <c r="AJ65" s="11">
        <f>'[16]Caldas (1997)'!$L$9</f>
        <v>0.51481723017428416</v>
      </c>
      <c r="AK65" s="11">
        <f t="shared" si="33"/>
        <v>0.76838392563325986</v>
      </c>
      <c r="AL65" s="11">
        <f t="shared" si="45"/>
        <v>-0.26346576757611978</v>
      </c>
      <c r="AM65" s="11">
        <v>0.45129892472691385</v>
      </c>
      <c r="AN65" s="11">
        <f t="shared" si="34"/>
        <v>0.67358048466703557</v>
      </c>
      <c r="AO65" s="11">
        <f t="shared" si="46"/>
        <v>-0.39514778816753848</v>
      </c>
      <c r="AP65" s="11">
        <v>0.60260898148478304</v>
      </c>
      <c r="AQ65" s="11">
        <f t="shared" si="35"/>
        <v>0.89941639027579556</v>
      </c>
      <c r="AR65" s="11">
        <f t="shared" si="47"/>
        <v>-0.10600918124498218</v>
      </c>
      <c r="AS65" s="11">
        <v>0.91423712194495588</v>
      </c>
      <c r="AT65" s="11">
        <f t="shared" si="36"/>
        <v>1.3645330178282922</v>
      </c>
      <c r="AU65" s="11">
        <f t="shared" si="48"/>
        <v>0.3108122586223353</v>
      </c>
      <c r="AZ65" t="b">
        <f t="shared" si="0"/>
        <v>0</v>
      </c>
      <c r="BB65" t="b">
        <f t="shared" si="1"/>
        <v>1</v>
      </c>
      <c r="BD65" t="b">
        <f t="shared" si="2"/>
        <v>1</v>
      </c>
    </row>
    <row r="66" spans="1:56">
      <c r="A66" s="85" t="s">
        <v>33</v>
      </c>
      <c r="B66" s="43">
        <f>'[17]Dados de entrada'!$B$28</f>
        <v>25</v>
      </c>
      <c r="C66" s="43">
        <f>'[17]Dados de entrada'!$B$31</f>
        <v>4</v>
      </c>
      <c r="D66" s="43">
        <f>'[17]Dados de entrada'!$B$32</f>
        <v>62</v>
      </c>
      <c r="E66" s="44">
        <f>'[17]Dados de entrada'!$B$27</f>
        <v>2.6933292113182881</v>
      </c>
      <c r="F66" s="43">
        <f>'[17]Dados de entrada'!$B$30</f>
        <v>32</v>
      </c>
      <c r="G66" s="43">
        <f>'[17]Dados de entrada'!$B$22</f>
        <v>44.5</v>
      </c>
      <c r="H66" s="45">
        <f>'[17]Dados de entrada'!$B$29/('[17]Dados de entrada'!$B$20*2*G66)</f>
        <v>6.3049759229534513E-2</v>
      </c>
      <c r="I66" s="26">
        <f>'[17]fib Model Code 2010'!$K$6</f>
        <v>213.02531045198921</v>
      </c>
      <c r="J66" s="19">
        <f>'[17]Dados de entrada'!$C$8</f>
        <v>0.27</v>
      </c>
      <c r="K66" s="20">
        <f>'[17]fib Model Code 2010'!$L$6</f>
        <v>0.16521223330503229</v>
      </c>
      <c r="L66" s="20">
        <f t="shared" si="51"/>
        <v>0.61189716038900843</v>
      </c>
      <c r="M66" s="20">
        <f t="shared" si="37"/>
        <v>-0.49119104916992656</v>
      </c>
      <c r="N66" s="20">
        <f>'[17]fib Model Code 2020'!$L$6</f>
        <v>0.18965673546789175</v>
      </c>
      <c r="O66" s="20">
        <f t="shared" si="50"/>
        <v>0.70243235358478417</v>
      </c>
      <c r="P66" s="20">
        <f t="shared" si="38"/>
        <v>-0.3532061762402734</v>
      </c>
      <c r="Q66" s="20">
        <f>'[17]Eurocode 2'!$L$6</f>
        <v>0.16118390025027668</v>
      </c>
      <c r="R66" s="20">
        <f t="shared" si="28"/>
        <v>0.59697740833435808</v>
      </c>
      <c r="S66" s="20">
        <f t="shared" si="39"/>
        <v>-0.51587600829156088</v>
      </c>
      <c r="T66" s="20">
        <f>'[17]NBR 6118'!$Q$6</f>
        <v>0.20974850186234273</v>
      </c>
      <c r="U66" s="20">
        <f>'[17]NBR 6118'!$R$6</f>
        <v>0.24680152038352576</v>
      </c>
      <c r="V66" s="20">
        <f>'[17]NBR 6118'!$W$6</f>
        <v>0.77684630319386194</v>
      </c>
      <c r="W66" s="20">
        <f t="shared" si="40"/>
        <v>-0.25251275616837754</v>
      </c>
      <c r="X66" s="20">
        <f>'[17]Clark (1956)'!$L$6</f>
        <v>0.11745005812708208</v>
      </c>
      <c r="Y66" s="20">
        <f t="shared" si="29"/>
        <v>0.43500021528548916</v>
      </c>
      <c r="Z66" s="20">
        <f t="shared" si="41"/>
        <v>-0.83240875298440498</v>
      </c>
      <c r="AA66" s="20">
        <f>'[17]Leonhardt (1977)'!$L$6</f>
        <v>0.27711743382603071</v>
      </c>
      <c r="AB66" s="20">
        <f t="shared" si="53"/>
        <v>1.026360866022336</v>
      </c>
      <c r="AC66" s="20">
        <f t="shared" si="54"/>
        <v>2.6019406178485215E-2</v>
      </c>
      <c r="AD66" s="20">
        <f>'[17]Desayi; Ganesan (1985)'!$L$6</f>
        <v>0.15913220377021248</v>
      </c>
      <c r="AE66" s="20">
        <f t="shared" si="31"/>
        <v>0.58937853248226835</v>
      </c>
      <c r="AF66" s="20">
        <f t="shared" si="43"/>
        <v>-0.52868663200513455</v>
      </c>
      <c r="AG66" s="20">
        <f>'[17]Oh; Kang (1987)'!$L$6</f>
        <v>0.13181222577251248</v>
      </c>
      <c r="AH66" s="20">
        <f t="shared" si="32"/>
        <v>0.48819342878708322</v>
      </c>
      <c r="AI66" s="20">
        <f t="shared" si="44"/>
        <v>-0.71704358119767664</v>
      </c>
      <c r="AJ66" s="20">
        <f>'[17]Caldas (1997)'!$L$6</f>
        <v>0.20539461225344013</v>
      </c>
      <c r="AK66" s="20">
        <f t="shared" si="33"/>
        <v>0.7607207861238523</v>
      </c>
      <c r="AL66" s="20">
        <f t="shared" si="45"/>
        <v>-0.27348889235699764</v>
      </c>
      <c r="AM66" s="20" cm="1">
        <f t="array" ref="AM66:AM69">'[17]Gergely e Lutz (1968)'!$L$6:$L$9</f>
        <v>0.19227618709319946</v>
      </c>
      <c r="AN66" s="20">
        <f t="shared" si="34"/>
        <v>0.71213402627110911</v>
      </c>
      <c r="AO66" s="20">
        <f t="shared" si="46"/>
        <v>-0.33948914614010989</v>
      </c>
      <c r="AP66" s="20" cm="1">
        <f t="array" ref="AP66:AP69">[17]Sugestão!$M$6:$M$9</f>
        <v>0.1950703182466067</v>
      </c>
      <c r="AQ66" s="20">
        <f t="shared" si="35"/>
        <v>0.72248266017261731</v>
      </c>
      <c r="AR66" s="20">
        <f t="shared" si="47"/>
        <v>-0.32506185904463203</v>
      </c>
      <c r="AS66" s="20" cm="1">
        <f t="array" ref="AS66:AS69">'[17]fib Model Code 2020 modificado'!$L$6:$L$9</f>
        <v>0.28951743634001603</v>
      </c>
      <c r="AT66" s="20">
        <f t="shared" si="36"/>
        <v>1.0722868012593185</v>
      </c>
      <c r="AU66" s="20">
        <f t="shared" si="48"/>
        <v>6.9793565354741086E-2</v>
      </c>
      <c r="AZ66" t="b">
        <f t="shared" si="0"/>
        <v>0</v>
      </c>
      <c r="BB66" t="b">
        <f t="shared" si="1"/>
        <v>1</v>
      </c>
      <c r="BD66" t="b">
        <f t="shared" si="2"/>
        <v>1</v>
      </c>
    </row>
    <row r="67" spans="1:56">
      <c r="A67" s="90"/>
      <c r="B67" s="43">
        <f>'[17]Dados de entrada'!$B$28</f>
        <v>25</v>
      </c>
      <c r="C67" s="43">
        <f>'[17]Dados de entrada'!$B$31</f>
        <v>4</v>
      </c>
      <c r="D67" s="43">
        <f>'[17]Dados de entrada'!$B$32</f>
        <v>62</v>
      </c>
      <c r="E67" s="44">
        <f>'[17]Dados de entrada'!$B$27</f>
        <v>2.6933292113182881</v>
      </c>
      <c r="F67" s="43">
        <f>'[17]Dados de entrada'!$B$30</f>
        <v>32</v>
      </c>
      <c r="G67" s="43">
        <f>'[17]Dados de entrada'!$B$22</f>
        <v>44.5</v>
      </c>
      <c r="H67" s="45">
        <f>'[17]Dados de entrada'!$B$29/('[17]Dados de entrada'!$B$20*2*G67)</f>
        <v>6.3049759229534513E-2</v>
      </c>
      <c r="I67" s="26">
        <f>'[17]fib Model Code 2010'!$K$7</f>
        <v>319.53796567798378</v>
      </c>
      <c r="J67" s="19">
        <f>'[17]Dados de entrada'!$C$9</f>
        <v>0.4</v>
      </c>
      <c r="K67" s="20">
        <f>'[17]fib Model Code 2010'!$L$7</f>
        <v>0.26719707809644927</v>
      </c>
      <c r="L67" s="20">
        <f t="shared" si="51"/>
        <v>0.66799269524112315</v>
      </c>
      <c r="M67" s="20">
        <f t="shared" si="37"/>
        <v>-0.40347804077306154</v>
      </c>
      <c r="N67" s="20">
        <f>'[17]fib Model Code 2020'!$L$7</f>
        <v>0.31802770082984461</v>
      </c>
      <c r="O67" s="20">
        <f t="shared" si="50"/>
        <v>0.79506925207461143</v>
      </c>
      <c r="P67" s="20">
        <f t="shared" si="38"/>
        <v>-0.22932605859380664</v>
      </c>
      <c r="Q67" s="20">
        <f>'[17]Eurocode 2'!$L$7</f>
        <v>0.26068207130610616</v>
      </c>
      <c r="R67" s="20">
        <f t="shared" si="28"/>
        <v>0.65170517826526531</v>
      </c>
      <c r="S67" s="20">
        <f t="shared" si="39"/>
        <v>-0.42816299989469581</v>
      </c>
      <c r="T67" s="20">
        <f>'[17]NBR 6118'!$Q$7</f>
        <v>0.31462275279351415</v>
      </c>
      <c r="U67" s="20">
        <f>'[17]NBR 6118'!$R$7</f>
        <v>0.55530342086293294</v>
      </c>
      <c r="V67" s="20">
        <f>'[17]NBR 6118'!$W$7</f>
        <v>0.78655688198378537</v>
      </c>
      <c r="W67" s="20">
        <f t="shared" si="40"/>
        <v>-0.24009023616982017</v>
      </c>
      <c r="X67" s="20">
        <f>'[17]Clark (1956)'!$L$7</f>
        <v>0.18629077621226869</v>
      </c>
      <c r="Y67" s="20">
        <f t="shared" si="29"/>
        <v>0.46572694053067171</v>
      </c>
      <c r="Z67" s="20">
        <f t="shared" si="41"/>
        <v>-0.76415578112725391</v>
      </c>
      <c r="AA67" s="20">
        <f>'[17]Leonhardt (1977)'!$L$7</f>
        <v>0.44648166290315272</v>
      </c>
      <c r="AB67" s="20">
        <f t="shared" si="53"/>
        <v>1.1162041572578818</v>
      </c>
      <c r="AC67" s="20">
        <f t="shared" si="54"/>
        <v>0.109933783839263</v>
      </c>
      <c r="AD67" s="20">
        <f>'[17]Desayi; Ganesan (1985)'!$L$7</f>
        <v>0.23869830565531872</v>
      </c>
      <c r="AE67" s="20">
        <f t="shared" si="31"/>
        <v>0.59674576413829672</v>
      </c>
      <c r="AF67" s="20">
        <f t="shared" si="43"/>
        <v>-0.5162641120065774</v>
      </c>
      <c r="AG67" s="20">
        <f>'[17]Oh; Kang (1987)'!$L$7</f>
        <v>0.21295451716099853</v>
      </c>
      <c r="AH67" s="20">
        <f t="shared" si="32"/>
        <v>0.53238629290249628</v>
      </c>
      <c r="AI67" s="20">
        <f t="shared" si="44"/>
        <v>-0.63038593865569081</v>
      </c>
      <c r="AJ67" s="20">
        <f>'[17]Caldas (1997)'!$L$7</f>
        <v>0.32023897247780675</v>
      </c>
      <c r="AK67" s="20">
        <f t="shared" si="33"/>
        <v>0.80059743119451687</v>
      </c>
      <c r="AL67" s="20">
        <f t="shared" si="45"/>
        <v>-0.22239704102921498</v>
      </c>
      <c r="AM67" s="20">
        <v>0.28841428063979918</v>
      </c>
      <c r="AN67" s="20">
        <f t="shared" si="34"/>
        <v>0.72103570159949792</v>
      </c>
      <c r="AO67" s="20">
        <f t="shared" si="46"/>
        <v>-0.3270666261415528</v>
      </c>
      <c r="AP67" s="20">
        <v>0.34850980674992177</v>
      </c>
      <c r="AQ67" s="20">
        <f t="shared" si="35"/>
        <v>0.87127451687480439</v>
      </c>
      <c r="AR67" s="20">
        <f t="shared" si="47"/>
        <v>-0.13779817741832467</v>
      </c>
      <c r="AS67" s="20">
        <v>0.50205261032903148</v>
      </c>
      <c r="AT67" s="20">
        <f t="shared" si="36"/>
        <v>1.2551315258225786</v>
      </c>
      <c r="AU67" s="20">
        <f t="shared" si="48"/>
        <v>0.22724036854471252</v>
      </c>
      <c r="AZ67" t="b">
        <f t="shared" ref="AZ67:AZ130" si="55">IF(AND(B67&lt;=12.7,F67&lt;=45),TRUE,FALSE)</f>
        <v>0</v>
      </c>
      <c r="BB67" t="b">
        <f t="shared" ref="BB67:BB130" si="56">IF(AND(B67&gt;12.7,F67&lt;=45),TRUE,FALSE)</f>
        <v>1</v>
      </c>
      <c r="BD67" t="b">
        <f t="shared" ref="BD67:BD130" si="57">IF(AND(F67&lt;=45,C67&gt;1),TRUE,FALSE)</f>
        <v>1</v>
      </c>
    </row>
    <row r="68" spans="1:56">
      <c r="A68" s="90"/>
      <c r="B68" s="43">
        <f>'[17]Dados de entrada'!$B$28</f>
        <v>25</v>
      </c>
      <c r="C68" s="43">
        <f>'[17]Dados de entrada'!$B$31</f>
        <v>4</v>
      </c>
      <c r="D68" s="43">
        <f>'[17]Dados de entrada'!$B$32</f>
        <v>62</v>
      </c>
      <c r="E68" s="44">
        <f>'[17]Dados de entrada'!$B$27</f>
        <v>2.6933292113182881</v>
      </c>
      <c r="F68" s="43">
        <f>'[17]Dados de entrada'!$B$30</f>
        <v>32</v>
      </c>
      <c r="G68" s="43">
        <f>'[17]Dados de entrada'!$B$22</f>
        <v>44.5</v>
      </c>
      <c r="H68" s="45">
        <f>'[17]Dados de entrada'!$B$29/('[17]Dados de entrada'!$B$20*2*G68)</f>
        <v>6.3049759229534513E-2</v>
      </c>
      <c r="I68" s="26">
        <f>'[17]fib Model Code 2010'!$K$8</f>
        <v>426.05062090397843</v>
      </c>
      <c r="J68" s="19">
        <f>'[17]Dados de entrada'!$C$10</f>
        <v>0.53</v>
      </c>
      <c r="K68" s="20">
        <f>'[17]fib Model Code 2010'!$L$8</f>
        <v>0.36918192288786633</v>
      </c>
      <c r="L68" s="20">
        <f t="shared" si="51"/>
        <v>0.69656966582616286</v>
      </c>
      <c r="M68" s="20">
        <f t="shared" si="37"/>
        <v>-0.36158746804179948</v>
      </c>
      <c r="N68" s="20">
        <f>'[17]fib Model Code 2020'!$L$8</f>
        <v>0.44639866619179752</v>
      </c>
      <c r="O68" s="20">
        <f t="shared" si="50"/>
        <v>0.84226163432414625</v>
      </c>
      <c r="P68" s="20">
        <f t="shared" si="38"/>
        <v>-0.17166458340513074</v>
      </c>
      <c r="Q68" s="20">
        <f>'[17]Eurocode 2'!$L$8</f>
        <v>0.36018024236193569</v>
      </c>
      <c r="R68" s="20">
        <f t="shared" si="28"/>
        <v>0.67958536294704841</v>
      </c>
      <c r="S68" s="20">
        <f t="shared" si="39"/>
        <v>-0.38627242716343368</v>
      </c>
      <c r="T68" s="20">
        <f>'[17]NBR 6118'!$Q$8</f>
        <v>0.41949700372468546</v>
      </c>
      <c r="U68" s="20">
        <f>'[17]NBR 6118'!$R$8</f>
        <v>0.98720608153410305</v>
      </c>
      <c r="V68" s="20">
        <f>'[17]NBR 6118'!$W$8</f>
        <v>0.79150378061261406</v>
      </c>
      <c r="W68" s="20">
        <f t="shared" si="40"/>
        <v>-0.23382062315622498</v>
      </c>
      <c r="X68" s="20">
        <f>'[17]Clark (1956)'!$L$8</f>
        <v>0.25513149429745535</v>
      </c>
      <c r="Y68" s="20">
        <f t="shared" si="29"/>
        <v>0.48138017791972704</v>
      </c>
      <c r="Z68" s="20">
        <f t="shared" si="41"/>
        <v>-0.73109793038509774</v>
      </c>
      <c r="AA68" s="20">
        <f>'[17]Leonhardt (1977)'!$L$8</f>
        <v>0.60968478954745375</v>
      </c>
      <c r="AB68" s="20">
        <f t="shared" si="53"/>
        <v>1.1503486595234975</v>
      </c>
      <c r="AC68" s="20">
        <f t="shared" si="54"/>
        <v>0.14006507861907022</v>
      </c>
      <c r="AD68" s="20">
        <f>'[17]Desayi; Ganesan (1985)'!$L$8</f>
        <v>0.31826440754042495</v>
      </c>
      <c r="AE68" s="20">
        <f t="shared" si="31"/>
        <v>0.60049888215174518</v>
      </c>
      <c r="AF68" s="20">
        <f t="shared" si="43"/>
        <v>-0.50999449899298188</v>
      </c>
      <c r="AG68" s="20">
        <f>'[17]Oh; Kang (1987)'!$L$8</f>
        <v>0.29409680854948467</v>
      </c>
      <c r="AH68" s="20">
        <f t="shared" si="32"/>
        <v>0.5548996387726125</v>
      </c>
      <c r="AI68" s="20">
        <f t="shared" si="44"/>
        <v>-0.58896801262794429</v>
      </c>
      <c r="AJ68" s="20">
        <f>'[17]Caldas (1997)'!$L$8</f>
        <v>0.43508333270217331</v>
      </c>
      <c r="AK68" s="20">
        <f t="shared" si="33"/>
        <v>0.82091194849466653</v>
      </c>
      <c r="AL68" s="20">
        <f t="shared" si="45"/>
        <v>-0.19733942437428026</v>
      </c>
      <c r="AM68" s="20">
        <v>0.38455237418639893</v>
      </c>
      <c r="AN68" s="20">
        <f t="shared" si="34"/>
        <v>0.72557051733282818</v>
      </c>
      <c r="AO68" s="20">
        <f t="shared" si="46"/>
        <v>-0.32079701312795733</v>
      </c>
      <c r="AP68" s="20">
        <v>0.50194929525323695</v>
      </c>
      <c r="AQ68" s="20">
        <f t="shared" si="35"/>
        <v>0.94707414198723949</v>
      </c>
      <c r="AR68" s="20">
        <f t="shared" si="47"/>
        <v>-5.4377897427474065E-2</v>
      </c>
      <c r="AS68" s="20">
        <v>0.73741035644538055</v>
      </c>
      <c r="AT68" s="20">
        <f t="shared" si="36"/>
        <v>1.3913402951799632</v>
      </c>
      <c r="AU68" s="20">
        <f t="shared" si="48"/>
        <v>0.3302675236974017</v>
      </c>
      <c r="AZ68" t="b">
        <f t="shared" si="55"/>
        <v>0</v>
      </c>
      <c r="BB68" t="b">
        <f t="shared" si="56"/>
        <v>1</v>
      </c>
      <c r="BD68" t="b">
        <f t="shared" si="57"/>
        <v>1</v>
      </c>
    </row>
    <row r="69" spans="1:56">
      <c r="A69" s="86"/>
      <c r="B69" s="43">
        <f>'[17]Dados de entrada'!$B$28</f>
        <v>25</v>
      </c>
      <c r="C69" s="43">
        <f>'[17]Dados de entrada'!$B$31</f>
        <v>4</v>
      </c>
      <c r="D69" s="43">
        <f>'[17]Dados de entrada'!$B$32</f>
        <v>62</v>
      </c>
      <c r="E69" s="44">
        <f>'[17]Dados de entrada'!$B$27</f>
        <v>2.6933292113182881</v>
      </c>
      <c r="F69" s="43">
        <f>'[17]Dados de entrada'!$B$30</f>
        <v>32</v>
      </c>
      <c r="G69" s="43">
        <f>'[17]Dados de entrada'!$B$22</f>
        <v>44.5</v>
      </c>
      <c r="H69" s="45">
        <f>'[17]Dados de entrada'!$B$29/('[17]Dados de entrada'!$B$20*2*G69)</f>
        <v>6.3049759229534513E-2</v>
      </c>
      <c r="I69" s="26">
        <f>'[17]fib Model Code 2010'!$K$9</f>
        <v>500</v>
      </c>
      <c r="J69" s="19">
        <f>'[17]Dados de entrada'!$C$11</f>
        <v>0.72</v>
      </c>
      <c r="K69" s="20">
        <f>'[17]fib Model Code 2010'!$L$9</f>
        <v>0.43998774341245744</v>
      </c>
      <c r="L69" s="20">
        <f t="shared" si="51"/>
        <v>0.61109408807285759</v>
      </c>
      <c r="M69" s="20">
        <f t="shared" si="37"/>
        <v>-0.49250434136655491</v>
      </c>
      <c r="N69" s="20">
        <f>'[17]fib Model Code 2020'!$L$9</f>
        <v>0.53552378622876884</v>
      </c>
      <c r="O69" s="20">
        <f t="shared" si="50"/>
        <v>0.74378303642884569</v>
      </c>
      <c r="P69" s="20">
        <f t="shared" si="38"/>
        <v>-0.29600590438092028</v>
      </c>
      <c r="Q69" s="20">
        <f>'[17]Eurocode 2'!$L$9</f>
        <v>0.42925962034905629</v>
      </c>
      <c r="R69" s="20">
        <f t="shared" si="28"/>
        <v>0.59619391715146708</v>
      </c>
      <c r="S69" s="20">
        <f t="shared" si="39"/>
        <v>-0.51718930048818923</v>
      </c>
      <c r="T69" s="20">
        <f>'[17]NBR 6118'!$Q$9</f>
        <v>0.46969896597778604</v>
      </c>
      <c r="U69" s="20">
        <f>'[17]NBR 6118'!$R$9</f>
        <v>1.2376256565018231</v>
      </c>
      <c r="V69" s="20">
        <f>'[17]NBR 6118'!$W$9</f>
        <v>0.65235967496914726</v>
      </c>
      <c r="W69" s="20">
        <f t="shared" si="40"/>
        <v>-0.42715922043202098</v>
      </c>
      <c r="X69" s="20">
        <f>'[17]Clark (1956)'!$L$9</f>
        <v>0.30292608122351122</v>
      </c>
      <c r="Y69" s="20">
        <f t="shared" si="29"/>
        <v>0.42073066836598783</v>
      </c>
      <c r="Z69" s="20">
        <f t="shared" si="41"/>
        <v>-0.86576239262097343</v>
      </c>
      <c r="AA69" s="20">
        <f>'[17]Leonhardt (1977)'!$L$9</f>
        <v>0.72144924936846344</v>
      </c>
      <c r="AB69" s="20">
        <f t="shared" si="53"/>
        <v>1.0020128463450881</v>
      </c>
      <c r="AC69" s="20">
        <f t="shared" si="54"/>
        <v>2.0108232841693128E-3</v>
      </c>
      <c r="AD69" s="20">
        <f>'[17]Desayi; Ganesan (1985)'!$L$9</f>
        <v>0.37350539105557851</v>
      </c>
      <c r="AE69" s="20">
        <f t="shared" si="31"/>
        <v>0.51875748757719242</v>
      </c>
      <c r="AF69" s="20">
        <f t="shared" si="43"/>
        <v>-0.65631877365765212</v>
      </c>
      <c r="AG69" s="20">
        <f>'[17]Oh; Kang (1987)'!$L$9</f>
        <v>0.35043210555128729</v>
      </c>
      <c r="AH69" s="20">
        <f t="shared" si="32"/>
        <v>0.48671125771012125</v>
      </c>
      <c r="AI69" s="20">
        <f t="shared" si="44"/>
        <v>-0.72008423171346214</v>
      </c>
      <c r="AJ69" s="20">
        <f>'[17]Caldas (1997)'!$L$9</f>
        <v>0.51481723017428416</v>
      </c>
      <c r="AK69" s="20">
        <f t="shared" si="33"/>
        <v>0.71502393079761695</v>
      </c>
      <c r="AL69" s="20">
        <f t="shared" si="45"/>
        <v>-0.33543926720120881</v>
      </c>
      <c r="AM69" s="20">
        <v>0.45129892472691385</v>
      </c>
      <c r="AN69" s="20">
        <f t="shared" si="34"/>
        <v>0.62680406212071371</v>
      </c>
      <c r="AO69" s="20">
        <f t="shared" si="46"/>
        <v>-0.46712128779262768</v>
      </c>
      <c r="AP69" s="20">
        <v>0.60260898148478304</v>
      </c>
      <c r="AQ69" s="20">
        <f t="shared" si="35"/>
        <v>0.83695691872886535</v>
      </c>
      <c r="AR69" s="20">
        <f t="shared" si="47"/>
        <v>-0.17798268087007138</v>
      </c>
      <c r="AS69" s="20">
        <v>0.91423712194495588</v>
      </c>
      <c r="AT69" s="20">
        <f t="shared" si="36"/>
        <v>1.2697737804791054</v>
      </c>
      <c r="AU69" s="20">
        <f t="shared" si="48"/>
        <v>0.23883875899724619</v>
      </c>
      <c r="AZ69" t="b">
        <f t="shared" si="55"/>
        <v>0</v>
      </c>
      <c r="BB69" t="b">
        <f t="shared" si="56"/>
        <v>1</v>
      </c>
      <c r="BD69" t="b">
        <f t="shared" si="57"/>
        <v>1</v>
      </c>
    </row>
    <row r="70" spans="1:56">
      <c r="A70" s="87" t="s">
        <v>34</v>
      </c>
      <c r="B70" s="37">
        <f>'[18]Dados de entrada'!$B$28</f>
        <v>25</v>
      </c>
      <c r="C70" s="37">
        <f>'[18]Dados de entrada'!$B$31</f>
        <v>4</v>
      </c>
      <c r="D70" s="37">
        <f>'[18]Dados de entrada'!$B$32</f>
        <v>28.7</v>
      </c>
      <c r="E70" s="41">
        <f>'[18]Dados de entrada'!$B$27</f>
        <v>2.6933292113182881</v>
      </c>
      <c r="F70" s="37">
        <f>'[18]Dados de entrada'!$B$30</f>
        <v>82</v>
      </c>
      <c r="G70" s="37">
        <f>'[18]Dados de entrada'!$B$22</f>
        <v>94.5</v>
      </c>
      <c r="H70" s="42">
        <f>'[18]Dados de entrada'!$B$29/('[18]Dados de entrada'!$B$20*2*G70)</f>
        <v>2.9690098261526833E-2</v>
      </c>
      <c r="I70" s="25">
        <f>'[18]fib Model Code 2010'!$K$5</f>
        <v>73.404459497833727</v>
      </c>
      <c r="J70" s="4">
        <f>'[18]Dados de entrada'!$C$7</f>
        <v>0.15</v>
      </c>
      <c r="K70" s="11">
        <f>'[18]fib Model Code 2010'!$L$5</f>
        <v>4.7185627719411878E-2</v>
      </c>
      <c r="L70" s="11">
        <f t="shared" si="51"/>
        <v>0.31457085146274588</v>
      </c>
      <c r="M70" s="11">
        <f t="shared" si="37"/>
        <v>-1.1565459453436009</v>
      </c>
      <c r="N70" s="11">
        <f>'[18]fib Model Code 2020'!$L$5</f>
        <v>7.2012387274581896E-2</v>
      </c>
      <c r="O70" s="11">
        <f t="shared" si="50"/>
        <v>0.48008258183054597</v>
      </c>
      <c r="P70" s="11">
        <f t="shared" si="38"/>
        <v>-0.73379714439802268</v>
      </c>
      <c r="Q70" s="11">
        <f>'[18]Eurocode 2'!$L$5</f>
        <v>7.9181431687268183E-2</v>
      </c>
      <c r="R70" s="11">
        <f t="shared" si="28"/>
        <v>0.52787621124845463</v>
      </c>
      <c r="S70" s="11">
        <f t="shared" si="39"/>
        <v>-0.63889347115627482</v>
      </c>
      <c r="T70" s="11">
        <f>'[18]NBR 6118'!$Q$5</f>
        <v>0.10855043654205788</v>
      </c>
      <c r="U70" s="11">
        <f>'[18]NBR 6118'!$R$5</f>
        <v>2.9399600977995204E-2</v>
      </c>
      <c r="V70" s="11"/>
      <c r="W70" s="11"/>
      <c r="X70" s="11">
        <f>'[18]Clark (1956)'!$L$5</f>
        <v>6.2554745306432749E-2</v>
      </c>
      <c r="Y70" s="11">
        <f t="shared" si="29"/>
        <v>0.41703163537621835</v>
      </c>
      <c r="Z70" s="11">
        <f t="shared" si="41"/>
        <v>-0.8745931958493246</v>
      </c>
      <c r="AA70" s="11"/>
      <c r="AB70" s="11"/>
      <c r="AC70" s="11"/>
      <c r="AD70" s="11">
        <f>'[18]Desayi; Ganesan (1985)'!$L$5</f>
        <v>0.11120342777150033</v>
      </c>
      <c r="AE70" s="11">
        <f t="shared" si="31"/>
        <v>0.74135618514333557</v>
      </c>
      <c r="AF70" s="11">
        <f t="shared" si="43"/>
        <v>-0.29927408747158663</v>
      </c>
      <c r="AG70" s="11">
        <f>'[18]Oh; Kang (1987)'!$L$5</f>
        <v>3.564409320642116E-2</v>
      </c>
      <c r="AH70" s="11">
        <f t="shared" si="32"/>
        <v>0.23762728804280775</v>
      </c>
      <c r="AI70" s="11">
        <f t="shared" si="44"/>
        <v>-1.4370518494232345</v>
      </c>
      <c r="AJ70" s="11">
        <f>'[18]Caldas (1997)'!$L$5</f>
        <v>7.5900154724817107E-2</v>
      </c>
      <c r="AK70" s="11">
        <f t="shared" si="33"/>
        <v>0.50600103149878073</v>
      </c>
      <c r="AL70" s="11">
        <f t="shared" si="45"/>
        <v>-0.6812165711616095</v>
      </c>
      <c r="AM70" s="11" cm="1">
        <f t="array" ref="AM70:AM72">'[18]Gergely e Lutz (1968)'!$L$5:$L$7</f>
        <v>0.13298387889396704</v>
      </c>
      <c r="AN70" s="11">
        <f t="shared" si="34"/>
        <v>0.886559192626447</v>
      </c>
      <c r="AO70" s="11">
        <f t="shared" si="46"/>
        <v>-0.12040738454474414</v>
      </c>
      <c r="AP70" s="11" cm="1">
        <f t="array" ref="AP70:AP72">[18]Sugestão!$M$5:$M$7</f>
        <v>7.2012387274581896E-2</v>
      </c>
      <c r="AQ70" s="11">
        <f t="shared" si="35"/>
        <v>0.48008258183054597</v>
      </c>
      <c r="AR70" s="11">
        <f t="shared" si="47"/>
        <v>-0.73379714439802268</v>
      </c>
      <c r="AS70" s="11" cm="1">
        <f t="array" ref="AS70:AS72">'[18]fib Model Code 2020 modificado'!$L$5:$L$7</f>
        <v>8.752938551150434E-2</v>
      </c>
      <c r="AT70" s="11">
        <f t="shared" si="36"/>
        <v>0.58352923674336232</v>
      </c>
      <c r="AU70" s="11">
        <f t="shared" si="48"/>
        <v>-0.53866072269524989</v>
      </c>
      <c r="AZ70" t="b">
        <f t="shared" si="55"/>
        <v>0</v>
      </c>
      <c r="BB70" t="b">
        <f t="shared" si="56"/>
        <v>0</v>
      </c>
      <c r="BD70" t="b">
        <f t="shared" si="57"/>
        <v>0</v>
      </c>
    </row>
    <row r="71" spans="1:56">
      <c r="A71" s="102"/>
      <c r="B71" s="37">
        <f>'[18]Dados de entrada'!$B$28</f>
        <v>25</v>
      </c>
      <c r="C71" s="37">
        <f>'[18]Dados de entrada'!$B$31</f>
        <v>4</v>
      </c>
      <c r="D71" s="37">
        <f>'[18]Dados de entrada'!$B$32</f>
        <v>28.7</v>
      </c>
      <c r="E71" s="41">
        <f>'[18]Dados de entrada'!$B$27</f>
        <v>2.6933292113182881</v>
      </c>
      <c r="F71" s="37">
        <f>'[18]Dados de entrada'!$B$30</f>
        <v>82</v>
      </c>
      <c r="G71" s="37">
        <f>'[18]Dados de entrada'!$B$22</f>
        <v>94.5</v>
      </c>
      <c r="H71" s="42">
        <f>'[18]Dados de entrada'!$B$29/('[18]Dados de entrada'!$B$20*2*G71)</f>
        <v>2.9690098261526833E-2</v>
      </c>
      <c r="I71" s="25">
        <f>'[18]fib Model Code 2010'!$K$6</f>
        <v>122.34076582972288</v>
      </c>
      <c r="J71" s="4">
        <f>'[18]Dados de entrada'!$C$8</f>
        <v>0.3</v>
      </c>
      <c r="K71" s="11">
        <f>'[18]fib Model Code 2010'!$L$6</f>
        <v>0.11960450596181522</v>
      </c>
      <c r="L71" s="11">
        <f t="shared" si="51"/>
        <v>0.39868168653938407</v>
      </c>
      <c r="M71" s="11">
        <f t="shared" si="37"/>
        <v>-0.91959195858335119</v>
      </c>
      <c r="N71" s="11">
        <f>'[18]fib Model Code 2020'!$L$6</f>
        <v>0.12002064545763651</v>
      </c>
      <c r="O71" s="11">
        <f t="shared" si="50"/>
        <v>0.4000688181921217</v>
      </c>
      <c r="P71" s="11">
        <f t="shared" si="38"/>
        <v>-0.91611870119197714</v>
      </c>
      <c r="Q71" s="11">
        <f>'[18]Eurocode 2'!$L$6</f>
        <v>0.14530367170291708</v>
      </c>
      <c r="R71" s="11">
        <f t="shared" si="28"/>
        <v>0.48434557234305697</v>
      </c>
      <c r="S71" s="11">
        <f t="shared" si="39"/>
        <v>-0.72495663459251536</v>
      </c>
      <c r="T71" s="11">
        <f>'[18]NBR 6118'!$Q$6</f>
        <v>0.18091739423676312</v>
      </c>
      <c r="U71" s="11">
        <f>'[18]NBR 6118'!$R$6</f>
        <v>8.1665558272208852E-2</v>
      </c>
      <c r="V71" s="11"/>
      <c r="W71" s="11"/>
      <c r="X71" s="11">
        <f>'[18]Clark (1956)'!$L$6</f>
        <v>0.12972038637164129</v>
      </c>
      <c r="Y71" s="11">
        <f t="shared" si="29"/>
        <v>0.432401287905471</v>
      </c>
      <c r="Z71" s="11">
        <f t="shared" si="41"/>
        <v>-0.83840121471673001</v>
      </c>
      <c r="AA71" s="11">
        <f>'[18]Leonhardt (1977)'!$L$6</f>
        <v>0.11551729509434719</v>
      </c>
      <c r="AB71" s="11"/>
      <c r="AC71" s="11"/>
      <c r="AD71" s="11">
        <f>'[18]Desayi; Ganesan (1985)'!$L$6</f>
        <v>0.18533904628583389</v>
      </c>
      <c r="AE71" s="11">
        <f t="shared" si="31"/>
        <v>0.61779682095277966</v>
      </c>
      <c r="AF71" s="11">
        <f t="shared" si="43"/>
        <v>-0.48159564426554125</v>
      </c>
      <c r="AG71" s="11">
        <f>'[18]Oh; Kang (1987)'!$L$6</f>
        <v>8.7861380667245123E-2</v>
      </c>
      <c r="AH71" s="11">
        <f t="shared" si="32"/>
        <v>0.2928712688908171</v>
      </c>
      <c r="AI71" s="11">
        <f t="shared" si="44"/>
        <v>-1.2280221218313416</v>
      </c>
      <c r="AJ71" s="11">
        <f>'[18]Caldas (1997)'!$L$6</f>
        <v>0.14891108881475229</v>
      </c>
      <c r="AK71" s="11">
        <f t="shared" si="33"/>
        <v>0.49637029604917432</v>
      </c>
      <c r="AL71" s="11">
        <f t="shared" si="45"/>
        <v>-0.70043306618267731</v>
      </c>
      <c r="AM71" s="11">
        <v>0.22163979815661172</v>
      </c>
      <c r="AN71" s="11">
        <f t="shared" si="34"/>
        <v>0.73879932718870578</v>
      </c>
      <c r="AO71" s="11">
        <f t="shared" si="46"/>
        <v>-0.30272894133869888</v>
      </c>
      <c r="AP71" s="11">
        <v>0.12002064545763651</v>
      </c>
      <c r="AQ71" s="11">
        <f t="shared" si="35"/>
        <v>0.4000688181921217</v>
      </c>
      <c r="AR71" s="11">
        <f t="shared" si="47"/>
        <v>-0.91611870119197714</v>
      </c>
      <c r="AS71" s="11">
        <v>0.14795456285584677</v>
      </c>
      <c r="AT71" s="11">
        <f t="shared" si="36"/>
        <v>0.49318187618615589</v>
      </c>
      <c r="AU71" s="11">
        <f t="shared" si="48"/>
        <v>-0.70687725575937221</v>
      </c>
      <c r="AZ71" t="b">
        <f t="shared" si="55"/>
        <v>0</v>
      </c>
      <c r="BB71" t="b">
        <f t="shared" si="56"/>
        <v>0</v>
      </c>
      <c r="BD71" t="b">
        <f t="shared" si="57"/>
        <v>0</v>
      </c>
    </row>
    <row r="72" spans="1:56">
      <c r="A72" s="103"/>
      <c r="B72" s="37">
        <f>'[18]Dados de entrada'!$B$28</f>
        <v>25</v>
      </c>
      <c r="C72" s="37">
        <f>'[18]Dados de entrada'!$B$31</f>
        <v>4</v>
      </c>
      <c r="D72" s="37">
        <f>'[18]Dados de entrada'!$B$32</f>
        <v>28.7</v>
      </c>
      <c r="E72" s="41">
        <f>'[18]Dados de entrada'!$B$27</f>
        <v>2.6933292113182881</v>
      </c>
      <c r="F72" s="37">
        <f>'[18]Dados de entrada'!$B$30</f>
        <v>82</v>
      </c>
      <c r="G72" s="37">
        <f>'[18]Dados de entrada'!$B$22</f>
        <v>94.5</v>
      </c>
      <c r="H72" s="42">
        <f>'[18]Dados de entrada'!$B$29/('[18]Dados de entrada'!$B$20*2*G72)</f>
        <v>2.9690098261526833E-2</v>
      </c>
      <c r="I72" s="25">
        <f>'[18]fib Model Code 2010'!$K$7</f>
        <v>244.68153165944577</v>
      </c>
      <c r="J72" s="4">
        <f>'[18]Dados de entrada'!$C$9</f>
        <v>0.56999999999999995</v>
      </c>
      <c r="K72" s="11">
        <f>'[18]fib Model Code 2010'!$L$7</f>
        <v>0.30065170156782367</v>
      </c>
      <c r="L72" s="11">
        <f t="shared" si="51"/>
        <v>0.52745912555758545</v>
      </c>
      <c r="M72" s="11">
        <f t="shared" si="37"/>
        <v>-0.63968390372882022</v>
      </c>
      <c r="N72" s="11">
        <f>'[18]fib Model Code 2020'!$L$7</f>
        <v>0.41855958413210198</v>
      </c>
      <c r="O72" s="11">
        <f t="shared" si="50"/>
        <v>0.73431505988088075</v>
      </c>
      <c r="P72" s="11">
        <f t="shared" si="38"/>
        <v>-0.30881710556849157</v>
      </c>
      <c r="Q72" s="11">
        <f>'[18]Eurocode 2'!$L$7</f>
        <v>0.36525209305643985</v>
      </c>
      <c r="R72" s="11">
        <f t="shared" si="28"/>
        <v>0.64079314571305246</v>
      </c>
      <c r="S72" s="11">
        <f t="shared" si="39"/>
        <v>-0.44504857973798462</v>
      </c>
      <c r="T72" s="11">
        <f>'[18]NBR 6118'!$Q$7</f>
        <v>0.36183478847352624</v>
      </c>
      <c r="U72" s="11">
        <f>'[18]NBR 6118'!$R$7</f>
        <v>0.32666223308883541</v>
      </c>
      <c r="V72" s="11">
        <f>'[18]NBR 6118'!$W$7</f>
        <v>0.57309163699795695</v>
      </c>
      <c r="W72" s="11">
        <f t="shared" si="40"/>
        <v>-0.55670965010122508</v>
      </c>
      <c r="X72" s="11">
        <f>'[18]Clark (1956)'!$L$7</f>
        <v>0.29763448903466261</v>
      </c>
      <c r="Y72" s="11">
        <f t="shared" si="29"/>
        <v>0.52216577023625022</v>
      </c>
      <c r="Z72" s="11">
        <f t="shared" si="41"/>
        <v>-0.64977017401098969</v>
      </c>
      <c r="AA72" s="11">
        <f>'[18]Leonhardt (1977)'!$L$7</f>
        <v>0.46460103612345982</v>
      </c>
      <c r="AB72" s="11">
        <f>AA72/J72</f>
        <v>0.81508953705870146</v>
      </c>
      <c r="AC72" s="11">
        <f t="shared" ref="AC71:AC72" si="58">LN(AB72)</f>
        <v>-0.20445731035387879</v>
      </c>
      <c r="AD72" s="11">
        <f>'[18]Desayi; Ganesan (1985)'!$L$7</f>
        <v>0.37067809257166778</v>
      </c>
      <c r="AE72" s="11">
        <f t="shared" si="31"/>
        <v>0.65031244310818914</v>
      </c>
      <c r="AF72" s="11">
        <f t="shared" si="43"/>
        <v>-0.43030234987799065</v>
      </c>
      <c r="AG72" s="11">
        <f>'[18]Oh; Kang (1987)'!$L$7</f>
        <v>0.218404599319305</v>
      </c>
      <c r="AH72" s="11">
        <f t="shared" si="32"/>
        <v>0.38316596371807898</v>
      </c>
      <c r="AI72" s="11">
        <f t="shared" si="44"/>
        <v>-0.95928705802525971</v>
      </c>
      <c r="AJ72" s="11">
        <f>'[18]Caldas (1997)'!$L$7</f>
        <v>0.33143842403959017</v>
      </c>
      <c r="AK72" s="11">
        <f t="shared" si="33"/>
        <v>0.58147091936770212</v>
      </c>
      <c r="AL72" s="11">
        <f t="shared" si="45"/>
        <v>-0.54219431795975292</v>
      </c>
      <c r="AM72" s="11">
        <v>0.44327959631322345</v>
      </c>
      <c r="AN72" s="11">
        <f t="shared" si="34"/>
        <v>0.77768350230390082</v>
      </c>
      <c r="AO72" s="11">
        <f t="shared" si="46"/>
        <v>-0.25143564695114834</v>
      </c>
      <c r="AP72" s="11">
        <v>0.45337197684693187</v>
      </c>
      <c r="AQ72" s="11">
        <f t="shared" si="35"/>
        <v>0.79538943306479282</v>
      </c>
      <c r="AR72" s="11">
        <f t="shared" si="47"/>
        <v>-0.22892343135488699</v>
      </c>
      <c r="AS72" s="11">
        <v>0.4847886872785534</v>
      </c>
      <c r="AT72" s="11">
        <f t="shared" si="36"/>
        <v>0.85050646890974291</v>
      </c>
      <c r="AU72" s="11">
        <f t="shared" si="48"/>
        <v>-0.16192326116721797</v>
      </c>
      <c r="AZ72" t="b">
        <f t="shared" si="55"/>
        <v>0</v>
      </c>
      <c r="BB72" t="b">
        <f t="shared" si="56"/>
        <v>0</v>
      </c>
      <c r="BD72" t="b">
        <f t="shared" si="57"/>
        <v>0</v>
      </c>
    </row>
    <row r="73" spans="1:56">
      <c r="A73" s="85" t="s">
        <v>35</v>
      </c>
      <c r="B73" s="43">
        <f>'[19]Dados de entrada'!$B$28</f>
        <v>25</v>
      </c>
      <c r="C73" s="43">
        <f>'[19]Dados de entrada'!$B$31</f>
        <v>4</v>
      </c>
      <c r="D73" s="43">
        <f>'[19]Dados de entrada'!$B$32</f>
        <v>28.7</v>
      </c>
      <c r="E73" s="44">
        <f>'[19]Dados de entrada'!$B$27</f>
        <v>2.6933292113182881</v>
      </c>
      <c r="F73" s="43">
        <f>'[19]Dados de entrada'!$B$30</f>
        <v>82</v>
      </c>
      <c r="G73" s="43">
        <f>'[19]Dados de entrada'!$B$22</f>
        <v>94.5</v>
      </c>
      <c r="H73" s="45">
        <f>'[19]Dados de entrada'!$B$29/('[19]Dados de entrada'!$B$20*2*G73)</f>
        <v>2.9690098261526833E-2</v>
      </c>
      <c r="I73" s="26">
        <f>'[19]fib Model Code 2010'!$K$5</f>
        <v>73.404459497833727</v>
      </c>
      <c r="J73" s="19">
        <f>'[19]Dados de entrada'!$C$7</f>
        <v>0.15</v>
      </c>
      <c r="K73" s="20">
        <f>'[19]fib Model Code 2010'!$L$5</f>
        <v>4.7185627719411878E-2</v>
      </c>
      <c r="L73" s="20">
        <f t="shared" ref="L73:L104" si="59">K73/J73</f>
        <v>0.31457085146274588</v>
      </c>
      <c r="M73" s="20">
        <f t="shared" si="37"/>
        <v>-1.1565459453436009</v>
      </c>
      <c r="N73" s="20">
        <f>'[19]fib Model Code 2020'!$L$5</f>
        <v>7.2012387274581896E-2</v>
      </c>
      <c r="O73" s="20">
        <f t="shared" si="50"/>
        <v>0.48008258183054597</v>
      </c>
      <c r="P73" s="20">
        <f t="shared" si="38"/>
        <v>-0.73379714439802268</v>
      </c>
      <c r="Q73" s="20">
        <f>'[19]Eurocode 2'!$L$5</f>
        <v>7.9181431687268183E-2</v>
      </c>
      <c r="R73" s="20">
        <f t="shared" ref="R73:R136" si="60">Q73/J73</f>
        <v>0.52787621124845463</v>
      </c>
      <c r="S73" s="20">
        <f t="shared" si="39"/>
        <v>-0.63889347115627482</v>
      </c>
      <c r="T73" s="20">
        <f>'[19]NBR 6118'!$Q$5</f>
        <v>0.10855043654205788</v>
      </c>
      <c r="U73" s="20">
        <f>'[19]NBR 6118'!$R$5</f>
        <v>2.9399600977995204E-2</v>
      </c>
      <c r="V73" s="20"/>
      <c r="W73" s="20"/>
      <c r="X73" s="20">
        <f>'[19]Clark (1956)'!$L$5</f>
        <v>6.2554745306432749E-2</v>
      </c>
      <c r="Y73" s="20">
        <f t="shared" ref="Y73:Y136" si="61">X73/J73</f>
        <v>0.41703163537621835</v>
      </c>
      <c r="Z73" s="20">
        <f t="shared" si="41"/>
        <v>-0.8745931958493246</v>
      </c>
      <c r="AA73" s="20"/>
      <c r="AB73" s="20"/>
      <c r="AC73" s="20"/>
      <c r="AD73" s="20">
        <f>'[19]Desayi; Ganesan (1985)'!$L$5</f>
        <v>0.11120342777150033</v>
      </c>
      <c r="AE73" s="20">
        <f t="shared" ref="AE73:AE136" si="62">AD73/J73</f>
        <v>0.74135618514333557</v>
      </c>
      <c r="AF73" s="20">
        <f t="shared" si="43"/>
        <v>-0.29927408747158663</v>
      </c>
      <c r="AG73" s="20">
        <f>'[19]Oh; Kang (1987)'!$L$5</f>
        <v>3.564409320642116E-2</v>
      </c>
      <c r="AH73" s="20">
        <f t="shared" ref="AH73:AH136" si="63">AG73/J73</f>
        <v>0.23762728804280775</v>
      </c>
      <c r="AI73" s="20">
        <f t="shared" si="44"/>
        <v>-1.4370518494232345</v>
      </c>
      <c r="AJ73" s="20">
        <f>'[19]Caldas (1997)'!$L$5</f>
        <v>7.5900154724817107E-2</v>
      </c>
      <c r="AK73" s="20">
        <f t="shared" ref="AK73:AK136" si="64">AJ73/J73</f>
        <v>0.50600103149878073</v>
      </c>
      <c r="AL73" s="20">
        <f t="shared" si="45"/>
        <v>-0.6812165711616095</v>
      </c>
      <c r="AM73" s="20" cm="1">
        <f t="array" ref="AM73:AM75">'[19]Gergely e Lutz (1968)'!$L$5:$L$7</f>
        <v>0.13298387889396704</v>
      </c>
      <c r="AN73" s="20">
        <f t="shared" ref="AN73:AN136" si="65">AM73/J73</f>
        <v>0.886559192626447</v>
      </c>
      <c r="AO73" s="20">
        <f t="shared" si="46"/>
        <v>-0.12040738454474414</v>
      </c>
      <c r="AP73" s="20" cm="1">
        <f t="array" ref="AP73:AP75">[19]Sugestão!$M$5:$M$7</f>
        <v>7.2012387274581896E-2</v>
      </c>
      <c r="AQ73" s="20">
        <f t="shared" ref="AQ73:AQ136" si="66">AP73/J73</f>
        <v>0.48008258183054597</v>
      </c>
      <c r="AR73" s="20">
        <f t="shared" si="47"/>
        <v>-0.73379714439802268</v>
      </c>
      <c r="AS73" s="20" cm="1">
        <f t="array" ref="AS73:AS75">'[19]fib Model Code 2020 modificado'!$L$5:$L$7</f>
        <v>8.752938551150434E-2</v>
      </c>
      <c r="AT73" s="20">
        <f t="shared" ref="AT73:AT136" si="67">AS73/J73</f>
        <v>0.58352923674336232</v>
      </c>
      <c r="AU73" s="20">
        <f t="shared" si="48"/>
        <v>-0.53866072269524989</v>
      </c>
      <c r="AZ73" t="b">
        <f t="shared" si="55"/>
        <v>0</v>
      </c>
      <c r="BB73" t="b">
        <f t="shared" si="56"/>
        <v>0</v>
      </c>
      <c r="BD73" t="b">
        <f t="shared" si="57"/>
        <v>0</v>
      </c>
    </row>
    <row r="74" spans="1:56">
      <c r="A74" s="90"/>
      <c r="B74" s="43">
        <f>'[19]Dados de entrada'!$B$28</f>
        <v>25</v>
      </c>
      <c r="C74" s="43">
        <f>'[19]Dados de entrada'!$B$31</f>
        <v>4</v>
      </c>
      <c r="D74" s="43">
        <f>'[19]Dados de entrada'!$B$32</f>
        <v>28.7</v>
      </c>
      <c r="E74" s="44">
        <f>'[19]Dados de entrada'!$B$27</f>
        <v>2.6933292113182881</v>
      </c>
      <c r="F74" s="43">
        <f>'[19]Dados de entrada'!$B$30</f>
        <v>82</v>
      </c>
      <c r="G74" s="43">
        <f>'[19]Dados de entrada'!$B$22</f>
        <v>94.5</v>
      </c>
      <c r="H74" s="45">
        <f>'[19]Dados de entrada'!$B$29/('[19]Dados de entrada'!$B$20*2*G74)</f>
        <v>2.9690098261526833E-2</v>
      </c>
      <c r="I74" s="26">
        <f>'[19]fib Model Code 2010'!$K$6</f>
        <v>122.34076582972288</v>
      </c>
      <c r="J74" s="19">
        <f>'[19]Dados de entrada'!$C$8</f>
        <v>0.26</v>
      </c>
      <c r="K74" s="20">
        <f>'[19]fib Model Code 2010'!$L$6</f>
        <v>0.11960450596181522</v>
      </c>
      <c r="L74" s="20">
        <f t="shared" si="59"/>
        <v>0.46001733062236622</v>
      </c>
      <c r="M74" s="20">
        <f t="shared" si="37"/>
        <v>-0.77649111494267786</v>
      </c>
      <c r="N74" s="20">
        <f>'[19]fib Model Code 2020'!$L$6</f>
        <v>0.12002064545763651</v>
      </c>
      <c r="O74" s="20">
        <f t="shared" si="50"/>
        <v>0.46161786714475578</v>
      </c>
      <c r="P74" s="20">
        <f t="shared" si="38"/>
        <v>-0.77301785755130392</v>
      </c>
      <c r="Q74" s="20">
        <f>'[19]Eurocode 2'!$L$6</f>
        <v>0.14530367170291708</v>
      </c>
      <c r="R74" s="20">
        <f t="shared" si="60"/>
        <v>0.55886027578045028</v>
      </c>
      <c r="S74" s="20">
        <f t="shared" si="39"/>
        <v>-0.58185579095184214</v>
      </c>
      <c r="T74" s="20">
        <f>'[19]NBR 6118'!$Q$6</f>
        <v>0.18091739423676312</v>
      </c>
      <c r="U74" s="20">
        <f>'[19]NBR 6118'!$R$6</f>
        <v>8.1665558272208852E-2</v>
      </c>
      <c r="V74" s="20">
        <f>'[19]NBR 6118'!$W$6</f>
        <v>0.31409830104695713</v>
      </c>
      <c r="W74" s="20">
        <f t="shared" si="40"/>
        <v>-1.1580492814080476</v>
      </c>
      <c r="X74" s="20">
        <f>'[19]Clark (1956)'!$L$6</f>
        <v>0.12972038637164129</v>
      </c>
      <c r="Y74" s="20">
        <f t="shared" si="61"/>
        <v>0.49892456296785109</v>
      </c>
      <c r="Z74" s="20">
        <f t="shared" si="41"/>
        <v>-0.6953003710760568</v>
      </c>
      <c r="AA74" s="20">
        <f>'[19]Leonhardt (1977)'!$L$6</f>
        <v>0.11551729509434719</v>
      </c>
      <c r="AB74" s="20">
        <f>AA74/J74</f>
        <v>0.44429728882441227</v>
      </c>
      <c r="AC74" s="20">
        <f t="shared" ref="AC74:AC75" si="68">LN(AB74)</f>
        <v>-0.81126137118715635</v>
      </c>
      <c r="AD74" s="20">
        <f>'[19]Desayi; Ganesan (1985)'!$L$6</f>
        <v>0.18533904628583389</v>
      </c>
      <c r="AE74" s="20">
        <f t="shared" si="62"/>
        <v>0.71284248571474573</v>
      </c>
      <c r="AF74" s="20">
        <f t="shared" si="43"/>
        <v>-0.33849480062486792</v>
      </c>
      <c r="AG74" s="20">
        <f>'[19]Oh; Kang (1987)'!$L$6</f>
        <v>8.7861380667245123E-2</v>
      </c>
      <c r="AH74" s="20">
        <f t="shared" si="63"/>
        <v>0.33792838718171198</v>
      </c>
      <c r="AI74" s="20">
        <f t="shared" si="44"/>
        <v>-1.0849212781906685</v>
      </c>
      <c r="AJ74" s="20">
        <f>'[19]Caldas (1997)'!$L$6</f>
        <v>0.14891108881475229</v>
      </c>
      <c r="AK74" s="20">
        <f t="shared" si="64"/>
        <v>0.57273495697981647</v>
      </c>
      <c r="AL74" s="20">
        <f t="shared" si="45"/>
        <v>-0.5573322225420041</v>
      </c>
      <c r="AM74" s="20">
        <v>0.22163979815661172</v>
      </c>
      <c r="AN74" s="20">
        <f t="shared" si="65"/>
        <v>0.85246076214081434</v>
      </c>
      <c r="AO74" s="20">
        <f t="shared" si="46"/>
        <v>-0.15962809769802555</v>
      </c>
      <c r="AP74" s="20">
        <v>0.12002064545763651</v>
      </c>
      <c r="AQ74" s="20">
        <f t="shared" si="66"/>
        <v>0.46161786714475578</v>
      </c>
      <c r="AR74" s="20">
        <f t="shared" si="47"/>
        <v>-0.77301785755130392</v>
      </c>
      <c r="AS74" s="20">
        <v>0.14795456285584677</v>
      </c>
      <c r="AT74" s="20">
        <f t="shared" si="67"/>
        <v>0.56905601098402603</v>
      </c>
      <c r="AU74" s="20">
        <f t="shared" si="48"/>
        <v>-0.56377641211869889</v>
      </c>
      <c r="AZ74" t="b">
        <f t="shared" si="55"/>
        <v>0</v>
      </c>
      <c r="BB74" t="b">
        <f t="shared" si="56"/>
        <v>0</v>
      </c>
      <c r="BD74" t="b">
        <f t="shared" si="57"/>
        <v>0</v>
      </c>
    </row>
    <row r="75" spans="1:56">
      <c r="A75" s="86"/>
      <c r="B75" s="43">
        <f>'[19]Dados de entrada'!$B$28</f>
        <v>25</v>
      </c>
      <c r="C75" s="43">
        <f>'[19]Dados de entrada'!$B$31</f>
        <v>4</v>
      </c>
      <c r="D75" s="43">
        <f>'[19]Dados de entrada'!$B$32</f>
        <v>28.7</v>
      </c>
      <c r="E75" s="44">
        <f>'[19]Dados de entrada'!$B$27</f>
        <v>2.6933292113182881</v>
      </c>
      <c r="F75" s="43">
        <f>'[19]Dados de entrada'!$B$30</f>
        <v>82</v>
      </c>
      <c r="G75" s="43">
        <f>'[19]Dados de entrada'!$B$22</f>
        <v>94.5</v>
      </c>
      <c r="H75" s="45">
        <f>'[19]Dados de entrada'!$B$29/('[19]Dados de entrada'!$B$20*2*G75)</f>
        <v>2.9690098261526833E-2</v>
      </c>
      <c r="I75" s="26">
        <f>'[19]fib Model Code 2010'!$K$7</f>
        <v>244.68153165944577</v>
      </c>
      <c r="J75" s="19">
        <f>'[19]Dados de entrada'!$C$9</f>
        <v>0.6</v>
      </c>
      <c r="K75" s="20">
        <f>'[19]fib Model Code 2010'!$L$7</f>
        <v>0.30065170156782367</v>
      </c>
      <c r="L75" s="20">
        <f t="shared" si="59"/>
        <v>0.50108616927970617</v>
      </c>
      <c r="M75" s="20">
        <f t="shared" si="37"/>
        <v>-0.69097719811637082</v>
      </c>
      <c r="N75" s="20">
        <f>'[19]fib Model Code 2020'!$L$7</f>
        <v>0.41855958413210198</v>
      </c>
      <c r="O75" s="20">
        <f t="shared" si="50"/>
        <v>0.69759930688683669</v>
      </c>
      <c r="P75" s="20">
        <f t="shared" si="38"/>
        <v>-0.3601103999560421</v>
      </c>
      <c r="Q75" s="20">
        <f>'[19]Eurocode 2'!$L$7</f>
        <v>0.36525209305643985</v>
      </c>
      <c r="R75" s="20">
        <f t="shared" si="60"/>
        <v>0.60875348842739974</v>
      </c>
      <c r="S75" s="20">
        <f t="shared" si="39"/>
        <v>-0.49634187412553527</v>
      </c>
      <c r="T75" s="20">
        <f>'[19]NBR 6118'!$Q$7</f>
        <v>0.36183478847352624</v>
      </c>
      <c r="U75" s="20">
        <f>'[19]NBR 6118'!$R$7</f>
        <v>0.32666223308883541</v>
      </c>
      <c r="V75" s="20">
        <f>'[19]NBR 6118'!$W$7</f>
        <v>0.54443705514805907</v>
      </c>
      <c r="W75" s="20">
        <f t="shared" si="40"/>
        <v>-0.60800294448877568</v>
      </c>
      <c r="X75" s="20">
        <f>'[19]Clark (1956)'!$L$7</f>
        <v>0.29763448903466261</v>
      </c>
      <c r="Y75" s="20">
        <f t="shared" si="61"/>
        <v>0.4960574817244377</v>
      </c>
      <c r="Z75" s="20">
        <f t="shared" si="41"/>
        <v>-0.70106346839854017</v>
      </c>
      <c r="AA75" s="20">
        <f>'[19]Leonhardt (1977)'!$L$7</f>
        <v>0.46460103612345982</v>
      </c>
      <c r="AB75" s="20">
        <f>AA75/J75</f>
        <v>0.77433506020576637</v>
      </c>
      <c r="AC75" s="20">
        <f t="shared" si="68"/>
        <v>-0.25575060474142935</v>
      </c>
      <c r="AD75" s="20">
        <f>'[19]Desayi; Ganesan (1985)'!$L$7</f>
        <v>0.37067809257166778</v>
      </c>
      <c r="AE75" s="20">
        <f t="shared" si="62"/>
        <v>0.61779682095277966</v>
      </c>
      <c r="AF75" s="20">
        <f t="shared" si="43"/>
        <v>-0.48159564426554125</v>
      </c>
      <c r="AG75" s="20">
        <f>'[19]Oh; Kang (1987)'!$L$7</f>
        <v>0.218404599319305</v>
      </c>
      <c r="AH75" s="20">
        <f t="shared" si="63"/>
        <v>0.36400766553217501</v>
      </c>
      <c r="AI75" s="20">
        <f t="shared" si="44"/>
        <v>-1.0105803524128103</v>
      </c>
      <c r="AJ75" s="20">
        <f>'[19]Caldas (1997)'!$L$7</f>
        <v>0.33143842403959017</v>
      </c>
      <c r="AK75" s="20">
        <f t="shared" si="64"/>
        <v>0.55239737339931694</v>
      </c>
      <c r="AL75" s="20">
        <f t="shared" si="45"/>
        <v>-0.59348761234730352</v>
      </c>
      <c r="AM75" s="20">
        <v>0.44327959631322345</v>
      </c>
      <c r="AN75" s="20">
        <f t="shared" si="65"/>
        <v>0.73879932718870578</v>
      </c>
      <c r="AO75" s="20">
        <f t="shared" si="46"/>
        <v>-0.30272894133869888</v>
      </c>
      <c r="AP75" s="20">
        <v>0.45337197684693187</v>
      </c>
      <c r="AQ75" s="20">
        <f t="shared" si="66"/>
        <v>0.75561996141155319</v>
      </c>
      <c r="AR75" s="20">
        <f t="shared" si="47"/>
        <v>-0.2802167257424375</v>
      </c>
      <c r="AS75" s="20">
        <v>0.4847886872785534</v>
      </c>
      <c r="AT75" s="20">
        <f t="shared" si="67"/>
        <v>0.8079811454642557</v>
      </c>
      <c r="AU75" s="20">
        <f t="shared" si="48"/>
        <v>-0.21321655555476857</v>
      </c>
      <c r="AZ75" t="b">
        <f t="shared" si="55"/>
        <v>0</v>
      </c>
      <c r="BB75" t="b">
        <f t="shared" si="56"/>
        <v>0</v>
      </c>
      <c r="BD75" t="b">
        <f t="shared" si="57"/>
        <v>0</v>
      </c>
    </row>
    <row r="76" spans="1:56">
      <c r="A76" s="87" t="s">
        <v>36</v>
      </c>
      <c r="B76" s="37">
        <f>'[20]Dados de entrada'!$B$28</f>
        <v>25</v>
      </c>
      <c r="C76" s="37">
        <f>'[20]Dados de entrada'!$B$31</f>
        <v>4</v>
      </c>
      <c r="D76" s="37">
        <f>'[20]Dados de entrada'!$B$32</f>
        <v>28.7</v>
      </c>
      <c r="E76" s="41">
        <f>'[20]Dados de entrada'!$B$27</f>
        <v>2.6933292113182881</v>
      </c>
      <c r="F76" s="37">
        <f>'[20]Dados de entrada'!$B$30</f>
        <v>82</v>
      </c>
      <c r="G76" s="37">
        <f>'[20]Dados de entrada'!$B$22</f>
        <v>94.5</v>
      </c>
      <c r="H76" s="42">
        <f>'[20]Dados de entrada'!$B$29/('[20]Dados de entrada'!$B$20*2*G76)</f>
        <v>2.9690098261526833E-2</v>
      </c>
      <c r="I76" s="25">
        <f>'[20]fib Model Code 2010'!$K$5</f>
        <v>73.404459497833727</v>
      </c>
      <c r="J76" s="4">
        <f>'[20]Dados de entrada'!$C$7</f>
        <v>0.16</v>
      </c>
      <c r="K76" s="11">
        <f>'[20]fib Model Code 2010'!$L$5</f>
        <v>4.7185627719411878E-2</v>
      </c>
      <c r="L76" s="11">
        <f t="shared" si="59"/>
        <v>0.29491017324632424</v>
      </c>
      <c r="M76" s="11">
        <f t="shared" si="37"/>
        <v>-1.2210844664811722</v>
      </c>
      <c r="N76" s="11">
        <f>'[20]fib Model Code 2020'!$L$5</f>
        <v>7.2012387274581896E-2</v>
      </c>
      <c r="O76" s="11">
        <f t="shared" si="50"/>
        <v>0.45007742046613686</v>
      </c>
      <c r="P76" s="11">
        <f t="shared" si="38"/>
        <v>-0.79833566553559387</v>
      </c>
      <c r="Q76" s="11">
        <f>'[20]Eurocode 2'!$L$5</f>
        <v>7.9181431687268183E-2</v>
      </c>
      <c r="R76" s="11">
        <f t="shared" si="60"/>
        <v>0.49488394804542613</v>
      </c>
      <c r="S76" s="11">
        <f t="shared" si="39"/>
        <v>-0.70343199229384612</v>
      </c>
      <c r="T76" s="11">
        <f>'[20]NBR 6118'!$Q$5</f>
        <v>0.10855043654205788</v>
      </c>
      <c r="U76" s="11">
        <f>'[20]NBR 6118'!$R$5</f>
        <v>2.9399600977995204E-2</v>
      </c>
      <c r="V76" s="11"/>
      <c r="W76" s="11"/>
      <c r="X76" s="11">
        <f>'[20]Clark (1956)'!$L$5</f>
        <v>6.2554745306432749E-2</v>
      </c>
      <c r="Y76" s="11">
        <f t="shared" si="61"/>
        <v>0.39096715816520466</v>
      </c>
      <c r="Z76" s="11">
        <f t="shared" si="41"/>
        <v>-0.93913171698689579</v>
      </c>
      <c r="AA76" s="11"/>
      <c r="AB76" s="11"/>
      <c r="AC76" s="11"/>
      <c r="AD76" s="11">
        <f>'[20]Desayi; Ganesan (1985)'!$L$5</f>
        <v>0.11120342777150033</v>
      </c>
      <c r="AE76" s="11">
        <f t="shared" si="62"/>
        <v>0.69502142357187702</v>
      </c>
      <c r="AF76" s="11">
        <f t="shared" si="43"/>
        <v>-0.36381260860915793</v>
      </c>
      <c r="AG76" s="11">
        <f>'[20]Oh; Kang (1987)'!$L$5</f>
        <v>3.564409320642116E-2</v>
      </c>
      <c r="AH76" s="11">
        <f t="shared" si="63"/>
        <v>0.22277558254013224</v>
      </c>
      <c r="AI76" s="11">
        <f t="shared" si="44"/>
        <v>-1.5015903705608056</v>
      </c>
      <c r="AJ76" s="11">
        <f>'[20]Caldas (1997)'!$L$5</f>
        <v>7.5900154724817107E-2</v>
      </c>
      <c r="AK76" s="11">
        <f t="shared" si="64"/>
        <v>0.47437596703010693</v>
      </c>
      <c r="AL76" s="11">
        <f t="shared" si="45"/>
        <v>-0.74575509229918069</v>
      </c>
      <c r="AM76" s="11" cm="1">
        <f t="array" ref="AM76:AM78">'[20]Gergely e Lutz (1968)'!$L$5:$L$7</f>
        <v>0.13298387889396704</v>
      </c>
      <c r="AN76" s="11">
        <f t="shared" si="65"/>
        <v>0.83114924308729399</v>
      </c>
      <c r="AO76" s="11">
        <f t="shared" si="46"/>
        <v>-0.18494590568231542</v>
      </c>
      <c r="AP76" s="11" cm="1">
        <f t="array" ref="AP76:AP78">[20]Sugestão!$M$5:$M$7</f>
        <v>7.2012387274581896E-2</v>
      </c>
      <c r="AQ76" s="11">
        <f t="shared" si="66"/>
        <v>0.45007742046613686</v>
      </c>
      <c r="AR76" s="11">
        <f t="shared" si="47"/>
        <v>-0.79833566553559387</v>
      </c>
      <c r="AS76" s="11" cm="1">
        <f t="array" ref="AS76:AS78">'[20]fib Model Code 2020 modificado'!$L$5:$L$7</f>
        <v>8.752938551150434E-2</v>
      </c>
      <c r="AT76" s="11">
        <f t="shared" si="67"/>
        <v>0.54705865944690213</v>
      </c>
      <c r="AU76" s="11">
        <f t="shared" si="48"/>
        <v>-0.60319924383282109</v>
      </c>
      <c r="AZ76" t="b">
        <f t="shared" si="55"/>
        <v>0</v>
      </c>
      <c r="BB76" t="b">
        <f t="shared" si="56"/>
        <v>0</v>
      </c>
      <c r="BD76" t="b">
        <f t="shared" si="57"/>
        <v>0</v>
      </c>
    </row>
    <row r="77" spans="1:56">
      <c r="A77" s="88"/>
      <c r="B77" s="37">
        <f>'[20]Dados de entrada'!$B$28</f>
        <v>25</v>
      </c>
      <c r="C77" s="37">
        <f>'[20]Dados de entrada'!$B$31</f>
        <v>4</v>
      </c>
      <c r="D77" s="37">
        <f>'[20]Dados de entrada'!$B$32</f>
        <v>28.7</v>
      </c>
      <c r="E77" s="41">
        <f>'[20]Dados de entrada'!$B$27</f>
        <v>2.6933292113182881</v>
      </c>
      <c r="F77" s="37">
        <f>'[20]Dados de entrada'!$B$30</f>
        <v>82</v>
      </c>
      <c r="G77" s="37">
        <f>'[20]Dados de entrada'!$B$22</f>
        <v>94.5</v>
      </c>
      <c r="H77" s="42">
        <f>'[20]Dados de entrada'!$B$29/('[20]Dados de entrada'!$B$20*2*G77)</f>
        <v>2.9690098261526833E-2</v>
      </c>
      <c r="I77" s="25">
        <f>'[20]fib Model Code 2010'!$K$6</f>
        <v>122.34076582972288</v>
      </c>
      <c r="J77" s="4">
        <f>'[20]Dados de entrada'!$C$8</f>
        <v>0.27</v>
      </c>
      <c r="K77" s="11">
        <f>'[20]fib Model Code 2010'!$L$6</f>
        <v>0.11960450596181522</v>
      </c>
      <c r="L77" s="11">
        <f t="shared" si="59"/>
        <v>0.44297965171042675</v>
      </c>
      <c r="M77" s="11">
        <f t="shared" ref="M77:M140" si="69">LN(L77)</f>
        <v>-0.81423144292552485</v>
      </c>
      <c r="N77" s="11">
        <f>'[20]fib Model Code 2020'!$L$6</f>
        <v>0.12002064545763651</v>
      </c>
      <c r="O77" s="11">
        <f t="shared" si="50"/>
        <v>0.44452090910235742</v>
      </c>
      <c r="P77" s="11">
        <f t="shared" ref="P77:P140" si="70">LN(O77)</f>
        <v>-0.81075818553415091</v>
      </c>
      <c r="Q77" s="11">
        <f>'[20]Eurocode 2'!$L$6</f>
        <v>0.14530367170291708</v>
      </c>
      <c r="R77" s="11">
        <f t="shared" si="60"/>
        <v>0.53816174704784103</v>
      </c>
      <c r="S77" s="11">
        <f t="shared" ref="S77:S140" si="71">LN(R77)</f>
        <v>-0.61959611893468913</v>
      </c>
      <c r="T77" s="11">
        <f>'[20]NBR 6118'!$Q$6</f>
        <v>0.18091739423676312</v>
      </c>
      <c r="U77" s="11">
        <f>'[20]NBR 6118'!$R$6</f>
        <v>8.1665558272208852E-2</v>
      </c>
      <c r="V77" s="11">
        <f>'[20]NBR 6118'!$W$6</f>
        <v>0.30246503063781055</v>
      </c>
      <c r="W77" s="11">
        <f t="shared" ref="W77:W140" si="72">LN(V77)</f>
        <v>-1.1957896093908948</v>
      </c>
      <c r="X77" s="11">
        <f>'[20]Clark (1956)'!$L$6</f>
        <v>0.12972038637164129</v>
      </c>
      <c r="Y77" s="11">
        <f t="shared" si="61"/>
        <v>0.48044587545052331</v>
      </c>
      <c r="Z77" s="11">
        <f t="shared" ref="Z77:Z140" si="73">LN(Y77)</f>
        <v>-0.73304069905890379</v>
      </c>
      <c r="AA77" s="11">
        <f>'[20]Leonhardt (1977)'!$L$6</f>
        <v>0.11551729509434719</v>
      </c>
      <c r="AB77" s="11">
        <f t="shared" ref="AB77:AB85" si="74">AA77/J77</f>
        <v>0.42784183368276735</v>
      </c>
      <c r="AC77" s="11">
        <f t="shared" ref="AC77:AC85" si="75">LN(AB77)</f>
        <v>-0.84900169917000345</v>
      </c>
      <c r="AD77" s="11">
        <f>'[20]Desayi; Ganesan (1985)'!$L$6</f>
        <v>0.18533904628583389</v>
      </c>
      <c r="AE77" s="11">
        <f t="shared" si="62"/>
        <v>0.68644091216975511</v>
      </c>
      <c r="AF77" s="11">
        <f t="shared" ref="AF77:AF140" si="76">LN(AE77)</f>
        <v>-0.37623512860771502</v>
      </c>
      <c r="AG77" s="11">
        <f>'[20]Oh; Kang (1987)'!$L$6</f>
        <v>8.7861380667245123E-2</v>
      </c>
      <c r="AH77" s="11">
        <f t="shared" si="63"/>
        <v>0.32541252098979673</v>
      </c>
      <c r="AI77" s="11">
        <f t="shared" ref="AI77:AI140" si="77">LN(AH77)</f>
        <v>-1.1226616061735155</v>
      </c>
      <c r="AJ77" s="11">
        <f>'[20]Caldas (1997)'!$L$6</f>
        <v>0.14891108881475229</v>
      </c>
      <c r="AK77" s="11">
        <f t="shared" si="64"/>
        <v>0.55152255116574922</v>
      </c>
      <c r="AL77" s="11">
        <f t="shared" ref="AL77:AL140" si="78">LN(AK77)</f>
        <v>-0.59507255052485108</v>
      </c>
      <c r="AM77" s="11">
        <v>0.22163979815661172</v>
      </c>
      <c r="AN77" s="11">
        <f t="shared" si="65"/>
        <v>0.82088814132078414</v>
      </c>
      <c r="AO77" s="11">
        <f t="shared" ref="AO77:AO140" si="79">LN(AN77)</f>
        <v>-0.19736842568087262</v>
      </c>
      <c r="AP77" s="11">
        <v>0.12002064545763651</v>
      </c>
      <c r="AQ77" s="11">
        <f t="shared" si="66"/>
        <v>0.44452090910235742</v>
      </c>
      <c r="AR77" s="11">
        <f t="shared" ref="AR77:AR140" si="80">LN(AQ77)</f>
        <v>-0.81075818553415091</v>
      </c>
      <c r="AS77" s="11">
        <v>0.14795456285584677</v>
      </c>
      <c r="AT77" s="11">
        <f t="shared" si="67"/>
        <v>0.54797986242906205</v>
      </c>
      <c r="AU77" s="11">
        <f t="shared" ref="AU77:AU140" si="81">LN(AT77)</f>
        <v>-0.60151674010154599</v>
      </c>
      <c r="AZ77" t="b">
        <f t="shared" si="55"/>
        <v>0</v>
      </c>
      <c r="BB77" t="b">
        <f t="shared" si="56"/>
        <v>0</v>
      </c>
      <c r="BD77" t="b">
        <f t="shared" si="57"/>
        <v>0</v>
      </c>
    </row>
    <row r="78" spans="1:56">
      <c r="A78" s="89"/>
      <c r="B78" s="37">
        <f>'[20]Dados de entrada'!$B$28</f>
        <v>25</v>
      </c>
      <c r="C78" s="37">
        <f>'[20]Dados de entrada'!$B$31</f>
        <v>4</v>
      </c>
      <c r="D78" s="37">
        <f>'[20]Dados de entrada'!$B$32</f>
        <v>28.7</v>
      </c>
      <c r="E78" s="41">
        <f>'[20]Dados de entrada'!$B$27</f>
        <v>2.6933292113182881</v>
      </c>
      <c r="F78" s="37">
        <f>'[20]Dados de entrada'!$B$30</f>
        <v>82</v>
      </c>
      <c r="G78" s="37">
        <f>'[20]Dados de entrada'!$B$22</f>
        <v>94.5</v>
      </c>
      <c r="H78" s="42">
        <f>'[20]Dados de entrada'!$B$29/('[20]Dados de entrada'!$B$20*2*G78)</f>
        <v>2.9690098261526833E-2</v>
      </c>
      <c r="I78" s="25">
        <f>'[20]fib Model Code 2010'!$K$7</f>
        <v>244.68153165944577</v>
      </c>
      <c r="J78" s="4">
        <f>'[20]Dados de entrada'!$C$9</f>
        <v>0.59</v>
      </c>
      <c r="K78" s="11">
        <f>'[20]fib Model Code 2010'!$L$7</f>
        <v>0.30065170156782367</v>
      </c>
      <c r="L78" s="11">
        <f t="shared" si="59"/>
        <v>0.50957915519970121</v>
      </c>
      <c r="M78" s="11">
        <f t="shared" si="69"/>
        <v>-0.67417007979998955</v>
      </c>
      <c r="N78" s="11">
        <f>'[20]fib Model Code 2020'!$L$7</f>
        <v>0.41855958413210198</v>
      </c>
      <c r="O78" s="11">
        <f t="shared" si="50"/>
        <v>0.70942302395271528</v>
      </c>
      <c r="P78" s="11">
        <f t="shared" si="70"/>
        <v>-0.3433032816396609</v>
      </c>
      <c r="Q78" s="11">
        <f>'[20]Eurocode 2'!$L$7</f>
        <v>0.36525209305643985</v>
      </c>
      <c r="R78" s="11">
        <f t="shared" si="60"/>
        <v>0.61907134416345744</v>
      </c>
      <c r="S78" s="11">
        <f t="shared" si="71"/>
        <v>-0.47953475580915395</v>
      </c>
      <c r="T78" s="11">
        <f>'[20]NBR 6118'!$Q$7</f>
        <v>0.36183478847352624</v>
      </c>
      <c r="U78" s="11">
        <f>'[20]NBR 6118'!$R$7</f>
        <v>0.32666223308883541</v>
      </c>
      <c r="V78" s="11">
        <f>'[20]NBR 6118'!$W$7</f>
        <v>0.55366480184548372</v>
      </c>
      <c r="W78" s="11">
        <f t="shared" si="72"/>
        <v>-0.59119582617239452</v>
      </c>
      <c r="X78" s="11">
        <f>'[20]Clark (1956)'!$L$7</f>
        <v>0.29763448903466261</v>
      </c>
      <c r="Y78" s="11">
        <f t="shared" si="61"/>
        <v>0.50446523565197054</v>
      </c>
      <c r="Z78" s="11">
        <f t="shared" si="73"/>
        <v>-0.6842563500821589</v>
      </c>
      <c r="AA78" s="11">
        <f>'[20]Leonhardt (1977)'!$L$7</f>
        <v>0.46460103612345982</v>
      </c>
      <c r="AB78" s="11">
        <f t="shared" si="74"/>
        <v>0.78745938326010145</v>
      </c>
      <c r="AC78" s="11">
        <f t="shared" si="75"/>
        <v>-0.23894348642504804</v>
      </c>
      <c r="AD78" s="11">
        <f>'[20]Desayi; Ganesan (1985)'!$L$7</f>
        <v>0.37067809257166778</v>
      </c>
      <c r="AE78" s="11">
        <f t="shared" si="62"/>
        <v>0.62826795351130138</v>
      </c>
      <c r="AF78" s="11">
        <f t="shared" si="76"/>
        <v>-0.46478852594915993</v>
      </c>
      <c r="AG78" s="11">
        <f>'[20]Oh; Kang (1987)'!$L$7</f>
        <v>0.218404599319305</v>
      </c>
      <c r="AH78" s="11">
        <f t="shared" si="63"/>
        <v>0.37017728698187291</v>
      </c>
      <c r="AI78" s="11">
        <f t="shared" si="77"/>
        <v>-0.99377323409642904</v>
      </c>
      <c r="AJ78" s="11">
        <f>'[20]Caldas (1997)'!$L$7</f>
        <v>0.33143842403959017</v>
      </c>
      <c r="AK78" s="11">
        <f t="shared" si="64"/>
        <v>0.56176004074506813</v>
      </c>
      <c r="AL78" s="11">
        <f t="shared" si="78"/>
        <v>-0.57668049403092225</v>
      </c>
      <c r="AM78" s="11">
        <v>0.44327959631322345</v>
      </c>
      <c r="AN78" s="11">
        <f t="shared" si="65"/>
        <v>0.75132134968342956</v>
      </c>
      <c r="AO78" s="11">
        <f t="shared" si="79"/>
        <v>-0.28592182302231767</v>
      </c>
      <c r="AP78" s="11">
        <v>0.45337197684693187</v>
      </c>
      <c r="AQ78" s="11">
        <f t="shared" si="66"/>
        <v>0.7684270794015795</v>
      </c>
      <c r="AR78" s="11">
        <f t="shared" si="80"/>
        <v>-0.26340960742605629</v>
      </c>
      <c r="AS78" s="11">
        <v>0.4847886872785534</v>
      </c>
      <c r="AT78" s="11">
        <f t="shared" si="67"/>
        <v>0.82167574115009057</v>
      </c>
      <c r="AU78" s="11">
        <f t="shared" si="81"/>
        <v>-0.1964094372383873</v>
      </c>
      <c r="AZ78" t="b">
        <f t="shared" si="55"/>
        <v>0</v>
      </c>
      <c r="BB78" t="b">
        <f t="shared" si="56"/>
        <v>0</v>
      </c>
      <c r="BD78" t="b">
        <f t="shared" si="57"/>
        <v>0</v>
      </c>
    </row>
    <row r="79" spans="1:56" ht="13.2" customHeight="1">
      <c r="A79" s="104" t="s">
        <v>49</v>
      </c>
      <c r="B79" s="35">
        <f>'[21]Dados de entrada'!$B$28</f>
        <v>9.52</v>
      </c>
      <c r="C79" s="35">
        <f>'[21]Dados de entrada'!$B$31</f>
        <v>3</v>
      </c>
      <c r="D79" s="35">
        <f>'[21]Dados de entrada'!$B$32</f>
        <v>22.2</v>
      </c>
      <c r="E79" s="36">
        <f>'[21]Dados de entrada'!$B$27</f>
        <v>3.5641600019995088</v>
      </c>
      <c r="F79" s="35">
        <f>'[21]Dados de entrada'!$B$30</f>
        <v>20.64</v>
      </c>
      <c r="G79" s="35">
        <f>'[21]Dados de entrada'!$B$22</f>
        <v>25.4</v>
      </c>
      <c r="H79" s="34">
        <f>'[21]Dados de entrada'!$B$29/('[21]Dados de entrada'!$B$20*2*G79)</f>
        <v>3.666618444348E-2</v>
      </c>
      <c r="I79" s="27">
        <f>'[21]fib Model Code 2010'!$K$5</f>
        <v>295.47063165325955</v>
      </c>
      <c r="J79" s="19">
        <f>'[21]Dados de entrada'!$C$7</f>
        <v>0.15</v>
      </c>
      <c r="K79" s="20">
        <f>'[21]fib Model Code 2010'!$L$5</f>
        <v>0.13329381492770445</v>
      </c>
      <c r="L79" s="20">
        <f t="shared" si="59"/>
        <v>0.88862543285136308</v>
      </c>
      <c r="M79" s="20">
        <f t="shared" si="69"/>
        <v>-0.11807946763021653</v>
      </c>
      <c r="N79" s="20">
        <f>'[21]fib Model Code 2020'!$L$5</f>
        <v>0.12366214399887077</v>
      </c>
      <c r="O79" s="20">
        <f t="shared" si="50"/>
        <v>0.82441429332580518</v>
      </c>
      <c r="P79" s="28">
        <f t="shared" si="70"/>
        <v>-0.19308209226338424</v>
      </c>
      <c r="Q79" s="20">
        <f>'[21]Eurocode 2'!$L$5</f>
        <v>0.13033571952634693</v>
      </c>
      <c r="R79" s="20">
        <f t="shared" si="60"/>
        <v>0.86890479684231292</v>
      </c>
      <c r="S79" s="20">
        <f t="shared" si="71"/>
        <v>-0.14052171456030249</v>
      </c>
      <c r="T79" s="20">
        <f>'[21]NBR 6118'!$Q$5</f>
        <v>0.14133750002718667</v>
      </c>
      <c r="U79" s="20">
        <f>'[21]NBR 6118'!$R$5</f>
        <v>0.13684830482913171</v>
      </c>
      <c r="V79" s="20">
        <f>'[21]NBR 6118'!$W$5</f>
        <v>0.91232203219421149</v>
      </c>
      <c r="W79" s="20">
        <f t="shared" si="72"/>
        <v>-9.1762245758763614E-2</v>
      </c>
      <c r="X79" s="20">
        <f>'[21]Clark (1956)'!$L$5</f>
        <v>0.10572052130096984</v>
      </c>
      <c r="Y79" s="20">
        <f t="shared" si="61"/>
        <v>0.70480347533979903</v>
      </c>
      <c r="Z79" s="20">
        <f t="shared" si="73"/>
        <v>-0.34983627341347223</v>
      </c>
      <c r="AA79" s="20">
        <f>'[21]Leonhardt (1977)'!$L$5</f>
        <v>0.20816075063164449</v>
      </c>
      <c r="AB79" s="20">
        <f t="shared" si="74"/>
        <v>1.3877383375442967</v>
      </c>
      <c r="AC79" s="20">
        <f t="shared" si="75"/>
        <v>0.32767532669354998</v>
      </c>
      <c r="AD79" s="20">
        <f>'[21]Desayi; Ganesan (1985)'!$L$5</f>
        <v>0.141040005310795</v>
      </c>
      <c r="AE79" s="20">
        <f t="shared" si="62"/>
        <v>0.94026670207196672</v>
      </c>
      <c r="AF79" s="20">
        <f t="shared" si="76"/>
        <v>-6.1591718352110983E-2</v>
      </c>
      <c r="AG79" s="20">
        <f>'[21]Oh; Kang (1987)'!$L$5</f>
        <v>9.7608122271360079E-2</v>
      </c>
      <c r="AH79" s="20">
        <f t="shared" si="63"/>
        <v>0.65072081514240054</v>
      </c>
      <c r="AI79" s="20">
        <f t="shared" si="77"/>
        <v>-0.42967458414635706</v>
      </c>
      <c r="AJ79" s="20">
        <f>'[21]Caldas (1997)'!$L$5</f>
        <v>0.12185310734004789</v>
      </c>
      <c r="AK79" s="20">
        <f t="shared" si="64"/>
        <v>0.81235404893365271</v>
      </c>
      <c r="AL79" s="20">
        <f t="shared" si="78"/>
        <v>-0.20781901299567745</v>
      </c>
      <c r="AM79" s="20" cm="1">
        <f t="array" ref="AM79:AM80">'[21]Gergely e Lutz (1968)'!$L$5:$L$6</f>
        <v>0.1396639404957189</v>
      </c>
      <c r="AN79" s="20">
        <f t="shared" si="65"/>
        <v>0.93109293663812598</v>
      </c>
      <c r="AO79" s="20">
        <f t="shared" si="79"/>
        <v>-7.1396182156459334E-2</v>
      </c>
      <c r="AP79" s="20" cm="1">
        <f t="array" ref="AP79:AP80">[21]Sugestão!$M$5:$M$6</f>
        <v>0.14576285622789853</v>
      </c>
      <c r="AQ79" s="20">
        <f t="shared" si="66"/>
        <v>0.97175237485265686</v>
      </c>
      <c r="AR79" s="20">
        <f t="shared" si="80"/>
        <v>-2.8654265360167332E-2</v>
      </c>
      <c r="AS79" s="20" cm="1">
        <f t="array" ref="AS79:AS80">'[21]fib Model Code 2020 modificado'!$L$5:$L$6</f>
        <v>0.15911300985022608</v>
      </c>
      <c r="AT79" s="20">
        <f t="shared" si="67"/>
        <v>1.0607533990015072</v>
      </c>
      <c r="AU79" s="20">
        <f t="shared" si="81"/>
        <v>5.8979409433138535E-2</v>
      </c>
      <c r="AZ79" t="b">
        <f t="shared" si="55"/>
        <v>1</v>
      </c>
      <c r="BB79" t="b">
        <f t="shared" si="56"/>
        <v>0</v>
      </c>
      <c r="BD79" t="b">
        <f t="shared" si="57"/>
        <v>1</v>
      </c>
    </row>
    <row r="80" spans="1:56">
      <c r="A80" s="105"/>
      <c r="B80" s="35">
        <f>'[21]Dados de entrada'!$B$28</f>
        <v>9.52</v>
      </c>
      <c r="C80" s="35">
        <f>'[21]Dados de entrada'!$B$31</f>
        <v>3</v>
      </c>
      <c r="D80" s="35">
        <f>'[21]Dados de entrada'!$B$32</f>
        <v>22.2</v>
      </c>
      <c r="E80" s="36">
        <f>'[21]Dados de entrada'!$B$27</f>
        <v>3.5641600019995088</v>
      </c>
      <c r="F80" s="35">
        <f>'[21]Dados de entrada'!$B$30</f>
        <v>20.64</v>
      </c>
      <c r="G80" s="35">
        <f>'[21]Dados de entrada'!$B$22</f>
        <v>25.4</v>
      </c>
      <c r="H80" s="34">
        <f>'[21]Dados de entrada'!$B$29/('[21]Dados de entrada'!$B$20*2*G80)</f>
        <v>3.666618444348E-2</v>
      </c>
      <c r="I80" s="27">
        <f>'[21]fib Model Code 2010'!$K$6</f>
        <v>343.86668338956935</v>
      </c>
      <c r="J80" s="19">
        <f>'[21]Dados de entrada'!$C$8</f>
        <v>0.17</v>
      </c>
      <c r="K80" s="20">
        <f>'[21]fib Model Code 2010'!$L$6</f>
        <v>0.1630033372764875</v>
      </c>
      <c r="L80" s="20">
        <f t="shared" si="59"/>
        <v>0.95884316044992635</v>
      </c>
      <c r="M80" s="20">
        <f t="shared" si="69"/>
        <v>-4.2027762364210491E-2</v>
      </c>
      <c r="N80" s="20">
        <f>'[21]fib Model Code 2020'!$L$6</f>
        <v>0.1537022961834705</v>
      </c>
      <c r="O80" s="20">
        <f t="shared" si="50"/>
        <v>0.90413115402041466</v>
      </c>
      <c r="P80" s="28">
        <f t="shared" si="70"/>
        <v>-0.10078084723232916</v>
      </c>
      <c r="Q80" s="20">
        <f>'[21]Eurocode 2'!$L$6</f>
        <v>0.15938591944907343</v>
      </c>
      <c r="R80" s="20">
        <f t="shared" si="60"/>
        <v>0.93756423205337303</v>
      </c>
      <c r="S80" s="20">
        <f t="shared" si="71"/>
        <v>-6.447000929429654E-2</v>
      </c>
      <c r="T80" s="20">
        <f>'[21]NBR 6118'!$Q$6</f>
        <v>0.16448760779026034</v>
      </c>
      <c r="U80" s="20">
        <f>'[21]NBR 6118'!$R$6</f>
        <v>0.18534931298386784</v>
      </c>
      <c r="V80" s="20">
        <f>'[21]NBR 6118'!$W$6</f>
        <v>0.96757416347211955</v>
      </c>
      <c r="W80" s="20">
        <f t="shared" si="72"/>
        <v>-3.2963202264480761E-2</v>
      </c>
      <c r="X80" s="20">
        <f>'[21]Clark (1956)'!$L$6</f>
        <v>0.12620235173470354</v>
      </c>
      <c r="Y80" s="20">
        <f t="shared" si="61"/>
        <v>0.74236677491002079</v>
      </c>
      <c r="Z80" s="20">
        <f t="shared" si="73"/>
        <v>-0.29791185213497512</v>
      </c>
      <c r="AA80" s="20">
        <f>'[21]Leonhardt (1977)'!$L$6</f>
        <v>0.25338034839322776</v>
      </c>
      <c r="AB80" s="20">
        <f t="shared" si="74"/>
        <v>1.4904726376072219</v>
      </c>
      <c r="AC80" s="20">
        <f t="shared" si="75"/>
        <v>0.399093276105839</v>
      </c>
      <c r="AD80" s="20">
        <f>'[21]Desayi; Ganesan (1985)'!$L$6</f>
        <v>0.16414138549101145</v>
      </c>
      <c r="AE80" s="20">
        <f t="shared" si="62"/>
        <v>0.96553756171183203</v>
      </c>
      <c r="AF80" s="20">
        <f t="shared" si="76"/>
        <v>-3.5070273974052116E-2</v>
      </c>
      <c r="AG80" s="20">
        <f>'[21]Oh; Kang (1987)'!$L$6</f>
        <v>0.11609888852796953</v>
      </c>
      <c r="AH80" s="20">
        <f t="shared" si="63"/>
        <v>0.68293463839982071</v>
      </c>
      <c r="AI80" s="20">
        <f t="shared" si="77"/>
        <v>-0.38135612179474321</v>
      </c>
      <c r="AJ80" s="20">
        <f>'[21]Caldas (1997)'!$L$6</f>
        <v>0.14354614769334423</v>
      </c>
      <c r="AK80" s="20">
        <f t="shared" si="64"/>
        <v>0.84438910407849543</v>
      </c>
      <c r="AL80" s="20">
        <f t="shared" si="78"/>
        <v>-0.16914186683530957</v>
      </c>
      <c r="AM80" s="20">
        <v>0.16253993074932804</v>
      </c>
      <c r="AN80" s="20">
        <f t="shared" si="65"/>
        <v>0.95611723970192963</v>
      </c>
      <c r="AO80" s="20">
        <f t="shared" si="79"/>
        <v>-4.4874737778400474E-2</v>
      </c>
      <c r="AP80" s="20">
        <v>0.18594638321687937</v>
      </c>
      <c r="AQ80" s="20">
        <f t="shared" si="66"/>
        <v>1.0938022542169374</v>
      </c>
      <c r="AR80" s="20">
        <f t="shared" si="80"/>
        <v>8.9659932832541686E-2</v>
      </c>
      <c r="AS80" s="20">
        <v>0.19746391718770373</v>
      </c>
      <c r="AT80" s="20">
        <f t="shared" si="67"/>
        <v>1.1615524540453159</v>
      </c>
      <c r="AU80" s="20">
        <f t="shared" si="81"/>
        <v>0.14975743281586301</v>
      </c>
      <c r="AZ80" t="b">
        <f t="shared" si="55"/>
        <v>1</v>
      </c>
      <c r="BB80" t="b">
        <f t="shared" si="56"/>
        <v>0</v>
      </c>
      <c r="BD80" t="b">
        <f t="shared" si="57"/>
        <v>1</v>
      </c>
    </row>
    <row r="81" spans="1:56">
      <c r="A81" s="87" t="s">
        <v>50</v>
      </c>
      <c r="B81" s="38">
        <f>'[22]Dados de entrada'!$B$28</f>
        <v>12.7</v>
      </c>
      <c r="C81" s="38">
        <f>'[22]Dados de entrada'!$B$31</f>
        <v>3</v>
      </c>
      <c r="D81" s="38">
        <f>'[22]Dados de entrada'!$B$32</f>
        <v>19.05</v>
      </c>
      <c r="E81" s="39">
        <f>'[22]Dados de entrada'!$B$27</f>
        <v>3.9766081638229425</v>
      </c>
      <c r="F81" s="38">
        <f>'[22]Dados de entrada'!$B$30</f>
        <v>19.05</v>
      </c>
      <c r="G81" s="38">
        <f>'[22]Dados de entrada'!$B$22</f>
        <v>25.4</v>
      </c>
      <c r="H81" s="40">
        <f>'[22]Dados de entrada'!$B$29/('[22]Dados de entrada'!$B$20*2*G81)</f>
        <v>6.6667355556933344E-2</v>
      </c>
      <c r="I81" s="30">
        <f>'[22]fib Model Code 2010'!$K$5</f>
        <v>303.25602523129726</v>
      </c>
      <c r="J81" s="31">
        <f>'[22]Dados de entrada'!$C$7</f>
        <v>0.15</v>
      </c>
      <c r="K81" s="29">
        <f>'[22]fib Model Code 2010'!$L$5</f>
        <v>0.11767813019457772</v>
      </c>
      <c r="L81" s="29">
        <f t="shared" si="59"/>
        <v>0.78452086796385145</v>
      </c>
      <c r="M81" s="29">
        <f t="shared" si="69"/>
        <v>-0.24268210682650171</v>
      </c>
      <c r="N81" s="29">
        <f>'[22]fib Model Code 2020'!$L$5</f>
        <v>0.12257101888901509</v>
      </c>
      <c r="O81" s="29">
        <f t="shared" si="50"/>
        <v>0.81714012592676732</v>
      </c>
      <c r="P81" s="33">
        <f t="shared" si="70"/>
        <v>-0.20194468606650531</v>
      </c>
      <c r="Q81" s="29">
        <f>'[22]Eurocode 2'!$L$5</f>
        <v>0.12444951194564861</v>
      </c>
      <c r="R81" s="29">
        <f t="shared" si="60"/>
        <v>0.82966341297099078</v>
      </c>
      <c r="S81" s="29">
        <f t="shared" si="71"/>
        <v>-0.18673518698059274</v>
      </c>
      <c r="T81" s="29">
        <f>'[22]NBR 6118'!$Q$5</f>
        <v>0.14698610892576175</v>
      </c>
      <c r="U81" s="29">
        <f>'[22]NBR 6118'!$R$5</f>
        <v>0.17649154312756957</v>
      </c>
      <c r="V81" s="29">
        <f>'[22]NBR 6118'!$W$5</f>
        <v>0.97990739283841166</v>
      </c>
      <c r="W81" s="29">
        <f t="shared" si="72"/>
        <v>-2.0297208886313617E-2</v>
      </c>
      <c r="X81" s="29">
        <f>'[22]Clark (1956)'!$L$5</f>
        <v>8.5929874012790203E-2</v>
      </c>
      <c r="Y81" s="29">
        <f t="shared" si="61"/>
        <v>0.57286582675193476</v>
      </c>
      <c r="Z81" s="29">
        <f t="shared" si="73"/>
        <v>-0.55710374893314141</v>
      </c>
      <c r="AA81" s="29">
        <f>'[22]Leonhardt (1977)'!$L$5</f>
        <v>0.22278344779495962</v>
      </c>
      <c r="AB81" s="29">
        <f t="shared" si="74"/>
        <v>1.485222985299731</v>
      </c>
      <c r="AC81" s="29">
        <f t="shared" si="75"/>
        <v>0.39556491943300848</v>
      </c>
      <c r="AD81" s="29">
        <f>'[22]Desayi; Ganesan (1985)'!$L$5</f>
        <v>0.14363438998836361</v>
      </c>
      <c r="AE81" s="29">
        <f t="shared" si="62"/>
        <v>0.9575625999224241</v>
      </c>
      <c r="AF81" s="29">
        <f t="shared" si="76"/>
        <v>-4.3364181555358469E-2</v>
      </c>
      <c r="AG81" s="29">
        <f>'[22]Oh; Kang (1987)'!$L$5</f>
        <v>0.1096602547768438</v>
      </c>
      <c r="AH81" s="29">
        <f t="shared" si="63"/>
        <v>0.73106836517895868</v>
      </c>
      <c r="AI81" s="29">
        <f t="shared" si="77"/>
        <v>-0.31324830078871158</v>
      </c>
      <c r="AJ81" s="29">
        <f>'[22]Caldas (1997)'!$L$5</f>
        <v>0.12691535141382154</v>
      </c>
      <c r="AK81" s="29">
        <f t="shared" si="64"/>
        <v>0.84610234275881036</v>
      </c>
      <c r="AL81" s="29">
        <f t="shared" si="78"/>
        <v>-0.16711495416435537</v>
      </c>
      <c r="AM81" s="29" cm="1">
        <f t="array" ref="AM81:AM83">'[22]Gergely e Lutz (1968)'!$L$5:$L$7</f>
        <v>0.14556964857609481</v>
      </c>
      <c r="AN81" s="11">
        <f t="shared" si="65"/>
        <v>0.97046432384063208</v>
      </c>
      <c r="AO81" s="11">
        <f t="shared" si="79"/>
        <v>-2.9980637645738203E-2</v>
      </c>
      <c r="AP81" s="11" cm="1">
        <f t="array" ref="AP81:AP83">[22]Sugestão!$M$5:$M$7</f>
        <v>0.13878769380193201</v>
      </c>
      <c r="AQ81" s="11">
        <f t="shared" si="66"/>
        <v>0.92525129201288014</v>
      </c>
      <c r="AR81" s="11">
        <f t="shared" si="80"/>
        <v>-7.7689911323569005E-2</v>
      </c>
      <c r="AS81" s="11" cm="1">
        <f t="array" ref="AS81:AS83">'[22]fib Model Code 2020 modificado'!$L$5:$L$7</f>
        <v>0.1798635205970209</v>
      </c>
      <c r="AT81" s="11">
        <f t="shared" si="67"/>
        <v>1.1990901373134728</v>
      </c>
      <c r="AU81" s="11">
        <f t="shared" si="81"/>
        <v>0.18156305029517936</v>
      </c>
      <c r="AZ81" t="b">
        <f t="shared" si="55"/>
        <v>1</v>
      </c>
      <c r="BB81" t="b">
        <f t="shared" si="56"/>
        <v>0</v>
      </c>
      <c r="BD81" t="b">
        <f t="shared" si="57"/>
        <v>1</v>
      </c>
    </row>
    <row r="82" spans="1:56">
      <c r="A82" s="88"/>
      <c r="B82" s="38">
        <f>'[22]Dados de entrada'!$B$28</f>
        <v>12.7</v>
      </c>
      <c r="C82" s="38">
        <f>'[22]Dados de entrada'!$B$31</f>
        <v>3</v>
      </c>
      <c r="D82" s="38">
        <f>'[22]Dados de entrada'!$B$32</f>
        <v>19.05</v>
      </c>
      <c r="E82" s="39">
        <f>'[22]Dados de entrada'!$B$27</f>
        <v>3.9766081638229425</v>
      </c>
      <c r="F82" s="38">
        <f>'[22]Dados de entrada'!$B$30</f>
        <v>19.05</v>
      </c>
      <c r="G82" s="38">
        <f>'[22]Dados de entrada'!$B$22</f>
        <v>25.4</v>
      </c>
      <c r="H82" s="40">
        <f>'[22]Dados de entrada'!$B$29/('[22]Dados de entrada'!$B$20*2*G82)</f>
        <v>6.6667355556933344E-2</v>
      </c>
      <c r="I82" s="30">
        <f>'[22]fib Model Code 2010'!$K$6</f>
        <v>347.81022799039772</v>
      </c>
      <c r="J82" s="31">
        <f>'[22]Dados de entrada'!$C$8</f>
        <v>0.17</v>
      </c>
      <c r="K82" s="29">
        <f>'[22]fib Model Code 2010'!$L$6</f>
        <v>0.13840455251524975</v>
      </c>
      <c r="L82" s="29">
        <f t="shared" si="59"/>
        <v>0.81414442656029251</v>
      </c>
      <c r="M82" s="29">
        <f t="shared" si="69"/>
        <v>-0.20561750051137187</v>
      </c>
      <c r="N82" s="29">
        <f>'[22]fib Model Code 2020'!$L$6</f>
        <v>0.1465765794133671</v>
      </c>
      <c r="O82" s="29">
        <f t="shared" si="50"/>
        <v>0.86221517301980644</v>
      </c>
      <c r="P82" s="33">
        <f t="shared" si="70"/>
        <v>-0.14825041879587109</v>
      </c>
      <c r="Q82" s="29">
        <f>'[22]Eurocode 2'!$L$6</f>
        <v>0.14636856468656209</v>
      </c>
      <c r="R82" s="29">
        <f t="shared" si="60"/>
        <v>0.86099155697977692</v>
      </c>
      <c r="S82" s="29">
        <f t="shared" si="71"/>
        <v>-0.14967058066546288</v>
      </c>
      <c r="T82" s="29">
        <f>'[22]NBR 6118'!$Q$6</f>
        <v>0.16858122445513909</v>
      </c>
      <c r="U82" s="29">
        <f>'[22]NBR 6118'!$R$6</f>
        <v>0.23216124372145697</v>
      </c>
      <c r="V82" s="29">
        <f>'[22]NBR 6118'!$W$6</f>
        <v>0.99165426150081815</v>
      </c>
      <c r="W82" s="29">
        <f t="shared" si="72"/>
        <v>-8.3807591596996266E-3</v>
      </c>
      <c r="X82" s="29">
        <f>'[22]Clark (1956)'!$L$6</f>
        <v>9.9764479324658137E-2</v>
      </c>
      <c r="Y82" s="29">
        <f t="shared" si="61"/>
        <v>0.58684987838034197</v>
      </c>
      <c r="Z82" s="29">
        <f t="shared" si="73"/>
        <v>-0.53298623567749792</v>
      </c>
      <c r="AA82" s="29">
        <f>'[22]Leonhardt (1977)'!$L$6</f>
        <v>0.26112007113741192</v>
      </c>
      <c r="AB82" s="29">
        <f t="shared" si="74"/>
        <v>1.5360004184553642</v>
      </c>
      <c r="AC82" s="29">
        <f t="shared" si="75"/>
        <v>0.42918190715732102</v>
      </c>
      <c r="AD82" s="29">
        <f>'[22]Desayi; Ganesan (1985)'!$L$6</f>
        <v>0.16473707287764924</v>
      </c>
      <c r="AE82" s="29">
        <f t="shared" si="62"/>
        <v>0.96904160516264248</v>
      </c>
      <c r="AF82" s="29">
        <f t="shared" si="76"/>
        <v>-3.1447731828744829E-2</v>
      </c>
      <c r="AG82" s="29">
        <f>'[22]Oh; Kang (1987)'!$L$6</f>
        <v>0.12821946998055819</v>
      </c>
      <c r="AH82" s="29">
        <f t="shared" si="63"/>
        <v>0.75423217635622464</v>
      </c>
      <c r="AI82" s="29">
        <f t="shared" si="77"/>
        <v>-0.28205503217183431</v>
      </c>
      <c r="AJ82" s="29">
        <f>'[22]Caldas (1997)'!$L$6</f>
        <v>0.14694396331799323</v>
      </c>
      <c r="AK82" s="29">
        <f t="shared" si="64"/>
        <v>0.86437625481172475</v>
      </c>
      <c r="AL82" s="29">
        <f t="shared" si="78"/>
        <v>-0.14574712486586036</v>
      </c>
      <c r="AM82" s="29">
        <v>0.16695665855646888</v>
      </c>
      <c r="AN82" s="11">
        <f t="shared" si="65"/>
        <v>0.98209799150864041</v>
      </c>
      <c r="AO82" s="11">
        <f t="shared" si="79"/>
        <v>-1.8064187919124685E-2</v>
      </c>
      <c r="AP82" s="11">
        <v>0.16917412974027912</v>
      </c>
      <c r="AQ82" s="11">
        <f t="shared" si="66"/>
        <v>0.99514193964870068</v>
      </c>
      <c r="AR82" s="11">
        <f t="shared" si="80"/>
        <v>-4.869899084236547E-3</v>
      </c>
      <c r="AS82" s="11">
        <v>0.21633572234418399</v>
      </c>
      <c r="AT82" s="11">
        <f t="shared" si="67"/>
        <v>1.272563072612847</v>
      </c>
      <c r="AU82" s="11">
        <f t="shared" si="81"/>
        <v>0.2410330341181974</v>
      </c>
      <c r="AZ82" t="b">
        <f t="shared" si="55"/>
        <v>1</v>
      </c>
      <c r="BB82" t="b">
        <f t="shared" si="56"/>
        <v>0</v>
      </c>
      <c r="BD82" t="b">
        <f t="shared" si="57"/>
        <v>1</v>
      </c>
    </row>
    <row r="83" spans="1:56">
      <c r="A83" s="89"/>
      <c r="B83" s="38">
        <f>'[22]Dados de entrada'!$B$28</f>
        <v>12.7</v>
      </c>
      <c r="C83" s="38">
        <f>'[22]Dados de entrada'!$B$31</f>
        <v>3</v>
      </c>
      <c r="D83" s="38">
        <f>'[22]Dados de entrada'!$B$32</f>
        <v>19.05</v>
      </c>
      <c r="E83" s="39">
        <f>'[22]Dados de entrada'!$B$27</f>
        <v>3.9766081638229425</v>
      </c>
      <c r="F83" s="38">
        <f>'[22]Dados de entrada'!$B$30</f>
        <v>19.05</v>
      </c>
      <c r="G83" s="38">
        <f>'[22]Dados de entrada'!$B$22</f>
        <v>25.4</v>
      </c>
      <c r="H83" s="40">
        <f>'[22]Dados de entrada'!$B$29/('[22]Dados de entrada'!$B$20*2*G83)</f>
        <v>6.6667355556933344E-2</v>
      </c>
      <c r="I83" s="30">
        <f>'[22]fib Model Code 2010'!$K$7</f>
        <v>411.04845126137917</v>
      </c>
      <c r="J83" s="31">
        <f>'[22]Dados de entrada'!$C$9</f>
        <v>0.2</v>
      </c>
      <c r="K83" s="29">
        <f>'[22]fib Model Code 2010'!$L$7</f>
        <v>0.16782270032523594</v>
      </c>
      <c r="L83" s="29">
        <f t="shared" si="59"/>
        <v>0.8391135016261797</v>
      </c>
      <c r="M83" s="29">
        <f t="shared" si="69"/>
        <v>-0.17540929963113275</v>
      </c>
      <c r="N83" s="29">
        <f>'[22]fib Model Code 2020'!$L$7</f>
        <v>0.18064898789954423</v>
      </c>
      <c r="O83" s="29">
        <f t="shared" si="50"/>
        <v>0.90324493949772111</v>
      </c>
      <c r="P83" s="33">
        <f t="shared" si="70"/>
        <v>-0.10176151151896513</v>
      </c>
      <c r="Q83" s="29">
        <f>'[22]Eurocode 2'!$L$7</f>
        <v>0.17747947825431035</v>
      </c>
      <c r="R83" s="29">
        <f t="shared" si="60"/>
        <v>0.88739739127155171</v>
      </c>
      <c r="S83" s="29">
        <f t="shared" si="71"/>
        <v>-0.11946237978522381</v>
      </c>
      <c r="T83" s="29">
        <f>'[22]NBR 6118'!$Q$7</f>
        <v>0.19817501382220473</v>
      </c>
      <c r="U83" s="29">
        <f>'[22]NBR 6118'!$R$7</f>
        <v>0.32082566870426454</v>
      </c>
      <c r="V83" s="29">
        <f>'[22]NBR 6118'!$W$7</f>
        <v>0.99087506911102363</v>
      </c>
      <c r="W83" s="29">
        <f t="shared" si="72"/>
        <v>-9.1668180773502601E-3</v>
      </c>
      <c r="X83" s="29">
        <f>'[22]Clark (1956)'!$L$7</f>
        <v>0.11940069331569654</v>
      </c>
      <c r="Y83" s="29">
        <f t="shared" si="61"/>
        <v>0.59700346657848269</v>
      </c>
      <c r="Z83" s="29">
        <f t="shared" si="73"/>
        <v>-0.51583235894226842</v>
      </c>
      <c r="AA83" s="29">
        <f>'[22]Leonhardt (1977)'!$L$7</f>
        <v>0.31456154155224142</v>
      </c>
      <c r="AB83" s="29">
        <f t="shared" si="74"/>
        <v>1.572807707761207</v>
      </c>
      <c r="AC83" s="29">
        <f t="shared" si="75"/>
        <v>0.45286237106076538</v>
      </c>
      <c r="AD83" s="29">
        <f>'[22]Desayi; Ganesan (1985)'!$L$7</f>
        <v>0.19468926794631275</v>
      </c>
      <c r="AE83" s="29">
        <f t="shared" si="62"/>
        <v>0.97344633973156369</v>
      </c>
      <c r="AF83" s="29">
        <f t="shared" si="76"/>
        <v>-2.6912576663353442E-2</v>
      </c>
      <c r="AG83" s="29">
        <f>'[22]Oh; Kang (1987)'!$L$7</f>
        <v>0.15456158188260449</v>
      </c>
      <c r="AH83" s="29">
        <f t="shared" si="63"/>
        <v>0.77280790941302246</v>
      </c>
      <c r="AI83" s="29">
        <f t="shared" si="77"/>
        <v>-0.25772476138850359</v>
      </c>
      <c r="AJ83" s="29">
        <f>'[22]Caldas (1997)'!$L$7</f>
        <v>0.17537167053681754</v>
      </c>
      <c r="AK83" s="29">
        <f t="shared" si="64"/>
        <v>0.87685835268408763</v>
      </c>
      <c r="AL83" s="29">
        <f t="shared" si="78"/>
        <v>-0.13140981312776381</v>
      </c>
      <c r="AM83" s="29">
        <v>0.19731241465764507</v>
      </c>
      <c r="AN83" s="11">
        <f t="shared" si="65"/>
        <v>0.98656207328822532</v>
      </c>
      <c r="AO83" s="11">
        <f t="shared" si="79"/>
        <v>-1.3529032753733227E-2</v>
      </c>
      <c r="AP83" s="11">
        <v>0.2123032646205138</v>
      </c>
      <c r="AQ83" s="11">
        <f t="shared" si="66"/>
        <v>1.0615163231025688</v>
      </c>
      <c r="AR83" s="11">
        <f t="shared" si="80"/>
        <v>5.9698379435847999E-2</v>
      </c>
      <c r="AS83" s="11">
        <v>0.26988391754629426</v>
      </c>
      <c r="AT83" s="11">
        <f t="shared" si="67"/>
        <v>1.3494195877314712</v>
      </c>
      <c r="AU83" s="11">
        <f t="shared" si="81"/>
        <v>0.29967456498805617</v>
      </c>
      <c r="AZ83" t="b">
        <f t="shared" si="55"/>
        <v>1</v>
      </c>
      <c r="BB83" t="b">
        <f t="shared" si="56"/>
        <v>0</v>
      </c>
      <c r="BD83" t="b">
        <f t="shared" si="57"/>
        <v>1</v>
      </c>
    </row>
    <row r="84" spans="1:56">
      <c r="A84" s="104" t="s">
        <v>51</v>
      </c>
      <c r="B84" s="35">
        <f>'[23]Dados de entrada'!$B$28</f>
        <v>15.9</v>
      </c>
      <c r="C84" s="35">
        <f>'[23]Dados de entrada'!$B$31</f>
        <v>3</v>
      </c>
      <c r="D84" s="35">
        <f>'[23]Dados de entrada'!$B$32</f>
        <v>15.9</v>
      </c>
      <c r="E84" s="36">
        <f>'[23]Dados de entrada'!$B$27</f>
        <v>3.9766081638229425</v>
      </c>
      <c r="F84" s="35">
        <f>'[23]Dados de entrada'!$B$30</f>
        <v>17.46</v>
      </c>
      <c r="G84" s="35">
        <f>'[23]Dados de entrada'!$B$22</f>
        <v>25.4</v>
      </c>
      <c r="H84" s="34">
        <f>'[23]Dados de entrada'!$B$29/('[23]Dados de entrada'!$B$20*2*G84)</f>
        <v>0.10333354000041334</v>
      </c>
      <c r="I84" s="27">
        <f>'[23]fib Model Code 2010'!$K$5</f>
        <v>289.73492291565424</v>
      </c>
      <c r="J84" s="19">
        <f>'[23]Dados de entrada'!$C$7</f>
        <v>0.16</v>
      </c>
      <c r="K84" s="20">
        <f>'[23]fib Model Code 2010'!$L$5</f>
        <v>9.633661918313291E-2</v>
      </c>
      <c r="L84" s="20">
        <f t="shared" si="59"/>
        <v>0.60210386989458065</v>
      </c>
      <c r="M84" s="54">
        <f t="shared" si="69"/>
        <v>-0.50732530720373925</v>
      </c>
      <c r="N84" s="20">
        <f>'[23]fib Model Code 2020'!$L$5</f>
        <v>0.11125206827518069</v>
      </c>
      <c r="O84" s="20">
        <f t="shared" si="50"/>
        <v>0.69532542671987929</v>
      </c>
      <c r="P84" s="28">
        <f t="shared" si="70"/>
        <v>-0.36337530312271304</v>
      </c>
      <c r="Q84" s="20">
        <f>'[23]Eurocode 2'!$L$5</f>
        <v>0.10731930169564004</v>
      </c>
      <c r="R84" s="20">
        <f t="shared" si="60"/>
        <v>0.67074563559775024</v>
      </c>
      <c r="S84" s="20">
        <f t="shared" si="71"/>
        <v>-0.39936529644710628</v>
      </c>
      <c r="T84" s="20">
        <f>'[23]NBR 6118'!$Q$5</f>
        <v>0.14464187891341146</v>
      </c>
      <c r="U84" s="20">
        <f>'[23]NBR 6118'!$R$5</f>
        <v>0.20413587615404677</v>
      </c>
      <c r="V84" s="20">
        <f>'[23]NBR 6118'!$W$5</f>
        <v>0.90401174320882161</v>
      </c>
      <c r="W84" s="20">
        <f t="shared" si="72"/>
        <v>-0.10091292839908832</v>
      </c>
      <c r="X84" s="20">
        <f>'[23]Clark (1956)'!$L$5</f>
        <v>6.8099250668552158E-2</v>
      </c>
      <c r="Y84" s="20">
        <f t="shared" si="61"/>
        <v>0.42562031667845096</v>
      </c>
      <c r="Z84" s="20">
        <f t="shared" si="73"/>
        <v>-0.85420760553754482</v>
      </c>
      <c r="AA84" s="20">
        <f>'[23]Leonhardt (1977)'!$L$5</f>
        <v>0.21246038370039774</v>
      </c>
      <c r="AB84" s="20">
        <f t="shared" si="74"/>
        <v>1.3278773981274858</v>
      </c>
      <c r="AC84" s="20">
        <f t="shared" si="75"/>
        <v>0.28358172610529103</v>
      </c>
      <c r="AD84" s="20">
        <f>'[23]Desayi; Ganesan (1985)'!$L$5</f>
        <v>0.13793919159603718</v>
      </c>
      <c r="AE84" s="20">
        <f t="shared" si="62"/>
        <v>0.86211994747523235</v>
      </c>
      <c r="AF84" s="20">
        <f t="shared" si="76"/>
        <v>-0.14836086779564969</v>
      </c>
      <c r="AG84" s="20">
        <f>'[23]Oh; Kang (1987)'!$L$5</f>
        <v>0.11256531755015997</v>
      </c>
      <c r="AH84" s="20">
        <f t="shared" si="63"/>
        <v>0.70353323468849982</v>
      </c>
      <c r="AI84" s="20">
        <f t="shared" si="77"/>
        <v>-0.35164016162671341</v>
      </c>
      <c r="AJ84" s="20">
        <f>'[23]Caldas (1997)'!$L$5</f>
        <v>0.12149822076563109</v>
      </c>
      <c r="AK84" s="20">
        <f t="shared" si="64"/>
        <v>0.75936387978519426</v>
      </c>
      <c r="AL84" s="20">
        <f t="shared" si="78"/>
        <v>-0.27527419646471774</v>
      </c>
      <c r="AM84" s="20" cm="1">
        <f t="array" ref="AM84:AM85">'[23]Gergely e Lutz (1968)'!$L$5:$L$6</f>
        <v>0.14147730104921094</v>
      </c>
      <c r="AN84" s="20">
        <f t="shared" si="65"/>
        <v>0.88423313155756833</v>
      </c>
      <c r="AO84" s="20">
        <f t="shared" si="79"/>
        <v>-0.12303452763200602</v>
      </c>
      <c r="AP84" s="20" cm="1">
        <f t="array" ref="AP84:AP85">[23]Sugestão!$M$5:$M$6</f>
        <v>0.12007419362751766</v>
      </c>
      <c r="AQ84" s="20">
        <f t="shared" si="66"/>
        <v>0.75046371017198532</v>
      </c>
      <c r="AR84" s="20">
        <f t="shared" si="80"/>
        <v>-0.28706398327894123</v>
      </c>
      <c r="AS84" s="20" cm="1">
        <f t="array" ref="AS84:AS85">[23]Sugestão!$M$5:$M$6</f>
        <v>0.12007419362751766</v>
      </c>
      <c r="AT84" s="20">
        <f t="shared" si="67"/>
        <v>0.75046371017198532</v>
      </c>
      <c r="AU84" s="20">
        <f t="shared" si="81"/>
        <v>-0.28706398327894123</v>
      </c>
      <c r="AZ84" t="b">
        <f t="shared" si="55"/>
        <v>0</v>
      </c>
      <c r="BB84" t="b">
        <f t="shared" si="56"/>
        <v>1</v>
      </c>
      <c r="BD84" t="b">
        <f t="shared" si="57"/>
        <v>1</v>
      </c>
    </row>
    <row r="85" spans="1:56">
      <c r="A85" s="105"/>
      <c r="B85" s="35">
        <f>'[23]Dados de entrada'!$B$28</f>
        <v>15.9</v>
      </c>
      <c r="C85" s="35">
        <f>'[23]Dados de entrada'!$B$31</f>
        <v>3</v>
      </c>
      <c r="D85" s="35">
        <f>'[23]Dados de entrada'!$B$32</f>
        <v>15.9</v>
      </c>
      <c r="E85" s="36">
        <f>'[23]Dados de entrada'!$B$27</f>
        <v>3.9766081638229425</v>
      </c>
      <c r="F85" s="35">
        <f>'[23]Dados de entrada'!$B$30</f>
        <v>17.46</v>
      </c>
      <c r="G85" s="35">
        <f>'[23]Dados de entrada'!$B$22</f>
        <v>25.4</v>
      </c>
      <c r="H85" s="34">
        <f>'[23]Dados de entrada'!$B$29/('[23]Dados de entrada'!$B$20*2*G85)</f>
        <v>0.10333354000041334</v>
      </c>
      <c r="I85" s="27">
        <f>'[23]fib Model Code 2010'!$K$6</f>
        <v>379.98022677462848</v>
      </c>
      <c r="J85" s="19">
        <f>'[23]Dados de entrada'!$C$8</f>
        <v>0.21</v>
      </c>
      <c r="K85" s="20">
        <f>'[23]fib Model Code 2010'!$L$6</f>
        <v>0.13048666289426775</v>
      </c>
      <c r="L85" s="20">
        <f t="shared" si="59"/>
        <v>0.62136506140127501</v>
      </c>
      <c r="M85" s="54">
        <f t="shared" si="69"/>
        <v>-0.47583650922142617</v>
      </c>
      <c r="N85" s="20">
        <f>'[23]fib Model Code 2020'!$L$6</f>
        <v>0.1537594628733715</v>
      </c>
      <c r="O85" s="20">
        <f t="shared" si="50"/>
        <v>0.73218791844462616</v>
      </c>
      <c r="P85" s="28">
        <f t="shared" si="70"/>
        <v>-0.31171807878090957</v>
      </c>
      <c r="Q85" s="20">
        <f>'[23]Eurocode 2'!$L$6</f>
        <v>0.14536255954536384</v>
      </c>
      <c r="R85" s="20">
        <f t="shared" si="60"/>
        <v>0.69220266450173262</v>
      </c>
      <c r="S85" s="20">
        <f t="shared" si="71"/>
        <v>-0.36787649846479326</v>
      </c>
      <c r="T85" s="20">
        <f>'[23]NBR 6118'!$Q$6</f>
        <v>0.18969426742742493</v>
      </c>
      <c r="U85" s="20">
        <f>'[23]NBR 6118'!$R$6</f>
        <v>0.35110712372639064</v>
      </c>
      <c r="V85" s="20">
        <f>'[23]NBR 6118'!$W$6</f>
        <v>0.90330603536869014</v>
      </c>
      <c r="W85" s="20">
        <f t="shared" si="72"/>
        <v>-0.10169387338215935</v>
      </c>
      <c r="X85" s="20">
        <f>'[23]Clark (1956)'!$L$6</f>
        <v>9.0733600949242044E-2</v>
      </c>
      <c r="Y85" s="20">
        <f t="shared" si="61"/>
        <v>0.43206476642496211</v>
      </c>
      <c r="Z85" s="20">
        <f t="shared" si="73"/>
        <v>-0.83917977969524371</v>
      </c>
      <c r="AA85" s="20">
        <f>'[23]Leonhardt (1977)'!$L$6</f>
        <v>0.28578159863879343</v>
      </c>
      <c r="AB85" s="20">
        <f t="shared" si="74"/>
        <v>1.3608647554228259</v>
      </c>
      <c r="AC85" s="20">
        <f t="shared" si="75"/>
        <v>0.30812034725687804</v>
      </c>
      <c r="AD85" s="20">
        <f>'[23]Desayi; Ganesan (1985)'!$L$6</f>
        <v>0.18090385783086843</v>
      </c>
      <c r="AE85" s="20">
        <f t="shared" si="62"/>
        <v>0.86144694205175443</v>
      </c>
      <c r="AF85" s="20">
        <f t="shared" si="76"/>
        <v>-0.14914181277872107</v>
      </c>
      <c r="AG85" s="20">
        <f>'[23]Oh; Kang (1987)'!$L$6</f>
        <v>0.15324241295874669</v>
      </c>
      <c r="AH85" s="20">
        <f t="shared" si="63"/>
        <v>0.72972577599403188</v>
      </c>
      <c r="AI85" s="20">
        <f t="shared" si="77"/>
        <v>-0.31508646473682583</v>
      </c>
      <c r="AJ85" s="20">
        <f>'[23]Caldas (1997)'!$L$6</f>
        <v>0.16214997104322221</v>
      </c>
      <c r="AK85" s="20">
        <f t="shared" si="64"/>
        <v>0.77214271925343914</v>
      </c>
      <c r="AL85" s="20">
        <f t="shared" si="78"/>
        <v>-0.2585858765443475</v>
      </c>
      <c r="AM85" s="20">
        <v>0.18554400137601432</v>
      </c>
      <c r="AN85" s="20">
        <f t="shared" si="65"/>
        <v>0.88354286369530632</v>
      </c>
      <c r="AO85" s="20">
        <f t="shared" si="79"/>
        <v>-0.12381547261507747</v>
      </c>
      <c r="AP85" s="20">
        <v>0.17056620402683209</v>
      </c>
      <c r="AQ85" s="20">
        <f t="shared" si="66"/>
        <v>0.81222001917539099</v>
      </c>
      <c r="AR85" s="20">
        <f t="shared" si="80"/>
        <v>-0.20798401594777038</v>
      </c>
      <c r="AS85" s="20">
        <v>0.17056620402683209</v>
      </c>
      <c r="AT85" s="20">
        <f t="shared" si="67"/>
        <v>0.81222001917539099</v>
      </c>
      <c r="AU85" s="20">
        <f t="shared" si="81"/>
        <v>-0.20798401594777038</v>
      </c>
      <c r="AZ85" t="b">
        <f t="shared" si="55"/>
        <v>0</v>
      </c>
      <c r="BB85" t="b">
        <f t="shared" si="56"/>
        <v>1</v>
      </c>
      <c r="BD85" t="b">
        <f t="shared" si="57"/>
        <v>1</v>
      </c>
    </row>
    <row r="86" spans="1:56">
      <c r="A86" s="87" t="s">
        <v>58</v>
      </c>
      <c r="B86" s="5">
        <f>'[24]Dados de entrada'!$B$28</f>
        <v>16</v>
      </c>
      <c r="C86" s="5">
        <f>'[24]Dados de entrada'!$B$31</f>
        <v>2</v>
      </c>
      <c r="D86" s="5">
        <f>'[24]Dados de entrada'!$B$32</f>
        <v>138</v>
      </c>
      <c r="E86" s="11">
        <f>'[24]Dados de entrada'!$B$27</f>
        <v>3.2689999999999997</v>
      </c>
      <c r="F86" s="5">
        <f>'[24]Dados de entrada'!$B$30</f>
        <v>40</v>
      </c>
      <c r="G86" s="12">
        <f>'[24]Dados de entrada'!$B$22</f>
        <v>48</v>
      </c>
      <c r="H86" s="52">
        <f>'[24]Dados de entrada'!$B$29/(2*'[24]Dados de entrada'!$B$20*G86)</f>
        <v>1.6666666666666666E-2</v>
      </c>
      <c r="I86" s="53">
        <f>'[24]fib Model Code 2010'!$K$5</f>
        <v>185.27396447016579</v>
      </c>
      <c r="J86" s="4">
        <f>'[24]Dados de entrada'!$C$7</f>
        <v>0.15</v>
      </c>
      <c r="K86" s="11">
        <f>'[24]fib Model Code 2010'!$L$5</f>
        <v>9.7763317902372596E-2</v>
      </c>
      <c r="L86" s="11">
        <f t="shared" si="59"/>
        <v>0.65175545268248403</v>
      </c>
      <c r="M86" s="29">
        <f t="shared" si="69"/>
        <v>-0.42808585998567211</v>
      </c>
      <c r="N86" s="11">
        <f>'[24]fib Model Code 2020'!$L$5</f>
        <v>0.12206155113118464</v>
      </c>
      <c r="O86" s="11">
        <f t="shared" si="50"/>
        <v>0.81374367420789762</v>
      </c>
      <c r="P86" s="55">
        <f t="shared" si="70"/>
        <v>-0.20610985912042065</v>
      </c>
      <c r="Q86" s="11">
        <f>'[24]Eurocode 2'!$L$5</f>
        <v>0.16208568924502412</v>
      </c>
      <c r="R86" s="11">
        <f t="shared" si="60"/>
        <v>1.0805712616334942</v>
      </c>
      <c r="S86" s="11">
        <f t="shared" si="71"/>
        <v>7.7489847250465288E-2</v>
      </c>
      <c r="T86" s="11">
        <f>'[24]NBR 6118'!$Q$5</f>
        <v>0.25148969879103655</v>
      </c>
      <c r="U86" s="11">
        <f>'[24]NBR 6118'!$R$5</f>
        <v>9.5278931346240325E-2</v>
      </c>
      <c r="V86" s="11">
        <f>'[24]NBR 6118'!$W$5</f>
        <v>0.63519287564160221</v>
      </c>
      <c r="W86" s="11">
        <f t="shared" si="72"/>
        <v>-0.45382658504157763</v>
      </c>
      <c r="X86" s="11">
        <f>'[24]Clark (1956)'!$L$5</f>
        <v>0.17060852360291542</v>
      </c>
      <c r="Y86" s="11">
        <f t="shared" si="61"/>
        <v>1.1373901573527696</v>
      </c>
      <c r="Z86" s="11">
        <f t="shared" si="73"/>
        <v>0.12873630221567392</v>
      </c>
      <c r="AA86" s="11"/>
      <c r="AB86" s="11"/>
      <c r="AC86" s="11"/>
      <c r="AD86" s="11">
        <f>'[24]Desayi; Ganesan (1985)'!$L$5</f>
        <v>0.26244074176287685</v>
      </c>
      <c r="AE86" s="11">
        <f t="shared" si="62"/>
        <v>1.7496049450858457</v>
      </c>
      <c r="AF86" s="11">
        <f t="shared" si="76"/>
        <v>0.55939001678580358</v>
      </c>
      <c r="AG86" s="11">
        <f>'[24]Oh; Kang (1987)'!$L$5</f>
        <v>0.13855918503325088</v>
      </c>
      <c r="AH86" s="11">
        <f t="shared" si="63"/>
        <v>0.9237279002216725</v>
      </c>
      <c r="AI86" s="11">
        <f t="shared" si="77"/>
        <v>-7.9337730987859817E-2</v>
      </c>
      <c r="AJ86" s="11">
        <f>'[24]Caldas (1997)'!$L$5</f>
        <v>0.13532727526154789</v>
      </c>
      <c r="AK86" s="11">
        <f t="shared" si="64"/>
        <v>0.90218183507698602</v>
      </c>
      <c r="AL86" s="11">
        <f t="shared" si="78"/>
        <v>-0.10293918824180626</v>
      </c>
      <c r="AM86" s="11" cm="1">
        <f t="array" ref="AM86:AM93">'[24]Gergely e Lutz (1968)'!$L$5:$L$12</f>
        <v>0.20548680545764142</v>
      </c>
      <c r="AN86" s="11">
        <f t="shared" si="65"/>
        <v>1.3699120363842763</v>
      </c>
      <c r="AO86" s="11">
        <f t="shared" si="79"/>
        <v>0.31474653075989822</v>
      </c>
      <c r="AP86" s="11" cm="1">
        <f t="array" ref="AP86:AP93">[24]Sugestão!$M$5:$M$12</f>
        <v>0.12206155113118464</v>
      </c>
      <c r="AQ86" s="11">
        <f t="shared" si="66"/>
        <v>0.81374367420789762</v>
      </c>
      <c r="AR86" s="11">
        <f t="shared" si="80"/>
        <v>-0.20610985912042065</v>
      </c>
      <c r="AS86" s="11" cm="1">
        <f t="array" ref="AS86:AS93">'[24]fib Model Code 2020 modificado'!$L$5:$L$12</f>
        <v>0.15330156588362995</v>
      </c>
      <c r="AT86" s="11">
        <f t="shared" si="67"/>
        <v>1.0220104392241998</v>
      </c>
      <c r="AU86" s="11">
        <f t="shared" si="81"/>
        <v>2.1771706234432819E-2</v>
      </c>
      <c r="AZ86" t="b">
        <f t="shared" si="55"/>
        <v>0</v>
      </c>
      <c r="BB86" t="b">
        <f t="shared" si="56"/>
        <v>1</v>
      </c>
      <c r="BD86" t="b">
        <f t="shared" si="57"/>
        <v>1</v>
      </c>
    </row>
    <row r="87" spans="1:56">
      <c r="A87" s="88"/>
      <c r="B87" s="5">
        <f>'[24]Dados de entrada'!$B$28</f>
        <v>16</v>
      </c>
      <c r="C87" s="5">
        <f>'[24]Dados de entrada'!$B$31</f>
        <v>2</v>
      </c>
      <c r="D87" s="5">
        <f>'[24]Dados de entrada'!$B$32</f>
        <v>138</v>
      </c>
      <c r="E87" s="11">
        <f>'[24]Dados de entrada'!$B$27</f>
        <v>3.2689999999999997</v>
      </c>
      <c r="F87" s="5">
        <f>'[24]Dados de entrada'!$B$30</f>
        <v>40</v>
      </c>
      <c r="G87" s="12">
        <f>'[24]Dados de entrada'!$B$22</f>
        <v>48</v>
      </c>
      <c r="H87" s="52">
        <f>'[24]Dados de entrada'!$B$29/(2*'[24]Dados de entrada'!$B$20*G87)</f>
        <v>1.6666666666666666E-2</v>
      </c>
      <c r="I87" s="53">
        <f>'[24]fib Model Code 2010'!$K$6</f>
        <v>211.76759699968991</v>
      </c>
      <c r="J87" s="4">
        <f>'[24]Dados de entrada'!$C$8</f>
        <v>0.2</v>
      </c>
      <c r="K87" s="11">
        <f>'[24]fib Model Code 2010'!$L$6</f>
        <v>0.14204371000539809</v>
      </c>
      <c r="L87" s="11">
        <f t="shared" si="59"/>
        <v>0.71021855002699041</v>
      </c>
      <c r="M87" s="29">
        <f t="shared" si="69"/>
        <v>-0.34218253937326715</v>
      </c>
      <c r="N87" s="11">
        <f>'[24]fib Model Code 2020'!$L$6</f>
        <v>0.13951599429000236</v>
      </c>
      <c r="O87" s="11">
        <f t="shared" si="50"/>
        <v>0.69757997145001172</v>
      </c>
      <c r="P87" s="55">
        <f t="shared" si="70"/>
        <v>-0.36013811745031177</v>
      </c>
      <c r="Q87" s="11">
        <f>'[24]Eurocode 2'!$L$6</f>
        <v>0.18526346655136439</v>
      </c>
      <c r="R87" s="11">
        <f t="shared" si="60"/>
        <v>0.92631733275682193</v>
      </c>
      <c r="S87" s="11">
        <f t="shared" si="71"/>
        <v>-7.6538411079425814E-2</v>
      </c>
      <c r="T87" s="11">
        <f>'[24]NBR 6118'!$Q$6</f>
        <v>0.28745198676703199</v>
      </c>
      <c r="U87" s="11">
        <f>'[24]NBR 6118'!$R$6</f>
        <v>0.12447642459592428</v>
      </c>
      <c r="V87" s="11">
        <f>'[24]NBR 6118'!$W$6</f>
        <v>0.62238212297962137</v>
      </c>
      <c r="W87" s="11">
        <f t="shared" si="72"/>
        <v>-0.47420102924957774</v>
      </c>
      <c r="X87" s="11">
        <f>'[24]Clark (1956)'!$L$6</f>
        <v>0.21206575978511477</v>
      </c>
      <c r="Y87" s="11">
        <f t="shared" si="61"/>
        <v>1.0603287989255739</v>
      </c>
      <c r="Z87" s="11">
        <f t="shared" si="73"/>
        <v>5.85790476913636E-2</v>
      </c>
      <c r="AA87" s="11">
        <f>'[24]Leonhardt (1977)'!$L$6</f>
        <v>3.3635138842762015E-2</v>
      </c>
      <c r="AB87" s="11"/>
      <c r="AC87" s="11"/>
      <c r="AD87" s="11">
        <f>'[24]Desayi; Ganesan (1985)'!$L$6</f>
        <v>0.29996899670644184</v>
      </c>
      <c r="AE87" s="11">
        <f t="shared" si="62"/>
        <v>1.4998449835322092</v>
      </c>
      <c r="AF87" s="11">
        <f t="shared" si="76"/>
        <v>0.40536175845591249</v>
      </c>
      <c r="AG87" s="11">
        <f>'[24]Oh; Kang (1987)'!$L$6</f>
        <v>0.16382824232957854</v>
      </c>
      <c r="AH87" s="11">
        <f t="shared" si="63"/>
        <v>0.81914121164789266</v>
      </c>
      <c r="AI87" s="11">
        <f t="shared" si="77"/>
        <v>-0.19949879039712101</v>
      </c>
      <c r="AJ87" s="11">
        <f>'[24]Caldas (1997)'!$L$6</f>
        <v>0.15835952502381526</v>
      </c>
      <c r="AK87" s="11">
        <f t="shared" si="64"/>
        <v>0.79179762511907625</v>
      </c>
      <c r="AL87" s="11">
        <f t="shared" si="78"/>
        <v>-0.23344944365904</v>
      </c>
      <c r="AM87" s="11">
        <v>0.23487081485706898</v>
      </c>
      <c r="AN87" s="11">
        <f t="shared" si="65"/>
        <v>1.1743540742853449</v>
      </c>
      <c r="AO87" s="11">
        <f t="shared" si="79"/>
        <v>0.16071827243000716</v>
      </c>
      <c r="AP87" s="11">
        <v>0.1554803880682081</v>
      </c>
      <c r="AQ87" s="11">
        <f t="shared" si="66"/>
        <v>0.77740194034104049</v>
      </c>
      <c r="AR87" s="11">
        <f t="shared" si="80"/>
        <v>-0.2517977646306222</v>
      </c>
      <c r="AS87" s="11">
        <v>0.17656917887867599</v>
      </c>
      <c r="AT87" s="11">
        <f t="shared" si="67"/>
        <v>0.8828458943933799</v>
      </c>
      <c r="AU87" s="11">
        <f t="shared" si="81"/>
        <v>-0.12460461864525313</v>
      </c>
      <c r="AZ87" t="b">
        <f t="shared" si="55"/>
        <v>0</v>
      </c>
      <c r="BB87" t="b">
        <f t="shared" si="56"/>
        <v>1</v>
      </c>
      <c r="BD87" t="b">
        <f t="shared" si="57"/>
        <v>1</v>
      </c>
    </row>
    <row r="88" spans="1:56">
      <c r="A88" s="88"/>
      <c r="B88" s="5">
        <f>'[24]Dados de entrada'!$B$28</f>
        <v>16</v>
      </c>
      <c r="C88" s="5">
        <f>'[24]Dados de entrada'!$B$31</f>
        <v>2</v>
      </c>
      <c r="D88" s="5">
        <f>'[24]Dados de entrada'!$B$32</f>
        <v>138</v>
      </c>
      <c r="E88" s="11">
        <f>'[24]Dados de entrada'!$B$27</f>
        <v>3.2689999999999997</v>
      </c>
      <c r="F88" s="5">
        <f>'[24]Dados de entrada'!$B$30</f>
        <v>40</v>
      </c>
      <c r="G88" s="12">
        <f>'[24]Dados de entrada'!$B$22</f>
        <v>48</v>
      </c>
      <c r="H88" s="52">
        <f>'[24]Dados de entrada'!$B$29/(2*'[24]Dados de entrada'!$B$20*G88)</f>
        <v>1.6666666666666666E-2</v>
      </c>
      <c r="I88" s="53">
        <f>'[24]fib Model Code 2010'!$K$7</f>
        <v>238.26122952921415</v>
      </c>
      <c r="J88" s="4">
        <f>'[24]Dados de entrada'!$C$9</f>
        <v>0.25</v>
      </c>
      <c r="K88" s="11">
        <f>'[24]fib Model Code 2010'!$L$7</f>
        <v>0.18632410210842379</v>
      </c>
      <c r="L88" s="11">
        <f t="shared" si="59"/>
        <v>0.74529640843369516</v>
      </c>
      <c r="M88" s="29">
        <f t="shared" si="69"/>
        <v>-0.29397327605995072</v>
      </c>
      <c r="N88" s="11">
        <f>'[24]fib Model Code 2020'!$L$7</f>
        <v>0.15697043744882017</v>
      </c>
      <c r="O88" s="11">
        <f t="shared" si="50"/>
        <v>0.62788174979528066</v>
      </c>
      <c r="P88" s="55">
        <f t="shared" si="70"/>
        <v>-0.465403426748281</v>
      </c>
      <c r="Q88" s="11">
        <f>'[24]Eurocode 2'!$L$7</f>
        <v>0.20844124385770482</v>
      </c>
      <c r="R88" s="11">
        <f t="shared" si="60"/>
        <v>0.83376497543081929</v>
      </c>
      <c r="S88" s="11">
        <f t="shared" si="71"/>
        <v>-0.18180372037739501</v>
      </c>
      <c r="T88" s="11">
        <f>'[24]NBR 6118'!$Q$7</f>
        <v>0.32341427474302747</v>
      </c>
      <c r="U88" s="11">
        <f>'[24]NBR 6118'!$R$7</f>
        <v>0.15757047544565747</v>
      </c>
      <c r="V88" s="11">
        <f>'[24]NBR 6118'!$W$7</f>
        <v>0.63028190178262988</v>
      </c>
      <c r="W88" s="11">
        <f t="shared" si="72"/>
        <v>-0.46158809653130695</v>
      </c>
      <c r="X88" s="11">
        <f>'[24]Clark (1956)'!$L$7</f>
        <v>0.25352299596731431</v>
      </c>
      <c r="Y88" s="11">
        <f t="shared" si="61"/>
        <v>1.0140919838692573</v>
      </c>
      <c r="Z88" s="11">
        <f t="shared" si="73"/>
        <v>1.3993614929743825E-2</v>
      </c>
      <c r="AA88" s="11">
        <f>'[24]Leonhardt (1977)'!$L$7</f>
        <v>0.15698056442293562</v>
      </c>
      <c r="AB88" s="11">
        <f t="shared" ref="AB87:AB107" si="82">AA88/J88</f>
        <v>0.62792225769174248</v>
      </c>
      <c r="AC88" s="11">
        <f t="shared" ref="AC87:AC107" si="83">LN(AB88)</f>
        <v>-0.46533891366147068</v>
      </c>
      <c r="AD88" s="11">
        <f>'[24]Desayi; Ganesan (1985)'!$L$7</f>
        <v>0.33749725165000705</v>
      </c>
      <c r="AE88" s="11">
        <f t="shared" si="62"/>
        <v>1.3499890066000282</v>
      </c>
      <c r="AF88" s="11">
        <f t="shared" si="76"/>
        <v>0.3000964491579432</v>
      </c>
      <c r="AG88" s="11">
        <f>'[24]Oh; Kang (1987)'!$L$7</f>
        <v>0.1890972996259063</v>
      </c>
      <c r="AH88" s="11">
        <f t="shared" si="63"/>
        <v>0.75638919850362518</v>
      </c>
      <c r="AI88" s="11">
        <f t="shared" si="77"/>
        <v>-0.27919922243778567</v>
      </c>
      <c r="AJ88" s="11">
        <f>'[24]Caldas (1997)'!$L$7</f>
        <v>0.1813917747860827</v>
      </c>
      <c r="AK88" s="11">
        <f t="shared" si="64"/>
        <v>0.72556709914433082</v>
      </c>
      <c r="AL88" s="11">
        <f t="shared" si="78"/>
        <v>-0.32080172417459901</v>
      </c>
      <c r="AM88" s="11">
        <v>0.26425482425649671</v>
      </c>
      <c r="AN88" s="11">
        <f t="shared" si="65"/>
        <v>1.0570192970259868</v>
      </c>
      <c r="AO88" s="11">
        <f t="shared" si="79"/>
        <v>5.545296313203793E-2</v>
      </c>
      <c r="AP88" s="11">
        <v>0.19681733910587482</v>
      </c>
      <c r="AQ88" s="11">
        <f t="shared" si="66"/>
        <v>0.78726935642349927</v>
      </c>
      <c r="AR88" s="11">
        <f t="shared" si="80"/>
        <v>-0.23918483191235115</v>
      </c>
      <c r="AS88" s="11">
        <v>0.20017356508671053</v>
      </c>
      <c r="AT88" s="11">
        <f t="shared" si="67"/>
        <v>0.8006942603468421</v>
      </c>
      <c r="AU88" s="11">
        <f t="shared" si="81"/>
        <v>-0.22227610222343122</v>
      </c>
      <c r="AZ88" t="b">
        <f t="shared" si="55"/>
        <v>0</v>
      </c>
      <c r="BB88" t="b">
        <f t="shared" si="56"/>
        <v>1</v>
      </c>
      <c r="BD88" t="b">
        <f t="shared" si="57"/>
        <v>1</v>
      </c>
    </row>
    <row r="89" spans="1:56">
      <c r="A89" s="88"/>
      <c r="B89" s="5">
        <f>'[24]Dados de entrada'!$B$28</f>
        <v>16</v>
      </c>
      <c r="C89" s="5">
        <f>'[24]Dados de entrada'!$B$31</f>
        <v>2</v>
      </c>
      <c r="D89" s="5">
        <f>'[24]Dados de entrada'!$B$32</f>
        <v>138</v>
      </c>
      <c r="E89" s="11">
        <f>'[24]Dados de entrada'!$B$27</f>
        <v>3.2689999999999997</v>
      </c>
      <c r="F89" s="5">
        <f>'[24]Dados de entrada'!$B$30</f>
        <v>40</v>
      </c>
      <c r="G89" s="12">
        <f>'[24]Dados de entrada'!$B$22</f>
        <v>48</v>
      </c>
      <c r="H89" s="52">
        <f>'[24]Dados de entrada'!$B$29/(2*'[24]Dados de entrada'!$B$20*G89)</f>
        <v>1.6666666666666666E-2</v>
      </c>
      <c r="I89" s="53">
        <f>'[24]fib Model Code 2010'!$K$8</f>
        <v>264.70949624961241</v>
      </c>
      <c r="J89" s="4">
        <f>'[24]Dados de entrada'!$C$10</f>
        <v>0.28000000000000003</v>
      </c>
      <c r="K89" s="11">
        <f>'[24]fib Model Code 2010'!$L$8</f>
        <v>0.2305286716222319</v>
      </c>
      <c r="L89" s="11">
        <f t="shared" si="59"/>
        <v>0.82331668436511385</v>
      </c>
      <c r="M89" s="29">
        <f t="shared" si="69"/>
        <v>-0.19441435965156958</v>
      </c>
      <c r="N89" s="11">
        <f>'[24]fib Model Code 2020'!$L$8</f>
        <v>0.17439499286250298</v>
      </c>
      <c r="O89" s="11">
        <f t="shared" si="50"/>
        <v>0.62283926022322489</v>
      </c>
      <c r="P89" s="55">
        <f t="shared" si="70"/>
        <v>-0.47346680275731473</v>
      </c>
      <c r="Q89" s="11">
        <f>'[24]Eurocode 2'!$L$8</f>
        <v>0.23157933318920554</v>
      </c>
      <c r="R89" s="11">
        <f t="shared" si="60"/>
        <v>0.8270690471043054</v>
      </c>
      <c r="S89" s="11">
        <f t="shared" si="71"/>
        <v>-0.18986709638642885</v>
      </c>
      <c r="T89" s="11">
        <f>'[24]NBR 6118'!$Q$8</f>
        <v>0.35931498345878993</v>
      </c>
      <c r="U89" s="11">
        <f>'[24]NBR 6118'!$R$8</f>
        <v>0.19449441343113166</v>
      </c>
      <c r="V89" s="11">
        <f>'[24]NBR 6118'!$W$8</f>
        <v>0.69462290511118441</v>
      </c>
      <c r="W89" s="11">
        <f t="shared" si="72"/>
        <v>-0.36438616324237139</v>
      </c>
      <c r="X89" s="11">
        <f>'[24]Clark (1956)'!$L$8</f>
        <v>0.29490924373139349</v>
      </c>
      <c r="Y89" s="11">
        <f t="shared" si="61"/>
        <v>1.0532472990406909</v>
      </c>
      <c r="Z89" s="11">
        <f t="shared" si="73"/>
        <v>5.1878057468944944E-2</v>
      </c>
      <c r="AA89" s="11">
        <f>'[24]Leonhardt (1977)'!$L$8</f>
        <v>0.26892161187916835</v>
      </c>
      <c r="AB89" s="11">
        <f t="shared" si="82"/>
        <v>0.96043432813988694</v>
      </c>
      <c r="AC89" s="11">
        <f t="shared" si="83"/>
        <v>-4.0369671687937536E-2</v>
      </c>
      <c r="AD89" s="11">
        <f>'[24]Desayi; Ganesan (1985)'!$L$8</f>
        <v>0.37496124588305235</v>
      </c>
      <c r="AE89" s="11">
        <f t="shared" si="62"/>
        <v>1.3391473067251869</v>
      </c>
      <c r="AF89" s="11">
        <f t="shared" si="76"/>
        <v>0.29203307314890942</v>
      </c>
      <c r="AG89" s="11">
        <f>'[24]Oh; Kang (1987)'!$L$8</f>
        <v>0.21432308798850738</v>
      </c>
      <c r="AH89" s="11">
        <f t="shared" si="63"/>
        <v>0.76543959995895483</v>
      </c>
      <c r="AI89" s="11">
        <f t="shared" si="77"/>
        <v>-0.26730496972898987</v>
      </c>
      <c r="AJ89" s="11">
        <f>'[24]Caldas (1997)'!$L$8</f>
        <v>0.20438458576451057</v>
      </c>
      <c r="AK89" s="11">
        <f t="shared" si="64"/>
        <v>0.72994494915896624</v>
      </c>
      <c r="AL89" s="11">
        <f t="shared" si="78"/>
        <v>-0.3147861597943416</v>
      </c>
      <c r="AM89" s="11">
        <v>0.29358851857133628</v>
      </c>
      <c r="AN89" s="11">
        <f t="shared" si="65"/>
        <v>1.048530423469058</v>
      </c>
      <c r="AO89" s="11">
        <f t="shared" si="79"/>
        <v>4.7389587123004062E-2</v>
      </c>
      <c r="AP89" s="11">
        <v>0.24293810635657515</v>
      </c>
      <c r="AQ89" s="11">
        <f t="shared" si="66"/>
        <v>0.86763609413062548</v>
      </c>
      <c r="AR89" s="11">
        <f t="shared" si="80"/>
        <v>-0.14198289862341568</v>
      </c>
      <c r="AS89" s="11">
        <v>0.22407344153222955</v>
      </c>
      <c r="AT89" s="11">
        <f t="shared" si="67"/>
        <v>0.80026229118653402</v>
      </c>
      <c r="AU89" s="11">
        <f t="shared" si="81"/>
        <v>-0.22281574106669294</v>
      </c>
      <c r="AZ89" t="b">
        <f t="shared" si="55"/>
        <v>0</v>
      </c>
      <c r="BB89" t="b">
        <f t="shared" si="56"/>
        <v>1</v>
      </c>
      <c r="BD89" t="b">
        <f t="shared" si="57"/>
        <v>1</v>
      </c>
    </row>
    <row r="90" spans="1:56">
      <c r="A90" s="88"/>
      <c r="B90" s="5">
        <f>'[24]Dados de entrada'!$B$28</f>
        <v>16</v>
      </c>
      <c r="C90" s="5">
        <f>'[24]Dados de entrada'!$B$31</f>
        <v>2</v>
      </c>
      <c r="D90" s="5">
        <f>'[24]Dados de entrada'!$B$32</f>
        <v>138</v>
      </c>
      <c r="E90" s="11">
        <f>'[24]Dados de entrada'!$B$27</f>
        <v>3.2689999999999997</v>
      </c>
      <c r="F90" s="5">
        <f>'[24]Dados de entrada'!$B$30</f>
        <v>40</v>
      </c>
      <c r="G90" s="12">
        <f>'[24]Dados de entrada'!$B$22</f>
        <v>48</v>
      </c>
      <c r="H90" s="52">
        <f>'[24]Dados de entrada'!$B$29/(2*'[24]Dados de entrada'!$B$20*G90)</f>
        <v>1.6666666666666666E-2</v>
      </c>
      <c r="I90" s="53">
        <f>'[24]fib Model Code 2010'!$K$9</f>
        <v>291.15776297001077</v>
      </c>
      <c r="J90" s="4">
        <f>'[24]Dados de entrada'!$C$11</f>
        <v>0.28000000000000003</v>
      </c>
      <c r="K90" s="11">
        <f>'[24]fib Model Code 2010'!$L$9</f>
        <v>0.27473324113604009</v>
      </c>
      <c r="L90" s="11">
        <f t="shared" si="59"/>
        <v>0.98119014691442874</v>
      </c>
      <c r="M90" s="29">
        <f t="shared" si="69"/>
        <v>-1.8989008521002271E-2</v>
      </c>
      <c r="N90" s="11">
        <f>'[24]fib Model Code 2020'!$L$9</f>
        <v>0.19711643896364461</v>
      </c>
      <c r="O90" s="11">
        <f t="shared" si="50"/>
        <v>0.70398728201301641</v>
      </c>
      <c r="P90" s="55">
        <f t="shared" si="70"/>
        <v>-0.35099498830969444</v>
      </c>
      <c r="Q90" s="11">
        <f>'[24]Eurocode 2'!$L$9</f>
        <v>0.25471742252070634</v>
      </c>
      <c r="R90" s="11">
        <f t="shared" si="60"/>
        <v>0.90970508043109399</v>
      </c>
      <c r="S90" s="11">
        <f t="shared" si="71"/>
        <v>-9.4634819437282774E-2</v>
      </c>
      <c r="T90" s="11">
        <f>'[24]NBR 6118'!$Q$9</f>
        <v>0.39521569217455249</v>
      </c>
      <c r="U90" s="11">
        <f>'[24]NBR 6118'!$R$9</f>
        <v>0.23530157606629135</v>
      </c>
      <c r="V90" s="11">
        <f>'[24]NBR 6118'!$W$9</f>
        <v>0.84036277166532614</v>
      </c>
      <c r="W90" s="11">
        <f t="shared" si="72"/>
        <v>-0.17392160934407982</v>
      </c>
      <c r="X90" s="11">
        <f>'[24]Clark (1956)'!$L$9</f>
        <v>0.33629549149547283</v>
      </c>
      <c r="Y90" s="11">
        <f t="shared" si="61"/>
        <v>1.2010553267695456</v>
      </c>
      <c r="Z90" s="11">
        <f t="shared" si="73"/>
        <v>0.18320060928869467</v>
      </c>
      <c r="AA90" s="11">
        <f>'[24]Leonhardt (1977)'!$L$9</f>
        <v>0.37272851383387728</v>
      </c>
      <c r="AB90" s="11">
        <f t="shared" si="82"/>
        <v>1.3311732636924187</v>
      </c>
      <c r="AC90" s="11">
        <f t="shared" si="83"/>
        <v>0.28606070651744248</v>
      </c>
      <c r="AD90" s="11">
        <f>'[24]Desayi; Ganesan (1985)'!$L$9</f>
        <v>0.41242524011609777</v>
      </c>
      <c r="AE90" s="11">
        <f t="shared" si="62"/>
        <v>1.4729472861289206</v>
      </c>
      <c r="AF90" s="11">
        <f t="shared" si="76"/>
        <v>0.38726535009805546</v>
      </c>
      <c r="AG90" s="11">
        <f>'[24]Oh; Kang (1987)'!$L$9</f>
        <v>0.23954887635110861</v>
      </c>
      <c r="AH90" s="11">
        <f t="shared" si="63"/>
        <v>0.85553170125395928</v>
      </c>
      <c r="AI90" s="11">
        <f t="shared" si="77"/>
        <v>-0.15603213051649811</v>
      </c>
      <c r="AJ90" s="11">
        <f>'[24]Caldas (1997)'!$L$9</f>
        <v>0.22737739674293855</v>
      </c>
      <c r="AK90" s="11">
        <f t="shared" si="64"/>
        <v>0.81206213122478044</v>
      </c>
      <c r="AL90" s="11">
        <f t="shared" si="78"/>
        <v>-0.20817842546100543</v>
      </c>
      <c r="AM90" s="11">
        <v>0.32292221288617595</v>
      </c>
      <c r="AN90" s="11">
        <f t="shared" si="65"/>
        <v>1.1532936174506283</v>
      </c>
      <c r="AO90" s="11">
        <f t="shared" si="79"/>
        <v>0.14262186407215016</v>
      </c>
      <c r="AP90" s="11">
        <v>0.29732680364536013</v>
      </c>
      <c r="AQ90" s="11">
        <f t="shared" si="66"/>
        <v>1.0618814415905717</v>
      </c>
      <c r="AR90" s="11">
        <f t="shared" si="80"/>
        <v>6.0042279667516692E-2</v>
      </c>
      <c r="AS90" s="11">
        <v>0.25360582953271715</v>
      </c>
      <c r="AT90" s="11">
        <f t="shared" si="67"/>
        <v>0.90573510547398972</v>
      </c>
      <c r="AU90" s="11">
        <f t="shared" si="81"/>
        <v>-9.9008393753986026E-2</v>
      </c>
      <c r="AZ90" t="b">
        <f t="shared" si="55"/>
        <v>0</v>
      </c>
      <c r="BB90" t="b">
        <f t="shared" si="56"/>
        <v>1</v>
      </c>
      <c r="BD90" t="b">
        <f t="shared" si="57"/>
        <v>1</v>
      </c>
    </row>
    <row r="91" spans="1:56">
      <c r="A91" s="88"/>
      <c r="B91" s="5">
        <f>'[24]Dados de entrada'!$B$28</f>
        <v>16</v>
      </c>
      <c r="C91" s="5">
        <f>'[24]Dados de entrada'!$B$31</f>
        <v>2</v>
      </c>
      <c r="D91" s="5">
        <f>'[24]Dados de entrada'!$B$32</f>
        <v>138</v>
      </c>
      <c r="E91" s="11">
        <f>'[24]Dados de entrada'!$B$27</f>
        <v>3.2689999999999997</v>
      </c>
      <c r="F91" s="5">
        <f>'[24]Dados de entrada'!$B$30</f>
        <v>40</v>
      </c>
      <c r="G91" s="12">
        <f>'[24]Dados de entrada'!$B$22</f>
        <v>48</v>
      </c>
      <c r="H91" s="52">
        <f>'[24]Dados de entrada'!$B$29/(2*'[24]Dados de entrada'!$B$20*G91)</f>
        <v>1.6666666666666666E-2</v>
      </c>
      <c r="I91" s="53">
        <f>'[24]fib Model Code 2010'!$K$10</f>
        <v>317.65139549953489</v>
      </c>
      <c r="J91" s="4">
        <f>'[24]Dados de entrada'!$C$12</f>
        <v>0.3</v>
      </c>
      <c r="K91" s="11">
        <f>'[24]fib Model Code 2010'!$L$10</f>
        <v>0.31901363323906562</v>
      </c>
      <c r="L91" s="11">
        <f t="shared" si="59"/>
        <v>1.0633787774635521</v>
      </c>
      <c r="M91" s="29">
        <f t="shared" si="69"/>
        <v>6.1451364641963775E-2</v>
      </c>
      <c r="N91" s="11">
        <f>'[24]fib Model Code 2020'!$L$10</f>
        <v>0.24075254686068898</v>
      </c>
      <c r="O91" s="11">
        <f t="shared" si="50"/>
        <v>0.80250848953562992</v>
      </c>
      <c r="P91" s="55">
        <f t="shared" si="70"/>
        <v>-0.22001284517332384</v>
      </c>
      <c r="Q91" s="11">
        <f>'[24]Eurocode 2'!$L$10</f>
        <v>0.27830327743026689</v>
      </c>
      <c r="R91" s="11">
        <f t="shared" si="60"/>
        <v>0.92767759143422301</v>
      </c>
      <c r="S91" s="11">
        <f t="shared" si="71"/>
        <v>-7.5071029584763624E-2</v>
      </c>
      <c r="T91" s="11">
        <f>'[24]NBR 6118'!$Q$10</f>
        <v>0.43117798015054798</v>
      </c>
      <c r="U91" s="11">
        <f>'[24]NBR 6118'!$R$10</f>
        <v>0.28007195534082957</v>
      </c>
      <c r="V91" s="11">
        <f>'[24]NBR 6118'!$W$10</f>
        <v>0.93357318446943194</v>
      </c>
      <c r="W91" s="11">
        <f t="shared" si="72"/>
        <v>-6.8735921141413484E-2</v>
      </c>
      <c r="X91" s="11">
        <f>'[24]Clark (1956)'!$L$10</f>
        <v>0.37775272767767221</v>
      </c>
      <c r="Y91" s="11">
        <f t="shared" si="61"/>
        <v>1.2591757589255741</v>
      </c>
      <c r="Z91" s="11">
        <f t="shared" si="73"/>
        <v>0.23045734732477283</v>
      </c>
      <c r="AA91" s="11">
        <f>'[24]Leonhardt (1977)'!$L$10</f>
        <v>0.47059657553398709</v>
      </c>
      <c r="AB91" s="11">
        <f t="shared" si="82"/>
        <v>1.568655251779957</v>
      </c>
      <c r="AC91" s="11">
        <f t="shared" si="83"/>
        <v>0.45021872480222774</v>
      </c>
      <c r="AD91" s="11">
        <f>'[24]Desayi; Ganesan (1985)'!$L$10</f>
        <v>0.44995349505966281</v>
      </c>
      <c r="AE91" s="11">
        <f t="shared" si="62"/>
        <v>1.4998449835322094</v>
      </c>
      <c r="AF91" s="11">
        <f t="shared" si="76"/>
        <v>0.40536175845591266</v>
      </c>
      <c r="AG91" s="11">
        <f>'[24]Oh; Kang (1987)'!$L$10</f>
        <v>0.26481793364743622</v>
      </c>
      <c r="AH91" s="11">
        <f t="shared" si="63"/>
        <v>0.88272644549145407</v>
      </c>
      <c r="AI91" s="11">
        <f t="shared" si="77"/>
        <v>-0.12473992763193092</v>
      </c>
      <c r="AJ91" s="11">
        <f>'[24]Caldas (1997)'!$L$10</f>
        <v>0.25040964650520592</v>
      </c>
      <c r="AK91" s="11">
        <f t="shared" si="64"/>
        <v>0.83469882168401976</v>
      </c>
      <c r="AL91" s="11">
        <f t="shared" si="78"/>
        <v>-0.18068431179048972</v>
      </c>
      <c r="AM91" s="11">
        <v>0.35230622228560349</v>
      </c>
      <c r="AN91" s="11">
        <f t="shared" si="65"/>
        <v>1.1743540742853451</v>
      </c>
      <c r="AO91" s="11">
        <f t="shared" si="79"/>
        <v>0.16071827243000736</v>
      </c>
      <c r="AP91" s="11">
        <v>0.36721458076330876</v>
      </c>
      <c r="AQ91" s="11">
        <f t="shared" si="66"/>
        <v>1.2240486025443627</v>
      </c>
      <c r="AR91" s="11">
        <f t="shared" si="80"/>
        <v>0.20216389126287471</v>
      </c>
      <c r="AS91" s="11">
        <v>0.30440104678502228</v>
      </c>
      <c r="AT91" s="11">
        <f t="shared" si="67"/>
        <v>1.0146701559500744</v>
      </c>
      <c r="AU91" s="11">
        <f t="shared" si="81"/>
        <v>1.4563590172402144E-2</v>
      </c>
      <c r="AZ91" t="b">
        <f t="shared" si="55"/>
        <v>0</v>
      </c>
      <c r="BB91" t="b">
        <f t="shared" si="56"/>
        <v>1</v>
      </c>
      <c r="BD91" t="b">
        <f t="shared" si="57"/>
        <v>1</v>
      </c>
    </row>
    <row r="92" spans="1:56">
      <c r="A92" s="88"/>
      <c r="B92" s="5">
        <f>'[24]Dados de entrada'!$B$28</f>
        <v>16</v>
      </c>
      <c r="C92" s="5">
        <f>'[24]Dados de entrada'!$B$31</f>
        <v>2</v>
      </c>
      <c r="D92" s="5">
        <f>'[24]Dados de entrada'!$B$32</f>
        <v>138</v>
      </c>
      <c r="E92" s="11">
        <f>'[24]Dados de entrada'!$B$27</f>
        <v>3.2689999999999997</v>
      </c>
      <c r="F92" s="5">
        <f>'[24]Dados de entrada'!$B$30</f>
        <v>40</v>
      </c>
      <c r="G92" s="12">
        <f>'[24]Dados de entrada'!$B$22</f>
        <v>48</v>
      </c>
      <c r="H92" s="52">
        <f>'[24]Dados de entrada'!$B$29/(2*'[24]Dados de entrada'!$B$20*G92)</f>
        <v>1.6666666666666666E-2</v>
      </c>
      <c r="I92" s="53">
        <f>'[24]fib Model Code 2010'!$K$11</f>
        <v>344.14502802905912</v>
      </c>
      <c r="J92" s="4">
        <f>'[24]Dados de entrada'!$C$13</f>
        <v>0.33</v>
      </c>
      <c r="K92" s="11">
        <f>'[24]fib Model Code 2010'!$L$11</f>
        <v>0.36329402534209126</v>
      </c>
      <c r="L92" s="11">
        <f t="shared" si="59"/>
        <v>1.100890985885125</v>
      </c>
      <c r="M92" s="29">
        <f t="shared" si="69"/>
        <v>9.6119839110044972E-2</v>
      </c>
      <c r="N92" s="11">
        <f>'[24]fib Model Code 2020'!$L$11</f>
        <v>0.28438865475773345</v>
      </c>
      <c r="O92" s="11">
        <f t="shared" si="50"/>
        <v>0.86178380229616192</v>
      </c>
      <c r="P92" s="55">
        <f t="shared" si="70"/>
        <v>-0.14875084917758616</v>
      </c>
      <c r="Q92" s="11">
        <f>'[24]Eurocode 2'!$L$11</f>
        <v>0.31693290627416754</v>
      </c>
      <c r="R92" s="11">
        <f t="shared" si="60"/>
        <v>0.96040274628535616</v>
      </c>
      <c r="S92" s="11">
        <f t="shared" si="71"/>
        <v>-4.0402555116682344E-2</v>
      </c>
      <c r="T92" s="11">
        <f>'[24]NBR 6118'!$Q$11</f>
        <v>0.46714026812654336</v>
      </c>
      <c r="U92" s="11">
        <f>'[24]NBR 6118'!$R$11</f>
        <v>0.32873889221541702</v>
      </c>
      <c r="V92" s="11">
        <f>'[24]NBR 6118'!$W$11</f>
        <v>0.99617846125883946</v>
      </c>
      <c r="W92" s="11">
        <f t="shared" si="72"/>
        <v>-3.8288594772718301E-3</v>
      </c>
      <c r="X92" s="11">
        <f>'[24]Clark (1956)'!$L$11</f>
        <v>0.41920996385987175</v>
      </c>
      <c r="Y92" s="11">
        <f t="shared" si="61"/>
        <v>1.2703332238177931</v>
      </c>
      <c r="Z92" s="11">
        <f t="shared" si="73"/>
        <v>0.23927924701352823</v>
      </c>
      <c r="AA92" s="11">
        <f>'[24]Leonhardt (1977)'!$L$11</f>
        <v>0.56375561051767764</v>
      </c>
      <c r="AB92" s="11">
        <f t="shared" si="82"/>
        <v>1.7083503349020535</v>
      </c>
      <c r="AC92" s="11">
        <f t="shared" si="83"/>
        <v>0.53552818844462735</v>
      </c>
      <c r="AD92" s="11">
        <f>'[24]Desayi; Ganesan (1985)'!$L$11</f>
        <v>0.48748175000322802</v>
      </c>
      <c r="AE92" s="11">
        <f t="shared" si="62"/>
        <v>1.477217424252206</v>
      </c>
      <c r="AF92" s="11">
        <f t="shared" si="76"/>
        <v>0.39016019938582114</v>
      </c>
      <c r="AG92" s="11">
        <f>'[24]Oh; Kang (1987)'!$L$11</f>
        <v>0.290086990943764</v>
      </c>
      <c r="AH92" s="11">
        <f t="shared" si="63"/>
        <v>0.87905148770837571</v>
      </c>
      <c r="AI92" s="11">
        <f t="shared" si="77"/>
        <v>-0.12891180769004307</v>
      </c>
      <c r="AJ92" s="11">
        <f>'[24]Caldas (1997)'!$L$11</f>
        <v>0.27344189626747334</v>
      </c>
      <c r="AK92" s="11">
        <f t="shared" si="64"/>
        <v>0.82861180687113134</v>
      </c>
      <c r="AL92" s="11">
        <f t="shared" si="78"/>
        <v>-0.18800350025965021</v>
      </c>
      <c r="AM92" s="11">
        <v>0.38169023168503119</v>
      </c>
      <c r="AN92" s="11">
        <f t="shared" si="65"/>
        <v>1.1566370657122156</v>
      </c>
      <c r="AO92" s="11">
        <f t="shared" si="79"/>
        <v>0.14551671335991564</v>
      </c>
      <c r="AP92" s="11">
        <v>0.43710235788125756</v>
      </c>
      <c r="AQ92" s="11">
        <f t="shared" si="66"/>
        <v>1.3245525996401744</v>
      </c>
      <c r="AR92" s="11">
        <f t="shared" si="80"/>
        <v>0.2810747417690676</v>
      </c>
      <c r="AS92" s="11">
        <v>0.35553303725031593</v>
      </c>
      <c r="AT92" s="11">
        <f t="shared" si="67"/>
        <v>1.0773728401524725</v>
      </c>
      <c r="AU92" s="11">
        <f t="shared" si="81"/>
        <v>7.4525522251983889E-2</v>
      </c>
      <c r="AZ92" t="b">
        <f t="shared" si="55"/>
        <v>0</v>
      </c>
      <c r="BB92" t="b">
        <f t="shared" si="56"/>
        <v>1</v>
      </c>
      <c r="BD92" t="b">
        <f t="shared" si="57"/>
        <v>1</v>
      </c>
    </row>
    <row r="93" spans="1:56">
      <c r="A93" s="89"/>
      <c r="B93" s="5">
        <f>'[24]Dados de entrada'!$B$28</f>
        <v>16</v>
      </c>
      <c r="C93" s="5">
        <f>'[24]Dados de entrada'!$B$31</f>
        <v>2</v>
      </c>
      <c r="D93" s="5">
        <f>'[24]Dados de entrada'!$B$32</f>
        <v>138</v>
      </c>
      <c r="E93" s="11">
        <f>'[24]Dados de entrada'!$B$27</f>
        <v>3.2689999999999997</v>
      </c>
      <c r="F93" s="5">
        <f>'[24]Dados de entrada'!$B$30</f>
        <v>40</v>
      </c>
      <c r="G93" s="12">
        <f>'[24]Dados de entrada'!$B$22</f>
        <v>48</v>
      </c>
      <c r="H93" s="52">
        <f>'[24]Dados de entrada'!$B$29/(2*'[24]Dados de entrada'!$B$20*G93)</f>
        <v>1.6666666666666666E-2</v>
      </c>
      <c r="I93" s="53">
        <f>'[24]fib Model Code 2010'!$K$12</f>
        <v>370.54792894033159</v>
      </c>
      <c r="J93" s="4">
        <f>'[24]Dados de entrada'!$C$14</f>
        <v>0.33</v>
      </c>
      <c r="K93" s="11">
        <f>'[24]fib Model Code 2010'!$L$12</f>
        <v>0.407422772266682</v>
      </c>
      <c r="L93" s="11">
        <f t="shared" si="59"/>
        <v>1.2346144614141878</v>
      </c>
      <c r="M93" s="29">
        <f t="shared" si="69"/>
        <v>0.21075874434999933</v>
      </c>
      <c r="N93" s="11">
        <f>'[24]fib Model Code 2020'!$L$12</f>
        <v>0.32787532392910324</v>
      </c>
      <c r="O93" s="11">
        <f t="shared" si="50"/>
        <v>0.9935615876639492</v>
      </c>
      <c r="P93" s="55">
        <f t="shared" si="70"/>
        <v>-6.4592283087356941E-3</v>
      </c>
      <c r="Q93" s="11">
        <f>'[24]Eurocode 2'!$L$12</f>
        <v>0.35543024186860289</v>
      </c>
      <c r="R93" s="11">
        <f t="shared" si="60"/>
        <v>1.0770613389957664</v>
      </c>
      <c r="S93" s="11">
        <f t="shared" si="71"/>
        <v>7.4236350123272205E-2</v>
      </c>
      <c r="T93" s="11">
        <f>'[24]NBR 6118'!$Q$12</f>
        <v>0.50297939758207311</v>
      </c>
      <c r="U93" s="11">
        <f>'[24]NBR 6118'!$R$12</f>
        <v>0.3811157253849613</v>
      </c>
      <c r="V93" s="11">
        <f>'[24]NBR 6118'!$W$12</f>
        <v>1.1548961375301856</v>
      </c>
      <c r="W93" s="11">
        <f t="shared" si="72"/>
        <v>0.14401041571404261</v>
      </c>
      <c r="X93" s="11">
        <f>'[24]Clark (1956)'!$L$12</f>
        <v>0.46052522320583089</v>
      </c>
      <c r="Y93" s="11">
        <f t="shared" si="61"/>
        <v>1.3955309794116086</v>
      </c>
      <c r="Z93" s="11">
        <f t="shared" si="73"/>
        <v>0.3332749732545407</v>
      </c>
      <c r="AA93" s="11">
        <f>'[24]Leonhardt (1977)'!$L$12</f>
        <v>0.65291447916542988</v>
      </c>
      <c r="AB93" s="11">
        <f t="shared" si="82"/>
        <v>1.9785287247437269</v>
      </c>
      <c r="AC93" s="11">
        <f t="shared" si="83"/>
        <v>0.68235350018309915</v>
      </c>
      <c r="AD93" s="11">
        <f>'[24]Desayi; Ganesan (1985)'!$L$12</f>
        <v>0.5248814835257537</v>
      </c>
      <c r="AE93" s="11">
        <f t="shared" si="62"/>
        <v>1.5905499500780413</v>
      </c>
      <c r="AF93" s="11">
        <f t="shared" si="76"/>
        <v>0.46407983698147859</v>
      </c>
      <c r="AG93" s="11">
        <f>'[24]Oh; Kang (1987)'!$L$12</f>
        <v>0.31526951037263856</v>
      </c>
      <c r="AH93" s="11">
        <f t="shared" si="63"/>
        <v>0.9553621526443592</v>
      </c>
      <c r="AI93" s="11">
        <f t="shared" si="77"/>
        <v>-4.5664792957514799E-2</v>
      </c>
      <c r="AJ93" s="11">
        <f>'[24]Caldas (1997)'!$L$12</f>
        <v>0.29639526846206188</v>
      </c>
      <c r="AK93" s="11">
        <f t="shared" si="64"/>
        <v>0.89816748018806625</v>
      </c>
      <c r="AL93" s="11">
        <f t="shared" si="78"/>
        <v>-0.10739872451937732</v>
      </c>
      <c r="AM93" s="11">
        <v>0.41097361091528284</v>
      </c>
      <c r="AN93" s="11">
        <f t="shared" si="65"/>
        <v>1.2453745785311601</v>
      </c>
      <c r="AO93" s="11">
        <f t="shared" si="79"/>
        <v>0.21943635095557323</v>
      </c>
      <c r="AP93" s="11">
        <v>0.50675079329674777</v>
      </c>
      <c r="AQ93" s="11">
        <f t="shared" si="66"/>
        <v>1.5356084645355992</v>
      </c>
      <c r="AR93" s="11">
        <f t="shared" si="80"/>
        <v>0.42892669633014646</v>
      </c>
      <c r="AS93" s="11">
        <v>0.40682496334771351</v>
      </c>
      <c r="AT93" s="11">
        <f t="shared" si="67"/>
        <v>1.2328029192354955</v>
      </c>
      <c r="AU93" s="11">
        <f t="shared" si="81"/>
        <v>0.20929037299265207</v>
      </c>
      <c r="AZ93" t="b">
        <f t="shared" si="55"/>
        <v>0</v>
      </c>
      <c r="BB93" t="b">
        <f t="shared" si="56"/>
        <v>1</v>
      </c>
      <c r="BD93" t="b">
        <f t="shared" si="57"/>
        <v>1</v>
      </c>
    </row>
    <row r="94" spans="1:56">
      <c r="A94" s="85" t="s">
        <v>59</v>
      </c>
      <c r="B94" s="21">
        <f>'[25]Dados de entrada'!$B$28</f>
        <v>16</v>
      </c>
      <c r="C94" s="21">
        <f>'[25]Dados de entrada'!$B$31</f>
        <v>2</v>
      </c>
      <c r="D94" s="21">
        <f>'[25]Dados de entrada'!$B$32</f>
        <v>138</v>
      </c>
      <c r="E94" s="20">
        <f>'[25]Dados de entrada'!$B$27</f>
        <v>3.2689999999999997</v>
      </c>
      <c r="F94" s="21">
        <f>'[25]Dados de entrada'!$B$30</f>
        <v>40</v>
      </c>
      <c r="G94" s="56">
        <f>'[25]Dados de entrada'!$B$22</f>
        <v>48</v>
      </c>
      <c r="H94" s="57">
        <f>'[25]Dados de entrada'!$B$29/(2*'[25]Dados de entrada'!$B$20*G94)</f>
        <v>1.6666666666666666E-2</v>
      </c>
      <c r="I94" s="27">
        <f>'[25]fib Model Code 2010'!$K$5</f>
        <v>211.76759699968991</v>
      </c>
      <c r="J94" s="19">
        <f>'[25]Dados de entrada'!$C$7</f>
        <v>0.15</v>
      </c>
      <c r="K94" s="20">
        <f>'[25]fib Model Code 2010'!$L$5</f>
        <v>0.14204371000539809</v>
      </c>
      <c r="L94" s="20">
        <f t="shared" si="59"/>
        <v>0.94695806670265392</v>
      </c>
      <c r="M94" s="54">
        <f t="shared" si="69"/>
        <v>-5.450046692148619E-2</v>
      </c>
      <c r="N94" s="20">
        <f>'[25]fib Model Code 2020'!$L$5</f>
        <v>0.13951599429000236</v>
      </c>
      <c r="O94" s="20">
        <f t="shared" si="50"/>
        <v>0.93010662860001581</v>
      </c>
      <c r="P94" s="28">
        <f t="shared" si="70"/>
        <v>-7.245604499853063E-2</v>
      </c>
      <c r="Q94" s="20">
        <f>'[25]Eurocode 2'!$L$5</f>
        <v>0.18526346655136439</v>
      </c>
      <c r="R94" s="20">
        <f t="shared" si="60"/>
        <v>1.2350897770090961</v>
      </c>
      <c r="S94" s="20">
        <f t="shared" si="71"/>
        <v>0.21114366137235524</v>
      </c>
      <c r="T94" s="20">
        <f>'[25]NBR 6118'!$Q$5</f>
        <v>0.28745198676703199</v>
      </c>
      <c r="U94" s="20">
        <f>'[25]NBR 6118'!$R$5</f>
        <v>0.12447642459592428</v>
      </c>
      <c r="V94" s="20">
        <f>'[25]NBR 6118'!$W$5</f>
        <v>0.82984283063949527</v>
      </c>
      <c r="W94" s="20">
        <f t="shared" si="72"/>
        <v>-0.18651895679779668</v>
      </c>
      <c r="X94" s="20">
        <f>'[25]Clark (1956)'!$L$5</f>
        <v>0.21206575978511477</v>
      </c>
      <c r="Y94" s="20">
        <f t="shared" si="61"/>
        <v>1.4137717319007652</v>
      </c>
      <c r="Z94" s="20">
        <f t="shared" si="73"/>
        <v>0.34626112014314459</v>
      </c>
      <c r="AA94" s="20">
        <f>'[25]Leonhardt (1977)'!$L$5</f>
        <v>3.3635138842762015E-2</v>
      </c>
      <c r="AB94" s="20"/>
      <c r="AC94" s="20"/>
      <c r="AD94" s="20">
        <f>'[25]Desayi; Ganesan (1985)'!$L$5</f>
        <v>0.29996899670644184</v>
      </c>
      <c r="AE94" s="20">
        <f t="shared" si="62"/>
        <v>1.9997933113762789</v>
      </c>
      <c r="AF94" s="20">
        <f t="shared" si="76"/>
        <v>0.69304383090769339</v>
      </c>
      <c r="AG94" s="20">
        <f>'[25]Oh; Kang (1987)'!$L$5</f>
        <v>0.16382824232957854</v>
      </c>
      <c r="AH94" s="20">
        <f t="shared" si="63"/>
        <v>1.0921882821971904</v>
      </c>
      <c r="AI94" s="20">
        <f t="shared" si="77"/>
        <v>8.8183282054660125E-2</v>
      </c>
      <c r="AJ94" s="20">
        <f>'[25]Caldas (1997)'!$L$5</f>
        <v>0.15835952502381526</v>
      </c>
      <c r="AK94" s="20">
        <f t="shared" si="64"/>
        <v>1.0557301668254351</v>
      </c>
      <c r="AL94" s="20">
        <f t="shared" si="78"/>
        <v>5.4232628792741003E-2</v>
      </c>
      <c r="AM94" s="20" cm="1">
        <f t="array" ref="AM94:AM100">'[25]Gergely e Lutz (1968)'!$L$5:$L$11</f>
        <v>0.23487081485706898</v>
      </c>
      <c r="AN94" s="20">
        <f t="shared" si="65"/>
        <v>1.56580543238046</v>
      </c>
      <c r="AO94" s="20">
        <f t="shared" si="79"/>
        <v>0.4484003448817882</v>
      </c>
      <c r="AP94" s="20" cm="1">
        <f t="array" ref="AP94:AP100">[25]Sugestão!$M$5:$M$11</f>
        <v>0.1554803880682081</v>
      </c>
      <c r="AQ94" s="20">
        <f t="shared" si="66"/>
        <v>1.0365359204547206</v>
      </c>
      <c r="AR94" s="20">
        <f t="shared" si="80"/>
        <v>3.5884307821158749E-2</v>
      </c>
      <c r="AS94" s="20" cm="1">
        <f t="array" ref="AS94:AS100">'[25]fib Model Code 2020 modificado'!$L$5:$L$11</f>
        <v>0.17656917887867599</v>
      </c>
      <c r="AT94" s="20">
        <f t="shared" si="67"/>
        <v>1.1771278591911734</v>
      </c>
      <c r="AU94" s="20">
        <f t="shared" si="81"/>
        <v>0.16307745380652791</v>
      </c>
      <c r="AZ94" t="b">
        <f t="shared" si="55"/>
        <v>0</v>
      </c>
      <c r="BB94" t="b">
        <f t="shared" si="56"/>
        <v>1</v>
      </c>
      <c r="BD94" t="b">
        <f t="shared" si="57"/>
        <v>1</v>
      </c>
    </row>
    <row r="95" spans="1:56">
      <c r="A95" s="90"/>
      <c r="B95" s="21">
        <f>'[25]Dados de entrada'!$B$28</f>
        <v>16</v>
      </c>
      <c r="C95" s="21">
        <f>'[25]Dados de entrada'!$B$31</f>
        <v>2</v>
      </c>
      <c r="D95" s="21">
        <f>'[25]Dados de entrada'!$B$32</f>
        <v>138</v>
      </c>
      <c r="E95" s="20">
        <f>'[25]Dados de entrada'!$B$27</f>
        <v>3.2689999999999997</v>
      </c>
      <c r="F95" s="21">
        <f>'[25]Dados de entrada'!$B$30</f>
        <v>40</v>
      </c>
      <c r="G95" s="56">
        <f>'[25]Dados de entrada'!$B$22</f>
        <v>48</v>
      </c>
      <c r="H95" s="57">
        <f>'[25]Dados de entrada'!$B$29/(2*'[25]Dados de entrada'!$B$20*G95)</f>
        <v>1.6666666666666666E-2</v>
      </c>
      <c r="I95" s="27">
        <f>'[25]fib Model Code 2010'!$K$6</f>
        <v>238.26122952921415</v>
      </c>
      <c r="J95" s="19">
        <f>'[25]Dados de entrada'!$C$8</f>
        <v>0.18</v>
      </c>
      <c r="K95" s="20">
        <f>'[25]fib Model Code 2010'!$L$6</f>
        <v>0.18632410210842379</v>
      </c>
      <c r="L95" s="20">
        <f t="shared" si="59"/>
        <v>1.0351339006023543</v>
      </c>
      <c r="M95" s="54">
        <f t="shared" si="69"/>
        <v>3.4530790912085309E-2</v>
      </c>
      <c r="N95" s="20">
        <f>'[25]fib Model Code 2020'!$L$6</f>
        <v>0.15697043744882017</v>
      </c>
      <c r="O95" s="20">
        <f t="shared" si="50"/>
        <v>0.87205798582677874</v>
      </c>
      <c r="P95" s="28">
        <f t="shared" si="70"/>
        <v>-0.1368993597762449</v>
      </c>
      <c r="Q95" s="20">
        <f>'[25]Eurocode 2'!$L$6</f>
        <v>0.20844124385770482</v>
      </c>
      <c r="R95" s="20">
        <f t="shared" si="60"/>
        <v>1.1580069103205823</v>
      </c>
      <c r="S95" s="20">
        <f t="shared" si="71"/>
        <v>0.14670034659464104</v>
      </c>
      <c r="T95" s="20">
        <f>'[25]NBR 6118'!$Q$6</f>
        <v>0.32341427474302747</v>
      </c>
      <c r="U95" s="20">
        <f>'[25]NBR 6118'!$R$6</f>
        <v>0.15757047544565747</v>
      </c>
      <c r="V95" s="20">
        <f>'[25]NBR 6118'!$W$6</f>
        <v>0.87539153025365268</v>
      </c>
      <c r="W95" s="20">
        <f t="shared" si="72"/>
        <v>-0.13308402955927079</v>
      </c>
      <c r="X95" s="20">
        <f>'[25]Clark (1956)'!$L$6</f>
        <v>0.25352299596731431</v>
      </c>
      <c r="Y95" s="20">
        <f t="shared" si="61"/>
        <v>1.4084610887073017</v>
      </c>
      <c r="Z95" s="20">
        <f t="shared" si="73"/>
        <v>0.34249768190177987</v>
      </c>
      <c r="AA95" s="20">
        <f>'[25]Leonhardt (1977)'!$L$6</f>
        <v>0.15698056442293562</v>
      </c>
      <c r="AB95" s="20">
        <f t="shared" si="82"/>
        <v>0.87211424679408678</v>
      </c>
      <c r="AC95" s="20">
        <f t="shared" si="83"/>
        <v>-0.13683484668943466</v>
      </c>
      <c r="AD95" s="20">
        <f>'[25]Desayi; Ganesan (1985)'!$L$6</f>
        <v>0.33749725165000705</v>
      </c>
      <c r="AE95" s="20">
        <f t="shared" si="62"/>
        <v>1.8749847313889281</v>
      </c>
      <c r="AF95" s="20">
        <f t="shared" si="76"/>
        <v>0.62860051612997925</v>
      </c>
      <c r="AG95" s="20">
        <f>'[25]Oh; Kang (1987)'!$L$6</f>
        <v>0.1890972996259063</v>
      </c>
      <c r="AH95" s="20">
        <f t="shared" si="63"/>
        <v>1.0505405534772572</v>
      </c>
      <c r="AI95" s="20">
        <f t="shared" si="77"/>
        <v>4.9304844534250346E-2</v>
      </c>
      <c r="AJ95" s="20">
        <f>'[25]Caldas (1997)'!$L$6</f>
        <v>0.1813917747860827</v>
      </c>
      <c r="AK95" s="20">
        <f t="shared" si="64"/>
        <v>1.0077320821449041</v>
      </c>
      <c r="AL95" s="20">
        <f t="shared" si="78"/>
        <v>7.7023427974372031E-3</v>
      </c>
      <c r="AM95" s="20">
        <v>0.26425482425649671</v>
      </c>
      <c r="AN95" s="20">
        <f t="shared" si="65"/>
        <v>1.4680823569805372</v>
      </c>
      <c r="AO95" s="20">
        <f t="shared" si="79"/>
        <v>0.38395703010407395</v>
      </c>
      <c r="AP95" s="20">
        <v>0.19681733910587482</v>
      </c>
      <c r="AQ95" s="20">
        <f t="shared" si="66"/>
        <v>1.0934296616993047</v>
      </c>
      <c r="AR95" s="20">
        <f t="shared" si="80"/>
        <v>8.9319235059685032E-2</v>
      </c>
      <c r="AS95" s="20">
        <v>0.20017356508671053</v>
      </c>
      <c r="AT95" s="20">
        <f t="shared" si="67"/>
        <v>1.1120753615928363</v>
      </c>
      <c r="AU95" s="20">
        <f t="shared" si="81"/>
        <v>0.10622796474860487</v>
      </c>
      <c r="AZ95" t="b">
        <f t="shared" si="55"/>
        <v>0</v>
      </c>
      <c r="BB95" t="b">
        <f t="shared" si="56"/>
        <v>1</v>
      </c>
      <c r="BD95" t="b">
        <f t="shared" si="57"/>
        <v>1</v>
      </c>
    </row>
    <row r="96" spans="1:56">
      <c r="A96" s="90"/>
      <c r="B96" s="21">
        <f>'[25]Dados de entrada'!$B$28</f>
        <v>16</v>
      </c>
      <c r="C96" s="21">
        <f>'[25]Dados de entrada'!$B$31</f>
        <v>2</v>
      </c>
      <c r="D96" s="21">
        <f>'[25]Dados de entrada'!$B$32</f>
        <v>138</v>
      </c>
      <c r="E96" s="20">
        <f>'[25]Dados de entrada'!$B$27</f>
        <v>3.2689999999999997</v>
      </c>
      <c r="F96" s="21">
        <f>'[25]Dados de entrada'!$B$30</f>
        <v>40</v>
      </c>
      <c r="G96" s="56">
        <f>'[25]Dados de entrada'!$B$22</f>
        <v>48</v>
      </c>
      <c r="H96" s="57">
        <f>'[25]Dados de entrada'!$B$29/(2*'[25]Dados de entrada'!$B$20*G96)</f>
        <v>1.6666666666666666E-2</v>
      </c>
      <c r="I96" s="27">
        <f>'[25]fib Model Code 2010'!$K$7</f>
        <v>264.70949624961241</v>
      </c>
      <c r="J96" s="19">
        <f>'[25]Dados de entrada'!$C$9</f>
        <v>0.2</v>
      </c>
      <c r="K96" s="20">
        <f>'[25]fib Model Code 2010'!$L$7</f>
        <v>0.2305286716222319</v>
      </c>
      <c r="L96" s="20">
        <f t="shared" si="59"/>
        <v>1.1526433581111595</v>
      </c>
      <c r="M96" s="54">
        <f t="shared" si="69"/>
        <v>0.14205787696964345</v>
      </c>
      <c r="N96" s="20">
        <f>'[25]fib Model Code 2020'!$L$7</f>
        <v>0.17439499286250298</v>
      </c>
      <c r="O96" s="20">
        <f t="shared" si="50"/>
        <v>0.87197496431251487</v>
      </c>
      <c r="P96" s="28">
        <f t="shared" si="70"/>
        <v>-0.13699456613610175</v>
      </c>
      <c r="Q96" s="20">
        <f>'[25]Eurocode 2'!$L$7</f>
        <v>0.23157933318920554</v>
      </c>
      <c r="R96" s="20">
        <f t="shared" si="60"/>
        <v>1.1578966659460277</v>
      </c>
      <c r="S96" s="20">
        <f t="shared" si="71"/>
        <v>0.14660514023478419</v>
      </c>
      <c r="T96" s="20">
        <f>'[25]NBR 6118'!$Q$7</f>
        <v>0.35931498345878993</v>
      </c>
      <c r="U96" s="20">
        <f>'[25]NBR 6118'!$R$7</f>
        <v>0.19449441343113166</v>
      </c>
      <c r="V96" s="20">
        <f>'[25]NBR 6118'!$W$7</f>
        <v>0.97247206715565826</v>
      </c>
      <c r="W96" s="20">
        <f t="shared" si="72"/>
        <v>-2.7913926621158359E-2</v>
      </c>
      <c r="X96" s="20">
        <f>'[25]Clark (1956)'!$L$7</f>
        <v>0.29490924373139349</v>
      </c>
      <c r="Y96" s="20">
        <f t="shared" si="61"/>
        <v>1.4745462186569673</v>
      </c>
      <c r="Z96" s="20">
        <f t="shared" si="73"/>
        <v>0.38835029409015792</v>
      </c>
      <c r="AA96" s="20">
        <f>'[25]Leonhardt (1977)'!$L$7</f>
        <v>0.26892161187916835</v>
      </c>
      <c r="AB96" s="20">
        <f t="shared" si="82"/>
        <v>1.3446080593958416</v>
      </c>
      <c r="AC96" s="20">
        <f t="shared" si="83"/>
        <v>0.2961025649332753</v>
      </c>
      <c r="AD96" s="20">
        <f>'[25]Desayi; Ganesan (1985)'!$L$7</f>
        <v>0.37496124588305235</v>
      </c>
      <c r="AE96" s="20">
        <f t="shared" si="62"/>
        <v>1.8748062294152616</v>
      </c>
      <c r="AF96" s="20">
        <f t="shared" si="76"/>
        <v>0.62850530977012231</v>
      </c>
      <c r="AG96" s="20">
        <f>'[25]Oh; Kang (1987)'!$L$7</f>
        <v>0.21432308798850738</v>
      </c>
      <c r="AH96" s="20">
        <f t="shared" si="63"/>
        <v>1.0716154399425368</v>
      </c>
      <c r="AI96" s="20">
        <f t="shared" si="77"/>
        <v>6.9167266892223092E-2</v>
      </c>
      <c r="AJ96" s="20">
        <f>'[25]Caldas (1997)'!$L$7</f>
        <v>0.20438458576451057</v>
      </c>
      <c r="AK96" s="20">
        <f t="shared" si="64"/>
        <v>1.0219229288225529</v>
      </c>
      <c r="AL96" s="20">
        <f t="shared" si="78"/>
        <v>2.1686076826871462E-2</v>
      </c>
      <c r="AM96" s="20">
        <v>0.29358851857133628</v>
      </c>
      <c r="AN96" s="20">
        <f t="shared" si="65"/>
        <v>1.4679425928566814</v>
      </c>
      <c r="AO96" s="20">
        <f t="shared" si="79"/>
        <v>0.38386182374421712</v>
      </c>
      <c r="AP96" s="20">
        <v>0.24293810635657515</v>
      </c>
      <c r="AQ96" s="20">
        <f t="shared" si="66"/>
        <v>1.2146905317828756</v>
      </c>
      <c r="AR96" s="20">
        <f t="shared" si="80"/>
        <v>0.19448933799779716</v>
      </c>
      <c r="AS96" s="20">
        <v>0.22407344153222955</v>
      </c>
      <c r="AT96" s="20">
        <f t="shared" si="67"/>
        <v>1.1203672076611477</v>
      </c>
      <c r="AU96" s="20">
        <f t="shared" si="81"/>
        <v>0.11365649555452007</v>
      </c>
      <c r="AZ96" t="b">
        <f t="shared" si="55"/>
        <v>0</v>
      </c>
      <c r="BB96" t="b">
        <f t="shared" si="56"/>
        <v>1</v>
      </c>
      <c r="BD96" t="b">
        <f t="shared" si="57"/>
        <v>1</v>
      </c>
    </row>
    <row r="97" spans="1:56">
      <c r="A97" s="90"/>
      <c r="B97" s="21">
        <f>'[25]Dados de entrada'!$B$28</f>
        <v>16</v>
      </c>
      <c r="C97" s="21">
        <f>'[25]Dados de entrada'!$B$31</f>
        <v>2</v>
      </c>
      <c r="D97" s="21">
        <f>'[25]Dados de entrada'!$B$32</f>
        <v>138</v>
      </c>
      <c r="E97" s="20">
        <f>'[25]Dados de entrada'!$B$27</f>
        <v>3.2689999999999997</v>
      </c>
      <c r="F97" s="21">
        <f>'[25]Dados de entrada'!$B$30</f>
        <v>40</v>
      </c>
      <c r="G97" s="56">
        <f>'[25]Dados de entrada'!$B$22</f>
        <v>48</v>
      </c>
      <c r="H97" s="57">
        <f>'[25]Dados de entrada'!$B$29/(2*'[25]Dados de entrada'!$B$20*G97)</f>
        <v>1.6666666666666666E-2</v>
      </c>
      <c r="I97" s="27">
        <f>'[25]fib Model Code 2010'!$K$8</f>
        <v>291.15776297001077</v>
      </c>
      <c r="J97" s="19">
        <f>'[25]Dados de entrada'!$C$10</f>
        <v>0.25</v>
      </c>
      <c r="K97" s="20">
        <f>'[25]fib Model Code 2010'!$L$8</f>
        <v>0.27473324113604009</v>
      </c>
      <c r="L97" s="20">
        <f t="shared" si="59"/>
        <v>1.0989329645441603</v>
      </c>
      <c r="M97" s="54">
        <f t="shared" si="69"/>
        <v>9.4339676786001039E-2</v>
      </c>
      <c r="N97" s="20">
        <f>'[25]fib Model Code 2020'!$L$8</f>
        <v>0.19711643896364461</v>
      </c>
      <c r="O97" s="20">
        <f t="shared" si="50"/>
        <v>0.78846575585457845</v>
      </c>
      <c r="P97" s="28">
        <f t="shared" si="70"/>
        <v>-0.23766630300269115</v>
      </c>
      <c r="Q97" s="20">
        <f>'[25]Eurocode 2'!$L$8</f>
        <v>0.25471742252070634</v>
      </c>
      <c r="R97" s="20">
        <f t="shared" si="60"/>
        <v>1.0188696900828254</v>
      </c>
      <c r="S97" s="20">
        <f t="shared" si="71"/>
        <v>1.8693865869720477E-2</v>
      </c>
      <c r="T97" s="20">
        <f>'[25]NBR 6118'!$Q$8</f>
        <v>0.39521569217455249</v>
      </c>
      <c r="U97" s="20">
        <f>'[25]NBR 6118'!$R$8</f>
        <v>0.23530157606629135</v>
      </c>
      <c r="V97" s="20">
        <f>'[25]NBR 6118'!$W$8</f>
        <v>0.94120630426516538</v>
      </c>
      <c r="W97" s="20">
        <f t="shared" si="72"/>
        <v>-6.0592924037076536E-2</v>
      </c>
      <c r="X97" s="20">
        <f>'[25]Clark (1956)'!$L$8</f>
        <v>0.33629549149547283</v>
      </c>
      <c r="Y97" s="20">
        <f t="shared" si="61"/>
        <v>1.3451819659818913</v>
      </c>
      <c r="Z97" s="20">
        <f t="shared" si="73"/>
        <v>0.29652929459569799</v>
      </c>
      <c r="AA97" s="20">
        <f>'[25]Leonhardt (1977)'!$L$8</f>
        <v>0.37272851383387728</v>
      </c>
      <c r="AB97" s="20">
        <f t="shared" si="82"/>
        <v>1.4909140553355091</v>
      </c>
      <c r="AC97" s="20">
        <f t="shared" si="83"/>
        <v>0.39938939182444577</v>
      </c>
      <c r="AD97" s="20">
        <f>'[25]Desayi; Ganesan (1985)'!$L$8</f>
        <v>0.41242524011609777</v>
      </c>
      <c r="AE97" s="20">
        <f t="shared" si="62"/>
        <v>1.6497009604643911</v>
      </c>
      <c r="AF97" s="20">
        <f t="shared" si="76"/>
        <v>0.50059403540505865</v>
      </c>
      <c r="AG97" s="20">
        <f>'[25]Oh; Kang (1987)'!$L$8</f>
        <v>0.23954887635110861</v>
      </c>
      <c r="AH97" s="20">
        <f t="shared" si="63"/>
        <v>0.95819550540443443</v>
      </c>
      <c r="AI97" s="20">
        <f t="shared" si="77"/>
        <v>-4.2703445209494893E-2</v>
      </c>
      <c r="AJ97" s="20">
        <f>'[25]Caldas (1997)'!$L$8</f>
        <v>0.22737739674293855</v>
      </c>
      <c r="AK97" s="20">
        <f t="shared" si="64"/>
        <v>0.90950958697175421</v>
      </c>
      <c r="AL97" s="20">
        <f t="shared" si="78"/>
        <v>-9.4849740154002118E-2</v>
      </c>
      <c r="AM97" s="20">
        <v>0.32292221288617595</v>
      </c>
      <c r="AN97" s="20">
        <f t="shared" si="65"/>
        <v>1.2916888515447038</v>
      </c>
      <c r="AO97" s="20">
        <f t="shared" si="79"/>
        <v>0.2559505493791534</v>
      </c>
      <c r="AP97" s="20">
        <v>0.29732680364536013</v>
      </c>
      <c r="AQ97" s="20">
        <f t="shared" si="66"/>
        <v>1.1893072145814405</v>
      </c>
      <c r="AR97" s="20">
        <f t="shared" si="80"/>
        <v>0.17337096497452001</v>
      </c>
      <c r="AS97" s="20">
        <v>0.25360582953271715</v>
      </c>
      <c r="AT97" s="20">
        <f t="shared" si="67"/>
        <v>1.0144233181308686</v>
      </c>
      <c r="AU97" s="20">
        <f t="shared" si="81"/>
        <v>1.4320291553017273E-2</v>
      </c>
      <c r="AZ97" t="b">
        <f t="shared" si="55"/>
        <v>0</v>
      </c>
      <c r="BB97" t="b">
        <f t="shared" si="56"/>
        <v>1</v>
      </c>
      <c r="BD97" t="b">
        <f t="shared" si="57"/>
        <v>1</v>
      </c>
    </row>
    <row r="98" spans="1:56">
      <c r="A98" s="90"/>
      <c r="B98" s="21">
        <f>'[25]Dados de entrada'!$B$28</f>
        <v>16</v>
      </c>
      <c r="C98" s="21">
        <f>'[25]Dados de entrada'!$B$31</f>
        <v>2</v>
      </c>
      <c r="D98" s="21">
        <f>'[25]Dados de entrada'!$B$32</f>
        <v>138</v>
      </c>
      <c r="E98" s="20">
        <f>'[25]Dados de entrada'!$B$27</f>
        <v>3.2689999999999997</v>
      </c>
      <c r="F98" s="21">
        <f>'[25]Dados de entrada'!$B$30</f>
        <v>40</v>
      </c>
      <c r="G98" s="56">
        <f>'[25]Dados de entrada'!$B$22</f>
        <v>48</v>
      </c>
      <c r="H98" s="57">
        <f>'[25]Dados de entrada'!$B$29/(2*'[25]Dados de entrada'!$B$20*G98)</f>
        <v>1.6666666666666666E-2</v>
      </c>
      <c r="I98" s="27">
        <f>'[25]fib Model Code 2010'!$K$9</f>
        <v>317.65139549953489</v>
      </c>
      <c r="J98" s="19">
        <f>'[25]Dados de entrada'!$C$11</f>
        <v>0.3</v>
      </c>
      <c r="K98" s="20">
        <f>'[25]fib Model Code 2010'!$L$9</f>
        <v>0.31901363323906562</v>
      </c>
      <c r="L98" s="20">
        <f t="shared" si="59"/>
        <v>1.0633787774635521</v>
      </c>
      <c r="M98" s="54">
        <f t="shared" si="69"/>
        <v>6.1451364641963775E-2</v>
      </c>
      <c r="N98" s="20">
        <f>'[25]fib Model Code 2020'!$L$9</f>
        <v>0.24075254686068898</v>
      </c>
      <c r="O98" s="20">
        <f t="shared" si="50"/>
        <v>0.80250848953562992</v>
      </c>
      <c r="P98" s="28">
        <f t="shared" si="70"/>
        <v>-0.22001284517332384</v>
      </c>
      <c r="Q98" s="20">
        <f>'[25]Eurocode 2'!$L$9</f>
        <v>0.27830327743026689</v>
      </c>
      <c r="R98" s="20">
        <f t="shared" si="60"/>
        <v>0.92767759143422301</v>
      </c>
      <c r="S98" s="20">
        <f t="shared" si="71"/>
        <v>-7.5071029584763624E-2</v>
      </c>
      <c r="T98" s="20">
        <f>'[25]NBR 6118'!$Q$9</f>
        <v>0.43117798015054798</v>
      </c>
      <c r="U98" s="20">
        <f>'[25]NBR 6118'!$R$9</f>
        <v>0.28007195534082957</v>
      </c>
      <c r="V98" s="20">
        <f>'[25]NBR 6118'!$W$9</f>
        <v>0.93357318446943194</v>
      </c>
      <c r="W98" s="20">
        <f t="shared" si="72"/>
        <v>-6.8735921141413484E-2</v>
      </c>
      <c r="X98" s="20">
        <f>'[25]Clark (1956)'!$L$8</f>
        <v>0.33629549149547283</v>
      </c>
      <c r="Y98" s="20">
        <f t="shared" si="61"/>
        <v>1.1209849716515761</v>
      </c>
      <c r="Z98" s="20">
        <f t="shared" si="73"/>
        <v>0.11420773780174334</v>
      </c>
      <c r="AA98" s="20">
        <f>'[25]Leonhardt (1977)'!$L$9</f>
        <v>0.47059657553398709</v>
      </c>
      <c r="AB98" s="20">
        <f t="shared" si="82"/>
        <v>1.568655251779957</v>
      </c>
      <c r="AC98" s="20">
        <f t="shared" si="83"/>
        <v>0.45021872480222774</v>
      </c>
      <c r="AD98" s="20">
        <f>'[25]Desayi; Ganesan (1985)'!$L$9</f>
        <v>0.44995349505966281</v>
      </c>
      <c r="AE98" s="20">
        <f t="shared" si="62"/>
        <v>1.4998449835322094</v>
      </c>
      <c r="AF98" s="20">
        <f t="shared" si="76"/>
        <v>0.40536175845591266</v>
      </c>
      <c r="AG98" s="20">
        <f>'[25]Oh; Kang (1987)'!$L$9</f>
        <v>0.26481793364743622</v>
      </c>
      <c r="AH98" s="20">
        <f t="shared" si="63"/>
        <v>0.88272644549145407</v>
      </c>
      <c r="AI98" s="20">
        <f t="shared" si="77"/>
        <v>-0.12473992763193092</v>
      </c>
      <c r="AJ98" s="20">
        <f>'[25]Caldas (1997)'!$L$9</f>
        <v>0.25040964650520592</v>
      </c>
      <c r="AK98" s="20">
        <f t="shared" si="64"/>
        <v>0.83469882168401976</v>
      </c>
      <c r="AL98" s="20">
        <f t="shared" si="78"/>
        <v>-0.18068431179048972</v>
      </c>
      <c r="AM98" s="20">
        <v>0.35230622228560349</v>
      </c>
      <c r="AN98" s="20">
        <f t="shared" si="65"/>
        <v>1.1743540742853451</v>
      </c>
      <c r="AO98" s="20">
        <f t="shared" si="79"/>
        <v>0.16071827243000736</v>
      </c>
      <c r="AP98" s="20">
        <v>0.36721458076330876</v>
      </c>
      <c r="AQ98" s="20">
        <f t="shared" si="66"/>
        <v>1.2240486025443627</v>
      </c>
      <c r="AR98" s="20">
        <f t="shared" si="80"/>
        <v>0.20216389126287471</v>
      </c>
      <c r="AS98" s="20">
        <v>0.30440104678502228</v>
      </c>
      <c r="AT98" s="20">
        <f t="shared" si="67"/>
        <v>1.0146701559500744</v>
      </c>
      <c r="AU98" s="20">
        <f t="shared" si="81"/>
        <v>1.4563590172402144E-2</v>
      </c>
      <c r="AZ98" t="b">
        <f t="shared" si="55"/>
        <v>0</v>
      </c>
      <c r="BB98" t="b">
        <f t="shared" si="56"/>
        <v>1</v>
      </c>
      <c r="BD98" t="b">
        <f t="shared" si="57"/>
        <v>1</v>
      </c>
    </row>
    <row r="99" spans="1:56">
      <c r="A99" s="90"/>
      <c r="B99" s="21">
        <f>'[25]Dados de entrada'!$B$28</f>
        <v>16</v>
      </c>
      <c r="C99" s="21">
        <f>'[25]Dados de entrada'!$B$31</f>
        <v>2</v>
      </c>
      <c r="D99" s="21">
        <f>'[25]Dados de entrada'!$B$32</f>
        <v>138</v>
      </c>
      <c r="E99" s="20">
        <f>'[25]Dados de entrada'!$B$27</f>
        <v>3.2689999999999997</v>
      </c>
      <c r="F99" s="21">
        <f>'[25]Dados de entrada'!$B$30</f>
        <v>40</v>
      </c>
      <c r="G99" s="56">
        <f>'[25]Dados de entrada'!$B$22</f>
        <v>48</v>
      </c>
      <c r="H99" s="57">
        <f>'[25]Dados de entrada'!$B$29/(2*'[25]Dados de entrada'!$B$20*G99)</f>
        <v>1.6666666666666666E-2</v>
      </c>
      <c r="I99" s="27">
        <f>'[25]fib Model Code 2010'!$K$10</f>
        <v>344.14502802905912</v>
      </c>
      <c r="J99" s="19">
        <f>'[25]Dados de entrada'!$C$12</f>
        <v>0.33</v>
      </c>
      <c r="K99" s="20">
        <f>'[25]fib Model Code 2010'!$L$10</f>
        <v>0.36329402534209126</v>
      </c>
      <c r="L99" s="20">
        <f t="shared" si="59"/>
        <v>1.100890985885125</v>
      </c>
      <c r="M99" s="54">
        <f t="shared" si="69"/>
        <v>9.6119839110044972E-2</v>
      </c>
      <c r="N99" s="20">
        <f>'[25]fib Model Code 2020'!$L$10</f>
        <v>0.28438865475773345</v>
      </c>
      <c r="O99" s="20">
        <f t="shared" si="50"/>
        <v>0.86178380229616192</v>
      </c>
      <c r="P99" s="28">
        <f t="shared" si="70"/>
        <v>-0.14875084917758616</v>
      </c>
      <c r="Q99" s="20">
        <f>'[25]Eurocode 2'!$L$10</f>
        <v>0.31693290627416754</v>
      </c>
      <c r="R99" s="20">
        <f t="shared" si="60"/>
        <v>0.96040274628535616</v>
      </c>
      <c r="S99" s="20">
        <f t="shared" si="71"/>
        <v>-4.0402555116682344E-2</v>
      </c>
      <c r="T99" s="20">
        <f>'[25]NBR 6118'!$Q$10</f>
        <v>0.46714026812654336</v>
      </c>
      <c r="U99" s="20">
        <f>'[25]NBR 6118'!$R$10</f>
        <v>0.32873889221541702</v>
      </c>
      <c r="V99" s="20">
        <f>'[25]NBR 6118'!$W$10</f>
        <v>0.99617846125883946</v>
      </c>
      <c r="W99" s="20">
        <f t="shared" si="72"/>
        <v>-3.8288594772718301E-3</v>
      </c>
      <c r="X99" s="20">
        <f>'[25]Clark (1956)'!$L$10</f>
        <v>0.41920996385987175</v>
      </c>
      <c r="Y99" s="20">
        <f t="shared" si="61"/>
        <v>1.2703332238177931</v>
      </c>
      <c r="Z99" s="20">
        <f t="shared" si="73"/>
        <v>0.23927924701352823</v>
      </c>
      <c r="AA99" s="20">
        <f>'[25]Leonhardt (1977)'!$L$10</f>
        <v>0.56375561051767764</v>
      </c>
      <c r="AB99" s="20">
        <f t="shared" si="82"/>
        <v>1.7083503349020535</v>
      </c>
      <c r="AC99" s="20">
        <f t="shared" si="83"/>
        <v>0.53552818844462735</v>
      </c>
      <c r="AD99" s="20">
        <f>'[25]Desayi; Ganesan (1985)'!$L$10</f>
        <v>0.48748175000322802</v>
      </c>
      <c r="AE99" s="20">
        <f t="shared" si="62"/>
        <v>1.477217424252206</v>
      </c>
      <c r="AF99" s="20">
        <f t="shared" si="76"/>
        <v>0.39016019938582114</v>
      </c>
      <c r="AG99" s="20">
        <f>'[25]Oh; Kang (1987)'!$L$10</f>
        <v>0.290086990943764</v>
      </c>
      <c r="AH99" s="20">
        <f t="shared" si="63"/>
        <v>0.87905148770837571</v>
      </c>
      <c r="AI99" s="20">
        <f t="shared" si="77"/>
        <v>-0.12891180769004307</v>
      </c>
      <c r="AJ99" s="20">
        <f>'[25]Caldas (1997)'!$L$10</f>
        <v>0.27344189626747334</v>
      </c>
      <c r="AK99" s="20">
        <f t="shared" si="64"/>
        <v>0.82861180687113134</v>
      </c>
      <c r="AL99" s="20">
        <f t="shared" si="78"/>
        <v>-0.18800350025965021</v>
      </c>
      <c r="AM99" s="20">
        <v>0.38169023168503119</v>
      </c>
      <c r="AN99" s="20">
        <f t="shared" si="65"/>
        <v>1.1566370657122156</v>
      </c>
      <c r="AO99" s="20">
        <f t="shared" si="79"/>
        <v>0.14551671335991564</v>
      </c>
      <c r="AP99" s="20">
        <v>0.43710235788125756</v>
      </c>
      <c r="AQ99" s="20">
        <f t="shared" si="66"/>
        <v>1.3245525996401744</v>
      </c>
      <c r="AR99" s="20">
        <f t="shared" si="80"/>
        <v>0.2810747417690676</v>
      </c>
      <c r="AS99" s="20">
        <v>0.35553303725031593</v>
      </c>
      <c r="AT99" s="20">
        <f t="shared" si="67"/>
        <v>1.0773728401524725</v>
      </c>
      <c r="AU99" s="20">
        <f t="shared" si="81"/>
        <v>7.4525522251983889E-2</v>
      </c>
      <c r="AZ99" t="b">
        <f t="shared" si="55"/>
        <v>0</v>
      </c>
      <c r="BB99" t="b">
        <f t="shared" si="56"/>
        <v>1</v>
      </c>
      <c r="BD99" t="b">
        <f t="shared" si="57"/>
        <v>1</v>
      </c>
    </row>
    <row r="100" spans="1:56">
      <c r="A100" s="86"/>
      <c r="B100" s="21">
        <f>'[25]Dados de entrada'!$B$28</f>
        <v>16</v>
      </c>
      <c r="C100" s="21">
        <f>'[25]Dados de entrada'!$B$31</f>
        <v>2</v>
      </c>
      <c r="D100" s="21">
        <f>'[25]Dados de entrada'!$B$32</f>
        <v>138</v>
      </c>
      <c r="E100" s="20">
        <f>'[25]Dados de entrada'!$B$27</f>
        <v>3.2689999999999997</v>
      </c>
      <c r="F100" s="21">
        <f>'[25]Dados de entrada'!$B$30</f>
        <v>40</v>
      </c>
      <c r="G100" s="56">
        <f>'[25]Dados de entrada'!$B$22</f>
        <v>48</v>
      </c>
      <c r="H100" s="57">
        <f>'[25]Dados de entrada'!$B$29/(2*'[25]Dados de entrada'!$B$20*G100)</f>
        <v>1.6666666666666666E-2</v>
      </c>
      <c r="I100" s="27">
        <f>'[25]fib Model Code 2010'!$K$11</f>
        <v>370.54792894033159</v>
      </c>
      <c r="J100" s="19">
        <f>'[25]Dados de entrada'!$C$13</f>
        <v>0.38</v>
      </c>
      <c r="K100" s="20">
        <f>'[25]fib Model Code 2010'!$L$11</f>
        <v>0.407422772266682</v>
      </c>
      <c r="L100" s="20">
        <f t="shared" si="59"/>
        <v>1.072165190175479</v>
      </c>
      <c r="M100" s="54">
        <f t="shared" si="69"/>
        <v>6.9680146090093834E-2</v>
      </c>
      <c r="N100" s="20">
        <f>'[25]fib Model Code 2020'!$L$11</f>
        <v>0.32787532392910324</v>
      </c>
      <c r="O100" s="20">
        <f t="shared" si="50"/>
        <v>0.86282979981342955</v>
      </c>
      <c r="P100" s="28">
        <f t="shared" si="70"/>
        <v>-0.14753782656864123</v>
      </c>
      <c r="Q100" s="20">
        <f>'[25]Eurocode 2'!$L$11</f>
        <v>0.35543024186860289</v>
      </c>
      <c r="R100" s="20">
        <f t="shared" si="60"/>
        <v>0.93534274175948129</v>
      </c>
      <c r="S100" s="20">
        <f t="shared" si="71"/>
        <v>-6.6842248136633378E-2</v>
      </c>
      <c r="T100" s="20">
        <f>'[25]NBR 6118'!$Q$11</f>
        <v>0.50297939758207311</v>
      </c>
      <c r="U100" s="20">
        <f>'[25]NBR 6118'!$R$11</f>
        <v>0.3811157253849613</v>
      </c>
      <c r="V100" s="20">
        <f>'[25]NBR 6118'!$W$11</f>
        <v>1.0029361194341087</v>
      </c>
      <c r="W100" s="20">
        <f t="shared" si="72"/>
        <v>2.9318174541371699E-3</v>
      </c>
      <c r="X100" s="20">
        <f>'[25]Clark (1956)'!$L$11</f>
        <v>0.46052522320583089</v>
      </c>
      <c r="Y100" s="20">
        <f t="shared" si="61"/>
        <v>1.2119084821206076</v>
      </c>
      <c r="Z100" s="20">
        <f t="shared" si="73"/>
        <v>0.19219637499463529</v>
      </c>
      <c r="AA100" s="20">
        <f>'[25]Leonhardt (1977)'!$L$11</f>
        <v>0.65291447916542988</v>
      </c>
      <c r="AB100" s="20">
        <f t="shared" si="82"/>
        <v>1.7181959978037629</v>
      </c>
      <c r="AC100" s="20">
        <f t="shared" si="83"/>
        <v>0.54127490192319361</v>
      </c>
      <c r="AD100" s="20">
        <f>'[25]Desayi; Ganesan (1985)'!$L$11</f>
        <v>0.5248814835257537</v>
      </c>
      <c r="AE100" s="20">
        <f t="shared" si="62"/>
        <v>1.3812670619098781</v>
      </c>
      <c r="AF100" s="20">
        <f t="shared" si="76"/>
        <v>0.32300123872157316</v>
      </c>
      <c r="AG100" s="20">
        <f>'[25]Oh; Kang (1987)'!$L$11</f>
        <v>0.31526951037263856</v>
      </c>
      <c r="AH100" s="20">
        <f t="shared" si="63"/>
        <v>0.82965660624378568</v>
      </c>
      <c r="AI100" s="20">
        <f t="shared" si="77"/>
        <v>-0.18674339121742026</v>
      </c>
      <c r="AJ100" s="20">
        <f>'[25]Caldas (1997)'!$L$11</f>
        <v>0.29639526846206188</v>
      </c>
      <c r="AK100" s="20">
        <f t="shared" si="64"/>
        <v>0.77998754858437336</v>
      </c>
      <c r="AL100" s="20">
        <f t="shared" si="78"/>
        <v>-0.24847732277928281</v>
      </c>
      <c r="AM100" s="20">
        <v>0.41097361091528284</v>
      </c>
      <c r="AN100" s="20">
        <f t="shared" si="65"/>
        <v>1.081509502408639</v>
      </c>
      <c r="AO100" s="20">
        <f t="shared" si="79"/>
        <v>7.8357752695667665E-2</v>
      </c>
      <c r="AP100" s="20">
        <v>0.50675079329674777</v>
      </c>
      <c r="AQ100" s="20">
        <f t="shared" si="66"/>
        <v>1.3335547192019679</v>
      </c>
      <c r="AR100" s="20">
        <f t="shared" si="80"/>
        <v>0.28784809807024109</v>
      </c>
      <c r="AS100" s="20">
        <v>0.40682496334771351</v>
      </c>
      <c r="AT100" s="20">
        <f t="shared" si="67"/>
        <v>1.0705920088097725</v>
      </c>
      <c r="AU100" s="20">
        <f t="shared" si="81"/>
        <v>6.8211774732746616E-2</v>
      </c>
      <c r="AZ100" t="b">
        <f t="shared" si="55"/>
        <v>0</v>
      </c>
      <c r="BB100" t="b">
        <f t="shared" si="56"/>
        <v>1</v>
      </c>
      <c r="BD100" t="b">
        <f t="shared" si="57"/>
        <v>1</v>
      </c>
    </row>
    <row r="101" spans="1:56">
      <c r="A101" s="87" t="s">
        <v>60</v>
      </c>
      <c r="B101" s="5">
        <f>'[26]Dados de entrada'!$B$28</f>
        <v>16</v>
      </c>
      <c r="C101" s="5">
        <f>'[26]Dados de entrada'!$B$31</f>
        <v>2</v>
      </c>
      <c r="D101" s="5">
        <f>'[26]Dados de entrada'!$B$32</f>
        <v>168</v>
      </c>
      <c r="E101" s="11">
        <f>'[26]Dados de entrada'!$B$27</f>
        <v>3.2689999999999997</v>
      </c>
      <c r="F101" s="5">
        <f>'[26]Dados de entrada'!$B$30</f>
        <v>25</v>
      </c>
      <c r="G101" s="12">
        <f>'[26]Dados de entrada'!$B$22</f>
        <v>33</v>
      </c>
      <c r="H101" s="52">
        <f>'[26]Dados de entrada'!$B$29/(2*'[26]Dados de entrada'!$B$20*G101)</f>
        <v>2.4242424242424242E-2</v>
      </c>
      <c r="I101" s="53">
        <f>'[26]fib Model Code 2010'!$K$5</f>
        <v>211.76759699968994</v>
      </c>
      <c r="J101" s="4">
        <f>'[26]Dados de entrada'!$C$7</f>
        <v>0.15</v>
      </c>
      <c r="K101" s="11">
        <f>'[26]fib Model Code 2010'!$L$5</f>
        <v>0.13409248123173162</v>
      </c>
      <c r="L101" s="11">
        <f t="shared" si="59"/>
        <v>0.89394987487821087</v>
      </c>
      <c r="M101" s="29">
        <f t="shared" si="69"/>
        <v>-0.1121055737494043</v>
      </c>
      <c r="N101" s="11">
        <f>'[26]fib Model Code 2020'!$L$5</f>
        <v>9.9274752045339976E-2</v>
      </c>
      <c r="O101" s="11">
        <f t="shared" si="50"/>
        <v>0.66183168030226658</v>
      </c>
      <c r="P101" s="55">
        <f t="shared" si="70"/>
        <v>-0.41274401473665567</v>
      </c>
      <c r="Q101" s="11">
        <f>'[26]Eurocode 2'!$L$5</f>
        <v>0.14310195367254047</v>
      </c>
      <c r="R101" s="11">
        <f t="shared" si="60"/>
        <v>0.95401302448360314</v>
      </c>
      <c r="S101" s="11">
        <f t="shared" si="71"/>
        <v>-4.7077955128509243E-2</v>
      </c>
      <c r="T101" s="11">
        <f>'[26]NBR 6118'!$Q$5</f>
        <v>0.2642822803837333</v>
      </c>
      <c r="U101" s="11">
        <f>'[26]NBR 6118'!$R$5</f>
        <v>0.12447642459592426</v>
      </c>
      <c r="V101" s="11">
        <f>'[26]NBR 6118'!$W$5</f>
        <v>0.82984283063949504</v>
      </c>
      <c r="W101" s="11">
        <f t="shared" si="72"/>
        <v>-0.18651895679779695</v>
      </c>
      <c r="X101" s="11">
        <f>'[26]Clark (1956)'!$L$5</f>
        <v>0.14579520985226643</v>
      </c>
      <c r="Y101" s="11">
        <f t="shared" si="61"/>
        <v>0.97196806568177629</v>
      </c>
      <c r="Z101" s="11">
        <f t="shared" si="73"/>
        <v>-2.8432329298265901E-2</v>
      </c>
      <c r="AA101" s="11">
        <f>'[26]Leonhardt (1977)'!$L$5</f>
        <v>0.10853508175017515</v>
      </c>
      <c r="AB101" s="11">
        <f t="shared" si="82"/>
        <v>0.72356721166783433</v>
      </c>
      <c r="AC101" s="11">
        <f t="shared" si="83"/>
        <v>-0.32356183927395088</v>
      </c>
      <c r="AD101" s="11">
        <f>'[26]Desayi; Ganesan (1985)'!$L$5</f>
        <v>0.21268829038166062</v>
      </c>
      <c r="AE101" s="11">
        <f t="shared" si="62"/>
        <v>1.4179219358777375</v>
      </c>
      <c r="AF101" s="11">
        <f t="shared" si="76"/>
        <v>0.34919237432210432</v>
      </c>
      <c r="AG101" s="11">
        <f>'[26]Oh; Kang (1987)'!$L$5</f>
        <v>0.14641282095142341</v>
      </c>
      <c r="AH101" s="11">
        <f t="shared" si="63"/>
        <v>0.97608547300948945</v>
      </c>
      <c r="AI101" s="11">
        <f t="shared" si="77"/>
        <v>-2.4205121598689157E-2</v>
      </c>
      <c r="AJ101" s="11">
        <f>'[26]Caldas (1997)'!$L$5</f>
        <v>0.13474689552984886</v>
      </c>
      <c r="AK101" s="11">
        <f t="shared" si="64"/>
        <v>0.8983126368656591</v>
      </c>
      <c r="AL101" s="11">
        <f t="shared" si="78"/>
        <v>-0.10723712331207109</v>
      </c>
      <c r="AM101" s="11" cm="1">
        <f t="array" ref="AM101:AM107">'[26]Gergely e Lutz (1968)'!$L$5:$L$11</f>
        <v>0.17296156171576588</v>
      </c>
      <c r="AN101" s="11">
        <f t="shared" si="65"/>
        <v>1.1530770781051058</v>
      </c>
      <c r="AO101" s="11">
        <f t="shared" si="79"/>
        <v>0.14243408910035055</v>
      </c>
      <c r="AP101" s="11" cm="1">
        <f t="array" ref="AP101:AP107">[26]Sugestão!$M$5:$M$11</f>
        <v>0.1106344620337962</v>
      </c>
      <c r="AQ101" s="11">
        <f t="shared" si="66"/>
        <v>0.73756308022530803</v>
      </c>
      <c r="AR101" s="11">
        <f t="shared" si="80"/>
        <v>-0.30440366191696638</v>
      </c>
      <c r="AS101" s="11" cm="1">
        <f t="array" ref="AS101:AS107">'[26]fib Model Code 2020 modificado'!$L$5:$L$11</f>
        <v>0.14799982537652959</v>
      </c>
      <c r="AT101" s="11">
        <f t="shared" si="67"/>
        <v>0.98666550251019725</v>
      </c>
      <c r="AU101" s="11">
        <f t="shared" si="81"/>
        <v>-1.3424200221150357E-2</v>
      </c>
      <c r="AZ101" t="b">
        <f t="shared" si="55"/>
        <v>0</v>
      </c>
      <c r="BB101" t="b">
        <f t="shared" si="56"/>
        <v>1</v>
      </c>
      <c r="BD101" t="b">
        <f t="shared" si="57"/>
        <v>1</v>
      </c>
    </row>
    <row r="102" spans="1:56">
      <c r="A102" s="88"/>
      <c r="B102" s="5">
        <f>'[26]Dados de entrada'!$B$28</f>
        <v>16</v>
      </c>
      <c r="C102" s="5">
        <f>'[26]Dados de entrada'!$B$31</f>
        <v>2</v>
      </c>
      <c r="D102" s="5">
        <f>'[26]Dados de entrada'!$B$32</f>
        <v>168</v>
      </c>
      <c r="E102" s="11">
        <f>'[26]Dados de entrada'!$B$27</f>
        <v>3.2689999999999997</v>
      </c>
      <c r="F102" s="5">
        <f>'[26]Dados de entrada'!$B$30</f>
        <v>25</v>
      </c>
      <c r="G102" s="12">
        <f>'[26]Dados de entrada'!$B$22</f>
        <v>33</v>
      </c>
      <c r="H102" s="52">
        <f>'[26]Dados de entrada'!$B$29/(2*'[26]Dados de entrada'!$B$20*G102)</f>
        <v>2.4242424242424242E-2</v>
      </c>
      <c r="I102" s="53">
        <f>'[26]fib Model Code 2010'!$K$6</f>
        <v>238.26122952921412</v>
      </c>
      <c r="J102" s="4">
        <f>'[26]Dados de entrada'!$C$8</f>
        <v>0.18</v>
      </c>
      <c r="K102" s="11">
        <f>'[26]fib Model Code 2010'!$L$6</f>
        <v>0.1710731766375258</v>
      </c>
      <c r="L102" s="11">
        <f t="shared" si="59"/>
        <v>0.95040653687514343</v>
      </c>
      <c r="M102" s="29">
        <f t="shared" si="69"/>
        <v>-5.0865452372217082E-2</v>
      </c>
      <c r="N102" s="11">
        <f>'[26]fib Model Code 2020'!$L$6</f>
        <v>0.11617858999591686</v>
      </c>
      <c r="O102" s="11">
        <f t="shared" si="50"/>
        <v>0.64543661108842698</v>
      </c>
      <c r="P102" s="55">
        <f t="shared" si="70"/>
        <v>-0.43782827477477715</v>
      </c>
      <c r="Q102" s="11">
        <f>'[26]Eurocode 2'!$L$6</f>
        <v>0.16100502585436646</v>
      </c>
      <c r="R102" s="11">
        <f t="shared" si="60"/>
        <v>0.89447236585759149</v>
      </c>
      <c r="S102" s="11">
        <f t="shared" si="71"/>
        <v>-0.11152126990622352</v>
      </c>
      <c r="T102" s="11">
        <f>'[26]NBR 6118'!$Q$6</f>
        <v>0.29734587330234952</v>
      </c>
      <c r="U102" s="11">
        <f>'[26]NBR 6118'!$R$6</f>
        <v>0.15757047544565744</v>
      </c>
      <c r="V102" s="11">
        <f>'[26]NBR 6118'!$W$6</f>
        <v>0.87539153025365246</v>
      </c>
      <c r="W102" s="11">
        <f t="shared" si="72"/>
        <v>-0.13308402955927107</v>
      </c>
      <c r="X102" s="11">
        <f>'[26]Clark (1956)'!$L$6</f>
        <v>0.17429705972752854</v>
      </c>
      <c r="Y102" s="11">
        <f t="shared" si="61"/>
        <v>0.96831699848626973</v>
      </c>
      <c r="Z102" s="11">
        <f t="shared" si="73"/>
        <v>-3.2195767539631034E-2</v>
      </c>
      <c r="AA102" s="11">
        <f>'[26]Leonhardt (1977)'!$L$6</f>
        <v>0.21393535237281311</v>
      </c>
      <c r="AB102" s="11">
        <f t="shared" si="82"/>
        <v>1.1885297354045172</v>
      </c>
      <c r="AC102" s="11">
        <f t="shared" si="83"/>
        <v>0.17271702677692044</v>
      </c>
      <c r="AD102" s="11">
        <f>'[26]Desayi; Ganesan (1985)'!$L$6</f>
        <v>0.23929710820147421</v>
      </c>
      <c r="AE102" s="11">
        <f t="shared" si="62"/>
        <v>1.3294283788970789</v>
      </c>
      <c r="AF102" s="11">
        <f t="shared" si="76"/>
        <v>0.28474905954438984</v>
      </c>
      <c r="AG102" s="11">
        <f>'[26]Oh; Kang (1987)'!$L$6</f>
        <v>0.16899570354193333</v>
      </c>
      <c r="AH102" s="11">
        <f t="shared" si="63"/>
        <v>0.93886501967740743</v>
      </c>
      <c r="AI102" s="11">
        <f t="shared" si="77"/>
        <v>-6.3083559119099311E-2</v>
      </c>
      <c r="AJ102" s="11">
        <f>'[26]Caldas (1997)'!$L$6</f>
        <v>0.1542959678316207</v>
      </c>
      <c r="AK102" s="11">
        <f t="shared" si="64"/>
        <v>0.85719982128678163</v>
      </c>
      <c r="AL102" s="11">
        <f t="shared" si="78"/>
        <v>-0.1540842238675926</v>
      </c>
      <c r="AM102" s="11">
        <v>0.19460028323290537</v>
      </c>
      <c r="AN102" s="11">
        <f t="shared" si="65"/>
        <v>1.0811126846272521</v>
      </c>
      <c r="AO102" s="11">
        <f t="shared" si="79"/>
        <v>7.7990774322636014E-2</v>
      </c>
      <c r="AP102" s="11">
        <v>0.14377344806676662</v>
      </c>
      <c r="AQ102" s="11">
        <f t="shared" si="66"/>
        <v>0.7987413781487035</v>
      </c>
      <c r="AR102" s="11">
        <f t="shared" si="80"/>
        <v>-0.22471806752867698</v>
      </c>
      <c r="AS102" s="11">
        <v>0.17355831696087226</v>
      </c>
      <c r="AT102" s="11">
        <f t="shared" si="67"/>
        <v>0.96421287200484596</v>
      </c>
      <c r="AU102" s="11">
        <f t="shared" si="81"/>
        <v>-3.6443187167297865E-2</v>
      </c>
      <c r="AZ102" t="b">
        <f t="shared" si="55"/>
        <v>0</v>
      </c>
      <c r="BB102" t="b">
        <f t="shared" si="56"/>
        <v>1</v>
      </c>
      <c r="BD102" t="b">
        <f t="shared" si="57"/>
        <v>1</v>
      </c>
    </row>
    <row r="103" spans="1:56">
      <c r="A103" s="88"/>
      <c r="B103" s="5">
        <f>'[26]Dados de entrada'!$B$28</f>
        <v>16</v>
      </c>
      <c r="C103" s="5">
        <f>'[26]Dados de entrada'!$B$31</f>
        <v>2</v>
      </c>
      <c r="D103" s="5">
        <f>'[26]Dados de entrada'!$B$32</f>
        <v>168</v>
      </c>
      <c r="E103" s="11">
        <f>'[26]Dados de entrada'!$B$27</f>
        <v>3.2689999999999997</v>
      </c>
      <c r="F103" s="5">
        <f>'[26]Dados de entrada'!$B$30</f>
        <v>25</v>
      </c>
      <c r="G103" s="12">
        <f>'[26]Dados de entrada'!$B$22</f>
        <v>33</v>
      </c>
      <c r="H103" s="52">
        <f>'[26]Dados de entrada'!$B$29/(2*'[26]Dados de entrada'!$B$20*G103)</f>
        <v>2.4242424242424242E-2</v>
      </c>
      <c r="I103" s="53">
        <f>'[26]fib Model Code 2010'!$K$7</f>
        <v>264.70949624961241</v>
      </c>
      <c r="J103" s="4">
        <f>'[26]Dados de entrada'!$C$9</f>
        <v>0.2</v>
      </c>
      <c r="K103" s="11">
        <f>'[26]fib Model Code 2010'!$L$7</f>
        <v>0.20799054893474836</v>
      </c>
      <c r="L103" s="11">
        <f t="shared" si="59"/>
        <v>1.0399527446737418</v>
      </c>
      <c r="M103" s="29">
        <f t="shared" si="69"/>
        <v>3.9175274307242727E-2</v>
      </c>
      <c r="N103" s="11">
        <f>'[26]fib Model Code 2020'!$L$7</f>
        <v>0.14717536615403232</v>
      </c>
      <c r="O103" s="11">
        <f t="shared" ref="O103:O166" si="84">N103/J103</f>
        <v>0.73587683077016153</v>
      </c>
      <c r="P103" s="55">
        <f t="shared" si="70"/>
        <v>-0.30669252375481348</v>
      </c>
      <c r="Q103" s="11">
        <f>'[26]Eurocode 2'!$L$7</f>
        <v>0.1788774420906756</v>
      </c>
      <c r="R103" s="11">
        <f t="shared" si="60"/>
        <v>0.89438721045337799</v>
      </c>
      <c r="S103" s="11">
        <f t="shared" si="71"/>
        <v>-0.11161647626608037</v>
      </c>
      <c r="T103" s="11">
        <f>'[26]NBR 6118'!$Q$7</f>
        <v>0.33035285047966667</v>
      </c>
      <c r="U103" s="11">
        <f>'[26]NBR 6118'!$R$7</f>
        <v>0.19449441343113166</v>
      </c>
      <c r="V103" s="11">
        <f>'[26]NBR 6118'!$W$7</f>
        <v>0.97247206715565826</v>
      </c>
      <c r="W103" s="11">
        <f t="shared" si="72"/>
        <v>-2.7913926621158359E-2</v>
      </c>
      <c r="X103" s="11">
        <f>'[26]Clark (1956)'!$L$7</f>
        <v>0.20275010506533303</v>
      </c>
      <c r="Y103" s="11">
        <f t="shared" si="61"/>
        <v>1.013750525326665</v>
      </c>
      <c r="Z103" s="11">
        <f t="shared" si="73"/>
        <v>1.3656844648747153E-2</v>
      </c>
      <c r="AA103" s="11">
        <f>'[26]Leonhardt (1977)'!$L$7</f>
        <v>0.3105283279517595</v>
      </c>
      <c r="AB103" s="11">
        <f t="shared" si="82"/>
        <v>1.5526416397587974</v>
      </c>
      <c r="AC103" s="11">
        <f t="shared" si="83"/>
        <v>0.43995776400298875</v>
      </c>
      <c r="AD103" s="11">
        <f>'[26]Desayi; Ganesan (1985)'!$L$7</f>
        <v>0.26586036297707577</v>
      </c>
      <c r="AE103" s="11">
        <f t="shared" si="62"/>
        <v>1.3293018148853788</v>
      </c>
      <c r="AF103" s="11">
        <f t="shared" si="76"/>
        <v>0.28465385318453301</v>
      </c>
      <c r="AG103" s="11">
        <f>'[26]Oh; Kang (1987)'!$L$7</f>
        <v>0.19153991681293903</v>
      </c>
      <c r="AH103" s="11">
        <f t="shared" si="63"/>
        <v>0.95769958406469513</v>
      </c>
      <c r="AI103" s="11">
        <f t="shared" si="77"/>
        <v>-4.3221136761126225E-2</v>
      </c>
      <c r="AJ103" s="11">
        <f>'[26]Caldas (1997)'!$L$7</f>
        <v>0.17381156569451961</v>
      </c>
      <c r="AK103" s="11">
        <f t="shared" si="64"/>
        <v>0.86905782847259805</v>
      </c>
      <c r="AL103" s="11">
        <f t="shared" si="78"/>
        <v>-0.14034560993244502</v>
      </c>
      <c r="AM103" s="11">
        <v>0.21620195214470733</v>
      </c>
      <c r="AN103" s="11">
        <f t="shared" si="65"/>
        <v>1.0810097607235365</v>
      </c>
      <c r="AO103" s="11">
        <f t="shared" si="79"/>
        <v>7.7895567962779161E-2</v>
      </c>
      <c r="AP103" s="11">
        <v>0.18990028944419676</v>
      </c>
      <c r="AQ103" s="11">
        <f t="shared" si="66"/>
        <v>0.94950144722098373</v>
      </c>
      <c r="AR103" s="11">
        <f t="shared" si="80"/>
        <v>-5.1818224538242183E-2</v>
      </c>
      <c r="AS103" s="11">
        <v>0.21376252174526569</v>
      </c>
      <c r="AT103" s="11">
        <f t="shared" si="67"/>
        <v>1.0688126087263283</v>
      </c>
      <c r="AU103" s="11">
        <f t="shared" si="81"/>
        <v>6.6548320817418433E-2</v>
      </c>
      <c r="AZ103" t="b">
        <f t="shared" si="55"/>
        <v>0</v>
      </c>
      <c r="BB103" t="b">
        <f t="shared" si="56"/>
        <v>1</v>
      </c>
      <c r="BD103" t="b">
        <f t="shared" si="57"/>
        <v>1</v>
      </c>
    </row>
    <row r="104" spans="1:56">
      <c r="A104" s="88"/>
      <c r="B104" s="5">
        <f>'[26]Dados de entrada'!$B$28</f>
        <v>16</v>
      </c>
      <c r="C104" s="5">
        <f>'[26]Dados de entrada'!$B$31</f>
        <v>2</v>
      </c>
      <c r="D104" s="5">
        <f>'[26]Dados de entrada'!$B$32</f>
        <v>168</v>
      </c>
      <c r="E104" s="11">
        <f>'[26]Dados de entrada'!$B$27</f>
        <v>3.2689999999999997</v>
      </c>
      <c r="F104" s="5">
        <f>'[26]Dados de entrada'!$B$30</f>
        <v>25</v>
      </c>
      <c r="G104" s="12">
        <f>'[26]Dados de entrada'!$B$22</f>
        <v>33</v>
      </c>
      <c r="H104" s="52">
        <f>'[26]Dados de entrada'!$B$29/(2*'[26]Dados de entrada'!$B$20*G104)</f>
        <v>2.4242424242424242E-2</v>
      </c>
      <c r="I104" s="53">
        <f>'[26]fib Model Code 2010'!$K$8</f>
        <v>291.15776297001071</v>
      </c>
      <c r="J104" s="4">
        <f>'[26]Dados de entrada'!$C$10</f>
        <v>0.23</v>
      </c>
      <c r="K104" s="11">
        <f>'[26]fib Model Code 2010'!$L$8</f>
        <v>0.24490792123197097</v>
      </c>
      <c r="L104" s="11">
        <f t="shared" si="59"/>
        <v>1.0648170488346564</v>
      </c>
      <c r="M104" s="29">
        <f t="shared" si="69"/>
        <v>6.2802999272854682E-2</v>
      </c>
      <c r="N104" s="11">
        <f>'[26]fib Model Code 2020'!$L$8</f>
        <v>0.17817214231214781</v>
      </c>
      <c r="O104" s="11">
        <f t="shared" si="84"/>
        <v>0.77466148831368609</v>
      </c>
      <c r="P104" s="55">
        <f t="shared" si="70"/>
        <v>-0.2553291343216742</v>
      </c>
      <c r="Q104" s="11">
        <f>'[26]Eurocode 2'!$L$8</f>
        <v>0.19760779435522915</v>
      </c>
      <c r="R104" s="11">
        <f t="shared" si="60"/>
        <v>0.85916432328360504</v>
      </c>
      <c r="S104" s="11">
        <f t="shared" si="71"/>
        <v>-0.15179507926980965</v>
      </c>
      <c r="T104" s="11">
        <f>'[26]NBR 6118'!$Q$8</f>
        <v>0.36335982765698382</v>
      </c>
      <c r="U104" s="11">
        <f>'[26]NBR 6118'!$R$8</f>
        <v>0.23530157606629135</v>
      </c>
      <c r="V104" s="11">
        <f>'[26]NBR 6118'!$W$8</f>
        <v>1.0230503307230059</v>
      </c>
      <c r="W104" s="11">
        <f t="shared" si="72"/>
        <v>2.2788684901974551E-2</v>
      </c>
      <c r="X104" s="11">
        <f>'[26]Clark (1956)'!$L$8</f>
        <v>0.23120315040313752</v>
      </c>
      <c r="Y104" s="11">
        <f t="shared" si="61"/>
        <v>1.0052310887092935</v>
      </c>
      <c r="Z104" s="11">
        <f t="shared" si="73"/>
        <v>5.2174540933380255E-3</v>
      </c>
      <c r="AA104" s="11">
        <f>'[26]Leonhardt (1977)'!$L$8</f>
        <v>0.40085214401713148</v>
      </c>
      <c r="AB104" s="11">
        <f t="shared" si="82"/>
        <v>1.7428354087701368</v>
      </c>
      <c r="AC104" s="11">
        <f t="shared" si="83"/>
        <v>0.55551333222835142</v>
      </c>
      <c r="AD104" s="11">
        <f>'[26]Desayi; Ganesan (1985)'!$L$8</f>
        <v>0.29242361775267733</v>
      </c>
      <c r="AE104" s="11">
        <f t="shared" si="62"/>
        <v>1.2714070337072927</v>
      </c>
      <c r="AF104" s="11">
        <f t="shared" si="76"/>
        <v>0.24012418775852012</v>
      </c>
      <c r="AG104" s="11">
        <f>'[26]Oh; Kang (1987)'!$L$8</f>
        <v>0.2140841300839447</v>
      </c>
      <c r="AH104" s="11">
        <f t="shared" si="63"/>
        <v>0.93080056558236823</v>
      </c>
      <c r="AI104" s="11">
        <f t="shared" si="77"/>
        <v>-7.1710239923793676E-2</v>
      </c>
      <c r="AJ104" s="11">
        <f>'[26]Caldas (1997)'!$L$8</f>
        <v>0.19332716355741852</v>
      </c>
      <c r="AK104" s="11">
        <f t="shared" si="64"/>
        <v>0.84055288503225445</v>
      </c>
      <c r="AL104" s="11">
        <f t="shared" si="78"/>
        <v>-0.17369540719410112</v>
      </c>
      <c r="AM104" s="11">
        <v>0.23780362105650929</v>
      </c>
      <c r="AN104" s="11">
        <f t="shared" si="65"/>
        <v>1.0339287872022143</v>
      </c>
      <c r="AO104" s="11">
        <f t="shared" si="79"/>
        <v>3.3365902536766433E-2</v>
      </c>
      <c r="AP104" s="11">
        <v>0.23602713082162688</v>
      </c>
      <c r="AQ104" s="11">
        <f t="shared" si="66"/>
        <v>1.026204916615769</v>
      </c>
      <c r="AR104" s="11">
        <f t="shared" si="80"/>
        <v>2.5867450603481244E-2</v>
      </c>
      <c r="AS104" s="11">
        <v>0.25453383476385971</v>
      </c>
      <c r="AT104" s="11">
        <f t="shared" si="67"/>
        <v>1.1066688467993899</v>
      </c>
      <c r="AU104" s="11">
        <f t="shared" si="81"/>
        <v>0.10135446425779576</v>
      </c>
      <c r="AZ104" t="b">
        <f t="shared" si="55"/>
        <v>0</v>
      </c>
      <c r="BB104" t="b">
        <f t="shared" si="56"/>
        <v>1</v>
      </c>
      <c r="BD104" t="b">
        <f t="shared" si="57"/>
        <v>1</v>
      </c>
    </row>
    <row r="105" spans="1:56">
      <c r="A105" s="88"/>
      <c r="B105" s="5">
        <f>'[26]Dados de entrada'!$B$28</f>
        <v>16</v>
      </c>
      <c r="C105" s="5">
        <f>'[26]Dados de entrada'!$B$31</f>
        <v>2</v>
      </c>
      <c r="D105" s="5">
        <f>'[26]Dados de entrada'!$B$32</f>
        <v>168</v>
      </c>
      <c r="E105" s="11">
        <f>'[26]Dados de entrada'!$B$27</f>
        <v>3.2689999999999997</v>
      </c>
      <c r="F105" s="5">
        <f>'[26]Dados de entrada'!$B$30</f>
        <v>25</v>
      </c>
      <c r="G105" s="12">
        <f>'[26]Dados de entrada'!$B$22</f>
        <v>33</v>
      </c>
      <c r="H105" s="52">
        <f>'[26]Dados de entrada'!$B$29/(2*'[26]Dados de entrada'!$B$20*G105)</f>
        <v>2.4242424242424242E-2</v>
      </c>
      <c r="I105" s="53">
        <f>'[26]fib Model Code 2010'!$K$9</f>
        <v>317.65139549953489</v>
      </c>
      <c r="J105" s="4">
        <f>'[26]Dados de entrada'!$C$11</f>
        <v>0.25</v>
      </c>
      <c r="K105" s="11">
        <f>'[26]fib Model Code 2010'!$L$9</f>
        <v>0.28188861663776515</v>
      </c>
      <c r="L105" s="11">
        <f t="shared" ref="L105:L124" si="85">K105/J105</f>
        <v>1.1275544665510606</v>
      </c>
      <c r="M105" s="29">
        <f t="shared" si="69"/>
        <v>0.12005109859029306</v>
      </c>
      <c r="N105" s="11">
        <f>'[26]fib Model Code 2020'!$L$9</f>
        <v>0.20922208618236979</v>
      </c>
      <c r="O105" s="11">
        <f t="shared" si="84"/>
        <v>0.83688834472947915</v>
      </c>
      <c r="P105" s="55">
        <f t="shared" si="70"/>
        <v>-0.17806461675855714</v>
      </c>
      <c r="Q105" s="11">
        <f>'[26]Eurocode 2'!$L$9</f>
        <v>0.22744624799160579</v>
      </c>
      <c r="R105" s="11">
        <f t="shared" si="60"/>
        <v>0.90978499196642315</v>
      </c>
      <c r="S105" s="11">
        <f t="shared" si="71"/>
        <v>-9.4546979952371227E-2</v>
      </c>
      <c r="T105" s="11">
        <f>'[26]NBR 6118'!$Q$9</f>
        <v>0.39642342057560004</v>
      </c>
      <c r="U105" s="11">
        <f>'[26]NBR 6118'!$R$9</f>
        <v>0.28007195534082957</v>
      </c>
      <c r="V105" s="11">
        <f>'[26]NBR 6118'!$W$9</f>
        <v>1.1202878213633183</v>
      </c>
      <c r="W105" s="11">
        <f t="shared" si="72"/>
        <v>0.11358563565254111</v>
      </c>
      <c r="X105" s="11">
        <f>'[26]Clark (1956)'!$L$9</f>
        <v>0.25970500027839966</v>
      </c>
      <c r="Y105" s="11">
        <f t="shared" si="61"/>
        <v>1.0388200011135986</v>
      </c>
      <c r="Z105" s="11">
        <f t="shared" si="73"/>
        <v>3.8085454677316756E-2</v>
      </c>
      <c r="AA105" s="11">
        <f>'[26]Leonhardt (1977)'!$L$9</f>
        <v>0.48661646663274533</v>
      </c>
      <c r="AB105" s="11">
        <f t="shared" si="82"/>
        <v>1.9464658665309813</v>
      </c>
      <c r="AC105" s="11">
        <f t="shared" si="83"/>
        <v>0.66601535209698814</v>
      </c>
      <c r="AD105" s="11">
        <f>'[26]Desayi; Ganesan (1985)'!$L$9</f>
        <v>0.31903243557249095</v>
      </c>
      <c r="AE105" s="11">
        <f t="shared" si="62"/>
        <v>1.2761297422899638</v>
      </c>
      <c r="AF105" s="11">
        <f t="shared" si="76"/>
        <v>0.24383185866427801</v>
      </c>
      <c r="AG105" s="11">
        <f>'[26]Oh; Kang (1987)'!$L$9</f>
        <v>0.23666701267445472</v>
      </c>
      <c r="AH105" s="11">
        <f t="shared" si="63"/>
        <v>0.9466680506978189</v>
      </c>
      <c r="AI105" s="11">
        <f t="shared" si="77"/>
        <v>-5.4806774491325476E-2</v>
      </c>
      <c r="AJ105" s="11">
        <f>'[26]Caldas (1997)'!$L$9</f>
        <v>0.21287623585919035</v>
      </c>
      <c r="AK105" s="11">
        <f t="shared" si="64"/>
        <v>0.85150494343676142</v>
      </c>
      <c r="AL105" s="11">
        <f t="shared" si="78"/>
        <v>-0.16074997333340257</v>
      </c>
      <c r="AM105" s="11">
        <v>0.25944234257364879</v>
      </c>
      <c r="AN105" s="11">
        <f t="shared" si="65"/>
        <v>1.0377693702945952</v>
      </c>
      <c r="AO105" s="11">
        <f t="shared" si="79"/>
        <v>3.7073573442524148E-2</v>
      </c>
      <c r="AP105" s="11">
        <v>0.28223309199558777</v>
      </c>
      <c r="AQ105" s="11">
        <f t="shared" si="66"/>
        <v>1.1289323679823511</v>
      </c>
      <c r="AR105" s="11">
        <f t="shared" si="80"/>
        <v>0.12127237901743104</v>
      </c>
      <c r="AS105" s="11">
        <v>0.29594364960454544</v>
      </c>
      <c r="AT105" s="11">
        <f t="shared" si="67"/>
        <v>1.1837745984181818</v>
      </c>
      <c r="AU105" s="11">
        <f t="shared" si="81"/>
        <v>0.16870814538096554</v>
      </c>
      <c r="AZ105" t="b">
        <f t="shared" si="55"/>
        <v>0</v>
      </c>
      <c r="BB105" t="b">
        <f t="shared" si="56"/>
        <v>1</v>
      </c>
      <c r="BD105" t="b">
        <f t="shared" si="57"/>
        <v>1</v>
      </c>
    </row>
    <row r="106" spans="1:56">
      <c r="A106" s="88"/>
      <c r="B106" s="5">
        <f>'[26]Dados de entrada'!$B$28</f>
        <v>16</v>
      </c>
      <c r="C106" s="5">
        <f>'[26]Dados de entrada'!$B$31</f>
        <v>2</v>
      </c>
      <c r="D106" s="5">
        <f>'[26]Dados de entrada'!$B$32</f>
        <v>168</v>
      </c>
      <c r="E106" s="11">
        <f>'[26]Dados de entrada'!$B$27</f>
        <v>3.2689999999999997</v>
      </c>
      <c r="F106" s="5">
        <f>'[26]Dados de entrada'!$B$30</f>
        <v>25</v>
      </c>
      <c r="G106" s="12">
        <f>'[26]Dados de entrada'!$B$22</f>
        <v>33</v>
      </c>
      <c r="H106" s="52">
        <f>'[26]Dados de entrada'!$B$29/(2*'[26]Dados de entrada'!$B$20*G106)</f>
        <v>2.4242424242424242E-2</v>
      </c>
      <c r="I106" s="53">
        <f>'[26]fib Model Code 2010'!$K$10</f>
        <v>344.14502802905906</v>
      </c>
      <c r="J106" s="4">
        <f>'[26]Dados de entrada'!$C$12</f>
        <v>0.3</v>
      </c>
      <c r="K106" s="11">
        <f>'[26]fib Model Code 2010'!$L$10</f>
        <v>0.31886931204355928</v>
      </c>
      <c r="L106" s="11">
        <f t="shared" si="85"/>
        <v>1.0628977068118644</v>
      </c>
      <c r="M106" s="29">
        <f t="shared" si="69"/>
        <v>6.0998864072584383E-2</v>
      </c>
      <c r="N106" s="11">
        <f>'[26]fib Model Code 2020'!$L$10</f>
        <v>0.24027203005259176</v>
      </c>
      <c r="O106" s="11">
        <f t="shared" si="84"/>
        <v>0.80090676684197259</v>
      </c>
      <c r="P106" s="55">
        <f t="shared" si="70"/>
        <v>-0.22201073464090593</v>
      </c>
      <c r="Q106" s="11">
        <f>'[26]Eurocode 2'!$L$10</f>
        <v>0.25728470162798234</v>
      </c>
      <c r="R106" s="11">
        <f t="shared" si="60"/>
        <v>0.85761567209327449</v>
      </c>
      <c r="S106" s="11">
        <f t="shared" si="71"/>
        <v>-0.15359921447008007</v>
      </c>
      <c r="T106" s="11">
        <f>'[26]NBR 6118'!$Q$10</f>
        <v>0.42948701349421625</v>
      </c>
      <c r="U106" s="11">
        <f>'[26]NBR 6118'!$R$10</f>
        <v>0.32873889221541713</v>
      </c>
      <c r="V106" s="11">
        <f>'[26]NBR 6118'!$W$10</f>
        <v>1.0957963073847239</v>
      </c>
      <c r="W106" s="11">
        <f t="shared" si="72"/>
        <v>9.1481320327053472E-2</v>
      </c>
      <c r="X106" s="11">
        <f>'[26]Clark (1956)'!$L$10</f>
        <v>0.28820685015366176</v>
      </c>
      <c r="Y106" s="11">
        <f t="shared" si="61"/>
        <v>0.96068950051220592</v>
      </c>
      <c r="Z106" s="11">
        <f t="shared" si="73"/>
        <v>-4.0104022623557722E-2</v>
      </c>
      <c r="AA106" s="11">
        <f>'[26]Leonhardt (1977)'!$L$10</f>
        <v>0.5687514418715035</v>
      </c>
      <c r="AB106" s="11">
        <f t="shared" si="82"/>
        <v>1.8958381395716783</v>
      </c>
      <c r="AC106" s="11">
        <f t="shared" si="83"/>
        <v>0.63966103076443304</v>
      </c>
      <c r="AD106" s="11">
        <f>'[26]Desayi; Ganesan (1985)'!$L$10</f>
        <v>0.34564125339230445</v>
      </c>
      <c r="AE106" s="11">
        <f t="shared" si="62"/>
        <v>1.1521375113076815</v>
      </c>
      <c r="AF106" s="11">
        <f t="shared" si="76"/>
        <v>0.14161892260455641</v>
      </c>
      <c r="AG106" s="11">
        <f>'[26]Oh; Kang (1987)'!$L$10</f>
        <v>0.25924989526496467</v>
      </c>
      <c r="AH106" s="11">
        <f t="shared" si="63"/>
        <v>0.86416631754988227</v>
      </c>
      <c r="AI106" s="11">
        <f t="shared" si="77"/>
        <v>-0.14599003153906764</v>
      </c>
      <c r="AJ106" s="11">
        <f>'[26]Caldas (1997)'!$L$10</f>
        <v>0.23242530816096219</v>
      </c>
      <c r="AK106" s="11">
        <f t="shared" si="64"/>
        <v>0.77475102720320732</v>
      </c>
      <c r="AL106" s="11">
        <f t="shared" si="78"/>
        <v>-0.25521355646397115</v>
      </c>
      <c r="AM106" s="11">
        <v>0.28108106409078831</v>
      </c>
      <c r="AN106" s="11">
        <f t="shared" si="65"/>
        <v>0.93693688030262778</v>
      </c>
      <c r="AO106" s="11">
        <f t="shared" si="79"/>
        <v>-6.5139362617197105E-2</v>
      </c>
      <c r="AP106" s="11">
        <v>0.32843905316954863</v>
      </c>
      <c r="AQ106" s="11">
        <f t="shared" si="66"/>
        <v>1.0947968438984954</v>
      </c>
      <c r="AR106" s="11">
        <f t="shared" si="80"/>
        <v>9.0568815369211741E-2</v>
      </c>
      <c r="AS106" s="11">
        <v>0.33792251983073496</v>
      </c>
      <c r="AT106" s="11">
        <f t="shared" si="67"/>
        <v>1.1264083994357832</v>
      </c>
      <c r="AU106" s="11">
        <f t="shared" si="81"/>
        <v>0.1190341632792994</v>
      </c>
      <c r="AZ106" t="b">
        <f t="shared" si="55"/>
        <v>0</v>
      </c>
      <c r="BB106" t="b">
        <f t="shared" si="56"/>
        <v>1</v>
      </c>
      <c r="BD106" t="b">
        <f t="shared" si="57"/>
        <v>1</v>
      </c>
    </row>
    <row r="107" spans="1:56">
      <c r="A107" s="89"/>
      <c r="B107" s="5">
        <f>'[26]Dados de entrada'!$B$28</f>
        <v>16</v>
      </c>
      <c r="C107" s="5">
        <f>'[26]Dados de entrada'!$B$31</f>
        <v>2</v>
      </c>
      <c r="D107" s="5">
        <f>'[26]Dados de entrada'!$B$32</f>
        <v>168</v>
      </c>
      <c r="E107" s="11">
        <f>'[26]Dados de entrada'!$B$27</f>
        <v>3.2689999999999997</v>
      </c>
      <c r="F107" s="5">
        <f>'[26]Dados de entrada'!$B$30</f>
        <v>25</v>
      </c>
      <c r="G107" s="12">
        <f>'[26]Dados de entrada'!$B$22</f>
        <v>33</v>
      </c>
      <c r="H107" s="52">
        <f>'[26]Dados de entrada'!$B$29/(2*'[26]Dados de entrada'!$B$20*G107)</f>
        <v>2.4242424242424242E-2</v>
      </c>
      <c r="I107" s="53">
        <f>'[26]fib Model Code 2010'!$K$11</f>
        <v>370.54792894033153</v>
      </c>
      <c r="J107" s="4">
        <f>'[26]Dados de entrada'!$C$13</f>
        <v>0.3</v>
      </c>
      <c r="K107" s="11">
        <f>'[26]fib Model Code 2010'!$L$11</f>
        <v>0.35572336123221043</v>
      </c>
      <c r="L107" s="11">
        <f t="shared" si="85"/>
        <v>1.1857445374407014</v>
      </c>
      <c r="M107" s="29">
        <f t="shared" si="69"/>
        <v>0.17037087892598102</v>
      </c>
      <c r="N107" s="11">
        <f>'[26]fib Model Code 2020'!$L$11</f>
        <v>0.27121563849860081</v>
      </c>
      <c r="O107" s="11">
        <f t="shared" si="84"/>
        <v>0.90405212832866944</v>
      </c>
      <c r="P107" s="55">
        <f t="shared" si="70"/>
        <v>-0.10086825617208318</v>
      </c>
      <c r="Q107" s="11">
        <f>'[26]Eurocode 2'!$L$11</f>
        <v>0.28702096877930294</v>
      </c>
      <c r="R107" s="11">
        <f t="shared" si="60"/>
        <v>0.95673656259767648</v>
      </c>
      <c r="S107" s="11">
        <f t="shared" si="71"/>
        <v>-4.4227199616683394E-2</v>
      </c>
      <c r="T107" s="11">
        <f>'[26]NBR 6118'!$Q$11</f>
        <v>0.46243737493023435</v>
      </c>
      <c r="U107" s="11">
        <f>'[26]NBR 6118'!$R$11</f>
        <v>0.38111572538496119</v>
      </c>
      <c r="V107" s="11">
        <f>'[26]NBR 6118'!$W$11</f>
        <v>1.270385751283204</v>
      </c>
      <c r="W107" s="11">
        <f t="shared" si="72"/>
        <v>0.23932059551836732</v>
      </c>
      <c r="X107" s="11">
        <f>'[26]Clark (1956)'!$L$11</f>
        <v>0.31661109095400869</v>
      </c>
      <c r="Y107" s="11">
        <f t="shared" si="61"/>
        <v>1.055370303180029</v>
      </c>
      <c r="Z107" s="11">
        <f t="shared" si="73"/>
        <v>5.3891703617454843E-2</v>
      </c>
      <c r="AA107" s="11">
        <f>'[26]Leonhardt (1977)'!$L$11</f>
        <v>0.64776800862686934</v>
      </c>
      <c r="AB107" s="11">
        <f t="shared" si="82"/>
        <v>2.1592266954228978</v>
      </c>
      <c r="AC107" s="11">
        <f t="shared" si="83"/>
        <v>0.76975014621641225</v>
      </c>
      <c r="AD107" s="11">
        <f>'[26]Desayi; Ganesan (1985)'!$L$11</f>
        <v>0.37215894512369413</v>
      </c>
      <c r="AE107" s="11">
        <f t="shared" si="62"/>
        <v>1.2405298170789805</v>
      </c>
      <c r="AF107" s="11">
        <f t="shared" si="76"/>
        <v>0.215538560200214</v>
      </c>
      <c r="AG107" s="11">
        <f>'[26]Oh; Kang (1987)'!$L$11</f>
        <v>0.28175543921646612</v>
      </c>
      <c r="AH107" s="11">
        <f t="shared" si="63"/>
        <v>0.93918479738822047</v>
      </c>
      <c r="AI107" s="11">
        <f t="shared" si="77"/>
        <v>-6.2743016806539112E-2</v>
      </c>
      <c r="AJ107" s="11">
        <f>'[26]Caldas (1997)'!$L$11</f>
        <v>0.25190743158498824</v>
      </c>
      <c r="AK107" s="11">
        <f t="shared" si="64"/>
        <v>0.83969143861662754</v>
      </c>
      <c r="AL107" s="11">
        <f t="shared" si="78"/>
        <v>-0.17472078960900359</v>
      </c>
      <c r="AM107" s="11">
        <v>0.3026456803972527</v>
      </c>
      <c r="AN107" s="11">
        <f t="shared" si="65"/>
        <v>1.0088189346575092</v>
      </c>
      <c r="AO107" s="11">
        <f t="shared" si="79"/>
        <v>8.7802749784602271E-3</v>
      </c>
      <c r="AP107" s="11">
        <v>0.37448677475044817</v>
      </c>
      <c r="AQ107" s="11">
        <f t="shared" si="66"/>
        <v>1.2482892491681605</v>
      </c>
      <c r="AR107" s="11">
        <f t="shared" si="80"/>
        <v>0.22177401325947543</v>
      </c>
      <c r="AS107" s="11">
        <v>0.38032376229552944</v>
      </c>
      <c r="AT107" s="11">
        <f t="shared" si="67"/>
        <v>1.2677458743184316</v>
      </c>
      <c r="AU107" s="11">
        <f t="shared" si="81"/>
        <v>0.23724042135398005</v>
      </c>
      <c r="AZ107" t="b">
        <f t="shared" si="55"/>
        <v>0</v>
      </c>
      <c r="BB107" t="b">
        <f t="shared" si="56"/>
        <v>1</v>
      </c>
      <c r="BD107" t="b">
        <f t="shared" si="57"/>
        <v>1</v>
      </c>
    </row>
    <row r="108" spans="1:56">
      <c r="A108" s="85" t="s">
        <v>61</v>
      </c>
      <c r="B108" s="21">
        <f>'[27]Dados de entrada'!$B$28</f>
        <v>16</v>
      </c>
      <c r="C108" s="21">
        <f>'[27]Dados de entrada'!$B$31</f>
        <v>2</v>
      </c>
      <c r="D108" s="21">
        <f>'[27]Dados de entrada'!$B$32</f>
        <v>168</v>
      </c>
      <c r="E108" s="20">
        <f>'[27]Dados de entrada'!$B$27</f>
        <v>3.2689999999999997</v>
      </c>
      <c r="F108" s="21">
        <f>'[27]Dados de entrada'!$B$30</f>
        <v>25</v>
      </c>
      <c r="G108" s="56">
        <f>'[27]Dados de entrada'!$B$22</f>
        <v>33</v>
      </c>
      <c r="H108" s="57">
        <f>'[27]Dados de entrada'!$B$29/(2*'[27]Dados de entrada'!$B$20*G108)</f>
        <v>2.4242424242424242E-2</v>
      </c>
      <c r="I108" s="27">
        <f>'[27]fib Model Code 2010'!$K$5</f>
        <v>185.27396447016577</v>
      </c>
      <c r="J108" s="19">
        <f>'[27]Dados de entrada'!$C$7</f>
        <v>0.15</v>
      </c>
      <c r="K108" s="20">
        <f>'[27]fib Model Code 2010'!$L$5</f>
        <v>9.7111785825937463E-2</v>
      </c>
      <c r="L108" s="20">
        <f t="shared" si="85"/>
        <v>0.64741190550624983</v>
      </c>
      <c r="M108" s="54">
        <f t="shared" si="69"/>
        <v>-0.43477254793673126</v>
      </c>
      <c r="N108" s="20">
        <f>'[27]fib Model Code 2020'!$L$5</f>
        <v>8.685477449725118E-2</v>
      </c>
      <c r="O108" s="20">
        <f t="shared" si="84"/>
        <v>0.57903182998167457</v>
      </c>
      <c r="P108" s="28">
        <f t="shared" si="70"/>
        <v>-0.54639782885854604</v>
      </c>
      <c r="Q108" s="20">
        <f>'[27]Eurocode 2'!$L$5</f>
        <v>0.12519888149071451</v>
      </c>
      <c r="R108" s="20">
        <f t="shared" si="60"/>
        <v>0.83465920993809672</v>
      </c>
      <c r="S108" s="20">
        <f t="shared" si="71"/>
        <v>-0.1807317692503996</v>
      </c>
      <c r="T108" s="20">
        <f>'[27]NBR 6118'!$Q$5</f>
        <v>0.23121868746511717</v>
      </c>
      <c r="U108" s="20">
        <f>'[27]NBR 6118'!$R$5</f>
        <v>9.5278931346240298E-2</v>
      </c>
      <c r="V108" s="20">
        <f>'[27]NBR 6118'!$W$5</f>
        <v>0.63519287564160198</v>
      </c>
      <c r="W108" s="20">
        <f t="shared" si="72"/>
        <v>-0.45382658504157802</v>
      </c>
      <c r="X108" s="20">
        <f>'[27]Clark (1956)'!$L$5</f>
        <v>0.11729335997700432</v>
      </c>
      <c r="Y108" s="20">
        <f t="shared" si="61"/>
        <v>0.78195573318002887</v>
      </c>
      <c r="Z108" s="20">
        <f t="shared" si="73"/>
        <v>-0.24595714722573708</v>
      </c>
      <c r="AA108" s="20"/>
      <c r="AB108" s="20"/>
      <c r="AC108" s="20"/>
      <c r="AD108" s="20">
        <f>'[27]Desayi; Ganesan (1985)'!$L$5</f>
        <v>0.18607947256184706</v>
      </c>
      <c r="AE108" s="20">
        <f t="shared" si="62"/>
        <v>1.2405298170789805</v>
      </c>
      <c r="AF108" s="20">
        <f t="shared" si="76"/>
        <v>0.215538560200214</v>
      </c>
      <c r="AG108" s="20">
        <f>'[27]Oh; Kang (1987)'!$L$5</f>
        <v>0.12382993836091344</v>
      </c>
      <c r="AH108" s="20">
        <f t="shared" si="63"/>
        <v>0.82553292240608966</v>
      </c>
      <c r="AI108" s="20">
        <f t="shared" si="77"/>
        <v>-0.19172613464120922</v>
      </c>
      <c r="AJ108" s="20">
        <f>'[27]Caldas (1997)'!$L$5</f>
        <v>0.11519782322807706</v>
      </c>
      <c r="AK108" s="20">
        <f t="shared" si="64"/>
        <v>0.76798548818718049</v>
      </c>
      <c r="AL108" s="20">
        <f t="shared" si="78"/>
        <v>-0.26398444160259754</v>
      </c>
      <c r="AM108" s="20" cm="1">
        <f t="array" ref="AM108:AM115">'[27]Gergely e Lutz (1968)'!$L$5:$L$12</f>
        <v>0.15132284019862635</v>
      </c>
      <c r="AN108" s="20">
        <f t="shared" si="65"/>
        <v>1.0088189346575092</v>
      </c>
      <c r="AO108" s="20">
        <f t="shared" si="79"/>
        <v>8.7802749784602271E-3</v>
      </c>
      <c r="AP108" s="20" cm="1">
        <f t="array" ref="AP108:AP115">[27]Sugestão!$M$5:$M$12</f>
        <v>8.685477449725118E-2</v>
      </c>
      <c r="AQ108" s="20">
        <f t="shared" si="66"/>
        <v>0.57903182998167457</v>
      </c>
      <c r="AR108" s="20">
        <f t="shared" si="80"/>
        <v>-0.54639782885854604</v>
      </c>
      <c r="AS108" s="20" cm="1">
        <f t="array" ref="AS108:AS115">'[27]fib Model Code 2020 modificado'!$L$5:$L$12</f>
        <v>0.12749424958017883</v>
      </c>
      <c r="AT108" s="20">
        <f t="shared" si="67"/>
        <v>0.84996166386785887</v>
      </c>
      <c r="AU108" s="20">
        <f t="shared" si="81"/>
        <v>-0.16256403184680129</v>
      </c>
      <c r="AZ108" t="b">
        <f t="shared" si="55"/>
        <v>0</v>
      </c>
      <c r="BB108" t="b">
        <f t="shared" si="56"/>
        <v>1</v>
      </c>
      <c r="BD108" t="b">
        <f t="shared" si="57"/>
        <v>1</v>
      </c>
    </row>
    <row r="109" spans="1:56">
      <c r="A109" s="90"/>
      <c r="B109" s="21">
        <f>'[27]Dados de entrada'!$B$28</f>
        <v>16</v>
      </c>
      <c r="C109" s="21">
        <f>'[27]Dados de entrada'!$B$31</f>
        <v>2</v>
      </c>
      <c r="D109" s="21">
        <f>'[27]Dados de entrada'!$B$32</f>
        <v>168</v>
      </c>
      <c r="E109" s="20">
        <f>'[27]Dados de entrada'!$B$27</f>
        <v>3.2689999999999997</v>
      </c>
      <c r="F109" s="21">
        <f>'[27]Dados de entrada'!$B$30</f>
        <v>25</v>
      </c>
      <c r="G109" s="56">
        <f>'[27]Dados de entrada'!$B$22</f>
        <v>33</v>
      </c>
      <c r="H109" s="57">
        <f>'[27]Dados de entrada'!$B$29/(2*'[27]Dados de entrada'!$B$20*G109)</f>
        <v>2.4242424242424242E-2</v>
      </c>
      <c r="I109" s="27">
        <f>'[27]fib Model Code 2010'!$K$6</f>
        <v>211.76759699968994</v>
      </c>
      <c r="J109" s="19">
        <f>'[27]Dados de entrada'!$C$8</f>
        <v>0.18</v>
      </c>
      <c r="K109" s="20">
        <f>'[27]fib Model Code 2010'!$L$6</f>
        <v>0.13409248123173162</v>
      </c>
      <c r="L109" s="20">
        <f t="shared" si="85"/>
        <v>0.74495822906517573</v>
      </c>
      <c r="M109" s="54">
        <f t="shared" si="69"/>
        <v>-0.29442713054335895</v>
      </c>
      <c r="N109" s="20">
        <f>'[27]fib Model Code 2020'!$L$6</f>
        <v>9.9274752045339976E-2</v>
      </c>
      <c r="O109" s="20">
        <f t="shared" si="84"/>
        <v>0.55152640025188882</v>
      </c>
      <c r="P109" s="28">
        <f t="shared" si="70"/>
        <v>-0.59506557153061035</v>
      </c>
      <c r="Q109" s="20">
        <f>'[27]Eurocode 2'!$L$6</f>
        <v>0.14310195367254047</v>
      </c>
      <c r="R109" s="20">
        <f t="shared" si="60"/>
        <v>0.79501085373633595</v>
      </c>
      <c r="S109" s="20">
        <f t="shared" si="71"/>
        <v>-0.22939951192246388</v>
      </c>
      <c r="T109" s="20">
        <f>'[27]NBR 6118'!$Q$6</f>
        <v>0.2642822803837333</v>
      </c>
      <c r="U109" s="20">
        <f>'[27]NBR 6118'!$R$6</f>
        <v>0.12447642459592426</v>
      </c>
      <c r="V109" s="20">
        <f>'[27]NBR 6118'!$W$6</f>
        <v>0.69153569219957922</v>
      </c>
      <c r="W109" s="20">
        <f t="shared" si="72"/>
        <v>-0.36884051359175157</v>
      </c>
      <c r="X109" s="20">
        <f>'[27]Clark (1956)'!$L$6</f>
        <v>0.14579520985226643</v>
      </c>
      <c r="Y109" s="20">
        <f t="shared" si="61"/>
        <v>0.80997338806814689</v>
      </c>
      <c r="Z109" s="20">
        <f t="shared" si="73"/>
        <v>-0.21075388609222054</v>
      </c>
      <c r="AA109" s="20">
        <f>'[27]Leonhardt (1977)'!$L$6</f>
        <v>0.10853508175017515</v>
      </c>
      <c r="AB109" s="20">
        <f t="shared" ref="AB109:AB124" si="86">AA109/J109</f>
        <v>0.60297267638986196</v>
      </c>
      <c r="AC109" s="20">
        <f t="shared" ref="AC109:AC124" si="87">LN(AB109)</f>
        <v>-0.50588339606790544</v>
      </c>
      <c r="AD109" s="20">
        <f>'[27]Desayi; Ganesan (1985)'!$L$6</f>
        <v>0.21268829038166062</v>
      </c>
      <c r="AE109" s="20">
        <f t="shared" si="62"/>
        <v>1.181601613231448</v>
      </c>
      <c r="AF109" s="20">
        <f t="shared" si="76"/>
        <v>0.1668708175281497</v>
      </c>
      <c r="AG109" s="20">
        <f>'[27]Oh; Kang (1987)'!$L$6</f>
        <v>0.14641282095142341</v>
      </c>
      <c r="AH109" s="20">
        <f t="shared" si="63"/>
        <v>0.81340456084124124</v>
      </c>
      <c r="AI109" s="20">
        <f t="shared" si="77"/>
        <v>-0.20652667839264374</v>
      </c>
      <c r="AJ109" s="20">
        <f>'[27]Caldas (1997)'!$L$6</f>
        <v>0.13474689552984886</v>
      </c>
      <c r="AK109" s="20">
        <f t="shared" si="64"/>
        <v>0.74859386405471595</v>
      </c>
      <c r="AL109" s="20">
        <f t="shared" si="78"/>
        <v>-0.2895586801060257</v>
      </c>
      <c r="AM109" s="20">
        <v>0.17296156171576588</v>
      </c>
      <c r="AN109" s="20">
        <f t="shared" si="65"/>
        <v>0.96089756508758828</v>
      </c>
      <c r="AO109" s="20">
        <f t="shared" si="79"/>
        <v>-3.9887467693603997E-2</v>
      </c>
      <c r="AP109" s="20">
        <v>0.1106344620337962</v>
      </c>
      <c r="AQ109" s="20">
        <f t="shared" si="66"/>
        <v>0.61463590018775671</v>
      </c>
      <c r="AR109" s="20">
        <f t="shared" si="80"/>
        <v>-0.486725218710921</v>
      </c>
      <c r="AS109" s="20">
        <v>0.14799982537652959</v>
      </c>
      <c r="AT109" s="20">
        <f t="shared" si="67"/>
        <v>0.82222125209183106</v>
      </c>
      <c r="AU109" s="20">
        <f t="shared" si="81"/>
        <v>-0.19574575701510497</v>
      </c>
      <c r="AZ109" t="b">
        <f t="shared" si="55"/>
        <v>0</v>
      </c>
      <c r="BB109" t="b">
        <f t="shared" si="56"/>
        <v>1</v>
      </c>
      <c r="BD109" t="b">
        <f t="shared" si="57"/>
        <v>1</v>
      </c>
    </row>
    <row r="110" spans="1:56">
      <c r="A110" s="90"/>
      <c r="B110" s="21">
        <f>'[27]Dados de entrada'!$B$28</f>
        <v>16</v>
      </c>
      <c r="C110" s="21">
        <f>'[27]Dados de entrada'!$B$31</f>
        <v>2</v>
      </c>
      <c r="D110" s="21">
        <f>'[27]Dados de entrada'!$B$32</f>
        <v>168</v>
      </c>
      <c r="E110" s="20">
        <f>'[27]Dados de entrada'!$B$27</f>
        <v>3.2689999999999997</v>
      </c>
      <c r="F110" s="21">
        <f>'[27]Dados de entrada'!$B$30</f>
        <v>25</v>
      </c>
      <c r="G110" s="56">
        <f>'[27]Dados de entrada'!$B$22</f>
        <v>33</v>
      </c>
      <c r="H110" s="57">
        <f>'[27]Dados de entrada'!$B$29/(2*'[27]Dados de entrada'!$B$20*G110)</f>
        <v>2.4242424242424242E-2</v>
      </c>
      <c r="I110" s="27">
        <f>'[27]fib Model Code 2010'!$K$7</f>
        <v>238.26122952921412</v>
      </c>
      <c r="J110" s="19">
        <f>'[27]Dados de entrada'!$C$9</f>
        <v>0.18</v>
      </c>
      <c r="K110" s="20">
        <f>'[27]fib Model Code 2010'!$L$7</f>
        <v>0.1710731766375258</v>
      </c>
      <c r="L110" s="20">
        <f t="shared" si="85"/>
        <v>0.95040653687514343</v>
      </c>
      <c r="M110" s="54">
        <f t="shared" si="69"/>
        <v>-5.0865452372217082E-2</v>
      </c>
      <c r="N110" s="20">
        <f>'[27]fib Model Code 2020'!$L$7</f>
        <v>0.11617858999591686</v>
      </c>
      <c r="O110" s="20">
        <f t="shared" si="84"/>
        <v>0.64543661108842698</v>
      </c>
      <c r="P110" s="28">
        <f t="shared" si="70"/>
        <v>-0.43782827477477715</v>
      </c>
      <c r="Q110" s="20">
        <f>'[27]Eurocode 2'!$L$7</f>
        <v>0.16100502585436646</v>
      </c>
      <c r="R110" s="20">
        <f t="shared" si="60"/>
        <v>0.89447236585759149</v>
      </c>
      <c r="S110" s="20">
        <f t="shared" si="71"/>
        <v>-0.11152126990622352</v>
      </c>
      <c r="T110" s="20">
        <f>'[27]NBR 6118'!$Q$7</f>
        <v>0.29734587330234952</v>
      </c>
      <c r="U110" s="20">
        <f>'[27]NBR 6118'!$R$7</f>
        <v>0.15757047544565744</v>
      </c>
      <c r="V110" s="20">
        <f>'[27]NBR 6118'!$W$7</f>
        <v>0.87539153025365246</v>
      </c>
      <c r="W110" s="20">
        <f t="shared" si="72"/>
        <v>-0.13308402955927107</v>
      </c>
      <c r="X110" s="20">
        <f>'[27]Clark (1956)'!$L$7</f>
        <v>0.17429705972752854</v>
      </c>
      <c r="Y110" s="20">
        <f t="shared" si="61"/>
        <v>0.96831699848626973</v>
      </c>
      <c r="Z110" s="20">
        <f t="shared" si="73"/>
        <v>-3.2195767539631034E-2</v>
      </c>
      <c r="AA110" s="20">
        <f>'[27]Leonhardt (1977)'!$L$7</f>
        <v>0.21393535237281311</v>
      </c>
      <c r="AB110" s="20">
        <f t="shared" si="86"/>
        <v>1.1885297354045172</v>
      </c>
      <c r="AC110" s="20">
        <f t="shared" si="87"/>
        <v>0.17271702677692044</v>
      </c>
      <c r="AD110" s="20">
        <f>'[27]Desayi; Ganesan (1985)'!$L$7</f>
        <v>0.23929710820147421</v>
      </c>
      <c r="AE110" s="20">
        <f t="shared" si="62"/>
        <v>1.3294283788970789</v>
      </c>
      <c r="AF110" s="20">
        <f t="shared" si="76"/>
        <v>0.28474905954438984</v>
      </c>
      <c r="AG110" s="20">
        <f>'[27]Oh; Kang (1987)'!$L$7</f>
        <v>0.16899570354193333</v>
      </c>
      <c r="AH110" s="20">
        <f t="shared" si="63"/>
        <v>0.93886501967740743</v>
      </c>
      <c r="AI110" s="20">
        <f t="shared" si="77"/>
        <v>-6.3083559119099311E-2</v>
      </c>
      <c r="AJ110" s="20">
        <f>'[27]Caldas (1997)'!$L$7</f>
        <v>0.1542959678316207</v>
      </c>
      <c r="AK110" s="20">
        <f t="shared" si="64"/>
        <v>0.85719982128678163</v>
      </c>
      <c r="AL110" s="20">
        <f t="shared" si="78"/>
        <v>-0.1540842238675926</v>
      </c>
      <c r="AM110" s="20">
        <v>0.19460028323290537</v>
      </c>
      <c r="AN110" s="20">
        <f t="shared" si="65"/>
        <v>1.0811126846272521</v>
      </c>
      <c r="AO110" s="20">
        <f t="shared" si="79"/>
        <v>7.7990774322636014E-2</v>
      </c>
      <c r="AP110" s="20">
        <v>0.14377344806676662</v>
      </c>
      <c r="AQ110" s="20">
        <f t="shared" si="66"/>
        <v>0.7987413781487035</v>
      </c>
      <c r="AR110" s="20">
        <f t="shared" si="80"/>
        <v>-0.22471806752867698</v>
      </c>
      <c r="AS110" s="20">
        <v>0.17355831696087226</v>
      </c>
      <c r="AT110" s="20">
        <f t="shared" si="67"/>
        <v>0.96421287200484596</v>
      </c>
      <c r="AU110" s="20">
        <f t="shared" si="81"/>
        <v>-3.6443187167297865E-2</v>
      </c>
      <c r="AZ110" t="b">
        <f t="shared" si="55"/>
        <v>0</v>
      </c>
      <c r="BB110" t="b">
        <f t="shared" si="56"/>
        <v>1</v>
      </c>
      <c r="BD110" t="b">
        <f t="shared" si="57"/>
        <v>1</v>
      </c>
    </row>
    <row r="111" spans="1:56">
      <c r="A111" s="90"/>
      <c r="B111" s="21">
        <f>'[27]Dados de entrada'!$B$28</f>
        <v>16</v>
      </c>
      <c r="C111" s="21">
        <f>'[27]Dados de entrada'!$B$31</f>
        <v>2</v>
      </c>
      <c r="D111" s="21">
        <f>'[27]Dados de entrada'!$B$32</f>
        <v>168</v>
      </c>
      <c r="E111" s="20">
        <f>'[27]Dados de entrada'!$B$27</f>
        <v>3.2689999999999997</v>
      </c>
      <c r="F111" s="21">
        <f>'[27]Dados de entrada'!$B$30</f>
        <v>25</v>
      </c>
      <c r="G111" s="56">
        <f>'[27]Dados de entrada'!$B$22</f>
        <v>33</v>
      </c>
      <c r="H111" s="57">
        <f>'[27]Dados de entrada'!$B$29/(2*'[27]Dados de entrada'!$B$20*G111)</f>
        <v>2.4242424242424242E-2</v>
      </c>
      <c r="I111" s="27">
        <f>'[27]fib Model Code 2010'!$K$8</f>
        <v>264.70949624961241</v>
      </c>
      <c r="J111" s="19">
        <f>'[27]Dados de entrada'!$C$10</f>
        <v>0.25</v>
      </c>
      <c r="K111" s="20">
        <f>'[27]fib Model Code 2010'!$L$8</f>
        <v>0.20799054893474836</v>
      </c>
      <c r="L111" s="20">
        <f t="shared" si="85"/>
        <v>0.83196219573899344</v>
      </c>
      <c r="M111" s="54">
        <f t="shared" si="69"/>
        <v>-0.183968277006967</v>
      </c>
      <c r="N111" s="20">
        <f>'[27]fib Model Code 2020'!$L$8</f>
        <v>0.14717536615403232</v>
      </c>
      <c r="O111" s="20">
        <f t="shared" si="84"/>
        <v>0.58870146461612927</v>
      </c>
      <c r="P111" s="28">
        <f t="shared" si="70"/>
        <v>-0.52983607506902319</v>
      </c>
      <c r="Q111" s="20">
        <f>'[27]Eurocode 2'!$L$8</f>
        <v>0.1788774420906756</v>
      </c>
      <c r="R111" s="20">
        <f t="shared" si="60"/>
        <v>0.71550976836270241</v>
      </c>
      <c r="S111" s="20">
        <f t="shared" si="71"/>
        <v>-0.33476002758029011</v>
      </c>
      <c r="T111" s="20">
        <f>'[27]NBR 6118'!$Q$8</f>
        <v>0.33035285047966667</v>
      </c>
      <c r="U111" s="20">
        <f>'[27]NBR 6118'!$R$8</f>
        <v>0.19449441343113166</v>
      </c>
      <c r="V111" s="20">
        <f>'[27]NBR 6118'!$W$8</f>
        <v>0.77797765372452665</v>
      </c>
      <c r="W111" s="20">
        <f t="shared" si="72"/>
        <v>-0.25105747793536803</v>
      </c>
      <c r="X111" s="20">
        <f>'[27]Clark (1956)'!$L$8</f>
        <v>0.20275010506533303</v>
      </c>
      <c r="Y111" s="20">
        <f t="shared" si="61"/>
        <v>0.81100042026133212</v>
      </c>
      <c r="Z111" s="20">
        <f t="shared" si="73"/>
        <v>-0.20948670666546243</v>
      </c>
      <c r="AA111" s="20">
        <f>'[27]Leonhardt (1977)'!$L$8</f>
        <v>0.3105283279517595</v>
      </c>
      <c r="AB111" s="20">
        <f t="shared" si="86"/>
        <v>1.242113311807038</v>
      </c>
      <c r="AC111" s="20">
        <f t="shared" si="87"/>
        <v>0.21681421268877904</v>
      </c>
      <c r="AD111" s="20">
        <f>'[27]Desayi; Ganesan (1985)'!$L$8</f>
        <v>0.26586036297707577</v>
      </c>
      <c r="AE111" s="20">
        <f t="shared" si="62"/>
        <v>1.0634414519083031</v>
      </c>
      <c r="AF111" s="20">
        <f t="shared" si="76"/>
        <v>6.1510301870323317E-2</v>
      </c>
      <c r="AG111" s="20">
        <f>'[27]Oh; Kang (1987)'!$L$8</f>
        <v>0.19153991681293903</v>
      </c>
      <c r="AH111" s="20">
        <f t="shared" si="63"/>
        <v>0.7661596672517561</v>
      </c>
      <c r="AI111" s="20">
        <f t="shared" si="77"/>
        <v>-0.26636468807533598</v>
      </c>
      <c r="AJ111" s="20">
        <f>'[27]Caldas (1997)'!$L$8</f>
        <v>0.17381156569451961</v>
      </c>
      <c r="AK111" s="20">
        <f t="shared" si="64"/>
        <v>0.69524626277807844</v>
      </c>
      <c r="AL111" s="20">
        <f t="shared" si="78"/>
        <v>-0.36348916124665481</v>
      </c>
      <c r="AM111" s="20">
        <v>0.21620195214470733</v>
      </c>
      <c r="AN111" s="20">
        <f t="shared" si="65"/>
        <v>0.86480780857882933</v>
      </c>
      <c r="AO111" s="20">
        <f t="shared" si="79"/>
        <v>-0.14524798335143044</v>
      </c>
      <c r="AP111" s="20">
        <v>0.18990028944419676</v>
      </c>
      <c r="AQ111" s="20">
        <f t="shared" si="66"/>
        <v>0.75960115777678705</v>
      </c>
      <c r="AR111" s="20">
        <f t="shared" si="80"/>
        <v>-0.27496177585245185</v>
      </c>
      <c r="AS111" s="20">
        <v>0.21376252174526569</v>
      </c>
      <c r="AT111" s="20">
        <f t="shared" si="67"/>
        <v>0.85505008698106277</v>
      </c>
      <c r="AU111" s="20">
        <f t="shared" si="81"/>
        <v>-0.15659523049679119</v>
      </c>
      <c r="AZ111" t="b">
        <f t="shared" si="55"/>
        <v>0</v>
      </c>
      <c r="BB111" t="b">
        <f t="shared" si="56"/>
        <v>1</v>
      </c>
      <c r="BD111" t="b">
        <f t="shared" si="57"/>
        <v>1</v>
      </c>
    </row>
    <row r="112" spans="1:56">
      <c r="A112" s="90"/>
      <c r="B112" s="21">
        <f>'[27]Dados de entrada'!$B$28</f>
        <v>16</v>
      </c>
      <c r="C112" s="21">
        <f>'[27]Dados de entrada'!$B$31</f>
        <v>2</v>
      </c>
      <c r="D112" s="21">
        <f>'[27]Dados de entrada'!$B$32</f>
        <v>168</v>
      </c>
      <c r="E112" s="20">
        <f>'[27]Dados de entrada'!$B$27</f>
        <v>3.2689999999999997</v>
      </c>
      <c r="F112" s="21">
        <f>'[27]Dados de entrada'!$B$30</f>
        <v>25</v>
      </c>
      <c r="G112" s="56">
        <f>'[27]Dados de entrada'!$B$22</f>
        <v>33</v>
      </c>
      <c r="H112" s="57">
        <f>'[27]Dados de entrada'!$B$29/(2*'[27]Dados de entrada'!$B$20*G112)</f>
        <v>2.4242424242424242E-2</v>
      </c>
      <c r="I112" s="27">
        <f>'[27]fib Model Code 2010'!$K$9</f>
        <v>291.15776297001071</v>
      </c>
      <c r="J112" s="19">
        <f>'[27]Dados de entrada'!$C$11</f>
        <v>0.28000000000000003</v>
      </c>
      <c r="K112" s="20">
        <f>'[27]fib Model Code 2010'!$L$9</f>
        <v>0.24490792123197097</v>
      </c>
      <c r="L112" s="20">
        <f t="shared" si="85"/>
        <v>0.87467114725703909</v>
      </c>
      <c r="M112" s="54">
        <f t="shared" si="69"/>
        <v>-0.1339072949731997</v>
      </c>
      <c r="N112" s="20">
        <f>'[27]fib Model Code 2020'!$L$9</f>
        <v>0.17817214231214781</v>
      </c>
      <c r="O112" s="20">
        <f t="shared" si="84"/>
        <v>0.63632907968624208</v>
      </c>
      <c r="P112" s="28">
        <f t="shared" si="70"/>
        <v>-0.45203942856772855</v>
      </c>
      <c r="Q112" s="20">
        <f>'[27]Eurocode 2'!$L$9</f>
        <v>0.19760779435522915</v>
      </c>
      <c r="R112" s="20">
        <f t="shared" si="60"/>
        <v>0.7057421226972469</v>
      </c>
      <c r="S112" s="20">
        <f t="shared" si="71"/>
        <v>-0.34850537351586403</v>
      </c>
      <c r="T112" s="20">
        <f>'[27]NBR 6118'!$Q$9</f>
        <v>0.36335982765698382</v>
      </c>
      <c r="U112" s="20">
        <f>'[27]NBR 6118'!$R$9</f>
        <v>0.23530157606629135</v>
      </c>
      <c r="V112" s="20">
        <f>'[27]NBR 6118'!$W$9</f>
        <v>0.84036277166532614</v>
      </c>
      <c r="W112" s="20">
        <f t="shared" si="72"/>
        <v>-0.17392160934407982</v>
      </c>
      <c r="X112" s="20">
        <f>'[27]Clark (1956)'!$L$9</f>
        <v>0.23120315040313752</v>
      </c>
      <c r="Y112" s="20">
        <f t="shared" si="61"/>
        <v>0.82572553715406249</v>
      </c>
      <c r="Z112" s="20">
        <f t="shared" si="73"/>
        <v>-0.1914928401527162</v>
      </c>
      <c r="AA112" s="20">
        <f>'[27]Leonhardt (1977)'!$L$9</f>
        <v>0.40085214401713148</v>
      </c>
      <c r="AB112" s="20">
        <f t="shared" si="86"/>
        <v>1.4316148000611837</v>
      </c>
      <c r="AC112" s="20">
        <f t="shared" si="87"/>
        <v>0.35880303798229707</v>
      </c>
      <c r="AD112" s="20">
        <f>'[27]Desayi; Ganesan (1985)'!$L$9</f>
        <v>0.29242361775267733</v>
      </c>
      <c r="AE112" s="20">
        <f t="shared" si="62"/>
        <v>1.0443700634024189</v>
      </c>
      <c r="AF112" s="20">
        <f t="shared" si="76"/>
        <v>4.341389351246578E-2</v>
      </c>
      <c r="AG112" s="20">
        <f>'[27]Oh; Kang (1987)'!$L$9</f>
        <v>0.2140841300839447</v>
      </c>
      <c r="AH112" s="20">
        <f t="shared" si="63"/>
        <v>0.76458617887123104</v>
      </c>
      <c r="AI112" s="20">
        <f t="shared" si="77"/>
        <v>-0.2684205341698479</v>
      </c>
      <c r="AJ112" s="20">
        <f>'[27]Caldas (1997)'!$L$9</f>
        <v>0.19332716355741852</v>
      </c>
      <c r="AK112" s="20">
        <f t="shared" si="64"/>
        <v>0.6904541555622089</v>
      </c>
      <c r="AL112" s="20">
        <f t="shared" si="78"/>
        <v>-0.3704057014401555</v>
      </c>
      <c r="AM112" s="20">
        <v>0.23780362105650929</v>
      </c>
      <c r="AN112" s="20">
        <f t="shared" si="65"/>
        <v>0.84929864663039023</v>
      </c>
      <c r="AO112" s="20">
        <f t="shared" si="79"/>
        <v>-0.16334439170928786</v>
      </c>
      <c r="AP112" s="20">
        <v>0.23602713082162688</v>
      </c>
      <c r="AQ112" s="20">
        <f t="shared" si="66"/>
        <v>0.84295403864866736</v>
      </c>
      <c r="AR112" s="20">
        <f t="shared" si="80"/>
        <v>-0.17084284364257299</v>
      </c>
      <c r="AS112" s="20">
        <v>0.25453383476385971</v>
      </c>
      <c r="AT112" s="20">
        <f t="shared" si="67"/>
        <v>0.90904940987092742</v>
      </c>
      <c r="AU112" s="20">
        <f t="shared" si="81"/>
        <v>-9.5355829988258492E-2</v>
      </c>
      <c r="AZ112" t="b">
        <f t="shared" si="55"/>
        <v>0</v>
      </c>
      <c r="BB112" t="b">
        <f t="shared" si="56"/>
        <v>1</v>
      </c>
      <c r="BD112" t="b">
        <f t="shared" si="57"/>
        <v>1</v>
      </c>
    </row>
    <row r="113" spans="1:56">
      <c r="A113" s="90"/>
      <c r="B113" s="21">
        <f>'[27]Dados de entrada'!$B$28</f>
        <v>16</v>
      </c>
      <c r="C113" s="21">
        <f>'[27]Dados de entrada'!$B$31</f>
        <v>2</v>
      </c>
      <c r="D113" s="21">
        <f>'[27]Dados de entrada'!$B$32</f>
        <v>168</v>
      </c>
      <c r="E113" s="20">
        <f>'[27]Dados de entrada'!$B$27</f>
        <v>3.2689999999999997</v>
      </c>
      <c r="F113" s="21">
        <f>'[27]Dados de entrada'!$B$30</f>
        <v>25</v>
      </c>
      <c r="G113" s="56">
        <f>'[27]Dados de entrada'!$B$22</f>
        <v>33</v>
      </c>
      <c r="H113" s="57">
        <f>'[27]Dados de entrada'!$B$29/(2*'[27]Dados de entrada'!$B$20*G113)</f>
        <v>2.4242424242424242E-2</v>
      </c>
      <c r="I113" s="27">
        <f>'[27]fib Model Code 2010'!$K$10</f>
        <v>317.65139549953489</v>
      </c>
      <c r="J113" s="19">
        <f>'[27]Dados de entrada'!$C$12</f>
        <v>0.33</v>
      </c>
      <c r="K113" s="20">
        <f>'[27]fib Model Code 2010'!$L$10</f>
        <v>0.28188861663776515</v>
      </c>
      <c r="L113" s="20">
        <f t="shared" si="85"/>
        <v>0.85420792920534894</v>
      </c>
      <c r="M113" s="54">
        <f t="shared" si="69"/>
        <v>-0.15758063800798644</v>
      </c>
      <c r="N113" s="20">
        <f>'[27]fib Model Code 2020'!$L$10</f>
        <v>0.20922208618236979</v>
      </c>
      <c r="O113" s="20">
        <f t="shared" si="84"/>
        <v>0.63400632176475691</v>
      </c>
      <c r="P113" s="28">
        <f t="shared" si="70"/>
        <v>-0.45569635335683667</v>
      </c>
      <c r="Q113" s="20">
        <f>'[27]Eurocode 2'!$L$10</f>
        <v>0.22744624799160579</v>
      </c>
      <c r="R113" s="20">
        <f t="shared" si="60"/>
        <v>0.68923105452001754</v>
      </c>
      <c r="S113" s="20">
        <f t="shared" si="71"/>
        <v>-0.37217871655065071</v>
      </c>
      <c r="T113" s="20">
        <f>'[27]NBR 6118'!$Q$10</f>
        <v>0.39642342057560004</v>
      </c>
      <c r="U113" s="20">
        <f>'[27]NBR 6118'!$R$10</f>
        <v>0.28007195534082957</v>
      </c>
      <c r="V113" s="20">
        <f>'[27]NBR 6118'!$W$10</f>
        <v>0.84870289497221074</v>
      </c>
      <c r="W113" s="20">
        <f t="shared" si="72"/>
        <v>-0.16404610094573846</v>
      </c>
      <c r="X113" s="20">
        <f>'[27]Clark (1956)'!$L$10</f>
        <v>0.25970500027839966</v>
      </c>
      <c r="Y113" s="20">
        <f t="shared" si="61"/>
        <v>0.78698484932848378</v>
      </c>
      <c r="Z113" s="20">
        <f t="shared" si="73"/>
        <v>-0.23954628192096275</v>
      </c>
      <c r="AA113" s="20">
        <f>'[27]Leonhardt (1977)'!$L$10</f>
        <v>0.48661646663274533</v>
      </c>
      <c r="AB113" s="20">
        <f t="shared" si="86"/>
        <v>1.4745953534325615</v>
      </c>
      <c r="AC113" s="20">
        <f t="shared" si="87"/>
        <v>0.38838361549870865</v>
      </c>
      <c r="AD113" s="20">
        <f>'[27]Desayi; Ganesan (1985)'!$L$10</f>
        <v>0.31903243557249095</v>
      </c>
      <c r="AE113" s="20">
        <f t="shared" si="62"/>
        <v>0.96676495628027559</v>
      </c>
      <c r="AF113" s="20">
        <f t="shared" si="76"/>
        <v>-3.3799877934001479E-2</v>
      </c>
      <c r="AG113" s="20">
        <f>'[27]Oh; Kang (1987)'!$L$10</f>
        <v>0.23666701267445472</v>
      </c>
      <c r="AH113" s="20">
        <f t="shared" si="63"/>
        <v>0.71717276568016575</v>
      </c>
      <c r="AI113" s="20">
        <f t="shared" si="77"/>
        <v>-0.33243851108960509</v>
      </c>
      <c r="AJ113" s="20">
        <f>'[27]Caldas (1997)'!$L$10</f>
        <v>0.21287623585919035</v>
      </c>
      <c r="AK113" s="20">
        <f t="shared" si="64"/>
        <v>0.64507950260360714</v>
      </c>
      <c r="AL113" s="20">
        <f t="shared" si="78"/>
        <v>-0.43838170993168207</v>
      </c>
      <c r="AM113" s="20">
        <v>0.25944234257364879</v>
      </c>
      <c r="AN113" s="20">
        <f t="shared" si="65"/>
        <v>0.78618891688984482</v>
      </c>
      <c r="AO113" s="20">
        <f t="shared" si="79"/>
        <v>-0.24055816315575532</v>
      </c>
      <c r="AP113" s="20">
        <v>0.28223309199558777</v>
      </c>
      <c r="AQ113" s="20">
        <f t="shared" si="66"/>
        <v>0.85525179392602346</v>
      </c>
      <c r="AR113" s="20">
        <f t="shared" si="80"/>
        <v>-0.15635935758084854</v>
      </c>
      <c r="AS113" s="20">
        <v>0.29594364960454544</v>
      </c>
      <c r="AT113" s="20">
        <f t="shared" si="67"/>
        <v>0.8967989381955922</v>
      </c>
      <c r="AU113" s="20">
        <f t="shared" si="81"/>
        <v>-0.108923591217314</v>
      </c>
      <c r="AZ113" t="b">
        <f t="shared" si="55"/>
        <v>0</v>
      </c>
      <c r="BB113" t="b">
        <f t="shared" si="56"/>
        <v>1</v>
      </c>
      <c r="BD113" t="b">
        <f t="shared" si="57"/>
        <v>1</v>
      </c>
    </row>
    <row r="114" spans="1:56">
      <c r="A114" s="90"/>
      <c r="B114" s="21">
        <f>'[27]Dados de entrada'!$B$28</f>
        <v>16</v>
      </c>
      <c r="C114" s="21">
        <f>'[27]Dados de entrada'!$B$31</f>
        <v>2</v>
      </c>
      <c r="D114" s="21">
        <f>'[27]Dados de entrada'!$B$32</f>
        <v>168</v>
      </c>
      <c r="E114" s="20">
        <f>'[27]Dados de entrada'!$B$27</f>
        <v>3.2689999999999997</v>
      </c>
      <c r="F114" s="21">
        <f>'[27]Dados de entrada'!$B$30</f>
        <v>25</v>
      </c>
      <c r="G114" s="56">
        <f>'[27]Dados de entrada'!$B$22</f>
        <v>33</v>
      </c>
      <c r="H114" s="57">
        <f>'[27]Dados de entrada'!$B$29/(2*'[27]Dados de entrada'!$B$20*G114)</f>
        <v>2.4242424242424242E-2</v>
      </c>
      <c r="I114" s="27">
        <f>'[27]fib Model Code 2010'!$K$11</f>
        <v>344.14502802905906</v>
      </c>
      <c r="J114" s="19">
        <f>'[27]Dados de entrada'!$C$13</f>
        <v>0.38</v>
      </c>
      <c r="K114" s="20">
        <f>'[27]fib Model Code 2010'!$L$11</f>
        <v>0.31886931204355928</v>
      </c>
      <c r="L114" s="20">
        <f t="shared" si="85"/>
        <v>0.83912976853568233</v>
      </c>
      <c r="M114" s="54">
        <f t="shared" si="69"/>
        <v>-0.17538991399164608</v>
      </c>
      <c r="N114" s="20">
        <f>'[27]fib Model Code 2020'!$L$11</f>
        <v>0.24027203005259176</v>
      </c>
      <c r="O114" s="20">
        <f t="shared" si="84"/>
        <v>0.63229481592787307</v>
      </c>
      <c r="P114" s="28">
        <f t="shared" si="70"/>
        <v>-0.4583995127051364</v>
      </c>
      <c r="Q114" s="20">
        <f>'[27]Eurocode 2'!$L$11</f>
        <v>0.25728470162798234</v>
      </c>
      <c r="R114" s="20">
        <f t="shared" si="60"/>
        <v>0.67706500428416405</v>
      </c>
      <c r="S114" s="20">
        <f t="shared" si="71"/>
        <v>-0.38998799253431049</v>
      </c>
      <c r="T114" s="20">
        <f>'[27]NBR 6118'!$Q$11</f>
        <v>0.42948701349421625</v>
      </c>
      <c r="U114" s="20">
        <f>'[27]NBR 6118'!$R$11</f>
        <v>0.32873889221541713</v>
      </c>
      <c r="V114" s="20">
        <f>'[27]NBR 6118'!$W$11</f>
        <v>0.86510234793530827</v>
      </c>
      <c r="W114" s="20">
        <f t="shared" si="72"/>
        <v>-0.144907457737177</v>
      </c>
      <c r="X114" s="20">
        <f>'[27]Clark (1956)'!$L$11</f>
        <v>0.28820685015366176</v>
      </c>
      <c r="Y114" s="20">
        <f t="shared" si="61"/>
        <v>0.75843907935174149</v>
      </c>
      <c r="Z114" s="20">
        <f t="shared" si="73"/>
        <v>-0.27649280068778814</v>
      </c>
      <c r="AA114" s="20">
        <f>'[27]Leonhardt (1977)'!$L$11</f>
        <v>0.5687514418715035</v>
      </c>
      <c r="AB114" s="20">
        <f t="shared" si="86"/>
        <v>1.4967143207144828</v>
      </c>
      <c r="AC114" s="20">
        <f t="shared" si="87"/>
        <v>0.40327225270020267</v>
      </c>
      <c r="AD114" s="20">
        <f>'[27]Desayi; Ganesan (1985)'!$L$11</f>
        <v>0.34564125339230445</v>
      </c>
      <c r="AE114" s="20">
        <f t="shared" si="62"/>
        <v>0.9095822457692222</v>
      </c>
      <c r="AF114" s="20">
        <f t="shared" si="76"/>
        <v>-9.4769855459674021E-2</v>
      </c>
      <c r="AG114" s="20">
        <f>'[27]Oh; Kang (1987)'!$L$11</f>
        <v>0.25924989526496467</v>
      </c>
      <c r="AH114" s="20">
        <f t="shared" si="63"/>
        <v>0.68223656648674913</v>
      </c>
      <c r="AI114" s="20">
        <f t="shared" si="77"/>
        <v>-0.38237880960329806</v>
      </c>
      <c r="AJ114" s="20">
        <f>'[27]Caldas (1997)'!$L$11</f>
        <v>0.23242530816096219</v>
      </c>
      <c r="AK114" s="20">
        <f t="shared" si="64"/>
        <v>0.61164554779200575</v>
      </c>
      <c r="AL114" s="20">
        <f t="shared" si="78"/>
        <v>-0.49160233452820157</v>
      </c>
      <c r="AM114" s="20">
        <v>0.28108106409078831</v>
      </c>
      <c r="AN114" s="20">
        <f t="shared" si="65"/>
        <v>0.73968701076523236</v>
      </c>
      <c r="AO114" s="20">
        <f t="shared" si="79"/>
        <v>-0.30152814068142764</v>
      </c>
      <c r="AP114" s="20">
        <v>0.32843905316954863</v>
      </c>
      <c r="AQ114" s="20">
        <f t="shared" si="66"/>
        <v>0.86431329781460164</v>
      </c>
      <c r="AR114" s="20">
        <f t="shared" si="80"/>
        <v>-0.14581996269501865</v>
      </c>
      <c r="AS114" s="20">
        <v>0.33792251983073496</v>
      </c>
      <c r="AT114" s="20">
        <f t="shared" si="67"/>
        <v>0.88926978902824982</v>
      </c>
      <c r="AU114" s="20">
        <f t="shared" si="81"/>
        <v>-0.11735461478493106</v>
      </c>
      <c r="AZ114" t="b">
        <f t="shared" si="55"/>
        <v>0</v>
      </c>
      <c r="BB114" t="b">
        <f t="shared" si="56"/>
        <v>1</v>
      </c>
      <c r="BD114" t="b">
        <f t="shared" si="57"/>
        <v>1</v>
      </c>
    </row>
    <row r="115" spans="1:56">
      <c r="A115" s="86"/>
      <c r="B115" s="21">
        <f>'[27]Dados de entrada'!$B$28</f>
        <v>16</v>
      </c>
      <c r="C115" s="21">
        <f>'[27]Dados de entrada'!$B$31</f>
        <v>2</v>
      </c>
      <c r="D115" s="21">
        <f>'[27]Dados de entrada'!$B$32</f>
        <v>168</v>
      </c>
      <c r="E115" s="20">
        <f>'[27]Dados de entrada'!$B$27</f>
        <v>3.2689999999999997</v>
      </c>
      <c r="F115" s="21">
        <f>'[27]Dados de entrada'!$B$30</f>
        <v>25</v>
      </c>
      <c r="G115" s="56">
        <f>'[27]Dados de entrada'!$B$22</f>
        <v>33</v>
      </c>
      <c r="H115" s="57">
        <f>'[27]Dados de entrada'!$B$29/(2*'[27]Dados de entrada'!$B$20*G115)</f>
        <v>2.4242424242424242E-2</v>
      </c>
      <c r="I115" s="27">
        <f>'[27]fib Model Code 2010'!$K$12</f>
        <v>370.54792894033153</v>
      </c>
      <c r="J115" s="19">
        <f>'[27]Dados de entrada'!$C$14</f>
        <v>0.43</v>
      </c>
      <c r="K115" s="20">
        <f>'[27]fib Model Code 2010'!$L$12</f>
        <v>0.35572336123221043</v>
      </c>
      <c r="L115" s="20">
        <f t="shared" si="85"/>
        <v>0.82726363077258247</v>
      </c>
      <c r="M115" s="54">
        <f t="shared" si="69"/>
        <v>-0.18963185510542591</v>
      </c>
      <c r="N115" s="20">
        <f>'[27]fib Model Code 2020'!$L$12</f>
        <v>0.27121563849860081</v>
      </c>
      <c r="O115" s="20">
        <f t="shared" si="84"/>
        <v>0.63073404302000191</v>
      </c>
      <c r="P115" s="28">
        <f t="shared" si="70"/>
        <v>-0.46087099020349026</v>
      </c>
      <c r="Q115" s="20">
        <f>'[27]Eurocode 2'!$L$12</f>
        <v>0.28702096877930294</v>
      </c>
      <c r="R115" s="20">
        <f t="shared" si="60"/>
        <v>0.66749062506814638</v>
      </c>
      <c r="S115" s="20">
        <f t="shared" si="71"/>
        <v>-0.40422993364809046</v>
      </c>
      <c r="T115" s="20">
        <f>'[27]NBR 6118'!$Q$12</f>
        <v>0.46243737493023435</v>
      </c>
      <c r="U115" s="20">
        <f>'[27]NBR 6118'!$R$12</f>
        <v>0.38111572538496119</v>
      </c>
      <c r="V115" s="20">
        <f>'[27]NBR 6118'!$W$12</f>
        <v>0.88631564043014233</v>
      </c>
      <c r="W115" s="20">
        <f t="shared" si="72"/>
        <v>-0.12068213851303972</v>
      </c>
      <c r="X115" s="20">
        <f>'[27]Clark (1956)'!$L$12</f>
        <v>0.31661109095400869</v>
      </c>
      <c r="Y115" s="20">
        <f t="shared" si="61"/>
        <v>0.73630486268374118</v>
      </c>
      <c r="Z115" s="20">
        <f t="shared" si="73"/>
        <v>-0.30611103041395221</v>
      </c>
      <c r="AA115" s="20">
        <f>'[27]Leonhardt (1977)'!$L$12</f>
        <v>0.64776800862686934</v>
      </c>
      <c r="AB115" s="20">
        <f t="shared" si="86"/>
        <v>1.5064372293648125</v>
      </c>
      <c r="AC115" s="20">
        <f t="shared" si="87"/>
        <v>0.40974741218500527</v>
      </c>
      <c r="AD115" s="20">
        <f>'[27]Desayi; Ganesan (1985)'!$L$12</f>
        <v>0.37215894512369413</v>
      </c>
      <c r="AE115" s="20">
        <f t="shared" si="62"/>
        <v>0.86548591889231197</v>
      </c>
      <c r="AF115" s="20">
        <f t="shared" si="76"/>
        <v>-0.14446417383119303</v>
      </c>
      <c r="AG115" s="20">
        <f>'[27]Oh; Kang (1987)'!$L$12</f>
        <v>0.28175543921646612</v>
      </c>
      <c r="AH115" s="20">
        <f t="shared" si="63"/>
        <v>0.6552452074801538</v>
      </c>
      <c r="AI115" s="20">
        <f t="shared" si="77"/>
        <v>-0.42274575083794619</v>
      </c>
      <c r="AJ115" s="20">
        <f>'[27]Caldas (1997)'!$L$12</f>
        <v>0.25190743158498824</v>
      </c>
      <c r="AK115" s="20">
        <f t="shared" si="64"/>
        <v>0.58583123624415867</v>
      </c>
      <c r="AL115" s="20">
        <f t="shared" si="78"/>
        <v>-0.53472352364041076</v>
      </c>
      <c r="AM115" s="20">
        <v>0.3026456803972527</v>
      </c>
      <c r="AN115" s="20">
        <f t="shared" si="65"/>
        <v>0.70382716371454113</v>
      </c>
      <c r="AO115" s="20">
        <f t="shared" si="79"/>
        <v>-0.35122245905294702</v>
      </c>
      <c r="AP115" s="20">
        <v>0.37448677475044817</v>
      </c>
      <c r="AQ115" s="20">
        <f t="shared" si="66"/>
        <v>0.87089947616383301</v>
      </c>
      <c r="AR115" s="20">
        <f t="shared" si="80"/>
        <v>-0.13822872077193155</v>
      </c>
      <c r="AS115" s="20">
        <v>0.38032376229552944</v>
      </c>
      <c r="AT115" s="20">
        <f t="shared" si="67"/>
        <v>0.88447386580355691</v>
      </c>
      <c r="AU115" s="20">
        <f t="shared" si="81"/>
        <v>-0.12276231267742699</v>
      </c>
      <c r="AZ115" t="b">
        <f t="shared" si="55"/>
        <v>0</v>
      </c>
      <c r="BB115" t="b">
        <f t="shared" si="56"/>
        <v>1</v>
      </c>
      <c r="BD115" t="b">
        <f t="shared" si="57"/>
        <v>1</v>
      </c>
    </row>
    <row r="116" spans="1:56">
      <c r="A116" s="87" t="s">
        <v>62</v>
      </c>
      <c r="B116" s="5">
        <f>'[28]Dados de entrada'!$B$28</f>
        <v>16</v>
      </c>
      <c r="C116" s="5">
        <f>'[28]Dados de entrada'!$B$31</f>
        <v>3</v>
      </c>
      <c r="D116" s="5">
        <f>'[28]Dados de entrada'!$B$32</f>
        <v>76</v>
      </c>
      <c r="E116" s="11">
        <f>'[28]Dados de entrada'!$B$27</f>
        <v>3.2689999999999997</v>
      </c>
      <c r="F116" s="5">
        <f>'[28]Dados de entrada'!$B$30</f>
        <v>25</v>
      </c>
      <c r="G116" s="12">
        <f>'[28]Dados de entrada'!$B$22</f>
        <v>33</v>
      </c>
      <c r="H116" s="52">
        <f>'[28]Dados de entrada'!$B$29/(2*'[28]Dados de entrada'!$B$20*G116)</f>
        <v>3.6363636363636362E-2</v>
      </c>
      <c r="I116" s="53">
        <f>'[28]fib Model Code 2010'!$K$5</f>
        <v>233.30469206437246</v>
      </c>
      <c r="J116" s="4">
        <f>'[28]Dados de entrada'!$C$7</f>
        <v>0.15</v>
      </c>
      <c r="K116" s="11">
        <f>'[28]fib Model Code 2010'!$L$5</f>
        <v>0.1531062354497946</v>
      </c>
      <c r="L116" s="11">
        <f t="shared" si="85"/>
        <v>1.0207082363319639</v>
      </c>
      <c r="M116" s="29">
        <f t="shared" si="69"/>
        <v>2.0496735692264637E-2</v>
      </c>
      <c r="N116" s="11">
        <f>'[28]fib Model Code 2020'!$L$5</f>
        <v>0.12226734357024087</v>
      </c>
      <c r="O116" s="11">
        <f t="shared" si="84"/>
        <v>0.81511562380160585</v>
      </c>
      <c r="P116" s="55">
        <f t="shared" si="70"/>
        <v>-0.20442530610860596</v>
      </c>
      <c r="Q116" s="11">
        <f>'[28]Eurocode 2'!$L$5</f>
        <v>0.13497830291539226</v>
      </c>
      <c r="R116" s="11">
        <f t="shared" si="60"/>
        <v>0.89985535276928175</v>
      </c>
      <c r="S116" s="11">
        <f t="shared" si="71"/>
        <v>-0.10552124771977463</v>
      </c>
      <c r="T116" s="11">
        <f>'[28]NBR 6118'!$Q$5</f>
        <v>0.19624775636841521</v>
      </c>
      <c r="U116" s="11">
        <f>'[28]NBR 6118'!$R$5</f>
        <v>0.15248177687827655</v>
      </c>
      <c r="V116" s="11">
        <f>'[28]NBR 6118'!$W$5</f>
        <v>1.0165451791885103</v>
      </c>
      <c r="W116" s="11">
        <f t="shared" si="72"/>
        <v>1.6409798930855236E-2</v>
      </c>
      <c r="X116" s="11">
        <f>'[28]Clark (1956)'!$L$5</f>
        <v>0.13012496114856792</v>
      </c>
      <c r="Y116" s="11">
        <f t="shared" si="61"/>
        <v>0.86749974099045279</v>
      </c>
      <c r="Z116" s="11">
        <f t="shared" si="73"/>
        <v>-0.1421400657312506</v>
      </c>
      <c r="AA116" s="11">
        <f>'[28]Leonhardt (1977)'!$L$5</f>
        <v>0.25195164759958771</v>
      </c>
      <c r="AB116" s="11">
        <f t="shared" si="86"/>
        <v>1.6796776506639182</v>
      </c>
      <c r="AC116" s="11">
        <f t="shared" si="87"/>
        <v>0.51860190040006993</v>
      </c>
      <c r="AD116" s="11">
        <f>'[28]Desayi; Ganesan (1985)'!$L$5</f>
        <v>0.18003138663794294</v>
      </c>
      <c r="AE116" s="11">
        <f t="shared" si="62"/>
        <v>1.2002092442529531</v>
      </c>
      <c r="AF116" s="11">
        <f t="shared" si="76"/>
        <v>0.18249591180403063</v>
      </c>
      <c r="AG116" s="11">
        <f>'[28]Oh; Kang (1987)'!$L$5</f>
        <v>0.12518000924236972</v>
      </c>
      <c r="AH116" s="11">
        <f t="shared" si="63"/>
        <v>0.83453339494913148</v>
      </c>
      <c r="AI116" s="11">
        <f t="shared" si="77"/>
        <v>-0.18088251876706429</v>
      </c>
      <c r="AJ116" s="11">
        <f>'[28]Caldas (1997)'!$L$5</f>
        <v>0.15297784176427023</v>
      </c>
      <c r="AK116" s="11">
        <f t="shared" si="64"/>
        <v>1.0198522784284683</v>
      </c>
      <c r="AL116" s="11">
        <f t="shared" si="78"/>
        <v>1.9657791737887443E-2</v>
      </c>
      <c r="AM116" s="11" cm="1">
        <f t="array" ref="AM116:AM120">'[28]Gergely e Lutz (1968)'!$L$5:$L$9</f>
        <v>0.16782701616822179</v>
      </c>
      <c r="AN116" s="11">
        <f t="shared" si="65"/>
        <v>1.1188467744548121</v>
      </c>
      <c r="AO116" s="11">
        <f t="shared" si="79"/>
        <v>0.11229848917179661</v>
      </c>
      <c r="AP116" s="11" cm="1">
        <f t="array" ref="AP116:AP120">[28]Sugestão!$M$5:$M$9</f>
        <v>0.13797248193354791</v>
      </c>
      <c r="AQ116" s="11">
        <f t="shared" si="66"/>
        <v>0.91981654622365283</v>
      </c>
      <c r="AR116" s="11">
        <f t="shared" si="80"/>
        <v>-8.358103510176465E-2</v>
      </c>
      <c r="AS116" s="11" cm="1">
        <f t="array" ref="AS116:AS120">'[28]fib Model Code 2020 modificado'!$L$5:$L$9</f>
        <v>0.17798465041980599</v>
      </c>
      <c r="AT116" s="11">
        <f t="shared" si="67"/>
        <v>1.1865643361320399</v>
      </c>
      <c r="AU116" s="11">
        <f t="shared" si="81"/>
        <v>0.17106201888090347</v>
      </c>
      <c r="AZ116" t="b">
        <f t="shared" si="55"/>
        <v>0</v>
      </c>
      <c r="BB116" t="b">
        <f t="shared" si="56"/>
        <v>1</v>
      </c>
      <c r="BD116" t="b">
        <f t="shared" si="57"/>
        <v>1</v>
      </c>
    </row>
    <row r="117" spans="1:56">
      <c r="A117" s="88"/>
      <c r="B117" s="5">
        <f>'[28]Dados de entrada'!$B$28</f>
        <v>16</v>
      </c>
      <c r="C117" s="5">
        <f>'[28]Dados de entrada'!$B$31</f>
        <v>3</v>
      </c>
      <c r="D117" s="5">
        <f>'[28]Dados de entrada'!$B$32</f>
        <v>76</v>
      </c>
      <c r="E117" s="11">
        <f>'[28]Dados de entrada'!$B$27</f>
        <v>3.2689999999999997</v>
      </c>
      <c r="F117" s="5">
        <f>'[28]Dados de entrada'!$B$30</f>
        <v>25</v>
      </c>
      <c r="G117" s="12">
        <f>'[28]Dados de entrada'!$B$22</f>
        <v>33</v>
      </c>
      <c r="H117" s="52">
        <f>'[28]Dados de entrada'!$B$29/(2*'[28]Dados de entrada'!$B$20*G117)</f>
        <v>3.6363636363636362E-2</v>
      </c>
      <c r="I117" s="53">
        <f>'[28]fib Model Code 2010'!$K$6</f>
        <v>251.20389200920044</v>
      </c>
      <c r="J117" s="4">
        <f>'[28]Dados de entrada'!$C$8</f>
        <v>0.18</v>
      </c>
      <c r="K117" s="11">
        <f>'[28]fib Model Code 2010'!$L$6</f>
        <v>0.17116484293996007</v>
      </c>
      <c r="L117" s="11">
        <f t="shared" si="85"/>
        <v>0.95091579411088933</v>
      </c>
      <c r="M117" s="29">
        <f t="shared" si="69"/>
        <v>-5.0329764930246219E-2</v>
      </c>
      <c r="N117" s="11">
        <f>'[28]fib Model Code 2020'!$L$6</f>
        <v>0.13958286394040598</v>
      </c>
      <c r="O117" s="11">
        <f t="shared" si="84"/>
        <v>0.77546035522447765</v>
      </c>
      <c r="P117" s="55">
        <f t="shared" si="70"/>
        <v>-0.25429841923970009</v>
      </c>
      <c r="Q117" s="11">
        <f>'[28]Eurocode 2'!$L$6</f>
        <v>0.15089875308436673</v>
      </c>
      <c r="R117" s="11">
        <f t="shared" si="60"/>
        <v>0.83832640602425967</v>
      </c>
      <c r="S117" s="11">
        <f t="shared" si="71"/>
        <v>-0.17634774834228548</v>
      </c>
      <c r="T117" s="11">
        <f>'[28]NBR 6118'!$Q$6</f>
        <v>0.21130393804603426</v>
      </c>
      <c r="U117" s="11">
        <f>'[28]NBR 6118'!$R$6</f>
        <v>0.17677617215084976</v>
      </c>
      <c r="V117" s="11">
        <f>'[28]NBR 6118'!$W$6</f>
        <v>0.98208984528249865</v>
      </c>
      <c r="W117" s="11">
        <f t="shared" si="72"/>
        <v>-1.8072482671784504E-2</v>
      </c>
      <c r="X117" s="11">
        <f>'[28]Clark (1956)'!$L$6</f>
        <v>0.14296226734899856</v>
      </c>
      <c r="Y117" s="11">
        <f t="shared" si="61"/>
        <v>0.79423481860554757</v>
      </c>
      <c r="Z117" s="11">
        <f t="shared" si="73"/>
        <v>-0.23037612014103381</v>
      </c>
      <c r="AA117" s="11">
        <f>'[28]Leonhardt (1977)'!$L$6</f>
        <v>0.28721911732524774</v>
      </c>
      <c r="AB117" s="11">
        <f t="shared" si="86"/>
        <v>1.595661762918043</v>
      </c>
      <c r="AC117" s="11">
        <f t="shared" si="87"/>
        <v>0.46728854857149221</v>
      </c>
      <c r="AD117" s="11">
        <f>'[28]Desayi; Ganesan (1985)'!$L$6</f>
        <v>0.19384344398348513</v>
      </c>
      <c r="AE117" s="11">
        <f t="shared" si="62"/>
        <v>1.076908022130473</v>
      </c>
      <c r="AF117" s="11">
        <f t="shared" si="76"/>
        <v>7.4093992605733364E-2</v>
      </c>
      <c r="AG117" s="11">
        <f>'[28]Oh; Kang (1987)'!$L$6</f>
        <v>0.13677115061920933</v>
      </c>
      <c r="AH117" s="11">
        <f t="shared" si="63"/>
        <v>0.75983972566227409</v>
      </c>
      <c r="AI117" s="11">
        <f t="shared" si="77"/>
        <v>-0.27464775522809232</v>
      </c>
      <c r="AJ117" s="11">
        <f>'[28]Caldas (1997)'!$L$6</f>
        <v>0.1661724760507631</v>
      </c>
      <c r="AK117" s="11">
        <f t="shared" si="64"/>
        <v>0.92318042250423948</v>
      </c>
      <c r="AL117" s="11">
        <f t="shared" si="78"/>
        <v>-7.993058957941207E-2</v>
      </c>
      <c r="AM117" s="11">
        <v>0.18070275086501922</v>
      </c>
      <c r="AN117" s="11">
        <f t="shared" si="65"/>
        <v>1.0039041714723291</v>
      </c>
      <c r="AO117" s="11">
        <f t="shared" si="79"/>
        <v>3.8965699734993982E-3</v>
      </c>
      <c r="AP117" s="11">
        <v>0.16178299565649967</v>
      </c>
      <c r="AQ117" s="11">
        <f t="shared" si="66"/>
        <v>0.89879442031388712</v>
      </c>
      <c r="AR117" s="11">
        <f t="shared" si="80"/>
        <v>-0.10670094661870672</v>
      </c>
      <c r="AS117" s="11">
        <v>0.20139746041556172</v>
      </c>
      <c r="AT117" s="11">
        <f t="shared" si="67"/>
        <v>1.118874780086454</v>
      </c>
      <c r="AU117" s="11">
        <f t="shared" si="81"/>
        <v>0.11232351966014006</v>
      </c>
      <c r="AZ117" t="b">
        <f t="shared" si="55"/>
        <v>0</v>
      </c>
      <c r="BB117" t="b">
        <f t="shared" si="56"/>
        <v>1</v>
      </c>
      <c r="BD117" t="b">
        <f t="shared" si="57"/>
        <v>1</v>
      </c>
    </row>
    <row r="118" spans="1:56">
      <c r="A118" s="88"/>
      <c r="B118" s="5">
        <f>'[28]Dados de entrada'!$B$28</f>
        <v>16</v>
      </c>
      <c r="C118" s="5">
        <f>'[28]Dados de entrada'!$B$31</f>
        <v>3</v>
      </c>
      <c r="D118" s="5">
        <f>'[28]Dados de entrada'!$B$32</f>
        <v>76</v>
      </c>
      <c r="E118" s="11">
        <f>'[28]Dados de entrada'!$B$27</f>
        <v>3.2689999999999997</v>
      </c>
      <c r="F118" s="5">
        <f>'[28]Dados de entrada'!$B$30</f>
        <v>25</v>
      </c>
      <c r="G118" s="12">
        <f>'[28]Dados de entrada'!$B$22</f>
        <v>33</v>
      </c>
      <c r="H118" s="52">
        <f>'[28]Dados de entrada'!$B$29/(2*'[28]Dados de entrada'!$B$20*G118)</f>
        <v>3.6363636363636362E-2</v>
      </c>
      <c r="I118" s="53">
        <f>'[28]fib Model Code 2010'!$K$7</f>
        <v>269.16460123218928</v>
      </c>
      <c r="J118" s="4">
        <f>'[28]Dados de entrada'!$C$9</f>
        <v>0.18</v>
      </c>
      <c r="K118" s="11">
        <f>'[28]fib Model Code 2010'!$L$7</f>
        <v>0.18928550750053849</v>
      </c>
      <c r="L118" s="11">
        <f t="shared" si="85"/>
        <v>1.0515861527807695</v>
      </c>
      <c r="M118" s="29">
        <f t="shared" si="69"/>
        <v>5.0299646024216951E-2</v>
      </c>
      <c r="N118" s="11">
        <f>'[28]fib Model Code 2020'!$L$7</f>
        <v>0.15695788781699774</v>
      </c>
      <c r="O118" s="11">
        <f t="shared" si="84"/>
        <v>0.87198826564998744</v>
      </c>
      <c r="P118" s="55">
        <f t="shared" si="70"/>
        <v>-0.13697931198711019</v>
      </c>
      <c r="Q118" s="11">
        <f>'[28]Eurocode 2'!$L$7</f>
        <v>0.16687391270409369</v>
      </c>
      <c r="R118" s="11">
        <f t="shared" si="60"/>
        <v>0.92707729280052054</v>
      </c>
      <c r="S118" s="11">
        <f t="shared" si="71"/>
        <v>-7.571833738782241E-2</v>
      </c>
      <c r="T118" s="11">
        <f>'[28]NBR 6118'!$Q$7</f>
        <v>0.22641185917959003</v>
      </c>
      <c r="U118" s="11">
        <f>'[28]NBR 6118'!$R$7</f>
        <v>0.20295833219561998</v>
      </c>
      <c r="V118" s="11">
        <f>'[28]NBR 6118'!$W$7</f>
        <v>1.1275462899756665</v>
      </c>
      <c r="W118" s="11">
        <f t="shared" si="72"/>
        <v>0.12004384696273676</v>
      </c>
      <c r="X118" s="11">
        <f>'[28]Clark (1956)'!$L$7</f>
        <v>0.15584368800372614</v>
      </c>
      <c r="Y118" s="11">
        <f t="shared" si="61"/>
        <v>0.86579826668736748</v>
      </c>
      <c r="Z118" s="11">
        <f t="shared" si="73"/>
        <v>-0.14410334595435337</v>
      </c>
      <c r="AA118" s="11">
        <f>'[28]Leonhardt (1977)'!$L$7</f>
        <v>0.32158182698958593</v>
      </c>
      <c r="AB118" s="11">
        <f t="shared" si="86"/>
        <v>1.7865657054976998</v>
      </c>
      <c r="AC118" s="11">
        <f t="shared" si="87"/>
        <v>0.58029517670099806</v>
      </c>
      <c r="AD118" s="11">
        <f>'[28]Desayi; Ganesan (1985)'!$L$7</f>
        <v>0.20770296544361677</v>
      </c>
      <c r="AE118" s="11">
        <f t="shared" si="62"/>
        <v>1.1539053635756489</v>
      </c>
      <c r="AF118" s="11">
        <f t="shared" si="76"/>
        <v>0.14315215742299439</v>
      </c>
      <c r="AG118" s="11">
        <f>'[28]Oh; Kang (1987)'!$L$7</f>
        <v>0.14840212409700027</v>
      </c>
      <c r="AH118" s="11">
        <f t="shared" si="63"/>
        <v>0.82445624498333481</v>
      </c>
      <c r="AI118" s="11">
        <f t="shared" si="77"/>
        <v>-0.1930312069372607</v>
      </c>
      <c r="AJ118" s="11">
        <f>'[28]Caldas (1997)'!$L$7</f>
        <v>0.17941245272312015</v>
      </c>
      <c r="AK118" s="11">
        <f t="shared" si="64"/>
        <v>0.99673584846177865</v>
      </c>
      <c r="AL118" s="11">
        <f t="shared" si="78"/>
        <v>-3.2694905021442432E-3</v>
      </c>
      <c r="AM118" s="11">
        <v>0.19362273207280215</v>
      </c>
      <c r="AN118" s="11">
        <f t="shared" si="65"/>
        <v>1.0756818448489009</v>
      </c>
      <c r="AO118" s="11">
        <f t="shared" si="79"/>
        <v>7.2954734790760173E-2</v>
      </c>
      <c r="AP118" s="11">
        <v>0.18567533245066428</v>
      </c>
      <c r="AQ118" s="11">
        <f t="shared" si="66"/>
        <v>1.0315296247259127</v>
      </c>
      <c r="AR118" s="11">
        <f t="shared" si="80"/>
        <v>3.1042773161267492E-2</v>
      </c>
      <c r="AS118" s="11">
        <v>0.22515180715689309</v>
      </c>
      <c r="AT118" s="11">
        <f t="shared" si="67"/>
        <v>1.2508433730938506</v>
      </c>
      <c r="AU118" s="11">
        <f t="shared" si="81"/>
        <v>0.22381802228260064</v>
      </c>
      <c r="AZ118" t="b">
        <f t="shared" si="55"/>
        <v>0</v>
      </c>
      <c r="BB118" t="b">
        <f t="shared" si="56"/>
        <v>1</v>
      </c>
      <c r="BD118" t="b">
        <f t="shared" si="57"/>
        <v>1</v>
      </c>
    </row>
    <row r="119" spans="1:56">
      <c r="A119" s="88"/>
      <c r="B119" s="5">
        <f>'[28]Dados de entrada'!$B$28</f>
        <v>16</v>
      </c>
      <c r="C119" s="5">
        <f>'[28]Dados de entrada'!$B$31</f>
        <v>3</v>
      </c>
      <c r="D119" s="5">
        <f>'[28]Dados de entrada'!$B$32</f>
        <v>76</v>
      </c>
      <c r="E119" s="11">
        <f>'[28]Dados de entrada'!$B$27</f>
        <v>3.2689999999999997</v>
      </c>
      <c r="F119" s="5">
        <f>'[28]Dados de entrada'!$B$30</f>
        <v>25</v>
      </c>
      <c r="G119" s="12">
        <f>'[28]Dados de entrada'!$B$22</f>
        <v>33</v>
      </c>
      <c r="H119" s="52">
        <f>'[28]Dados de entrada'!$B$29/(2*'[28]Dados de entrada'!$B$20*G119)</f>
        <v>3.6363636363636362E-2</v>
      </c>
      <c r="I119" s="53">
        <f>'[28]fib Model Code 2010'!$K$8</f>
        <v>287.12531045517812</v>
      </c>
      <c r="J119" s="4">
        <f>'[28]Dados de entrada'!$C$10</f>
        <v>0.2</v>
      </c>
      <c r="K119" s="11">
        <f>'[28]fib Model Code 2010'!$L$8</f>
        <v>0.20740617206111689</v>
      </c>
      <c r="L119" s="11">
        <f t="shared" si="85"/>
        <v>1.0370308603055844</v>
      </c>
      <c r="M119" s="29">
        <f t="shared" si="69"/>
        <v>3.6361688019236303E-2</v>
      </c>
      <c r="N119" s="11">
        <f>'[28]fib Model Code 2020'!$L$8</f>
        <v>0.1743329116935895</v>
      </c>
      <c r="O119" s="11">
        <f t="shared" si="84"/>
        <v>0.87166455846794744</v>
      </c>
      <c r="P119" s="55">
        <f t="shared" si="70"/>
        <v>-0.13735060973776494</v>
      </c>
      <c r="Q119" s="11">
        <f>'[28]Eurocode 2'!$L$8</f>
        <v>0.18284907232382061</v>
      </c>
      <c r="R119" s="11">
        <f t="shared" si="60"/>
        <v>0.91424536161910297</v>
      </c>
      <c r="S119" s="11">
        <f t="shared" si="71"/>
        <v>-8.9656295392803217E-2</v>
      </c>
      <c r="T119" s="11">
        <f>'[28]NBR 6118'!$Q$8</f>
        <v>0.24151978031314592</v>
      </c>
      <c r="U119" s="11">
        <f>'[28]NBR 6118'!$R$8</f>
        <v>0.23094786593615235</v>
      </c>
      <c r="V119" s="11">
        <f>'[28]NBR 6118'!$W$8</f>
        <v>1.1547393296807618</v>
      </c>
      <c r="W119" s="11">
        <f t="shared" si="72"/>
        <v>0.14387462991416991</v>
      </c>
      <c r="X119" s="11">
        <f>'[28]Clark (1956)'!$L$8</f>
        <v>0.16872510865845375</v>
      </c>
      <c r="Y119" s="11">
        <f t="shared" si="61"/>
        <v>0.84362554329226869</v>
      </c>
      <c r="Z119" s="11">
        <f t="shared" si="73"/>
        <v>-0.17004655192141876</v>
      </c>
      <c r="AA119" s="11">
        <f>'[28]Leonhardt (1977)'!$L$8</f>
        <v>0.35510946407025634</v>
      </c>
      <c r="AB119" s="11">
        <f t="shared" si="86"/>
        <v>1.7755473203512817</v>
      </c>
      <c r="AC119" s="11">
        <f t="shared" si="87"/>
        <v>0.57410872489112408</v>
      </c>
      <c r="AD119" s="11">
        <f>'[28]Desayi; Ganesan (1985)'!$L$8</f>
        <v>0.22156248690374838</v>
      </c>
      <c r="AE119" s="11">
        <f t="shared" si="62"/>
        <v>1.1078124345187419</v>
      </c>
      <c r="AF119" s="11">
        <f t="shared" si="76"/>
        <v>0.10238729106979723</v>
      </c>
      <c r="AG119" s="11">
        <f>'[28]Oh; Kang (1987)'!$L$8</f>
        <v>0.16003309757479117</v>
      </c>
      <c r="AH119" s="11">
        <f t="shared" si="63"/>
        <v>0.80016548787395581</v>
      </c>
      <c r="AI119" s="11">
        <f t="shared" si="77"/>
        <v>-0.22293671286431208</v>
      </c>
      <c r="AJ119" s="11">
        <f>'[28]Caldas (1997)'!$L$8</f>
        <v>0.19265242939547719</v>
      </c>
      <c r="AK119" s="11">
        <f t="shared" si="64"/>
        <v>0.96326214697738588</v>
      </c>
      <c r="AL119" s="11">
        <f t="shared" si="78"/>
        <v>-3.7429685145429034E-2</v>
      </c>
      <c r="AM119" s="11">
        <v>0.2065427132805851</v>
      </c>
      <c r="AN119" s="11">
        <f t="shared" si="65"/>
        <v>1.0327135664029254</v>
      </c>
      <c r="AO119" s="11">
        <f t="shared" si="79"/>
        <v>3.2189868437563135E-2</v>
      </c>
      <c r="AP119" s="11">
        <v>0.20956766924482884</v>
      </c>
      <c r="AQ119" s="11">
        <f t="shared" si="66"/>
        <v>1.0478383462241441</v>
      </c>
      <c r="AR119" s="11">
        <f t="shared" si="80"/>
        <v>4.6729324215006592E-2</v>
      </c>
      <c r="AS119" s="11">
        <v>0.24916768207428147</v>
      </c>
      <c r="AT119" s="11">
        <f t="shared" si="67"/>
        <v>1.2458384103714073</v>
      </c>
      <c r="AU119" s="11">
        <f t="shared" si="81"/>
        <v>0.219808725254899</v>
      </c>
      <c r="AZ119" t="b">
        <f t="shared" si="55"/>
        <v>0</v>
      </c>
      <c r="BB119" t="b">
        <f t="shared" si="56"/>
        <v>1</v>
      </c>
      <c r="BD119" t="b">
        <f t="shared" si="57"/>
        <v>1</v>
      </c>
    </row>
    <row r="120" spans="1:56">
      <c r="A120" s="89"/>
      <c r="B120" s="5">
        <f>'[28]Dados de entrada'!$B$28</f>
        <v>16</v>
      </c>
      <c r="C120" s="5">
        <f>'[28]Dados de entrada'!$B$31</f>
        <v>3</v>
      </c>
      <c r="D120" s="5">
        <f>'[28]Dados de entrada'!$B$32</f>
        <v>76</v>
      </c>
      <c r="E120" s="11">
        <f>'[28]Dados de entrada'!$B$27</f>
        <v>3.2689999999999997</v>
      </c>
      <c r="F120" s="5">
        <f>'[28]Dados de entrada'!$B$30</f>
        <v>25</v>
      </c>
      <c r="G120" s="12">
        <f>'[28]Dados de entrada'!$B$22</f>
        <v>33</v>
      </c>
      <c r="H120" s="52">
        <f>'[28]Dados de entrada'!$B$29/(2*'[28]Dados de entrada'!$B$20*G120)</f>
        <v>3.6363636363636362E-2</v>
      </c>
      <c r="I120" s="53">
        <f>'[28]fib Model Code 2010'!$K$9</f>
        <v>305.08601967816708</v>
      </c>
      <c r="J120" s="4">
        <f>'[28]Dados de entrada'!$C$11</f>
        <v>0.2</v>
      </c>
      <c r="K120" s="11">
        <f>'[28]fib Model Code 2010'!$L$9</f>
        <v>0.2255268366216954</v>
      </c>
      <c r="L120" s="11">
        <f t="shared" si="85"/>
        <v>1.1276341831084769</v>
      </c>
      <c r="M120" s="29">
        <f t="shared" si="69"/>
        <v>0.12012179472248712</v>
      </c>
      <c r="N120" s="11">
        <f>'[28]fib Model Code 2020'!$L$9</f>
        <v>0.19170793557018131</v>
      </c>
      <c r="O120" s="11">
        <f t="shared" si="84"/>
        <v>0.95853967785090655</v>
      </c>
      <c r="P120" s="55">
        <f t="shared" si="70"/>
        <v>-4.2344321577625653E-2</v>
      </c>
      <c r="Q120" s="11">
        <f>'[28]Eurocode 2'!$L$9</f>
        <v>0.19882423194354767</v>
      </c>
      <c r="R120" s="11">
        <f t="shared" si="60"/>
        <v>0.99412115971773829</v>
      </c>
      <c r="S120" s="11">
        <f t="shared" si="71"/>
        <v>-5.8961886895521377E-3</v>
      </c>
      <c r="T120" s="11">
        <f>'[28]NBR 6118'!$Q$9</f>
        <v>0.25662770144670172</v>
      </c>
      <c r="U120" s="11">
        <f>'[28]NBR 6118'!$R$9</f>
        <v>0.26074477337244656</v>
      </c>
      <c r="V120" s="11">
        <f>'[28]NBR 6118'!$W$9</f>
        <v>1.2831385072335084</v>
      </c>
      <c r="W120" s="11">
        <f t="shared" si="72"/>
        <v>0.24930903556157419</v>
      </c>
      <c r="X120" s="11">
        <f>'[28]Clark (1956)'!$L$9</f>
        <v>0.18160652931318141</v>
      </c>
      <c r="Y120" s="11">
        <f t="shared" si="61"/>
        <v>0.90803264656590699</v>
      </c>
      <c r="Z120" s="11">
        <f t="shared" si="73"/>
        <v>-9.6474946659447572E-2</v>
      </c>
      <c r="AA120" s="11">
        <f>'[28]Leonhardt (1977)'!$L$9</f>
        <v>0.387949513160665</v>
      </c>
      <c r="AB120" s="11">
        <f t="shared" si="86"/>
        <v>1.939747565803325</v>
      </c>
      <c r="AC120" s="11">
        <f t="shared" si="87"/>
        <v>0.66255784388886585</v>
      </c>
      <c r="AD120" s="11">
        <f>'[28]Desayi; Ganesan (1985)'!$L$9</f>
        <v>0.23542200836388011</v>
      </c>
      <c r="AE120" s="11">
        <f t="shared" si="62"/>
        <v>1.1771100418194005</v>
      </c>
      <c r="AF120" s="11">
        <f t="shared" si="76"/>
        <v>0.1630623173823241</v>
      </c>
      <c r="AG120" s="11">
        <f>'[28]Oh; Kang (1987)'!$L$9</f>
        <v>0.17166407105258216</v>
      </c>
      <c r="AH120" s="11">
        <f t="shared" si="63"/>
        <v>0.85832035526291073</v>
      </c>
      <c r="AI120" s="11">
        <f t="shared" si="77"/>
        <v>-0.15277787474876556</v>
      </c>
      <c r="AJ120" s="11">
        <f>'[28]Caldas (1997)'!$L$9</f>
        <v>0.20589240606783432</v>
      </c>
      <c r="AK120" s="11">
        <f t="shared" si="64"/>
        <v>1.0294620303391715</v>
      </c>
      <c r="AL120" s="11">
        <f t="shared" si="78"/>
        <v>2.9036365153470439E-2</v>
      </c>
      <c r="AM120" s="11">
        <v>0.21946269448836811</v>
      </c>
      <c r="AN120" s="11">
        <f t="shared" si="65"/>
        <v>1.0973134724418405</v>
      </c>
      <c r="AO120" s="11">
        <f t="shared" si="79"/>
        <v>9.2864894750089966E-2</v>
      </c>
      <c r="AP120" s="11">
        <v>0.23346000603899358</v>
      </c>
      <c r="AQ120" s="11">
        <f t="shared" si="66"/>
        <v>1.1673000301949679</v>
      </c>
      <c r="AR120" s="11">
        <f t="shared" si="80"/>
        <v>0.15469341554383895</v>
      </c>
      <c r="AS120" s="11">
        <v>0.27344508516772692</v>
      </c>
      <c r="AT120" s="11">
        <f t="shared" si="67"/>
        <v>1.3672254258386345</v>
      </c>
      <c r="AU120" s="11">
        <f t="shared" si="81"/>
        <v>0.3127834496611217</v>
      </c>
      <c r="AZ120" t="b">
        <f t="shared" si="55"/>
        <v>0</v>
      </c>
      <c r="BB120" t="b">
        <f t="shared" si="56"/>
        <v>1</v>
      </c>
      <c r="BD120" t="b">
        <f t="shared" si="57"/>
        <v>1</v>
      </c>
    </row>
    <row r="121" spans="1:56">
      <c r="A121" s="85" t="s">
        <v>63</v>
      </c>
      <c r="B121" s="21">
        <f>'[29]Dados de entrada'!$B$28</f>
        <v>16</v>
      </c>
      <c r="C121" s="21">
        <f>'[29]Dados de entrada'!$B$31</f>
        <v>3</v>
      </c>
      <c r="D121" s="21">
        <f>'[29]Dados de entrada'!$B$32</f>
        <v>76</v>
      </c>
      <c r="E121" s="20">
        <f>'[29]Dados de entrada'!$B$27</f>
        <v>3.2689999999999997</v>
      </c>
      <c r="F121" s="21">
        <f>'[29]Dados de entrada'!$B$30</f>
        <v>25</v>
      </c>
      <c r="G121" s="56">
        <f>'[29]Dados de entrada'!$B$22</f>
        <v>33</v>
      </c>
      <c r="H121" s="57">
        <f>'[29]Dados de entrada'!$B$29/(2*'[29]Dados de entrada'!$B$20*G121)</f>
        <v>3.6363636363636362E-2</v>
      </c>
      <c r="I121" s="27">
        <f>'[29]fib Model Code 2010'!$K$5</f>
        <v>251.20389200920044</v>
      </c>
      <c r="J121" s="19">
        <f>'[29]Dados de entrada'!$C$7</f>
        <v>0.15</v>
      </c>
      <c r="K121" s="20">
        <f>'[29]fib Model Code 2010'!$L$5</f>
        <v>0.17116484293996007</v>
      </c>
      <c r="L121" s="20">
        <f t="shared" si="85"/>
        <v>1.1410989529330671</v>
      </c>
      <c r="M121" s="54">
        <f t="shared" si="69"/>
        <v>0.1319917918637083</v>
      </c>
      <c r="N121" s="20">
        <f>'[29]fib Model Code 2020'!$L$5</f>
        <v>0.13958286394040598</v>
      </c>
      <c r="O121" s="20">
        <f t="shared" si="84"/>
        <v>0.93055242626937318</v>
      </c>
      <c r="P121" s="28">
        <f t="shared" si="70"/>
        <v>-7.1976862445745485E-2</v>
      </c>
      <c r="Q121" s="20">
        <f>'[29]Eurocode 2'!$L$5</f>
        <v>0.15089875308436673</v>
      </c>
      <c r="R121" s="20">
        <f t="shared" si="60"/>
        <v>1.0059916872291117</v>
      </c>
      <c r="S121" s="20">
        <f t="shared" si="71"/>
        <v>5.9738084516692313E-3</v>
      </c>
      <c r="T121" s="20">
        <f>'[29]NBR 6118'!$Q$5</f>
        <v>0.21130393804603426</v>
      </c>
      <c r="U121" s="20">
        <f>'[29]NBR 6118'!$R$5</f>
        <v>0.17677617215084976</v>
      </c>
      <c r="V121" s="20">
        <f>'[29]NBR 6118'!$W$5</f>
        <v>1.1785078143389984</v>
      </c>
      <c r="W121" s="20">
        <f t="shared" si="72"/>
        <v>0.16424907412217016</v>
      </c>
      <c r="X121" s="20">
        <f>'[29]Clark (1956)'!$L$5</f>
        <v>0.14296226734899856</v>
      </c>
      <c r="Y121" s="20">
        <f t="shared" si="61"/>
        <v>0.95308178232665708</v>
      </c>
      <c r="Z121" s="20">
        <f t="shared" si="73"/>
        <v>-4.8054563347079179E-2</v>
      </c>
      <c r="AA121" s="20">
        <f>'[29]Leonhardt (1977)'!$L$5</f>
        <v>0.28721911732524774</v>
      </c>
      <c r="AB121" s="20">
        <f t="shared" si="86"/>
        <v>1.9147941155016517</v>
      </c>
      <c r="AC121" s="20">
        <f t="shared" si="87"/>
        <v>0.64961010536544694</v>
      </c>
      <c r="AD121" s="20">
        <f>'[29]Desayi; Ganesan (1985)'!$L$5</f>
        <v>0.19384344398348513</v>
      </c>
      <c r="AE121" s="20">
        <f t="shared" si="62"/>
        <v>1.2922896265565675</v>
      </c>
      <c r="AF121" s="20">
        <f t="shared" si="76"/>
        <v>0.25641554939968797</v>
      </c>
      <c r="AG121" s="20">
        <f>'[29]Oh; Kang (1987)'!$L$5</f>
        <v>0.13677115061920933</v>
      </c>
      <c r="AH121" s="20">
        <f t="shared" si="63"/>
        <v>0.91180767079472891</v>
      </c>
      <c r="AI121" s="20">
        <f t="shared" si="77"/>
        <v>-9.232619843413771E-2</v>
      </c>
      <c r="AJ121" s="20">
        <f>'[29]Caldas (1997)'!$L$5</f>
        <v>0.1661724760507631</v>
      </c>
      <c r="AK121" s="20">
        <f t="shared" si="64"/>
        <v>1.1078165070050874</v>
      </c>
      <c r="AL121" s="20">
        <f t="shared" si="78"/>
        <v>0.10239096721454256</v>
      </c>
      <c r="AM121" s="20" cm="1">
        <f t="array" ref="AM121:AM124">'[29]Gergely e Lutz (1968)'!$L$5:$L$8</f>
        <v>0.18070275086501922</v>
      </c>
      <c r="AN121" s="20">
        <f t="shared" si="65"/>
        <v>1.2046850057667948</v>
      </c>
      <c r="AO121" s="20">
        <f t="shared" si="79"/>
        <v>0.18621812676745392</v>
      </c>
      <c r="AP121" s="20" cm="1">
        <f t="array" ref="AP121:AP124">[29]Sugestão!$M$5:$M$8</f>
        <v>0.16178299565649967</v>
      </c>
      <c r="AQ121" s="20">
        <f t="shared" si="66"/>
        <v>1.0785533043766646</v>
      </c>
      <c r="AR121" s="20">
        <f t="shared" si="80"/>
        <v>7.5620610175248001E-2</v>
      </c>
      <c r="AS121" s="20" cm="1">
        <f t="array" ref="AS121:AS124">'[29]fib Model Code 2020 modificado'!$L$5:$L$8</f>
        <v>0.20139746041556172</v>
      </c>
      <c r="AT121" s="20">
        <f t="shared" si="67"/>
        <v>1.3426497361037448</v>
      </c>
      <c r="AU121" s="20">
        <f t="shared" si="81"/>
        <v>0.29464507645409471</v>
      </c>
      <c r="AZ121" t="b">
        <f t="shared" si="55"/>
        <v>0</v>
      </c>
      <c r="BB121" t="b">
        <f t="shared" si="56"/>
        <v>1</v>
      </c>
      <c r="BD121" t="b">
        <f t="shared" si="57"/>
        <v>1</v>
      </c>
    </row>
    <row r="122" spans="1:56">
      <c r="A122" s="90"/>
      <c r="B122" s="21">
        <f>'[29]Dados de entrada'!$B$28</f>
        <v>16</v>
      </c>
      <c r="C122" s="21">
        <f>'[29]Dados de entrada'!$B$31</f>
        <v>3</v>
      </c>
      <c r="D122" s="21">
        <f>'[29]Dados de entrada'!$B$32</f>
        <v>76</v>
      </c>
      <c r="E122" s="20">
        <f>'[29]Dados de entrada'!$B$27</f>
        <v>3.2689999999999997</v>
      </c>
      <c r="F122" s="21">
        <f>'[29]Dados de entrada'!$B$30</f>
        <v>25</v>
      </c>
      <c r="G122" s="56">
        <f>'[29]Dados de entrada'!$B$22</f>
        <v>33</v>
      </c>
      <c r="H122" s="57">
        <f>'[29]Dados de entrada'!$B$29/(2*'[29]Dados de entrada'!$B$20*G122)</f>
        <v>3.6363636363636362E-2</v>
      </c>
      <c r="I122" s="27">
        <f>'[29]fib Model Code 2010'!$K$6</f>
        <v>269.16460123218928</v>
      </c>
      <c r="J122" s="19">
        <f>'[29]Dados de entrada'!$C$8</f>
        <v>0.18</v>
      </c>
      <c r="K122" s="20">
        <f>'[29]fib Model Code 2010'!$L$6</f>
        <v>0.18928550750053849</v>
      </c>
      <c r="L122" s="20">
        <f t="shared" si="85"/>
        <v>1.0515861527807695</v>
      </c>
      <c r="M122" s="54">
        <f t="shared" si="69"/>
        <v>5.0299646024216951E-2</v>
      </c>
      <c r="N122" s="20">
        <f>'[29]fib Model Code 2020'!$L$6</f>
        <v>0.15695788781699774</v>
      </c>
      <c r="O122" s="20">
        <f t="shared" si="84"/>
        <v>0.87198826564998744</v>
      </c>
      <c r="P122" s="28">
        <f t="shared" si="70"/>
        <v>-0.13697931198711019</v>
      </c>
      <c r="Q122" s="20">
        <f>'[29]Eurocode 2'!$L$6</f>
        <v>0.16687391270409369</v>
      </c>
      <c r="R122" s="20">
        <f t="shared" si="60"/>
        <v>0.92707729280052054</v>
      </c>
      <c r="S122" s="20">
        <f t="shared" si="71"/>
        <v>-7.571833738782241E-2</v>
      </c>
      <c r="T122" s="20">
        <f>'[29]NBR 6118'!$Q$6</f>
        <v>0.22641185917959003</v>
      </c>
      <c r="U122" s="20">
        <f>'[29]NBR 6118'!$R$6</f>
        <v>0.20295833219561998</v>
      </c>
      <c r="V122" s="20">
        <f>'[29]NBR 6118'!$W$6</f>
        <v>1.1275462899756665</v>
      </c>
      <c r="W122" s="20">
        <f t="shared" si="72"/>
        <v>0.12004384696273676</v>
      </c>
      <c r="X122" s="20">
        <f>'[29]Clark (1956)'!$L$6</f>
        <v>0.15584368800372614</v>
      </c>
      <c r="Y122" s="20">
        <f t="shared" si="61"/>
        <v>0.86579826668736748</v>
      </c>
      <c r="Z122" s="20">
        <f t="shared" si="73"/>
        <v>-0.14410334595435337</v>
      </c>
      <c r="AA122" s="20">
        <f>'[29]Leonhardt (1977)'!$L$6</f>
        <v>0.32158182698958593</v>
      </c>
      <c r="AB122" s="20">
        <f t="shared" si="86"/>
        <v>1.7865657054976998</v>
      </c>
      <c r="AC122" s="20">
        <f t="shared" si="87"/>
        <v>0.58029517670099806</v>
      </c>
      <c r="AD122" s="20">
        <f>'[29]Desayi; Ganesan (1985)'!$L$6</f>
        <v>0.20770296544361677</v>
      </c>
      <c r="AE122" s="20">
        <f t="shared" si="62"/>
        <v>1.1539053635756489</v>
      </c>
      <c r="AF122" s="20">
        <f t="shared" si="76"/>
        <v>0.14315215742299439</v>
      </c>
      <c r="AG122" s="20">
        <f>'[29]Oh; Kang (1987)'!$L$6</f>
        <v>0.14840212409700027</v>
      </c>
      <c r="AH122" s="20">
        <f t="shared" si="63"/>
        <v>0.82445624498333481</v>
      </c>
      <c r="AI122" s="20">
        <f t="shared" si="77"/>
        <v>-0.1930312069372607</v>
      </c>
      <c r="AJ122" s="20">
        <f>'[29]Caldas (1997)'!$L$6</f>
        <v>0.17941245272312015</v>
      </c>
      <c r="AK122" s="20">
        <f t="shared" si="64"/>
        <v>0.99673584846177865</v>
      </c>
      <c r="AL122" s="20">
        <f t="shared" si="78"/>
        <v>-3.2694905021442432E-3</v>
      </c>
      <c r="AM122" s="20">
        <v>0.19362273207280215</v>
      </c>
      <c r="AN122" s="20">
        <f t="shared" si="65"/>
        <v>1.0756818448489009</v>
      </c>
      <c r="AO122" s="20">
        <f t="shared" si="79"/>
        <v>7.2954734790760173E-2</v>
      </c>
      <c r="AP122" s="20">
        <v>0.18567533245066428</v>
      </c>
      <c r="AQ122" s="20">
        <f t="shared" si="66"/>
        <v>1.0315296247259127</v>
      </c>
      <c r="AR122" s="20">
        <f t="shared" si="80"/>
        <v>3.1042773161267492E-2</v>
      </c>
      <c r="AS122" s="20">
        <v>0.22515180715689309</v>
      </c>
      <c r="AT122" s="20">
        <f t="shared" si="67"/>
        <v>1.2508433730938506</v>
      </c>
      <c r="AU122" s="20">
        <f t="shared" si="81"/>
        <v>0.22381802228260064</v>
      </c>
      <c r="AZ122" t="b">
        <f t="shared" si="55"/>
        <v>0</v>
      </c>
      <c r="BB122" t="b">
        <f t="shared" si="56"/>
        <v>1</v>
      </c>
      <c r="BD122" t="b">
        <f t="shared" si="57"/>
        <v>1</v>
      </c>
    </row>
    <row r="123" spans="1:56">
      <c r="A123" s="90"/>
      <c r="B123" s="21">
        <f>'[29]Dados de entrada'!$B$28</f>
        <v>16</v>
      </c>
      <c r="C123" s="21">
        <f>'[29]Dados de entrada'!$B$31</f>
        <v>3</v>
      </c>
      <c r="D123" s="21">
        <f>'[29]Dados de entrada'!$B$32</f>
        <v>76</v>
      </c>
      <c r="E123" s="20">
        <f>'[29]Dados de entrada'!$B$27</f>
        <v>3.2689999999999997</v>
      </c>
      <c r="F123" s="21">
        <f>'[29]Dados de entrada'!$B$30</f>
        <v>25</v>
      </c>
      <c r="G123" s="56">
        <f>'[29]Dados de entrada'!$B$22</f>
        <v>33</v>
      </c>
      <c r="H123" s="57">
        <f>'[29]Dados de entrada'!$B$29/(2*'[29]Dados de entrada'!$B$20*G123)</f>
        <v>3.6363636363636362E-2</v>
      </c>
      <c r="I123" s="27">
        <f>'[29]fib Model Code 2010'!$K$7</f>
        <v>287.12531045517812</v>
      </c>
      <c r="J123" s="19">
        <f>'[29]Dados de entrada'!$C$9</f>
        <v>0.2</v>
      </c>
      <c r="K123" s="20">
        <f>'[29]fib Model Code 2010'!$L$7</f>
        <v>0.20740617206111689</v>
      </c>
      <c r="L123" s="20">
        <f t="shared" si="85"/>
        <v>1.0370308603055844</v>
      </c>
      <c r="M123" s="54">
        <f t="shared" si="69"/>
        <v>3.6361688019236303E-2</v>
      </c>
      <c r="N123" s="20">
        <f>'[29]fib Model Code 2020'!$L$7</f>
        <v>0.1743329116935895</v>
      </c>
      <c r="O123" s="20">
        <f t="shared" si="84"/>
        <v>0.87166455846794744</v>
      </c>
      <c r="P123" s="28">
        <f t="shared" si="70"/>
        <v>-0.13735060973776494</v>
      </c>
      <c r="Q123" s="20">
        <f>'[29]Eurocode 2'!$L$7</f>
        <v>0.18284907232382061</v>
      </c>
      <c r="R123" s="20">
        <f t="shared" si="60"/>
        <v>0.91424536161910297</v>
      </c>
      <c r="S123" s="20">
        <f t="shared" si="71"/>
        <v>-8.9656295392803217E-2</v>
      </c>
      <c r="T123" s="20">
        <f>'[29]NBR 6118'!$Q$7</f>
        <v>0.24151978031314592</v>
      </c>
      <c r="U123" s="20">
        <f>'[29]NBR 6118'!$R$7</f>
        <v>0.23094786593615235</v>
      </c>
      <c r="V123" s="20">
        <f>'[29]NBR 6118'!$W$7</f>
        <v>1.1547393296807618</v>
      </c>
      <c r="W123" s="20">
        <f t="shared" si="72"/>
        <v>0.14387462991416991</v>
      </c>
      <c r="X123" s="20">
        <f>'[29]Clark (1956)'!$L$7</f>
        <v>0.16872510865845375</v>
      </c>
      <c r="Y123" s="20">
        <f t="shared" si="61"/>
        <v>0.84362554329226869</v>
      </c>
      <c r="Z123" s="20">
        <f t="shared" si="73"/>
        <v>-0.17004655192141876</v>
      </c>
      <c r="AA123" s="20">
        <f>'[29]Leonhardt (1977)'!$L$7</f>
        <v>0.35510946407025634</v>
      </c>
      <c r="AB123" s="20">
        <f t="shared" si="86"/>
        <v>1.7755473203512817</v>
      </c>
      <c r="AC123" s="20">
        <f t="shared" si="87"/>
        <v>0.57410872489112408</v>
      </c>
      <c r="AD123" s="20">
        <f>'[29]Desayi; Ganesan (1985)'!$L$7</f>
        <v>0.22156248690374838</v>
      </c>
      <c r="AE123" s="20">
        <f t="shared" si="62"/>
        <v>1.1078124345187419</v>
      </c>
      <c r="AF123" s="20">
        <f t="shared" si="76"/>
        <v>0.10238729106979723</v>
      </c>
      <c r="AG123" s="20">
        <f>'[29]Oh; Kang (1987)'!$L$7</f>
        <v>0.16003309757479117</v>
      </c>
      <c r="AH123" s="20">
        <f t="shared" si="63"/>
        <v>0.80016548787395581</v>
      </c>
      <c r="AI123" s="20">
        <f t="shared" si="77"/>
        <v>-0.22293671286431208</v>
      </c>
      <c r="AJ123" s="20">
        <f>'[29]Caldas (1997)'!$L$7</f>
        <v>0.19265242939547719</v>
      </c>
      <c r="AK123" s="20">
        <f t="shared" si="64"/>
        <v>0.96326214697738588</v>
      </c>
      <c r="AL123" s="20">
        <f t="shared" si="78"/>
        <v>-3.7429685145429034E-2</v>
      </c>
      <c r="AM123" s="20">
        <v>0.2065427132805851</v>
      </c>
      <c r="AN123" s="20">
        <f t="shared" si="65"/>
        <v>1.0327135664029254</v>
      </c>
      <c r="AO123" s="20">
        <f t="shared" si="79"/>
        <v>3.2189868437563135E-2</v>
      </c>
      <c r="AP123" s="20">
        <v>0.20956766924482884</v>
      </c>
      <c r="AQ123" s="20">
        <f t="shared" si="66"/>
        <v>1.0478383462241441</v>
      </c>
      <c r="AR123" s="20">
        <f t="shared" si="80"/>
        <v>4.6729324215006592E-2</v>
      </c>
      <c r="AS123" s="20">
        <v>0.24916768207428147</v>
      </c>
      <c r="AT123" s="20">
        <f t="shared" si="67"/>
        <v>1.2458384103714073</v>
      </c>
      <c r="AU123" s="20">
        <f t="shared" si="81"/>
        <v>0.219808725254899</v>
      </c>
      <c r="AZ123" t="b">
        <f t="shared" si="55"/>
        <v>0</v>
      </c>
      <c r="BB123" t="b">
        <f t="shared" si="56"/>
        <v>1</v>
      </c>
      <c r="BD123" t="b">
        <f t="shared" si="57"/>
        <v>1</v>
      </c>
    </row>
    <row r="124" spans="1:56">
      <c r="A124" s="86"/>
      <c r="B124" s="21">
        <f>'[29]Dados de entrada'!$B$28</f>
        <v>16</v>
      </c>
      <c r="C124" s="21">
        <f>'[29]Dados de entrada'!$B$31</f>
        <v>3</v>
      </c>
      <c r="D124" s="21">
        <f>'[29]Dados de entrada'!$B$32</f>
        <v>76</v>
      </c>
      <c r="E124" s="20">
        <f>'[29]Dados de entrada'!$B$27</f>
        <v>3.2689999999999997</v>
      </c>
      <c r="F124" s="21">
        <f>'[29]Dados de entrada'!$B$30</f>
        <v>25</v>
      </c>
      <c r="G124" s="56">
        <f>'[29]Dados de entrada'!$B$22</f>
        <v>33</v>
      </c>
      <c r="H124" s="57">
        <f>'[29]Dados de entrada'!$B$29/(2*'[29]Dados de entrada'!$B$20*G124)</f>
        <v>3.6363636363636362E-2</v>
      </c>
      <c r="I124" s="27">
        <f>'[29]fib Model Code 2010'!$K$8</f>
        <v>305.08601967816708</v>
      </c>
      <c r="J124" s="19">
        <f>'[29]Dados de entrada'!$C$10</f>
        <v>0.2</v>
      </c>
      <c r="K124" s="20">
        <f>'[29]fib Model Code 2010'!$L$8</f>
        <v>0.2255268366216954</v>
      </c>
      <c r="L124" s="20">
        <f t="shared" si="85"/>
        <v>1.1276341831084769</v>
      </c>
      <c r="M124" s="54">
        <f t="shared" si="69"/>
        <v>0.12012179472248712</v>
      </c>
      <c r="N124" s="20">
        <f>'[29]fib Model Code 2020'!$L$8</f>
        <v>0.19170793557018131</v>
      </c>
      <c r="O124" s="20">
        <f t="shared" si="84"/>
        <v>0.95853967785090655</v>
      </c>
      <c r="P124" s="28">
        <f t="shared" si="70"/>
        <v>-4.2344321577625653E-2</v>
      </c>
      <c r="Q124" s="20">
        <f>'[29]Eurocode 2'!$L$8</f>
        <v>0.19882423194354767</v>
      </c>
      <c r="R124" s="20">
        <f t="shared" si="60"/>
        <v>0.99412115971773829</v>
      </c>
      <c r="S124" s="20">
        <f t="shared" si="71"/>
        <v>-5.8961886895521377E-3</v>
      </c>
      <c r="T124" s="20">
        <f>'[29]NBR 6118'!$Q$8</f>
        <v>0.25662770144670172</v>
      </c>
      <c r="U124" s="20">
        <f>'[29]NBR 6118'!$R$8</f>
        <v>0.26074477337244656</v>
      </c>
      <c r="V124" s="20">
        <f>'[29]NBR 6118'!$W$8</f>
        <v>1.2831385072335084</v>
      </c>
      <c r="W124" s="20">
        <f t="shared" si="72"/>
        <v>0.24930903556157419</v>
      </c>
      <c r="X124" s="20">
        <f>'[29]Clark (1956)'!$L$8</f>
        <v>0.18160652931318141</v>
      </c>
      <c r="Y124" s="20">
        <f t="shared" si="61"/>
        <v>0.90803264656590699</v>
      </c>
      <c r="Z124" s="20">
        <f t="shared" si="73"/>
        <v>-9.6474946659447572E-2</v>
      </c>
      <c r="AA124" s="20">
        <f>'[29]Leonhardt (1977)'!$L$8</f>
        <v>0.387949513160665</v>
      </c>
      <c r="AB124" s="20">
        <f t="shared" si="86"/>
        <v>1.939747565803325</v>
      </c>
      <c r="AC124" s="20">
        <f t="shared" si="87"/>
        <v>0.66255784388886585</v>
      </c>
      <c r="AD124" s="20">
        <f>'[29]Desayi; Ganesan (1985)'!$L$8</f>
        <v>0.23542200836388011</v>
      </c>
      <c r="AE124" s="20">
        <f t="shared" si="62"/>
        <v>1.1771100418194005</v>
      </c>
      <c r="AF124" s="20">
        <f t="shared" si="76"/>
        <v>0.1630623173823241</v>
      </c>
      <c r="AG124" s="20">
        <f>'[29]Oh; Kang (1987)'!$L$8</f>
        <v>0.17166407105258216</v>
      </c>
      <c r="AH124" s="20">
        <f t="shared" si="63"/>
        <v>0.85832035526291073</v>
      </c>
      <c r="AI124" s="20">
        <f t="shared" si="77"/>
        <v>-0.15277787474876556</v>
      </c>
      <c r="AJ124" s="20">
        <f>'[29]Caldas (1997)'!$L$8</f>
        <v>0.20589240606783432</v>
      </c>
      <c r="AK124" s="20">
        <f t="shared" si="64"/>
        <v>1.0294620303391715</v>
      </c>
      <c r="AL124" s="20">
        <f t="shared" si="78"/>
        <v>2.9036365153470439E-2</v>
      </c>
      <c r="AM124" s="20">
        <v>0.21946269448836811</v>
      </c>
      <c r="AN124" s="20">
        <f t="shared" si="65"/>
        <v>1.0973134724418405</v>
      </c>
      <c r="AO124" s="20">
        <f t="shared" si="79"/>
        <v>9.2864894750089966E-2</v>
      </c>
      <c r="AP124" s="20">
        <v>0.23346000603899358</v>
      </c>
      <c r="AQ124" s="20">
        <f t="shared" si="66"/>
        <v>1.1673000301949679</v>
      </c>
      <c r="AR124" s="20">
        <f t="shared" si="80"/>
        <v>0.15469341554383895</v>
      </c>
      <c r="AS124" s="20">
        <v>0.27344508516772692</v>
      </c>
      <c r="AT124" s="20">
        <f t="shared" si="67"/>
        <v>1.3672254258386345</v>
      </c>
      <c r="AU124" s="20">
        <f t="shared" si="81"/>
        <v>0.3127834496611217</v>
      </c>
      <c r="AZ124" t="b">
        <f t="shared" si="55"/>
        <v>0</v>
      </c>
      <c r="BB124" t="b">
        <f t="shared" si="56"/>
        <v>1</v>
      </c>
      <c r="BD124" t="b">
        <f t="shared" si="57"/>
        <v>1</v>
      </c>
    </row>
    <row r="125" spans="1:56">
      <c r="A125" s="87" t="s">
        <v>64</v>
      </c>
      <c r="B125" s="5">
        <f>'[30]Dados de entrada'!$B$28</f>
        <v>12</v>
      </c>
      <c r="C125" s="5">
        <f>'[30]Dados de entrada'!$B$31</f>
        <v>2</v>
      </c>
      <c r="D125" s="5">
        <f>'[30]Dados de entrada'!$B$32</f>
        <v>296</v>
      </c>
      <c r="E125" s="11">
        <f>'[30]Dados de entrada'!$B$27</f>
        <v>3.2689999999999997</v>
      </c>
      <c r="F125" s="5">
        <f>'[30]Dados de entrada'!$B$30</f>
        <v>25</v>
      </c>
      <c r="G125" s="12">
        <f>'[30]Dados de entrada'!$B$22</f>
        <v>31</v>
      </c>
      <c r="H125" s="52">
        <f>'[30]Dados de entrada'!$B$29/(2*'[30]Dados de entrada'!$B$20*G125)</f>
        <v>8.870967741935484E-3</v>
      </c>
      <c r="I125" s="53">
        <f>'[30]fib Model Code 2010'!$K$5</f>
        <v>176.28617352026819</v>
      </c>
      <c r="J125" s="4">
        <f>'[30]Dados de entrada'!$C$7</f>
        <v>0.2</v>
      </c>
      <c r="K125" s="11">
        <f>'[30]fib Model Code 2010'!$L$5</f>
        <v>7.1690562907373032E-3</v>
      </c>
      <c r="L125" s="11"/>
      <c r="M125" s="29"/>
      <c r="N125" s="11">
        <f>'[30]fib Model Code 2020'!$L$5</f>
        <v>7.2148609668635899E-2</v>
      </c>
      <c r="O125" s="11">
        <f t="shared" si="84"/>
        <v>0.3607430483431795</v>
      </c>
      <c r="P125" s="55">
        <f t="shared" si="70"/>
        <v>-1.0195893515258023</v>
      </c>
      <c r="Q125" s="11">
        <f>'[30]Eurocode 2'!$L$5</f>
        <v>0.13142035655526946</v>
      </c>
      <c r="R125" s="11">
        <f t="shared" si="60"/>
        <v>0.65710178277634723</v>
      </c>
      <c r="S125" s="11">
        <f t="shared" si="71"/>
        <v>-0.41991635198452576</v>
      </c>
      <c r="T125" s="11">
        <f>'[30]NBR 6118'!$Q$5</f>
        <v>0.24254206377240639</v>
      </c>
      <c r="U125" s="11">
        <f>'[30]NBR 6118'!$R$5</f>
        <v>6.4368016399245206E-2</v>
      </c>
      <c r="V125" s="11" cm="1">
        <f t="array" ref="V125:V127">'[30]NBR 6118'!$W$5:$W$7</f>
        <v>0.32184008199622599</v>
      </c>
      <c r="W125" s="11">
        <f t="shared" si="72"/>
        <v>-1.1337004965673767</v>
      </c>
      <c r="X125" s="11" cm="1">
        <f t="array" ref="X125:X127">'[30]Clark (1956)'!$L$5:$L$7</f>
        <v>0.17856608619280925</v>
      </c>
      <c r="Y125" s="11">
        <f t="shared" si="61"/>
        <v>0.89283043096404624</v>
      </c>
      <c r="Z125" s="11">
        <f t="shared" si="73"/>
        <v>-0.11335860307480333</v>
      </c>
      <c r="AA125" s="11"/>
      <c r="AB125" s="11"/>
      <c r="AC125" s="11"/>
      <c r="AD125" s="11" cm="1">
        <f t="array" ref="AD125:AD127">'[30]Desayi; Ganesan (1985)'!$L$5:$L$7</f>
        <v>0.3030500275579413</v>
      </c>
      <c r="AE125" s="11">
        <f t="shared" si="62"/>
        <v>1.5152501377897065</v>
      </c>
      <c r="AF125" s="11">
        <f t="shared" si="76"/>
        <v>0.41558053278454876</v>
      </c>
      <c r="AG125" s="11" cm="1">
        <f t="array" ref="AG125:AG127">'[30]Oh; Kang (1987)'!$L$5:$L$7</f>
        <v>0.12362610885562696</v>
      </c>
      <c r="AH125" s="11">
        <f t="shared" si="63"/>
        <v>0.61813054427813474</v>
      </c>
      <c r="AI125" s="11">
        <f t="shared" si="77"/>
        <v>-0.4810556071357649</v>
      </c>
      <c r="AJ125" s="11" cm="1">
        <f t="array" ref="AJ125:AJ127">'[30]Caldas (1997)'!$L$5:$L$7</f>
        <v>8.2839711691510234E-2</v>
      </c>
      <c r="AK125" s="11">
        <f t="shared" si="64"/>
        <v>0.41419855845755116</v>
      </c>
      <c r="AL125" s="11">
        <f t="shared" si="78"/>
        <v>-0.88140981033199406</v>
      </c>
      <c r="AM125" s="11" cm="1">
        <f t="array" ref="AM125:AM127">'[30]Gergely e Lutz (1968)'!$L$5:$L$7</f>
        <v>0.18416833175589342</v>
      </c>
      <c r="AN125" s="11">
        <f t="shared" si="65"/>
        <v>0.92084165877946711</v>
      </c>
      <c r="AO125" s="11">
        <f t="shared" si="79"/>
        <v>-8.2467180656638897E-2</v>
      </c>
      <c r="AP125" s="11" cm="1">
        <f t="array" ref="AP125:AP127">[30]Sugestão!$M$5:$M$7</f>
        <v>7.2148609668635899E-2</v>
      </c>
      <c r="AQ125" s="11">
        <f t="shared" si="66"/>
        <v>0.3607430483431795</v>
      </c>
      <c r="AR125" s="11">
        <f t="shared" si="80"/>
        <v>-1.0195893515258023</v>
      </c>
      <c r="AS125" s="11" cm="1">
        <f t="array" ref="AS125:AS127">'[30]fib Model Code 2020 modificado'!$L$5:$L$7</f>
        <v>9.6373213717357326E-2</v>
      </c>
      <c r="AT125" s="11">
        <f t="shared" si="67"/>
        <v>0.4818660685867866</v>
      </c>
      <c r="AU125" s="11">
        <f t="shared" si="81"/>
        <v>-0.73008906954596464</v>
      </c>
      <c r="AZ125" t="b">
        <f t="shared" si="55"/>
        <v>1</v>
      </c>
      <c r="BB125" t="b">
        <f t="shared" si="56"/>
        <v>0</v>
      </c>
      <c r="BD125" t="b">
        <f t="shared" si="57"/>
        <v>1</v>
      </c>
    </row>
    <row r="126" spans="1:56">
      <c r="A126" s="88"/>
      <c r="B126" s="5">
        <f>'[30]Dados de entrada'!$B$28</f>
        <v>12</v>
      </c>
      <c r="C126" s="5">
        <f>'[30]Dados de entrada'!$B$31</f>
        <v>2</v>
      </c>
      <c r="D126" s="5">
        <f>'[30]Dados de entrada'!$B$32</f>
        <v>296</v>
      </c>
      <c r="E126" s="11">
        <f>'[30]Dados de entrada'!$B$27</f>
        <v>3.2689999999999997</v>
      </c>
      <c r="F126" s="5">
        <f>'[30]Dados de entrada'!$B$30</f>
        <v>25</v>
      </c>
      <c r="G126" s="12">
        <f>'[30]Dados de entrada'!$B$22</f>
        <v>31</v>
      </c>
      <c r="H126" s="52">
        <f>'[30]Dados de entrada'!$B$29/(2*'[30]Dados de entrada'!$B$20*G126)</f>
        <v>8.870967741935484E-3</v>
      </c>
      <c r="I126" s="53">
        <f>'[30]fib Model Code 2010'!$K$6</f>
        <v>242.34630278375195</v>
      </c>
      <c r="J126" s="4">
        <f>'[30]Dados de entrada'!$C$8</f>
        <v>0.25</v>
      </c>
      <c r="K126" s="11">
        <f>'[30]fib Model Code 2010'!$L$6</f>
        <v>0.11192516701366445</v>
      </c>
      <c r="L126" s="11">
        <f t="shared" ref="L126:L157" si="88">K126/J126</f>
        <v>0.4477006680546578</v>
      </c>
      <c r="M126" s="29">
        <f t="shared" si="69"/>
        <v>-0.80363042154366171</v>
      </c>
      <c r="N126" s="11">
        <f>'[30]fib Model Code 2020'!$L$6</f>
        <v>9.9185026568017642E-2</v>
      </c>
      <c r="O126" s="11">
        <f t="shared" si="84"/>
        <v>0.39674010627207057</v>
      </c>
      <c r="P126" s="55">
        <f t="shared" si="70"/>
        <v>-0.92447385681894834</v>
      </c>
      <c r="Q126" s="11">
        <f>'[30]Eurocode 2'!$L$6</f>
        <v>0.18066781350852884</v>
      </c>
      <c r="R126" s="11">
        <f t="shared" si="60"/>
        <v>0.72267125403411536</v>
      </c>
      <c r="S126" s="11">
        <f t="shared" si="71"/>
        <v>-0.32480085727767188</v>
      </c>
      <c r="T126" s="11">
        <f>'[30]NBR 6118'!$Q$6</f>
        <v>0.33343041743444302</v>
      </c>
      <c r="U126" s="11">
        <f>'[30]NBR 6118'!$R$6</f>
        <v>0.12164840551874925</v>
      </c>
      <c r="V126" s="11">
        <v>0.48659362207499701</v>
      </c>
      <c r="W126" s="11">
        <f t="shared" si="72"/>
        <v>-0.72032595583945846</v>
      </c>
      <c r="X126" s="11">
        <v>0.3242250679390129</v>
      </c>
      <c r="Y126" s="11">
        <f t="shared" si="61"/>
        <v>1.2969002717560516</v>
      </c>
      <c r="Z126" s="11">
        <f t="shared" si="73"/>
        <v>0.25997701090233238</v>
      </c>
      <c r="AA126" s="11"/>
      <c r="AB126" s="11"/>
      <c r="AC126" s="11"/>
      <c r="AD126" s="11">
        <v>0.41661267171776939</v>
      </c>
      <c r="AE126" s="11">
        <f t="shared" si="62"/>
        <v>1.6664506868710776</v>
      </c>
      <c r="AF126" s="11">
        <f t="shared" si="76"/>
        <v>0.51069602749140275</v>
      </c>
      <c r="AG126" s="11">
        <v>0.18354969846414795</v>
      </c>
      <c r="AH126" s="11">
        <f t="shared" si="63"/>
        <v>0.73419879385659181</v>
      </c>
      <c r="AI126" s="11">
        <f t="shared" si="77"/>
        <v>-0.30897545072027333</v>
      </c>
      <c r="AJ126" s="11">
        <v>0.12596340903755263</v>
      </c>
      <c r="AK126" s="11">
        <f t="shared" si="64"/>
        <v>0.5038536361502105</v>
      </c>
      <c r="AL126" s="11">
        <f t="shared" si="78"/>
        <v>-0.6854694575501783</v>
      </c>
      <c r="AM126" s="11">
        <v>0.25318216057234166</v>
      </c>
      <c r="AN126" s="11">
        <f t="shared" si="65"/>
        <v>1.0127286422893667</v>
      </c>
      <c r="AO126" s="11">
        <f t="shared" si="79"/>
        <v>1.2648314050215041E-2</v>
      </c>
      <c r="AP126" s="11">
        <v>0.12649536757740656</v>
      </c>
      <c r="AQ126" s="11">
        <f t="shared" si="66"/>
        <v>0.50598147030962626</v>
      </c>
      <c r="AR126" s="11">
        <f t="shared" si="80"/>
        <v>-0.68125523030664803</v>
      </c>
      <c r="AS126" s="11">
        <v>0.13602433814170228</v>
      </c>
      <c r="AT126" s="11">
        <f t="shared" si="67"/>
        <v>0.54409735256680913</v>
      </c>
      <c r="AU126" s="11">
        <f t="shared" si="81"/>
        <v>-0.60862709121279313</v>
      </c>
      <c r="AZ126" t="b">
        <f t="shared" si="55"/>
        <v>1</v>
      </c>
      <c r="BB126" t="b">
        <f t="shared" si="56"/>
        <v>0</v>
      </c>
      <c r="BD126" t="b">
        <f t="shared" si="57"/>
        <v>1</v>
      </c>
    </row>
    <row r="127" spans="1:56">
      <c r="A127" s="89"/>
      <c r="B127" s="5">
        <f>'[30]Dados de entrada'!$B$28</f>
        <v>12</v>
      </c>
      <c r="C127" s="5">
        <f>'[30]Dados de entrada'!$B$31</f>
        <v>2</v>
      </c>
      <c r="D127" s="5">
        <f>'[30]Dados de entrada'!$B$32</f>
        <v>296</v>
      </c>
      <c r="E127" s="11">
        <f>'[30]Dados de entrada'!$B$27</f>
        <v>3.2689999999999997</v>
      </c>
      <c r="F127" s="5">
        <f>'[30]Dados de entrada'!$B$30</f>
        <v>25</v>
      </c>
      <c r="G127" s="12">
        <f>'[30]Dados de entrada'!$B$22</f>
        <v>31</v>
      </c>
      <c r="H127" s="52">
        <f>'[30]Dados de entrada'!$B$29/(2*'[30]Dados de entrada'!$B$20*G127)</f>
        <v>8.870967741935484E-3</v>
      </c>
      <c r="I127" s="53">
        <f>'[30]fib Model Code 2010'!$K$7</f>
        <v>308.4064320472358</v>
      </c>
      <c r="J127" s="4">
        <f>'[30]Dados de entrada'!$C$9</f>
        <v>0.33</v>
      </c>
      <c r="K127" s="11">
        <f>'[30]fib Model Code 2010'!$L$7</f>
        <v>0.21668127773659174</v>
      </c>
      <c r="L127" s="11">
        <f t="shared" si="88"/>
        <v>0.65660993253512645</v>
      </c>
      <c r="M127" s="29">
        <f t="shared" si="69"/>
        <v>-0.42066514680529149</v>
      </c>
      <c r="N127" s="11">
        <f>'[30]fib Model Code 2020'!$L$7</f>
        <v>0.12948602837323961</v>
      </c>
      <c r="O127" s="11">
        <f t="shared" si="84"/>
        <v>0.39238190416133212</v>
      </c>
      <c r="P127" s="55">
        <f t="shared" si="70"/>
        <v>-0.93551966815110421</v>
      </c>
      <c r="Q127" s="11">
        <f>'[30]Eurocode 2'!$L$7</f>
        <v>0.22991527046178831</v>
      </c>
      <c r="R127" s="11">
        <f t="shared" si="60"/>
        <v>0.69671294079329782</v>
      </c>
      <c r="S127" s="11">
        <f t="shared" si="71"/>
        <v>-0.36138180270590953</v>
      </c>
      <c r="T127" s="11">
        <f>'[30]NBR 6118'!$Q$7</f>
        <v>0.42431877109647964</v>
      </c>
      <c r="U127" s="11">
        <f>'[30]NBR 6118'!$R$7</f>
        <v>0.19700646478417433</v>
      </c>
      <c r="V127" s="11">
        <v>0.59698928722477063</v>
      </c>
      <c r="W127" s="11">
        <f t="shared" si="72"/>
        <v>-0.51585611009765453</v>
      </c>
      <c r="X127" s="11">
        <v>0.4698840496852168</v>
      </c>
      <c r="Y127" s="11">
        <f t="shared" si="61"/>
        <v>1.4238910596521721</v>
      </c>
      <c r="Z127" s="11">
        <f t="shared" si="73"/>
        <v>0.35339330701002625</v>
      </c>
      <c r="AA127" s="11"/>
      <c r="AB127" s="11"/>
      <c r="AC127" s="11"/>
      <c r="AD127" s="11">
        <v>0.53017531587759759</v>
      </c>
      <c r="AE127" s="11">
        <f t="shared" si="62"/>
        <v>1.6065918662957501</v>
      </c>
      <c r="AF127" s="11">
        <f t="shared" si="76"/>
        <v>0.47411508206316511</v>
      </c>
      <c r="AG127" s="11">
        <v>0.24347328807266899</v>
      </c>
      <c r="AH127" s="11">
        <f t="shared" si="63"/>
        <v>0.73779784264445147</v>
      </c>
      <c r="AI127" s="11">
        <f t="shared" si="77"/>
        <v>-0.30408541786225984</v>
      </c>
      <c r="AJ127" s="11">
        <v>0.16908710638359509</v>
      </c>
      <c r="AK127" s="11">
        <f t="shared" si="64"/>
        <v>0.51238517085937907</v>
      </c>
      <c r="AL127" s="11">
        <f t="shared" si="78"/>
        <v>-0.6686786499338101</v>
      </c>
      <c r="AM127" s="11">
        <v>0.32219598938879002</v>
      </c>
      <c r="AN127" s="11">
        <f t="shared" si="65"/>
        <v>0.97635148299633334</v>
      </c>
      <c r="AO127" s="11">
        <f t="shared" si="79"/>
        <v>-2.3932631378022529E-2</v>
      </c>
      <c r="AP127" s="11">
        <v>0.20676471345255315</v>
      </c>
      <c r="AQ127" s="11">
        <f t="shared" si="66"/>
        <v>0.6265597377350095</v>
      </c>
      <c r="AR127" s="11">
        <f t="shared" si="80"/>
        <v>-0.46751115765934487</v>
      </c>
      <c r="AS127" s="11">
        <v>0.18086829947803473</v>
      </c>
      <c r="AT127" s="11">
        <f t="shared" si="67"/>
        <v>0.54808575599404463</v>
      </c>
      <c r="AU127" s="11">
        <f t="shared" si="81"/>
        <v>-0.60132351523702665</v>
      </c>
      <c r="AZ127" t="b">
        <f t="shared" si="55"/>
        <v>1</v>
      </c>
      <c r="BB127" t="b">
        <f t="shared" si="56"/>
        <v>0</v>
      </c>
      <c r="BD127" t="b">
        <f t="shared" si="57"/>
        <v>1</v>
      </c>
    </row>
    <row r="128" spans="1:56">
      <c r="A128" s="85" t="s">
        <v>65</v>
      </c>
      <c r="B128" s="21">
        <f>'[31]Dados de entrada'!$B$28</f>
        <v>12</v>
      </c>
      <c r="C128" s="21">
        <f>'[31]Dados de entrada'!$B$31</f>
        <v>2</v>
      </c>
      <c r="D128" s="21">
        <f>'[31]Dados de entrada'!$B$32</f>
        <v>296</v>
      </c>
      <c r="E128" s="20">
        <f>'[31]Dados de entrada'!$B$27</f>
        <v>3.2689999999999997</v>
      </c>
      <c r="F128" s="21">
        <f>'[31]Dados de entrada'!$B$30</f>
        <v>25</v>
      </c>
      <c r="G128" s="56">
        <f>'[31]Dados de entrada'!$B$22</f>
        <v>31</v>
      </c>
      <c r="H128" s="57">
        <f>'[31]Dados de entrada'!$B$29/(2*'[31]Dados de entrada'!$B$20*G128)</f>
        <v>8.870967741935484E-3</v>
      </c>
      <c r="I128" s="27" cm="1">
        <f t="array" ref="I128:I129">'[31]fib Model Code 2010'!$K$5:$K$6</f>
        <v>242.34630278375195</v>
      </c>
      <c r="J128" s="19" cm="1">
        <f t="array" ref="J128:J129">'[31]Dados de entrada'!$C$7:$C$8</f>
        <v>0.23</v>
      </c>
      <c r="K128" s="20" cm="1">
        <f t="array" ref="K128:K129">'[31]fib Model Code 2010'!$L$5:$L$6</f>
        <v>0.11192516701366445</v>
      </c>
      <c r="L128" s="20">
        <f t="shared" si="88"/>
        <v>0.48663116092897585</v>
      </c>
      <c r="M128" s="54">
        <f t="shared" si="69"/>
        <v>-0.72024881260461071</v>
      </c>
      <c r="N128" s="20" cm="1">
        <f t="array" ref="N128:N129">'[31]fib Model Code 2020'!$L$5:$L$6</f>
        <v>9.9185026568017642E-2</v>
      </c>
      <c r="O128" s="20">
        <f t="shared" si="84"/>
        <v>0.43123924594790275</v>
      </c>
      <c r="P128" s="28">
        <f t="shared" si="70"/>
        <v>-0.84109224787989745</v>
      </c>
      <c r="Q128" s="20" cm="1">
        <f t="array" ref="Q128:Q129">'[31]Eurocode 2'!$L$5:$L$6</f>
        <v>0.18066781350852884</v>
      </c>
      <c r="R128" s="20">
        <f t="shared" si="60"/>
        <v>0.78551223264577752</v>
      </c>
      <c r="S128" s="20">
        <f t="shared" si="71"/>
        <v>-0.24141924833862086</v>
      </c>
      <c r="T128" s="20" cm="1">
        <f t="array" ref="T128:T129">'[31]NBR 6118'!$Q$5:$Q$6</f>
        <v>0.33343041743444302</v>
      </c>
      <c r="U128" s="20" cm="1">
        <f t="array" ref="U128:U129">'[31]NBR 6118'!$R$5:$R$6</f>
        <v>0.12164840551874925</v>
      </c>
      <c r="V128" s="20" cm="1">
        <f t="array" ref="V128:V129">'[31]NBR 6118'!$W$5:$W$6</f>
        <v>0.52890611095108364</v>
      </c>
      <c r="W128" s="20">
        <f t="shared" si="72"/>
        <v>-0.63694434690040758</v>
      </c>
      <c r="X128" s="20" cm="1">
        <f t="array" ref="X128:X129">'[31]Clark (1956)'!$L$5:$L$6</f>
        <v>0.3242250679390129</v>
      </c>
      <c r="Y128" s="20">
        <f t="shared" si="61"/>
        <v>1.4096742084304907</v>
      </c>
      <c r="Z128" s="20">
        <f t="shared" si="73"/>
        <v>0.34335861984138333</v>
      </c>
      <c r="AA128" s="20"/>
      <c r="AB128" s="20"/>
      <c r="AC128" s="20"/>
      <c r="AD128" s="20" cm="1">
        <f t="array" ref="AD128:AD129">'[31]Desayi; Ganesan (1985)'!$L$5:$L$6</f>
        <v>0.41661267171776939</v>
      </c>
      <c r="AE128" s="20">
        <f t="shared" si="62"/>
        <v>1.8113594422511712</v>
      </c>
      <c r="AF128" s="20">
        <f t="shared" si="76"/>
        <v>0.59407763643045375</v>
      </c>
      <c r="AG128" s="20" cm="1">
        <f t="array" ref="AG128:AG129">'[31]Oh; Kang (1987)'!$L$5:$L$6</f>
        <v>0.18354969846414795</v>
      </c>
      <c r="AH128" s="20">
        <f t="shared" si="63"/>
        <v>0.79804216723542587</v>
      </c>
      <c r="AI128" s="20">
        <f t="shared" si="77"/>
        <v>-0.2255938417812223</v>
      </c>
      <c r="AJ128" s="20" cm="1">
        <f t="array" ref="AJ128:AJ129">'[31]Caldas (1997)'!$L$5:$L$6</f>
        <v>0.12596340903755263</v>
      </c>
      <c r="AK128" s="20">
        <f t="shared" si="64"/>
        <v>0.5476669958154462</v>
      </c>
      <c r="AL128" s="20">
        <f t="shared" si="78"/>
        <v>-0.6020878486111273</v>
      </c>
      <c r="AM128" s="20" cm="1">
        <f t="array" ref="AM128:AM129">'[31]Gergely e Lutz (1968)'!$L$5:$L$6</f>
        <v>0.25318216057234166</v>
      </c>
      <c r="AN128" s="20">
        <f t="shared" si="65"/>
        <v>1.1007920024884419</v>
      </c>
      <c r="AO128" s="20">
        <f t="shared" si="79"/>
        <v>9.6029922989265978E-2</v>
      </c>
      <c r="AP128" s="20" cm="1">
        <f t="array" ref="AP128:AP129">[31]Sugestão!$M$5:$M$6</f>
        <v>0.12649536757740656</v>
      </c>
      <c r="AQ128" s="20">
        <f t="shared" si="66"/>
        <v>0.54997985903220248</v>
      </c>
      <c r="AR128" s="20">
        <f t="shared" si="80"/>
        <v>-0.59787362136759692</v>
      </c>
      <c r="AS128" s="20" cm="1">
        <f t="array" ref="AS128:AS129">'[31]fib Model Code 2020 modificado'!$L$5:$L$6</f>
        <v>0.13602433814170228</v>
      </c>
      <c r="AT128" s="20">
        <f t="shared" si="67"/>
        <v>0.59141016583348816</v>
      </c>
      <c r="AU128" s="20">
        <f t="shared" si="81"/>
        <v>-0.52524548227374213</v>
      </c>
      <c r="AZ128" t="b">
        <f t="shared" si="55"/>
        <v>1</v>
      </c>
      <c r="BB128" t="b">
        <f t="shared" si="56"/>
        <v>0</v>
      </c>
      <c r="BD128" t="b">
        <f t="shared" si="57"/>
        <v>1</v>
      </c>
    </row>
    <row r="129" spans="1:56">
      <c r="A129" s="86"/>
      <c r="B129" s="21">
        <f>'[31]Dados de entrada'!$B$28</f>
        <v>12</v>
      </c>
      <c r="C129" s="21">
        <f>'[31]Dados de entrada'!$B$31</f>
        <v>2</v>
      </c>
      <c r="D129" s="21">
        <f>'[31]Dados de entrada'!$B$32</f>
        <v>296</v>
      </c>
      <c r="E129" s="20">
        <f>'[31]Dados de entrada'!$B$27</f>
        <v>3.2689999999999997</v>
      </c>
      <c r="F129" s="21">
        <f>'[31]Dados de entrada'!$B$30</f>
        <v>25</v>
      </c>
      <c r="G129" s="56">
        <f>'[31]Dados de entrada'!$B$22</f>
        <v>31</v>
      </c>
      <c r="H129" s="57">
        <f>'[31]Dados de entrada'!$B$29/(2*'[31]Dados de entrada'!$B$20*G129)</f>
        <v>8.870967741935484E-3</v>
      </c>
      <c r="I129" s="27">
        <v>308.4064320472358</v>
      </c>
      <c r="J129" s="19">
        <v>0.28000000000000003</v>
      </c>
      <c r="K129" s="20">
        <v>0.21668127773659174</v>
      </c>
      <c r="L129" s="20">
        <f t="shared" si="88"/>
        <v>0.77386170620211325</v>
      </c>
      <c r="M129" s="54">
        <f t="shared" si="69"/>
        <v>-0.25636209551401523</v>
      </c>
      <c r="N129" s="20">
        <v>0.12948602837323961</v>
      </c>
      <c r="O129" s="20">
        <f t="shared" si="84"/>
        <v>0.46245010133299858</v>
      </c>
      <c r="P129" s="28">
        <f t="shared" si="70"/>
        <v>-0.77121661685982779</v>
      </c>
      <c r="Q129" s="20">
        <v>0.22991527046178831</v>
      </c>
      <c r="R129" s="20">
        <f t="shared" si="60"/>
        <v>0.82112596593495812</v>
      </c>
      <c r="S129" s="20">
        <f t="shared" si="71"/>
        <v>-0.19707875141463327</v>
      </c>
      <c r="T129" s="20">
        <v>0.42431877109647964</v>
      </c>
      <c r="U129" s="20">
        <v>0.19700646478417433</v>
      </c>
      <c r="V129" s="20">
        <v>0.7035945170863368</v>
      </c>
      <c r="W129" s="20">
        <f t="shared" si="72"/>
        <v>-0.35155305880637827</v>
      </c>
      <c r="X129" s="20">
        <v>0.4698840496852168</v>
      </c>
      <c r="Y129" s="20">
        <f t="shared" si="61"/>
        <v>1.6781573203043456</v>
      </c>
      <c r="Z129" s="20">
        <f t="shared" si="73"/>
        <v>0.51769635830130256</v>
      </c>
      <c r="AA129" s="20"/>
      <c r="AB129" s="20"/>
      <c r="AC129" s="20"/>
      <c r="AD129" s="20">
        <v>0.53017531587759759</v>
      </c>
      <c r="AE129" s="20">
        <f t="shared" si="62"/>
        <v>1.8934832709914198</v>
      </c>
      <c r="AF129" s="20">
        <f t="shared" si="76"/>
        <v>0.63841813335444142</v>
      </c>
      <c r="AG129" s="20">
        <v>0.24347328807266899</v>
      </c>
      <c r="AH129" s="20">
        <f t="shared" si="63"/>
        <v>0.86954745740238915</v>
      </c>
      <c r="AI129" s="20">
        <f t="shared" si="77"/>
        <v>-0.13978236657098364</v>
      </c>
      <c r="AJ129" s="20">
        <v>0.16908710638359509</v>
      </c>
      <c r="AK129" s="20">
        <f t="shared" si="64"/>
        <v>0.60388252279855381</v>
      </c>
      <c r="AL129" s="20">
        <f t="shared" si="78"/>
        <v>-0.50437559864253401</v>
      </c>
      <c r="AM129" s="20">
        <v>0.32219598938879002</v>
      </c>
      <c r="AN129" s="20">
        <f t="shared" si="65"/>
        <v>1.1506999621028213</v>
      </c>
      <c r="AO129" s="20">
        <f t="shared" si="79"/>
        <v>0.14037041991325369</v>
      </c>
      <c r="AP129" s="20">
        <v>0.20676471345255315</v>
      </c>
      <c r="AQ129" s="20">
        <f t="shared" si="66"/>
        <v>0.73844540518768975</v>
      </c>
      <c r="AR129" s="20">
        <f t="shared" si="80"/>
        <v>-0.30320810636806861</v>
      </c>
      <c r="AS129" s="20">
        <v>0.18086829947803473</v>
      </c>
      <c r="AT129" s="20">
        <f t="shared" si="67"/>
        <v>0.6459582124215526</v>
      </c>
      <c r="AU129" s="20">
        <f t="shared" si="81"/>
        <v>-0.43702046394575039</v>
      </c>
      <c r="AZ129" t="b">
        <f t="shared" si="55"/>
        <v>1</v>
      </c>
      <c r="BB129" t="b">
        <f t="shared" si="56"/>
        <v>0</v>
      </c>
      <c r="BD129" t="b">
        <f t="shared" si="57"/>
        <v>1</v>
      </c>
    </row>
    <row r="130" spans="1:56">
      <c r="A130" s="87" t="s">
        <v>66</v>
      </c>
      <c r="B130" s="5">
        <f>'[32]Dados de entrada'!$B$28</f>
        <v>12</v>
      </c>
      <c r="C130" s="5">
        <f>'[32]Dados de entrada'!$B$31</f>
        <v>3</v>
      </c>
      <c r="D130" s="5">
        <f>'[32]Dados de entrada'!$B$32</f>
        <v>142</v>
      </c>
      <c r="E130" s="11">
        <f>'[32]Dados de entrada'!$B$27</f>
        <v>3.2689999999999997</v>
      </c>
      <c r="F130" s="5">
        <f>'[32]Dados de entrada'!$B$30</f>
        <v>25</v>
      </c>
      <c r="G130" s="12">
        <f>'[32]Dados de entrada'!$B$22</f>
        <v>31</v>
      </c>
      <c r="H130" s="52">
        <f>'[32]Dados de entrada'!$B$29/(2*'[32]Dados de entrada'!$B$20*G130)</f>
        <v>1.3306451612903225E-2</v>
      </c>
      <c r="I130" s="53" cm="1">
        <f t="array" ref="I130:I132">'[32]fib Model Code 2010'!$K$5:$K$7</f>
        <v>208.77973928930371</v>
      </c>
      <c r="J130" s="4" cm="1">
        <f t="array" ref="J130:J132">'[32]Dados de entrada'!$C$7:$C$9</f>
        <v>0.18</v>
      </c>
      <c r="K130" s="11" cm="1">
        <f t="array" ref="K130:K132">'[32]fib Model Code 2010'!$L$5:$L$7</f>
        <v>0.10347446244459625</v>
      </c>
      <c r="L130" s="11">
        <f t="shared" si="88"/>
        <v>0.57485812469220143</v>
      </c>
      <c r="M130" s="29">
        <f t="shared" si="69"/>
        <v>-0.55363200829576276</v>
      </c>
      <c r="N130" s="11" cm="1">
        <f t="array" ref="N130:N132">'[32]fib Model Code 2020'!$L$5:$L$7</f>
        <v>8.6147565717616184E-2</v>
      </c>
      <c r="O130" s="11">
        <f t="shared" si="84"/>
        <v>0.47859758732008995</v>
      </c>
      <c r="P130" s="55">
        <f t="shared" si="70"/>
        <v>-0.7368951446403158</v>
      </c>
      <c r="Q130" s="11" cm="1">
        <f t="array" ref="Q130:Q132">'[32]Eurocode 2'!$L$5:$L$7</f>
        <v>0.11867255549449668</v>
      </c>
      <c r="R130" s="11">
        <f t="shared" si="60"/>
        <v>0.65929197496942604</v>
      </c>
      <c r="S130" s="11">
        <f t="shared" si="71"/>
        <v>-0.41658878498394314</v>
      </c>
      <c r="T130" s="11" cm="1">
        <f t="array" ref="T130:T132">'[32]NBR 6118'!$Q$5:$Q$7</f>
        <v>0.26293747900386055</v>
      </c>
      <c r="U130" s="11" cm="1">
        <f t="array" ref="U130:U132">'[32]NBR 6118'!$R$5:$R$7</f>
        <v>9.1097171658443665E-2</v>
      </c>
      <c r="V130" s="11" cm="1">
        <f t="array" ref="V130:V132">'[32]NBR 6118'!$W$5:$W$7</f>
        <v>0.50609539810246484</v>
      </c>
      <c r="W130" s="11">
        <f t="shared" si="72"/>
        <v>-0.68103009366559708</v>
      </c>
      <c r="X130" s="11" cm="1">
        <f t="array" ref="X130:X132">'[32]Clark (1956)'!$L$5:$L$7</f>
        <v>0.21197639111186425</v>
      </c>
      <c r="Y130" s="11">
        <f t="shared" si="61"/>
        <v>1.1776466172881348</v>
      </c>
      <c r="Z130" s="11">
        <f t="shared" si="73"/>
        <v>0.1635180549006329</v>
      </c>
      <c r="AA130" s="11"/>
      <c r="AB130" s="11"/>
      <c r="AC130" s="11"/>
      <c r="AD130" s="11" cm="1">
        <f t="array" ref="AD130:AD132">'[32]Desayi; Ganesan (1985)'!$L$5:$L$7</f>
        <v>0.27575608799549106</v>
      </c>
      <c r="AE130" s="11">
        <f t="shared" si="62"/>
        <v>1.5319782666416171</v>
      </c>
      <c r="AF130" s="11">
        <f t="shared" si="76"/>
        <v>0.42655988495251052</v>
      </c>
      <c r="AG130" s="11" cm="1">
        <f t="array" ref="AG130:AG132">'[32]Oh; Kang (1987)'!$L$5:$L$7</f>
        <v>0.11780538590963713</v>
      </c>
      <c r="AH130" s="11">
        <f t="shared" si="63"/>
        <v>0.65447436616465071</v>
      </c>
      <c r="AI130" s="11">
        <f t="shared" si="77"/>
        <v>-0.42392285992300549</v>
      </c>
      <c r="AJ130" s="11" cm="1">
        <f t="array" ref="AJ130:AJ132">'[32]Caldas (1997)'!$L$5:$L$7</f>
        <v>0.11051741448501715</v>
      </c>
      <c r="AK130" s="11">
        <f t="shared" si="64"/>
        <v>0.61398563602787304</v>
      </c>
      <c r="AL130" s="11">
        <f t="shared" si="78"/>
        <v>-0.48778374520005258</v>
      </c>
      <c r="AM130" s="11" cm="1">
        <f t="array" ref="AM130:AM132">'[32]Gergely e Lutz (1968)'!$L$5:$L$7</f>
        <v>0.19310393695580022</v>
      </c>
      <c r="AN130" s="11">
        <f t="shared" si="65"/>
        <v>1.0727996497544456</v>
      </c>
      <c r="AO130" s="11">
        <f t="shared" si="79"/>
        <v>7.0271726507319471E-2</v>
      </c>
      <c r="AP130" s="11" cm="1">
        <f t="array" ref="AP130:AP132">[32]Sugestão!$M$5:$M$7</f>
        <v>9.4650621461279991E-2</v>
      </c>
      <c r="AQ130" s="11">
        <f t="shared" si="66"/>
        <v>0.52583678589599991</v>
      </c>
      <c r="AR130" s="11">
        <f t="shared" si="80"/>
        <v>-0.64276440736863694</v>
      </c>
      <c r="AS130" s="11" cm="1">
        <f t="array" ref="AS130:AS132">'[32]fib Model Code 2020 modificado'!$L$5:$L$7</f>
        <v>0.1163361068902061</v>
      </c>
      <c r="AT130" s="11">
        <f t="shared" si="67"/>
        <v>0.64631170494558943</v>
      </c>
      <c r="AU130" s="11">
        <f t="shared" si="81"/>
        <v>-0.43647337617700643</v>
      </c>
      <c r="AZ130" t="b">
        <f t="shared" si="55"/>
        <v>1</v>
      </c>
      <c r="BB130" t="b">
        <f t="shared" si="56"/>
        <v>0</v>
      </c>
      <c r="BD130" t="b">
        <f t="shared" si="57"/>
        <v>1</v>
      </c>
    </row>
    <row r="131" spans="1:56">
      <c r="A131" s="88"/>
      <c r="B131" s="5">
        <f>'[32]Dados de entrada'!$B$28</f>
        <v>12</v>
      </c>
      <c r="C131" s="5">
        <f>'[32]Dados de entrada'!$B$31</f>
        <v>3</v>
      </c>
      <c r="D131" s="5">
        <f>'[32]Dados de entrada'!$B$32</f>
        <v>142</v>
      </c>
      <c r="E131" s="11">
        <f>'[32]Dados de entrada'!$B$27</f>
        <v>3.2689999999999997</v>
      </c>
      <c r="F131" s="5">
        <f>'[32]Dados de entrada'!$B$30</f>
        <v>25</v>
      </c>
      <c r="G131" s="12">
        <f>'[32]Dados de entrada'!$B$22</f>
        <v>31</v>
      </c>
      <c r="H131" s="52">
        <f>'[32]Dados de entrada'!$B$29/(2*'[32]Dados de entrada'!$B$20*G131)</f>
        <v>1.3306451612903225E-2</v>
      </c>
      <c r="I131" s="53">
        <v>253.50000168297348</v>
      </c>
      <c r="J131" s="4">
        <v>0.23</v>
      </c>
      <c r="K131" s="11">
        <v>0.15282389384059317</v>
      </c>
      <c r="L131" s="11">
        <f t="shared" si="88"/>
        <v>0.66445171235040501</v>
      </c>
      <c r="M131" s="29">
        <f t="shared" si="69"/>
        <v>-0.40879307111349444</v>
      </c>
      <c r="N131" s="11">
        <v>0.10460022667304195</v>
      </c>
      <c r="O131" s="11">
        <f t="shared" si="84"/>
        <v>0.45478359423061715</v>
      </c>
      <c r="P131" s="55">
        <f t="shared" si="70"/>
        <v>-0.78793359024843079</v>
      </c>
      <c r="Q131" s="11">
        <v>0.14409201352575365</v>
      </c>
      <c r="R131" s="11">
        <f t="shared" si="60"/>
        <v>0.62648701532936368</v>
      </c>
      <c r="S131" s="11">
        <f t="shared" si="71"/>
        <v>-0.46762723059205807</v>
      </c>
      <c r="T131" s="11">
        <v>0.319258236440428</v>
      </c>
      <c r="U131" s="11">
        <v>0.13430250855204315</v>
      </c>
      <c r="V131" s="11">
        <v>0.58392395022627452</v>
      </c>
      <c r="W131" s="11">
        <f t="shared" si="72"/>
        <v>-0.53798452684884224</v>
      </c>
      <c r="X131" s="11">
        <v>0.27771355063919906</v>
      </c>
      <c r="Y131" s="11">
        <f t="shared" si="61"/>
        <v>1.2074502201704307</v>
      </c>
      <c r="Z131" s="11">
        <f t="shared" si="73"/>
        <v>0.1885108801630607</v>
      </c>
      <c r="AA131" s="11" cm="1">
        <f t="array" ref="AA131:AA132">'[32]Leonhardt (1977)'!$L$6:$L$7</f>
        <v>0.12220371396848656</v>
      </c>
      <c r="AB131" s="11">
        <f>AA131/J131</f>
        <v>0.53132049551515892</v>
      </c>
      <c r="AC131" s="11">
        <f t="shared" ref="AC131:AC132" si="89">LN(AB131)</f>
        <v>-0.63238987010673786</v>
      </c>
      <c r="AD131" s="11">
        <v>0.33482256951227324</v>
      </c>
      <c r="AE131" s="11">
        <f t="shared" si="62"/>
        <v>1.4557503022272749</v>
      </c>
      <c r="AF131" s="11">
        <f t="shared" si="76"/>
        <v>0.37552143934439575</v>
      </c>
      <c r="AG131" s="11">
        <v>0.14901936805850263</v>
      </c>
      <c r="AH131" s="11">
        <f t="shared" si="63"/>
        <v>0.64791029590653315</v>
      </c>
      <c r="AI131" s="11">
        <f t="shared" si="77"/>
        <v>-0.4340030244554941</v>
      </c>
      <c r="AJ131" s="11">
        <v>0.13967437273173941</v>
      </c>
      <c r="AK131" s="11">
        <f t="shared" si="64"/>
        <v>0.60727988144234524</v>
      </c>
      <c r="AL131" s="11">
        <f t="shared" si="78"/>
        <v>-0.49876550450097629</v>
      </c>
      <c r="AM131" s="11">
        <v>0.23446646935147353</v>
      </c>
      <c r="AN131" s="11">
        <f t="shared" si="65"/>
        <v>1.0194194319629284</v>
      </c>
      <c r="AO131" s="11">
        <f t="shared" si="79"/>
        <v>1.9233280899204699E-2</v>
      </c>
      <c r="AP131" s="11">
        <v>0.13954127956816229</v>
      </c>
      <c r="AQ131" s="11">
        <f t="shared" si="66"/>
        <v>0.606701215513749</v>
      </c>
      <c r="AR131" s="11">
        <f t="shared" si="80"/>
        <v>-0.49971884055188165</v>
      </c>
      <c r="AS131" s="11">
        <v>0.14375969524004911</v>
      </c>
      <c r="AT131" s="11">
        <f t="shared" si="67"/>
        <v>0.62504215321760481</v>
      </c>
      <c r="AU131" s="11">
        <f t="shared" si="81"/>
        <v>-0.46993618637188961</v>
      </c>
      <c r="AZ131" t="b">
        <f t="shared" ref="AZ131:AZ194" si="90">IF(AND(B131&lt;=12.7,F131&lt;=45),TRUE,FALSE)</f>
        <v>1</v>
      </c>
      <c r="BB131" t="b">
        <f t="shared" ref="BB131:BB194" si="91">IF(AND(B131&gt;12.7,F131&lt;=45),TRUE,FALSE)</f>
        <v>0</v>
      </c>
      <c r="BD131" t="b">
        <f t="shared" ref="BD131:BD194" si="92">IF(AND(F131&lt;=45,C131&gt;1),TRUE,FALSE)</f>
        <v>1</v>
      </c>
    </row>
    <row r="132" spans="1:56">
      <c r="A132" s="89"/>
      <c r="B132" s="5">
        <f>'[32]Dados de entrada'!$B$28</f>
        <v>12</v>
      </c>
      <c r="C132" s="5">
        <f>'[32]Dados de entrada'!$B$31</f>
        <v>3</v>
      </c>
      <c r="D132" s="5">
        <f>'[32]Dados de entrada'!$B$32</f>
        <v>142</v>
      </c>
      <c r="E132" s="11">
        <f>'[32]Dados de entrada'!$B$27</f>
        <v>3.2689999999999997</v>
      </c>
      <c r="F132" s="5">
        <f>'[32]Dados de entrada'!$B$30</f>
        <v>25</v>
      </c>
      <c r="G132" s="12">
        <f>'[32]Dados de entrada'!$B$22</f>
        <v>31</v>
      </c>
      <c r="H132" s="52">
        <f>'[32]Dados de entrada'!$B$29/(2*'[32]Dados de entrada'!$B$20*G132)</f>
        <v>1.3306451612903225E-2</v>
      </c>
      <c r="I132" s="53">
        <v>298.2202640766431</v>
      </c>
      <c r="J132" s="4">
        <v>0.25</v>
      </c>
      <c r="K132" s="11">
        <v>0.20217332523658993</v>
      </c>
      <c r="L132" s="11">
        <f t="shared" si="88"/>
        <v>0.80869330094635972</v>
      </c>
      <c r="M132" s="29">
        <f t="shared" si="69"/>
        <v>-0.21233554264614149</v>
      </c>
      <c r="N132" s="11">
        <v>0.12305288762846765</v>
      </c>
      <c r="O132" s="11">
        <f t="shared" si="84"/>
        <v>0.49221155051387061</v>
      </c>
      <c r="P132" s="55">
        <f t="shared" si="70"/>
        <v>-0.70884667418579894</v>
      </c>
      <c r="Q132" s="11">
        <v>0.17356283583266158</v>
      </c>
      <c r="R132" s="11">
        <f t="shared" si="60"/>
        <v>0.69425134333064631</v>
      </c>
      <c r="S132" s="11">
        <f t="shared" si="71"/>
        <v>-0.3649212178591868</v>
      </c>
      <c r="T132" s="11">
        <v>0.3755789938769955</v>
      </c>
      <c r="U132" s="11">
        <v>0.18586708696734508</v>
      </c>
      <c r="V132" s="11">
        <v>0.74346834786938032</v>
      </c>
      <c r="W132" s="11">
        <f t="shared" si="72"/>
        <v>-0.29642908578452692</v>
      </c>
      <c r="X132" s="11">
        <v>0.34345071016653367</v>
      </c>
      <c r="Y132" s="11">
        <f t="shared" si="61"/>
        <v>1.3738028406661347</v>
      </c>
      <c r="Z132" s="11">
        <f t="shared" si="73"/>
        <v>0.31758269053908966</v>
      </c>
      <c r="AA132" s="11">
        <v>0.27733658290455071</v>
      </c>
      <c r="AB132" s="11">
        <f>AA132/J132</f>
        <v>1.1093463316182028</v>
      </c>
      <c r="AC132" s="11">
        <f t="shared" si="89"/>
        <v>0.10377095142611538</v>
      </c>
      <c r="AD132" s="11">
        <v>0.39388905102905519</v>
      </c>
      <c r="AE132" s="11">
        <f t="shared" si="62"/>
        <v>1.5755562041162208</v>
      </c>
      <c r="AF132" s="11">
        <f t="shared" si="76"/>
        <v>0.4546083554070276</v>
      </c>
      <c r="AG132" s="11">
        <v>0.18023335020736803</v>
      </c>
      <c r="AH132" s="11">
        <f t="shared" si="63"/>
        <v>0.7209334008294721</v>
      </c>
      <c r="AI132" s="11">
        <f t="shared" si="77"/>
        <v>-0.32720851651912763</v>
      </c>
      <c r="AJ132" s="11">
        <v>0.16883133097846162</v>
      </c>
      <c r="AK132" s="11">
        <f t="shared" si="64"/>
        <v>0.67532532391384648</v>
      </c>
      <c r="AL132" s="11">
        <f t="shared" si="78"/>
        <v>-0.39256074286182963</v>
      </c>
      <c r="AM132" s="11">
        <v>0.2758290017471467</v>
      </c>
      <c r="AN132" s="11">
        <f t="shared" si="65"/>
        <v>1.1033160069885868</v>
      </c>
      <c r="AO132" s="11">
        <f t="shared" si="79"/>
        <v>9.8320196961836512E-2</v>
      </c>
      <c r="AP132" s="11">
        <v>0.19311725018881382</v>
      </c>
      <c r="AQ132" s="11">
        <f t="shared" si="66"/>
        <v>0.77246900075525526</v>
      </c>
      <c r="AR132" s="11">
        <f t="shared" si="80"/>
        <v>-0.25816339948756667</v>
      </c>
      <c r="AS132" s="11">
        <v>0.17206696076939965</v>
      </c>
      <c r="AT132" s="11">
        <f t="shared" si="67"/>
        <v>0.68826784307759858</v>
      </c>
      <c r="AU132" s="11">
        <f t="shared" si="81"/>
        <v>-0.37357721001018807</v>
      </c>
      <c r="AZ132" t="b">
        <f t="shared" si="90"/>
        <v>1</v>
      </c>
      <c r="BB132" t="b">
        <f t="shared" si="91"/>
        <v>0</v>
      </c>
      <c r="BD132" t="b">
        <f t="shared" si="92"/>
        <v>1</v>
      </c>
    </row>
    <row r="133" spans="1:56">
      <c r="A133" s="85" t="s">
        <v>67</v>
      </c>
      <c r="B133" s="21">
        <f>'[33]Dados de entrada'!$B$28</f>
        <v>12</v>
      </c>
      <c r="C133" s="21">
        <f>'[33]Dados de entrada'!$B$31</f>
        <v>3</v>
      </c>
      <c r="D133" s="21">
        <f>'[33]Dados de entrada'!$B$32</f>
        <v>142</v>
      </c>
      <c r="E133" s="20">
        <f>'[33]Dados de entrada'!$B$27</f>
        <v>3.2689999999999997</v>
      </c>
      <c r="F133" s="21">
        <f>'[33]Dados de entrada'!$B$30</f>
        <v>25</v>
      </c>
      <c r="G133" s="56">
        <f>'[33]Dados de entrada'!$B$22</f>
        <v>31</v>
      </c>
      <c r="H133" s="57">
        <f>'[33]Dados de entrada'!$B$29/(2*'[33]Dados de entrada'!$B$20*G133)</f>
        <v>1.3306451612903225E-2</v>
      </c>
      <c r="I133" s="27" cm="1">
        <f t="array" ref="I133:I135">'[33]fib Model Code 2010'!$K$5:$K$7</f>
        <v>208.77973928930371</v>
      </c>
      <c r="J133" s="19" cm="1">
        <f t="array" ref="J133:J135">'[33]Dados de entrada'!$C$7:$C$9</f>
        <v>0.18</v>
      </c>
      <c r="K133" s="20" cm="1">
        <f t="array" ref="K133:K135">'[33]fib Model Code 2010'!$L$5:$L$7</f>
        <v>0.10347446244459625</v>
      </c>
      <c r="L133" s="20">
        <f t="shared" si="88"/>
        <v>0.57485812469220143</v>
      </c>
      <c r="M133" s="54">
        <f t="shared" si="69"/>
        <v>-0.55363200829576276</v>
      </c>
      <c r="N133" s="20" cm="1">
        <f t="array" ref="N133:N135">'[33]fib Model Code 2020'!$L$5:$L$7</f>
        <v>8.6147565717616184E-2</v>
      </c>
      <c r="O133" s="20">
        <f t="shared" si="84"/>
        <v>0.47859758732008995</v>
      </c>
      <c r="P133" s="28">
        <f t="shared" si="70"/>
        <v>-0.7368951446403158</v>
      </c>
      <c r="Q133" s="20" cm="1">
        <f t="array" ref="Q133:Q135">'[33]Eurocode 2'!$L$5:$L$7</f>
        <v>0.11867255549449668</v>
      </c>
      <c r="R133" s="20">
        <f t="shared" si="60"/>
        <v>0.65929197496942604</v>
      </c>
      <c r="S133" s="20">
        <f t="shared" si="71"/>
        <v>-0.41658878498394314</v>
      </c>
      <c r="T133" s="20" cm="1">
        <f t="array" ref="T133:T135">'[33]NBR 6118'!$Q$5:$Q$7</f>
        <v>0.26293747900386055</v>
      </c>
      <c r="U133" s="20" cm="1">
        <f t="array" ref="U133:U135">'[33]NBR 6118'!$R$5:$R$7</f>
        <v>9.1097171658443665E-2</v>
      </c>
      <c r="V133" s="20" cm="1">
        <f t="array" ref="V133:V135">'[33]NBR 6118'!$W$5:$W$7</f>
        <v>0.50609539810246484</v>
      </c>
      <c r="W133" s="20">
        <f t="shared" si="72"/>
        <v>-0.68103009366559708</v>
      </c>
      <c r="X133" s="20" cm="1">
        <f t="array" ref="X133:X135">'[33]Clark (1956)'!$L$5:$L$7</f>
        <v>0.21197639111186425</v>
      </c>
      <c r="Y133" s="20">
        <f t="shared" si="61"/>
        <v>1.1776466172881348</v>
      </c>
      <c r="Z133" s="20">
        <f t="shared" si="73"/>
        <v>0.1635180549006329</v>
      </c>
      <c r="AA133" s="20"/>
      <c r="AB133" s="20"/>
      <c r="AC133" s="20"/>
      <c r="AD133" s="20" cm="1">
        <f t="array" ref="AD133:AD135">'[33]Desayi; Ganesan (1985)'!$L$5:$L$7</f>
        <v>0.27575608799549106</v>
      </c>
      <c r="AE133" s="20">
        <f t="shared" si="62"/>
        <v>1.5319782666416171</v>
      </c>
      <c r="AF133" s="20">
        <f t="shared" si="76"/>
        <v>0.42655988495251052</v>
      </c>
      <c r="AG133" s="20" cm="1">
        <f t="array" ref="AG133:AG135">'[33]Oh; Kang (1987)'!$L$5:$L$7</f>
        <v>0.11780538590963713</v>
      </c>
      <c r="AH133" s="20">
        <f t="shared" si="63"/>
        <v>0.65447436616465071</v>
      </c>
      <c r="AI133" s="20">
        <f t="shared" si="77"/>
        <v>-0.42392285992300549</v>
      </c>
      <c r="AJ133" s="20" cm="1">
        <f t="array" ref="AJ133:AJ135">'[33]Caldas (1997)'!$L$5:$L$7</f>
        <v>0.11051741448501715</v>
      </c>
      <c r="AK133" s="20">
        <f t="shared" si="64"/>
        <v>0.61398563602787304</v>
      </c>
      <c r="AL133" s="20">
        <f t="shared" si="78"/>
        <v>-0.48778374520005258</v>
      </c>
      <c r="AM133" s="20" cm="1">
        <f t="array" ref="AM133:AM135">'[33]Gergely e Lutz (1968)'!$L$5:$L$7</f>
        <v>0.19310393695580022</v>
      </c>
      <c r="AN133" s="20">
        <f t="shared" si="65"/>
        <v>1.0727996497544456</v>
      </c>
      <c r="AO133" s="20">
        <f t="shared" si="79"/>
        <v>7.0271726507319471E-2</v>
      </c>
      <c r="AP133" s="20" cm="1">
        <f t="array" ref="AP133:AP135">[33]Sugestão!$M$5:$M$7</f>
        <v>9.4650621461279991E-2</v>
      </c>
      <c r="AQ133" s="20">
        <f t="shared" si="66"/>
        <v>0.52583678589599991</v>
      </c>
      <c r="AR133" s="20">
        <f t="shared" si="80"/>
        <v>-0.64276440736863694</v>
      </c>
      <c r="AS133" s="20" cm="1">
        <f t="array" ref="AS133:AS135">'[33]fib Model Code 2020 modificado'!$L$5:$L$7</f>
        <v>0.1163361068902061</v>
      </c>
      <c r="AT133" s="20">
        <f t="shared" si="67"/>
        <v>0.64631170494558943</v>
      </c>
      <c r="AU133" s="20">
        <f t="shared" si="81"/>
        <v>-0.43647337617700643</v>
      </c>
      <c r="AZ133" t="b">
        <f t="shared" si="90"/>
        <v>1</v>
      </c>
      <c r="BB133" t="b">
        <f t="shared" si="91"/>
        <v>0</v>
      </c>
      <c r="BD133" t="b">
        <f t="shared" si="92"/>
        <v>1</v>
      </c>
    </row>
    <row r="134" spans="1:56">
      <c r="A134" s="90"/>
      <c r="B134" s="21">
        <f>'[33]Dados de entrada'!$B$28</f>
        <v>12</v>
      </c>
      <c r="C134" s="21">
        <f>'[33]Dados de entrada'!$B$31</f>
        <v>3</v>
      </c>
      <c r="D134" s="21">
        <f>'[33]Dados de entrada'!$B$32</f>
        <v>142</v>
      </c>
      <c r="E134" s="20">
        <f>'[33]Dados de entrada'!$B$27</f>
        <v>3.2689999999999997</v>
      </c>
      <c r="F134" s="21">
        <f>'[33]Dados de entrada'!$B$30</f>
        <v>25</v>
      </c>
      <c r="G134" s="56">
        <f>'[33]Dados de entrada'!$B$22</f>
        <v>31</v>
      </c>
      <c r="H134" s="57">
        <f>'[33]Dados de entrada'!$B$29/(2*'[33]Dados de entrada'!$B$20*G134)</f>
        <v>1.3306451612903225E-2</v>
      </c>
      <c r="I134" s="27">
        <v>253.50000168297348</v>
      </c>
      <c r="J134" s="19">
        <v>0.23</v>
      </c>
      <c r="K134" s="20">
        <v>0.15282389384059317</v>
      </c>
      <c r="L134" s="20">
        <f t="shared" si="88"/>
        <v>0.66445171235040501</v>
      </c>
      <c r="M134" s="54">
        <f t="shared" si="69"/>
        <v>-0.40879307111349444</v>
      </c>
      <c r="N134" s="20">
        <v>0.10460022667304195</v>
      </c>
      <c r="O134" s="20">
        <f t="shared" si="84"/>
        <v>0.45478359423061715</v>
      </c>
      <c r="P134" s="28">
        <f t="shared" si="70"/>
        <v>-0.78793359024843079</v>
      </c>
      <c r="Q134" s="20">
        <v>0.14409201352575365</v>
      </c>
      <c r="R134" s="20">
        <f t="shared" si="60"/>
        <v>0.62648701532936368</v>
      </c>
      <c r="S134" s="20">
        <f t="shared" si="71"/>
        <v>-0.46762723059205807</v>
      </c>
      <c r="T134" s="20">
        <v>0.319258236440428</v>
      </c>
      <c r="U134" s="20">
        <v>0.13430250855204315</v>
      </c>
      <c r="V134" s="20">
        <v>0.58392395022627452</v>
      </c>
      <c r="W134" s="20">
        <f t="shared" si="72"/>
        <v>-0.53798452684884224</v>
      </c>
      <c r="X134" s="20">
        <v>0.27771355063919906</v>
      </c>
      <c r="Y134" s="20">
        <f t="shared" si="61"/>
        <v>1.2074502201704307</v>
      </c>
      <c r="Z134" s="20">
        <f t="shared" si="73"/>
        <v>0.1885108801630607</v>
      </c>
      <c r="AA134" s="20" cm="1">
        <f t="array" ref="AA134:AA135">'[33]Leonhardt (1977)'!$L$6:$L$7</f>
        <v>0.12220371396848656</v>
      </c>
      <c r="AB134" s="20">
        <f t="shared" ref="AB134:AB165" si="93">AA134/J134</f>
        <v>0.53132049551515892</v>
      </c>
      <c r="AC134" s="20">
        <f t="shared" ref="AC134:AC197" si="94">LN(AB134)</f>
        <v>-0.63238987010673786</v>
      </c>
      <c r="AD134" s="20">
        <v>0.33482256951227324</v>
      </c>
      <c r="AE134" s="20">
        <f t="shared" si="62"/>
        <v>1.4557503022272749</v>
      </c>
      <c r="AF134" s="20">
        <f t="shared" si="76"/>
        <v>0.37552143934439575</v>
      </c>
      <c r="AG134" s="20">
        <v>0.14901936805850263</v>
      </c>
      <c r="AH134" s="20">
        <f t="shared" si="63"/>
        <v>0.64791029590653315</v>
      </c>
      <c r="AI134" s="20">
        <f t="shared" si="77"/>
        <v>-0.4340030244554941</v>
      </c>
      <c r="AJ134" s="20">
        <v>0.13967437273173941</v>
      </c>
      <c r="AK134" s="20">
        <f t="shared" si="64"/>
        <v>0.60727988144234524</v>
      </c>
      <c r="AL134" s="20">
        <f t="shared" si="78"/>
        <v>-0.49876550450097629</v>
      </c>
      <c r="AM134" s="20">
        <v>0.23446646935147353</v>
      </c>
      <c r="AN134" s="20">
        <f t="shared" si="65"/>
        <v>1.0194194319629284</v>
      </c>
      <c r="AO134" s="20">
        <f t="shared" si="79"/>
        <v>1.9233280899204699E-2</v>
      </c>
      <c r="AP134" s="20">
        <v>0.13954127956816229</v>
      </c>
      <c r="AQ134" s="20">
        <f t="shared" si="66"/>
        <v>0.606701215513749</v>
      </c>
      <c r="AR134" s="20">
        <f t="shared" si="80"/>
        <v>-0.49971884055188165</v>
      </c>
      <c r="AS134" s="20">
        <v>0.14375969524004911</v>
      </c>
      <c r="AT134" s="20">
        <f t="shared" si="67"/>
        <v>0.62504215321760481</v>
      </c>
      <c r="AU134" s="20">
        <f t="shared" si="81"/>
        <v>-0.46993618637188961</v>
      </c>
      <c r="AZ134" t="b">
        <f t="shared" si="90"/>
        <v>1</v>
      </c>
      <c r="BB134" t="b">
        <f t="shared" si="91"/>
        <v>0</v>
      </c>
      <c r="BD134" t="b">
        <f t="shared" si="92"/>
        <v>1</v>
      </c>
    </row>
    <row r="135" spans="1:56">
      <c r="A135" s="86"/>
      <c r="B135" s="21">
        <f>'[33]Dados de entrada'!$B$28</f>
        <v>12</v>
      </c>
      <c r="C135" s="21">
        <f>'[33]Dados de entrada'!$B$31</f>
        <v>3</v>
      </c>
      <c r="D135" s="21">
        <f>'[33]Dados de entrada'!$B$32</f>
        <v>142</v>
      </c>
      <c r="E135" s="20">
        <f>'[33]Dados de entrada'!$B$27</f>
        <v>3.2689999999999997</v>
      </c>
      <c r="F135" s="21">
        <f>'[33]Dados de entrada'!$B$30</f>
        <v>25</v>
      </c>
      <c r="G135" s="56">
        <f>'[33]Dados de entrada'!$B$22</f>
        <v>31</v>
      </c>
      <c r="H135" s="57">
        <f>'[33]Dados de entrada'!$B$29/(2*'[33]Dados de entrada'!$B$20*G135)</f>
        <v>1.3306451612903225E-2</v>
      </c>
      <c r="I135" s="27">
        <v>298.2202640766431</v>
      </c>
      <c r="J135" s="19">
        <v>0.25</v>
      </c>
      <c r="K135" s="20">
        <v>0.20217332523658993</v>
      </c>
      <c r="L135" s="20">
        <f t="shared" si="88"/>
        <v>0.80869330094635972</v>
      </c>
      <c r="M135" s="54">
        <f t="shared" si="69"/>
        <v>-0.21233554264614149</v>
      </c>
      <c r="N135" s="20">
        <v>0.12305288762846765</v>
      </c>
      <c r="O135" s="20">
        <f t="shared" si="84"/>
        <v>0.49221155051387061</v>
      </c>
      <c r="P135" s="28">
        <f t="shared" si="70"/>
        <v>-0.70884667418579894</v>
      </c>
      <c r="Q135" s="20">
        <v>0.17356283583266158</v>
      </c>
      <c r="R135" s="20">
        <f t="shared" si="60"/>
        <v>0.69425134333064631</v>
      </c>
      <c r="S135" s="20">
        <f t="shared" si="71"/>
        <v>-0.3649212178591868</v>
      </c>
      <c r="T135" s="20">
        <v>0.3755789938769955</v>
      </c>
      <c r="U135" s="20">
        <v>0.18586708696734508</v>
      </c>
      <c r="V135" s="20">
        <v>0.74346834786938032</v>
      </c>
      <c r="W135" s="20">
        <f t="shared" si="72"/>
        <v>-0.29642908578452692</v>
      </c>
      <c r="X135" s="20">
        <v>0.34345071016653367</v>
      </c>
      <c r="Y135" s="20">
        <f t="shared" si="61"/>
        <v>1.3738028406661347</v>
      </c>
      <c r="Z135" s="20">
        <f t="shared" si="73"/>
        <v>0.31758269053908966</v>
      </c>
      <c r="AA135" s="20">
        <v>0.27733658290455071</v>
      </c>
      <c r="AB135" s="20">
        <f t="shared" si="93"/>
        <v>1.1093463316182028</v>
      </c>
      <c r="AC135" s="20">
        <f t="shared" si="94"/>
        <v>0.10377095142611538</v>
      </c>
      <c r="AD135" s="20">
        <v>0.39388905102905519</v>
      </c>
      <c r="AE135" s="20">
        <f t="shared" si="62"/>
        <v>1.5755562041162208</v>
      </c>
      <c r="AF135" s="20">
        <f t="shared" si="76"/>
        <v>0.4546083554070276</v>
      </c>
      <c r="AG135" s="20">
        <v>0.18023335020736803</v>
      </c>
      <c r="AH135" s="20">
        <f t="shared" si="63"/>
        <v>0.7209334008294721</v>
      </c>
      <c r="AI135" s="20">
        <f t="shared" si="77"/>
        <v>-0.32720851651912763</v>
      </c>
      <c r="AJ135" s="20">
        <v>0.16883133097846162</v>
      </c>
      <c r="AK135" s="20">
        <f t="shared" si="64"/>
        <v>0.67532532391384648</v>
      </c>
      <c r="AL135" s="20">
        <f t="shared" si="78"/>
        <v>-0.39256074286182963</v>
      </c>
      <c r="AM135" s="20">
        <v>0.2758290017471467</v>
      </c>
      <c r="AN135" s="20">
        <f t="shared" si="65"/>
        <v>1.1033160069885868</v>
      </c>
      <c r="AO135" s="20">
        <f t="shared" si="79"/>
        <v>9.8320196961836512E-2</v>
      </c>
      <c r="AP135" s="20">
        <v>0.19311725018881382</v>
      </c>
      <c r="AQ135" s="20">
        <f t="shared" si="66"/>
        <v>0.77246900075525526</v>
      </c>
      <c r="AR135" s="20">
        <f t="shared" si="80"/>
        <v>-0.25816339948756667</v>
      </c>
      <c r="AS135" s="20">
        <v>0.17206696076939965</v>
      </c>
      <c r="AT135" s="20">
        <f t="shared" si="67"/>
        <v>0.68826784307759858</v>
      </c>
      <c r="AU135" s="20">
        <f t="shared" si="81"/>
        <v>-0.37357721001018807</v>
      </c>
      <c r="AZ135" t="b">
        <f t="shared" si="90"/>
        <v>1</v>
      </c>
      <c r="BB135" t="b">
        <f t="shared" si="91"/>
        <v>0</v>
      </c>
      <c r="BD135" t="b">
        <f t="shared" si="92"/>
        <v>1</v>
      </c>
    </row>
    <row r="136" spans="1:56">
      <c r="A136" s="87" t="s">
        <v>68</v>
      </c>
      <c r="B136" s="5">
        <f>'[34]Dados de entrada'!$B$28</f>
        <v>12</v>
      </c>
      <c r="C136" s="5">
        <f>'[34]Dados de entrada'!$B$31</f>
        <v>4</v>
      </c>
      <c r="D136" s="5">
        <f>'[34]Dados de entrada'!$B$32</f>
        <v>90.67</v>
      </c>
      <c r="E136" s="11">
        <f>'[34]Dados de entrada'!$B$27</f>
        <v>3.2689999999999997</v>
      </c>
      <c r="F136" s="5">
        <f>'[34]Dados de entrada'!$B$30</f>
        <v>25</v>
      </c>
      <c r="G136" s="12">
        <f>'[34]Dados de entrada'!$B$22</f>
        <v>31</v>
      </c>
      <c r="H136" s="52">
        <f>'[34]Dados de entrada'!$B$29/(2*'[34]Dados de entrada'!$B$20*G136)</f>
        <v>1.7741935483870968E-2</v>
      </c>
      <c r="I136" s="53" cm="1">
        <f t="array" ref="I136:I138">'[34]fib Model Code 2010'!$K$5:$K$7</f>
        <v>226.45530266575949</v>
      </c>
      <c r="J136" s="4" cm="1">
        <f t="array" ref="J136:J138">'[34]Dados de entrada'!$C$7:$C$9</f>
        <v>0.15</v>
      </c>
      <c r="K136" s="11" cm="1">
        <f t="array" ref="K136:K138">'[34]fib Model Code 2010'!$L$5:$L$7</f>
        <v>0.12079077595334915</v>
      </c>
      <c r="L136" s="11">
        <f t="shared" si="88"/>
        <v>0.80527183968899441</v>
      </c>
      <c r="M136" s="29">
        <f t="shared" si="69"/>
        <v>-0.21657536951303832</v>
      </c>
      <c r="N136" s="11" cm="1">
        <f t="array" ref="N136:N138">'[34]fib Model Code 2020'!$L$5:$L$7</f>
        <v>9.2384993595776857E-2</v>
      </c>
      <c r="O136" s="11">
        <f t="shared" si="84"/>
        <v>0.6158999573051791</v>
      </c>
      <c r="P136" s="55">
        <f t="shared" si="70"/>
        <v>-0.48467073561016949</v>
      </c>
      <c r="Q136" s="11" cm="1">
        <f t="array" ref="Q136:Q138">'[34]Eurocode 2'!$L$5:$L$7</f>
        <v>0.11177549980360031</v>
      </c>
      <c r="R136" s="11">
        <f t="shared" si="60"/>
        <v>0.7451699986906688</v>
      </c>
      <c r="S136" s="11">
        <f t="shared" si="71"/>
        <v>-0.29414290047110847</v>
      </c>
      <c r="T136" s="11" cm="1">
        <f t="array" ref="T136:T138">'[34]NBR 6118'!$Q$5:$Q$7</f>
        <v>0.23113702289701121</v>
      </c>
      <c r="U136" s="11" cm="1">
        <f t="array" ref="U136:U138">'[34]NBR 6118'!$R$5:$R$7</f>
        <v>0.10788433067807927</v>
      </c>
      <c r="V136" s="11" cm="1">
        <f t="array" ref="V136:V138">'[34]NBR 6118'!$W$5:$W$7</f>
        <v>0.71922887118719514</v>
      </c>
      <c r="W136" s="11">
        <f t="shared" si="72"/>
        <v>-0.32957565315548881</v>
      </c>
      <c r="X136" s="11" cm="1">
        <f t="array" ref="X136:X138">'[34]Clark (1956)'!$L$5:$L$7</f>
        <v>0.19540710997826596</v>
      </c>
      <c r="Y136" s="11">
        <f t="shared" si="61"/>
        <v>1.3027140665217731</v>
      </c>
      <c r="Z136" s="11">
        <f t="shared" si="73"/>
        <v>0.26444983163788449</v>
      </c>
      <c r="AA136" s="11" cm="1">
        <f t="array" ref="AA136:AA138">'[34]Leonhardt (1977)'!$L$5:$L$7</f>
        <v>0.15678506139305359</v>
      </c>
      <c r="AB136" s="11">
        <f t="shared" si="93"/>
        <v>1.0452337426203573</v>
      </c>
      <c r="AC136" s="11">
        <f t="shared" si="94"/>
        <v>4.4240537553437841E-2</v>
      </c>
      <c r="AD136" s="11" cm="1">
        <f t="array" ref="AD136:AD138">'[34]Desayi; Ganesan (1985)'!$L$5:$L$7</f>
        <v>0.24808989435623718</v>
      </c>
      <c r="AE136" s="11">
        <f t="shared" si="62"/>
        <v>1.6539326290415812</v>
      </c>
      <c r="AF136" s="11">
        <f t="shared" si="76"/>
        <v>0.50315586363261344</v>
      </c>
      <c r="AG136" s="11" cm="1">
        <f t="array" ref="AG136:AG138">'[34]Oh; Kang (1987)'!$L$5:$L$7</f>
        <v>0.10827669467392349</v>
      </c>
      <c r="AH136" s="11">
        <f t="shared" si="63"/>
        <v>0.72184463115948994</v>
      </c>
      <c r="AI136" s="11">
        <f t="shared" si="77"/>
        <v>-0.32594535554637144</v>
      </c>
      <c r="AJ136" s="11" cm="1">
        <f t="array" ref="AJ136:AJ138">'[34]Caldas (1997)'!$L$5:$L$7</f>
        <v>0.12522893792964457</v>
      </c>
      <c r="AK136" s="11">
        <f t="shared" si="64"/>
        <v>0.83485958619763045</v>
      </c>
      <c r="AL136" s="11">
        <f t="shared" si="78"/>
        <v>-0.18049172851415912</v>
      </c>
      <c r="AM136" s="11" cm="1">
        <f t="array" ref="AM136:AM138">'[34]Gergely e Lutz (1968)'!$L$5:$L$7</f>
        <v>0.19253300190771649</v>
      </c>
      <c r="AN136" s="11">
        <f t="shared" si="65"/>
        <v>1.2835533460514434</v>
      </c>
      <c r="AO136" s="11">
        <f t="shared" si="79"/>
        <v>0.24963228341933028</v>
      </c>
      <c r="AP136" s="11" cm="1">
        <f t="array" ref="AP136:AP138">[34]Sugestão!$M$5:$M$7</f>
        <v>0.1100971397502373</v>
      </c>
      <c r="AQ136" s="11">
        <f t="shared" si="66"/>
        <v>0.73398093166824874</v>
      </c>
      <c r="AR136" s="11">
        <f t="shared" si="80"/>
        <v>-0.30927222935868459</v>
      </c>
      <c r="AS136" s="11" cm="1">
        <f t="array" ref="AS136:AS138">'[34]fib Model Code 2020 modificado'!$L$5:$L$7</f>
        <v>0.12601365838494885</v>
      </c>
      <c r="AT136" s="11">
        <f t="shared" si="67"/>
        <v>0.84009105589965904</v>
      </c>
      <c r="AU136" s="11">
        <f t="shared" si="81"/>
        <v>-0.17424499313907377</v>
      </c>
      <c r="AZ136" t="b">
        <f t="shared" si="90"/>
        <v>1</v>
      </c>
      <c r="BB136" t="b">
        <f t="shared" si="91"/>
        <v>0</v>
      </c>
      <c r="BD136" t="b">
        <f t="shared" si="92"/>
        <v>1</v>
      </c>
    </row>
    <row r="137" spans="1:56">
      <c r="A137" s="88"/>
      <c r="B137" s="5">
        <f>'[34]Dados de entrada'!$B$28</f>
        <v>12</v>
      </c>
      <c r="C137" s="5">
        <f>'[34]Dados de entrada'!$B$31</f>
        <v>4</v>
      </c>
      <c r="D137" s="5">
        <f>'[34]Dados de entrada'!$B$32</f>
        <v>90.67</v>
      </c>
      <c r="E137" s="11">
        <f>'[34]Dados de entrada'!$B$27</f>
        <v>3.2689999999999997</v>
      </c>
      <c r="F137" s="5">
        <f>'[34]Dados de entrada'!$B$30</f>
        <v>25</v>
      </c>
      <c r="G137" s="12">
        <f>'[34]Dados de entrada'!$B$22</f>
        <v>31</v>
      </c>
      <c r="H137" s="52">
        <f>'[34]Dados de entrada'!$B$29/(2*'[34]Dados de entrada'!$B$20*G137)</f>
        <v>1.7741935483870968E-2</v>
      </c>
      <c r="I137" s="53">
        <v>260.41389561049635</v>
      </c>
      <c r="J137" s="4">
        <v>0.15</v>
      </c>
      <c r="K137" s="11">
        <v>0.1502667898333386</v>
      </c>
      <c r="L137" s="11">
        <f t="shared" si="88"/>
        <v>1.0017785988889241</v>
      </c>
      <c r="M137" s="29">
        <f t="shared" si="69"/>
        <v>1.7770190549035285E-3</v>
      </c>
      <c r="N137" s="11">
        <v>0.10623878440919669</v>
      </c>
      <c r="O137" s="11">
        <f t="shared" si="84"/>
        <v>0.70825856272797794</v>
      </c>
      <c r="P137" s="55">
        <f t="shared" si="70"/>
        <v>-0.34494605036509846</v>
      </c>
      <c r="Q137" s="11">
        <v>0.1390515575791223</v>
      </c>
      <c r="R137" s="11">
        <f t="shared" ref="R137:R200" si="95">Q137/J137</f>
        <v>0.92701038386081536</v>
      </c>
      <c r="S137" s="11">
        <f t="shared" si="71"/>
        <v>-7.5790511903166491E-2</v>
      </c>
      <c r="T137" s="11">
        <v>0.26579767328859388</v>
      </c>
      <c r="U137" s="11">
        <v>0.14266639624471333</v>
      </c>
      <c r="V137" s="11">
        <v>0.95110930829808893</v>
      </c>
      <c r="W137" s="11">
        <f t="shared" si="72"/>
        <v>-5.0126282665346342E-2</v>
      </c>
      <c r="X137" s="11">
        <v>0.2328455325563944</v>
      </c>
      <c r="Y137" s="11">
        <f t="shared" ref="Y137:Y200" si="96">X137/J137</f>
        <v>1.5523035503759628</v>
      </c>
      <c r="Z137" s="11">
        <f t="shared" si="73"/>
        <v>0.43973998921891527</v>
      </c>
      <c r="AA137" s="11">
        <v>0.23648611685522961</v>
      </c>
      <c r="AB137" s="11">
        <f t="shared" si="93"/>
        <v>1.5765741123681973</v>
      </c>
      <c r="AC137" s="11">
        <f t="shared" si="94"/>
        <v>0.45525420959778645</v>
      </c>
      <c r="AD137" s="11">
        <v>0.28529274912259667</v>
      </c>
      <c r="AE137" s="11">
        <f t="shared" ref="AE137:AE200" si="97">AD137/J137</f>
        <v>1.9019516608173113</v>
      </c>
      <c r="AF137" s="11">
        <f t="shared" si="76"/>
        <v>0.64288054887768464</v>
      </c>
      <c r="AG137" s="11">
        <v>0.12799683213992302</v>
      </c>
      <c r="AH137" s="11">
        <f t="shared" ref="AH137:AH200" si="98">AG137/J137</f>
        <v>0.85331221426615356</v>
      </c>
      <c r="AI137" s="11">
        <f t="shared" si="77"/>
        <v>-0.15862977938974912</v>
      </c>
      <c r="AJ137" s="11">
        <v>0.14734997549223941</v>
      </c>
      <c r="AK137" s="11">
        <f t="shared" ref="AK137:AK200" si="99">AJ137/J137</f>
        <v>0.98233316994826281</v>
      </c>
      <c r="AL137" s="11">
        <f t="shared" si="78"/>
        <v>-1.7824751236017355E-2</v>
      </c>
      <c r="AM137" s="11">
        <v>0.22140470313638005</v>
      </c>
      <c r="AN137" s="11">
        <f t="shared" ref="AN137:AN200" si="100">AM137/J137</f>
        <v>1.4760313542425338</v>
      </c>
      <c r="AO137" s="11">
        <f t="shared" si="79"/>
        <v>0.38935696866440134</v>
      </c>
      <c r="AP137" s="11">
        <v>0.14559261818925504</v>
      </c>
      <c r="AQ137" s="11">
        <f t="shared" ref="AQ137:AQ200" si="101">AP137/J137</f>
        <v>0.97061745459503357</v>
      </c>
      <c r="AR137" s="11">
        <f t="shared" si="80"/>
        <v>-2.9822858868542561E-2</v>
      </c>
      <c r="AS137" s="11">
        <v>0.14686405723793905</v>
      </c>
      <c r="AT137" s="11">
        <f t="shared" ref="AT137:AT200" si="102">AS137/J137</f>
        <v>0.97909371491959374</v>
      </c>
      <c r="AU137" s="11">
        <f t="shared" si="81"/>
        <v>-2.1127915885290914E-2</v>
      </c>
      <c r="AZ137" t="b">
        <f t="shared" si="90"/>
        <v>1</v>
      </c>
      <c r="BB137" t="b">
        <f t="shared" si="91"/>
        <v>0</v>
      </c>
      <c r="BD137" t="b">
        <f t="shared" si="92"/>
        <v>1</v>
      </c>
    </row>
    <row r="138" spans="1:56">
      <c r="A138" s="89"/>
      <c r="B138" s="5">
        <f>'[34]Dados de entrada'!$B$28</f>
        <v>12</v>
      </c>
      <c r="C138" s="5">
        <f>'[34]Dados de entrada'!$B$31</f>
        <v>4</v>
      </c>
      <c r="D138" s="5">
        <f>'[34]Dados de entrada'!$B$32</f>
        <v>90.67</v>
      </c>
      <c r="E138" s="11">
        <f>'[34]Dados de entrada'!$B$27</f>
        <v>3.2689999999999997</v>
      </c>
      <c r="F138" s="5">
        <f>'[34]Dados de entrada'!$B$30</f>
        <v>25</v>
      </c>
      <c r="G138" s="12">
        <f>'[34]Dados de entrada'!$B$22</f>
        <v>31</v>
      </c>
      <c r="H138" s="52">
        <f>'[34]Dados de entrada'!$B$29/(2*'[34]Dados de entrada'!$B$20*G138)</f>
        <v>1.7741935483870968E-2</v>
      </c>
      <c r="I138" s="53">
        <v>294.3724885552333</v>
      </c>
      <c r="J138" s="4">
        <v>0.18</v>
      </c>
      <c r="K138" s="11">
        <v>0.17974280371332815</v>
      </c>
      <c r="L138" s="11">
        <f t="shared" si="88"/>
        <v>0.99857113174071199</v>
      </c>
      <c r="M138" s="29">
        <f t="shared" si="69"/>
        <v>-1.4298900650057003E-3</v>
      </c>
      <c r="N138" s="11">
        <v>0.12009257522261656</v>
      </c>
      <c r="O138" s="11">
        <f t="shared" si="84"/>
        <v>0.66718097345898086</v>
      </c>
      <c r="P138" s="55">
        <f t="shared" si="70"/>
        <v>-0.4046939453421477</v>
      </c>
      <c r="Q138" s="11">
        <v>0.16632761535464433</v>
      </c>
      <c r="R138" s="11">
        <f t="shared" si="95"/>
        <v>0.92404230752580185</v>
      </c>
      <c r="S138" s="11">
        <f t="shared" si="71"/>
        <v>-7.8997421023075901E-2</v>
      </c>
      <c r="T138" s="11">
        <v>0.30045832368017661</v>
      </c>
      <c r="U138" s="11">
        <v>0.18230048371183444</v>
      </c>
      <c r="V138" s="11">
        <v>1.0127804650657468</v>
      </c>
      <c r="W138" s="11">
        <f t="shared" si="72"/>
        <v>1.2699484174509508E-2</v>
      </c>
      <c r="X138" s="11">
        <v>0.27028395513452297</v>
      </c>
      <c r="Y138" s="11">
        <f t="shared" si="96"/>
        <v>1.5015775285251276</v>
      </c>
      <c r="Z138" s="11">
        <f t="shared" si="73"/>
        <v>0.4065162411576253</v>
      </c>
      <c r="AA138" s="11">
        <v>0.31015724890308133</v>
      </c>
      <c r="AB138" s="11">
        <f t="shared" si="93"/>
        <v>1.7230958272393408</v>
      </c>
      <c r="AC138" s="11">
        <f t="shared" si="94"/>
        <v>0.54412257250496354</v>
      </c>
      <c r="AD138" s="11">
        <v>0.32249560388895626</v>
      </c>
      <c r="AE138" s="11">
        <f t="shared" si="97"/>
        <v>1.7916422438275348</v>
      </c>
      <c r="AF138" s="11">
        <f t="shared" si="76"/>
        <v>0.58313265390063551</v>
      </c>
      <c r="AG138" s="11">
        <v>0.14771696960592259</v>
      </c>
      <c r="AH138" s="11">
        <f t="shared" si="98"/>
        <v>0.82064983114401446</v>
      </c>
      <c r="AI138" s="11">
        <f t="shared" si="77"/>
        <v>-0.19765877556304567</v>
      </c>
      <c r="AJ138" s="11">
        <v>0.16947101305483431</v>
      </c>
      <c r="AK138" s="11">
        <f t="shared" si="99"/>
        <v>0.94150562808241289</v>
      </c>
      <c r="AL138" s="11">
        <f t="shared" si="78"/>
        <v>-6.0274953120095925E-2</v>
      </c>
      <c r="AM138" s="11">
        <v>0.25027640436504373</v>
      </c>
      <c r="AN138" s="11">
        <f t="shared" si="100"/>
        <v>1.3904244686946874</v>
      </c>
      <c r="AO138" s="11">
        <f t="shared" si="79"/>
        <v>0.32960907368735221</v>
      </c>
      <c r="AP138" s="11">
        <v>0.1860396380605791</v>
      </c>
      <c r="AQ138" s="11">
        <f t="shared" si="101"/>
        <v>1.0335535447809951</v>
      </c>
      <c r="AR138" s="11">
        <f t="shared" si="80"/>
        <v>3.3002907971313986E-2</v>
      </c>
      <c r="AS138" s="11">
        <v>0.1682240031835584</v>
      </c>
      <c r="AT138" s="11">
        <f t="shared" si="102"/>
        <v>0.93457779546421338</v>
      </c>
      <c r="AU138" s="11">
        <f t="shared" si="81"/>
        <v>-6.7660407328653277E-2</v>
      </c>
      <c r="AZ138" t="b">
        <f t="shared" si="90"/>
        <v>1</v>
      </c>
      <c r="BB138" t="b">
        <f t="shared" si="91"/>
        <v>0</v>
      </c>
      <c r="BD138" t="b">
        <f t="shared" si="92"/>
        <v>1</v>
      </c>
    </row>
    <row r="139" spans="1:56">
      <c r="A139" s="85" t="s">
        <v>69</v>
      </c>
      <c r="B139" s="21">
        <f>'[35]Dados de entrada'!$B$28</f>
        <v>12</v>
      </c>
      <c r="C139" s="21">
        <f>'[35]Dados de entrada'!$B$31</f>
        <v>4</v>
      </c>
      <c r="D139" s="21">
        <f>'[35]Dados de entrada'!$B$32</f>
        <v>90.67</v>
      </c>
      <c r="E139" s="20">
        <f>'[35]Dados de entrada'!$B$27</f>
        <v>3.2689999999999997</v>
      </c>
      <c r="F139" s="21">
        <f>'[35]Dados de entrada'!$B$30</f>
        <v>25</v>
      </c>
      <c r="G139" s="56">
        <f>'[35]Dados de entrada'!$B$22</f>
        <v>31</v>
      </c>
      <c r="H139" s="57">
        <f>'[35]Dados de entrada'!$B$29/(2*'[35]Dados de entrada'!$B$20*G139)</f>
        <v>1.7741935483870968E-2</v>
      </c>
      <c r="I139" s="27" cm="1">
        <f t="array" ref="I139:I141">'[35]fib Model Code 2010'!$K$5:$K$7</f>
        <v>226.45530266575949</v>
      </c>
      <c r="J139" s="19" cm="1">
        <f t="array" ref="J139:J141">'[35]Dados de entrada'!$C$7:$C$9</f>
        <v>0.18</v>
      </c>
      <c r="K139" s="20" cm="1">
        <f t="array" ref="K139:K141">'[35]fib Model Code 2010'!$L$5:$L$7</f>
        <v>0.12079077595334915</v>
      </c>
      <c r="L139" s="20">
        <f t="shared" si="88"/>
        <v>0.67105986640749526</v>
      </c>
      <c r="M139" s="54">
        <f t="shared" si="69"/>
        <v>-0.39889692630699303</v>
      </c>
      <c r="N139" s="20" cm="1">
        <f t="array" ref="N139:N141">'[35]fib Model Code 2020'!$L$5:$L$7</f>
        <v>9.2384993595776857E-2</v>
      </c>
      <c r="O139" s="20">
        <f t="shared" si="84"/>
        <v>0.51324996442098259</v>
      </c>
      <c r="P139" s="28">
        <f t="shared" si="70"/>
        <v>-0.66699229240412405</v>
      </c>
      <c r="Q139" s="20" cm="1">
        <f t="array" ref="Q139:Q141">'[35]Eurocode 2'!$L$5:$L$7</f>
        <v>0.11177549980360031</v>
      </c>
      <c r="R139" s="20">
        <f t="shared" si="95"/>
        <v>0.62097499890889063</v>
      </c>
      <c r="S139" s="20">
        <f t="shared" si="71"/>
        <v>-0.47646445726506315</v>
      </c>
      <c r="T139" s="20" cm="1">
        <f t="array" ref="T139:T141">'[35]NBR 6118'!$Q$5:$Q$7</f>
        <v>0.23113702289701121</v>
      </c>
      <c r="U139" s="20" cm="1">
        <f t="array" ref="U139:U141">'[35]NBR 6118'!$R$5:$R$7</f>
        <v>0.10788433067807927</v>
      </c>
      <c r="V139" s="20" cm="1">
        <f t="array" ref="V139:V141">'[35]NBR 6118'!$W$5:$W$7</f>
        <v>0.59935739265599597</v>
      </c>
      <c r="W139" s="20">
        <f t="shared" si="72"/>
        <v>-0.51189720994944343</v>
      </c>
      <c r="X139" s="20" cm="1">
        <f t="array" ref="X139:X141">'[35]Clark (1956)'!$L$5:$L$7</f>
        <v>0.19540710997826596</v>
      </c>
      <c r="Y139" s="20">
        <f t="shared" si="96"/>
        <v>1.0855950554348111</v>
      </c>
      <c r="Z139" s="20">
        <f t="shared" si="73"/>
        <v>8.2128274843929983E-2</v>
      </c>
      <c r="AA139" s="20" cm="1">
        <f t="array" ref="AA139:AA141">'[35]Leonhardt (1977)'!$L$5:$L$7</f>
        <v>0.15678506139305359</v>
      </c>
      <c r="AB139" s="20">
        <f t="shared" si="93"/>
        <v>0.87102811885029774</v>
      </c>
      <c r="AC139" s="20">
        <f t="shared" si="94"/>
        <v>-0.13808101924051677</v>
      </c>
      <c r="AD139" s="20" cm="1">
        <f t="array" ref="AD139:AD141">'[35]Desayi; Ganesan (1985)'!$L$5:$L$7</f>
        <v>0.24808989435623718</v>
      </c>
      <c r="AE139" s="20">
        <f t="shared" si="97"/>
        <v>1.3782771908679845</v>
      </c>
      <c r="AF139" s="20">
        <f t="shared" si="76"/>
        <v>0.32083430683865893</v>
      </c>
      <c r="AG139" s="20" cm="1">
        <f t="array" ref="AG139:AG141">'[35]Oh; Kang (1987)'!$L$5:$L$7</f>
        <v>0.10827669467392349</v>
      </c>
      <c r="AH139" s="20">
        <f t="shared" si="98"/>
        <v>0.60153719263290828</v>
      </c>
      <c r="AI139" s="20">
        <f t="shared" si="77"/>
        <v>-0.50826691234032606</v>
      </c>
      <c r="AJ139" s="20" cm="1">
        <f t="array" ref="AJ139:AJ141">'[35]Caldas (1997)'!$L$5:$L$7</f>
        <v>0.12522893792964457</v>
      </c>
      <c r="AK139" s="20">
        <f t="shared" si="99"/>
        <v>0.69571632183135879</v>
      </c>
      <c r="AL139" s="20">
        <f t="shared" si="78"/>
        <v>-0.36281328530811363</v>
      </c>
      <c r="AM139" s="20" cm="1">
        <f t="array" ref="AM139:AM141">'[35]Gergely e Lutz (1968)'!$L$5:$L$7</f>
        <v>0.19253300190771649</v>
      </c>
      <c r="AN139" s="20">
        <f t="shared" si="100"/>
        <v>1.0696277883762029</v>
      </c>
      <c r="AO139" s="20">
        <f t="shared" si="79"/>
        <v>6.7310726625375655E-2</v>
      </c>
      <c r="AP139" s="20" cm="1">
        <f t="array" ref="AP139:AP141">[35]Sugestão!$M$5:$M$7</f>
        <v>0.1100971397502373</v>
      </c>
      <c r="AQ139" s="20">
        <f t="shared" si="101"/>
        <v>0.61165077639020726</v>
      </c>
      <c r="AR139" s="20">
        <f t="shared" si="80"/>
        <v>-0.49159378615263927</v>
      </c>
      <c r="AS139" s="20" cm="1">
        <f t="array" ref="AS139:AS141">'[35]fib Model Code 2020 modificado'!$L$5:$L$7</f>
        <v>0.12601365838494885</v>
      </c>
      <c r="AT139" s="20">
        <f t="shared" si="102"/>
        <v>0.70007587991638254</v>
      </c>
      <c r="AU139" s="20">
        <f t="shared" si="81"/>
        <v>-0.35656654993302839</v>
      </c>
      <c r="AZ139" t="b">
        <f t="shared" si="90"/>
        <v>1</v>
      </c>
      <c r="BB139" t="b">
        <f t="shared" si="91"/>
        <v>0</v>
      </c>
      <c r="BD139" t="b">
        <f t="shared" si="92"/>
        <v>1</v>
      </c>
    </row>
    <row r="140" spans="1:56">
      <c r="A140" s="90"/>
      <c r="B140" s="21">
        <f>'[35]Dados de entrada'!$B$28</f>
        <v>12</v>
      </c>
      <c r="C140" s="21">
        <f>'[35]Dados de entrada'!$B$31</f>
        <v>4</v>
      </c>
      <c r="D140" s="21">
        <f>'[35]Dados de entrada'!$B$32</f>
        <v>90.67</v>
      </c>
      <c r="E140" s="20">
        <f>'[35]Dados de entrada'!$B$27</f>
        <v>3.2689999999999997</v>
      </c>
      <c r="F140" s="21">
        <f>'[35]Dados de entrada'!$B$30</f>
        <v>25</v>
      </c>
      <c r="G140" s="56">
        <f>'[35]Dados de entrada'!$B$22</f>
        <v>31</v>
      </c>
      <c r="H140" s="57">
        <f>'[35]Dados de entrada'!$B$29/(2*'[35]Dados de entrada'!$B$20*G140)</f>
        <v>1.7741935483870968E-2</v>
      </c>
      <c r="I140" s="27">
        <v>260.41389561049635</v>
      </c>
      <c r="J140" s="19">
        <v>0.2</v>
      </c>
      <c r="K140" s="20">
        <v>0.1502667898333386</v>
      </c>
      <c r="L140" s="20">
        <f t="shared" si="88"/>
        <v>0.75133394916669294</v>
      </c>
      <c r="M140" s="54">
        <f t="shared" si="69"/>
        <v>-0.28590505339687755</v>
      </c>
      <c r="N140" s="20">
        <v>0.10623878440919669</v>
      </c>
      <c r="O140" s="20">
        <f t="shared" si="84"/>
        <v>0.53119392204598348</v>
      </c>
      <c r="P140" s="28">
        <f t="shared" si="70"/>
        <v>-0.63262812281687941</v>
      </c>
      <c r="Q140" s="20">
        <v>0.1390515575791223</v>
      </c>
      <c r="R140" s="20">
        <f t="shared" si="95"/>
        <v>0.69525778789561143</v>
      </c>
      <c r="S140" s="20">
        <f t="shared" si="71"/>
        <v>-0.36347258435494756</v>
      </c>
      <c r="T140" s="20">
        <v>0.26579767328859388</v>
      </c>
      <c r="U140" s="20">
        <v>0.14266639624471333</v>
      </c>
      <c r="V140" s="20">
        <v>0.71333198122356667</v>
      </c>
      <c r="W140" s="20">
        <f t="shared" si="72"/>
        <v>-0.33780835511712731</v>
      </c>
      <c r="X140" s="20">
        <v>0.2328455325563944</v>
      </c>
      <c r="Y140" s="20">
        <f t="shared" si="96"/>
        <v>1.1642276627819719</v>
      </c>
      <c r="Z140" s="20">
        <f t="shared" si="73"/>
        <v>0.15205791676713415</v>
      </c>
      <c r="AA140" s="20">
        <v>0.23648611685522961</v>
      </c>
      <c r="AB140" s="20">
        <f t="shared" si="93"/>
        <v>1.182430584276148</v>
      </c>
      <c r="AC140" s="20">
        <f t="shared" si="94"/>
        <v>0.1675721371460055</v>
      </c>
      <c r="AD140" s="20">
        <v>0.28529274912259667</v>
      </c>
      <c r="AE140" s="20">
        <f t="shared" si="97"/>
        <v>1.4264637456129832</v>
      </c>
      <c r="AF140" s="20">
        <f t="shared" si="76"/>
        <v>0.35519847642590352</v>
      </c>
      <c r="AG140" s="20">
        <v>0.12799683213992302</v>
      </c>
      <c r="AH140" s="20">
        <f t="shared" si="98"/>
        <v>0.63998416069961506</v>
      </c>
      <c r="AI140" s="20">
        <f t="shared" si="77"/>
        <v>-0.44631185184153022</v>
      </c>
      <c r="AJ140" s="20">
        <v>0.14734997549223941</v>
      </c>
      <c r="AK140" s="20">
        <f t="shared" si="99"/>
        <v>0.73674987746119702</v>
      </c>
      <c r="AL140" s="20">
        <f t="shared" si="78"/>
        <v>-0.30550682368779841</v>
      </c>
      <c r="AM140" s="20">
        <v>0.22140470313638005</v>
      </c>
      <c r="AN140" s="20">
        <f t="shared" si="100"/>
        <v>1.1070235156819002</v>
      </c>
      <c r="AO140" s="20">
        <f t="shared" si="79"/>
        <v>0.10167489621262021</v>
      </c>
      <c r="AP140" s="20">
        <v>0.14559261818925504</v>
      </c>
      <c r="AQ140" s="20">
        <f t="shared" si="101"/>
        <v>0.72796309094627509</v>
      </c>
      <c r="AR140" s="20">
        <f t="shared" si="80"/>
        <v>-0.31750493132032359</v>
      </c>
      <c r="AS140" s="20">
        <v>0.14686405723793905</v>
      </c>
      <c r="AT140" s="20">
        <f t="shared" si="102"/>
        <v>0.73432028618969525</v>
      </c>
      <c r="AU140" s="20">
        <f t="shared" si="81"/>
        <v>-0.30880998833707191</v>
      </c>
      <c r="AZ140" t="b">
        <f t="shared" si="90"/>
        <v>1</v>
      </c>
      <c r="BB140" t="b">
        <f t="shared" si="91"/>
        <v>0</v>
      </c>
      <c r="BD140" t="b">
        <f t="shared" si="92"/>
        <v>1</v>
      </c>
    </row>
    <row r="141" spans="1:56">
      <c r="A141" s="86"/>
      <c r="B141" s="21">
        <f>'[35]Dados de entrada'!$B$28</f>
        <v>12</v>
      </c>
      <c r="C141" s="21">
        <f>'[35]Dados de entrada'!$B$31</f>
        <v>4</v>
      </c>
      <c r="D141" s="21">
        <f>'[35]Dados de entrada'!$B$32</f>
        <v>90.67</v>
      </c>
      <c r="E141" s="20">
        <f>'[35]Dados de entrada'!$B$27</f>
        <v>3.2689999999999997</v>
      </c>
      <c r="F141" s="21">
        <f>'[35]Dados de entrada'!$B$30</f>
        <v>25</v>
      </c>
      <c r="G141" s="56">
        <f>'[35]Dados de entrada'!$B$22</f>
        <v>31</v>
      </c>
      <c r="H141" s="57">
        <f>'[35]Dados de entrada'!$B$29/(2*'[35]Dados de entrada'!$B$20*G141)</f>
        <v>1.7741935483870968E-2</v>
      </c>
      <c r="I141" s="27">
        <v>294.3724885552333</v>
      </c>
      <c r="J141" s="19">
        <v>0.23</v>
      </c>
      <c r="K141" s="20">
        <v>0.17974280371332815</v>
      </c>
      <c r="L141" s="20">
        <f t="shared" si="88"/>
        <v>0.78149045092751368</v>
      </c>
      <c r="M141" s="54">
        <f t="shared" ref="M141:M204" si="103">LN(L141)</f>
        <v>-0.24655234809799076</v>
      </c>
      <c r="N141" s="20">
        <v>0.12009257522261656</v>
      </c>
      <c r="O141" s="20">
        <f t="shared" si="84"/>
        <v>0.52214163140268066</v>
      </c>
      <c r="P141" s="28">
        <f t="shared" ref="P141:P204" si="104">LN(O141)</f>
        <v>-0.6498164033751328</v>
      </c>
      <c r="Q141" s="20">
        <v>0.16632761535464433</v>
      </c>
      <c r="R141" s="20">
        <f t="shared" si="95"/>
        <v>0.72316354502019264</v>
      </c>
      <c r="S141" s="20">
        <f t="shared" ref="S141:S204" si="105">LN(R141)</f>
        <v>-0.32411987905606104</v>
      </c>
      <c r="T141" s="20">
        <v>0.30045832368017661</v>
      </c>
      <c r="U141" s="20">
        <v>0.18230048371183444</v>
      </c>
      <c r="V141" s="20">
        <v>0.79261079874710627</v>
      </c>
      <c r="W141" s="20">
        <f t="shared" ref="W141:W204" si="106">LN(V141)</f>
        <v>-0.23242297385847541</v>
      </c>
      <c r="X141" s="20">
        <v>0.27028395513452297</v>
      </c>
      <c r="Y141" s="20">
        <f t="shared" si="96"/>
        <v>1.1751476310196651</v>
      </c>
      <c r="Z141" s="20">
        <f t="shared" ref="Z141:Z204" si="107">LN(Y141)</f>
        <v>0.16139378312464034</v>
      </c>
      <c r="AA141" s="20">
        <v>0.31015724890308133</v>
      </c>
      <c r="AB141" s="20">
        <f t="shared" si="93"/>
        <v>1.3485097778394839</v>
      </c>
      <c r="AC141" s="20">
        <f t="shared" si="94"/>
        <v>0.29900011447197833</v>
      </c>
      <c r="AD141" s="20">
        <v>0.32249560388895626</v>
      </c>
      <c r="AE141" s="20">
        <f t="shared" si="97"/>
        <v>1.402154799517201</v>
      </c>
      <c r="AF141" s="20">
        <f t="shared" ref="AF141:AF204" si="108">LN(AE141)</f>
        <v>0.33801019586765041</v>
      </c>
      <c r="AG141" s="20">
        <v>0.14771696960592259</v>
      </c>
      <c r="AH141" s="20">
        <f t="shared" si="98"/>
        <v>0.64224769393879388</v>
      </c>
      <c r="AI141" s="20">
        <f t="shared" ref="AI141:AI204" si="109">LN(AH141)</f>
        <v>-0.44278123359603072</v>
      </c>
      <c r="AJ141" s="20">
        <v>0.16947101305483431</v>
      </c>
      <c r="AK141" s="20">
        <f t="shared" si="99"/>
        <v>0.73683049154275782</v>
      </c>
      <c r="AL141" s="20">
        <f t="shared" ref="AL141:AL204" si="110">LN(AK141)</f>
        <v>-0.30539741115308106</v>
      </c>
      <c r="AM141" s="20">
        <v>0.25027640436504373</v>
      </c>
      <c r="AN141" s="20">
        <f t="shared" si="100"/>
        <v>1.0881582798480161</v>
      </c>
      <c r="AO141" s="20">
        <f t="shared" ref="AO141:AO204" si="111">LN(AN141)</f>
        <v>8.4486615654367034E-2</v>
      </c>
      <c r="AP141" s="20">
        <v>0.1860396380605791</v>
      </c>
      <c r="AQ141" s="20">
        <f t="shared" si="101"/>
        <v>0.80886799156773526</v>
      </c>
      <c r="AR141" s="20">
        <f t="shared" ref="AR141:AR204" si="112">LN(AQ141)</f>
        <v>-0.2121195500616711</v>
      </c>
      <c r="AS141" s="20">
        <v>0.1682240031835584</v>
      </c>
      <c r="AT141" s="20">
        <f t="shared" si="102"/>
        <v>0.73140870949373216</v>
      </c>
      <c r="AU141" s="20">
        <f t="shared" ref="AU141:AU204" si="113">LN(AT141)</f>
        <v>-0.31278286536163835</v>
      </c>
      <c r="AZ141" t="b">
        <f t="shared" si="90"/>
        <v>1</v>
      </c>
      <c r="BB141" t="b">
        <f t="shared" si="91"/>
        <v>0</v>
      </c>
      <c r="BD141" t="b">
        <f t="shared" si="92"/>
        <v>1</v>
      </c>
    </row>
    <row r="142" spans="1:56">
      <c r="A142" s="87" t="s">
        <v>72</v>
      </c>
      <c r="B142" s="64">
        <f>'[36]Dados de entrada'!$B$28</f>
        <v>10</v>
      </c>
      <c r="C142" s="64">
        <f>'[36]Dados de entrada'!$B$31</f>
        <v>1</v>
      </c>
      <c r="D142" s="64">
        <f>'[36]Dados de entrada'!$B$32</f>
        <v>45</v>
      </c>
      <c r="E142" s="29">
        <f>'[36]Dados de entrada'!$B$27</f>
        <v>2.8</v>
      </c>
      <c r="F142" s="64">
        <f>'[36]Dados de entrada'!$B$30</f>
        <v>40</v>
      </c>
      <c r="G142" s="65">
        <f>'[36]Dados de entrada'!$B$22</f>
        <v>45</v>
      </c>
      <c r="H142" s="66">
        <f>'[36]Dados de entrada'!$B$29/(2*'[36]Dados de entrada'!$B$20*G142)</f>
        <v>8.7222222222222215E-3</v>
      </c>
      <c r="I142" s="30" cm="1">
        <f t="array" ref="I142:I148">'[36]fib Model Code 2010'!$K$5:$K$11</f>
        <v>274.14363221273135</v>
      </c>
      <c r="J142" s="31" cm="1">
        <f t="array" ref="J142:J148">'[36]Dados de entrada'!$C$7:$C$13</f>
        <v>0.16</v>
      </c>
      <c r="K142" s="29" cm="1">
        <f t="array" ref="K142:K148">'[36]fib Model Code 2010'!$L$5:$L$11</f>
        <v>0.16512721124267726</v>
      </c>
      <c r="L142" s="29">
        <f t="shared" si="88"/>
        <v>1.032045070266733</v>
      </c>
      <c r="M142" s="29">
        <f t="shared" si="103"/>
        <v>3.1542338844827031E-2</v>
      </c>
      <c r="N142" s="29" cm="1">
        <f t="array" ref="N142:N148">'[36]fib Model Code 2020'!$L$5:$L$11</f>
        <v>0.16285127956433496</v>
      </c>
      <c r="O142" s="29">
        <f t="shared" si="84"/>
        <v>1.0178204972770934</v>
      </c>
      <c r="P142" s="33">
        <f t="shared" si="104"/>
        <v>1.7663573776152793E-2</v>
      </c>
      <c r="Q142" s="29" cm="1">
        <f t="array" ref="Q142:Q148">'[36]Eurocode 2'!$L$5:$L$11</f>
        <v>0.20935626192980678</v>
      </c>
      <c r="R142" s="29">
        <f t="shared" si="95"/>
        <v>1.3084766370612924</v>
      </c>
      <c r="S142" s="29">
        <f t="shared" si="105"/>
        <v>0.26886358807993982</v>
      </c>
      <c r="T142" s="29" cm="1">
        <f t="array" ref="T142:T148">'[36]NBR 6118'!$Q$5:$Q$11</f>
        <v>0.23187521693293625</v>
      </c>
      <c r="U142" s="29" cm="1">
        <f t="array" ref="U142:U148">'[36]NBR 6118'!$R$5:$R$11</f>
        <v>0.1349186115491853</v>
      </c>
      <c r="V142" s="29" cm="1">
        <f t="array" ref="V142:V148">'[36]NBR 6118'!$W$5:$W$11</f>
        <v>0.8432413221824081</v>
      </c>
      <c r="W142" s="29">
        <f t="shared" si="106"/>
        <v>-0.17050209601250144</v>
      </c>
      <c r="X142" s="29" cm="1">
        <f t="array" ref="X142:X148">'[36]Clark (1956)'!$L$5:$L$11</f>
        <v>0.31615531622056936</v>
      </c>
      <c r="Y142" s="29">
        <f t="shared" si="96"/>
        <v>1.9759707263785584</v>
      </c>
      <c r="Z142" s="29">
        <f t="shared" si="107"/>
        <v>0.68105978463018924</v>
      </c>
      <c r="AA142" s="29" cm="1">
        <f t="array" ref="AA142:AA148">'[36]Leonhardt (1977)'!$L$5:$L$11</f>
        <v>0.16821697701992566</v>
      </c>
      <c r="AB142" s="29">
        <f t="shared" si="93"/>
        <v>1.0513561063745354</v>
      </c>
      <c r="AC142" s="29">
        <f t="shared" si="94"/>
        <v>5.0080860742642758E-2</v>
      </c>
      <c r="AD142" s="29" cm="1">
        <f t="array" ref="AD142:AD148">'[36]Desayi; Ganesan (1985)'!$L$5:$L$11</f>
        <v>0.32972729832920816</v>
      </c>
      <c r="AE142" s="29">
        <f t="shared" si="97"/>
        <v>2.0607956145575508</v>
      </c>
      <c r="AF142" s="29">
        <f t="shared" si="108"/>
        <v>0.72309212889649432</v>
      </c>
      <c r="AG142" s="29" cm="1">
        <f t="array" ref="AG142:AG148">'[36]Oh; Kang (1987)'!$L$5:$L$11</f>
        <v>0.19391653196718392</v>
      </c>
      <c r="AH142" s="29">
        <f t="shared" si="98"/>
        <v>1.2119783247948994</v>
      </c>
      <c r="AI142" s="29">
        <f t="shared" si="109"/>
        <v>0.19225400365461384</v>
      </c>
      <c r="AJ142" s="29" cm="1">
        <f t="array" ref="AJ142:AJ148">'[36]Caldas (1997)'!$L$5:$L$11</f>
        <v>0.13081543976903548</v>
      </c>
      <c r="AK142" s="29">
        <f t="shared" si="99"/>
        <v>0.81759649855647176</v>
      </c>
      <c r="AL142" s="29">
        <f t="shared" si="110"/>
        <v>-0.20138634212935297</v>
      </c>
      <c r="AM142" s="29" cm="1">
        <f t="array" ref="AM142:AM148">'[36]Gergely e Lutz (1968)'!$L$5:$L$11</f>
        <v>0.2852583712686465</v>
      </c>
      <c r="AN142" s="11">
        <f t="shared" si="100"/>
        <v>1.7828648204290407</v>
      </c>
      <c r="AO142" s="11">
        <f t="shared" si="111"/>
        <v>0.5782215202070875</v>
      </c>
      <c r="AP142" s="29" cm="1">
        <f t="array" ref="AP142:AP148">[36]Sugestão!$M$5:$M$11</f>
        <v>0.20977002213391188</v>
      </c>
      <c r="AQ142" s="29">
        <f t="shared" si="101"/>
        <v>1.3110626383369492</v>
      </c>
      <c r="AR142" s="29">
        <f t="shared" si="112"/>
        <v>0.27083798269201032</v>
      </c>
      <c r="AS142" s="29" cm="1">
        <f t="array" ref="AS142:AS148">'[36]fib Model Code 2020 modificado'!$L$5:$L$11</f>
        <v>0.1875518127179997</v>
      </c>
      <c r="AT142" s="11">
        <f t="shared" si="102"/>
        <v>1.1721988294874981</v>
      </c>
      <c r="AU142" s="11">
        <f t="shared" si="113"/>
        <v>0.15888132649929237</v>
      </c>
      <c r="AZ142" t="b">
        <f t="shared" si="90"/>
        <v>1</v>
      </c>
      <c r="BB142" t="b">
        <f t="shared" si="91"/>
        <v>0</v>
      </c>
      <c r="BD142" t="b">
        <f t="shared" si="92"/>
        <v>0</v>
      </c>
    </row>
    <row r="143" spans="1:56">
      <c r="A143" s="88"/>
      <c r="B143" s="64">
        <f>'[36]Dados de entrada'!$B$28</f>
        <v>10</v>
      </c>
      <c r="C143" s="64">
        <f>'[36]Dados de entrada'!$B$31</f>
        <v>1</v>
      </c>
      <c r="D143" s="64">
        <f>'[36]Dados de entrada'!$B$32</f>
        <v>45</v>
      </c>
      <c r="E143" s="29">
        <f>'[36]Dados de entrada'!$B$27</f>
        <v>2.8</v>
      </c>
      <c r="F143" s="64">
        <f>'[36]Dados de entrada'!$B$30</f>
        <v>40</v>
      </c>
      <c r="G143" s="65">
        <f>'[36]Dados de entrada'!$B$22</f>
        <v>45</v>
      </c>
      <c r="H143" s="66">
        <f>'[36]Dados de entrada'!$B$29/(2*'[36]Dados de entrada'!$B$20*G143)</f>
        <v>8.7222222222222215E-3</v>
      </c>
      <c r="I143" s="30">
        <v>294.20292237463855</v>
      </c>
      <c r="J143" s="31">
        <v>0.18</v>
      </c>
      <c r="K143" s="29">
        <v>0.19410888513240512</v>
      </c>
      <c r="L143" s="29">
        <f t="shared" si="88"/>
        <v>1.0783826951800286</v>
      </c>
      <c r="M143" s="29">
        <f t="shared" si="103"/>
        <v>7.5462414292730484E-2</v>
      </c>
      <c r="N143" s="29">
        <v>0.17476722684953019</v>
      </c>
      <c r="O143" s="29">
        <f t="shared" si="84"/>
        <v>0.9709290380529455</v>
      </c>
      <c r="P143" s="33">
        <f t="shared" si="104"/>
        <v>-2.9501894666277312E-2</v>
      </c>
      <c r="Q143" s="29">
        <v>0.22467501280271945</v>
      </c>
      <c r="R143" s="29">
        <f t="shared" si="95"/>
        <v>1.2481945155706637</v>
      </c>
      <c r="S143" s="29">
        <f t="shared" si="105"/>
        <v>0.22169811963750977</v>
      </c>
      <c r="T143" s="29">
        <v>0.24884169622071209</v>
      </c>
      <c r="U143" s="29">
        <v>0.15538514691208971</v>
      </c>
      <c r="V143" s="29">
        <v>0.86325081617827626</v>
      </c>
      <c r="W143" s="29">
        <f t="shared" si="106"/>
        <v>-0.14704999724097778</v>
      </c>
      <c r="X143" s="29">
        <v>0.35364191324925454</v>
      </c>
      <c r="Y143" s="29">
        <f t="shared" si="96"/>
        <v>1.964677295829192</v>
      </c>
      <c r="Z143" s="29">
        <f t="shared" si="107"/>
        <v>0.67532800579352803</v>
      </c>
      <c r="AA143" s="29">
        <v>0.21882839254894493</v>
      </c>
      <c r="AB143" s="29">
        <f t="shared" si="93"/>
        <v>1.2157132919385829</v>
      </c>
      <c r="AC143" s="29">
        <f t="shared" si="94"/>
        <v>0.19533097608781166</v>
      </c>
      <c r="AD143" s="29">
        <v>0.3538536860118332</v>
      </c>
      <c r="AE143" s="29">
        <f t="shared" si="97"/>
        <v>1.9658538111768511</v>
      </c>
      <c r="AF143" s="29">
        <f t="shared" si="108"/>
        <v>0.67592666045406458</v>
      </c>
      <c r="AG143" s="29">
        <v>0.21087722952129095</v>
      </c>
      <c r="AH143" s="29">
        <f t="shared" si="98"/>
        <v>1.1715401640071721</v>
      </c>
      <c r="AI143" s="29">
        <f t="shared" si="109"/>
        <v>0.15831926263510404</v>
      </c>
      <c r="AJ143" s="29">
        <v>0.14151720856094585</v>
      </c>
      <c r="AK143" s="29">
        <f t="shared" si="99"/>
        <v>0.78620671422747701</v>
      </c>
      <c r="AL143" s="29">
        <f t="shared" si="110"/>
        <v>-0.2405355259297535</v>
      </c>
      <c r="AM143" s="29">
        <v>0.30613093502001087</v>
      </c>
      <c r="AN143" s="11">
        <f t="shared" si="100"/>
        <v>1.7007274167778383</v>
      </c>
      <c r="AO143" s="11">
        <f t="shared" si="111"/>
        <v>0.53105605176465742</v>
      </c>
      <c r="AP143" s="29">
        <v>0.24159117361764032</v>
      </c>
      <c r="AQ143" s="29">
        <f t="shared" si="101"/>
        <v>1.3421731867646685</v>
      </c>
      <c r="AR143" s="29">
        <f t="shared" si="112"/>
        <v>0.29429008146353358</v>
      </c>
      <c r="AS143" s="29">
        <v>0.20184130151821655</v>
      </c>
      <c r="AT143" s="11">
        <f t="shared" si="102"/>
        <v>1.121340563990092</v>
      </c>
      <c r="AU143" s="11">
        <f t="shared" si="113"/>
        <v>0.11452490168882808</v>
      </c>
      <c r="AZ143" t="b">
        <f t="shared" si="90"/>
        <v>1</v>
      </c>
      <c r="BB143" t="b">
        <f t="shared" si="91"/>
        <v>0</v>
      </c>
      <c r="BD143" t="b">
        <f t="shared" si="92"/>
        <v>0</v>
      </c>
    </row>
    <row r="144" spans="1:56">
      <c r="A144" s="88"/>
      <c r="B144" s="64">
        <f>'[36]Dados de entrada'!$B$28</f>
        <v>10</v>
      </c>
      <c r="C144" s="64">
        <f>'[36]Dados de entrada'!$B$31</f>
        <v>1</v>
      </c>
      <c r="D144" s="64">
        <f>'[36]Dados de entrada'!$B$32</f>
        <v>45</v>
      </c>
      <c r="E144" s="29">
        <f>'[36]Dados de entrada'!$B$27</f>
        <v>2.8</v>
      </c>
      <c r="F144" s="64">
        <f>'[36]Dados de entrada'!$B$30</f>
        <v>40</v>
      </c>
      <c r="G144" s="65">
        <f>'[36]Dados de entrada'!$B$22</f>
        <v>45</v>
      </c>
      <c r="H144" s="66">
        <f>'[36]Dados de entrada'!$B$29/(2*'[36]Dados de entrada'!$B$20*G144)</f>
        <v>8.7222222222222215E-3</v>
      </c>
      <c r="I144" s="30">
        <v>316.93678455813335</v>
      </c>
      <c r="J144" s="31">
        <v>0.2</v>
      </c>
      <c r="K144" s="29">
        <v>0.22695478220742998</v>
      </c>
      <c r="L144" s="29">
        <f t="shared" si="88"/>
        <v>1.1347739110371498</v>
      </c>
      <c r="M144" s="29">
        <f t="shared" si="103"/>
        <v>0.12643343376684682</v>
      </c>
      <c r="N144" s="29">
        <v>0.18827196710608479</v>
      </c>
      <c r="O144" s="29">
        <f t="shared" si="84"/>
        <v>0.94135983553042391</v>
      </c>
      <c r="P144" s="33">
        <f t="shared" si="104"/>
        <v>-6.0429815541334045E-2</v>
      </c>
      <c r="Q144" s="29">
        <v>0.24203626379202053</v>
      </c>
      <c r="R144" s="29">
        <f t="shared" si="95"/>
        <v>1.2101813189601025</v>
      </c>
      <c r="S144" s="29">
        <f t="shared" si="105"/>
        <v>0.19077019876245299</v>
      </c>
      <c r="T144" s="29">
        <v>0.26807037274685808</v>
      </c>
      <c r="U144" s="29">
        <v>0.18032703134101588</v>
      </c>
      <c r="V144" s="29">
        <v>0.90163515670507932</v>
      </c>
      <c r="W144" s="29">
        <f t="shared" si="106"/>
        <v>-0.1035453233332648</v>
      </c>
      <c r="X144" s="29">
        <v>0.39612672321509768</v>
      </c>
      <c r="Y144" s="29">
        <f t="shared" si="96"/>
        <v>1.9806336160754883</v>
      </c>
      <c r="Z144" s="29">
        <f t="shared" si="107"/>
        <v>0.68341680163370011</v>
      </c>
      <c r="AA144" s="29">
        <v>0.27336080427619847</v>
      </c>
      <c r="AB144" s="29">
        <f t="shared" si="93"/>
        <v>1.3668040213809922</v>
      </c>
      <c r="AC144" s="29">
        <f t="shared" si="94"/>
        <v>0.31247518344152564</v>
      </c>
      <c r="AD144" s="29">
        <v>0.38119692538547489</v>
      </c>
      <c r="AE144" s="29">
        <f t="shared" si="97"/>
        <v>1.9059846269273744</v>
      </c>
      <c r="AF144" s="29">
        <f t="shared" si="108"/>
        <v>0.64499873957900788</v>
      </c>
      <c r="AG144" s="29">
        <v>0.23009935341594556</v>
      </c>
      <c r="AH144" s="29">
        <f t="shared" si="98"/>
        <v>1.1504967670797277</v>
      </c>
      <c r="AI144" s="29">
        <f t="shared" si="109"/>
        <v>0.14019382047606094</v>
      </c>
      <c r="AJ144" s="29">
        <v>0.15364587985844427</v>
      </c>
      <c r="AK144" s="29">
        <f t="shared" si="99"/>
        <v>0.76822939929222134</v>
      </c>
      <c r="AL144" s="29">
        <f t="shared" si="110"/>
        <v>-0.26366689344045119</v>
      </c>
      <c r="AM144" s="29">
        <v>0.32978650727155717</v>
      </c>
      <c r="AN144" s="11">
        <f t="shared" si="100"/>
        <v>1.6489325363577858</v>
      </c>
      <c r="AO144" s="11">
        <f t="shared" si="111"/>
        <v>0.50012813088960073</v>
      </c>
      <c r="AP144" s="29">
        <v>0.28037055022581076</v>
      </c>
      <c r="AQ144" s="29">
        <f t="shared" si="101"/>
        <v>1.4018527511290537</v>
      </c>
      <c r="AR144" s="29">
        <f t="shared" si="112"/>
        <v>0.33779475537124659</v>
      </c>
      <c r="AS144" s="29">
        <v>0.21812939030217457</v>
      </c>
      <c r="AT144" s="11">
        <f t="shared" si="102"/>
        <v>1.0906469515108728</v>
      </c>
      <c r="AU144" s="11">
        <f t="shared" si="113"/>
        <v>8.6771053665926356E-2</v>
      </c>
      <c r="AZ144" t="b">
        <f t="shared" si="90"/>
        <v>1</v>
      </c>
      <c r="BB144" t="b">
        <f t="shared" si="91"/>
        <v>0</v>
      </c>
      <c r="BD144" t="b">
        <f t="shared" si="92"/>
        <v>0</v>
      </c>
    </row>
    <row r="145" spans="1:56">
      <c r="A145" s="88"/>
      <c r="B145" s="64">
        <f>'[36]Dados de entrada'!$B$28</f>
        <v>10</v>
      </c>
      <c r="C145" s="64">
        <f>'[36]Dados de entrada'!$B$31</f>
        <v>1</v>
      </c>
      <c r="D145" s="64">
        <f>'[36]Dados de entrada'!$B$32</f>
        <v>45</v>
      </c>
      <c r="E145" s="29">
        <f>'[36]Dados de entrada'!$B$27</f>
        <v>2.8</v>
      </c>
      <c r="F145" s="64">
        <f>'[36]Dados de entrada'!$B$30</f>
        <v>40</v>
      </c>
      <c r="G145" s="65">
        <f>'[36]Dados de entrada'!$B$22</f>
        <v>45</v>
      </c>
      <c r="H145" s="66">
        <f>'[36]Dados de entrada'!$B$29/(2*'[36]Dados de entrada'!$B$20*G145)</f>
        <v>8.7222222222222215E-3</v>
      </c>
      <c r="I145" s="30">
        <v>336.9960747200405</v>
      </c>
      <c r="J145" s="31">
        <v>0.22</v>
      </c>
      <c r="K145" s="29">
        <v>0.25593645609715776</v>
      </c>
      <c r="L145" s="29">
        <f t="shared" si="88"/>
        <v>1.1633475277143535</v>
      </c>
      <c r="M145" s="29">
        <f t="shared" si="103"/>
        <v>0.15130164894544498</v>
      </c>
      <c r="N145" s="29">
        <v>0.20018791439128003</v>
      </c>
      <c r="O145" s="29">
        <f t="shared" si="84"/>
        <v>0.90994506541490927</v>
      </c>
      <c r="P145" s="33">
        <f t="shared" si="104"/>
        <v>-9.4371048969366683E-2</v>
      </c>
      <c r="Q145" s="29">
        <v>0.25735501466493321</v>
      </c>
      <c r="R145" s="29">
        <f t="shared" si="95"/>
        <v>1.1697955212042419</v>
      </c>
      <c r="S145" s="29">
        <f t="shared" si="105"/>
        <v>0.15682896533442037</v>
      </c>
      <c r="T145" s="29">
        <v>0.28503685203463386</v>
      </c>
      <c r="U145" s="29">
        <v>0.20387558614680465</v>
      </c>
      <c r="V145" s="29">
        <v>0.92670720975820298</v>
      </c>
      <c r="W145" s="29">
        <f t="shared" si="106"/>
        <v>-7.6117610385005488E-2</v>
      </c>
      <c r="X145" s="29">
        <v>0.43361332024378274</v>
      </c>
      <c r="Y145" s="29">
        <f t="shared" si="96"/>
        <v>1.9709696374717398</v>
      </c>
      <c r="Z145" s="29">
        <f t="shared" si="107"/>
        <v>0.67852562342064693</v>
      </c>
      <c r="AA145" s="29">
        <v>0.31944831577752686</v>
      </c>
      <c r="AB145" s="29">
        <f t="shared" si="93"/>
        <v>1.4520377989887585</v>
      </c>
      <c r="AC145" s="29">
        <f t="shared" si="94"/>
        <v>0.37296794842517222</v>
      </c>
      <c r="AD145" s="29">
        <v>0.40532331306809988</v>
      </c>
      <c r="AE145" s="29">
        <f t="shared" si="97"/>
        <v>1.8423786957640904</v>
      </c>
      <c r="AF145" s="29">
        <f t="shared" si="108"/>
        <v>0.6110575061509752</v>
      </c>
      <c r="AG145" s="29">
        <v>0.24706005097005254</v>
      </c>
      <c r="AH145" s="29">
        <f t="shared" si="98"/>
        <v>1.1230002316820571</v>
      </c>
      <c r="AI145" s="29">
        <f t="shared" si="109"/>
        <v>0.11600388206265803</v>
      </c>
      <c r="AJ145" s="29">
        <v>0.16434764865035462</v>
      </c>
      <c r="AK145" s="29">
        <f t="shared" si="99"/>
        <v>0.74703476659252099</v>
      </c>
      <c r="AL145" s="29">
        <f t="shared" si="110"/>
        <v>-0.29164355330916009</v>
      </c>
      <c r="AM145" s="29">
        <v>0.35065907102292154</v>
      </c>
      <c r="AN145" s="11">
        <f t="shared" si="100"/>
        <v>1.5939048682860071</v>
      </c>
      <c r="AO145" s="11">
        <f t="shared" si="111"/>
        <v>0.466186897461568</v>
      </c>
      <c r="AP145" s="29">
        <v>0.31698359275650057</v>
      </c>
      <c r="AQ145" s="29">
        <f t="shared" si="101"/>
        <v>1.4408345125295481</v>
      </c>
      <c r="AR145" s="29">
        <f t="shared" si="112"/>
        <v>0.36522246831950572</v>
      </c>
      <c r="AS145" s="29">
        <v>0.23258358759129535</v>
      </c>
      <c r="AT145" s="11">
        <f t="shared" si="102"/>
        <v>1.0571981254149789</v>
      </c>
      <c r="AU145" s="11">
        <f t="shared" si="113"/>
        <v>5.5622130586170521E-2</v>
      </c>
      <c r="AZ145" t="b">
        <f t="shared" si="90"/>
        <v>1</v>
      </c>
      <c r="BB145" t="b">
        <f t="shared" si="91"/>
        <v>0</v>
      </c>
      <c r="BD145" t="b">
        <f t="shared" si="92"/>
        <v>0</v>
      </c>
    </row>
    <row r="146" spans="1:56">
      <c r="A146" s="88"/>
      <c r="B146" s="64">
        <f>'[36]Dados de entrada'!$B$28</f>
        <v>10</v>
      </c>
      <c r="C146" s="64">
        <f>'[36]Dados de entrada'!$B$31</f>
        <v>1</v>
      </c>
      <c r="D146" s="64">
        <f>'[36]Dados de entrada'!$B$32</f>
        <v>45</v>
      </c>
      <c r="E146" s="29">
        <f>'[36]Dados de entrada'!$B$27</f>
        <v>2.8</v>
      </c>
      <c r="F146" s="64">
        <f>'[36]Dados de entrada'!$B$30</f>
        <v>40</v>
      </c>
      <c r="G146" s="65">
        <f>'[36]Dados de entrada'!$B$22</f>
        <v>45</v>
      </c>
      <c r="H146" s="66">
        <f>'[36]Dados de entrada'!$B$29/(2*'[36]Dados de entrada'!$B$20*G146)</f>
        <v>8.7222222222222215E-3</v>
      </c>
      <c r="I146" s="30">
        <v>359.72993690353525</v>
      </c>
      <c r="J146" s="31">
        <v>0.24</v>
      </c>
      <c r="K146" s="29">
        <v>0.28878235317218248</v>
      </c>
      <c r="L146" s="29">
        <f t="shared" si="88"/>
        <v>1.2032598048840937</v>
      </c>
      <c r="M146" s="29">
        <f t="shared" si="103"/>
        <v>0.18503437783531856</v>
      </c>
      <c r="N146" s="29">
        <v>0.21372760574098071</v>
      </c>
      <c r="O146" s="29">
        <f t="shared" si="84"/>
        <v>0.89053169058741966</v>
      </c>
      <c r="P146" s="33">
        <f t="shared" si="104"/>
        <v>-0.11593658947696861</v>
      </c>
      <c r="Q146" s="29">
        <v>0.27471626565423424</v>
      </c>
      <c r="R146" s="29">
        <f t="shared" si="95"/>
        <v>1.1446511068926426</v>
      </c>
      <c r="S146" s="29">
        <f t="shared" si="105"/>
        <v>0.13509988043520624</v>
      </c>
      <c r="T146" s="29">
        <v>0.30426552856077982</v>
      </c>
      <c r="U146" s="29">
        <v>0.23231042594433315</v>
      </c>
      <c r="V146" s="29">
        <v>0.96796010810138822</v>
      </c>
      <c r="W146" s="29">
        <f t="shared" si="106"/>
        <v>-3.2564403193803514E-2</v>
      </c>
      <c r="X146" s="29">
        <v>0.47609813020962577</v>
      </c>
      <c r="Y146" s="29">
        <f t="shared" si="96"/>
        <v>1.983742209206774</v>
      </c>
      <c r="Z146" s="29">
        <f t="shared" si="107"/>
        <v>0.68498506554479588</v>
      </c>
      <c r="AA146" s="29">
        <v>0.36979987077395959</v>
      </c>
      <c r="AB146" s="29">
        <f t="shared" si="93"/>
        <v>1.5408327948914984</v>
      </c>
      <c r="AC146" s="29">
        <f t="shared" si="94"/>
        <v>0.43232304616251244</v>
      </c>
      <c r="AD146" s="29">
        <v>0.4326665524417414</v>
      </c>
      <c r="AE146" s="29">
        <f t="shared" si="97"/>
        <v>1.8027773018405893</v>
      </c>
      <c r="AF146" s="29">
        <f t="shared" si="108"/>
        <v>0.58932842125176099</v>
      </c>
      <c r="AG146" s="29">
        <v>0.26628217486470712</v>
      </c>
      <c r="AH146" s="29">
        <f t="shared" si="98"/>
        <v>1.1095090619362797</v>
      </c>
      <c r="AI146" s="29">
        <f t="shared" si="109"/>
        <v>0.10391763094280797</v>
      </c>
      <c r="AJ146" s="29">
        <v>0.17647631994785301</v>
      </c>
      <c r="AK146" s="29">
        <f t="shared" si="99"/>
        <v>0.73531799978272094</v>
      </c>
      <c r="AL146" s="29">
        <f t="shared" si="110"/>
        <v>-0.30745222057091431</v>
      </c>
      <c r="AM146" s="29">
        <v>0.37431464327446778</v>
      </c>
      <c r="AN146" s="11">
        <f t="shared" si="100"/>
        <v>1.5596443469769492</v>
      </c>
      <c r="AO146" s="11">
        <f t="shared" si="111"/>
        <v>0.44445781256235389</v>
      </c>
      <c r="AP146" s="29">
        <v>0.36121264700812228</v>
      </c>
      <c r="AQ146" s="29">
        <f t="shared" si="101"/>
        <v>1.5050526958671762</v>
      </c>
      <c r="AR146" s="29">
        <f t="shared" si="112"/>
        <v>0.40882791145310132</v>
      </c>
      <c r="AS146" s="29">
        <v>0.24909329708915717</v>
      </c>
      <c r="AT146" s="11">
        <f t="shared" si="102"/>
        <v>1.0378887378714883</v>
      </c>
      <c r="AU146" s="11">
        <f t="shared" si="113"/>
        <v>3.7188590050081141E-2</v>
      </c>
      <c r="AZ146" t="b">
        <f t="shared" si="90"/>
        <v>1</v>
      </c>
      <c r="BB146" t="b">
        <f t="shared" si="91"/>
        <v>0</v>
      </c>
      <c r="BD146" t="b">
        <f t="shared" si="92"/>
        <v>0</v>
      </c>
    </row>
    <row r="147" spans="1:56">
      <c r="A147" s="88"/>
      <c r="B147" s="64">
        <f>'[36]Dados de entrada'!$B$28</f>
        <v>10</v>
      </c>
      <c r="C147" s="64">
        <f>'[36]Dados de entrada'!$B$31</f>
        <v>1</v>
      </c>
      <c r="D147" s="64">
        <f>'[36]Dados de entrada'!$B$32</f>
        <v>45</v>
      </c>
      <c r="E147" s="29">
        <f>'[36]Dados de entrada'!$B$27</f>
        <v>2.8</v>
      </c>
      <c r="F147" s="64">
        <f>'[36]Dados de entrada'!$B$30</f>
        <v>40</v>
      </c>
      <c r="G147" s="65">
        <f>'[36]Dados de entrada'!$B$22</f>
        <v>45</v>
      </c>
      <c r="H147" s="66">
        <f>'[36]Dados de entrada'!$B$29/(2*'[36]Dados de entrada'!$B$20*G147)</f>
        <v>8.7222222222222215E-3</v>
      </c>
      <c r="I147" s="30">
        <v>379.78922706544245</v>
      </c>
      <c r="J147" s="31">
        <v>0.26</v>
      </c>
      <c r="K147" s="29">
        <v>0.31776402706191037</v>
      </c>
      <c r="L147" s="29">
        <f t="shared" si="88"/>
        <v>1.2221693348535014</v>
      </c>
      <c r="M147" s="29">
        <f t="shared" si="103"/>
        <v>0.20062742304241468</v>
      </c>
      <c r="N147" s="29">
        <v>0.24351747395396883</v>
      </c>
      <c r="O147" s="29">
        <f t="shared" si="84"/>
        <v>0.93660566905372622</v>
      </c>
      <c r="P147" s="33">
        <f t="shared" si="104"/>
        <v>-6.5492929449683226E-2</v>
      </c>
      <c r="Q147" s="29">
        <v>0.29003501652714692</v>
      </c>
      <c r="R147" s="29">
        <f t="shared" si="95"/>
        <v>1.1155192943351804</v>
      </c>
      <c r="S147" s="29">
        <f t="shared" si="105"/>
        <v>0.1093200313210367</v>
      </c>
      <c r="T147" s="29">
        <v>0.32123200784855555</v>
      </c>
      <c r="U147" s="29">
        <v>0.25894100019300625</v>
      </c>
      <c r="V147" s="29">
        <v>0.99592692381925474</v>
      </c>
      <c r="W147" s="29">
        <f t="shared" si="106"/>
        <v>-4.0813937486067287E-3</v>
      </c>
      <c r="X147" s="29">
        <v>0.51358472723831095</v>
      </c>
      <c r="Y147" s="29">
        <f t="shared" si="96"/>
        <v>1.9753258739935036</v>
      </c>
      <c r="Z147" s="29">
        <f t="shared" si="107"/>
        <v>0.68073338423254803</v>
      </c>
      <c r="AA147" s="29">
        <v>0.41284270806854767</v>
      </c>
      <c r="AB147" s="29">
        <f t="shared" si="93"/>
        <v>1.587856569494414</v>
      </c>
      <c r="AC147" s="29">
        <f t="shared" si="94"/>
        <v>0.46238503726864449</v>
      </c>
      <c r="AD147" s="29">
        <v>0.45679294012436644</v>
      </c>
      <c r="AE147" s="29">
        <f t="shared" si="97"/>
        <v>1.7568959235552555</v>
      </c>
      <c r="AF147" s="29">
        <f t="shared" si="108"/>
        <v>0.56354857213759157</v>
      </c>
      <c r="AG147" s="29">
        <v>0.28324287241881418</v>
      </c>
      <c r="AH147" s="29">
        <f t="shared" si="98"/>
        <v>1.0893956631492854</v>
      </c>
      <c r="AI147" s="29">
        <f t="shared" si="109"/>
        <v>8.562310500603898E-2</v>
      </c>
      <c r="AJ147" s="29">
        <v>0.18717808873976338</v>
      </c>
      <c r="AK147" s="29">
        <f t="shared" si="99"/>
        <v>0.71991572592216679</v>
      </c>
      <c r="AL147" s="29">
        <f t="shared" si="110"/>
        <v>-0.32862112115293329</v>
      </c>
      <c r="AM147" s="29">
        <v>0.39518720702583221</v>
      </c>
      <c r="AN147" s="11">
        <f t="shared" si="100"/>
        <v>1.5199507962532008</v>
      </c>
      <c r="AO147" s="11">
        <f t="shared" si="111"/>
        <v>0.41867796344818448</v>
      </c>
      <c r="AP147" s="29">
        <v>0.41114123614227466</v>
      </c>
      <c r="AQ147" s="29">
        <f t="shared" si="101"/>
        <v>1.5813124467010564</v>
      </c>
      <c r="AR147" s="29">
        <f t="shared" si="112"/>
        <v>0.45825516469876321</v>
      </c>
      <c r="AS147" s="29">
        <v>0.28158612379497472</v>
      </c>
      <c r="AT147" s="11">
        <f t="shared" si="102"/>
        <v>1.0830235530575951</v>
      </c>
      <c r="AU147" s="11">
        <f t="shared" si="113"/>
        <v>7.9756715757988525E-2</v>
      </c>
      <c r="AZ147" t="b">
        <f t="shared" si="90"/>
        <v>1</v>
      </c>
      <c r="BB147" t="b">
        <f t="shared" si="91"/>
        <v>0</v>
      </c>
      <c r="BD147" t="b">
        <f t="shared" si="92"/>
        <v>0</v>
      </c>
    </row>
    <row r="148" spans="1:56">
      <c r="A148" s="89"/>
      <c r="B148" s="64">
        <f>'[36]Dados de entrada'!$B$28</f>
        <v>10</v>
      </c>
      <c r="C148" s="64">
        <f>'[36]Dados de entrada'!$B$31</f>
        <v>1</v>
      </c>
      <c r="D148" s="64">
        <f>'[36]Dados de entrada'!$B$32</f>
        <v>45</v>
      </c>
      <c r="E148" s="29">
        <f>'[36]Dados de entrada'!$B$27</f>
        <v>2.8</v>
      </c>
      <c r="F148" s="64">
        <f>'[36]Dados de entrada'!$B$30</f>
        <v>40</v>
      </c>
      <c r="G148" s="65">
        <f>'[36]Dados de entrada'!$B$22</f>
        <v>45</v>
      </c>
      <c r="H148" s="66">
        <f>'[36]Dados de entrada'!$B$29/(2*'[36]Dados de entrada'!$B$20*G148)</f>
        <v>8.7222222222222215E-3</v>
      </c>
      <c r="I148" s="30">
        <v>403.86037525973109</v>
      </c>
      <c r="J148" s="31">
        <v>0.28000000000000003</v>
      </c>
      <c r="K148" s="29">
        <v>0.35254203572958381</v>
      </c>
      <c r="L148" s="29">
        <f t="shared" si="88"/>
        <v>1.2590786990342278</v>
      </c>
      <c r="M148" s="29">
        <f t="shared" si="103"/>
        <v>0.23038026227001387</v>
      </c>
      <c r="N148" s="29">
        <v>0.2792653158095546</v>
      </c>
      <c r="O148" s="29">
        <f t="shared" si="84"/>
        <v>0.9973761278912664</v>
      </c>
      <c r="P148" s="33">
        <f t="shared" si="104"/>
        <v>-2.6273204945581564E-3</v>
      </c>
      <c r="Q148" s="29">
        <v>0.31057003114677012</v>
      </c>
      <c r="R148" s="29">
        <f t="shared" si="95"/>
        <v>1.109178682667036</v>
      </c>
      <c r="S148" s="29">
        <f t="shared" si="105"/>
        <v>0.1036198159190497</v>
      </c>
      <c r="T148" s="29">
        <v>0.34159178299388665</v>
      </c>
      <c r="U148" s="29">
        <v>0.29280468882169908</v>
      </c>
      <c r="V148" s="29">
        <v>1.0457310315060679</v>
      </c>
      <c r="W148" s="29">
        <f t="shared" si="106"/>
        <v>4.4716192524999268E-2</v>
      </c>
      <c r="X148" s="29">
        <v>0.55856864367273318</v>
      </c>
      <c r="Y148" s="29">
        <f t="shared" si="96"/>
        <v>1.994888013116904</v>
      </c>
      <c r="Z148" s="29">
        <f t="shared" si="107"/>
        <v>0.69058791499027949</v>
      </c>
      <c r="AA148" s="29">
        <v>0.46306393428501186</v>
      </c>
      <c r="AB148" s="29">
        <f t="shared" si="93"/>
        <v>1.6537997653036136</v>
      </c>
      <c r="AC148" s="29">
        <f t="shared" si="94"/>
        <v>0.5030755283925159</v>
      </c>
      <c r="AD148" s="29">
        <v>0.48574460534351649</v>
      </c>
      <c r="AE148" s="29">
        <f t="shared" si="97"/>
        <v>1.7348021619411302</v>
      </c>
      <c r="AF148" s="29">
        <f t="shared" si="108"/>
        <v>0.55089337919753334</v>
      </c>
      <c r="AG148" s="29">
        <v>0.30359570948374259</v>
      </c>
      <c r="AH148" s="29">
        <f t="shared" si="98"/>
        <v>1.0842703910133662</v>
      </c>
      <c r="AI148" s="29">
        <f t="shared" si="109"/>
        <v>8.0907310117130302E-2</v>
      </c>
      <c r="AJ148" s="29">
        <v>0.20002021129005584</v>
      </c>
      <c r="AK148" s="29">
        <f t="shared" si="99"/>
        <v>0.71435789746448508</v>
      </c>
      <c r="AL148" s="29">
        <f t="shared" si="110"/>
        <v>-0.33637118527679288</v>
      </c>
      <c r="AM148" s="29">
        <v>0.4202342835274695</v>
      </c>
      <c r="AN148" s="11">
        <f t="shared" si="100"/>
        <v>1.5008367268838194</v>
      </c>
      <c r="AO148" s="11">
        <f t="shared" si="111"/>
        <v>0.40602277050812613</v>
      </c>
      <c r="AP148" s="29">
        <v>0.47105554310325753</v>
      </c>
      <c r="AQ148" s="29">
        <f t="shared" si="101"/>
        <v>1.6823412253687768</v>
      </c>
      <c r="AR148" s="29">
        <f t="shared" si="112"/>
        <v>0.52018640980370634</v>
      </c>
      <c r="AS148" s="29">
        <v>0.32067942921946513</v>
      </c>
      <c r="AT148" s="11">
        <f t="shared" si="102"/>
        <v>1.1452836757838039</v>
      </c>
      <c r="AU148" s="11">
        <f t="shared" si="113"/>
        <v>0.1356523580970477</v>
      </c>
      <c r="AZ148" t="b">
        <f t="shared" si="90"/>
        <v>1</v>
      </c>
      <c r="BB148" t="b">
        <f t="shared" si="91"/>
        <v>0</v>
      </c>
      <c r="BD148" t="b">
        <f t="shared" si="92"/>
        <v>0</v>
      </c>
    </row>
    <row r="149" spans="1:56">
      <c r="A149" s="85" t="s">
        <v>73</v>
      </c>
      <c r="B149" s="21">
        <f>'[37]Dados de entrada'!$B$28</f>
        <v>10</v>
      </c>
      <c r="C149" s="21">
        <f>'[37]Dados de entrada'!$B$31</f>
        <v>1</v>
      </c>
      <c r="D149" s="21">
        <f>'[37]Dados de entrada'!$B$32</f>
        <v>45</v>
      </c>
      <c r="E149" s="20">
        <f>'[37]Dados de entrada'!$B$27</f>
        <v>2.8</v>
      </c>
      <c r="F149" s="21">
        <f>'[37]Dados de entrada'!$B$30</f>
        <v>40</v>
      </c>
      <c r="G149" s="56">
        <f>'[37]Dados de entrada'!$B$22</f>
        <v>45</v>
      </c>
      <c r="H149" s="57">
        <f>'[37]Dados de entrada'!$B$29/(2*'[37]Dados de entrada'!$B$20*G149)</f>
        <v>8.7222222222222215E-3</v>
      </c>
      <c r="I149" s="27" cm="1">
        <f t="array" ref="I149:I156">'[37]fib Model Code 2010'!$K$5:$K$12</f>
        <v>251.40977002923657</v>
      </c>
      <c r="J149" s="19" cm="1">
        <f t="array" ref="J149:J156">'[37]Dados de entrada'!$C$7:$C$14</f>
        <v>0.15</v>
      </c>
      <c r="K149" s="20" cm="1">
        <f t="array" ref="K149:K156">'[37]fib Model Code 2010'!$L$5:$L$12</f>
        <v>0.13228131416765246</v>
      </c>
      <c r="L149" s="20">
        <f t="shared" si="88"/>
        <v>0.8818754277843498</v>
      </c>
      <c r="M149" s="54">
        <f t="shared" si="103"/>
        <v>-0.12570447129015877</v>
      </c>
      <c r="N149" s="20" cm="1">
        <f t="array" ref="N149:N156">'[37]fib Model Code 2020'!$L$5:$L$12</f>
        <v>0.14934653930778033</v>
      </c>
      <c r="O149" s="20">
        <f t="shared" si="84"/>
        <v>0.9956435953852022</v>
      </c>
      <c r="P149" s="28">
        <f t="shared" si="104"/>
        <v>-4.3659213947351196E-3</v>
      </c>
      <c r="Q149" s="20" cm="1">
        <f t="array" ref="Q149:Q156">'[37]Eurocode 2'!$L$5:$L$12</f>
        <v>0.19199501094050575</v>
      </c>
      <c r="R149" s="20">
        <f t="shared" si="95"/>
        <v>1.2799667396033718</v>
      </c>
      <c r="S149" s="20">
        <f t="shared" si="105"/>
        <v>0.24683409290905226</v>
      </c>
      <c r="T149" s="20" cm="1">
        <f t="array" ref="T149:T156">'[37]NBR 6118'!$Q$5:$Q$12</f>
        <v>0.21264654040679032</v>
      </c>
      <c r="U149" s="20" cm="1">
        <f t="array" ref="U149:U156">'[37]NBR 6118'!$R$5:$R$12</f>
        <v>0.11346968248886155</v>
      </c>
      <c r="V149" s="20" cm="1">
        <f t="array" ref="V149:V156">'[37]NBR 6118'!$W$5:$W$12</f>
        <v>0.75646454992574375</v>
      </c>
      <c r="W149" s="20">
        <f t="shared" si="106"/>
        <v>-0.27909960749184776</v>
      </c>
      <c r="X149" s="20" cm="1">
        <f t="array" ref="X149:X156">'[37]Clark (1956)'!$L$5:$L$12</f>
        <v>0.27367050625472622</v>
      </c>
      <c r="Y149" s="20">
        <f t="shared" si="96"/>
        <v>1.8244700416981749</v>
      </c>
      <c r="Z149" s="20">
        <f t="shared" si="107"/>
        <v>0.60128955675307427</v>
      </c>
      <c r="AA149" s="20" cm="1">
        <f t="array" ref="AA149:AA156">'[37]Leonhardt (1977)'!$L$5:$L$12</f>
        <v>0.10729330556362165</v>
      </c>
      <c r="AB149" s="20">
        <f t="shared" si="93"/>
        <v>0.71528870375747777</v>
      </c>
      <c r="AC149" s="20">
        <f t="shared" si="94"/>
        <v>-0.3350690363069434</v>
      </c>
      <c r="AD149" s="20" cm="1">
        <f t="array" ref="AD149:AD156">'[37]Desayi; Ganesan (1985)'!$L$5:$L$12</f>
        <v>0.30238405895556658</v>
      </c>
      <c r="AE149" s="20">
        <f t="shared" si="97"/>
        <v>2.015893726370444</v>
      </c>
      <c r="AF149" s="20">
        <f t="shared" si="108"/>
        <v>0.70106263372560695</v>
      </c>
      <c r="AG149" s="20" cm="1">
        <f t="array" ref="AG149:AG156">'[37]Oh; Kang (1987)'!$L$5:$L$12</f>
        <v>0.17469440807252934</v>
      </c>
      <c r="AH149" s="20">
        <f t="shared" si="98"/>
        <v>1.1646293871501956</v>
      </c>
      <c r="AI149" s="20">
        <f t="shared" si="109"/>
        <v>0.15240291378807191</v>
      </c>
      <c r="AJ149" s="20" cm="1">
        <f t="array" ref="AJ149:AJ156">'[37]Caldas (1997)'!$L$5:$L$12</f>
        <v>0.11868676847153704</v>
      </c>
      <c r="AK149" s="20">
        <f t="shared" si="99"/>
        <v>0.79124512314358031</v>
      </c>
      <c r="AL149" s="20">
        <f t="shared" si="110"/>
        <v>-0.23414746902637223</v>
      </c>
      <c r="AM149" s="20" cm="1">
        <f t="array" ref="AM149:AM156">'[37]Gergely e Lutz (1968)'!$L$5:$L$12</f>
        <v>0.26160279901710021</v>
      </c>
      <c r="AN149" s="20">
        <f t="shared" si="100"/>
        <v>1.7440186601140015</v>
      </c>
      <c r="AO149" s="20">
        <f t="shared" si="111"/>
        <v>0.5561920250361998</v>
      </c>
      <c r="AP149" s="20" cm="1">
        <f t="array" ref="AP149:AP156">[37]Sugestão!$M$5:$M$12</f>
        <v>0.17642145537896448</v>
      </c>
      <c r="AQ149" s="20">
        <f t="shared" si="101"/>
        <v>1.1761430358597633</v>
      </c>
      <c r="AR149" s="20">
        <f t="shared" si="112"/>
        <v>0.16224047121266377</v>
      </c>
      <c r="AS149" s="20" cm="1">
        <f t="array" ref="AS149:AS156">'[37]fib Model Code 2020 modificado'!$L$5:$L$12</f>
        <v>0.17145039355479941</v>
      </c>
      <c r="AT149" s="20">
        <f t="shared" si="102"/>
        <v>1.1430026236986628</v>
      </c>
      <c r="AU149" s="20">
        <f t="shared" si="113"/>
        <v>0.13365868025943783</v>
      </c>
      <c r="AZ149" t="b">
        <f t="shared" si="90"/>
        <v>1</v>
      </c>
      <c r="BB149" t="b">
        <f t="shared" si="91"/>
        <v>0</v>
      </c>
      <c r="BD149" t="b">
        <f t="shared" si="92"/>
        <v>0</v>
      </c>
    </row>
    <row r="150" spans="1:56">
      <c r="A150" s="90"/>
      <c r="B150" s="21">
        <f>'[37]Dados de entrada'!$B$28</f>
        <v>10</v>
      </c>
      <c r="C150" s="21">
        <f>'[37]Dados de entrada'!$B$31</f>
        <v>1</v>
      </c>
      <c r="D150" s="21">
        <f>'[37]Dados de entrada'!$B$32</f>
        <v>45</v>
      </c>
      <c r="E150" s="20">
        <f>'[37]Dados de entrada'!$B$27</f>
        <v>2.8</v>
      </c>
      <c r="F150" s="21">
        <f>'[37]Dados de entrada'!$B$30</f>
        <v>40</v>
      </c>
      <c r="G150" s="56">
        <f>'[37]Dados de entrada'!$B$22</f>
        <v>45</v>
      </c>
      <c r="H150" s="57">
        <f>'[37]Dados de entrada'!$B$29/(2*'[37]Dados de entrada'!$B$20*G150)</f>
        <v>8.7222222222222215E-3</v>
      </c>
      <c r="I150" s="27">
        <v>274.14363221273135</v>
      </c>
      <c r="J150" s="19">
        <v>0.17</v>
      </c>
      <c r="K150" s="20">
        <v>0.16512721124267726</v>
      </c>
      <c r="L150" s="20">
        <f t="shared" si="88"/>
        <v>0.97133653672163089</v>
      </c>
      <c r="M150" s="54">
        <f t="shared" si="103"/>
        <v>-2.9082282971607962E-2</v>
      </c>
      <c r="N150" s="20">
        <v>0.16285127956433496</v>
      </c>
      <c r="O150" s="20">
        <f t="shared" si="84"/>
        <v>0.95794870331961735</v>
      </c>
      <c r="P150" s="28">
        <f t="shared" si="104"/>
        <v>-4.2961048040282071E-2</v>
      </c>
      <c r="Q150" s="20">
        <v>0.20935626192980678</v>
      </c>
      <c r="R150" s="20">
        <f t="shared" si="95"/>
        <v>1.2315074231165104</v>
      </c>
      <c r="S150" s="20">
        <f t="shared" si="105"/>
        <v>0.20823896626350494</v>
      </c>
      <c r="T150" s="20">
        <v>0.23187521693293625</v>
      </c>
      <c r="U150" s="20">
        <v>0.1349186115491853</v>
      </c>
      <c r="V150" s="20">
        <v>0.7936388914657958</v>
      </c>
      <c r="W150" s="20">
        <f t="shared" si="106"/>
        <v>-0.23112671782893635</v>
      </c>
      <c r="X150" s="20">
        <v>0.31615531622056936</v>
      </c>
      <c r="Y150" s="20">
        <f t="shared" si="96"/>
        <v>1.8597371542386432</v>
      </c>
      <c r="Z150" s="20">
        <f t="shared" si="107"/>
        <v>0.62043516281375433</v>
      </c>
      <c r="AA150" s="20">
        <v>0.16821697701992566</v>
      </c>
      <c r="AB150" s="20">
        <f t="shared" si="93"/>
        <v>0.98951162952897442</v>
      </c>
      <c r="AC150" s="20">
        <f t="shared" si="94"/>
        <v>-1.0543761073792115E-2</v>
      </c>
      <c r="AD150" s="20">
        <v>0.32972729832920816</v>
      </c>
      <c r="AE150" s="20">
        <f t="shared" si="97"/>
        <v>1.939572343112989</v>
      </c>
      <c r="AF150" s="20">
        <f t="shared" si="108"/>
        <v>0.66246750708005953</v>
      </c>
      <c r="AG150" s="20">
        <v>0.19391653196718392</v>
      </c>
      <c r="AH150" s="20">
        <f t="shared" si="98"/>
        <v>1.1406854821599053</v>
      </c>
      <c r="AI150" s="20">
        <f t="shared" si="109"/>
        <v>0.13162938183817893</v>
      </c>
      <c r="AJ150" s="20">
        <v>0.13081543976903548</v>
      </c>
      <c r="AK150" s="20">
        <f t="shared" si="99"/>
        <v>0.76950258687667927</v>
      </c>
      <c r="AL150" s="20">
        <f t="shared" si="110"/>
        <v>-0.26201096394578788</v>
      </c>
      <c r="AM150" s="20">
        <v>0.2852583712686465</v>
      </c>
      <c r="AN150" s="20">
        <f t="shared" si="100"/>
        <v>1.6779904192273323</v>
      </c>
      <c r="AO150" s="20">
        <f t="shared" si="111"/>
        <v>0.51759689839065259</v>
      </c>
      <c r="AP150" s="20">
        <v>0.20977002213391188</v>
      </c>
      <c r="AQ150" s="20">
        <f t="shared" si="101"/>
        <v>1.2339413066700697</v>
      </c>
      <c r="AR150" s="20">
        <f t="shared" si="112"/>
        <v>0.21021336087557538</v>
      </c>
      <c r="AS150" s="20">
        <v>0.1875518127179997</v>
      </c>
      <c r="AT150" s="20">
        <f t="shared" si="102"/>
        <v>1.103245957164704</v>
      </c>
      <c r="AU150" s="20">
        <f t="shared" si="113"/>
        <v>9.825670468285741E-2</v>
      </c>
      <c r="AZ150" t="b">
        <f t="shared" si="90"/>
        <v>1</v>
      </c>
      <c r="BB150" t="b">
        <f t="shared" si="91"/>
        <v>0</v>
      </c>
      <c r="BD150" t="b">
        <f t="shared" si="92"/>
        <v>0</v>
      </c>
    </row>
    <row r="151" spans="1:56">
      <c r="A151" s="90"/>
      <c r="B151" s="21">
        <f>'[37]Dados de entrada'!$B$28</f>
        <v>10</v>
      </c>
      <c r="C151" s="21">
        <f>'[37]Dados de entrada'!$B$31</f>
        <v>1</v>
      </c>
      <c r="D151" s="21">
        <f>'[37]Dados de entrada'!$B$32</f>
        <v>45</v>
      </c>
      <c r="E151" s="20">
        <f>'[37]Dados de entrada'!$B$27</f>
        <v>2.8</v>
      </c>
      <c r="F151" s="21">
        <f>'[37]Dados de entrada'!$B$30</f>
        <v>40</v>
      </c>
      <c r="G151" s="56">
        <f>'[37]Dados de entrada'!$B$22</f>
        <v>45</v>
      </c>
      <c r="H151" s="57">
        <f>'[37]Dados de entrada'!$B$29/(2*'[37]Dados de entrada'!$B$20*G151)</f>
        <v>8.7222222222222215E-3</v>
      </c>
      <c r="I151" s="27">
        <v>295.54020838543232</v>
      </c>
      <c r="J151" s="19">
        <v>0.19</v>
      </c>
      <c r="K151" s="20">
        <v>0.19604099672505357</v>
      </c>
      <c r="L151" s="20">
        <f t="shared" si="88"/>
        <v>1.031794719605545</v>
      </c>
      <c r="M151" s="54">
        <f t="shared" si="103"/>
        <v>3.1299732162230441E-2</v>
      </c>
      <c r="N151" s="20">
        <v>0.17556162333520986</v>
      </c>
      <c r="O151" s="20">
        <f t="shared" si="84"/>
        <v>0.92400854386952558</v>
      </c>
      <c r="P151" s="28">
        <f t="shared" si="104"/>
        <v>-7.9033960771161871E-2</v>
      </c>
      <c r="Q151" s="20">
        <v>0.22569626286091363</v>
      </c>
      <c r="R151" s="20">
        <f t="shared" si="95"/>
        <v>1.1878750676890191</v>
      </c>
      <c r="S151" s="20">
        <f t="shared" si="105"/>
        <v>0.17216605353262512</v>
      </c>
      <c r="T151" s="20">
        <v>0.24997279483989715</v>
      </c>
      <c r="U151" s="20">
        <v>0.15680094959366475</v>
      </c>
      <c r="V151" s="20">
        <v>0.82526815575613022</v>
      </c>
      <c r="W151" s="20">
        <f t="shared" si="106"/>
        <v>-0.19204690818047113</v>
      </c>
      <c r="X151" s="20">
        <v>0.35614101971783346</v>
      </c>
      <c r="Y151" s="20">
        <f t="shared" si="96"/>
        <v>1.8744264195675444</v>
      </c>
      <c r="Z151" s="20">
        <f t="shared" si="107"/>
        <v>0.62830270305852254</v>
      </c>
      <c r="AA151" s="20">
        <v>0.22211331408926083</v>
      </c>
      <c r="AB151" s="20">
        <f t="shared" si="93"/>
        <v>1.169017442575057</v>
      </c>
      <c r="AC151" s="20">
        <f t="shared" si="94"/>
        <v>0.15616360331536211</v>
      </c>
      <c r="AD151" s="20">
        <v>0.3554621118573415</v>
      </c>
      <c r="AE151" s="20">
        <f t="shared" si="97"/>
        <v>1.8708532203017973</v>
      </c>
      <c r="AF151" s="20">
        <f t="shared" si="108"/>
        <v>0.62639459434917999</v>
      </c>
      <c r="AG151" s="20">
        <v>0.2120079426915647</v>
      </c>
      <c r="AH151" s="20">
        <f t="shared" si="98"/>
        <v>1.1158312773240247</v>
      </c>
      <c r="AI151" s="20">
        <f t="shared" si="109"/>
        <v>0.10959966733595952</v>
      </c>
      <c r="AJ151" s="20">
        <v>0.14223065981373986</v>
      </c>
      <c r="AK151" s="20">
        <f t="shared" si="99"/>
        <v>0.74858242007231501</v>
      </c>
      <c r="AL151" s="20">
        <f t="shared" si="110"/>
        <v>-0.28957396752745024</v>
      </c>
      <c r="AM151" s="20">
        <v>0.30752243927010181</v>
      </c>
      <c r="AN151" s="20">
        <f t="shared" si="100"/>
        <v>1.6185391540531675</v>
      </c>
      <c r="AO151" s="20">
        <f t="shared" si="111"/>
        <v>0.48152398565977284</v>
      </c>
      <c r="AP151" s="20">
        <v>0.24379244856733817</v>
      </c>
      <c r="AQ151" s="20">
        <f t="shared" si="101"/>
        <v>1.2831181503544113</v>
      </c>
      <c r="AR151" s="20">
        <f t="shared" si="112"/>
        <v>0.24929317052403999</v>
      </c>
      <c r="AS151" s="20">
        <v>0.2027966792463794</v>
      </c>
      <c r="AT151" s="20">
        <f t="shared" si="102"/>
        <v>1.0673509434019968</v>
      </c>
      <c r="AU151" s="20">
        <f t="shared" si="113"/>
        <v>6.5179824897721478E-2</v>
      </c>
      <c r="AZ151" t="b">
        <f t="shared" si="90"/>
        <v>1</v>
      </c>
      <c r="BB151" t="b">
        <f t="shared" si="91"/>
        <v>0</v>
      </c>
      <c r="BD151" t="b">
        <f t="shared" si="92"/>
        <v>0</v>
      </c>
    </row>
    <row r="152" spans="1:56">
      <c r="A152" s="90"/>
      <c r="B152" s="21">
        <f>'[37]Dados de entrada'!$B$28</f>
        <v>10</v>
      </c>
      <c r="C152" s="21">
        <f>'[37]Dados de entrada'!$B$31</f>
        <v>1</v>
      </c>
      <c r="D152" s="21">
        <f>'[37]Dados de entrada'!$B$32</f>
        <v>45</v>
      </c>
      <c r="E152" s="20">
        <f>'[37]Dados de entrada'!$B$27</f>
        <v>2.8</v>
      </c>
      <c r="F152" s="21">
        <f>'[37]Dados de entrada'!$B$30</f>
        <v>40</v>
      </c>
      <c r="G152" s="56">
        <f>'[37]Dados de entrada'!$B$22</f>
        <v>45</v>
      </c>
      <c r="H152" s="57">
        <f>'[37]Dados de entrada'!$B$29/(2*'[37]Dados de entrada'!$B$20*G152)</f>
        <v>8.7222222222222215E-3</v>
      </c>
      <c r="I152" s="27">
        <v>314.93085554194266</v>
      </c>
      <c r="J152" s="19">
        <v>0.2</v>
      </c>
      <c r="K152" s="20">
        <v>0.22405661481845726</v>
      </c>
      <c r="L152" s="20">
        <f t="shared" si="88"/>
        <v>1.1202830740922862</v>
      </c>
      <c r="M152" s="54">
        <f t="shared" si="103"/>
        <v>0.11358139809769141</v>
      </c>
      <c r="N152" s="20">
        <v>0.18708037237756528</v>
      </c>
      <c r="O152" s="20">
        <f t="shared" si="84"/>
        <v>0.93540186188782637</v>
      </c>
      <c r="P152" s="28">
        <f t="shared" si="104"/>
        <v>-6.6779043219992701E-2</v>
      </c>
      <c r="Q152" s="20">
        <v>0.24050438870472929</v>
      </c>
      <c r="R152" s="20">
        <f t="shared" si="95"/>
        <v>1.2025219435236463</v>
      </c>
      <c r="S152" s="20">
        <f t="shared" si="105"/>
        <v>0.18442097108379435</v>
      </c>
      <c r="T152" s="20">
        <v>0.26637372481808047</v>
      </c>
      <c r="U152" s="20">
        <v>0.17805163417419886</v>
      </c>
      <c r="V152" s="20">
        <v>0.89025817087099424</v>
      </c>
      <c r="W152" s="20">
        <f t="shared" si="106"/>
        <v>-0.11624377869058229</v>
      </c>
      <c r="X152" s="20">
        <v>0.3923780635122292</v>
      </c>
      <c r="Y152" s="20">
        <f t="shared" si="96"/>
        <v>1.961890317561146</v>
      </c>
      <c r="Z152" s="20">
        <f t="shared" si="107"/>
        <v>0.67390845619680129</v>
      </c>
      <c r="AA152" s="20">
        <v>0.26865430312309796</v>
      </c>
      <c r="AB152" s="20">
        <f t="shared" si="93"/>
        <v>1.3432715156154897</v>
      </c>
      <c r="AC152" s="20">
        <f t="shared" si="94"/>
        <v>0.2951080680793734</v>
      </c>
      <c r="AD152" s="20">
        <v>0.37878428661721242</v>
      </c>
      <c r="AE152" s="20">
        <f t="shared" si="97"/>
        <v>1.8939214330860621</v>
      </c>
      <c r="AF152" s="20">
        <f t="shared" si="108"/>
        <v>0.63864951190034935</v>
      </c>
      <c r="AG152" s="20">
        <v>0.22840328366053489</v>
      </c>
      <c r="AH152" s="20">
        <f t="shared" si="98"/>
        <v>1.1420164183026744</v>
      </c>
      <c r="AI152" s="20">
        <f t="shared" si="109"/>
        <v>0.13279548792791152</v>
      </c>
      <c r="AJ152" s="20">
        <v>0.15257570297925327</v>
      </c>
      <c r="AK152" s="20">
        <f t="shared" si="99"/>
        <v>0.76287851489626635</v>
      </c>
      <c r="AL152" s="20">
        <f t="shared" si="110"/>
        <v>-0.27065648069402198</v>
      </c>
      <c r="AM152" s="20">
        <v>0.32769925089642077</v>
      </c>
      <c r="AN152" s="20">
        <f t="shared" si="100"/>
        <v>1.6384962544821038</v>
      </c>
      <c r="AO152" s="20">
        <f t="shared" si="111"/>
        <v>0.49377890321094203</v>
      </c>
      <c r="AP152" s="20">
        <v>0.27683278691379631</v>
      </c>
      <c r="AQ152" s="20">
        <f t="shared" si="101"/>
        <v>1.3841639345689816</v>
      </c>
      <c r="AR152" s="20">
        <f t="shared" si="112"/>
        <v>0.32509630001392942</v>
      </c>
      <c r="AS152" s="20">
        <v>0.21668821696399207</v>
      </c>
      <c r="AT152" s="20">
        <f t="shared" si="102"/>
        <v>1.0834410848199603</v>
      </c>
      <c r="AU152" s="20">
        <f t="shared" si="113"/>
        <v>8.0142165638161636E-2</v>
      </c>
      <c r="AZ152" t="b">
        <f t="shared" si="90"/>
        <v>1</v>
      </c>
      <c r="BB152" t="b">
        <f t="shared" si="91"/>
        <v>0</v>
      </c>
      <c r="BD152" t="b">
        <f t="shared" si="92"/>
        <v>0</v>
      </c>
    </row>
    <row r="153" spans="1:56">
      <c r="A153" s="90"/>
      <c r="B153" s="21">
        <f>'[37]Dados de entrada'!$B$28</f>
        <v>10</v>
      </c>
      <c r="C153" s="21">
        <f>'[37]Dados de entrada'!$B$31</f>
        <v>1</v>
      </c>
      <c r="D153" s="21">
        <f>'[37]Dados de entrada'!$B$32</f>
        <v>45</v>
      </c>
      <c r="E153" s="20">
        <f>'[37]Dados de entrada'!$B$27</f>
        <v>2.8</v>
      </c>
      <c r="F153" s="21">
        <f>'[37]Dados de entrada'!$B$30</f>
        <v>40</v>
      </c>
      <c r="G153" s="56">
        <f>'[37]Dados de entrada'!$B$22</f>
        <v>45</v>
      </c>
      <c r="H153" s="57">
        <f>'[37]Dados de entrada'!$B$29/(2*'[37]Dados de entrada'!$B$20*G153)</f>
        <v>8.7222222222222215E-3</v>
      </c>
      <c r="I153" s="27">
        <v>336.9960747200405</v>
      </c>
      <c r="J153" s="19">
        <v>0.22</v>
      </c>
      <c r="K153" s="20">
        <v>0.25593645609715776</v>
      </c>
      <c r="L153" s="20">
        <f t="shared" si="88"/>
        <v>1.1633475277143535</v>
      </c>
      <c r="M153" s="54">
        <f t="shared" si="103"/>
        <v>0.15130164894544498</v>
      </c>
      <c r="N153" s="20">
        <v>0.20018791439128003</v>
      </c>
      <c r="O153" s="20">
        <f t="shared" si="84"/>
        <v>0.90994506541490927</v>
      </c>
      <c r="P153" s="28">
        <f t="shared" si="104"/>
        <v>-9.4371048969366683E-2</v>
      </c>
      <c r="Q153" s="20">
        <v>0.25735501466493321</v>
      </c>
      <c r="R153" s="20">
        <f t="shared" si="95"/>
        <v>1.1697955212042419</v>
      </c>
      <c r="S153" s="20">
        <f t="shared" si="105"/>
        <v>0.15682896533442037</v>
      </c>
      <c r="T153" s="20">
        <v>0.28503685203463386</v>
      </c>
      <c r="U153" s="20">
        <v>0.20387558614680465</v>
      </c>
      <c r="V153" s="20">
        <v>0.92670720975820298</v>
      </c>
      <c r="W153" s="20">
        <f t="shared" si="106"/>
        <v>-7.6117610385005488E-2</v>
      </c>
      <c r="X153" s="20">
        <v>0.43361332024378274</v>
      </c>
      <c r="Y153" s="20">
        <f t="shared" si="96"/>
        <v>1.9709696374717398</v>
      </c>
      <c r="Z153" s="20">
        <f t="shared" si="107"/>
        <v>0.67852562342064693</v>
      </c>
      <c r="AA153" s="20">
        <v>0.31944831577752686</v>
      </c>
      <c r="AB153" s="20">
        <f t="shared" si="93"/>
        <v>1.4520377989887585</v>
      </c>
      <c r="AC153" s="20">
        <f t="shared" si="94"/>
        <v>0.37296794842517222</v>
      </c>
      <c r="AD153" s="20">
        <v>0.40532331306809988</v>
      </c>
      <c r="AE153" s="20">
        <f t="shared" si="97"/>
        <v>1.8423786957640904</v>
      </c>
      <c r="AF153" s="20">
        <f t="shared" si="108"/>
        <v>0.6110575061509752</v>
      </c>
      <c r="AG153" s="20">
        <v>0.24706005097005254</v>
      </c>
      <c r="AH153" s="20">
        <f t="shared" si="98"/>
        <v>1.1230002316820571</v>
      </c>
      <c r="AI153" s="20">
        <f t="shared" si="109"/>
        <v>0.11600388206265803</v>
      </c>
      <c r="AJ153" s="20">
        <v>0.16434764865035462</v>
      </c>
      <c r="AK153" s="20">
        <f t="shared" si="99"/>
        <v>0.74703476659252099</v>
      </c>
      <c r="AL153" s="20">
        <f t="shared" si="110"/>
        <v>-0.29164355330916009</v>
      </c>
      <c r="AM153" s="20">
        <v>0.35065907102292154</v>
      </c>
      <c r="AN153" s="20">
        <f t="shared" si="100"/>
        <v>1.5939048682860071</v>
      </c>
      <c r="AO153" s="20">
        <f t="shared" si="111"/>
        <v>0.466186897461568</v>
      </c>
      <c r="AP153" s="20">
        <v>0.31698359275650057</v>
      </c>
      <c r="AQ153" s="20">
        <f t="shared" si="101"/>
        <v>1.4408345125295481</v>
      </c>
      <c r="AR153" s="20">
        <f t="shared" si="112"/>
        <v>0.36522246831950572</v>
      </c>
      <c r="AS153" s="20">
        <v>0.23258358759129535</v>
      </c>
      <c r="AT153" s="20">
        <f t="shared" si="102"/>
        <v>1.0571981254149789</v>
      </c>
      <c r="AU153" s="20">
        <f t="shared" si="113"/>
        <v>5.5622130586170521E-2</v>
      </c>
      <c r="AZ153" t="b">
        <f t="shared" si="90"/>
        <v>1</v>
      </c>
      <c r="BB153" t="b">
        <f t="shared" si="91"/>
        <v>0</v>
      </c>
      <c r="BD153" t="b">
        <f t="shared" si="92"/>
        <v>0</v>
      </c>
    </row>
    <row r="154" spans="1:56">
      <c r="A154" s="90"/>
      <c r="B154" s="21">
        <f>'[37]Dados de entrada'!$B$28</f>
        <v>10</v>
      </c>
      <c r="C154" s="21">
        <f>'[37]Dados de entrada'!$B$31</f>
        <v>1</v>
      </c>
      <c r="D154" s="21">
        <f>'[37]Dados de entrada'!$B$32</f>
        <v>45</v>
      </c>
      <c r="E154" s="20">
        <f>'[37]Dados de entrada'!$B$27</f>
        <v>2.8</v>
      </c>
      <c r="F154" s="21">
        <f>'[37]Dados de entrada'!$B$30</f>
        <v>40</v>
      </c>
      <c r="G154" s="56">
        <f>'[37]Dados de entrada'!$B$22</f>
        <v>45</v>
      </c>
      <c r="H154" s="57">
        <f>'[37]Dados de entrada'!$B$29/(2*'[37]Dados de entrada'!$B$20*G154)</f>
        <v>8.7222222222222215E-3</v>
      </c>
      <c r="I154" s="27">
        <v>359.06129389813839</v>
      </c>
      <c r="J154" s="19">
        <v>0.24</v>
      </c>
      <c r="K154" s="20">
        <v>0.28781629737585829</v>
      </c>
      <c r="L154" s="20">
        <f t="shared" si="88"/>
        <v>1.1992345723994096</v>
      </c>
      <c r="M154" s="54">
        <f t="shared" si="103"/>
        <v>0.18168349694323033</v>
      </c>
      <c r="N154" s="20">
        <v>0.21329545640499481</v>
      </c>
      <c r="O154" s="20">
        <f t="shared" si="84"/>
        <v>0.88873106835414506</v>
      </c>
      <c r="P154" s="28">
        <f t="shared" si="104"/>
        <v>-0.11796059952150033</v>
      </c>
      <c r="Q154" s="20">
        <v>0.27420564062513714</v>
      </c>
      <c r="R154" s="20">
        <f t="shared" si="95"/>
        <v>1.142523502604738</v>
      </c>
      <c r="S154" s="20">
        <f t="shared" si="105"/>
        <v>0.13323941478228646</v>
      </c>
      <c r="T154" s="20">
        <v>0.30369997925118725</v>
      </c>
      <c r="U154" s="20">
        <v>0.23144762102217148</v>
      </c>
      <c r="V154" s="20">
        <v>0.96436508759238115</v>
      </c>
      <c r="W154" s="20">
        <f t="shared" si="106"/>
        <v>-3.6285334499643142E-2</v>
      </c>
      <c r="X154" s="20">
        <v>0.47484857697533639</v>
      </c>
      <c r="Y154" s="20">
        <f t="shared" si="96"/>
        <v>1.978535737397235</v>
      </c>
      <c r="Z154" s="20">
        <f t="shared" si="107"/>
        <v>0.68235704455472879</v>
      </c>
      <c r="AA154" s="20">
        <v>0.36834412167041547</v>
      </c>
      <c r="AB154" s="20">
        <f t="shared" si="93"/>
        <v>1.5347671736267312</v>
      </c>
      <c r="AC154" s="20">
        <f t="shared" si="94"/>
        <v>0.42837869111575816</v>
      </c>
      <c r="AD154" s="20">
        <v>0.43186233951898739</v>
      </c>
      <c r="AE154" s="20">
        <f t="shared" si="97"/>
        <v>1.7994264146624475</v>
      </c>
      <c r="AF154" s="20">
        <f t="shared" si="108"/>
        <v>0.58746795559884157</v>
      </c>
      <c r="AG154" s="20">
        <v>0.26571681827957028</v>
      </c>
      <c r="AH154" s="20">
        <f t="shared" si="98"/>
        <v>1.1071534094982096</v>
      </c>
      <c r="AI154" s="20">
        <f t="shared" si="109"/>
        <v>0.1017922254241943</v>
      </c>
      <c r="AJ154" s="20">
        <v>0.17611959432145605</v>
      </c>
      <c r="AK154" s="20">
        <f t="shared" si="99"/>
        <v>0.73383164300606685</v>
      </c>
      <c r="AL154" s="20">
        <f t="shared" si="110"/>
        <v>-0.30947564587830367</v>
      </c>
      <c r="AM154" s="20">
        <v>0.37361889114942237</v>
      </c>
      <c r="AN154" s="20">
        <f t="shared" si="100"/>
        <v>1.5567453797892599</v>
      </c>
      <c r="AO154" s="20">
        <f t="shared" si="111"/>
        <v>0.44259734690943431</v>
      </c>
      <c r="AP154" s="20">
        <v>0.35985229930240353</v>
      </c>
      <c r="AQ154" s="20">
        <f t="shared" si="101"/>
        <v>1.4993845804266814</v>
      </c>
      <c r="AR154" s="20">
        <f t="shared" si="112"/>
        <v>0.40505474420486837</v>
      </c>
      <c r="AS154" s="20">
        <v>0.24857237881464883</v>
      </c>
      <c r="AT154" s="20">
        <f t="shared" si="102"/>
        <v>1.0357182450610369</v>
      </c>
      <c r="AU154" s="20">
        <f t="shared" si="113"/>
        <v>3.5095142621516057E-2</v>
      </c>
      <c r="AZ154" t="b">
        <f t="shared" si="90"/>
        <v>1</v>
      </c>
      <c r="BB154" t="b">
        <f t="shared" si="91"/>
        <v>0</v>
      </c>
      <c r="BD154" t="b">
        <f t="shared" si="92"/>
        <v>0</v>
      </c>
    </row>
    <row r="155" spans="1:56">
      <c r="A155" s="90"/>
      <c r="B155" s="21">
        <f>'[37]Dados de entrada'!$B$28</f>
        <v>10</v>
      </c>
      <c r="C155" s="21">
        <f>'[37]Dados de entrada'!$B$31</f>
        <v>1</v>
      </c>
      <c r="D155" s="21">
        <f>'[37]Dados de entrada'!$B$32</f>
        <v>45</v>
      </c>
      <c r="E155" s="20">
        <f>'[37]Dados de entrada'!$B$27</f>
        <v>2.8</v>
      </c>
      <c r="F155" s="21">
        <f>'[37]Dados de entrada'!$B$30</f>
        <v>40</v>
      </c>
      <c r="G155" s="56">
        <f>'[37]Dados de entrada'!$B$22</f>
        <v>45</v>
      </c>
      <c r="H155" s="57">
        <f>'[37]Dados de entrada'!$B$29/(2*'[37]Dados de entrada'!$B$20*G155)</f>
        <v>8.7222222222222215E-3</v>
      </c>
      <c r="I155" s="27">
        <v>377.78329804925175</v>
      </c>
      <c r="J155" s="19">
        <v>0.26</v>
      </c>
      <c r="K155" s="20">
        <v>0.31486585967293762</v>
      </c>
      <c r="L155" s="20">
        <f t="shared" si="88"/>
        <v>1.2110225372036061</v>
      </c>
      <c r="M155" s="54">
        <f t="shared" si="103"/>
        <v>0.19146507480538577</v>
      </c>
      <c r="N155" s="20">
        <v>0.24053848713267006</v>
      </c>
      <c r="O155" s="20">
        <f t="shared" si="84"/>
        <v>0.92514802743334634</v>
      </c>
      <c r="P155" s="28">
        <f t="shared" si="104"/>
        <v>-7.7801524615419879E-2</v>
      </c>
      <c r="Q155" s="20">
        <v>0.28850314143985567</v>
      </c>
      <c r="R155" s="20">
        <f t="shared" si="95"/>
        <v>1.1096274670763679</v>
      </c>
      <c r="S155" s="20">
        <f t="shared" si="105"/>
        <v>0.10402434374632642</v>
      </c>
      <c r="T155" s="20">
        <v>0.31953535991977811</v>
      </c>
      <c r="U155" s="20">
        <v>0.25621293142051577</v>
      </c>
      <c r="V155" s="20">
        <v>0.98543435161736825</v>
      </c>
      <c r="W155" s="20">
        <f t="shared" si="106"/>
        <v>-1.4672768898026845E-2</v>
      </c>
      <c r="X155" s="20">
        <v>0.50983606753544253</v>
      </c>
      <c r="Y155" s="20">
        <f t="shared" si="96"/>
        <v>1.9609079520593942</v>
      </c>
      <c r="Z155" s="20">
        <f t="shared" si="107"/>
        <v>0.67340760682613898</v>
      </c>
      <c r="AA155" s="20">
        <v>0.40859054588995608</v>
      </c>
      <c r="AB155" s="20">
        <f t="shared" si="93"/>
        <v>1.5715020995767541</v>
      </c>
      <c r="AC155" s="20">
        <f t="shared" si="94"/>
        <v>0.452031913288162</v>
      </c>
      <c r="AD155" s="20">
        <v>0.45438030135610397</v>
      </c>
      <c r="AE155" s="20">
        <f t="shared" si="97"/>
        <v>1.747616543677323</v>
      </c>
      <c r="AF155" s="20">
        <f t="shared" si="108"/>
        <v>0.55825288456288125</v>
      </c>
      <c r="AG155" s="20">
        <v>0.28154680266340348</v>
      </c>
      <c r="AH155" s="20">
        <f t="shared" si="98"/>
        <v>1.0828723179361672</v>
      </c>
      <c r="AI155" s="20">
        <f t="shared" si="109"/>
        <v>7.9617064425993242E-2</v>
      </c>
      <c r="AJ155" s="20">
        <v>0.18610791186057238</v>
      </c>
      <c r="AK155" s="20">
        <f t="shared" si="99"/>
        <v>0.71579966100220138</v>
      </c>
      <c r="AL155" s="20">
        <f t="shared" si="110"/>
        <v>-0.33435495424322487</v>
      </c>
      <c r="AM155" s="20">
        <v>0.39309995065069581</v>
      </c>
      <c r="AN155" s="20">
        <f t="shared" si="100"/>
        <v>1.5119228871180608</v>
      </c>
      <c r="AO155" s="20">
        <f t="shared" si="111"/>
        <v>0.41338227587347415</v>
      </c>
      <c r="AP155" s="20">
        <v>0.40614837722885949</v>
      </c>
      <c r="AQ155" s="20">
        <f t="shared" si="101"/>
        <v>1.562109143187921</v>
      </c>
      <c r="AR155" s="20">
        <f t="shared" si="112"/>
        <v>0.44603692297636943</v>
      </c>
      <c r="AS155" s="20">
        <v>0.27833336680470522</v>
      </c>
      <c r="AT155" s="20">
        <f t="shared" si="102"/>
        <v>1.0705129492488661</v>
      </c>
      <c r="AU155" s="20">
        <f t="shared" si="113"/>
        <v>6.8137925423636642E-2</v>
      </c>
      <c r="AZ155" t="b">
        <f t="shared" si="90"/>
        <v>1</v>
      </c>
      <c r="BB155" t="b">
        <f t="shared" si="91"/>
        <v>0</v>
      </c>
      <c r="BD155" t="b">
        <f t="shared" si="92"/>
        <v>0</v>
      </c>
    </row>
    <row r="156" spans="1:56">
      <c r="A156" s="86"/>
      <c r="B156" s="21">
        <f>'[37]Dados de entrada'!$B$28</f>
        <v>10</v>
      </c>
      <c r="C156" s="21">
        <f>'[37]Dados de entrada'!$B$31</f>
        <v>1</v>
      </c>
      <c r="D156" s="21">
        <f>'[37]Dados de entrada'!$B$32</f>
        <v>45</v>
      </c>
      <c r="E156" s="20">
        <f>'[37]Dados de entrada'!$B$27</f>
        <v>2.8</v>
      </c>
      <c r="F156" s="21">
        <f>'[37]Dados de entrada'!$B$30</f>
        <v>40</v>
      </c>
      <c r="G156" s="56">
        <f>'[37]Dados de entrada'!$B$22</f>
        <v>45</v>
      </c>
      <c r="H156" s="57">
        <f>'[37]Dados de entrada'!$B$29/(2*'[37]Dados de entrada'!$B$20*G156)</f>
        <v>8.7222222222222215E-3</v>
      </c>
      <c r="I156" s="27">
        <v>395.83665919496815</v>
      </c>
      <c r="J156" s="19">
        <v>0.28999999999999998</v>
      </c>
      <c r="K156" s="20">
        <v>0.34094936617369254</v>
      </c>
      <c r="L156" s="20">
        <f t="shared" si="88"/>
        <v>1.175687469564457</v>
      </c>
      <c r="M156" s="54">
        <f t="shared" si="103"/>
        <v>0.16185305698365912</v>
      </c>
      <c r="N156" s="20">
        <v>0.26734936852435925</v>
      </c>
      <c r="O156" s="20">
        <f t="shared" si="84"/>
        <v>0.92189437422192855</v>
      </c>
      <c r="P156" s="28">
        <f t="shared" si="104"/>
        <v>-8.1324623569644816E-2</v>
      </c>
      <c r="Q156" s="20">
        <v>0.30229001722547705</v>
      </c>
      <c r="R156" s="20">
        <f t="shared" si="95"/>
        <v>1.0423793697430244</v>
      </c>
      <c r="S156" s="20">
        <f t="shared" si="105"/>
        <v>4.1505955518899108E-2</v>
      </c>
      <c r="T156" s="20">
        <v>0.33480519127877628</v>
      </c>
      <c r="U156" s="20">
        <v>0.28128564115391846</v>
      </c>
      <c r="V156" s="20">
        <v>0.96995048673764994</v>
      </c>
      <c r="W156" s="20">
        <f t="shared" si="106"/>
        <v>-3.0510253387889378E-2</v>
      </c>
      <c r="X156" s="20">
        <v>0.54357400486125895</v>
      </c>
      <c r="Y156" s="20">
        <f t="shared" si="96"/>
        <v>1.8743931202112378</v>
      </c>
      <c r="Z156" s="20">
        <f t="shared" si="107"/>
        <v>0.62828493780951333</v>
      </c>
      <c r="AA156" s="20">
        <v>0.44648106773556961</v>
      </c>
      <c r="AB156" s="20">
        <f t="shared" si="93"/>
        <v>1.5395898887433437</v>
      </c>
      <c r="AC156" s="20">
        <f t="shared" si="94"/>
        <v>0.43151607494897964</v>
      </c>
      <c r="AD156" s="20">
        <v>0.47609405027046647</v>
      </c>
      <c r="AE156" s="20">
        <f t="shared" si="97"/>
        <v>1.6417036216222982</v>
      </c>
      <c r="AF156" s="20">
        <f t="shared" si="108"/>
        <v>0.49573449633545402</v>
      </c>
      <c r="AG156" s="20">
        <v>0.29681143046209973</v>
      </c>
      <c r="AH156" s="20">
        <f t="shared" si="98"/>
        <v>1.0234876912486199</v>
      </c>
      <c r="AI156" s="20">
        <f t="shared" si="109"/>
        <v>2.3216099909735721E-2</v>
      </c>
      <c r="AJ156" s="20">
        <v>0.19573950377329169</v>
      </c>
      <c r="AK156" s="20">
        <f t="shared" si="99"/>
        <v>0.674963806114799</v>
      </c>
      <c r="AL156" s="20">
        <f t="shared" si="110"/>
        <v>-0.39309621011790957</v>
      </c>
      <c r="AM156" s="20">
        <v>0.41188525802692366</v>
      </c>
      <c r="AN156" s="20">
        <f t="shared" si="100"/>
        <v>1.4202939931962886</v>
      </c>
      <c r="AO156" s="20">
        <f t="shared" si="111"/>
        <v>0.35086388764604676</v>
      </c>
      <c r="AP156" s="20">
        <v>0.45108410744959648</v>
      </c>
      <c r="AQ156" s="20">
        <f t="shared" si="101"/>
        <v>1.5554624394813672</v>
      </c>
      <c r="AR156" s="20">
        <f t="shared" si="112"/>
        <v>0.44177289015393117</v>
      </c>
      <c r="AS156" s="20">
        <v>0.30763597427463379</v>
      </c>
      <c r="AT156" s="20">
        <f t="shared" si="102"/>
        <v>1.060813704395289</v>
      </c>
      <c r="AU156" s="20">
        <f t="shared" si="113"/>
        <v>5.9036259290681528E-2</v>
      </c>
      <c r="AZ156" t="b">
        <f t="shared" si="90"/>
        <v>1</v>
      </c>
      <c r="BB156" t="b">
        <f t="shared" si="91"/>
        <v>0</v>
      </c>
      <c r="BD156" t="b">
        <f t="shared" si="92"/>
        <v>0</v>
      </c>
    </row>
    <row r="157" spans="1:56">
      <c r="A157" s="87" t="s">
        <v>74</v>
      </c>
      <c r="B157" s="5">
        <f>'[38]Dados de entrada'!$B$28</f>
        <v>20</v>
      </c>
      <c r="C157" s="5">
        <f>'[38]Dados de entrada'!$B$31</f>
        <v>1</v>
      </c>
      <c r="D157" s="5">
        <f>'[38]Dados de entrada'!$B$32</f>
        <v>40</v>
      </c>
      <c r="E157" s="29">
        <f>'[38]Dados de entrada'!$B$27</f>
        <v>2.8</v>
      </c>
      <c r="F157" s="5">
        <f>'[38]Dados de entrada'!$B$30</f>
        <v>40</v>
      </c>
      <c r="G157" s="12">
        <f>'[38]Dados de entrada'!$B$22</f>
        <v>50</v>
      </c>
      <c r="H157" s="52">
        <f>'[38]Dados de entrada'!$B$29/(2*'[38]Dados de entrada'!$B$20*G157)</f>
        <v>3.15E-2</v>
      </c>
      <c r="I157" s="53" cm="1">
        <f t="array" ref="I157:I162">'[38]fib Model Code 2010'!$K$5:$K$10</f>
        <v>201.33268539095971</v>
      </c>
      <c r="J157" s="4" cm="1">
        <f t="array" ref="J157:J162">'[38]Dados de entrada'!$C$7:$C$12</f>
        <v>0.17</v>
      </c>
      <c r="K157" s="11" cm="1">
        <f t="array" ref="K157:K162">'[38]fib Model Code 2010'!$L$5:$L$10</f>
        <v>0.13248092114240001</v>
      </c>
      <c r="L157" s="11">
        <f t="shared" si="88"/>
        <v>0.77929953613176473</v>
      </c>
      <c r="M157" s="29">
        <f t="shared" si="103"/>
        <v>-0.24935979336985178</v>
      </c>
      <c r="N157" s="11" cm="1">
        <f t="array" ref="N157:N162">'[38]fib Model Code 2020'!$L$5:$L$10</f>
        <v>0.12448001593101213</v>
      </c>
      <c r="O157" s="11">
        <f t="shared" si="84"/>
        <v>0.73223538782948305</v>
      </c>
      <c r="P157" s="55">
        <f t="shared" si="104"/>
        <v>-0.31165324863969268</v>
      </c>
      <c r="Q157" s="11" cm="1">
        <f t="array" ref="Q157:Q162">'[38]Eurocode 2'!$L$5:$L$10</f>
        <v>0.14421239382681603</v>
      </c>
      <c r="R157" s="11">
        <f t="shared" si="95"/>
        <v>0.84830819898127063</v>
      </c>
      <c r="S157" s="11">
        <f t="shared" si="105"/>
        <v>-0.16451126702445584</v>
      </c>
      <c r="T157" s="11" cm="1">
        <f t="array" ref="T157:T162">'[38]NBR 6118'!$Q$5:$Q$10</f>
        <v>0.17073851136246324</v>
      </c>
      <c r="U157" s="11" cm="1">
        <f t="array" ref="U157:U162">'[38]NBR 6118'!$R$5:$R$10</f>
        <v>0.15478528012645698</v>
      </c>
      <c r="V157" s="11" cm="1">
        <f t="array" ref="V157:V162">'[38]NBR 6118'!$W$5:$W$10</f>
        <v>0.91050164780268805</v>
      </c>
      <c r="W157" s="11">
        <f t="shared" si="106"/>
        <v>-9.3759570038310786E-2</v>
      </c>
      <c r="X157" s="11" cm="1">
        <f t="array" ref="X157:X162">'[38]Clark (1956)'!$L$5:$L$10</f>
        <v>0.17950779201610131</v>
      </c>
      <c r="Y157" s="11">
        <f t="shared" si="96"/>
        <v>1.0559281883300076</v>
      </c>
      <c r="Z157" s="11">
        <f t="shared" si="107"/>
        <v>5.4420179496356948E-2</v>
      </c>
      <c r="AA157" s="11" cm="1">
        <f t="array" ref="AA157:AA162">'[38]Leonhardt (1977)'!$L$5:$L$10</f>
        <v>0.22328306155808111</v>
      </c>
      <c r="AB157" s="11">
        <f t="shared" si="93"/>
        <v>1.3134297738710652</v>
      </c>
      <c r="AC157" s="11">
        <f t="shared" si="94"/>
        <v>0.27264186382726585</v>
      </c>
      <c r="AD157" s="11" cm="1">
        <f t="array" ref="AD157:AD162">'[38]Desayi; Ganesan (1985)'!$L$5:$L$10</f>
        <v>0.2328008437471874</v>
      </c>
      <c r="AE157" s="11">
        <f t="shared" si="97"/>
        <v>1.3694167279246316</v>
      </c>
      <c r="AF157" s="11">
        <f t="shared" si="108"/>
        <v>0.31438490314404149</v>
      </c>
      <c r="AG157" s="11" cm="1">
        <f t="array" ref="AG157:AG162">'[38]Oh; Kang (1987)'!$L$5:$L$10</f>
        <v>0.19009102703898831</v>
      </c>
      <c r="AH157" s="11">
        <f t="shared" si="98"/>
        <v>1.1181825119940487</v>
      </c>
      <c r="AI157" s="11">
        <f t="shared" si="109"/>
        <v>0.11170461006229136</v>
      </c>
      <c r="AJ157" s="11" cm="1">
        <f t="array" ref="AJ157:AJ162">'[38]Caldas (1997)'!$L$5:$L$10</f>
        <v>0.10063566624984965</v>
      </c>
      <c r="AK157" s="11">
        <f t="shared" si="99"/>
        <v>0.5919745073520567</v>
      </c>
      <c r="AL157" s="11">
        <f t="shared" si="110"/>
        <v>-0.52429170693063143</v>
      </c>
      <c r="AM157" s="11" cm="1">
        <f t="array" ref="AM157:AM162">'[38]Gergely e Lutz (1968)'!$L$5:$L$10</f>
        <v>0.24631464196932079</v>
      </c>
      <c r="AN157" s="11">
        <f t="shared" si="100"/>
        <v>1.4489096586430634</v>
      </c>
      <c r="AO157" s="11">
        <f t="shared" si="111"/>
        <v>0.37081131401257761</v>
      </c>
      <c r="AP157" s="11" cm="1">
        <f t="array" ref="AP157:AP162">[38]Sugestão!$M$5:$M$10</f>
        <v>0.12448001593101213</v>
      </c>
      <c r="AQ157" s="11">
        <f t="shared" si="101"/>
        <v>0.73223538782948305</v>
      </c>
      <c r="AR157" s="11">
        <f t="shared" si="112"/>
        <v>-0.31165324863969268</v>
      </c>
      <c r="AS157" s="11" cm="1">
        <f t="array" ref="AS157:AS162">'[38]fib Model Code 2020 modificado'!$L$5:$L$10</f>
        <v>0.17505860190570421</v>
      </c>
      <c r="AT157" s="11">
        <f t="shared" si="102"/>
        <v>1.0297564817982601</v>
      </c>
      <c r="AU157" s="11">
        <f t="shared" si="113"/>
        <v>2.9322348850062005E-2</v>
      </c>
      <c r="AZ157" t="b">
        <f t="shared" si="90"/>
        <v>0</v>
      </c>
      <c r="BB157" t="b">
        <f t="shared" si="91"/>
        <v>1</v>
      </c>
      <c r="BD157" t="b">
        <f t="shared" si="92"/>
        <v>0</v>
      </c>
    </row>
    <row r="158" spans="1:56">
      <c r="A158" s="88"/>
      <c r="B158" s="5">
        <f>'[38]Dados de entrada'!$B$28</f>
        <v>20</v>
      </c>
      <c r="C158" s="5">
        <f>'[38]Dados de entrada'!$B$31</f>
        <v>1</v>
      </c>
      <c r="D158" s="5">
        <f>'[38]Dados de entrada'!$B$32</f>
        <v>40</v>
      </c>
      <c r="E158" s="29">
        <f>'[38]Dados de entrada'!$B$27</f>
        <v>2.8</v>
      </c>
      <c r="F158" s="5">
        <f>'[38]Dados de entrada'!$B$30</f>
        <v>40</v>
      </c>
      <c r="G158" s="12">
        <f>'[38]Dados de entrada'!$B$22</f>
        <v>50</v>
      </c>
      <c r="H158" s="52">
        <f>'[38]Dados de entrada'!$B$29/(2*'[38]Dados de entrada'!$B$20*G158)</f>
        <v>3.15E-2</v>
      </c>
      <c r="I158" s="53">
        <v>235.28147905021083</v>
      </c>
      <c r="J158" s="4">
        <v>0.2</v>
      </c>
      <c r="K158" s="11">
        <v>0.1609239791113681</v>
      </c>
      <c r="L158" s="11">
        <f t="shared" ref="L158:L189" si="114">K158/J158</f>
        <v>0.80461989555684044</v>
      </c>
      <c r="M158" s="29">
        <f t="shared" si="103"/>
        <v>-0.21738529250788205</v>
      </c>
      <c r="N158" s="11">
        <v>0.16319147975293574</v>
      </c>
      <c r="O158" s="11">
        <f t="shared" si="84"/>
        <v>0.81595739876467865</v>
      </c>
      <c r="P158" s="55">
        <f t="shared" si="104"/>
        <v>-0.20339313277711071</v>
      </c>
      <c r="Q158" s="11">
        <v>0.17517414622172003</v>
      </c>
      <c r="R158" s="11">
        <f t="shared" si="95"/>
        <v>0.87587073110860014</v>
      </c>
      <c r="S158" s="11">
        <f t="shared" si="105"/>
        <v>-0.13253676616248561</v>
      </c>
      <c r="T158" s="11">
        <v>0.19952850381041692</v>
      </c>
      <c r="U158" s="11">
        <v>0.211386169121142</v>
      </c>
      <c r="V158" s="11">
        <v>0.99764251905208456</v>
      </c>
      <c r="W158" s="11">
        <f t="shared" si="106"/>
        <v>-2.3602641812654978E-3</v>
      </c>
      <c r="X158" s="11">
        <v>0.21464209910472309</v>
      </c>
      <c r="Y158" s="11">
        <f t="shared" si="96"/>
        <v>1.0732104955236155</v>
      </c>
      <c r="Z158" s="11">
        <f t="shared" si="107"/>
        <v>7.0654619174526312E-2</v>
      </c>
      <c r="AA158" s="11">
        <v>0.27896342585346029</v>
      </c>
      <c r="AB158" s="11">
        <f t="shared" si="93"/>
        <v>1.3948171292673013</v>
      </c>
      <c r="AC158" s="11">
        <f t="shared" si="94"/>
        <v>0.33276331654929991</v>
      </c>
      <c r="AD158" s="11">
        <v>0.27205581018607294</v>
      </c>
      <c r="AE158" s="11">
        <f t="shared" si="97"/>
        <v>1.3602790509303646</v>
      </c>
      <c r="AF158" s="11">
        <f t="shared" si="108"/>
        <v>0.30768986320811964</v>
      </c>
      <c r="AG158" s="11">
        <v>0.23100430406477596</v>
      </c>
      <c r="AH158" s="11">
        <f t="shared" si="98"/>
        <v>1.1550215203238796</v>
      </c>
      <c r="AI158" s="11">
        <f t="shared" si="109"/>
        <v>0.14411897611522473</v>
      </c>
      <c r="AJ158" s="11">
        <v>0.11950502817529221</v>
      </c>
      <c r="AK158" s="11">
        <f t="shared" si="99"/>
        <v>0.59752514087646103</v>
      </c>
      <c r="AL158" s="11">
        <f t="shared" si="110"/>
        <v>-0.51495891928098636</v>
      </c>
      <c r="AM158" s="11">
        <v>0.28784831018236229</v>
      </c>
      <c r="AN158" s="11">
        <f t="shared" si="100"/>
        <v>1.4392415509118113</v>
      </c>
      <c r="AO158" s="11">
        <f t="shared" si="111"/>
        <v>0.3641162740766557</v>
      </c>
      <c r="AP158" s="11">
        <v>0.17271575064382896</v>
      </c>
      <c r="AQ158" s="11">
        <f t="shared" si="101"/>
        <v>0.86357875321914479</v>
      </c>
      <c r="AR158" s="11">
        <f t="shared" si="112"/>
        <v>-0.14667018321575784</v>
      </c>
      <c r="AS158" s="11">
        <v>0.22581423363643338</v>
      </c>
      <c r="AT158" s="11">
        <f t="shared" si="102"/>
        <v>1.1290711681821668</v>
      </c>
      <c r="AU158" s="11">
        <f t="shared" si="113"/>
        <v>0.1213953196574854</v>
      </c>
      <c r="AZ158" t="b">
        <f t="shared" si="90"/>
        <v>0</v>
      </c>
      <c r="BB158" t="b">
        <f t="shared" si="91"/>
        <v>1</v>
      </c>
      <c r="BD158" t="b">
        <f t="shared" si="92"/>
        <v>0</v>
      </c>
    </row>
    <row r="159" spans="1:56">
      <c r="A159" s="88"/>
      <c r="B159" s="5">
        <f>'[38]Dados de entrada'!$B$28</f>
        <v>20</v>
      </c>
      <c r="C159" s="5">
        <f>'[38]Dados de entrada'!$B$31</f>
        <v>1</v>
      </c>
      <c r="D159" s="5">
        <f>'[38]Dados de entrada'!$B$32</f>
        <v>40</v>
      </c>
      <c r="E159" s="29">
        <f>'[38]Dados de entrada'!$B$27</f>
        <v>2.8</v>
      </c>
      <c r="F159" s="5">
        <f>'[38]Dados de entrada'!$B$30</f>
        <v>40</v>
      </c>
      <c r="G159" s="12">
        <f>'[38]Dados de entrada'!$B$22</f>
        <v>50</v>
      </c>
      <c r="H159" s="52">
        <f>'[38]Dados de entrada'!$B$29/(2*'[38]Dados de entrada'!$B$20*G159)</f>
        <v>3.15E-2</v>
      </c>
      <c r="I159" s="53">
        <v>268.14100660274795</v>
      </c>
      <c r="J159" s="4">
        <v>0.24</v>
      </c>
      <c r="K159" s="11">
        <v>0.18845442559470083</v>
      </c>
      <c r="L159" s="11">
        <f t="shared" si="114"/>
        <v>0.78522677331125346</v>
      </c>
      <c r="M159" s="29">
        <f t="shared" si="103"/>
        <v>-0.2417827197193966</v>
      </c>
      <c r="N159" s="11">
        <v>0.20066086452174944</v>
      </c>
      <c r="O159" s="11">
        <f t="shared" si="84"/>
        <v>0.83608693550728941</v>
      </c>
      <c r="P159" s="55">
        <f t="shared" si="104"/>
        <v>-0.17902268146274888</v>
      </c>
      <c r="Q159" s="11">
        <v>0.20514247340609224</v>
      </c>
      <c r="R159" s="11">
        <f t="shared" si="95"/>
        <v>0.85476030585871765</v>
      </c>
      <c r="S159" s="11">
        <f t="shared" si="105"/>
        <v>-0.1569341933740005</v>
      </c>
      <c r="T159" s="11">
        <v>0.22739475318517421</v>
      </c>
      <c r="U159" s="11">
        <v>0.27455386120201025</v>
      </c>
      <c r="V159" s="11">
        <v>0.94747813827155924</v>
      </c>
      <c r="W159" s="11">
        <f t="shared" si="106"/>
        <v>-5.3951415356060302E-2</v>
      </c>
      <c r="X159" s="11">
        <v>0.2486491022225869</v>
      </c>
      <c r="Y159" s="11">
        <f t="shared" si="96"/>
        <v>1.0360379259274455</v>
      </c>
      <c r="Z159" s="11">
        <f t="shared" si="107"/>
        <v>3.5403751205308233E-2</v>
      </c>
      <c r="AA159" s="11">
        <v>0.33085221243175927</v>
      </c>
      <c r="AB159" s="11">
        <f t="shared" si="93"/>
        <v>1.3785508851323303</v>
      </c>
      <c r="AC159" s="11">
        <f t="shared" si="94"/>
        <v>0.3210328642079977</v>
      </c>
      <c r="AD159" s="11">
        <v>0.31005125898520808</v>
      </c>
      <c r="AE159" s="11">
        <f t="shared" si="97"/>
        <v>1.2918802457717005</v>
      </c>
      <c r="AF159" s="11">
        <f t="shared" si="108"/>
        <v>0.25609871203332479</v>
      </c>
      <c r="AG159" s="11">
        <v>0.27060485562449543</v>
      </c>
      <c r="AH159" s="11">
        <f t="shared" si="98"/>
        <v>1.127520231768731</v>
      </c>
      <c r="AI159" s="11">
        <f t="shared" si="109"/>
        <v>0.12002073615275802</v>
      </c>
      <c r="AJ159" s="11">
        <v>0.13776895602826064</v>
      </c>
      <c r="AK159" s="11">
        <f t="shared" si="99"/>
        <v>0.57403731678441938</v>
      </c>
      <c r="AL159" s="11">
        <f t="shared" si="110"/>
        <v>-0.55506087295620143</v>
      </c>
      <c r="AM159" s="11">
        <v>0.32804934732974461</v>
      </c>
      <c r="AN159" s="11">
        <f t="shared" si="100"/>
        <v>1.3668722805406026</v>
      </c>
      <c r="AO159" s="11">
        <f t="shared" si="111"/>
        <v>0.31252512290186085</v>
      </c>
      <c r="AP159" s="11">
        <v>0.22130062120069757</v>
      </c>
      <c r="AQ159" s="11">
        <f t="shared" si="101"/>
        <v>0.92208592166957326</v>
      </c>
      <c r="AR159" s="11">
        <f t="shared" si="112"/>
        <v>-8.1116869236520478E-2</v>
      </c>
      <c r="AS159" s="11">
        <v>0.27590756617274115</v>
      </c>
      <c r="AT159" s="11">
        <f t="shared" si="102"/>
        <v>1.1496148590530881</v>
      </c>
      <c r="AU159" s="11">
        <f t="shared" si="113"/>
        <v>0.13942698111066984</v>
      </c>
      <c r="AZ159" t="b">
        <f t="shared" si="90"/>
        <v>0</v>
      </c>
      <c r="BB159" t="b">
        <f t="shared" si="91"/>
        <v>1</v>
      </c>
      <c r="BD159" t="b">
        <f t="shared" si="92"/>
        <v>0</v>
      </c>
    </row>
    <row r="160" spans="1:56">
      <c r="A160" s="88"/>
      <c r="B160" s="5">
        <f>'[38]Dados de entrada'!$B$28</f>
        <v>20</v>
      </c>
      <c r="C160" s="5">
        <f>'[38]Dados de entrada'!$B$31</f>
        <v>1</v>
      </c>
      <c r="D160" s="5">
        <f>'[38]Dados de entrada'!$B$32</f>
        <v>40</v>
      </c>
      <c r="E160" s="29">
        <f>'[38]Dados de entrada'!$B$27</f>
        <v>2.8</v>
      </c>
      <c r="F160" s="5">
        <f>'[38]Dados de entrada'!$B$30</f>
        <v>40</v>
      </c>
      <c r="G160" s="12">
        <f>'[38]Dados de entrada'!$B$22</f>
        <v>50</v>
      </c>
      <c r="H160" s="52">
        <f>'[38]Dados de entrada'!$B$29/(2*'[38]Dados de entrada'!$B$20*G160)</f>
        <v>3.15E-2</v>
      </c>
      <c r="I160" s="53">
        <v>300.81898980416611</v>
      </c>
      <c r="J160" s="4">
        <v>0.27</v>
      </c>
      <c r="K160" s="11">
        <v>0.21583277016376104</v>
      </c>
      <c r="L160" s="11">
        <f t="shared" si="114"/>
        <v>0.79938063023615191</v>
      </c>
      <c r="M160" s="29">
        <f t="shared" si="103"/>
        <v>-0.22391806337606754</v>
      </c>
      <c r="N160" s="11">
        <v>0.23792323611504487</v>
      </c>
      <c r="O160" s="11">
        <f t="shared" si="84"/>
        <v>0.88119717079646243</v>
      </c>
      <c r="P160" s="55">
        <f t="shared" si="104"/>
        <v>-0.12647387468499682</v>
      </c>
      <c r="Q160" s="11">
        <v>0.23494522972204257</v>
      </c>
      <c r="R160" s="11">
        <f t="shared" si="95"/>
        <v>0.87016751748904653</v>
      </c>
      <c r="S160" s="11">
        <f t="shared" si="105"/>
        <v>-0.1390695370306714</v>
      </c>
      <c r="T160" s="11">
        <v>0.25510704538106549</v>
      </c>
      <c r="U160" s="11">
        <v>0.34555054480386854</v>
      </c>
      <c r="V160" s="11">
        <v>0.94484090881876104</v>
      </c>
      <c r="W160" s="11">
        <f t="shared" si="106"/>
        <v>-5.6738716117260557E-2</v>
      </c>
      <c r="X160" s="11">
        <v>0.28246822134532446</v>
      </c>
      <c r="Y160" s="11">
        <f t="shared" si="96"/>
        <v>1.0461785975752758</v>
      </c>
      <c r="Z160" s="11">
        <f t="shared" si="107"/>
        <v>4.514409444754406E-2</v>
      </c>
      <c r="AA160" s="11">
        <v>0.38114518145987081</v>
      </c>
      <c r="AB160" s="11">
        <f t="shared" si="93"/>
        <v>1.4116488202217436</v>
      </c>
      <c r="AC160" s="11">
        <f t="shared" si="94"/>
        <v>0.34475839724625112</v>
      </c>
      <c r="AD160" s="11">
        <v>0.34783678817771818</v>
      </c>
      <c r="AE160" s="11">
        <f t="shared" si="97"/>
        <v>1.2882844006582155</v>
      </c>
      <c r="AF160" s="11">
        <f t="shared" si="108"/>
        <v>0.25331141127212431</v>
      </c>
      <c r="AG160" s="11">
        <v>0.30998661960653695</v>
      </c>
      <c r="AH160" s="11">
        <f t="shared" si="98"/>
        <v>1.1480985911353219</v>
      </c>
      <c r="AI160" s="11">
        <f t="shared" si="109"/>
        <v>0.13810717498972871</v>
      </c>
      <c r="AJ160" s="11">
        <v>0.15593197820248342</v>
      </c>
      <c r="AK160" s="11">
        <f t="shared" si="99"/>
        <v>0.57752584519438299</v>
      </c>
      <c r="AL160" s="11">
        <f t="shared" si="110"/>
        <v>-0.54900208400425299</v>
      </c>
      <c r="AM160" s="11">
        <v>0.36802827929951715</v>
      </c>
      <c r="AN160" s="11">
        <f t="shared" si="100"/>
        <v>1.3630677011093226</v>
      </c>
      <c r="AO160" s="11">
        <f t="shared" si="111"/>
        <v>0.30973782214066037</v>
      </c>
      <c r="AP160" s="11">
        <v>0.26961706705835697</v>
      </c>
      <c r="AQ160" s="11">
        <f t="shared" si="101"/>
        <v>0.99858172984576654</v>
      </c>
      <c r="AR160" s="11">
        <f t="shared" si="112"/>
        <v>-1.4192768513068452E-3</v>
      </c>
      <c r="AS160" s="11">
        <v>0.32666674774856908</v>
      </c>
      <c r="AT160" s="11">
        <f t="shared" si="102"/>
        <v>1.2098768435132188</v>
      </c>
      <c r="AU160" s="11">
        <f t="shared" si="113"/>
        <v>0.19051857220800766</v>
      </c>
      <c r="AZ160" t="b">
        <f t="shared" si="90"/>
        <v>0</v>
      </c>
      <c r="BB160" t="b">
        <f t="shared" si="91"/>
        <v>1</v>
      </c>
      <c r="BD160" t="b">
        <f t="shared" si="92"/>
        <v>0</v>
      </c>
    </row>
    <row r="161" spans="1:56">
      <c r="A161" s="88"/>
      <c r="B161" s="5">
        <f>'[38]Dados de entrada'!$B$28</f>
        <v>20</v>
      </c>
      <c r="C161" s="5">
        <f>'[38]Dados de entrada'!$B$31</f>
        <v>1</v>
      </c>
      <c r="D161" s="5">
        <f>'[38]Dados de entrada'!$B$32</f>
        <v>40</v>
      </c>
      <c r="E161" s="29">
        <f>'[38]Dados de entrada'!$B$27</f>
        <v>2.8</v>
      </c>
      <c r="F161" s="5">
        <f>'[38]Dados de entrada'!$B$30</f>
        <v>40</v>
      </c>
      <c r="G161" s="12">
        <f>'[38]Dados de entrada'!$B$22</f>
        <v>50</v>
      </c>
      <c r="H161" s="52">
        <f>'[38]Dados de entrada'!$B$29/(2*'[38]Dados de entrada'!$B$20*G161)</f>
        <v>3.15E-2</v>
      </c>
      <c r="I161" s="53">
        <v>333.13388430334641</v>
      </c>
      <c r="J161" s="4">
        <v>0.32</v>
      </c>
      <c r="K161" s="11">
        <v>0.24290691090427621</v>
      </c>
      <c r="L161" s="11">
        <f t="shared" si="114"/>
        <v>0.75908409657586318</v>
      </c>
      <c r="M161" s="29">
        <f t="shared" si="103"/>
        <v>-0.27564270854659728</v>
      </c>
      <c r="N161" s="11">
        <v>0.27477158135730378</v>
      </c>
      <c r="O161" s="11">
        <f t="shared" si="84"/>
        <v>0.85866119174157429</v>
      </c>
      <c r="P161" s="55">
        <f t="shared" si="104"/>
        <v>-0.15238085652368891</v>
      </c>
      <c r="Q161" s="11">
        <v>0.26441684430114909</v>
      </c>
      <c r="R161" s="11">
        <f t="shared" si="95"/>
        <v>0.82630263844109086</v>
      </c>
      <c r="S161" s="11">
        <f t="shared" si="105"/>
        <v>-0.19079418220120134</v>
      </c>
      <c r="T161" s="11">
        <v>0.28251142321922457</v>
      </c>
      <c r="U161" s="11">
        <v>0.42377828820333779</v>
      </c>
      <c r="V161" s="11">
        <v>0.88284819756007671</v>
      </c>
      <c r="W161" s="11">
        <f t="shared" si="106"/>
        <v>-0.12460200985055046</v>
      </c>
      <c r="X161" s="11">
        <v>0.31591157247780943</v>
      </c>
      <c r="Y161" s="11">
        <f t="shared" si="96"/>
        <v>0.98722366399315442</v>
      </c>
      <c r="Z161" s="11">
        <f t="shared" si="107"/>
        <v>-1.2858655298663303E-2</v>
      </c>
      <c r="AA161" s="11">
        <v>0.42997260953800504</v>
      </c>
      <c r="AB161" s="11">
        <f t="shared" si="93"/>
        <v>1.3436644048062658</v>
      </c>
      <c r="AC161" s="11">
        <f t="shared" si="94"/>
        <v>0.29540051211615898</v>
      </c>
      <c r="AD161" s="11">
        <v>0.38520247815697833</v>
      </c>
      <c r="AE161" s="11">
        <f t="shared" si="97"/>
        <v>1.2037577442405574</v>
      </c>
      <c r="AF161" s="11">
        <f t="shared" si="108"/>
        <v>0.185448117538835</v>
      </c>
      <c r="AG161" s="11">
        <v>0.34893080843322255</v>
      </c>
      <c r="AH161" s="11">
        <f t="shared" si="98"/>
        <v>1.0904087763538204</v>
      </c>
      <c r="AI161" s="11">
        <f t="shared" si="109"/>
        <v>8.655265011487881E-2</v>
      </c>
      <c r="AJ161" s="11">
        <v>0.17389318901921488</v>
      </c>
      <c r="AK161" s="11">
        <f t="shared" si="99"/>
        <v>0.5434162156850465</v>
      </c>
      <c r="AL161" s="11">
        <f t="shared" si="110"/>
        <v>-0.60987974127751587</v>
      </c>
      <c r="AM161" s="11">
        <v>0.40756300091407011</v>
      </c>
      <c r="AN161" s="11">
        <f t="shared" si="100"/>
        <v>1.2736343778564692</v>
      </c>
      <c r="AO161" s="11">
        <f t="shared" si="111"/>
        <v>0.24187452840737109</v>
      </c>
      <c r="AP161" s="11">
        <v>0.31739666351759815</v>
      </c>
      <c r="AQ161" s="11">
        <f t="shared" si="101"/>
        <v>0.99186457349249424</v>
      </c>
      <c r="AR161" s="11">
        <f t="shared" si="112"/>
        <v>-8.168699673544123E-3</v>
      </c>
      <c r="AS161" s="11">
        <v>0.37778632651206007</v>
      </c>
      <c r="AT161" s="11">
        <f t="shared" si="102"/>
        <v>1.1805822703501876</v>
      </c>
      <c r="AU161" s="11">
        <f t="shared" si="113"/>
        <v>0.16600776622074098</v>
      </c>
      <c r="AZ161" t="b">
        <f t="shared" si="90"/>
        <v>0</v>
      </c>
      <c r="BB161" t="b">
        <f t="shared" si="91"/>
        <v>1</v>
      </c>
      <c r="BD161" t="b">
        <f t="shared" si="92"/>
        <v>0</v>
      </c>
    </row>
    <row r="162" spans="1:56">
      <c r="A162" s="89"/>
      <c r="B162" s="5">
        <f>'[38]Dados de entrada'!$B$28</f>
        <v>20</v>
      </c>
      <c r="C162" s="5">
        <f>'[38]Dados de entrada'!$B$31</f>
        <v>1</v>
      </c>
      <c r="D162" s="5">
        <f>'[38]Dados de entrada'!$B$32</f>
        <v>40</v>
      </c>
      <c r="E162" s="29">
        <f>'[38]Dados de entrada'!$B$27</f>
        <v>2.8</v>
      </c>
      <c r="F162" s="5">
        <f>'[38]Dados de entrada'!$B$30</f>
        <v>40</v>
      </c>
      <c r="G162" s="12">
        <f>'[38]Dados de entrada'!$B$22</f>
        <v>50</v>
      </c>
      <c r="H162" s="52">
        <f>'[38]Dados de entrada'!$B$29/(2*'[38]Dados de entrada'!$B$20*G162)</f>
        <v>3.15E-2</v>
      </c>
      <c r="I162" s="53">
        <v>366.35650055812141</v>
      </c>
      <c r="J162" s="4">
        <v>0.34</v>
      </c>
      <c r="K162" s="11">
        <v>0.27074156121615395</v>
      </c>
      <c r="L162" s="11">
        <f t="shared" si="114"/>
        <v>0.79629870945927628</v>
      </c>
      <c r="M162" s="29">
        <f t="shared" si="103"/>
        <v>-0.22778090039156157</v>
      </c>
      <c r="N162" s="11">
        <v>0.312654992477154</v>
      </c>
      <c r="O162" s="11">
        <f t="shared" si="84"/>
        <v>0.91957350728574705</v>
      </c>
      <c r="P162" s="55">
        <f t="shared" si="104"/>
        <v>-8.3845295462264519E-2</v>
      </c>
      <c r="Q162" s="11">
        <v>0.29471631322236513</v>
      </c>
      <c r="R162" s="11">
        <f t="shared" si="95"/>
        <v>0.86681268594813266</v>
      </c>
      <c r="S162" s="11">
        <f t="shared" si="105"/>
        <v>-0.14293237404616552</v>
      </c>
      <c r="T162" s="11">
        <v>0.31068558695171394</v>
      </c>
      <c r="U162" s="11">
        <v>0.51251772415842989</v>
      </c>
      <c r="V162" s="11">
        <v>0.91378113809327621</v>
      </c>
      <c r="W162" s="11">
        <f t="shared" si="106"/>
        <v>-9.0164191242101885E-2</v>
      </c>
      <c r="X162" s="11">
        <v>0.35029434358592576</v>
      </c>
      <c r="Y162" s="11">
        <f t="shared" si="96"/>
        <v>1.0302774811350757</v>
      </c>
      <c r="Z162" s="11">
        <f t="shared" si="107"/>
        <v>2.9828165120374246E-2</v>
      </c>
      <c r="AA162" s="11">
        <v>0.47948358788270817</v>
      </c>
      <c r="AB162" s="11">
        <f t="shared" si="93"/>
        <v>1.4102458467138475</v>
      </c>
      <c r="AC162" s="11">
        <f t="shared" si="94"/>
        <v>0.34376404856277137</v>
      </c>
      <c r="AD162" s="11">
        <v>0.42361776616936347</v>
      </c>
      <c r="AE162" s="11">
        <f t="shared" si="97"/>
        <v>1.2459346063804808</v>
      </c>
      <c r="AF162" s="11">
        <f t="shared" si="108"/>
        <v>0.21988593614728333</v>
      </c>
      <c r="AG162" s="11">
        <v>0.388968935148298</v>
      </c>
      <c r="AH162" s="11">
        <f t="shared" si="98"/>
        <v>1.1440262798479353</v>
      </c>
      <c r="AI162" s="11">
        <f t="shared" si="109"/>
        <v>0.13455386458880453</v>
      </c>
      <c r="AJ162" s="11">
        <v>0.19235892822967463</v>
      </c>
      <c r="AK162" s="11">
        <f t="shared" si="99"/>
        <v>0.56576155361669</v>
      </c>
      <c r="AL162" s="11">
        <f t="shared" si="110"/>
        <v>-0.56958257290645942</v>
      </c>
      <c r="AM162" s="11">
        <v>0.44820824841667201</v>
      </c>
      <c r="AN162" s="11">
        <f t="shared" si="100"/>
        <v>1.3182595541666822</v>
      </c>
      <c r="AO162" s="11">
        <f t="shared" si="111"/>
        <v>0.27631234701581925</v>
      </c>
      <c r="AP162" s="11">
        <v>0.36651838347288501</v>
      </c>
      <c r="AQ162" s="11">
        <f t="shared" si="101"/>
        <v>1.0779952455084854</v>
      </c>
      <c r="AR162" s="11">
        <f t="shared" si="112"/>
        <v>7.5103062002575854E-2</v>
      </c>
      <c r="AS162" s="11">
        <v>0.43130016641177249</v>
      </c>
      <c r="AT162" s="11">
        <f t="shared" si="102"/>
        <v>1.2685299012110955</v>
      </c>
      <c r="AU162" s="11">
        <f t="shared" si="113"/>
        <v>0.23785867188115212</v>
      </c>
      <c r="AZ162" t="b">
        <f t="shared" si="90"/>
        <v>0</v>
      </c>
      <c r="BB162" t="b">
        <f t="shared" si="91"/>
        <v>1</v>
      </c>
      <c r="BD162" t="b">
        <f t="shared" si="92"/>
        <v>0</v>
      </c>
    </row>
    <row r="163" spans="1:56">
      <c r="A163" s="85" t="s">
        <v>75</v>
      </c>
      <c r="B163" s="21">
        <f>'[39]Dados de entrada'!$B$28</f>
        <v>20</v>
      </c>
      <c r="C163" s="21">
        <f>'[39]Dados de entrada'!$B$31</f>
        <v>1</v>
      </c>
      <c r="D163" s="70">
        <f>'[39]Dados de entrada'!$B$32</f>
        <v>40</v>
      </c>
      <c r="E163" s="20">
        <f>'[39]Dados de entrada'!$B$27</f>
        <v>2.8</v>
      </c>
      <c r="F163" s="21">
        <f>'[39]Dados de entrada'!$B$30</f>
        <v>40</v>
      </c>
      <c r="G163" s="56">
        <f>'[39]Dados de entrada'!$B$22</f>
        <v>50</v>
      </c>
      <c r="H163" s="57">
        <f>'[39]Dados de entrada'!$B$29/(2*'[39]Dados de entrada'!$B$20*G163)</f>
        <v>3.15E-2</v>
      </c>
      <c r="I163" s="27" cm="1">
        <f t="array" ref="I163:I169">'[39]fib Model Code 2010'!$K$5:$K$11</f>
        <v>169.74396829625545</v>
      </c>
      <c r="J163" s="19" cm="1">
        <f t="array" ref="J163:J169">'[39]Dados de entrada'!$C$7:$C$13</f>
        <v>0.16</v>
      </c>
      <c r="K163" s="20" cm="1">
        <f t="array" ref="K163:K169">'[39]fib Model Code 2010'!$L$5:$L$11</f>
        <v>0.10601518805897511</v>
      </c>
      <c r="L163" s="20">
        <f t="shared" si="114"/>
        <v>0.66259492536859443</v>
      </c>
      <c r="M163" s="54">
        <f t="shared" si="103"/>
        <v>-0.41159144781063395</v>
      </c>
      <c r="N163" s="20" cm="1">
        <f t="array" ref="N163:N169">'[39]fib Model Code 2020'!$L$5:$L$11</f>
        <v>8.84597233908265E-2</v>
      </c>
      <c r="O163" s="20">
        <f t="shared" si="84"/>
        <v>0.55287327119266561</v>
      </c>
      <c r="P163" s="28">
        <f t="shared" si="104"/>
        <v>-0.59262646973922584</v>
      </c>
      <c r="Q163" s="20" cm="1">
        <f t="array" ref="Q163:Q169">'[39]Eurocode 2'!$L$5:$L$11</f>
        <v>0.11540306272139735</v>
      </c>
      <c r="R163" s="20">
        <f t="shared" si="95"/>
        <v>0.72126914200873338</v>
      </c>
      <c r="S163" s="20">
        <f t="shared" si="105"/>
        <v>-0.32674292146523781</v>
      </c>
      <c r="T163" s="20" cm="1">
        <f t="array" ref="T163:T169">'[39]NBR 6118'!$Q$5:$Q$11</f>
        <v>0.14394996223976839</v>
      </c>
      <c r="U163" s="20" cm="1">
        <f t="array" ref="U163:U169">'[39]NBR 6118'!$R$5:$R$11</f>
        <v>0.11002459711025039</v>
      </c>
      <c r="V163" s="20" cm="1">
        <f t="array" ref="V163:V169">'[39]NBR 6118'!$W$5:$W$11</f>
        <v>0.68765373193906498</v>
      </c>
      <c r="W163" s="20">
        <f t="shared" si="106"/>
        <v>-0.37446986434523583</v>
      </c>
      <c r="X163" s="20" cm="1">
        <f t="array" ref="X163:X169">'[39]Clark (1956)'!$L$5:$L$11</f>
        <v>0.14681597686412165</v>
      </c>
      <c r="Y163" s="20">
        <f t="shared" si="96"/>
        <v>0.91759985540076028</v>
      </c>
      <c r="Z163" s="20">
        <f t="shared" si="107"/>
        <v>-8.5993870751164339E-2</v>
      </c>
      <c r="AA163" s="20" cm="1">
        <f t="array" ref="AA163:AA169">'[39]Leonhardt (1977)'!$L$5:$L$11</f>
        <v>0.16848661286474886</v>
      </c>
      <c r="AB163" s="20">
        <f t="shared" si="93"/>
        <v>1.0530413304046804</v>
      </c>
      <c r="AC163" s="20">
        <f t="shared" si="94"/>
        <v>5.1682482528466557E-2</v>
      </c>
      <c r="AD163" s="20" cm="1">
        <f t="array" ref="AD163:AD169">'[39]Desayi; Ganesan (1985)'!$L$5:$L$11</f>
        <v>0.19627483219442757</v>
      </c>
      <c r="AE163" s="20">
        <f t="shared" si="97"/>
        <v>1.2267177012151722</v>
      </c>
      <c r="AF163" s="20">
        <f t="shared" si="108"/>
        <v>0.20434206689879608</v>
      </c>
      <c r="AG163" s="20" cm="1">
        <f t="array" ref="AG163:AG169">'[39]Oh; Kang (1987)'!$L$5:$L$11</f>
        <v>0.15202198852301477</v>
      </c>
      <c r="AH163" s="20">
        <f t="shared" si="98"/>
        <v>0.95013742826884229</v>
      </c>
      <c r="AI163" s="20">
        <f t="shared" si="109"/>
        <v>-5.114864351436909E-2</v>
      </c>
      <c r="AJ163" s="20" cm="1">
        <f t="array" ref="AJ163:AJ169">'[39]Caldas (1997)'!$L$5:$L$11</f>
        <v>8.3078078148100948E-2</v>
      </c>
      <c r="AK163" s="20">
        <f t="shared" si="99"/>
        <v>0.51923798842563096</v>
      </c>
      <c r="AL163" s="20">
        <f t="shared" si="110"/>
        <v>-0.65539294903920442</v>
      </c>
      <c r="AM163" s="20" cm="1">
        <f t="array" ref="AM163:AM169">'[39]Gergely e Lutz (1968)'!$L$5:$L$11</f>
        <v>0.20766834106520729</v>
      </c>
      <c r="AN163" s="20">
        <f t="shared" si="100"/>
        <v>1.2979271316575456</v>
      </c>
      <c r="AO163" s="20">
        <f t="shared" si="111"/>
        <v>0.26076847776733225</v>
      </c>
      <c r="AP163" s="20" cm="1">
        <f t="array" ref="AP163:AP169">[39]Sugestão!$M$5:$M$11</f>
        <v>8.84597233908265E-2</v>
      </c>
      <c r="AQ163" s="20">
        <f t="shared" si="101"/>
        <v>0.55287327119266561</v>
      </c>
      <c r="AR163" s="20">
        <f t="shared" si="112"/>
        <v>-0.59262646973922584</v>
      </c>
      <c r="AS163" s="20" cm="1">
        <f t="array" ref="AS163:AS169">'[39]fib Model Code 2020 modificado'!$L$5:$L$11</f>
        <v>0.12874262407536513</v>
      </c>
      <c r="AT163" s="20">
        <f t="shared" si="102"/>
        <v>0.80464140047103205</v>
      </c>
      <c r="AU163" s="20">
        <f t="shared" si="113"/>
        <v>-0.21735856606607179</v>
      </c>
      <c r="AZ163" t="b">
        <f t="shared" si="90"/>
        <v>0</v>
      </c>
      <c r="BB163" t="b">
        <f t="shared" si="91"/>
        <v>1</v>
      </c>
      <c r="BD163" t="b">
        <f t="shared" si="92"/>
        <v>0</v>
      </c>
    </row>
    <row r="164" spans="1:56">
      <c r="A164" s="90"/>
      <c r="B164" s="21">
        <f>'[39]Dados de entrada'!$B$28</f>
        <v>20</v>
      </c>
      <c r="C164" s="21">
        <f>'[39]Dados de entrada'!$B$31</f>
        <v>1</v>
      </c>
      <c r="D164" s="70">
        <f>'[39]Dados de entrada'!$B$32</f>
        <v>40</v>
      </c>
      <c r="E164" s="20">
        <f>'[39]Dados de entrada'!$B$27</f>
        <v>2.8</v>
      </c>
      <c r="F164" s="21">
        <f>'[39]Dados de entrada'!$B$30</f>
        <v>40</v>
      </c>
      <c r="G164" s="56">
        <f>'[39]Dados de entrada'!$B$22</f>
        <v>50</v>
      </c>
      <c r="H164" s="57">
        <f>'[39]Dados de entrada'!$B$29/(2*'[39]Dados de entrada'!$B$20*G164)</f>
        <v>3.15E-2</v>
      </c>
      <c r="I164" s="27">
        <v>201.87731844431667</v>
      </c>
      <c r="J164" s="19">
        <v>0.2</v>
      </c>
      <c r="K164" s="20">
        <v>0.13293722688521767</v>
      </c>
      <c r="L164" s="20">
        <f t="shared" si="114"/>
        <v>0.66468613442608826</v>
      </c>
      <c r="M164" s="54">
        <f t="shared" si="103"/>
        <v>-0.40844032804973701</v>
      </c>
      <c r="N164" s="20">
        <v>0.12510105545756706</v>
      </c>
      <c r="O164" s="20">
        <f t="shared" si="84"/>
        <v>0.62550527728783523</v>
      </c>
      <c r="P164" s="28">
        <f t="shared" si="104"/>
        <v>-0.46919551219975419</v>
      </c>
      <c r="Q164" s="20">
        <v>0.14470910643208187</v>
      </c>
      <c r="R164" s="20">
        <f t="shared" si="95"/>
        <v>0.72354553216040929</v>
      </c>
      <c r="S164" s="20">
        <f t="shared" si="105"/>
        <v>-0.32359180170434082</v>
      </c>
      <c r="T164" s="20">
        <v>0.17120038289906145</v>
      </c>
      <c r="U164" s="20">
        <v>0.15562384444404753</v>
      </c>
      <c r="V164" s="20">
        <v>0.77811922222023766</v>
      </c>
      <c r="W164" s="20">
        <f t="shared" si="106"/>
        <v>-0.25087552461576429</v>
      </c>
      <c r="X164" s="20">
        <v>0.18007144400148026</v>
      </c>
      <c r="Y164" s="20">
        <f t="shared" si="96"/>
        <v>0.90035722000740126</v>
      </c>
      <c r="Z164" s="20">
        <f t="shared" si="107"/>
        <v>-0.10496368328687318</v>
      </c>
      <c r="AA164" s="20">
        <v>0.22419839991855828</v>
      </c>
      <c r="AB164" s="20">
        <f t="shared" si="93"/>
        <v>1.1209919995927913</v>
      </c>
      <c r="AC164" s="20">
        <f t="shared" si="94"/>
        <v>0.11421400721601956</v>
      </c>
      <c r="AD164" s="20">
        <v>0.23343060256706255</v>
      </c>
      <c r="AE164" s="20">
        <f t="shared" si="97"/>
        <v>1.1671530128353127</v>
      </c>
      <c r="AF164" s="20">
        <f t="shared" si="108"/>
        <v>0.15456746110642719</v>
      </c>
      <c r="AG164" s="20">
        <v>0.1907473897720223</v>
      </c>
      <c r="AH164" s="20">
        <f t="shared" si="98"/>
        <v>0.9537369488601114</v>
      </c>
      <c r="AI164" s="20">
        <f t="shared" si="109"/>
        <v>-4.7367380503192946E-2</v>
      </c>
      <c r="AJ164" s="20">
        <v>0.1009383832860867</v>
      </c>
      <c r="AK164" s="20">
        <f t="shared" si="99"/>
        <v>0.50469191643043343</v>
      </c>
      <c r="AL164" s="20">
        <f t="shared" si="110"/>
        <v>-0.6838071023474378</v>
      </c>
      <c r="AM164" s="20">
        <v>0.24698095750215032</v>
      </c>
      <c r="AN164" s="20">
        <f t="shared" si="100"/>
        <v>1.2349047875107515</v>
      </c>
      <c r="AO164" s="20">
        <f t="shared" si="111"/>
        <v>0.21099387197496328</v>
      </c>
      <c r="AP164" s="20">
        <v>0.12510105545756706</v>
      </c>
      <c r="AQ164" s="20">
        <f t="shared" si="101"/>
        <v>0.62550527728783523</v>
      </c>
      <c r="AR164" s="20">
        <f t="shared" si="112"/>
        <v>-0.46919551219975419</v>
      </c>
      <c r="AS164" s="20">
        <v>0.17586485599818641</v>
      </c>
      <c r="AT164" s="20">
        <f t="shared" si="102"/>
        <v>0.87932427999093199</v>
      </c>
      <c r="AU164" s="20">
        <f t="shared" si="113"/>
        <v>-0.12860153011484451</v>
      </c>
      <c r="AZ164" t="b">
        <f t="shared" si="90"/>
        <v>0</v>
      </c>
      <c r="BB164" t="b">
        <f t="shared" si="91"/>
        <v>1</v>
      </c>
      <c r="BD164" t="b">
        <f t="shared" si="92"/>
        <v>0</v>
      </c>
    </row>
    <row r="165" spans="1:56">
      <c r="A165" s="90"/>
      <c r="B165" s="21">
        <f>'[39]Dados de entrada'!$B$28</f>
        <v>20</v>
      </c>
      <c r="C165" s="21">
        <f>'[39]Dados de entrada'!$B$31</f>
        <v>1</v>
      </c>
      <c r="D165" s="70">
        <f>'[39]Dados de entrada'!$B$32</f>
        <v>40</v>
      </c>
      <c r="E165" s="20">
        <f>'[39]Dados de entrada'!$B$27</f>
        <v>2.8</v>
      </c>
      <c r="F165" s="21">
        <f>'[39]Dados de entrada'!$B$30</f>
        <v>40</v>
      </c>
      <c r="G165" s="56">
        <f>'[39]Dados de entrada'!$B$22</f>
        <v>50</v>
      </c>
      <c r="H165" s="57">
        <f>'[39]Dados de entrada'!$B$29/(2*'[39]Dados de entrada'!$B$20*G165)</f>
        <v>3.15E-2</v>
      </c>
      <c r="I165" s="27">
        <v>234.73684599685382</v>
      </c>
      <c r="J165" s="19">
        <v>0.24</v>
      </c>
      <c r="K165" s="20">
        <v>0.16046767336855042</v>
      </c>
      <c r="L165" s="20">
        <f t="shared" si="114"/>
        <v>0.66861530570229344</v>
      </c>
      <c r="M165" s="54">
        <f t="shared" si="103"/>
        <v>-0.40254641309200218</v>
      </c>
      <c r="N165" s="20">
        <v>0.16257044022638076</v>
      </c>
      <c r="O165" s="20">
        <f t="shared" si="84"/>
        <v>0.67737683427658657</v>
      </c>
      <c r="P165" s="28">
        <f t="shared" si="104"/>
        <v>-0.38952753718059319</v>
      </c>
      <c r="Q165" s="20">
        <v>0.17467743361645416</v>
      </c>
      <c r="R165" s="20">
        <f t="shared" si="95"/>
        <v>0.72782264006855901</v>
      </c>
      <c r="S165" s="20">
        <f t="shared" si="105"/>
        <v>-0.31769788674660593</v>
      </c>
      <c r="T165" s="20">
        <v>0.19906663227381871</v>
      </c>
      <c r="U165" s="20">
        <v>0.21040866213409018</v>
      </c>
      <c r="V165" s="20">
        <v>0.82944430114091128</v>
      </c>
      <c r="W165" s="20">
        <f t="shared" si="106"/>
        <v>-0.18699931911558274</v>
      </c>
      <c r="X165" s="20">
        <v>0.2140784471193441</v>
      </c>
      <c r="Y165" s="20">
        <f t="shared" si="96"/>
        <v>0.89199352966393375</v>
      </c>
      <c r="Z165" s="20">
        <f t="shared" si="107"/>
        <v>-0.11429640016842076</v>
      </c>
      <c r="AA165" s="20">
        <v>0.27808913893475723</v>
      </c>
      <c r="AB165" s="20">
        <f t="shared" si="93"/>
        <v>1.1587047455614885</v>
      </c>
      <c r="AC165" s="20">
        <f t="shared" si="94"/>
        <v>0.14730278260366253</v>
      </c>
      <c r="AD165" s="20">
        <v>0.27142605136619774</v>
      </c>
      <c r="AE165" s="20">
        <f t="shared" si="97"/>
        <v>1.1309418806924907</v>
      </c>
      <c r="AF165" s="20">
        <f t="shared" si="108"/>
        <v>0.12305080827380251</v>
      </c>
      <c r="AG165" s="20">
        <v>0.2303479413317418</v>
      </c>
      <c r="AH165" s="20">
        <f t="shared" si="98"/>
        <v>0.9597830888822575</v>
      </c>
      <c r="AI165" s="20">
        <f t="shared" si="109"/>
        <v>-4.1047969131576281E-2</v>
      </c>
      <c r="AJ165" s="20">
        <v>0.11920231113905515</v>
      </c>
      <c r="AK165" s="20">
        <f t="shared" si="99"/>
        <v>0.49667629641272981</v>
      </c>
      <c r="AL165" s="20">
        <f t="shared" si="110"/>
        <v>-0.69981678014823856</v>
      </c>
      <c r="AM165" s="20">
        <v>0.2871819946495327</v>
      </c>
      <c r="AN165" s="20">
        <f t="shared" si="100"/>
        <v>1.1965916443730529</v>
      </c>
      <c r="AO165" s="20">
        <f t="shared" si="111"/>
        <v>0.17947721914233847</v>
      </c>
      <c r="AP165" s="20">
        <v>0.17191047654620123</v>
      </c>
      <c r="AQ165" s="20">
        <f t="shared" si="101"/>
        <v>0.71629365227583852</v>
      </c>
      <c r="AR165" s="20">
        <f t="shared" si="112"/>
        <v>-0.33366506722448153</v>
      </c>
      <c r="AS165" s="20">
        <v>0.22499196478568351</v>
      </c>
      <c r="AT165" s="20">
        <f t="shared" si="102"/>
        <v>0.93746651994034802</v>
      </c>
      <c r="AU165" s="20">
        <f t="shared" si="113"/>
        <v>-6.4574233838890882E-2</v>
      </c>
      <c r="AZ165" t="b">
        <f t="shared" si="90"/>
        <v>0</v>
      </c>
      <c r="BB165" t="b">
        <f t="shared" si="91"/>
        <v>1</v>
      </c>
      <c r="BD165" t="b">
        <f t="shared" si="92"/>
        <v>0</v>
      </c>
    </row>
    <row r="166" spans="1:56">
      <c r="A166" s="90"/>
      <c r="B166" s="21">
        <f>'[39]Dados de entrada'!$B$28</f>
        <v>20</v>
      </c>
      <c r="C166" s="21">
        <f>'[39]Dados de entrada'!$B$31</f>
        <v>1</v>
      </c>
      <c r="D166" s="70">
        <f>'[39]Dados de entrada'!$B$32</f>
        <v>40</v>
      </c>
      <c r="E166" s="20">
        <f>'[39]Dados de entrada'!$B$27</f>
        <v>2.8</v>
      </c>
      <c r="F166" s="21">
        <f>'[39]Dados de entrada'!$B$30</f>
        <v>40</v>
      </c>
      <c r="G166" s="56">
        <f>'[39]Dados de entrada'!$B$22</f>
        <v>50</v>
      </c>
      <c r="H166" s="57">
        <f>'[39]Dados de entrada'!$B$29/(2*'[39]Dados de entrada'!$B$20*G166)</f>
        <v>3.15E-2</v>
      </c>
      <c r="I166" s="27">
        <v>267.23328484715302</v>
      </c>
      <c r="J166" s="19">
        <v>0.27</v>
      </c>
      <c r="K166" s="20">
        <v>0.18769391602333804</v>
      </c>
      <c r="L166" s="20">
        <f t="shared" si="114"/>
        <v>0.69516265193828897</v>
      </c>
      <c r="M166" s="54">
        <f t="shared" si="103"/>
        <v>-0.3636094292325765</v>
      </c>
      <c r="N166" s="20">
        <v>0.19962579864415791</v>
      </c>
      <c r="O166" s="20">
        <f t="shared" si="84"/>
        <v>0.73935480979317736</v>
      </c>
      <c r="P166" s="28">
        <f t="shared" si="104"/>
        <v>-0.30197735174905765</v>
      </c>
      <c r="Q166" s="20">
        <v>0.20431461906398254</v>
      </c>
      <c r="R166" s="20">
        <f t="shared" si="95"/>
        <v>0.75672081134808344</v>
      </c>
      <c r="S166" s="20">
        <f t="shared" si="105"/>
        <v>-0.27876090288718014</v>
      </c>
      <c r="T166" s="20">
        <v>0.22662496729084392</v>
      </c>
      <c r="U166" s="20">
        <v>0.27269814592917929</v>
      </c>
      <c r="V166" s="20">
        <v>0.83935173070682922</v>
      </c>
      <c r="W166" s="20">
        <f t="shared" si="106"/>
        <v>-0.17512543425500207</v>
      </c>
      <c r="X166" s="20">
        <v>0.24770968224695533</v>
      </c>
      <c r="Y166" s="20">
        <f t="shared" si="96"/>
        <v>0.917443267581316</v>
      </c>
      <c r="Z166" s="20">
        <f t="shared" si="107"/>
        <v>-8.616453466403183E-2</v>
      </c>
      <c r="AA166" s="20">
        <v>0.3294387779152495</v>
      </c>
      <c r="AB166" s="20">
        <f t="shared" ref="AB166:AB197" si="115">AA166/J166</f>
        <v>1.2201436219083315</v>
      </c>
      <c r="AC166" s="20">
        <f t="shared" si="94"/>
        <v>0.19896857469205279</v>
      </c>
      <c r="AD166" s="20">
        <v>0.30900166095208281</v>
      </c>
      <c r="AE166" s="20">
        <f t="shared" si="97"/>
        <v>1.1444505961188252</v>
      </c>
      <c r="AF166" s="20">
        <f t="shared" si="108"/>
        <v>0.13492469313438299</v>
      </c>
      <c r="AG166" s="20">
        <v>0.26951091773610536</v>
      </c>
      <c r="AH166" s="20">
        <f t="shared" si="98"/>
        <v>0.99818858420779755</v>
      </c>
      <c r="AI166" s="20">
        <f t="shared" si="109"/>
        <v>-1.8130583897063319E-3</v>
      </c>
      <c r="AJ166" s="20">
        <v>0.13726442763453225</v>
      </c>
      <c r="AK166" s="20">
        <f t="shared" si="99"/>
        <v>0.50838676901678614</v>
      </c>
      <c r="AL166" s="20">
        <f t="shared" si="110"/>
        <v>-0.67651276475610511</v>
      </c>
      <c r="AM166" s="20">
        <v>0.32693882144169539</v>
      </c>
      <c r="AN166" s="20">
        <f t="shared" si="100"/>
        <v>1.2108845238581309</v>
      </c>
      <c r="AO166" s="20">
        <f t="shared" si="111"/>
        <v>0.19135110400291902</v>
      </c>
      <c r="AP166" s="20">
        <v>0.21995849770465148</v>
      </c>
      <c r="AQ166" s="20">
        <f t="shared" si="101"/>
        <v>0.81466110260982028</v>
      </c>
      <c r="AR166" s="20">
        <f t="shared" si="112"/>
        <v>-0.20498307723909714</v>
      </c>
      <c r="AS166" s="20">
        <v>0.2745110070692437</v>
      </c>
      <c r="AT166" s="20">
        <f t="shared" si="102"/>
        <v>1.0167074335897914</v>
      </c>
      <c r="AU166" s="20">
        <f t="shared" si="113"/>
        <v>1.6569399760192283E-2</v>
      </c>
      <c r="AZ166" t="b">
        <f t="shared" si="90"/>
        <v>0</v>
      </c>
      <c r="BB166" t="b">
        <f t="shared" si="91"/>
        <v>1</v>
      </c>
      <c r="BD166" t="b">
        <f t="shared" si="92"/>
        <v>0</v>
      </c>
    </row>
    <row r="167" spans="1:56">
      <c r="A167" s="90"/>
      <c r="B167" s="21">
        <f>'[39]Dados de entrada'!$B$28</f>
        <v>20</v>
      </c>
      <c r="C167" s="21">
        <f>'[39]Dados de entrada'!$B$31</f>
        <v>1</v>
      </c>
      <c r="D167" s="70">
        <f>'[39]Dados de entrada'!$B$32</f>
        <v>40</v>
      </c>
      <c r="E167" s="20">
        <f>'[39]Dados de entrada'!$B$27</f>
        <v>2.8</v>
      </c>
      <c r="F167" s="21">
        <f>'[39]Dados de entrada'!$B$30</f>
        <v>40</v>
      </c>
      <c r="G167" s="56">
        <f>'[39]Dados de entrada'!$B$22</f>
        <v>50</v>
      </c>
      <c r="H167" s="57">
        <f>'[39]Dados de entrada'!$B$29/(2*'[39]Dados de entrada'!$B$20*G167)</f>
        <v>3.15E-2</v>
      </c>
      <c r="I167" s="27">
        <v>301.0005341552851</v>
      </c>
      <c r="J167" s="19">
        <v>0.28999999999999998</v>
      </c>
      <c r="K167" s="20">
        <v>0.21598487207803357</v>
      </c>
      <c r="L167" s="20">
        <f t="shared" si="114"/>
        <v>0.7447754209587365</v>
      </c>
      <c r="M167" s="54">
        <f t="shared" si="103"/>
        <v>-0.29467255442480766</v>
      </c>
      <c r="N167" s="20">
        <v>0.23813024929056317</v>
      </c>
      <c r="O167" s="20">
        <f t="shared" ref="O167:O230" si="116">N167/J167</f>
        <v>0.82113879065711448</v>
      </c>
      <c r="P167" s="28">
        <f t="shared" si="104"/>
        <v>-0.19706313307769321</v>
      </c>
      <c r="Q167" s="20">
        <v>0.23511080059046452</v>
      </c>
      <c r="R167" s="20">
        <f t="shared" si="95"/>
        <v>0.81072689858780878</v>
      </c>
      <c r="S167" s="20">
        <f t="shared" si="105"/>
        <v>-0.20982402807941139</v>
      </c>
      <c r="T167" s="20">
        <v>0.25526100255993156</v>
      </c>
      <c r="U167" s="20">
        <v>0.34596775037385386</v>
      </c>
      <c r="V167" s="20">
        <v>0.88021035365493649</v>
      </c>
      <c r="W167" s="20">
        <f t="shared" si="106"/>
        <v>-0.12759436183072798</v>
      </c>
      <c r="X167" s="20">
        <v>0.28265610534045077</v>
      </c>
      <c r="Y167" s="20">
        <f t="shared" si="96"/>
        <v>0.97467622531189924</v>
      </c>
      <c r="Z167" s="20">
        <f t="shared" si="107"/>
        <v>-2.5649939737114946E-2</v>
      </c>
      <c r="AA167" s="20">
        <v>0.38142173644761601</v>
      </c>
      <c r="AB167" s="20">
        <f t="shared" si="115"/>
        <v>1.315247367060745</v>
      </c>
      <c r="AC167" s="20">
        <f t="shared" si="94"/>
        <v>0.27402475977218166</v>
      </c>
      <c r="AD167" s="20">
        <v>0.34804670778434327</v>
      </c>
      <c r="AE167" s="20">
        <f t="shared" si="97"/>
        <v>1.2001610613253217</v>
      </c>
      <c r="AF167" s="20">
        <f t="shared" si="108"/>
        <v>0.18245576555865692</v>
      </c>
      <c r="AG167" s="20">
        <v>0.31020540718421497</v>
      </c>
      <c r="AH167" s="20">
        <f t="shared" si="98"/>
        <v>1.0696738178766034</v>
      </c>
      <c r="AI167" s="20">
        <f t="shared" si="109"/>
        <v>6.7353758893731949E-2</v>
      </c>
      <c r="AJ167" s="20">
        <v>0.1560328838812291</v>
      </c>
      <c r="AK167" s="20">
        <f t="shared" si="99"/>
        <v>0.53804442717665213</v>
      </c>
      <c r="AL167" s="20">
        <f t="shared" si="110"/>
        <v>-0.6198141438344964</v>
      </c>
      <c r="AM167" s="20">
        <v>0.36825038447712699</v>
      </c>
      <c r="AN167" s="20">
        <f t="shared" si="100"/>
        <v>1.2698289119900932</v>
      </c>
      <c r="AO167" s="20">
        <f t="shared" si="111"/>
        <v>0.23888217642719295</v>
      </c>
      <c r="AP167" s="20">
        <v>0.26988549175756621</v>
      </c>
      <c r="AQ167" s="20">
        <f t="shared" si="101"/>
        <v>0.93063962675022838</v>
      </c>
      <c r="AR167" s="20">
        <f t="shared" si="112"/>
        <v>-7.1883158541543299E-2</v>
      </c>
      <c r="AS167" s="20">
        <v>0.32695136880978121</v>
      </c>
      <c r="AT167" s="20">
        <f t="shared" si="102"/>
        <v>1.1274185131371766</v>
      </c>
      <c r="AU167" s="20">
        <f t="shared" si="113"/>
        <v>0.11993051762078842</v>
      </c>
      <c r="AZ167" t="b">
        <f t="shared" si="90"/>
        <v>0</v>
      </c>
      <c r="BB167" t="b">
        <f t="shared" si="91"/>
        <v>1</v>
      </c>
      <c r="BD167" t="b">
        <f t="shared" si="92"/>
        <v>0</v>
      </c>
    </row>
    <row r="168" spans="1:56">
      <c r="A168" s="90"/>
      <c r="B168" s="21">
        <f>'[39]Dados de entrada'!$B$28</f>
        <v>20</v>
      </c>
      <c r="C168" s="21">
        <f>'[39]Dados de entrada'!$B$31</f>
        <v>1</v>
      </c>
      <c r="D168" s="70">
        <f>'[39]Dados de entrada'!$B$32</f>
        <v>40</v>
      </c>
      <c r="E168" s="20">
        <f>'[39]Dados de entrada'!$B$27</f>
        <v>2.8</v>
      </c>
      <c r="F168" s="21">
        <f>'[39]Dados de entrada'!$B$30</f>
        <v>40</v>
      </c>
      <c r="G168" s="56">
        <f>'[39]Dados de entrada'!$B$22</f>
        <v>50</v>
      </c>
      <c r="H168" s="57">
        <f>'[39]Dados de entrada'!$B$29/(2*'[39]Dados de entrada'!$B$20*G168)</f>
        <v>3.15E-2</v>
      </c>
      <c r="I168" s="27">
        <v>333.13388430334641</v>
      </c>
      <c r="J168" s="19">
        <v>0.32</v>
      </c>
      <c r="K168" s="20">
        <v>0.24290691090427621</v>
      </c>
      <c r="L168" s="20">
        <f t="shared" si="114"/>
        <v>0.75908409657586318</v>
      </c>
      <c r="M168" s="54">
        <f t="shared" si="103"/>
        <v>-0.27564270854659728</v>
      </c>
      <c r="N168" s="20">
        <v>0.27477158135730378</v>
      </c>
      <c r="O168" s="20">
        <f t="shared" si="116"/>
        <v>0.85866119174157429</v>
      </c>
      <c r="P168" s="28">
        <f t="shared" si="104"/>
        <v>-0.15238085652368891</v>
      </c>
      <c r="Q168" s="20">
        <v>0.26441684430114909</v>
      </c>
      <c r="R168" s="20">
        <f t="shared" si="95"/>
        <v>0.82630263844109086</v>
      </c>
      <c r="S168" s="20">
        <f t="shared" si="105"/>
        <v>-0.19079418220120134</v>
      </c>
      <c r="T168" s="20">
        <v>0.28251142321922457</v>
      </c>
      <c r="U168" s="20">
        <v>0.42377828820333779</v>
      </c>
      <c r="V168" s="20">
        <v>0.88284819756007671</v>
      </c>
      <c r="W168" s="20">
        <f t="shared" si="106"/>
        <v>-0.12460200985055046</v>
      </c>
      <c r="X168" s="20">
        <v>0.31591157247780943</v>
      </c>
      <c r="Y168" s="20">
        <f t="shared" si="96"/>
        <v>0.98722366399315442</v>
      </c>
      <c r="Z168" s="20">
        <f t="shared" si="107"/>
        <v>-1.2858655298663303E-2</v>
      </c>
      <c r="AA168" s="20">
        <v>0.42997260953800504</v>
      </c>
      <c r="AB168" s="20">
        <f t="shared" si="115"/>
        <v>1.3436644048062658</v>
      </c>
      <c r="AC168" s="20">
        <f t="shared" si="94"/>
        <v>0.29540051211615898</v>
      </c>
      <c r="AD168" s="20">
        <v>0.38520247815697833</v>
      </c>
      <c r="AE168" s="20">
        <f t="shared" si="97"/>
        <v>1.2037577442405574</v>
      </c>
      <c r="AF168" s="20">
        <f t="shared" si="108"/>
        <v>0.185448117538835</v>
      </c>
      <c r="AG168" s="20">
        <v>0.34893080843322255</v>
      </c>
      <c r="AH168" s="20">
        <f t="shared" si="98"/>
        <v>1.0904087763538204</v>
      </c>
      <c r="AI168" s="20">
        <f t="shared" si="109"/>
        <v>8.655265011487881E-2</v>
      </c>
      <c r="AJ168" s="20">
        <v>0.17389318901921488</v>
      </c>
      <c r="AK168" s="20">
        <f t="shared" si="99"/>
        <v>0.5434162156850465</v>
      </c>
      <c r="AL168" s="20">
        <f t="shared" si="110"/>
        <v>-0.60987974127751587</v>
      </c>
      <c r="AM168" s="20">
        <v>0.40756300091407011</v>
      </c>
      <c r="AN168" s="20">
        <f t="shared" si="100"/>
        <v>1.2736343778564692</v>
      </c>
      <c r="AO168" s="20">
        <f t="shared" si="111"/>
        <v>0.24187452840737109</v>
      </c>
      <c r="AP168" s="20">
        <v>0.31739666351759815</v>
      </c>
      <c r="AQ168" s="20">
        <f t="shared" si="101"/>
        <v>0.99186457349249424</v>
      </c>
      <c r="AR168" s="20">
        <f t="shared" si="112"/>
        <v>-8.168699673544123E-3</v>
      </c>
      <c r="AS168" s="20">
        <v>0.37778632651206007</v>
      </c>
      <c r="AT168" s="20">
        <f t="shared" si="102"/>
        <v>1.1805822703501876</v>
      </c>
      <c r="AU168" s="20">
        <f t="shared" si="113"/>
        <v>0.16600776622074098</v>
      </c>
      <c r="AZ168" t="b">
        <f t="shared" si="90"/>
        <v>0</v>
      </c>
      <c r="BB168" t="b">
        <f t="shared" si="91"/>
        <v>1</v>
      </c>
      <c r="BD168" t="b">
        <f t="shared" si="92"/>
        <v>0</v>
      </c>
    </row>
    <row r="169" spans="1:56">
      <c r="A169" s="86"/>
      <c r="B169" s="21">
        <f>'[39]Dados de entrada'!$B$28</f>
        <v>20</v>
      </c>
      <c r="C169" s="21">
        <f>'[39]Dados de entrada'!$B$31</f>
        <v>1</v>
      </c>
      <c r="D169" s="70">
        <f>'[39]Dados de entrada'!$B$32</f>
        <v>40</v>
      </c>
      <c r="E169" s="20">
        <f>'[39]Dados de entrada'!$B$27</f>
        <v>2.8</v>
      </c>
      <c r="F169" s="21">
        <f>'[39]Dados de entrada'!$B$30</f>
        <v>40</v>
      </c>
      <c r="G169" s="56">
        <f>'[39]Dados de entrada'!$B$22</f>
        <v>50</v>
      </c>
      <c r="H169" s="57">
        <f>'[39]Dados de entrada'!$B$29/(2*'[39]Dados de entrada'!$B$20*G169)</f>
        <v>3.15E-2</v>
      </c>
      <c r="I169" s="27">
        <v>348.7466984995794</v>
      </c>
      <c r="J169" s="19">
        <v>0.33</v>
      </c>
      <c r="K169" s="20">
        <v>0.25598767553171597</v>
      </c>
      <c r="L169" s="20">
        <f t="shared" si="114"/>
        <v>0.77572022888398773</v>
      </c>
      <c r="M169" s="54">
        <f t="shared" si="103"/>
        <v>-0.25396335359408317</v>
      </c>
      <c r="N169" s="20">
        <v>0.29257471445187816</v>
      </c>
      <c r="O169" s="20">
        <f t="shared" si="116"/>
        <v>0.88659004379357009</v>
      </c>
      <c r="P169" s="28">
        <f t="shared" si="104"/>
        <v>-0.12037258638281562</v>
      </c>
      <c r="Q169" s="20">
        <v>0.27865593898543639</v>
      </c>
      <c r="R169" s="20">
        <f t="shared" si="95"/>
        <v>0.84441193631950417</v>
      </c>
      <c r="S169" s="20">
        <f t="shared" si="105"/>
        <v>-0.16911482724868693</v>
      </c>
      <c r="T169" s="20">
        <v>0.295751740601706</v>
      </c>
      <c r="U169" s="20">
        <v>0.46443110099199603</v>
      </c>
      <c r="V169" s="20">
        <v>0.89621739576274539</v>
      </c>
      <c r="W169" s="20">
        <f t="shared" si="106"/>
        <v>-0.10957226623741793</v>
      </c>
      <c r="X169" s="20">
        <v>0.33206959605867276</v>
      </c>
      <c r="Y169" s="20">
        <f t="shared" si="96"/>
        <v>1.0062715032080991</v>
      </c>
      <c r="Z169" s="20">
        <f t="shared" si="107"/>
        <v>6.2519191701087568E-3</v>
      </c>
      <c r="AA169" s="20">
        <v>0.45331500142933767</v>
      </c>
      <c r="AB169" s="20">
        <f t="shared" si="115"/>
        <v>1.3736818225131444</v>
      </c>
      <c r="AC169" s="20">
        <f t="shared" si="94"/>
        <v>0.31749459676030328</v>
      </c>
      <c r="AD169" s="20">
        <v>0.40325556432673298</v>
      </c>
      <c r="AE169" s="20">
        <f t="shared" si="97"/>
        <v>1.2219865585658574</v>
      </c>
      <c r="AF169" s="20">
        <f t="shared" si="108"/>
        <v>0.20047786115196664</v>
      </c>
      <c r="AG169" s="20">
        <v>0.36774654011353114</v>
      </c>
      <c r="AH169" s="20">
        <f t="shared" si="98"/>
        <v>1.1143834548894882</v>
      </c>
      <c r="AI169" s="20">
        <f t="shared" si="109"/>
        <v>0.10830129671987959</v>
      </c>
      <c r="AJ169" s="20">
        <v>0.18257107739134346</v>
      </c>
      <c r="AK169" s="20">
        <f t="shared" si="99"/>
        <v>0.55324568906467708</v>
      </c>
      <c r="AL169" s="20">
        <f t="shared" si="110"/>
        <v>-0.59195309210180214</v>
      </c>
      <c r="AM169" s="20">
        <v>0.42666404618851683</v>
      </c>
      <c r="AN169" s="20">
        <f t="shared" si="100"/>
        <v>1.2929213520864147</v>
      </c>
      <c r="AO169" s="20">
        <f t="shared" si="111"/>
        <v>0.25690427202050298</v>
      </c>
      <c r="AP169" s="20">
        <v>0.34048118764959079</v>
      </c>
      <c r="AQ169" s="20">
        <f t="shared" si="101"/>
        <v>1.0317611746957296</v>
      </c>
      <c r="AR169" s="20">
        <f t="shared" si="112"/>
        <v>3.1267220409182186E-2</v>
      </c>
      <c r="AS169" s="20">
        <v>0.40281389694483116</v>
      </c>
      <c r="AT169" s="20">
        <f t="shared" si="102"/>
        <v>1.2206481725600944</v>
      </c>
      <c r="AU169" s="20">
        <f t="shared" si="113"/>
        <v>0.19938200664482575</v>
      </c>
      <c r="AZ169" t="b">
        <f t="shared" si="90"/>
        <v>0</v>
      </c>
      <c r="BB169" t="b">
        <f t="shared" si="91"/>
        <v>1</v>
      </c>
      <c r="BD169" t="b">
        <f t="shared" si="92"/>
        <v>0</v>
      </c>
    </row>
    <row r="170" spans="1:56">
      <c r="A170" s="87" t="s">
        <v>76</v>
      </c>
      <c r="B170" s="5">
        <f>'[40]Dados de entrada'!$B$28</f>
        <v>10</v>
      </c>
      <c r="C170" s="5">
        <f>'[40]Dados de entrada'!$B$31</f>
        <v>1</v>
      </c>
      <c r="D170" s="5">
        <f>'[40]Dados de entrada'!$B$32</f>
        <v>45</v>
      </c>
      <c r="E170" s="11">
        <f>'[40]Dados de entrada'!$B$27</f>
        <v>2.8</v>
      </c>
      <c r="F170" s="5">
        <f>'[40]Dados de entrada'!$B$30</f>
        <v>40</v>
      </c>
      <c r="G170" s="12">
        <f>'[40]Dados de entrada'!$B$22</f>
        <v>45</v>
      </c>
      <c r="H170" s="52">
        <f>'[40]Dados de entrada'!$B$29/(2*'[40]Dados de entrada'!$B$20*G170)</f>
        <v>8.7222222222222215E-3</v>
      </c>
      <c r="I170" s="53" cm="1">
        <f t="array" ref="I170:I177">'[40]fib Model Code 2010'!$K$5:$K$12</f>
        <v>310.30985357473827</v>
      </c>
      <c r="J170" s="4" cm="1">
        <f t="array" ref="J170:J177">'[40]Dados de entrada'!$C$7:$C$14</f>
        <v>0.15</v>
      </c>
      <c r="K170" s="11" cm="1">
        <f t="array" ref="K170:K177">'[40]fib Model Code 2010'!$L$5:$L$12</f>
        <v>0.16612686256381681</v>
      </c>
      <c r="L170" s="11">
        <f t="shared" si="114"/>
        <v>1.1075124170921122</v>
      </c>
      <c r="M170" s="29">
        <f t="shared" si="103"/>
        <v>0.10211643469562195</v>
      </c>
      <c r="N170" s="11" cm="1">
        <f t="array" ref="N170:N177">'[40]fib Model Code 2020'!$L$5:$L$12</f>
        <v>0.18861841261242762</v>
      </c>
      <c r="O170" s="11">
        <f t="shared" si="116"/>
        <v>1.2574560840828508</v>
      </c>
      <c r="P170" s="55">
        <f t="shared" si="104"/>
        <v>0.22909069918737623</v>
      </c>
      <c r="Q170" s="11" cm="1">
        <f t="array" ref="Q170:Q177">'[40]Eurocode 2'!$L$5:$L$12</f>
        <v>0.29056052556803114</v>
      </c>
      <c r="R170" s="11">
        <f t="shared" si="95"/>
        <v>1.9370701704535409</v>
      </c>
      <c r="S170" s="11">
        <f t="shared" si="105"/>
        <v>0.66117661012571671</v>
      </c>
      <c r="T170" s="11" cm="1">
        <f t="array" ref="T170:T177">'[40]NBR 6118'!$Q$5:$Q$12</f>
        <v>0.26142925199470496</v>
      </c>
      <c r="U170" s="11" cm="1">
        <f t="array" ref="U170:U177">'[40]NBR 6118'!$R$5:$R$12</f>
        <v>0.17150293522078491</v>
      </c>
      <c r="V170" s="11" cm="1">
        <f t="array" ref="V170:V177">'[40]NBR 6118'!$W$5:$W$12</f>
        <v>1.1433529014718995</v>
      </c>
      <c r="W170" s="11">
        <f t="shared" si="106"/>
        <v>0.13396508735327864</v>
      </c>
      <c r="X170" s="11" cm="1">
        <f t="array" ref="X170:X177">'[40]Clark (1956)'!$L$5:$L$12</f>
        <v>0.2908980476731724</v>
      </c>
      <c r="Y170" s="11">
        <f t="shared" si="96"/>
        <v>1.9393203178211493</v>
      </c>
      <c r="Z170" s="11">
        <f t="shared" si="107"/>
        <v>0.6623375600491801</v>
      </c>
      <c r="AA170" s="11" cm="1">
        <f t="array" ref="AA170:AA177">'[40]Leonhardt (1977)'!$L$5:$L$12</f>
        <v>0.25773862301209477</v>
      </c>
      <c r="AB170" s="11">
        <f t="shared" si="115"/>
        <v>1.7182574867472986</v>
      </c>
      <c r="AC170" s="11">
        <f t="shared" si="94"/>
        <v>0.54131068820333317</v>
      </c>
      <c r="AD170" s="11" cm="1">
        <f t="array" ref="AD170:AD177">'[40]Desayi; Ganesan (1985)'!$L$5:$L$12</f>
        <v>0.33890172186871836</v>
      </c>
      <c r="AE170" s="11">
        <f t="shared" si="97"/>
        <v>2.2593448124581226</v>
      </c>
      <c r="AF170" s="11">
        <f t="shared" si="108"/>
        <v>0.81507486526134776</v>
      </c>
      <c r="AG170" s="11" cm="1">
        <f t="array" ref="AG170:AG177">'[40]Oh; Kang (1987)'!$L$5:$L$12</f>
        <v>0.2211828295376089</v>
      </c>
      <c r="AH170" s="11">
        <f t="shared" si="98"/>
        <v>1.4745521969173927</v>
      </c>
      <c r="AI170" s="11">
        <f t="shared" si="109"/>
        <v>0.3883543483871551</v>
      </c>
      <c r="AJ170" s="11" cm="1">
        <f t="array" ref="AJ170:AJ177">'[40]Caldas (1997)'!$L$5:$L$12</f>
        <v>0.16629907547758749</v>
      </c>
      <c r="AK170" s="11">
        <f t="shared" si="99"/>
        <v>1.1086605031839167</v>
      </c>
      <c r="AL170" s="11">
        <f t="shared" si="110"/>
        <v>0.10315253272209481</v>
      </c>
      <c r="AM170" s="11" cm="1">
        <f t="array" ref="AM170:AM177">'[40]Gergely e Lutz (1968)'!$L$5:$L$12</f>
        <v>0.29784780694114654</v>
      </c>
      <c r="AN170" s="11">
        <f t="shared" si="100"/>
        <v>1.9856520462743104</v>
      </c>
      <c r="AO170" s="11">
        <f t="shared" si="111"/>
        <v>0.68594734698724646</v>
      </c>
      <c r="AP170" s="11" cm="1">
        <f t="array" ref="AP170:AP177">[40]Sugestão!$M$5:$M$12</f>
        <v>0.27501332580010368</v>
      </c>
      <c r="AQ170" s="11">
        <f t="shared" si="101"/>
        <v>1.8334221720006914</v>
      </c>
      <c r="AR170" s="11">
        <f t="shared" si="112"/>
        <v>0.6061842598512136</v>
      </c>
      <c r="AS170" s="11" cm="1">
        <f t="array" ref="AS170:AS177">'[40]fib Model Code 2020 modificado'!$L$5:$L$12</f>
        <v>0.21765424796368371</v>
      </c>
      <c r="AT170" s="11">
        <f t="shared" si="102"/>
        <v>1.4510283197578915</v>
      </c>
      <c r="AU170" s="11">
        <f t="shared" si="113"/>
        <v>0.37227249111881922</v>
      </c>
      <c r="AZ170" t="b">
        <f t="shared" si="90"/>
        <v>1</v>
      </c>
      <c r="BB170" t="b">
        <f t="shared" si="91"/>
        <v>0</v>
      </c>
      <c r="BD170" t="b">
        <f t="shared" si="92"/>
        <v>0</v>
      </c>
    </row>
    <row r="171" spans="1:56">
      <c r="A171" s="88"/>
      <c r="B171" s="5">
        <f>'[40]Dados de entrada'!$B$28</f>
        <v>10</v>
      </c>
      <c r="C171" s="5">
        <f>'[40]Dados de entrada'!$B$31</f>
        <v>1</v>
      </c>
      <c r="D171" s="5">
        <f>'[40]Dados de entrada'!$B$32</f>
        <v>45</v>
      </c>
      <c r="E171" s="11">
        <f>'[40]Dados de entrada'!$B$27</f>
        <v>2.8</v>
      </c>
      <c r="F171" s="5">
        <f>'[40]Dados de entrada'!$B$30</f>
        <v>40</v>
      </c>
      <c r="G171" s="12">
        <f>'[40]Dados de entrada'!$B$22</f>
        <v>45</v>
      </c>
      <c r="H171" s="52">
        <f>'[40]Dados de entrada'!$B$29/(2*'[40]Dados de entrada'!$B$20*G171)</f>
        <v>8.7222222222222215E-3</v>
      </c>
      <c r="I171" s="53">
        <v>330.28688277482877</v>
      </c>
      <c r="J171" s="4">
        <v>0.19</v>
      </c>
      <c r="K171" s="11">
        <v>0.20438424701114277</v>
      </c>
      <c r="L171" s="11">
        <f t="shared" si="114"/>
        <v>1.0757065632165408</v>
      </c>
      <c r="M171" s="29">
        <f t="shared" si="103"/>
        <v>7.2977713781953266E-2</v>
      </c>
      <c r="N171" s="11">
        <v>0.20076122887503028</v>
      </c>
      <c r="O171" s="11">
        <f t="shared" si="116"/>
        <v>1.0566380467106857</v>
      </c>
      <c r="P171" s="55">
        <f t="shared" si="104"/>
        <v>5.5092213722427591E-2</v>
      </c>
      <c r="Q171" s="11">
        <v>0.30926613880202458</v>
      </c>
      <c r="R171" s="11">
        <f t="shared" si="95"/>
        <v>1.6277165200106556</v>
      </c>
      <c r="S171" s="11">
        <f t="shared" si="105"/>
        <v>0.48717812466076793</v>
      </c>
      <c r="T171" s="11">
        <v>0.27825946135058727</v>
      </c>
      <c r="U171" s="11">
        <v>0.19429564972313279</v>
      </c>
      <c r="V171" s="11">
        <v>1.0226086827533305</v>
      </c>
      <c r="W171" s="11">
        <f t="shared" si="106"/>
        <v>2.2356894487611498E-2</v>
      </c>
      <c r="X171" s="11">
        <v>0.32823091625474282</v>
      </c>
      <c r="Y171" s="11">
        <f t="shared" si="96"/>
        <v>1.7275311381828569</v>
      </c>
      <c r="Z171" s="11">
        <f t="shared" si="107"/>
        <v>0.54669330149455186</v>
      </c>
      <c r="AA171" s="11">
        <v>0.30422212799507387</v>
      </c>
      <c r="AB171" s="11">
        <f t="shared" si="115"/>
        <v>1.601169094710915</v>
      </c>
      <c r="AC171" s="11">
        <f t="shared" si="94"/>
        <v>0.47073404662032753</v>
      </c>
      <c r="AD171" s="11">
        <v>0.36071942928515954</v>
      </c>
      <c r="AE171" s="11">
        <f t="shared" si="97"/>
        <v>1.8985233120271554</v>
      </c>
      <c r="AF171" s="11">
        <f t="shared" si="108"/>
        <v>0.64107637979639909</v>
      </c>
      <c r="AG171" s="11">
        <v>0.23782468212703708</v>
      </c>
      <c r="AH171" s="11">
        <f t="shared" si="98"/>
        <v>1.2517088533001952</v>
      </c>
      <c r="AI171" s="11">
        <f t="shared" si="109"/>
        <v>0.2245097003476749</v>
      </c>
      <c r="AJ171" s="11">
        <v>0.17827498836625749</v>
      </c>
      <c r="AK171" s="11">
        <f t="shared" si="99"/>
        <v>0.93828941245398678</v>
      </c>
      <c r="AL171" s="11">
        <f t="shared" si="110"/>
        <v>-6.3696835503406116E-2</v>
      </c>
      <c r="AM171" s="11">
        <v>0.31702255846096294</v>
      </c>
      <c r="AN171" s="11">
        <f t="shared" si="100"/>
        <v>1.6685397813734892</v>
      </c>
      <c r="AO171" s="11">
        <f t="shared" si="111"/>
        <v>0.51194886152229802</v>
      </c>
      <c r="AP171" s="11">
        <v>0.31156255576653796</v>
      </c>
      <c r="AQ171" s="11">
        <f t="shared" si="101"/>
        <v>1.6398029250870418</v>
      </c>
      <c r="AR171" s="11">
        <f t="shared" si="112"/>
        <v>0.4945760669855464</v>
      </c>
      <c r="AS171" s="11">
        <v>0.23229934539137381</v>
      </c>
      <c r="AT171" s="11">
        <f t="shared" si="102"/>
        <v>1.2226281336388096</v>
      </c>
      <c r="AU171" s="11">
        <f t="shared" si="113"/>
        <v>0.20100274966689541</v>
      </c>
      <c r="AZ171" t="b">
        <f t="shared" si="90"/>
        <v>1</v>
      </c>
      <c r="BB171" t="b">
        <f t="shared" si="91"/>
        <v>0</v>
      </c>
      <c r="BD171" t="b">
        <f t="shared" si="92"/>
        <v>0</v>
      </c>
    </row>
    <row r="172" spans="1:56">
      <c r="A172" s="88"/>
      <c r="B172" s="5">
        <f>'[40]Dados de entrada'!$B$28</f>
        <v>10</v>
      </c>
      <c r="C172" s="5">
        <f>'[40]Dados de entrada'!$B$31</f>
        <v>1</v>
      </c>
      <c r="D172" s="5">
        <f>'[40]Dados de entrada'!$B$32</f>
        <v>45</v>
      </c>
      <c r="E172" s="11">
        <f>'[40]Dados de entrada'!$B$27</f>
        <v>2.8</v>
      </c>
      <c r="F172" s="5">
        <f>'[40]Dados de entrada'!$B$30</f>
        <v>40</v>
      </c>
      <c r="G172" s="12">
        <f>'[40]Dados de entrada'!$B$22</f>
        <v>45</v>
      </c>
      <c r="H172" s="52">
        <f>'[40]Dados de entrada'!$B$29/(2*'[40]Dados de entrada'!$B$20*G172)</f>
        <v>8.7222222222222215E-3</v>
      </c>
      <c r="I172" s="53">
        <v>334.28228861484689</v>
      </c>
      <c r="J172" s="4">
        <v>0.2</v>
      </c>
      <c r="K172" s="11">
        <v>0.21203572390060799</v>
      </c>
      <c r="L172" s="11">
        <f t="shared" si="114"/>
        <v>1.0601786195030398</v>
      </c>
      <c r="M172" s="29">
        <f t="shared" si="103"/>
        <v>5.8437402893066766E-2</v>
      </c>
      <c r="N172" s="11">
        <v>0.20318979212755081</v>
      </c>
      <c r="O172" s="11">
        <f t="shared" si="116"/>
        <v>1.0159489606377541</v>
      </c>
      <c r="P172" s="55">
        <f t="shared" si="104"/>
        <v>1.5823112301678769E-2</v>
      </c>
      <c r="Q172" s="11">
        <v>0.31300726144882329</v>
      </c>
      <c r="R172" s="11">
        <f t="shared" si="95"/>
        <v>1.5650363072441165</v>
      </c>
      <c r="S172" s="11">
        <f t="shared" si="105"/>
        <v>0.44790902324001924</v>
      </c>
      <c r="T172" s="11">
        <v>0.28162550322176372</v>
      </c>
      <c r="U172" s="11">
        <v>0.19902478258661369</v>
      </c>
      <c r="V172" s="11">
        <v>0.99512391293306834</v>
      </c>
      <c r="W172" s="11">
        <f t="shared" si="106"/>
        <v>-4.8880139663357849E-3</v>
      </c>
      <c r="X172" s="11">
        <v>0.33569748997105692</v>
      </c>
      <c r="Y172" s="11">
        <f t="shared" si="96"/>
        <v>1.6784874498552844</v>
      </c>
      <c r="Z172" s="11">
        <f t="shared" si="107"/>
        <v>0.51789306040987126</v>
      </c>
      <c r="AA172" s="11">
        <v>0.31331115674231313</v>
      </c>
      <c r="AB172" s="11">
        <f t="shared" si="115"/>
        <v>1.5665557837115656</v>
      </c>
      <c r="AC172" s="11">
        <f t="shared" si="94"/>
        <v>0.44887944118881901</v>
      </c>
      <c r="AD172" s="11">
        <v>0.36508297076844781</v>
      </c>
      <c r="AE172" s="11">
        <f t="shared" si="97"/>
        <v>1.825414853842239</v>
      </c>
      <c r="AF172" s="11">
        <f t="shared" si="108"/>
        <v>0.6018072783756504</v>
      </c>
      <c r="AG172" s="11">
        <v>0.24115305264492271</v>
      </c>
      <c r="AH172" s="11">
        <f t="shared" si="98"/>
        <v>1.2057652632246134</v>
      </c>
      <c r="AI172" s="11">
        <f t="shared" si="109"/>
        <v>0.18711443858440882</v>
      </c>
      <c r="AJ172" s="11">
        <v>0.18067017094399146</v>
      </c>
      <c r="AK172" s="11">
        <f t="shared" si="99"/>
        <v>0.90335085471995724</v>
      </c>
      <c r="AL172" s="11">
        <f t="shared" si="110"/>
        <v>-0.10164425759565093</v>
      </c>
      <c r="AM172" s="11">
        <v>0.32085750876492619</v>
      </c>
      <c r="AN172" s="11">
        <f t="shared" si="100"/>
        <v>1.6042875438246309</v>
      </c>
      <c r="AO172" s="11">
        <f t="shared" si="111"/>
        <v>0.47267976010154911</v>
      </c>
      <c r="AP172" s="11">
        <v>0.31914595109013499</v>
      </c>
      <c r="AQ172" s="11">
        <f t="shared" si="101"/>
        <v>1.5957297554506749</v>
      </c>
      <c r="AR172" s="11">
        <f t="shared" si="112"/>
        <v>0.46733115853159951</v>
      </c>
      <c r="AS172" s="11">
        <v>0.23523755389692272</v>
      </c>
      <c r="AT172" s="11">
        <f t="shared" si="102"/>
        <v>1.1761877694846135</v>
      </c>
      <c r="AU172" s="11">
        <f t="shared" si="113"/>
        <v>0.16227850465996116</v>
      </c>
      <c r="AZ172" t="b">
        <f t="shared" si="90"/>
        <v>1</v>
      </c>
      <c r="BB172" t="b">
        <f t="shared" si="91"/>
        <v>0</v>
      </c>
      <c r="BD172" t="b">
        <f t="shared" si="92"/>
        <v>0</v>
      </c>
    </row>
    <row r="173" spans="1:56">
      <c r="A173" s="88"/>
      <c r="B173" s="5">
        <f>'[40]Dados de entrada'!$B$28</f>
        <v>10</v>
      </c>
      <c r="C173" s="5">
        <f>'[40]Dados de entrada'!$B$31</f>
        <v>1</v>
      </c>
      <c r="D173" s="5">
        <f>'[40]Dados de entrada'!$B$32</f>
        <v>45</v>
      </c>
      <c r="E173" s="11">
        <f>'[40]Dados de entrada'!$B$27</f>
        <v>2.8</v>
      </c>
      <c r="F173" s="5">
        <f>'[40]Dados de entrada'!$B$30</f>
        <v>40</v>
      </c>
      <c r="G173" s="12">
        <f>'[40]Dados de entrada'!$B$22</f>
        <v>45</v>
      </c>
      <c r="H173" s="52">
        <f>'[40]Dados de entrada'!$B$29/(2*'[40]Dados de entrada'!$B$20*G173)</f>
        <v>8.7222222222222215E-3</v>
      </c>
      <c r="I173" s="53">
        <v>351.15177993936766</v>
      </c>
      <c r="J173" s="4">
        <v>0.23</v>
      </c>
      <c r="K173" s="11">
        <v>0.24434195965612746</v>
      </c>
      <c r="L173" s="11">
        <f t="shared" si="114"/>
        <v>1.0623563463309889</v>
      </c>
      <c r="M173" s="29">
        <f t="shared" si="103"/>
        <v>6.0489409222437084E-2</v>
      </c>
      <c r="N173" s="11">
        <v>0.21344372586041524</v>
      </c>
      <c r="O173" s="11">
        <f t="shared" si="116"/>
        <v>0.92801619939310975</v>
      </c>
      <c r="P173" s="55">
        <f t="shared" si="104"/>
        <v>-7.4706090105719741E-2</v>
      </c>
      <c r="Q173" s="11">
        <v>0.32880311262419548</v>
      </c>
      <c r="R173" s="11">
        <f t="shared" si="95"/>
        <v>1.4295787505399804</v>
      </c>
      <c r="S173" s="11">
        <f t="shared" si="105"/>
        <v>0.35737982083262076</v>
      </c>
      <c r="T173" s="11">
        <v>0.2958376800111755</v>
      </c>
      <c r="U173" s="11">
        <v>0.21961913301830313</v>
      </c>
      <c r="V173" s="11">
        <v>0.95486579573175268</v>
      </c>
      <c r="W173" s="11">
        <f t="shared" si="106"/>
        <v>-4.6184476405973854E-2</v>
      </c>
      <c r="X173" s="11">
        <v>0.3672230234399384</v>
      </c>
      <c r="Y173" s="11">
        <f t="shared" si="96"/>
        <v>1.5966218410432105</v>
      </c>
      <c r="Z173" s="11">
        <f t="shared" si="107"/>
        <v>0.46789004785740945</v>
      </c>
      <c r="AA173" s="11">
        <v>0.3510126453644552</v>
      </c>
      <c r="AB173" s="11">
        <f t="shared" si="115"/>
        <v>1.5261419363671964</v>
      </c>
      <c r="AC173" s="11">
        <f t="shared" si="94"/>
        <v>0.4227429405730847</v>
      </c>
      <c r="AD173" s="11">
        <v>0.38350681258677577</v>
      </c>
      <c r="AE173" s="11">
        <f t="shared" si="97"/>
        <v>1.6674209242903293</v>
      </c>
      <c r="AF173" s="11">
        <f t="shared" si="108"/>
        <v>0.5112780759682517</v>
      </c>
      <c r="AG173" s="11">
        <v>0.25520617260932865</v>
      </c>
      <c r="AH173" s="11">
        <f t="shared" si="98"/>
        <v>1.1095920548231679</v>
      </c>
      <c r="AI173" s="11">
        <f t="shared" si="109"/>
        <v>0.10399242959555982</v>
      </c>
      <c r="AJ173" s="11">
        <v>0.19078316404997939</v>
      </c>
      <c r="AK173" s="11">
        <f t="shared" si="99"/>
        <v>0.82949201760860602</v>
      </c>
      <c r="AL173" s="11">
        <f t="shared" si="110"/>
        <v>-0.18694179253403936</v>
      </c>
      <c r="AM173" s="11">
        <v>0.3370495211594377</v>
      </c>
      <c r="AN173" s="11">
        <f t="shared" si="100"/>
        <v>1.4654327006932073</v>
      </c>
      <c r="AO173" s="11">
        <f t="shared" si="111"/>
        <v>0.38215055769415057</v>
      </c>
      <c r="AP173" s="11">
        <v>0.35216999699127649</v>
      </c>
      <c r="AQ173" s="11">
        <f t="shared" si="101"/>
        <v>1.5311738999620716</v>
      </c>
      <c r="AR173" s="11">
        <f t="shared" si="112"/>
        <v>0.42603469609196115</v>
      </c>
      <c r="AS173" s="11">
        <v>0.24767709184574097</v>
      </c>
      <c r="AT173" s="11">
        <f t="shared" si="102"/>
        <v>1.0768569210684389</v>
      </c>
      <c r="AU173" s="11">
        <f t="shared" si="113"/>
        <v>7.4046539830345731E-2</v>
      </c>
      <c r="AZ173" t="b">
        <f t="shared" si="90"/>
        <v>1</v>
      </c>
      <c r="BB173" t="b">
        <f t="shared" si="91"/>
        <v>0</v>
      </c>
      <c r="BD173" t="b">
        <f t="shared" si="92"/>
        <v>0</v>
      </c>
    </row>
    <row r="174" spans="1:56">
      <c r="A174" s="88"/>
      <c r="B174" s="5">
        <f>'[40]Dados de entrada'!$B$28</f>
        <v>10</v>
      </c>
      <c r="C174" s="5">
        <f>'[40]Dados de entrada'!$B$31</f>
        <v>1</v>
      </c>
      <c r="D174" s="5">
        <f>'[40]Dados de entrada'!$B$32</f>
        <v>45</v>
      </c>
      <c r="E174" s="11">
        <f>'[40]Dados de entrada'!$B$27</f>
        <v>2.8</v>
      </c>
      <c r="F174" s="5">
        <f>'[40]Dados de entrada'!$B$30</f>
        <v>40</v>
      </c>
      <c r="G174" s="12">
        <f>'[40]Dados de entrada'!$B$22</f>
        <v>45</v>
      </c>
      <c r="H174" s="52">
        <f>'[40]Dados de entrada'!$B$29/(2*'[40]Dados de entrada'!$B$20*G174)</f>
        <v>8.7222222222222215E-3</v>
      </c>
      <c r="I174" s="53">
        <v>362.69406347719769</v>
      </c>
      <c r="J174" s="4">
        <v>0.25</v>
      </c>
      <c r="K174" s="11">
        <v>0.26644622622569353</v>
      </c>
      <c r="L174" s="11">
        <f t="shared" si="114"/>
        <v>1.0657849049027741</v>
      </c>
      <c r="M174" s="29">
        <f t="shared" si="103"/>
        <v>6.3711527619028555E-2</v>
      </c>
      <c r="N174" s="11">
        <v>0.22319790578213533</v>
      </c>
      <c r="O174" s="11">
        <f t="shared" si="116"/>
        <v>0.89279162312854132</v>
      </c>
      <c r="P174" s="55">
        <f t="shared" si="104"/>
        <v>-0.11340207009563463</v>
      </c>
      <c r="Q174" s="11">
        <v>0.33961080027050283</v>
      </c>
      <c r="R174" s="11">
        <f t="shared" si="95"/>
        <v>1.3584432010820113</v>
      </c>
      <c r="S174" s="11">
        <f t="shared" si="105"/>
        <v>0.30633933898591881</v>
      </c>
      <c r="T174" s="11">
        <v>0.30556180097235186</v>
      </c>
      <c r="U174" s="11">
        <v>0.2342940819351301</v>
      </c>
      <c r="V174" s="11">
        <v>0.9371763277405204</v>
      </c>
      <c r="W174" s="11">
        <f t="shared" si="106"/>
        <v>-6.4883831160326838E-2</v>
      </c>
      <c r="X174" s="11">
        <v>0.38879312528706789</v>
      </c>
      <c r="Y174" s="11">
        <f t="shared" si="96"/>
        <v>1.5551725011482715</v>
      </c>
      <c r="Z174" s="11">
        <f t="shared" si="107"/>
        <v>0.44158647269288598</v>
      </c>
      <c r="AA174" s="11">
        <v>0.37623620174228273</v>
      </c>
      <c r="AB174" s="11">
        <f t="shared" si="115"/>
        <v>1.5049448069691309</v>
      </c>
      <c r="AC174" s="11">
        <f t="shared" si="94"/>
        <v>0.40875622441815207</v>
      </c>
      <c r="AD174" s="11">
        <v>0.39611259909405283</v>
      </c>
      <c r="AE174" s="11">
        <f t="shared" si="97"/>
        <v>1.5844503963762113</v>
      </c>
      <c r="AF174" s="11">
        <f t="shared" si="108"/>
        <v>0.46023759412154969</v>
      </c>
      <c r="AG174" s="11">
        <v>0.26482146521655381</v>
      </c>
      <c r="AH174" s="11">
        <f t="shared" si="98"/>
        <v>1.0592858608662152</v>
      </c>
      <c r="AI174" s="11">
        <f t="shared" si="109"/>
        <v>5.7594964911309776E-2</v>
      </c>
      <c r="AJ174" s="11">
        <v>0.1977025803856553</v>
      </c>
      <c r="AK174" s="11">
        <f t="shared" si="99"/>
        <v>0.79081032154262121</v>
      </c>
      <c r="AL174" s="11">
        <f t="shared" si="110"/>
        <v>-0.23469713574426995</v>
      </c>
      <c r="AM174" s="11">
        <v>0.34812826648199824</v>
      </c>
      <c r="AN174" s="11">
        <f t="shared" si="100"/>
        <v>1.392513065927993</v>
      </c>
      <c r="AO174" s="11">
        <f t="shared" si="111"/>
        <v>0.33111007584744856</v>
      </c>
      <c r="AP174" s="11">
        <v>0.3771548125030415</v>
      </c>
      <c r="AQ174" s="11">
        <f t="shared" si="101"/>
        <v>1.508619250012166</v>
      </c>
      <c r="AR174" s="11">
        <f t="shared" si="112"/>
        <v>0.41119482853904415</v>
      </c>
      <c r="AS174" s="11">
        <v>0.25895814717281729</v>
      </c>
      <c r="AT174" s="11">
        <f t="shared" si="102"/>
        <v>1.0358325886912692</v>
      </c>
      <c r="AU174" s="11">
        <f t="shared" si="113"/>
        <v>3.5205536852239545E-2</v>
      </c>
      <c r="AZ174" t="b">
        <f t="shared" si="90"/>
        <v>1</v>
      </c>
      <c r="BB174" t="b">
        <f t="shared" si="91"/>
        <v>0</v>
      </c>
      <c r="BD174" t="b">
        <f t="shared" si="92"/>
        <v>0</v>
      </c>
    </row>
    <row r="175" spans="1:56">
      <c r="A175" s="88"/>
      <c r="B175" s="5">
        <f>'[40]Dados de entrada'!$B$28</f>
        <v>10</v>
      </c>
      <c r="C175" s="5">
        <f>'[40]Dados de entrada'!$B$31</f>
        <v>1</v>
      </c>
      <c r="D175" s="5">
        <f>'[40]Dados de entrada'!$B$32</f>
        <v>45</v>
      </c>
      <c r="E175" s="11">
        <f>'[40]Dados de entrada'!$B$27</f>
        <v>2.8</v>
      </c>
      <c r="F175" s="5">
        <f>'[40]Dados de entrada'!$B$30</f>
        <v>40</v>
      </c>
      <c r="G175" s="12">
        <f>'[40]Dados de entrada'!$B$22</f>
        <v>45</v>
      </c>
      <c r="H175" s="52">
        <f>'[40]Dados de entrada'!$B$29/(2*'[40]Dados de entrada'!$B$20*G175)</f>
        <v>8.7222222222222215E-3</v>
      </c>
      <c r="I175" s="53">
        <v>375.5681489617005</v>
      </c>
      <c r="J175" s="4">
        <v>0.28000000000000003</v>
      </c>
      <c r="K175" s="11">
        <v>0.29110098509174809</v>
      </c>
      <c r="L175" s="11">
        <f t="shared" si="114"/>
        <v>1.0396463753276717</v>
      </c>
      <c r="M175" s="29">
        <f t="shared" si="103"/>
        <v>3.8880631608715029E-2</v>
      </c>
      <c r="N175" s="11">
        <v>0.24276133198299524</v>
      </c>
      <c r="O175" s="11">
        <f t="shared" si="116"/>
        <v>0.86700475708212577</v>
      </c>
      <c r="P175" s="55">
        <f t="shared" si="104"/>
        <v>-0.1427108153860529</v>
      </c>
      <c r="Q175" s="11">
        <v>0.35166552879907637</v>
      </c>
      <c r="R175" s="11">
        <f t="shared" si="95"/>
        <v>1.2559483171395582</v>
      </c>
      <c r="S175" s="11">
        <f t="shared" si="105"/>
        <v>0.22789091842513581</v>
      </c>
      <c r="T175" s="11">
        <v>0.31640793589058713</v>
      </c>
      <c r="U175" s="11">
        <v>0.25122215219469318</v>
      </c>
      <c r="V175" s="11">
        <v>0.89722197212390409</v>
      </c>
      <c r="W175" s="11">
        <f t="shared" si="106"/>
        <v>-0.10845198697488947</v>
      </c>
      <c r="X175" s="11">
        <v>0.41285208503963555</v>
      </c>
      <c r="Y175" s="11">
        <f t="shared" si="96"/>
        <v>1.4744717322844125</v>
      </c>
      <c r="Z175" s="11">
        <f t="shared" si="107"/>
        <v>0.38829977803782473</v>
      </c>
      <c r="AA175" s="11">
        <v>0.40388198949836024</v>
      </c>
      <c r="AB175" s="11">
        <f t="shared" si="115"/>
        <v>1.4424356767798578</v>
      </c>
      <c r="AC175" s="11">
        <f t="shared" si="94"/>
        <v>0.36633312691878739</v>
      </c>
      <c r="AD175" s="11">
        <v>0.41017289942909274</v>
      </c>
      <c r="AE175" s="11">
        <f t="shared" si="97"/>
        <v>1.4649032122467596</v>
      </c>
      <c r="AF175" s="11">
        <f t="shared" si="108"/>
        <v>0.38178917356076697</v>
      </c>
      <c r="AG175" s="11">
        <v>0.27554621466307422</v>
      </c>
      <c r="AH175" s="11">
        <f t="shared" si="98"/>
        <v>0.98409362379669352</v>
      </c>
      <c r="AI175" s="11">
        <f t="shared" si="109"/>
        <v>-1.6034240321138888E-2</v>
      </c>
      <c r="AJ175" s="11">
        <v>0.20542039091390926</v>
      </c>
      <c r="AK175" s="11">
        <f t="shared" si="99"/>
        <v>0.73364425326396154</v>
      </c>
      <c r="AL175" s="11">
        <f t="shared" si="110"/>
        <v>-0.30973103643510957</v>
      </c>
      <c r="AM175" s="11">
        <v>0.36048532857254661</v>
      </c>
      <c r="AN175" s="11">
        <f t="shared" si="100"/>
        <v>1.2874476020448091</v>
      </c>
      <c r="AO175" s="11">
        <f t="shared" si="111"/>
        <v>0.2526616552866659</v>
      </c>
      <c r="AP175" s="11">
        <v>0.40994362049156363</v>
      </c>
      <c r="AQ175" s="11">
        <f t="shared" si="101"/>
        <v>1.4640843588984414</v>
      </c>
      <c r="AR175" s="11">
        <f t="shared" si="112"/>
        <v>0.38123003607741363</v>
      </c>
      <c r="AS175" s="11">
        <v>0.28025478409090904</v>
      </c>
      <c r="AT175" s="11">
        <f t="shared" si="102"/>
        <v>1.0009099431818178</v>
      </c>
      <c r="AU175" s="11">
        <f t="shared" si="113"/>
        <v>9.0952943449275402E-4</v>
      </c>
      <c r="AZ175" t="b">
        <f t="shared" si="90"/>
        <v>1</v>
      </c>
      <c r="BB175" t="b">
        <f t="shared" si="91"/>
        <v>0</v>
      </c>
      <c r="BD175" t="b">
        <f t="shared" si="92"/>
        <v>0</v>
      </c>
    </row>
    <row r="176" spans="1:56">
      <c r="A176" s="88"/>
      <c r="B176" s="5">
        <f>'[40]Dados de entrada'!$B$28</f>
        <v>10</v>
      </c>
      <c r="C176" s="5">
        <f>'[40]Dados de entrada'!$B$31</f>
        <v>1</v>
      </c>
      <c r="D176" s="5">
        <f>'[40]Dados de entrada'!$B$32</f>
        <v>45</v>
      </c>
      <c r="E176" s="11">
        <f>'[40]Dados de entrada'!$B$27</f>
        <v>2.8</v>
      </c>
      <c r="F176" s="5">
        <f>'[40]Dados de entrada'!$B$30</f>
        <v>40</v>
      </c>
      <c r="G176" s="12">
        <f>'[40]Dados de entrada'!$B$22</f>
        <v>45</v>
      </c>
      <c r="H176" s="52">
        <f>'[40]Dados de entrada'!$B$29/(2*'[40]Dados de entrada'!$B$20*G176)</f>
        <v>8.7222222222222215E-3</v>
      </c>
      <c r="I176" s="53">
        <v>387.11043249953048</v>
      </c>
      <c r="J176" s="4">
        <v>0.31</v>
      </c>
      <c r="K176" s="11">
        <v>0.31320525166131397</v>
      </c>
      <c r="L176" s="11">
        <f t="shared" si="114"/>
        <v>1.0103395214881097</v>
      </c>
      <c r="M176" s="29">
        <f t="shared" si="103"/>
        <v>1.0286434253309251E-2</v>
      </c>
      <c r="N176" s="11">
        <v>0.26030095547342114</v>
      </c>
      <c r="O176" s="11">
        <f t="shared" si="116"/>
        <v>0.839680501527165</v>
      </c>
      <c r="P176" s="55">
        <f t="shared" si="104"/>
        <v>-0.17473381482301514</v>
      </c>
      <c r="Q176" s="11">
        <v>0.36247321644538366</v>
      </c>
      <c r="R176" s="11">
        <f t="shared" si="95"/>
        <v>1.1692684401463989</v>
      </c>
      <c r="S176" s="11">
        <f t="shared" si="105"/>
        <v>0.15637828841794993</v>
      </c>
      <c r="T176" s="11">
        <v>0.32613205685176361</v>
      </c>
      <c r="U176" s="11">
        <v>0.26690098443294497</v>
      </c>
      <c r="V176" s="11">
        <v>0.86097091752562893</v>
      </c>
      <c r="W176" s="11">
        <f t="shared" si="106"/>
        <v>-0.14969455267931864</v>
      </c>
      <c r="X176" s="11">
        <v>0.43442218688676498</v>
      </c>
      <c r="Y176" s="11">
        <f t="shared" si="96"/>
        <v>1.4013618931831129</v>
      </c>
      <c r="Z176" s="11">
        <f t="shared" si="107"/>
        <v>0.33744454462163193</v>
      </c>
      <c r="AA176" s="11">
        <v>0.42827084631765316</v>
      </c>
      <c r="AB176" s="11">
        <f t="shared" si="115"/>
        <v>1.3815188590892038</v>
      </c>
      <c r="AC176" s="11">
        <f t="shared" si="94"/>
        <v>0.32318351645660065</v>
      </c>
      <c r="AD176" s="11">
        <v>0.4227786859363698</v>
      </c>
      <c r="AE176" s="11">
        <f t="shared" si="97"/>
        <v>1.3638022126979672</v>
      </c>
      <c r="AF176" s="11">
        <f t="shared" si="108"/>
        <v>0.3102765435535812</v>
      </c>
      <c r="AG176" s="11">
        <v>0.28516150727029932</v>
      </c>
      <c r="AH176" s="11">
        <f t="shared" si="98"/>
        <v>0.91987582990419137</v>
      </c>
      <c r="AI176" s="11">
        <f t="shared" si="109"/>
        <v>-8.3516585543427252E-2</v>
      </c>
      <c r="AJ176" s="11">
        <v>0.21233980724958523</v>
      </c>
      <c r="AK176" s="11">
        <f t="shared" si="99"/>
        <v>0.68496712015995231</v>
      </c>
      <c r="AL176" s="11">
        <f t="shared" si="110"/>
        <v>-0.37838444163843038</v>
      </c>
      <c r="AM176" s="11">
        <v>0.37156407389510704</v>
      </c>
      <c r="AN176" s="11">
        <f t="shared" si="100"/>
        <v>1.1985937867584098</v>
      </c>
      <c r="AO176" s="11">
        <f t="shared" si="111"/>
        <v>0.18114902527947976</v>
      </c>
      <c r="AP176" s="11">
        <v>0.43934048282610039</v>
      </c>
      <c r="AQ176" s="11">
        <f t="shared" si="101"/>
        <v>1.4172273639551625</v>
      </c>
      <c r="AR176" s="11">
        <f t="shared" si="112"/>
        <v>0.34870240228676097</v>
      </c>
      <c r="AS176" s="11">
        <v>0.29937535828963574</v>
      </c>
      <c r="AT176" s="11">
        <f t="shared" si="102"/>
        <v>0.96572696222463139</v>
      </c>
      <c r="AU176" s="11">
        <f t="shared" si="113"/>
        <v>-3.487413252262575E-2</v>
      </c>
      <c r="AZ176" t="b">
        <f t="shared" si="90"/>
        <v>1</v>
      </c>
      <c r="BB176" t="b">
        <f t="shared" si="91"/>
        <v>0</v>
      </c>
      <c r="BD176" t="b">
        <f t="shared" si="92"/>
        <v>0</v>
      </c>
    </row>
    <row r="177" spans="1:56">
      <c r="A177" s="89"/>
      <c r="B177" s="5">
        <f>'[40]Dados de entrada'!$B$28</f>
        <v>10</v>
      </c>
      <c r="C177" s="5">
        <f>'[40]Dados de entrada'!$B$31</f>
        <v>1</v>
      </c>
      <c r="D177" s="5">
        <f>'[40]Dados de entrada'!$B$32</f>
        <v>45</v>
      </c>
      <c r="E177" s="11">
        <f>'[40]Dados de entrada'!$B$27</f>
        <v>2.8</v>
      </c>
      <c r="F177" s="5">
        <f>'[40]Dados de entrada'!$B$30</f>
        <v>40</v>
      </c>
      <c r="G177" s="12">
        <f>'[40]Dados de entrada'!$B$22</f>
        <v>45</v>
      </c>
      <c r="H177" s="52">
        <f>'[40]Dados de entrada'!$B$29/(2*'[40]Dados de entrada'!$B$20*G177)</f>
        <v>8.7222222222222215E-3</v>
      </c>
      <c r="I177" s="53">
        <v>400.87238594848156</v>
      </c>
      <c r="J177" s="4">
        <v>0.36</v>
      </c>
      <c r="K177" s="11">
        <v>0.33956033872502711</v>
      </c>
      <c r="L177" s="11">
        <f t="shared" si="114"/>
        <v>0.94322316312507537</v>
      </c>
      <c r="M177" s="29">
        <f t="shared" si="103"/>
        <v>-5.8452372039870949E-2</v>
      </c>
      <c r="N177" s="11">
        <v>0.28121358348123665</v>
      </c>
      <c r="O177" s="11">
        <f t="shared" si="116"/>
        <v>0.78114884300343512</v>
      </c>
      <c r="P177" s="55">
        <f t="shared" si="104"/>
        <v>-0.24698956727051144</v>
      </c>
      <c r="Q177" s="11">
        <v>0.37535930556213459</v>
      </c>
      <c r="R177" s="11">
        <f t="shared" si="95"/>
        <v>1.0426647376725962</v>
      </c>
      <c r="S177" s="11">
        <f t="shared" si="105"/>
        <v>4.1779683954991827E-2</v>
      </c>
      <c r="T177" s="11">
        <v>0.33772620107470475</v>
      </c>
      <c r="U177" s="11">
        <v>0.28621520812574058</v>
      </c>
      <c r="V177" s="11">
        <v>0.79504224479372387</v>
      </c>
      <c r="W177" s="11">
        <f t="shared" si="106"/>
        <v>-0.22936002763427121</v>
      </c>
      <c r="X177" s="11">
        <v>0.46014038524295764</v>
      </c>
      <c r="Y177" s="11">
        <f t="shared" si="96"/>
        <v>1.2781677367859934</v>
      </c>
      <c r="Z177" s="11">
        <f t="shared" si="107"/>
        <v>0.24542759678419809</v>
      </c>
      <c r="AA177" s="11">
        <v>0.45690600461126074</v>
      </c>
      <c r="AB177" s="11">
        <f t="shared" si="115"/>
        <v>1.2691833461423909</v>
      </c>
      <c r="AC177" s="11">
        <f t="shared" si="94"/>
        <v>0.23837365910157082</v>
      </c>
      <c r="AD177" s="11">
        <v>0.43780866215658465</v>
      </c>
      <c r="AE177" s="11">
        <f t="shared" si="97"/>
        <v>1.2161351726571796</v>
      </c>
      <c r="AF177" s="11">
        <f t="shared" si="108"/>
        <v>0.19567793909062289</v>
      </c>
      <c r="AG177" s="11">
        <v>0.29662589460968308</v>
      </c>
      <c r="AH177" s="11">
        <f t="shared" si="98"/>
        <v>0.82396081836023083</v>
      </c>
      <c r="AI177" s="11">
        <f t="shared" si="109"/>
        <v>-0.19363230073692828</v>
      </c>
      <c r="AJ177" s="11">
        <v>0.22058988057289108</v>
      </c>
      <c r="AK177" s="11">
        <f t="shared" si="99"/>
        <v>0.61274966825803079</v>
      </c>
      <c r="AL177" s="11">
        <f t="shared" si="110"/>
        <v>-0.48979879797262421</v>
      </c>
      <c r="AM177" s="11">
        <v>0.38477334716431372</v>
      </c>
      <c r="AN177" s="11">
        <f t="shared" si="100"/>
        <v>1.0688148532342048</v>
      </c>
      <c r="AO177" s="11">
        <f t="shared" si="111"/>
        <v>6.6550420816521544E-2</v>
      </c>
      <c r="AP177" s="11">
        <v>0.47439058791727873</v>
      </c>
      <c r="AQ177" s="11">
        <f t="shared" si="101"/>
        <v>1.3177516331035521</v>
      </c>
      <c r="AR177" s="11">
        <f t="shared" si="112"/>
        <v>0.27592697606453581</v>
      </c>
      <c r="AS177" s="11">
        <v>0.32220637544976205</v>
      </c>
      <c r="AT177" s="11">
        <f t="shared" si="102"/>
        <v>0.89501770958267235</v>
      </c>
      <c r="AU177" s="11">
        <f t="shared" si="113"/>
        <v>-0.11091177365983727</v>
      </c>
      <c r="AZ177" t="b">
        <f t="shared" si="90"/>
        <v>1</v>
      </c>
      <c r="BB177" t="b">
        <f t="shared" si="91"/>
        <v>0</v>
      </c>
      <c r="BD177" t="b">
        <f t="shared" si="92"/>
        <v>0</v>
      </c>
    </row>
    <row r="178" spans="1:56" ht="13.8" customHeight="1">
      <c r="A178" s="85" t="s">
        <v>77</v>
      </c>
      <c r="B178" s="21">
        <f>'[41]Dados de entrada'!$B$28</f>
        <v>10</v>
      </c>
      <c r="C178" s="21">
        <f>'[41]Dados de entrada'!$B$31</f>
        <v>1</v>
      </c>
      <c r="D178" s="21">
        <f>'[41]Dados de entrada'!$B$32</f>
        <v>45</v>
      </c>
      <c r="E178" s="20">
        <f>'[41]Dados de entrada'!$B$27</f>
        <v>2.8</v>
      </c>
      <c r="F178" s="21">
        <f>'[41]Dados de entrada'!$B$30</f>
        <v>40</v>
      </c>
      <c r="G178" s="56">
        <f>'[41]Dados de entrada'!$B$22</f>
        <v>45</v>
      </c>
      <c r="H178" s="57">
        <f>'[41]Dados de entrada'!$B$29/(2*'[41]Dados de entrada'!$B$20*G178)</f>
        <v>8.7222222222222215E-3</v>
      </c>
      <c r="I178" s="27" cm="1">
        <f t="array" ref="I178:I185">'[41]fib Model Code 2010'!$K$5:$K$12</f>
        <v>308.9780516280656</v>
      </c>
      <c r="J178" s="19" cm="1">
        <f t="array" ref="J178:J185">'[41]Dados de entrada'!$C$7:$C$14</f>
        <v>0.16</v>
      </c>
      <c r="K178" s="20" cm="1">
        <f t="array" ref="K178:K185">'[41]fib Model Code 2010'!$L$5:$L$12</f>
        <v>0.16357637026732849</v>
      </c>
      <c r="L178" s="20">
        <f t="shared" si="114"/>
        <v>1.0223523141708031</v>
      </c>
      <c r="M178" s="54">
        <f t="shared" si="103"/>
        <v>2.2106162484158996E-2</v>
      </c>
      <c r="N178" s="20" cm="1">
        <f t="array" ref="N178:N185">'[41]fib Model Code 2020'!$L$5:$L$12</f>
        <v>0.18780889152825411</v>
      </c>
      <c r="O178" s="20">
        <f t="shared" si="116"/>
        <v>1.1738055720515881</v>
      </c>
      <c r="P178" s="28">
        <f t="shared" si="104"/>
        <v>0.16025109615041433</v>
      </c>
      <c r="Q178" s="20" cm="1">
        <f t="array" ref="Q178:Q185">'[41]Eurocode 2'!$L$5:$L$12</f>
        <v>0.28931348468576495</v>
      </c>
      <c r="R178" s="20">
        <f t="shared" si="95"/>
        <v>1.8082092792860309</v>
      </c>
      <c r="S178" s="20">
        <f t="shared" si="105"/>
        <v>0.59233700708875503</v>
      </c>
      <c r="T178" s="20" cm="1">
        <f t="array" ref="T178:T185">'[41]NBR 6118'!$Q$5:$Q$12</f>
        <v>0.26030723803764622</v>
      </c>
      <c r="U178" s="20" cm="1">
        <f t="array" ref="U178:U185">'[41]NBR 6118'!$R$5:$R$12</f>
        <v>0.17003396609485399</v>
      </c>
      <c r="V178" s="20" cm="1">
        <f t="array" ref="V178:V185">'[41]NBR 6118'!$W$5:$W$12</f>
        <v>1.0627122880928375</v>
      </c>
      <c r="W178" s="20">
        <f t="shared" si="106"/>
        <v>6.0824402416926333E-2</v>
      </c>
      <c r="X178" s="20" cm="1">
        <f t="array" ref="X178:X185">'[41]Clark (1956)'!$L$5:$L$12</f>
        <v>0.28840918976773444</v>
      </c>
      <c r="Y178" s="20">
        <f t="shared" si="96"/>
        <v>1.8025574360483403</v>
      </c>
      <c r="Z178" s="20">
        <f t="shared" si="107"/>
        <v>0.58920645432857299</v>
      </c>
      <c r="AA178" s="20" cm="1">
        <f t="array" ref="AA178:AA185">'[41]Leonhardt (1977)'!$L$5:$L$12</f>
        <v>0.25457315086049842</v>
      </c>
      <c r="AB178" s="20">
        <f t="shared" si="115"/>
        <v>1.5910821928781151</v>
      </c>
      <c r="AC178" s="20">
        <f t="shared" si="94"/>
        <v>0.46441440916400889</v>
      </c>
      <c r="AD178" s="20" cm="1">
        <f t="array" ref="AD178:AD185">'[41]Desayi; Ganesan (1985)'!$L$5:$L$12</f>
        <v>0.33744720804095568</v>
      </c>
      <c r="AE178" s="20">
        <f t="shared" si="97"/>
        <v>2.1090450502559728</v>
      </c>
      <c r="AF178" s="20">
        <f t="shared" si="108"/>
        <v>0.74623526222438596</v>
      </c>
      <c r="AG178" s="20" cm="1">
        <f t="array" ref="AG178:AG185">'[41]Oh; Kang (1987)'!$L$5:$L$12</f>
        <v>0.22007337269831376</v>
      </c>
      <c r="AH178" s="20">
        <f t="shared" si="98"/>
        <v>1.3754585793644609</v>
      </c>
      <c r="AI178" s="20">
        <f t="shared" si="109"/>
        <v>0.31878718778074411</v>
      </c>
      <c r="AJ178" s="20" cm="1">
        <f t="array" ref="AJ178:AJ185">'[41]Caldas (1997)'!$L$5:$L$12</f>
        <v>0.16550068128500958</v>
      </c>
      <c r="AK178" s="20">
        <f t="shared" si="99"/>
        <v>1.0343792580313098</v>
      </c>
      <c r="AL178" s="20">
        <f t="shared" si="110"/>
        <v>3.3801496100555384E-2</v>
      </c>
      <c r="AM178" s="20" cm="1">
        <f t="array" ref="AM178:AM185">'[41]Gergely e Lutz (1968)'!$L$5:$L$12</f>
        <v>0.29656949017315881</v>
      </c>
      <c r="AN178" s="20">
        <f t="shared" si="100"/>
        <v>1.8535593135822426</v>
      </c>
      <c r="AO178" s="20">
        <f t="shared" si="111"/>
        <v>0.61710774395028478</v>
      </c>
      <c r="AP178" s="20" cm="1">
        <f t="array" ref="AP178:AP185">[41]Sugestão!$M$5:$M$12</f>
        <v>0.27265776212243337</v>
      </c>
      <c r="AQ178" s="20">
        <f t="shared" si="101"/>
        <v>1.7041110132652084</v>
      </c>
      <c r="AR178" s="20">
        <f t="shared" si="112"/>
        <v>0.53304357491486132</v>
      </c>
      <c r="AS178" s="20" cm="1">
        <f t="array" ref="AS178:AS185">'[41]fib Model Code 2020 modificado'!$L$5:$L$12</f>
        <v>0.21668063080776687</v>
      </c>
      <c r="AT178" s="20">
        <f t="shared" si="102"/>
        <v>1.3542539425485429</v>
      </c>
      <c r="AU178" s="20">
        <f t="shared" si="113"/>
        <v>0.30325070679294269</v>
      </c>
      <c r="AZ178" t="b">
        <f t="shared" si="90"/>
        <v>1</v>
      </c>
      <c r="BB178" t="b">
        <f t="shared" si="91"/>
        <v>0</v>
      </c>
      <c r="BD178" t="b">
        <f t="shared" si="92"/>
        <v>0</v>
      </c>
    </row>
    <row r="179" spans="1:56">
      <c r="A179" s="90"/>
      <c r="B179" s="21">
        <f>'[41]Dados de entrada'!$B$28</f>
        <v>10</v>
      </c>
      <c r="C179" s="21">
        <f>'[41]Dados de entrada'!$B$31</f>
        <v>1</v>
      </c>
      <c r="D179" s="21">
        <f>'[41]Dados de entrada'!$B$32</f>
        <v>45</v>
      </c>
      <c r="E179" s="20">
        <f>'[41]Dados de entrada'!$B$27</f>
        <v>2.8</v>
      </c>
      <c r="F179" s="21">
        <f>'[41]Dados de entrada'!$B$30</f>
        <v>40</v>
      </c>
      <c r="G179" s="56">
        <f>'[41]Dados de entrada'!$B$22</f>
        <v>45</v>
      </c>
      <c r="H179" s="57">
        <f>'[41]Dados de entrada'!$B$29/(2*'[41]Dados de entrada'!$B$20*G179)</f>
        <v>8.7222222222222215E-3</v>
      </c>
      <c r="I179" s="27">
        <v>322.29607109479258</v>
      </c>
      <c r="J179" s="19">
        <v>0.18</v>
      </c>
      <c r="K179" s="20">
        <v>0.1890812932322124</v>
      </c>
      <c r="L179" s="20">
        <f t="shared" si="114"/>
        <v>1.0504516290678467</v>
      </c>
      <c r="M179" s="54">
        <f t="shared" si="103"/>
        <v>4.9220194614843393E-2</v>
      </c>
      <c r="N179" s="20">
        <v>0.19590410236998923</v>
      </c>
      <c r="O179" s="20">
        <f t="shared" si="116"/>
        <v>1.088356124277718</v>
      </c>
      <c r="P179" s="28">
        <f t="shared" si="104"/>
        <v>8.4668414984407608E-2</v>
      </c>
      <c r="Q179" s="20">
        <v>0.30178389350842721</v>
      </c>
      <c r="R179" s="20">
        <f t="shared" si="95"/>
        <v>1.6765771861579291</v>
      </c>
      <c r="S179" s="20">
        <f t="shared" si="105"/>
        <v>0.51675432592274806</v>
      </c>
      <c r="T179" s="20">
        <v>0.27152737760823437</v>
      </c>
      <c r="U179" s="20">
        <v>0.18500797395918225</v>
      </c>
      <c r="V179" s="20">
        <v>1.0278220775510125</v>
      </c>
      <c r="W179" s="20">
        <f t="shared" si="106"/>
        <v>2.7442075741295383E-2</v>
      </c>
      <c r="X179" s="20">
        <v>0.31329776882211469</v>
      </c>
      <c r="Y179" s="20">
        <f t="shared" si="96"/>
        <v>1.7405431601228594</v>
      </c>
      <c r="Z179" s="20">
        <f t="shared" si="107"/>
        <v>0.55419722550448192</v>
      </c>
      <c r="AA179" s="20">
        <v>0.28584412159935541</v>
      </c>
      <c r="AB179" s="20">
        <f t="shared" si="115"/>
        <v>1.5880228977741968</v>
      </c>
      <c r="AC179" s="20">
        <f t="shared" si="94"/>
        <v>0.46248978197426011</v>
      </c>
      <c r="AD179" s="20">
        <v>0.35199234631858312</v>
      </c>
      <c r="AE179" s="20">
        <f t="shared" si="97"/>
        <v>1.9555130351032397</v>
      </c>
      <c r="AF179" s="20">
        <f t="shared" si="108"/>
        <v>0.67065258105837922</v>
      </c>
      <c r="AG179" s="20">
        <v>0.23116794109126582</v>
      </c>
      <c r="AH179" s="20">
        <f t="shared" si="98"/>
        <v>1.2842663393959213</v>
      </c>
      <c r="AI179" s="20">
        <f t="shared" si="109"/>
        <v>0.25018761319333427</v>
      </c>
      <c r="AJ179" s="20">
        <v>0.1734846232107895</v>
      </c>
      <c r="AK179" s="20">
        <f t="shared" si="99"/>
        <v>0.96380346228216396</v>
      </c>
      <c r="AL179" s="20">
        <f t="shared" si="110"/>
        <v>-3.6867882458053308E-2</v>
      </c>
      <c r="AM179" s="20">
        <v>0.30935265785303639</v>
      </c>
      <c r="AN179" s="20">
        <f t="shared" si="100"/>
        <v>1.7186258769613134</v>
      </c>
      <c r="AO179" s="20">
        <f t="shared" si="111"/>
        <v>0.54152506278427792</v>
      </c>
      <c r="AP179" s="20">
        <v>0.29666931444965422</v>
      </c>
      <c r="AQ179" s="20">
        <f t="shared" si="101"/>
        <v>1.6481628580536347</v>
      </c>
      <c r="AR179" s="20">
        <f t="shared" si="112"/>
        <v>0.49966124823923097</v>
      </c>
      <c r="AS179" s="20">
        <v>0.22643211740028696</v>
      </c>
      <c r="AT179" s="20">
        <f t="shared" si="102"/>
        <v>1.257956207779372</v>
      </c>
      <c r="AU179" s="20">
        <f t="shared" si="113"/>
        <v>0.22948834668614157</v>
      </c>
      <c r="AZ179" t="b">
        <f t="shared" si="90"/>
        <v>1</v>
      </c>
      <c r="BB179" t="b">
        <f t="shared" si="91"/>
        <v>0</v>
      </c>
      <c r="BD179" t="b">
        <f t="shared" si="92"/>
        <v>0</v>
      </c>
    </row>
    <row r="180" spans="1:56">
      <c r="A180" s="90"/>
      <c r="B180" s="21">
        <f>'[41]Dados de entrada'!$B$28</f>
        <v>10</v>
      </c>
      <c r="C180" s="21">
        <f>'[41]Dados de entrada'!$B$31</f>
        <v>1</v>
      </c>
      <c r="D180" s="21">
        <f>'[41]Dados de entrada'!$B$32</f>
        <v>45</v>
      </c>
      <c r="E180" s="20">
        <f>'[41]Dados de entrada'!$B$27</f>
        <v>2.8</v>
      </c>
      <c r="F180" s="21">
        <f>'[41]Dados de entrada'!$B$30</f>
        <v>40</v>
      </c>
      <c r="G180" s="56">
        <f>'[41]Dados de entrada'!$B$22</f>
        <v>45</v>
      </c>
      <c r="H180" s="57">
        <f>'[41]Dados de entrada'!$B$29/(2*'[41]Dados de entrada'!$B$20*G180)</f>
        <v>8.7222222222222215E-3</v>
      </c>
      <c r="I180" s="27">
        <v>334.72622259707111</v>
      </c>
      <c r="J180" s="19">
        <v>0.2</v>
      </c>
      <c r="K180" s="20">
        <v>0.21288588799943745</v>
      </c>
      <c r="L180" s="20">
        <f t="shared" si="114"/>
        <v>1.0644294399971872</v>
      </c>
      <c r="M180" s="54">
        <f t="shared" si="103"/>
        <v>6.2438918511154316E-2</v>
      </c>
      <c r="N180" s="20">
        <v>0.203459632488942</v>
      </c>
      <c r="O180" s="20">
        <f t="shared" si="116"/>
        <v>1.0172981624447099</v>
      </c>
      <c r="P180" s="28">
        <f t="shared" si="104"/>
        <v>1.7150252509741275E-2</v>
      </c>
      <c r="Q180" s="20">
        <v>0.31342294174291202</v>
      </c>
      <c r="R180" s="20">
        <f t="shared" si="95"/>
        <v>1.56711470871456</v>
      </c>
      <c r="S180" s="20">
        <f t="shared" si="105"/>
        <v>0.44923616344808165</v>
      </c>
      <c r="T180" s="20">
        <v>0.28199950787411665</v>
      </c>
      <c r="U180" s="20">
        <v>0.19955375187521049</v>
      </c>
      <c r="V180" s="20">
        <v>0.99776875937605236</v>
      </c>
      <c r="W180" s="20">
        <f t="shared" si="106"/>
        <v>-2.2337335502111652E-3</v>
      </c>
      <c r="X180" s="20">
        <v>0.33652710927286961</v>
      </c>
      <c r="Y180" s="20">
        <f t="shared" si="96"/>
        <v>1.6826355463643479</v>
      </c>
      <c r="Z180" s="20">
        <f t="shared" si="107"/>
        <v>0.52036134176685922</v>
      </c>
      <c r="AA180" s="20">
        <v>0.31431708743144865</v>
      </c>
      <c r="AB180" s="20">
        <f t="shared" si="115"/>
        <v>1.5715854371572431</v>
      </c>
      <c r="AC180" s="20">
        <f t="shared" si="94"/>
        <v>0.45208494240652702</v>
      </c>
      <c r="AD180" s="20">
        <v>0.36556780871103534</v>
      </c>
      <c r="AE180" s="20">
        <f t="shared" si="97"/>
        <v>1.8278390435551766</v>
      </c>
      <c r="AF180" s="20">
        <f t="shared" si="108"/>
        <v>0.60313441858371275</v>
      </c>
      <c r="AG180" s="20">
        <v>0.24152287159135447</v>
      </c>
      <c r="AH180" s="20">
        <f t="shared" si="98"/>
        <v>1.2076143579567722</v>
      </c>
      <c r="AI180" s="20">
        <f t="shared" si="109"/>
        <v>0.18864680844264442</v>
      </c>
      <c r="AJ180" s="20">
        <v>0.18093630234151747</v>
      </c>
      <c r="AK180" s="20">
        <f t="shared" si="99"/>
        <v>0.90468151170758737</v>
      </c>
      <c r="AL180" s="20">
        <f t="shared" si="110"/>
        <v>-0.1001723179859523</v>
      </c>
      <c r="AM180" s="20">
        <v>0.32128361435425545</v>
      </c>
      <c r="AN180" s="20">
        <f t="shared" si="100"/>
        <v>1.6064180717712773</v>
      </c>
      <c r="AO180" s="20">
        <f t="shared" si="111"/>
        <v>0.47400690030961168</v>
      </c>
      <c r="AP180" s="20">
        <v>0.31999417915757805</v>
      </c>
      <c r="AQ180" s="20">
        <f t="shared" si="101"/>
        <v>1.5999708957878902</v>
      </c>
      <c r="AR180" s="20">
        <f t="shared" si="112"/>
        <v>0.46998543894772449</v>
      </c>
      <c r="AS180" s="20">
        <v>0.2355642105831362</v>
      </c>
      <c r="AT180" s="20">
        <f t="shared" si="102"/>
        <v>1.177821052915681</v>
      </c>
      <c r="AU180" s="20">
        <f t="shared" si="113"/>
        <v>0.16366616614840895</v>
      </c>
      <c r="AZ180" t="b">
        <f t="shared" si="90"/>
        <v>1</v>
      </c>
      <c r="BB180" t="b">
        <f t="shared" si="91"/>
        <v>0</v>
      </c>
      <c r="BD180" t="b">
        <f t="shared" si="92"/>
        <v>0</v>
      </c>
    </row>
    <row r="181" spans="1:56">
      <c r="A181" s="90"/>
      <c r="B181" s="21">
        <f>'[41]Dados de entrada'!$B$28</f>
        <v>10</v>
      </c>
      <c r="C181" s="21">
        <f>'[41]Dados de entrada'!$B$31</f>
        <v>1</v>
      </c>
      <c r="D181" s="21">
        <f>'[41]Dados de entrada'!$B$32</f>
        <v>45</v>
      </c>
      <c r="E181" s="20">
        <f>'[41]Dados de entrada'!$B$27</f>
        <v>2.8</v>
      </c>
      <c r="F181" s="21">
        <f>'[41]Dados de entrada'!$B$30</f>
        <v>40</v>
      </c>
      <c r="G181" s="56">
        <f>'[41]Dados de entrada'!$B$22</f>
        <v>45</v>
      </c>
      <c r="H181" s="57">
        <f>'[41]Dados de entrada'!$B$29/(2*'[41]Dados de entrada'!$B$20*G181)</f>
        <v>8.7222222222222215E-3</v>
      </c>
      <c r="I181" s="27">
        <v>347.60030808157381</v>
      </c>
      <c r="J181" s="19">
        <v>0.23</v>
      </c>
      <c r="K181" s="20">
        <v>0.23754064686549181</v>
      </c>
      <c r="L181" s="20">
        <f t="shared" si="114"/>
        <v>1.0327854211543122</v>
      </c>
      <c r="M181" s="54">
        <f t="shared" si="103"/>
        <v>3.225944460472522E-2</v>
      </c>
      <c r="N181" s="20">
        <v>0.2112850029692859</v>
      </c>
      <c r="O181" s="20">
        <f t="shared" si="116"/>
        <v>0.91863044769254731</v>
      </c>
      <c r="P181" s="28">
        <f t="shared" si="104"/>
        <v>-8.4871361882570537E-2</v>
      </c>
      <c r="Q181" s="20">
        <v>0.32547767027148555</v>
      </c>
      <c r="R181" s="20">
        <f t="shared" si="95"/>
        <v>1.415120305528198</v>
      </c>
      <c r="S181" s="20">
        <f t="shared" si="105"/>
        <v>0.34721454905576993</v>
      </c>
      <c r="T181" s="20">
        <v>0.29284564279235192</v>
      </c>
      <c r="U181" s="20">
        <v>0.2151992383387995</v>
      </c>
      <c r="V181" s="20">
        <v>0.93564886234260647</v>
      </c>
      <c r="W181" s="20">
        <f t="shared" si="106"/>
        <v>-6.6515019959675667E-2</v>
      </c>
      <c r="X181" s="20">
        <v>0.36058606902543705</v>
      </c>
      <c r="Y181" s="20">
        <f t="shared" si="96"/>
        <v>1.5677655175019001</v>
      </c>
      <c r="Z181" s="20">
        <f t="shared" si="107"/>
        <v>0.44965136833613262</v>
      </c>
      <c r="AA181" s="20">
        <v>0.34316160218805503</v>
      </c>
      <c r="AB181" s="20">
        <f t="shared" si="115"/>
        <v>1.4920069660350217</v>
      </c>
      <c r="AC181" s="20">
        <f t="shared" si="94"/>
        <v>0.40012217069494699</v>
      </c>
      <c r="AD181" s="20">
        <v>0.37962810904607519</v>
      </c>
      <c r="AE181" s="20">
        <f t="shared" si="97"/>
        <v>1.6505569958525008</v>
      </c>
      <c r="AF181" s="20">
        <f t="shared" si="108"/>
        <v>0.50111280419140114</v>
      </c>
      <c r="AG181" s="20">
        <v>0.25224762103787479</v>
      </c>
      <c r="AH181" s="20">
        <f t="shared" si="98"/>
        <v>1.0967287871211946</v>
      </c>
      <c r="AI181" s="20">
        <f t="shared" si="109"/>
        <v>9.233191929627807E-2</v>
      </c>
      <c r="AJ181" s="20">
        <v>0.18865411286977138</v>
      </c>
      <c r="AK181" s="20">
        <f t="shared" si="99"/>
        <v>0.82023527334683199</v>
      </c>
      <c r="AL181" s="20">
        <f t="shared" si="110"/>
        <v>-0.1981640611614926</v>
      </c>
      <c r="AM181" s="20">
        <v>0.33364067644480372</v>
      </c>
      <c r="AN181" s="20">
        <f t="shared" si="100"/>
        <v>1.4506116367165378</v>
      </c>
      <c r="AO181" s="20">
        <f t="shared" si="111"/>
        <v>0.37198528591729985</v>
      </c>
      <c r="AP181" s="20">
        <v>0.34508248018620474</v>
      </c>
      <c r="AQ181" s="20">
        <f t="shared" si="101"/>
        <v>1.5003586095052379</v>
      </c>
      <c r="AR181" s="20">
        <f t="shared" si="112"/>
        <v>0.40570415253825981</v>
      </c>
      <c r="AS181" s="20">
        <v>0.24505370396359324</v>
      </c>
      <c r="AT181" s="20">
        <f t="shared" si="102"/>
        <v>1.0654508867982315</v>
      </c>
      <c r="AU181" s="20">
        <f t="shared" si="113"/>
        <v>6.339807745215538E-2</v>
      </c>
      <c r="AZ181" t="b">
        <f t="shared" si="90"/>
        <v>1</v>
      </c>
      <c r="BB181" t="b">
        <f t="shared" si="91"/>
        <v>0</v>
      </c>
      <c r="BD181" t="b">
        <f t="shared" si="92"/>
        <v>0</v>
      </c>
    </row>
    <row r="182" spans="1:56">
      <c r="A182" s="90"/>
      <c r="B182" s="21">
        <f>'[41]Dados de entrada'!$B$28</f>
        <v>10</v>
      </c>
      <c r="C182" s="21">
        <f>'[41]Dados de entrada'!$B$31</f>
        <v>1</v>
      </c>
      <c r="D182" s="21">
        <f>'[41]Dados de entrada'!$B$32</f>
        <v>45</v>
      </c>
      <c r="E182" s="20">
        <f>'[41]Dados de entrada'!$B$27</f>
        <v>2.8</v>
      </c>
      <c r="F182" s="21">
        <f>'[41]Dados de entrada'!$B$30</f>
        <v>40</v>
      </c>
      <c r="G182" s="56">
        <f>'[41]Dados de entrada'!$B$22</f>
        <v>45</v>
      </c>
      <c r="H182" s="57">
        <f>'[41]Dados de entrada'!$B$29/(2*'[41]Dados de entrada'!$B$20*G182)</f>
        <v>8.7222222222222215E-3</v>
      </c>
      <c r="I182" s="27">
        <v>361.36226153052507</v>
      </c>
      <c r="J182" s="19">
        <v>0.24</v>
      </c>
      <c r="K182" s="20">
        <v>0.26389573392920529</v>
      </c>
      <c r="L182" s="20">
        <f t="shared" si="114"/>
        <v>1.0995655580383554</v>
      </c>
      <c r="M182" s="54">
        <f t="shared" si="103"/>
        <v>9.4915154554264664E-2</v>
      </c>
      <c r="N182" s="20">
        <v>0.22117410307170166</v>
      </c>
      <c r="O182" s="20">
        <f t="shared" si="116"/>
        <v>0.92155876279875693</v>
      </c>
      <c r="P182" s="28">
        <f t="shared" si="104"/>
        <v>-8.1688735268651058E-2</v>
      </c>
      <c r="Q182" s="20">
        <v>0.33836375938823665</v>
      </c>
      <c r="R182" s="20">
        <f t="shared" si="95"/>
        <v>1.409848997450986</v>
      </c>
      <c r="S182" s="20">
        <f t="shared" si="105"/>
        <v>0.34348260464871144</v>
      </c>
      <c r="T182" s="20">
        <v>0.30443978701529306</v>
      </c>
      <c r="U182" s="20">
        <v>0.23257659903592331</v>
      </c>
      <c r="V182" s="20">
        <v>0.96906916264968046</v>
      </c>
      <c r="W182" s="20">
        <f t="shared" si="106"/>
        <v>-3.1419294354997199E-2</v>
      </c>
      <c r="X182" s="20">
        <v>0.38630426738163004</v>
      </c>
      <c r="Y182" s="20">
        <f t="shared" si="96"/>
        <v>1.6096011140901252</v>
      </c>
      <c r="Z182" s="20">
        <f t="shared" si="107"/>
        <v>0.4759863930764513</v>
      </c>
      <c r="AA182" s="20">
        <v>0.37334774032491186</v>
      </c>
      <c r="AB182" s="20">
        <f t="shared" si="115"/>
        <v>1.5556155846871329</v>
      </c>
      <c r="AC182" s="20">
        <f t="shared" si="94"/>
        <v>0.44187134169047232</v>
      </c>
      <c r="AD182" s="20">
        <v>0.3946580852662902</v>
      </c>
      <c r="AE182" s="20">
        <f t="shared" si="97"/>
        <v>1.6444086886095426</v>
      </c>
      <c r="AF182" s="20">
        <f t="shared" si="108"/>
        <v>0.49738085978434254</v>
      </c>
      <c r="AG182" s="20">
        <v>0.26371200837725867</v>
      </c>
      <c r="AH182" s="20">
        <f t="shared" si="98"/>
        <v>1.0988000349052445</v>
      </c>
      <c r="AI182" s="20">
        <f t="shared" si="109"/>
        <v>9.421870700567625E-2</v>
      </c>
      <c r="AJ182" s="20">
        <v>0.1969041861930774</v>
      </c>
      <c r="AK182" s="20">
        <f t="shared" si="99"/>
        <v>0.82043410913782255</v>
      </c>
      <c r="AL182" s="20">
        <f t="shared" si="110"/>
        <v>-0.1979216774197263</v>
      </c>
      <c r="AM182" s="20">
        <v>0.34684994971401056</v>
      </c>
      <c r="AN182" s="20">
        <f t="shared" si="100"/>
        <v>1.4452081238083774</v>
      </c>
      <c r="AO182" s="20">
        <f t="shared" si="111"/>
        <v>0.36825334151024136</v>
      </c>
      <c r="AP182" s="20">
        <v>0.37376286684905669</v>
      </c>
      <c r="AQ182" s="20">
        <f t="shared" si="101"/>
        <v>1.5573452785377362</v>
      </c>
      <c r="AR182" s="20">
        <f t="shared" si="112"/>
        <v>0.44298262712232278</v>
      </c>
      <c r="AS182" s="20">
        <v>0.25675686191704422</v>
      </c>
      <c r="AT182" s="20">
        <f t="shared" si="102"/>
        <v>1.0698202579876843</v>
      </c>
      <c r="AU182" s="20">
        <f t="shared" si="113"/>
        <v>6.7490651173978553E-2</v>
      </c>
      <c r="AZ182" t="b">
        <f t="shared" si="90"/>
        <v>1</v>
      </c>
      <c r="BB182" t="b">
        <f t="shared" si="91"/>
        <v>0</v>
      </c>
      <c r="BD182" t="b">
        <f t="shared" si="92"/>
        <v>0</v>
      </c>
    </row>
    <row r="183" spans="1:56">
      <c r="A183" s="90"/>
      <c r="B183" s="21">
        <f>'[41]Dados de entrada'!$B$28</f>
        <v>10</v>
      </c>
      <c r="C183" s="21">
        <f>'[41]Dados de entrada'!$B$31</f>
        <v>1</v>
      </c>
      <c r="D183" s="21">
        <f>'[41]Dados de entrada'!$B$32</f>
        <v>45</v>
      </c>
      <c r="E183" s="20">
        <f>'[41]Dados de entrada'!$B$27</f>
        <v>2.8</v>
      </c>
      <c r="F183" s="21">
        <f>'[41]Dados de entrada'!$B$30</f>
        <v>40</v>
      </c>
      <c r="G183" s="56">
        <f>'[41]Dados de entrada'!$B$22</f>
        <v>45</v>
      </c>
      <c r="H183" s="57">
        <f>'[41]Dados de entrada'!$B$29/(2*'[41]Dados de entrada'!$B$20*G183)</f>
        <v>8.7222222222222215E-3</v>
      </c>
      <c r="I183" s="27">
        <v>375.5681489617005</v>
      </c>
      <c r="J183" s="19">
        <v>0.25</v>
      </c>
      <c r="K183" s="20">
        <v>0.29110098509174809</v>
      </c>
      <c r="L183" s="20">
        <f t="shared" si="114"/>
        <v>1.1644039403669924</v>
      </c>
      <c r="M183" s="54">
        <f t="shared" si="103"/>
        <v>0.15220931691571826</v>
      </c>
      <c r="N183" s="20">
        <v>0.24276133198299524</v>
      </c>
      <c r="O183" s="20">
        <f t="shared" si="116"/>
        <v>0.97104532793198095</v>
      </c>
      <c r="P183" s="28">
        <f t="shared" si="104"/>
        <v>-2.9382130079049645E-2</v>
      </c>
      <c r="Q183" s="20">
        <v>0.35166552879907637</v>
      </c>
      <c r="R183" s="20">
        <f t="shared" si="95"/>
        <v>1.4066621151963055</v>
      </c>
      <c r="S183" s="20">
        <f t="shared" si="105"/>
        <v>0.34121960373213917</v>
      </c>
      <c r="T183" s="20">
        <v>0.31640793589058713</v>
      </c>
      <c r="U183" s="20">
        <v>0.25122215219469318</v>
      </c>
      <c r="V183" s="20">
        <v>1.0048886087787727</v>
      </c>
      <c r="W183" s="20">
        <f t="shared" si="106"/>
        <v>4.8766983321138482E-3</v>
      </c>
      <c r="X183" s="20">
        <v>0.41285208503963555</v>
      </c>
      <c r="Y183" s="20">
        <f t="shared" si="96"/>
        <v>1.6514083401585422</v>
      </c>
      <c r="Z183" s="20">
        <f t="shared" si="107"/>
        <v>0.50162846334482802</v>
      </c>
      <c r="AA183" s="20">
        <v>0.40388198949836024</v>
      </c>
      <c r="AB183" s="20">
        <f t="shared" si="115"/>
        <v>1.615527957993441</v>
      </c>
      <c r="AC183" s="20">
        <f t="shared" si="94"/>
        <v>0.47966181222579063</v>
      </c>
      <c r="AD183" s="20">
        <v>0.41017289942909274</v>
      </c>
      <c r="AE183" s="20">
        <f t="shared" si="97"/>
        <v>1.640691597716371</v>
      </c>
      <c r="AF183" s="20">
        <f t="shared" si="108"/>
        <v>0.49511785886777032</v>
      </c>
      <c r="AG183" s="20">
        <v>0.27554621466307422</v>
      </c>
      <c r="AH183" s="20">
        <f t="shared" si="98"/>
        <v>1.1021848586522969</v>
      </c>
      <c r="AI183" s="20">
        <f t="shared" si="109"/>
        <v>9.7294444985864412E-2</v>
      </c>
      <c r="AJ183" s="20">
        <v>0.20542039091390926</v>
      </c>
      <c r="AK183" s="20">
        <f t="shared" si="99"/>
        <v>0.82168156365563705</v>
      </c>
      <c r="AL183" s="20">
        <f t="shared" si="110"/>
        <v>-0.19640235112810628</v>
      </c>
      <c r="AM183" s="20">
        <v>0.36048532857254661</v>
      </c>
      <c r="AN183" s="20">
        <f t="shared" si="100"/>
        <v>1.4419413142901865</v>
      </c>
      <c r="AO183" s="20">
        <f t="shared" si="111"/>
        <v>0.36599034059366925</v>
      </c>
      <c r="AP183" s="20">
        <v>0.40994362049156363</v>
      </c>
      <c r="AQ183" s="20">
        <f t="shared" si="101"/>
        <v>1.6397744819662545</v>
      </c>
      <c r="AR183" s="20">
        <f t="shared" si="112"/>
        <v>0.49455872138441692</v>
      </c>
      <c r="AS183" s="20">
        <v>0.28025478409090904</v>
      </c>
      <c r="AT183" s="20">
        <f t="shared" si="102"/>
        <v>1.1210191363636361</v>
      </c>
      <c r="AU183" s="20">
        <f t="shared" si="113"/>
        <v>0.11423821474149611</v>
      </c>
      <c r="AZ183" t="b">
        <f t="shared" si="90"/>
        <v>1</v>
      </c>
      <c r="BB183" t="b">
        <f t="shared" si="91"/>
        <v>0</v>
      </c>
      <c r="BD183" t="b">
        <f t="shared" si="92"/>
        <v>0</v>
      </c>
    </row>
    <row r="184" spans="1:56">
      <c r="A184" s="90"/>
      <c r="B184" s="21">
        <f>'[41]Dados de entrada'!$B$28</f>
        <v>10</v>
      </c>
      <c r="C184" s="21">
        <f>'[41]Dados de entrada'!$B$31</f>
        <v>1</v>
      </c>
      <c r="D184" s="21">
        <f>'[41]Dados de entrada'!$B$32</f>
        <v>45</v>
      </c>
      <c r="E184" s="20">
        <f>'[41]Dados de entrada'!$B$27</f>
        <v>2.8</v>
      </c>
      <c r="F184" s="21">
        <f>'[41]Dados de entrada'!$B$30</f>
        <v>40</v>
      </c>
      <c r="G184" s="56">
        <f>'[41]Dados de entrada'!$B$22</f>
        <v>45</v>
      </c>
      <c r="H184" s="57">
        <f>'[41]Dados de entrada'!$B$29/(2*'[41]Dados de entrada'!$B$20*G184)</f>
        <v>8.7222222222222215E-3</v>
      </c>
      <c r="I184" s="27">
        <v>388.44223444620314</v>
      </c>
      <c r="J184" s="19">
        <v>0.27</v>
      </c>
      <c r="K184" s="20">
        <v>0.31575574395780237</v>
      </c>
      <c r="L184" s="20">
        <f t="shared" si="114"/>
        <v>1.169465718362231</v>
      </c>
      <c r="M184" s="54">
        <f t="shared" si="103"/>
        <v>0.15654699354040461</v>
      </c>
      <c r="N184" s="20">
        <v>0.26232475818385492</v>
      </c>
      <c r="O184" s="20">
        <f t="shared" si="116"/>
        <v>0.97157317845872182</v>
      </c>
      <c r="P184" s="28">
        <f t="shared" si="104"/>
        <v>-2.8838687773733183E-2</v>
      </c>
      <c r="Q184" s="20">
        <v>0.36372025732764984</v>
      </c>
      <c r="R184" s="20">
        <f t="shared" si="95"/>
        <v>1.3471120641764809</v>
      </c>
      <c r="S184" s="20">
        <f t="shared" si="105"/>
        <v>0.29796308934740179</v>
      </c>
      <c r="T184" s="20">
        <v>0.32725407080882235</v>
      </c>
      <c r="U184" s="20">
        <v>0.26874061816986333</v>
      </c>
      <c r="V184" s="20">
        <v>0.99533562285134558</v>
      </c>
      <c r="W184" s="20">
        <f t="shared" si="106"/>
        <v>-4.6752893012325996E-3</v>
      </c>
      <c r="X184" s="20">
        <v>0.43691104479220294</v>
      </c>
      <c r="Y184" s="20">
        <f t="shared" si="96"/>
        <v>1.6181890547859368</v>
      </c>
      <c r="Z184" s="20">
        <f t="shared" si="107"/>
        <v>0.48130765654839425</v>
      </c>
      <c r="AA184" s="20">
        <v>0.43106239180144945</v>
      </c>
      <c r="AB184" s="20">
        <f t="shared" si="115"/>
        <v>1.5965273770424053</v>
      </c>
      <c r="AC184" s="20">
        <f t="shared" si="94"/>
        <v>0.46783088118878174</v>
      </c>
      <c r="AD184" s="20">
        <v>0.42423319976413248</v>
      </c>
      <c r="AE184" s="20">
        <f t="shared" si="97"/>
        <v>1.5712340732004906</v>
      </c>
      <c r="AF184" s="20">
        <f t="shared" si="108"/>
        <v>0.45186134448303289</v>
      </c>
      <c r="AG184" s="20">
        <v>0.28627096410959446</v>
      </c>
      <c r="AH184" s="20">
        <f t="shared" si="98"/>
        <v>1.060262830035535</v>
      </c>
      <c r="AI184" s="20">
        <f t="shared" si="109"/>
        <v>5.8516830252457221E-2</v>
      </c>
      <c r="AJ184" s="20">
        <v>0.21313820144216317</v>
      </c>
      <c r="AK184" s="20">
        <f t="shared" si="99"/>
        <v>0.78940074608208577</v>
      </c>
      <c r="AL184" s="20">
        <f t="shared" si="110"/>
        <v>-0.23648117062831658</v>
      </c>
      <c r="AM184" s="20">
        <v>0.37284239066309477</v>
      </c>
      <c r="AN184" s="20">
        <f t="shared" si="100"/>
        <v>1.3808977431966472</v>
      </c>
      <c r="AO184" s="20">
        <f t="shared" si="111"/>
        <v>0.3227338262089316</v>
      </c>
      <c r="AP184" s="20">
        <v>0.44273242848008537</v>
      </c>
      <c r="AQ184" s="20">
        <f t="shared" si="101"/>
        <v>1.6397497351114272</v>
      </c>
      <c r="AR184" s="20">
        <f t="shared" si="112"/>
        <v>0.49454362964964699</v>
      </c>
      <c r="AS184" s="20">
        <v>0.30158322333751553</v>
      </c>
      <c r="AT184" s="20">
        <f t="shared" si="102"/>
        <v>1.1169749012500574</v>
      </c>
      <c r="AU184" s="20">
        <f t="shared" si="113"/>
        <v>0.11062405004952686</v>
      </c>
      <c r="AZ184" t="b">
        <f t="shared" si="90"/>
        <v>1</v>
      </c>
      <c r="BB184" t="b">
        <f t="shared" si="91"/>
        <v>0</v>
      </c>
      <c r="BD184" t="b">
        <f t="shared" si="92"/>
        <v>0</v>
      </c>
    </row>
    <row r="185" spans="1:56">
      <c r="A185" s="86"/>
      <c r="B185" s="21">
        <f>'[41]Dados de entrada'!$B$28</f>
        <v>10</v>
      </c>
      <c r="C185" s="21">
        <f>'[41]Dados de entrada'!$B$31</f>
        <v>1</v>
      </c>
      <c r="D185" s="21">
        <f>'[41]Dados de entrada'!$B$32</f>
        <v>45</v>
      </c>
      <c r="E185" s="20">
        <f>'[41]Dados de entrada'!$B$27</f>
        <v>2.8</v>
      </c>
      <c r="F185" s="21">
        <f>'[41]Dados de entrada'!$B$30</f>
        <v>40</v>
      </c>
      <c r="G185" s="56">
        <f>'[41]Dados de entrada'!$B$22</f>
        <v>45</v>
      </c>
      <c r="H185" s="57">
        <f>'[41]Dados de entrada'!$B$29/(2*'[41]Dados de entrada'!$B$20*G185)</f>
        <v>8.7222222222222215E-3</v>
      </c>
      <c r="I185" s="27">
        <v>399.98451798403318</v>
      </c>
      <c r="J185" s="19">
        <v>0.28999999999999998</v>
      </c>
      <c r="K185" s="20">
        <v>0.33786001052736836</v>
      </c>
      <c r="L185" s="20">
        <f t="shared" si="114"/>
        <v>1.165034519059891</v>
      </c>
      <c r="M185" s="54">
        <f t="shared" si="103"/>
        <v>0.15275071667302834</v>
      </c>
      <c r="N185" s="20">
        <v>0.2798643816742809</v>
      </c>
      <c r="O185" s="20">
        <f t="shared" si="116"/>
        <v>0.96504959198027906</v>
      </c>
      <c r="P185" s="28">
        <f t="shared" si="104"/>
        <v>-3.5575788310466573E-2</v>
      </c>
      <c r="Q185" s="20">
        <v>0.37452794497395714</v>
      </c>
      <c r="R185" s="20">
        <f t="shared" si="95"/>
        <v>1.2914756723239902</v>
      </c>
      <c r="S185" s="20">
        <f t="shared" si="105"/>
        <v>0.25578549661598038</v>
      </c>
      <c r="T185" s="20">
        <v>0.33697819176999888</v>
      </c>
      <c r="U185" s="20">
        <v>0.28494877070486641</v>
      </c>
      <c r="V185" s="20">
        <v>0.98258196794781527</v>
      </c>
      <c r="W185" s="20">
        <f t="shared" si="106"/>
        <v>-1.757151078192986E-2</v>
      </c>
      <c r="X185" s="20">
        <v>0.45848114663933243</v>
      </c>
      <c r="Y185" s="20">
        <f t="shared" si="96"/>
        <v>1.5809694711701119</v>
      </c>
      <c r="Z185" s="20">
        <f t="shared" si="107"/>
        <v>0.45803824821807182</v>
      </c>
      <c r="AA185" s="20">
        <v>0.45507225504881621</v>
      </c>
      <c r="AB185" s="20">
        <f t="shared" si="115"/>
        <v>1.569214672582125</v>
      </c>
      <c r="AC185" s="20">
        <f t="shared" si="94"/>
        <v>0.45057528566777005</v>
      </c>
      <c r="AD185" s="20">
        <v>0.43683898627140955</v>
      </c>
      <c r="AE185" s="20">
        <f t="shared" si="97"/>
        <v>1.5063413319703778</v>
      </c>
      <c r="AF185" s="20">
        <f t="shared" si="108"/>
        <v>0.40968375175161148</v>
      </c>
      <c r="AG185" s="20">
        <v>0.29588625671681962</v>
      </c>
      <c r="AH185" s="20">
        <f t="shared" si="98"/>
        <v>1.0202974369545506</v>
      </c>
      <c r="AI185" s="20">
        <f t="shared" si="109"/>
        <v>2.0094189645149359E-2</v>
      </c>
      <c r="AJ185" s="20">
        <v>0.22005761777783911</v>
      </c>
      <c r="AK185" s="20">
        <f t="shared" si="99"/>
        <v>0.75881937164772117</v>
      </c>
      <c r="AL185" s="20">
        <f t="shared" si="110"/>
        <v>-0.27599151192753396</v>
      </c>
      <c r="AM185" s="20">
        <v>0.3839211359856553</v>
      </c>
      <c r="AN185" s="20">
        <f t="shared" si="100"/>
        <v>1.3238659861574322</v>
      </c>
      <c r="AO185" s="20">
        <f t="shared" si="111"/>
        <v>0.28055623347751035</v>
      </c>
      <c r="AP185" s="20">
        <v>0.47212929081462224</v>
      </c>
      <c r="AQ185" s="20">
        <f t="shared" si="101"/>
        <v>1.6280320372918009</v>
      </c>
      <c r="AR185" s="20">
        <f t="shared" si="112"/>
        <v>0.48737194631288866</v>
      </c>
      <c r="AS185" s="20">
        <v>0.32073230996870394</v>
      </c>
      <c r="AT185" s="20">
        <f t="shared" si="102"/>
        <v>1.1059734826507033</v>
      </c>
      <c r="AU185" s="20">
        <f t="shared" si="113"/>
        <v>0.10072592690919323</v>
      </c>
      <c r="AZ185" t="b">
        <f t="shared" si="90"/>
        <v>1</v>
      </c>
      <c r="BB185" t="b">
        <f t="shared" si="91"/>
        <v>0</v>
      </c>
      <c r="BD185" t="b">
        <f t="shared" si="92"/>
        <v>0</v>
      </c>
    </row>
    <row r="186" spans="1:56">
      <c r="A186" s="87" t="s">
        <v>78</v>
      </c>
      <c r="B186" s="5">
        <f>'[42]Dados de entrada'!$B$28</f>
        <v>10</v>
      </c>
      <c r="C186" s="5">
        <f>'[42]Dados de entrada'!$B$31</f>
        <v>1</v>
      </c>
      <c r="D186" s="5">
        <f>'[42]Dados de entrada'!$B$32</f>
        <v>45</v>
      </c>
      <c r="E186" s="11">
        <f>'[42]Dados de entrada'!$B$27</f>
        <v>2.8</v>
      </c>
      <c r="F186" s="5">
        <f>'[42]Dados de entrada'!$B$30</f>
        <v>40</v>
      </c>
      <c r="G186" s="12">
        <f>'[42]Dados de entrada'!$B$22</f>
        <v>45</v>
      </c>
      <c r="H186" s="52">
        <f>'[42]Dados de entrada'!$B$29/(2*'[42]Dados de entrada'!$B$20*G186)</f>
        <v>8.7222222222222215E-3</v>
      </c>
      <c r="I186" s="53" cm="1">
        <f t="array" ref="I186:I192">'[42]fib Model Code 2010'!$K$5:$K$11</f>
        <v>323.62787304146531</v>
      </c>
      <c r="J186" s="4" cm="1">
        <f t="array" ref="J186:J192">'[42]Dados de entrada'!$C$7:$C$13</f>
        <v>0.15</v>
      </c>
      <c r="K186" s="11" cm="1">
        <f t="array" ref="K186:K192">'[42]fib Model Code 2010'!$L$5:$L$11</f>
        <v>0.19163178552870083</v>
      </c>
      <c r="L186" s="11">
        <f t="shared" si="114"/>
        <v>1.2775452368580056</v>
      </c>
      <c r="M186" s="29">
        <f t="shared" si="103"/>
        <v>0.24494045292515149</v>
      </c>
      <c r="N186" s="11" cm="1">
        <f t="array" ref="N186:N192">'[42]fib Model Code 2020'!$L$5:$L$11</f>
        <v>0.19671362345416274</v>
      </c>
      <c r="O186" s="11">
        <f t="shared" si="116"/>
        <v>1.3114241563610849</v>
      </c>
      <c r="P186" s="55">
        <f t="shared" si="104"/>
        <v>0.27111368896222421</v>
      </c>
      <c r="Q186" s="11" cm="1">
        <f t="array" ref="Q186:Q192">'[42]Eurocode 2'!$L$5:$L$11</f>
        <v>0.30303093439069345</v>
      </c>
      <c r="R186" s="11">
        <f t="shared" si="95"/>
        <v>2.0202062292712899</v>
      </c>
      <c r="S186" s="11">
        <f t="shared" si="105"/>
        <v>0.7031995999005648</v>
      </c>
      <c r="T186" s="11" cm="1">
        <f t="array" ref="T186:T192">'[42]NBR 6118'!$Q$5:$Q$11</f>
        <v>0.27264939156529311</v>
      </c>
      <c r="U186" s="11" cm="1">
        <f t="array" ref="U186:U192">'[42]NBR 6118'!$R$5:$R$11</f>
        <v>0.1865401245528952</v>
      </c>
      <c r="V186" s="11" cm="1">
        <f t="array" ref="V186:V192">'[42]NBR 6118'!$W$5:$W$11</f>
        <v>1.2436008303526347</v>
      </c>
      <c r="W186" s="11">
        <f t="shared" si="106"/>
        <v>0.21801106690297431</v>
      </c>
      <c r="X186" s="11" cm="1">
        <f t="array" ref="X186:X192">'[42]Clark (1956)'!$L$5:$L$11</f>
        <v>0.31578662672755275</v>
      </c>
      <c r="Y186" s="11">
        <f t="shared" si="96"/>
        <v>2.105244178183685</v>
      </c>
      <c r="Z186" s="11">
        <f t="shared" si="107"/>
        <v>0.74443145954410761</v>
      </c>
      <c r="AA186" s="11" cm="1">
        <f t="array" ref="AA186:AA192">'[42]Leonhardt (1977)'!$L$5:$L$11</f>
        <v>0.28892624595985633</v>
      </c>
      <c r="AB186" s="11">
        <f t="shared" si="115"/>
        <v>1.926174973065709</v>
      </c>
      <c r="AC186" s="11">
        <f t="shared" si="94"/>
        <v>0.65553615715486524</v>
      </c>
      <c r="AD186" s="11" cm="1">
        <f t="array" ref="AD186:AD192">'[42]Desayi; Ganesan (1985)'!$L$5:$L$11</f>
        <v>0.35344686014634585</v>
      </c>
      <c r="AE186" s="11">
        <f t="shared" si="97"/>
        <v>2.3563124009756393</v>
      </c>
      <c r="AF186" s="11">
        <f t="shared" si="108"/>
        <v>0.85709785503619595</v>
      </c>
      <c r="AG186" s="11" cm="1">
        <f t="array" ref="AG186:AG192">'[42]Oh; Kang (1987)'!$L$5:$L$11</f>
        <v>0.23227739793056107</v>
      </c>
      <c r="AH186" s="11">
        <f t="shared" si="98"/>
        <v>1.5485159862037405</v>
      </c>
      <c r="AI186" s="11">
        <f t="shared" si="109"/>
        <v>0.43729704404831315</v>
      </c>
      <c r="AJ186" s="11" cm="1">
        <f t="array" ref="AJ186:AJ192">'[42]Caldas (1997)'!$L$5:$L$11</f>
        <v>0.17428301740336749</v>
      </c>
      <c r="AK186" s="11">
        <f t="shared" si="99"/>
        <v>1.1618867826891166</v>
      </c>
      <c r="AL186" s="11">
        <f t="shared" si="110"/>
        <v>0.15004522054090635</v>
      </c>
      <c r="AM186" s="11" cm="1">
        <f t="array" ref="AM186:AM192">'[42]Gergely e Lutz (1968)'!$L$5:$L$11</f>
        <v>0.31063097462102418</v>
      </c>
      <c r="AN186" s="11">
        <f t="shared" si="100"/>
        <v>2.0708731641401612</v>
      </c>
      <c r="AO186" s="11">
        <f t="shared" si="111"/>
        <v>0.72797033676209466</v>
      </c>
      <c r="AP186" s="11" cm="1">
        <f t="array" ref="AP186:AP192">[42]Sugestão!$M$5:$M$11</f>
        <v>0.29912619269410617</v>
      </c>
      <c r="AQ186" s="11">
        <f t="shared" si="101"/>
        <v>1.9941746179607078</v>
      </c>
      <c r="AR186" s="11">
        <f t="shared" si="112"/>
        <v>0.69023023940090977</v>
      </c>
      <c r="AS186" s="11" cm="1">
        <f t="array" ref="AS186:AS192">'[42]fib Model Code 2020 modificado'!$L$5:$L$11</f>
        <v>0.22740913789694855</v>
      </c>
      <c r="AT186" s="11">
        <f t="shared" si="102"/>
        <v>1.5160609193129904</v>
      </c>
      <c r="AU186" s="11">
        <f t="shared" si="113"/>
        <v>0.41611547065621218</v>
      </c>
      <c r="AZ186" t="b">
        <f t="shared" si="90"/>
        <v>1</v>
      </c>
      <c r="BB186" t="b">
        <f t="shared" si="91"/>
        <v>0</v>
      </c>
      <c r="BD186" t="b">
        <f t="shared" si="92"/>
        <v>0</v>
      </c>
    </row>
    <row r="187" spans="1:56">
      <c r="A187" s="88"/>
      <c r="B187" s="5">
        <f>'[42]Dados de entrada'!$B$28</f>
        <v>10</v>
      </c>
      <c r="C187" s="5">
        <f>'[42]Dados de entrada'!$B$31</f>
        <v>1</v>
      </c>
      <c r="D187" s="5">
        <f>'[42]Dados de entrada'!$B$32</f>
        <v>45</v>
      </c>
      <c r="E187" s="11">
        <f>'[42]Dados de entrada'!$B$27</f>
        <v>2.8</v>
      </c>
      <c r="F187" s="5">
        <f>'[42]Dados de entrada'!$B$30</f>
        <v>40</v>
      </c>
      <c r="G187" s="12">
        <f>'[42]Dados de entrada'!$B$22</f>
        <v>45</v>
      </c>
      <c r="H187" s="52">
        <f>'[42]Dados de entrada'!$B$29/(2*'[42]Dados de entrada'!$B$20*G187)</f>
        <v>8.7222222222222215E-3</v>
      </c>
      <c r="I187" s="53">
        <v>336.50195852596801</v>
      </c>
      <c r="J187" s="4">
        <v>0.16</v>
      </c>
      <c r="K187" s="11">
        <v>0.21628654439475523</v>
      </c>
      <c r="L187" s="11">
        <f t="shared" si="114"/>
        <v>1.3517909024672201</v>
      </c>
      <c r="M187" s="29">
        <f t="shared" si="103"/>
        <v>0.30143030772155349</v>
      </c>
      <c r="N187" s="11">
        <v>0.20453899393450664</v>
      </c>
      <c r="O187" s="11">
        <f t="shared" si="116"/>
        <v>1.2783687120906664</v>
      </c>
      <c r="P187" s="55">
        <f t="shared" si="104"/>
        <v>0.24558482145836638</v>
      </c>
      <c r="Q187" s="11">
        <v>0.31508566291926698</v>
      </c>
      <c r="R187" s="11">
        <f t="shared" si="95"/>
        <v>1.9692853932454186</v>
      </c>
      <c r="S187" s="11">
        <f t="shared" si="105"/>
        <v>0.67767073239670694</v>
      </c>
      <c r="T187" s="11">
        <v>0.28349552648352838</v>
      </c>
      <c r="U187" s="11">
        <v>0.20167664919268491</v>
      </c>
      <c r="V187" s="11">
        <v>1.2604790574542806</v>
      </c>
      <c r="W187" s="11">
        <f t="shared" si="106"/>
        <v>0.23149185303282988</v>
      </c>
      <c r="X187" s="11">
        <v>0.3398455864801202</v>
      </c>
      <c r="Y187" s="11">
        <f t="shared" si="96"/>
        <v>2.1240349155007512</v>
      </c>
      <c r="Z187" s="11">
        <f t="shared" si="107"/>
        <v>0.75331754180425647</v>
      </c>
      <c r="AA187" s="11">
        <v>0.3183330337313815</v>
      </c>
      <c r="AB187" s="11">
        <f t="shared" si="115"/>
        <v>1.9895814608211344</v>
      </c>
      <c r="AC187" s="11">
        <f t="shared" si="94"/>
        <v>0.68792429542038691</v>
      </c>
      <c r="AD187" s="11">
        <v>0.36750716048138565</v>
      </c>
      <c r="AE187" s="11">
        <f t="shared" si="97"/>
        <v>2.2969197530086602</v>
      </c>
      <c r="AF187" s="11">
        <f t="shared" si="108"/>
        <v>0.8315689875323381</v>
      </c>
      <c r="AG187" s="11">
        <v>0.24300214737708142</v>
      </c>
      <c r="AH187" s="11">
        <f t="shared" si="98"/>
        <v>1.5187634211067589</v>
      </c>
      <c r="AI187" s="11">
        <f t="shared" si="109"/>
        <v>0.4178964650103979</v>
      </c>
      <c r="AJ187" s="11">
        <v>0.18200082793162145</v>
      </c>
      <c r="AK187" s="11">
        <f t="shared" si="99"/>
        <v>1.1375051745726341</v>
      </c>
      <c r="AL187" s="11">
        <f t="shared" si="110"/>
        <v>0.12883742090746458</v>
      </c>
      <c r="AM187" s="11">
        <v>0.32298803671157245</v>
      </c>
      <c r="AN187" s="11">
        <f t="shared" si="100"/>
        <v>2.0186752294473278</v>
      </c>
      <c r="AO187" s="11">
        <f t="shared" si="111"/>
        <v>0.70244146925823692</v>
      </c>
      <c r="AP187" s="11">
        <v>0.32339834860143718</v>
      </c>
      <c r="AQ187" s="11">
        <f t="shared" si="101"/>
        <v>2.0212396787589824</v>
      </c>
      <c r="AR187" s="11">
        <f t="shared" si="112"/>
        <v>0.70371102553076537</v>
      </c>
      <c r="AS187" s="11">
        <v>0.23687121547696169</v>
      </c>
      <c r="AT187" s="11">
        <f t="shared" si="102"/>
        <v>1.4804450967310105</v>
      </c>
      <c r="AU187" s="11">
        <f t="shared" si="113"/>
        <v>0.39234278359697017</v>
      </c>
      <c r="AZ187" t="b">
        <f t="shared" si="90"/>
        <v>1</v>
      </c>
      <c r="BB187" t="b">
        <f t="shared" si="91"/>
        <v>0</v>
      </c>
      <c r="BD187" t="b">
        <f t="shared" si="92"/>
        <v>0</v>
      </c>
    </row>
    <row r="188" spans="1:56">
      <c r="A188" s="88"/>
      <c r="B188" s="5">
        <f>'[42]Dados de entrada'!$B$28</f>
        <v>10</v>
      </c>
      <c r="C188" s="5">
        <f>'[42]Dados de entrada'!$B$31</f>
        <v>1</v>
      </c>
      <c r="D188" s="5">
        <f>'[42]Dados de entrada'!$B$32</f>
        <v>45</v>
      </c>
      <c r="E188" s="11">
        <f>'[42]Dados de entrada'!$B$27</f>
        <v>2.8</v>
      </c>
      <c r="F188" s="5">
        <f>'[42]Dados de entrada'!$B$30</f>
        <v>40</v>
      </c>
      <c r="G188" s="12">
        <f>'[42]Dados de entrada'!$B$22</f>
        <v>45</v>
      </c>
      <c r="H188" s="52">
        <f>'[42]Dados de entrada'!$B$29/(2*'[42]Dados de entrada'!$B$20*G188)</f>
        <v>8.7222222222222215E-3</v>
      </c>
      <c r="I188" s="53">
        <v>354.70325179716156</v>
      </c>
      <c r="J188" s="4">
        <v>0.18</v>
      </c>
      <c r="K188" s="11">
        <v>0.25114327244676327</v>
      </c>
      <c r="L188" s="11">
        <f t="shared" si="114"/>
        <v>1.3952404024820182</v>
      </c>
      <c r="M188" s="29">
        <f t="shared" si="103"/>
        <v>0.33306673195428532</v>
      </c>
      <c r="N188" s="11">
        <v>0.21560244875154463</v>
      </c>
      <c r="O188" s="11">
        <f t="shared" si="116"/>
        <v>1.1977913819530257</v>
      </c>
      <c r="P188" s="55">
        <f t="shared" si="104"/>
        <v>0.18047934592588616</v>
      </c>
      <c r="Q188" s="11">
        <v>0.33212855497690541</v>
      </c>
      <c r="R188" s="11">
        <f t="shared" si="95"/>
        <v>1.8451586387605856</v>
      </c>
      <c r="S188" s="11">
        <f t="shared" si="105"/>
        <v>0.61256525686422647</v>
      </c>
      <c r="T188" s="11">
        <v>0.29882971722999896</v>
      </c>
      <c r="U188" s="11">
        <v>0.22408395674156276</v>
      </c>
      <c r="V188" s="11">
        <v>1.2449108707864598</v>
      </c>
      <c r="W188" s="11">
        <f t="shared" si="106"/>
        <v>0.21906393762425275</v>
      </c>
      <c r="X188" s="11">
        <v>0.37385997785443986</v>
      </c>
      <c r="Y188" s="11">
        <f t="shared" si="96"/>
        <v>2.0769998769691105</v>
      </c>
      <c r="Z188" s="11">
        <f t="shared" si="107"/>
        <v>0.73092448565907242</v>
      </c>
      <c r="AA188" s="11">
        <v>0.35882040605159882</v>
      </c>
      <c r="AB188" s="11">
        <f t="shared" si="115"/>
        <v>1.9934467002866603</v>
      </c>
      <c r="AC188" s="11">
        <f t="shared" si="94"/>
        <v>0.6898651507307284</v>
      </c>
      <c r="AD188" s="11">
        <v>0.38738551612747646</v>
      </c>
      <c r="AE188" s="11">
        <f t="shared" si="97"/>
        <v>2.1521417562637581</v>
      </c>
      <c r="AF188" s="11">
        <f t="shared" si="108"/>
        <v>0.76646351199985774</v>
      </c>
      <c r="AG188" s="11">
        <v>0.25816472418078257</v>
      </c>
      <c r="AH188" s="11">
        <f t="shared" si="98"/>
        <v>1.4342484676710143</v>
      </c>
      <c r="AI188" s="11">
        <f t="shared" si="109"/>
        <v>0.36064099611580697</v>
      </c>
      <c r="AJ188" s="11">
        <v>0.19291221523018737</v>
      </c>
      <c r="AK188" s="11">
        <f t="shared" si="99"/>
        <v>1.0717345290565965</v>
      </c>
      <c r="AL188" s="11">
        <f t="shared" si="110"/>
        <v>6.9278391175149071E-2</v>
      </c>
      <c r="AM188" s="11">
        <v>0.34045836587407174</v>
      </c>
      <c r="AN188" s="11">
        <f t="shared" si="100"/>
        <v>1.8914353659670653</v>
      </c>
      <c r="AO188" s="11">
        <f t="shared" si="111"/>
        <v>0.63733599372575656</v>
      </c>
      <c r="AP188" s="11">
        <v>0.35932955971050418</v>
      </c>
      <c r="AQ188" s="11">
        <f t="shared" si="101"/>
        <v>1.9962753317250232</v>
      </c>
      <c r="AR188" s="11">
        <f t="shared" si="112"/>
        <v>0.69128311012218802</v>
      </c>
      <c r="AS188" s="11">
        <v>0.25030289988130727</v>
      </c>
      <c r="AT188" s="11">
        <f t="shared" si="102"/>
        <v>1.3905716660072627</v>
      </c>
      <c r="AU188" s="11">
        <f t="shared" si="113"/>
        <v>0.32971493310288752</v>
      </c>
      <c r="AZ188" t="b">
        <f t="shared" si="90"/>
        <v>1</v>
      </c>
      <c r="BB188" t="b">
        <f t="shared" si="91"/>
        <v>0</v>
      </c>
      <c r="BD188" t="b">
        <f t="shared" si="92"/>
        <v>0</v>
      </c>
    </row>
    <row r="189" spans="1:56">
      <c r="A189" s="88"/>
      <c r="B189" s="5">
        <f>'[42]Dados de entrada'!$B$28</f>
        <v>10</v>
      </c>
      <c r="C189" s="5">
        <f>'[42]Dados de entrada'!$B$31</f>
        <v>1</v>
      </c>
      <c r="D189" s="5">
        <f>'[42]Dados de entrada'!$B$32</f>
        <v>45</v>
      </c>
      <c r="E189" s="11">
        <f>'[42]Dados de entrada'!$B$27</f>
        <v>2.8</v>
      </c>
      <c r="F189" s="5">
        <f>'[42]Dados de entrada'!$B$30</f>
        <v>40</v>
      </c>
      <c r="G189" s="12">
        <f>'[42]Dados de entrada'!$B$22</f>
        <v>45</v>
      </c>
      <c r="H189" s="52">
        <f>'[42]Dados de entrada'!$B$29/(2*'[42]Dados de entrada'!$B$20*G189)</f>
        <v>8.7222222222222215E-3</v>
      </c>
      <c r="I189" s="53">
        <v>365.35766737054308</v>
      </c>
      <c r="J189" s="4">
        <v>0.18</v>
      </c>
      <c r="K189" s="11">
        <v>0.27154721081867028</v>
      </c>
      <c r="L189" s="11">
        <f t="shared" si="114"/>
        <v>1.5085956156592795</v>
      </c>
      <c r="M189" s="29">
        <f t="shared" si="103"/>
        <v>0.41117916220175016</v>
      </c>
      <c r="N189" s="11">
        <v>0.22724551120300288</v>
      </c>
      <c r="O189" s="11">
        <f t="shared" si="116"/>
        <v>1.2624750622389049</v>
      </c>
      <c r="P189" s="55">
        <f t="shared" si="104"/>
        <v>0.23307412929023555</v>
      </c>
      <c r="Q189" s="11">
        <v>0.34210488203503525</v>
      </c>
      <c r="R189" s="11">
        <f t="shared" si="95"/>
        <v>1.9005826779724182</v>
      </c>
      <c r="S189" s="11">
        <f t="shared" si="105"/>
        <v>0.64216051177502176</v>
      </c>
      <c r="T189" s="11">
        <v>0.30780582888646951</v>
      </c>
      <c r="U189" s="11">
        <v>0.23774800217387809</v>
      </c>
      <c r="V189" s="11">
        <v>1.3208222342993228</v>
      </c>
      <c r="W189" s="11">
        <f t="shared" si="106"/>
        <v>0.27825444744584299</v>
      </c>
      <c r="X189" s="11">
        <v>0.39377084109794397</v>
      </c>
      <c r="Y189" s="11">
        <f t="shared" si="96"/>
        <v>2.1876157838774666</v>
      </c>
      <c r="Z189" s="11">
        <f t="shared" si="107"/>
        <v>0.78281226762145761</v>
      </c>
      <c r="AA189" s="11">
        <v>0.3819966150455596</v>
      </c>
      <c r="AB189" s="11">
        <f t="shared" si="115"/>
        <v>2.1222034169197754</v>
      </c>
      <c r="AC189" s="11">
        <f t="shared" si="94"/>
        <v>0.75245489653982611</v>
      </c>
      <c r="AD189" s="11">
        <v>0.39902162674957831</v>
      </c>
      <c r="AE189" s="11">
        <f t="shared" si="97"/>
        <v>2.2167868152754351</v>
      </c>
      <c r="AF189" s="11">
        <f t="shared" si="108"/>
        <v>0.79605876691065269</v>
      </c>
      <c r="AG189" s="11">
        <v>0.2670403788951442</v>
      </c>
      <c r="AH189" s="11">
        <f t="shared" si="98"/>
        <v>1.483557660528579</v>
      </c>
      <c r="AI189" s="11">
        <f t="shared" si="109"/>
        <v>0.39444302789268026</v>
      </c>
      <c r="AJ189" s="11">
        <v>0.19929936877081128</v>
      </c>
      <c r="AK189" s="11">
        <f t="shared" si="99"/>
        <v>1.1072187153933961</v>
      </c>
      <c r="AL189" s="11">
        <f t="shared" si="110"/>
        <v>0.10185120909227009</v>
      </c>
      <c r="AM189" s="11">
        <v>0.35068490001797376</v>
      </c>
      <c r="AN189" s="11">
        <f t="shared" si="100"/>
        <v>1.9482494445442986</v>
      </c>
      <c r="AO189" s="11">
        <f t="shared" si="111"/>
        <v>0.66693124863655162</v>
      </c>
      <c r="AP189" s="11">
        <v>0.38393870381101147</v>
      </c>
      <c r="AQ189" s="11">
        <f t="shared" si="101"/>
        <v>2.1329927989500637</v>
      </c>
      <c r="AR189" s="11">
        <f t="shared" si="112"/>
        <v>0.75752606346385398</v>
      </c>
      <c r="AS189" s="11">
        <v>0.26336173868658713</v>
      </c>
      <c r="AT189" s="11">
        <f t="shared" si="102"/>
        <v>1.4631207704810396</v>
      </c>
      <c r="AU189" s="11">
        <f t="shared" si="113"/>
        <v>0.38057166851544405</v>
      </c>
      <c r="AZ189" t="b">
        <f t="shared" si="90"/>
        <v>1</v>
      </c>
      <c r="BB189" t="b">
        <f t="shared" si="91"/>
        <v>0</v>
      </c>
      <c r="BD189" t="b">
        <f t="shared" si="92"/>
        <v>0</v>
      </c>
    </row>
    <row r="190" spans="1:56">
      <c r="A190" s="88"/>
      <c r="B190" s="5">
        <f>'[42]Dados de entrada'!$B$28</f>
        <v>10</v>
      </c>
      <c r="C190" s="5">
        <f>'[42]Dados de entrada'!$B$31</f>
        <v>1</v>
      </c>
      <c r="D190" s="5">
        <f>'[42]Dados de entrada'!$B$32</f>
        <v>45</v>
      </c>
      <c r="E190" s="11">
        <f>'[42]Dados de entrada'!$B$27</f>
        <v>2.8</v>
      </c>
      <c r="F190" s="5">
        <f>'[42]Dados de entrada'!$B$30</f>
        <v>40</v>
      </c>
      <c r="G190" s="12">
        <f>'[42]Dados de entrada'!$B$22</f>
        <v>45</v>
      </c>
      <c r="H190" s="52">
        <f>'[42]Dados de entrada'!$B$29/(2*'[42]Dados de entrada'!$B$20*G190)</f>
        <v>8.7222222222222215E-3</v>
      </c>
      <c r="I190" s="53">
        <v>375.5681489617005</v>
      </c>
      <c r="J190" s="4">
        <v>0.19</v>
      </c>
      <c r="K190" s="11">
        <v>0.29110098509174809</v>
      </c>
      <c r="L190" s="11">
        <f t="shared" ref="L190:L221" si="117">K190/J190</f>
        <v>1.5321104478513057</v>
      </c>
      <c r="M190" s="29">
        <f t="shared" si="103"/>
        <v>0.42664616261747851</v>
      </c>
      <c r="N190" s="11">
        <v>0.24276133198299524</v>
      </c>
      <c r="O190" s="11">
        <f t="shared" si="116"/>
        <v>1.2776912209631328</v>
      </c>
      <c r="P190" s="55">
        <f t="shared" si="104"/>
        <v>0.24505471562271064</v>
      </c>
      <c r="Q190" s="11">
        <v>0.35166552879907637</v>
      </c>
      <c r="R190" s="11">
        <f t="shared" si="95"/>
        <v>1.850871204205665</v>
      </c>
      <c r="S190" s="11">
        <f t="shared" si="105"/>
        <v>0.61565644943389941</v>
      </c>
      <c r="T190" s="11">
        <v>0.31640793589058713</v>
      </c>
      <c r="U190" s="11">
        <v>0.25122215219469318</v>
      </c>
      <c r="V190" s="11">
        <v>1.32222185365628</v>
      </c>
      <c r="W190" s="11">
        <f t="shared" si="106"/>
        <v>0.27931354403387421</v>
      </c>
      <c r="X190" s="11">
        <v>0.41285208503963555</v>
      </c>
      <c r="Y190" s="11">
        <f t="shared" si="96"/>
        <v>2.1729057107349239</v>
      </c>
      <c r="Z190" s="11">
        <f t="shared" si="107"/>
        <v>0.77606530904658821</v>
      </c>
      <c r="AA190" s="11">
        <v>0.40388198949836024</v>
      </c>
      <c r="AB190" s="11">
        <f t="shared" si="115"/>
        <v>2.1256946815703168</v>
      </c>
      <c r="AC190" s="11">
        <f t="shared" si="94"/>
        <v>0.75409865792755082</v>
      </c>
      <c r="AD190" s="11">
        <v>0.41017289942909274</v>
      </c>
      <c r="AE190" s="11">
        <f t="shared" si="97"/>
        <v>2.1588047338373304</v>
      </c>
      <c r="AF190" s="11">
        <f t="shared" si="108"/>
        <v>0.76955470456953068</v>
      </c>
      <c r="AG190" s="11">
        <v>0.27554621466307422</v>
      </c>
      <c r="AH190" s="11">
        <f t="shared" si="98"/>
        <v>1.4502432350688117</v>
      </c>
      <c r="AI190" s="11">
        <f t="shared" si="109"/>
        <v>0.37173129068762473</v>
      </c>
      <c r="AJ190" s="11">
        <v>0.20542039091390926</v>
      </c>
      <c r="AK190" s="11">
        <f t="shared" si="99"/>
        <v>1.0811599521784698</v>
      </c>
      <c r="AL190" s="11">
        <f t="shared" si="110"/>
        <v>7.8034494573654051E-2</v>
      </c>
      <c r="AM190" s="11">
        <v>0.36048532857254661</v>
      </c>
      <c r="AN190" s="11">
        <f t="shared" si="100"/>
        <v>1.8972912030134033</v>
      </c>
      <c r="AO190" s="11">
        <f t="shared" si="111"/>
        <v>0.6404271862954295</v>
      </c>
      <c r="AP190" s="11">
        <v>0.40994362049156363</v>
      </c>
      <c r="AQ190" s="11">
        <f t="shared" si="101"/>
        <v>2.1575980025871768</v>
      </c>
      <c r="AR190" s="11">
        <f t="shared" si="112"/>
        <v>0.76899556708617711</v>
      </c>
      <c r="AS190" s="11">
        <v>0.28025478409090904</v>
      </c>
      <c r="AT190" s="11">
        <f t="shared" si="102"/>
        <v>1.4750251794258371</v>
      </c>
      <c r="AU190" s="11">
        <f t="shared" si="113"/>
        <v>0.38867506044325645</v>
      </c>
      <c r="AZ190" t="b">
        <f t="shared" si="90"/>
        <v>1</v>
      </c>
      <c r="BB190" t="b">
        <f t="shared" si="91"/>
        <v>0</v>
      </c>
      <c r="BD190" t="b">
        <f t="shared" si="92"/>
        <v>0</v>
      </c>
    </row>
    <row r="191" spans="1:56">
      <c r="A191" s="88"/>
      <c r="B191" s="5">
        <f>'[42]Dados de entrada'!$B$28</f>
        <v>10</v>
      </c>
      <c r="C191" s="5">
        <f>'[42]Dados de entrada'!$B$31</f>
        <v>1</v>
      </c>
      <c r="D191" s="5">
        <f>'[42]Dados de entrada'!$B$32</f>
        <v>45</v>
      </c>
      <c r="E191" s="11">
        <f>'[42]Dados de entrada'!$B$27</f>
        <v>2.8</v>
      </c>
      <c r="F191" s="5">
        <f>'[42]Dados de entrada'!$B$30</f>
        <v>40</v>
      </c>
      <c r="G191" s="12">
        <f>'[42]Dados de entrada'!$B$22</f>
        <v>45</v>
      </c>
      <c r="H191" s="52">
        <f>'[42]Dados de entrada'!$B$29/(2*'[42]Dados de entrada'!$B$20*G191)</f>
        <v>8.7222222222222215E-3</v>
      </c>
      <c r="I191" s="53">
        <v>386.66649851730631</v>
      </c>
      <c r="J191" s="4">
        <v>0.2</v>
      </c>
      <c r="K191" s="11">
        <v>0.31235508756248465</v>
      </c>
      <c r="L191" s="11">
        <f t="shared" si="117"/>
        <v>1.5617754378124231</v>
      </c>
      <c r="M191" s="29">
        <f t="shared" si="103"/>
        <v>0.44582327527709342</v>
      </c>
      <c r="N191" s="11">
        <v>0.25962635456994337</v>
      </c>
      <c r="O191" s="11">
        <f t="shared" si="116"/>
        <v>1.2981317728497168</v>
      </c>
      <c r="P191" s="55">
        <f t="shared" si="104"/>
        <v>0.26092613304413648</v>
      </c>
      <c r="Q191" s="11">
        <v>0.36205753615129493</v>
      </c>
      <c r="R191" s="11">
        <f t="shared" si="95"/>
        <v>1.8102876807564745</v>
      </c>
      <c r="S191" s="11">
        <f t="shared" si="105"/>
        <v>0.59348577229262833</v>
      </c>
      <c r="T191" s="11">
        <v>0.32575805219941062</v>
      </c>
      <c r="U191" s="11">
        <v>0.26628917721992273</v>
      </c>
      <c r="V191" s="11">
        <v>1.3314458860996137</v>
      </c>
      <c r="W191" s="11">
        <f t="shared" si="106"/>
        <v>0.28626548413888259</v>
      </c>
      <c r="X191" s="11">
        <v>0.4335925675849524</v>
      </c>
      <c r="Y191" s="11">
        <f t="shared" si="96"/>
        <v>2.1679628379247617</v>
      </c>
      <c r="Z191" s="11">
        <f t="shared" si="107"/>
        <v>0.77378794225187264</v>
      </c>
      <c r="AA191" s="11">
        <v>0.4273393239822082</v>
      </c>
      <c r="AB191" s="11">
        <f t="shared" si="115"/>
        <v>2.1366966199110409</v>
      </c>
      <c r="AC191" s="11">
        <f t="shared" si="94"/>
        <v>0.75926100084532255</v>
      </c>
      <c r="AD191" s="11">
        <v>0.42229384799378228</v>
      </c>
      <c r="AE191" s="11">
        <f t="shared" si="97"/>
        <v>2.1114692399689114</v>
      </c>
      <c r="AF191" s="11">
        <f t="shared" si="108"/>
        <v>0.74738402742825971</v>
      </c>
      <c r="AG191" s="11">
        <v>0.28479168832386764</v>
      </c>
      <c r="AH191" s="11">
        <f t="shared" si="98"/>
        <v>1.423958441619338</v>
      </c>
      <c r="AI191" s="11">
        <f t="shared" si="109"/>
        <v>0.35344062830783252</v>
      </c>
      <c r="AJ191" s="11">
        <v>0.21207367585205927</v>
      </c>
      <c r="AK191" s="11">
        <f t="shared" si="99"/>
        <v>1.0603683792602963</v>
      </c>
      <c r="AL191" s="11">
        <f t="shared" si="110"/>
        <v>5.8616375354298346E-2</v>
      </c>
      <c r="AM191" s="11">
        <v>0.37113796830577789</v>
      </c>
      <c r="AN191" s="11">
        <f t="shared" si="100"/>
        <v>1.8556898415288894</v>
      </c>
      <c r="AO191" s="11">
        <f t="shared" si="111"/>
        <v>0.61825650915415842</v>
      </c>
      <c r="AP191" s="11">
        <v>0.43820983427477217</v>
      </c>
      <c r="AQ191" s="11">
        <f t="shared" si="101"/>
        <v>2.1910491713738609</v>
      </c>
      <c r="AR191" s="11">
        <f t="shared" si="112"/>
        <v>0.78438050279594307</v>
      </c>
      <c r="AS191" s="11">
        <v>0.29863947890347037</v>
      </c>
      <c r="AT191" s="11">
        <f t="shared" si="102"/>
        <v>1.4931973945173518</v>
      </c>
      <c r="AU191" s="11">
        <f t="shared" si="113"/>
        <v>0.40091972315813007</v>
      </c>
      <c r="AZ191" t="b">
        <f t="shared" si="90"/>
        <v>1</v>
      </c>
      <c r="BB191" t="b">
        <f t="shared" si="91"/>
        <v>0</v>
      </c>
      <c r="BD191" t="b">
        <f t="shared" si="92"/>
        <v>0</v>
      </c>
    </row>
    <row r="192" spans="1:56">
      <c r="A192" s="89"/>
      <c r="B192" s="5">
        <f>'[42]Dados de entrada'!$B$28</f>
        <v>10</v>
      </c>
      <c r="C192" s="5">
        <f>'[42]Dados de entrada'!$B$31</f>
        <v>1</v>
      </c>
      <c r="D192" s="5">
        <f>'[42]Dados de entrada'!$B$32</f>
        <v>45</v>
      </c>
      <c r="E192" s="11">
        <f>'[42]Dados de entrada'!$B$27</f>
        <v>2.8</v>
      </c>
      <c r="F192" s="5">
        <f>'[42]Dados de entrada'!$B$30</f>
        <v>40</v>
      </c>
      <c r="G192" s="12">
        <f>'[42]Dados de entrada'!$B$22</f>
        <v>45</v>
      </c>
      <c r="H192" s="52">
        <f>'[42]Dados de entrada'!$B$29/(2*'[42]Dados de entrada'!$B$20*G192)</f>
        <v>8.7222222222222215E-3</v>
      </c>
      <c r="I192" s="53">
        <v>401.31631993070596</v>
      </c>
      <c r="J192" s="4">
        <v>0.22</v>
      </c>
      <c r="K192" s="11">
        <v>0.34041050282385693</v>
      </c>
      <c r="L192" s="11">
        <f t="shared" si="117"/>
        <v>1.5473204673811678</v>
      </c>
      <c r="M192" s="29">
        <f t="shared" si="103"/>
        <v>0.4365247042300282</v>
      </c>
      <c r="N192" s="11">
        <v>0.28188818438471486</v>
      </c>
      <c r="O192" s="11">
        <f t="shared" si="116"/>
        <v>1.2813099290214311</v>
      </c>
      <c r="P192" s="55">
        <f t="shared" si="104"/>
        <v>0.24788293668110317</v>
      </c>
      <c r="Q192" s="11">
        <v>0.37577498585622349</v>
      </c>
      <c r="R192" s="11">
        <f t="shared" si="95"/>
        <v>1.7080681175282886</v>
      </c>
      <c r="S192" s="11">
        <f t="shared" si="105"/>
        <v>0.53536297602797744</v>
      </c>
      <c r="T192" s="11">
        <v>0.33810020572705757</v>
      </c>
      <c r="U192" s="11">
        <v>0.28684947986064074</v>
      </c>
      <c r="V192" s="11">
        <v>1.3038612720938216</v>
      </c>
      <c r="W192" s="11">
        <f t="shared" si="106"/>
        <v>0.26533007141390508</v>
      </c>
      <c r="X192" s="11">
        <v>0.46097000454477061</v>
      </c>
      <c r="Y192" s="11">
        <f t="shared" si="96"/>
        <v>2.0953182024762298</v>
      </c>
      <c r="Z192" s="11">
        <f t="shared" si="107"/>
        <v>0.73970542846399445</v>
      </c>
      <c r="AA192" s="11">
        <v>0.45782219685333214</v>
      </c>
      <c r="AB192" s="11">
        <f t="shared" si="115"/>
        <v>2.0810099856969644</v>
      </c>
      <c r="AC192" s="11">
        <f t="shared" si="94"/>
        <v>0.73285334590885742</v>
      </c>
      <c r="AD192" s="11">
        <v>0.43829350009917234</v>
      </c>
      <c r="AE192" s="11">
        <f t="shared" si="97"/>
        <v>1.9922431822689652</v>
      </c>
      <c r="AF192" s="11">
        <f t="shared" si="108"/>
        <v>0.68926123116360838</v>
      </c>
      <c r="AG192" s="11">
        <v>0.29699571355611493</v>
      </c>
      <c r="AH192" s="11">
        <f t="shared" si="98"/>
        <v>1.3499805161641587</v>
      </c>
      <c r="AI192" s="11">
        <f t="shared" si="109"/>
        <v>0.30009015987519544</v>
      </c>
      <c r="AJ192" s="11">
        <v>0.22085601197041718</v>
      </c>
      <c r="AK192" s="11">
        <f t="shared" si="99"/>
        <v>1.0038909635018962</v>
      </c>
      <c r="AL192" s="11">
        <f t="shared" si="110"/>
        <v>3.8834132821586992E-3</v>
      </c>
      <c r="AM192" s="11">
        <v>0.38519945275364315</v>
      </c>
      <c r="AN192" s="11">
        <f t="shared" si="100"/>
        <v>1.7509066034256506</v>
      </c>
      <c r="AO192" s="11">
        <f t="shared" si="111"/>
        <v>0.5601337128895072</v>
      </c>
      <c r="AP192" s="11">
        <v>0.47552123646860744</v>
      </c>
      <c r="AQ192" s="11">
        <f t="shared" si="101"/>
        <v>2.1614601657663974</v>
      </c>
      <c r="AR192" s="11">
        <f t="shared" si="112"/>
        <v>0.77078399597881841</v>
      </c>
      <c r="AS192" s="11">
        <v>0.32294346491263715</v>
      </c>
      <c r="AT192" s="11">
        <f t="shared" si="102"/>
        <v>1.4679248405119871</v>
      </c>
      <c r="AU192" s="11">
        <f t="shared" si="113"/>
        <v>0.38384973032031611</v>
      </c>
      <c r="AZ192" t="b">
        <f t="shared" si="90"/>
        <v>1</v>
      </c>
      <c r="BB192" t="b">
        <f t="shared" si="91"/>
        <v>0</v>
      </c>
      <c r="BD192" t="b">
        <f t="shared" si="92"/>
        <v>0</v>
      </c>
    </row>
    <row r="193" spans="1:56">
      <c r="A193" s="85" t="s">
        <v>79</v>
      </c>
      <c r="B193" s="21">
        <f>'[43]Dados de entrada'!$B$28</f>
        <v>20</v>
      </c>
      <c r="C193" s="21">
        <f>'[43]Dados de entrada'!$B$31</f>
        <v>1</v>
      </c>
      <c r="D193" s="21">
        <f>'[43]Dados de entrada'!$B$32</f>
        <v>40</v>
      </c>
      <c r="E193" s="20">
        <f>'[43]Dados de entrada'!$B$27</f>
        <v>2.8</v>
      </c>
      <c r="F193" s="21">
        <f>'[43]Dados de entrada'!$B$30</f>
        <v>40</v>
      </c>
      <c r="G193" s="56">
        <f>'[43]Dados de entrada'!$B$22</f>
        <v>50</v>
      </c>
      <c r="H193" s="57">
        <f>'[43]Dados de entrada'!$B$29/(2*'[43]Dados de entrada'!$B$20*G193)</f>
        <v>3.15E-2</v>
      </c>
      <c r="I193" s="27" cm="1">
        <f t="array" ref="I193:I195">'[43]fib Model Code 2010'!$K$5:$K$7</f>
        <v>224.93648942333181</v>
      </c>
      <c r="J193" s="19" cm="1">
        <f t="array" ref="J193:J195">'[43]Dados de entrada'!$C$7:$C$9</f>
        <v>0.16</v>
      </c>
      <c r="K193" s="20" cm="1">
        <f t="array" ref="K193:K195">'[43]fib Model Code 2010'!$L$5:$L$7</f>
        <v>0.17621750604544575</v>
      </c>
      <c r="L193" s="20">
        <f t="shared" si="117"/>
        <v>1.101359412784036</v>
      </c>
      <c r="M193" s="54">
        <f t="shared" si="103"/>
        <v>9.6545246598910381E-2</v>
      </c>
      <c r="N193" s="20" cm="1">
        <f t="array" ref="N193:N195">'[43]fib Model Code 2020'!$L$5:$L$7</f>
        <v>0.16250526374056309</v>
      </c>
      <c r="O193" s="20">
        <f t="shared" si="116"/>
        <v>1.0156578983785194</v>
      </c>
      <c r="P193" s="28">
        <f t="shared" si="104"/>
        <v>1.5536578260966754E-2</v>
      </c>
      <c r="Q193" s="20" cm="1">
        <f t="array" ref="Q193:Q195">'[43]Eurocode 2'!$L$5:$L$7</f>
        <v>0.17479495534935269</v>
      </c>
      <c r="R193" s="20">
        <f t="shared" si="95"/>
        <v>1.0924684709334542</v>
      </c>
      <c r="S193" s="20">
        <f t="shared" si="105"/>
        <v>8.8439788013684156E-2</v>
      </c>
      <c r="T193" s="20" cm="1">
        <f t="array" ref="T193:T195">'[43]NBR 6118'!$Q$5:$Q$7</f>
        <v>0.1898757685393937</v>
      </c>
      <c r="U193" s="20" cm="1">
        <f t="array" ref="U193:U195">'[43]NBR 6118'!$R$5:$R$7</f>
        <v>0.19142813392713337</v>
      </c>
      <c r="V193" s="20" cm="1">
        <f t="array" ref="V193:V195">'[43]NBR 6118'!$W$5:$W$7</f>
        <v>1.1867235533712106</v>
      </c>
      <c r="W193" s="20">
        <f t="shared" si="106"/>
        <v>0.17119619328099522</v>
      </c>
      <c r="X193" s="20" cm="1">
        <f t="array" ref="X193:X195">'[43]Clark (1956)'!$L$5:$L$7</f>
        <v>0.19112255277280865</v>
      </c>
      <c r="Y193" s="20">
        <f t="shared" si="96"/>
        <v>1.1945159548300541</v>
      </c>
      <c r="Z193" s="20">
        <f t="shared" si="107"/>
        <v>0.1777410446054111</v>
      </c>
      <c r="AA193" s="20" cm="1">
        <f t="array" ref="AA193:AA195">'[43]Leonhardt (1977)'!$L$5:$L$7</f>
        <v>0.26226217585674594</v>
      </c>
      <c r="AB193" s="20">
        <f t="shared" si="115"/>
        <v>1.6391385991046621</v>
      </c>
      <c r="AC193" s="20">
        <f t="shared" si="94"/>
        <v>0.49417085939854416</v>
      </c>
      <c r="AD193" s="20" cm="1">
        <f t="array" ref="AD193:AD195">'[43]Desayi; Ganesan (1985)'!$L$5:$L$7</f>
        <v>0.23684951094129722</v>
      </c>
      <c r="AE193" s="20">
        <f t="shared" si="97"/>
        <v>1.4803094433831077</v>
      </c>
      <c r="AF193" s="20">
        <f t="shared" si="108"/>
        <v>0.39225114928810745</v>
      </c>
      <c r="AG193" s="20" cm="1">
        <f t="array" ref="AG193:AG195">'[43]Oh; Kang (1987)'!$L$5:$L$7</f>
        <v>0.20327420345519723</v>
      </c>
      <c r="AH193" s="20">
        <f t="shared" si="98"/>
        <v>1.2704637715949827</v>
      </c>
      <c r="AI193" s="20">
        <f t="shared" si="109"/>
        <v>0.23938200829476414</v>
      </c>
      <c r="AJ193" s="20" cm="1">
        <f t="array" ref="AJ193:AJ195">'[43]Caldas (1997)'!$L$5:$L$7</f>
        <v>0.12778582265536664</v>
      </c>
      <c r="AK193" s="20">
        <f t="shared" si="99"/>
        <v>0.79866139159604155</v>
      </c>
      <c r="AL193" s="20">
        <f t="shared" si="110"/>
        <v>-0.22481821328307752</v>
      </c>
      <c r="AM193" s="20" cm="1">
        <f t="array" ref="AM193:AM195">'[43]Gergely e Lutz (1968)'!$L$5:$L$7</f>
        <v>0.24461058238608518</v>
      </c>
      <c r="AN193" s="20">
        <f t="shared" si="100"/>
        <v>1.5288161399130324</v>
      </c>
      <c r="AO193" s="20">
        <f t="shared" si="111"/>
        <v>0.42449367113115577</v>
      </c>
      <c r="AP193" s="20" cm="1">
        <f t="array" ref="AP193:AP195">[43]Sugestão!$M$5:$M$7</f>
        <v>0.16897223598041747</v>
      </c>
      <c r="AQ193" s="20">
        <f t="shared" si="101"/>
        <v>1.0560764748776093</v>
      </c>
      <c r="AR193" s="20">
        <f t="shared" si="112"/>
        <v>5.4560602053587606E-2</v>
      </c>
      <c r="AS193" s="20" cm="1">
        <f t="array" ref="AS193:AS195">'[43]fib Model Code 2020 modificado'!$L$5:$L$7</f>
        <v>0.22135040597599331</v>
      </c>
      <c r="AT193" s="20">
        <f t="shared" si="102"/>
        <v>1.3834400373499582</v>
      </c>
      <c r="AU193" s="20">
        <f t="shared" si="113"/>
        <v>0.3245731780334174</v>
      </c>
      <c r="AZ193" t="b">
        <f t="shared" si="90"/>
        <v>0</v>
      </c>
      <c r="BB193" t="b">
        <f t="shared" si="91"/>
        <v>1</v>
      </c>
      <c r="BD193" t="b">
        <f t="shared" si="92"/>
        <v>0</v>
      </c>
    </row>
    <row r="194" spans="1:56">
      <c r="A194" s="90"/>
      <c r="B194" s="21">
        <f>'[43]Dados de entrada'!$B$28</f>
        <v>20</v>
      </c>
      <c r="C194" s="21">
        <f>'[43]Dados de entrada'!$B$31</f>
        <v>1</v>
      </c>
      <c r="D194" s="21">
        <f>'[43]Dados de entrada'!$B$32</f>
        <v>40</v>
      </c>
      <c r="E194" s="20">
        <f>'[43]Dados de entrada'!$B$27</f>
        <v>2.8</v>
      </c>
      <c r="F194" s="21">
        <f>'[43]Dados de entrada'!$B$30</f>
        <v>40</v>
      </c>
      <c r="G194" s="56">
        <f>'[43]Dados de entrada'!$B$22</f>
        <v>50</v>
      </c>
      <c r="H194" s="57">
        <f>'[43]Dados de entrada'!$B$29/(2*'[43]Dados de entrada'!$B$20*G194)</f>
        <v>3.15E-2</v>
      </c>
      <c r="I194" s="27">
        <v>259.89764030841235</v>
      </c>
      <c r="J194" s="19">
        <v>0.2</v>
      </c>
      <c r="K194" s="20">
        <v>0.2129582212234726</v>
      </c>
      <c r="L194" s="20">
        <f t="shared" si="117"/>
        <v>1.0647911061173629</v>
      </c>
      <c r="M194" s="54">
        <f t="shared" si="103"/>
        <v>6.2778635431803023E-2</v>
      </c>
      <c r="N194" s="20">
        <v>0.20529664584009563</v>
      </c>
      <c r="O194" s="20">
        <f t="shared" si="116"/>
        <v>1.0264832292004782</v>
      </c>
      <c r="P194" s="28">
        <f t="shared" si="104"/>
        <v>2.6138619496799888E-2</v>
      </c>
      <c r="Q194" s="20">
        <v>0.21123907383205465</v>
      </c>
      <c r="R194" s="20">
        <f t="shared" si="95"/>
        <v>1.0561953691602732</v>
      </c>
      <c r="S194" s="20">
        <f t="shared" si="105"/>
        <v>5.4673176846576625E-2</v>
      </c>
      <c r="T194" s="20">
        <v>0.21938754499836161</v>
      </c>
      <c r="U194" s="20">
        <v>0.25555866628532853</v>
      </c>
      <c r="V194" s="20">
        <v>1.096937724991808</v>
      </c>
      <c r="W194" s="20">
        <f t="shared" si="106"/>
        <v>9.2522411214800301E-2</v>
      </c>
      <c r="X194" s="20">
        <v>0.22730456924435233</v>
      </c>
      <c r="Y194" s="20">
        <f t="shared" si="96"/>
        <v>1.1365228462217616</v>
      </c>
      <c r="Z194" s="20">
        <f t="shared" si="107"/>
        <v>0.12797346637129173</v>
      </c>
      <c r="AA194" s="20">
        <v>0.31797860737202122</v>
      </c>
      <c r="AB194" s="20">
        <f t="shared" si="115"/>
        <v>1.5898930368601061</v>
      </c>
      <c r="AC194" s="20">
        <f t="shared" si="94"/>
        <v>0.46366674155422216</v>
      </c>
      <c r="AD194" s="20">
        <v>0.2736622642224788</v>
      </c>
      <c r="AE194" s="20">
        <f t="shared" si="97"/>
        <v>1.3683113211123938</v>
      </c>
      <c r="AF194" s="20">
        <f t="shared" si="108"/>
        <v>0.31357736722191248</v>
      </c>
      <c r="AG194" s="20">
        <v>0.24246488217982529</v>
      </c>
      <c r="AH194" s="20">
        <f t="shared" si="98"/>
        <v>1.2123244108991265</v>
      </c>
      <c r="AI194" s="20">
        <f t="shared" si="109"/>
        <v>0.19253951758938978</v>
      </c>
      <c r="AJ194" s="20">
        <v>0.14966742924837029</v>
      </c>
      <c r="AK194" s="20">
        <f t="shared" si="99"/>
        <v>0.74833714624185144</v>
      </c>
      <c r="AL194" s="20">
        <f t="shared" si="110"/>
        <v>-0.28990167228618025</v>
      </c>
      <c r="AM194" s="20">
        <v>0.28262961389498675</v>
      </c>
      <c r="AN194" s="20">
        <f t="shared" si="100"/>
        <v>1.4131480694749337</v>
      </c>
      <c r="AO194" s="20">
        <f t="shared" si="111"/>
        <v>0.34581988906496103</v>
      </c>
      <c r="AP194" s="20">
        <v>0.2244579017601685</v>
      </c>
      <c r="AQ194" s="20">
        <f t="shared" si="101"/>
        <v>1.1222895088008424</v>
      </c>
      <c r="AR194" s="20">
        <f t="shared" si="112"/>
        <v>0.11537080305094947</v>
      </c>
      <c r="AS194" s="20">
        <v>0.27728710523767919</v>
      </c>
      <c r="AT194" s="20">
        <f t="shared" si="102"/>
        <v>1.3864355261883958</v>
      </c>
      <c r="AU194" s="20">
        <f t="shared" si="113"/>
        <v>0.32673608386619257</v>
      </c>
      <c r="AZ194" t="b">
        <f t="shared" si="90"/>
        <v>0</v>
      </c>
      <c r="BB194" t="b">
        <f t="shared" si="91"/>
        <v>1</v>
      </c>
      <c r="BD194" t="b">
        <f t="shared" si="92"/>
        <v>0</v>
      </c>
    </row>
    <row r="195" spans="1:56">
      <c r="A195" s="86"/>
      <c r="B195" s="21">
        <f>'[43]Dados de entrada'!$B$28</f>
        <v>20</v>
      </c>
      <c r="C195" s="21">
        <f>'[43]Dados de entrada'!$B$31</f>
        <v>1</v>
      </c>
      <c r="D195" s="21">
        <f>'[43]Dados de entrada'!$B$32</f>
        <v>40</v>
      </c>
      <c r="E195" s="20">
        <f>'[43]Dados de entrada'!$B$27</f>
        <v>2.8</v>
      </c>
      <c r="F195" s="21">
        <f>'[43]Dados de entrada'!$B$30</f>
        <v>40</v>
      </c>
      <c r="G195" s="56">
        <f>'[43]Dados de entrada'!$B$22</f>
        <v>50</v>
      </c>
      <c r="H195" s="57">
        <f>'[43]Dados de entrada'!$B$29/(2*'[43]Dados de entrada'!$B$20*G195)</f>
        <v>3.15E-2</v>
      </c>
      <c r="I195" s="27">
        <v>294.74027881761134</v>
      </c>
      <c r="J195" s="19">
        <v>0.23</v>
      </c>
      <c r="K195" s="20">
        <v>0.24957439160428585</v>
      </c>
      <c r="L195" s="20">
        <f t="shared" si="117"/>
        <v>1.0851060504534167</v>
      </c>
      <c r="M195" s="54">
        <f t="shared" si="103"/>
        <v>8.1677724569329715E-2</v>
      </c>
      <c r="N195" s="20">
        <v>0.24794297240708743</v>
      </c>
      <c r="O195" s="20">
        <f t="shared" si="116"/>
        <v>1.0780129235090758</v>
      </c>
      <c r="P195" s="28">
        <f t="shared" si="104"/>
        <v>7.5119460827816814E-2</v>
      </c>
      <c r="Q195" s="20">
        <v>0.24755965293006962</v>
      </c>
      <c r="R195" s="20">
        <f t="shared" si="95"/>
        <v>1.0763463170872591</v>
      </c>
      <c r="S195" s="20">
        <f t="shared" si="105"/>
        <v>7.3572265984103352E-2</v>
      </c>
      <c r="T195" s="20">
        <v>0.24879928153712966</v>
      </c>
      <c r="U195" s="20">
        <v>0.32867367449457463</v>
      </c>
      <c r="V195" s="20">
        <v>1.0817360066831723</v>
      </c>
      <c r="W195" s="20">
        <f t="shared" si="106"/>
        <v>7.856716422515804E-2</v>
      </c>
      <c r="X195" s="20">
        <v>0.26336393481260267</v>
      </c>
      <c r="Y195" s="20">
        <f t="shared" si="96"/>
        <v>1.1450605861417507</v>
      </c>
      <c r="Z195" s="20">
        <f t="shared" si="107"/>
        <v>0.13545754926724221</v>
      </c>
      <c r="AA195" s="20">
        <v>0.37186865513846545</v>
      </c>
      <c r="AB195" s="20">
        <f t="shared" si="115"/>
        <v>1.6168202397324585</v>
      </c>
      <c r="AC195" s="20">
        <f t="shared" si="94"/>
        <v>0.4804614054186146</v>
      </c>
      <c r="AD195" s="20">
        <v>0.31035022850948701</v>
      </c>
      <c r="AE195" s="20">
        <f t="shared" si="97"/>
        <v>1.3493488196064651</v>
      </c>
      <c r="AF195" s="20">
        <f t="shared" si="108"/>
        <v>0.29962212023227064</v>
      </c>
      <c r="AG195" s="20">
        <v>0.28152271114606486</v>
      </c>
      <c r="AH195" s="20">
        <f t="shared" si="98"/>
        <v>1.2240117875915864</v>
      </c>
      <c r="AI195" s="20">
        <f t="shared" si="109"/>
        <v>0.20213381442904543</v>
      </c>
      <c r="AJ195" s="20">
        <v>0.17147486090377059</v>
      </c>
      <c r="AK195" s="20">
        <f t="shared" si="99"/>
        <v>0.74554287349465476</v>
      </c>
      <c r="AL195" s="20">
        <f t="shared" si="110"/>
        <v>-0.29364263671311763</v>
      </c>
      <c r="AM195" s="20">
        <v>0.32051976733097681</v>
      </c>
      <c r="AN195" s="20">
        <f t="shared" si="100"/>
        <v>1.3935642057868556</v>
      </c>
      <c r="AO195" s="20">
        <f t="shared" si="111"/>
        <v>0.33186464207531896</v>
      </c>
      <c r="AP195" s="20">
        <v>0.27975548053727639</v>
      </c>
      <c r="AQ195" s="20">
        <f t="shared" si="101"/>
        <v>1.2163281762490277</v>
      </c>
      <c r="AR195" s="20">
        <f t="shared" si="112"/>
        <v>0.19583662891617759</v>
      </c>
      <c r="AS195" s="20">
        <v>0.33410466194190286</v>
      </c>
      <c r="AT195" s="20">
        <f t="shared" si="102"/>
        <v>1.452628964964795</v>
      </c>
      <c r="AU195" s="20">
        <f t="shared" si="113"/>
        <v>0.3733749940742877</v>
      </c>
      <c r="AZ195" t="b">
        <f t="shared" ref="AZ195:AZ258" si="118">IF(AND(B195&lt;=12.7,F195&lt;=45),TRUE,FALSE)</f>
        <v>0</v>
      </c>
      <c r="BB195" t="b">
        <f t="shared" ref="BB195:BB258" si="119">IF(AND(B195&gt;12.7,F195&lt;=45),TRUE,FALSE)</f>
        <v>1</v>
      </c>
      <c r="BD195" t="b">
        <f t="shared" ref="BD195:BD258" si="120">IF(AND(F195&lt;=45,C195&gt;1),TRUE,FALSE)</f>
        <v>0</v>
      </c>
    </row>
    <row r="196" spans="1:56">
      <c r="A196" s="87" t="s">
        <v>80</v>
      </c>
      <c r="B196" s="5">
        <f>'[44]Dados de entrada'!$B$28</f>
        <v>20</v>
      </c>
      <c r="C196" s="5">
        <f>'[44]Dados de entrada'!$B$31</f>
        <v>1</v>
      </c>
      <c r="D196" s="5">
        <f>'[44]Dados de entrada'!$B$32</f>
        <v>40</v>
      </c>
      <c r="E196" s="11">
        <f>'[44]Dados de entrada'!$B$27</f>
        <v>2.8</v>
      </c>
      <c r="F196" s="5">
        <f>'[44]Dados de entrada'!$B$30</f>
        <v>40</v>
      </c>
      <c r="G196" s="12">
        <f>'[44]Dados de entrada'!$B$22</f>
        <v>50</v>
      </c>
      <c r="H196" s="52">
        <f>'[44]Dados de entrada'!$B$29/(2*'[44]Dados de entrada'!$B$20*G196)</f>
        <v>3.15E-2</v>
      </c>
      <c r="I196" s="53" cm="1">
        <f t="array" ref="I196:I198">'[44]fib Model Code 2010'!$K$5:$K$7</f>
        <v>224.93648942333181</v>
      </c>
      <c r="J196" s="4" cm="1">
        <f t="array" ref="J196:J198">'[44]Dados de entrada'!$C$7:$C$9</f>
        <v>0.14000000000000001</v>
      </c>
      <c r="K196" s="11" cm="1">
        <f t="array" ref="K196:K198">'[44]fib Model Code 2010'!$L$5:$L$7</f>
        <v>0.17621750604544575</v>
      </c>
      <c r="L196" s="11">
        <f t="shared" si="117"/>
        <v>1.2586964717531839</v>
      </c>
      <c r="M196" s="29">
        <f t="shared" si="103"/>
        <v>0.23007663922343288</v>
      </c>
      <c r="N196" s="11" cm="1">
        <f t="array" ref="N196:N198">'[44]fib Model Code 2020'!$L$5:$L$7</f>
        <v>0.16250526374056309</v>
      </c>
      <c r="O196" s="11">
        <f t="shared" si="116"/>
        <v>1.1607518838611648</v>
      </c>
      <c r="P196" s="55">
        <f t="shared" si="104"/>
        <v>0.14906797088548918</v>
      </c>
      <c r="Q196" s="11" cm="1">
        <f t="array" ref="Q196:Q198">'[44]Eurocode 2'!$L$5:$L$7</f>
        <v>0.17479495534935269</v>
      </c>
      <c r="R196" s="11">
        <f t="shared" si="95"/>
        <v>1.2485353953525191</v>
      </c>
      <c r="S196" s="11">
        <f t="shared" si="105"/>
        <v>0.22197118063820678</v>
      </c>
      <c r="T196" s="11" cm="1">
        <f t="array" ref="T196:T198">'[44]NBR 6118'!$Q$5:$Q$7</f>
        <v>0.1898757685393937</v>
      </c>
      <c r="U196" s="11" cm="1">
        <f t="array" ref="U196:U198">'[44]NBR 6118'!$R$5:$R$7</f>
        <v>0.19142813392713337</v>
      </c>
      <c r="V196" s="11" cm="1">
        <f t="array" ref="V196:V198">'[44]NBR 6118'!$W$5:$W$7</f>
        <v>1.3562554895670977</v>
      </c>
      <c r="W196" s="11">
        <f t="shared" si="106"/>
        <v>0.30472758590551774</v>
      </c>
      <c r="X196" s="11" cm="1">
        <f t="array" ref="X196:X198">'[44]Clark (1956)'!$L$5:$L$7</f>
        <v>0.19112255277280865</v>
      </c>
      <c r="Y196" s="11">
        <f t="shared" si="96"/>
        <v>1.3651610912343475</v>
      </c>
      <c r="Z196" s="11">
        <f t="shared" si="107"/>
        <v>0.31127243722993364</v>
      </c>
      <c r="AA196" s="11" cm="1">
        <f t="array" ref="AA196:AA198">'[44]Leonhardt (1977)'!$L$5:$L$7</f>
        <v>0.26226217585674594</v>
      </c>
      <c r="AB196" s="11">
        <f t="shared" si="115"/>
        <v>1.8733012561196136</v>
      </c>
      <c r="AC196" s="11">
        <f t="shared" si="94"/>
        <v>0.62770225202306673</v>
      </c>
      <c r="AD196" s="11" cm="1">
        <f t="array" ref="AD196:AD198">'[44]Desayi; Ganesan (1985)'!$L$5:$L$7</f>
        <v>0.23684951094129722</v>
      </c>
      <c r="AE196" s="11">
        <f t="shared" si="97"/>
        <v>1.6917822210092657</v>
      </c>
      <c r="AF196" s="11">
        <f t="shared" si="108"/>
        <v>0.52578254191262996</v>
      </c>
      <c r="AG196" s="11" cm="1">
        <f t="array" ref="AG196:AG198">'[44]Oh; Kang (1987)'!$L$5:$L$7</f>
        <v>0.20327420345519723</v>
      </c>
      <c r="AH196" s="11">
        <f t="shared" si="98"/>
        <v>1.4519585961085515</v>
      </c>
      <c r="AI196" s="11">
        <f t="shared" si="109"/>
        <v>0.37291340091928665</v>
      </c>
      <c r="AJ196" s="11" cm="1">
        <f t="array" ref="AJ196:AJ198">'[44]Caldas (1997)'!$L$5:$L$7</f>
        <v>0.12778582265536664</v>
      </c>
      <c r="AK196" s="11">
        <f t="shared" si="99"/>
        <v>0.91275587610976161</v>
      </c>
      <c r="AL196" s="11">
        <f t="shared" si="110"/>
        <v>-9.128682065855509E-2</v>
      </c>
      <c r="AM196" s="11" cm="1">
        <f t="array" ref="AM196:AM198">'[44]Gergely e Lutz (1968)'!$L$5:$L$7</f>
        <v>0.24461058238608518</v>
      </c>
      <c r="AN196" s="11">
        <f t="shared" si="100"/>
        <v>1.747218445614894</v>
      </c>
      <c r="AO196" s="11">
        <f t="shared" si="111"/>
        <v>0.55802506375567829</v>
      </c>
      <c r="AP196" s="11" cm="1">
        <f t="array" ref="AP196:AP198">[44]Sugestão!$M$5:$M$7</f>
        <v>0.16897223598041747</v>
      </c>
      <c r="AQ196" s="11">
        <f t="shared" si="101"/>
        <v>1.2069445427172676</v>
      </c>
      <c r="AR196" s="11">
        <f t="shared" si="112"/>
        <v>0.18809199467811014</v>
      </c>
      <c r="AS196" s="11" cm="1">
        <f t="array" ref="AS196:AS198">'[44]fib Model Code 2020 modificado'!$L$5:$L$7</f>
        <v>0.22135040597599331</v>
      </c>
      <c r="AT196" s="11">
        <f t="shared" si="102"/>
        <v>1.581074328399952</v>
      </c>
      <c r="AU196" s="11">
        <f t="shared" si="113"/>
        <v>0.45810457065793986</v>
      </c>
      <c r="AZ196" t="b">
        <f t="shared" si="118"/>
        <v>0</v>
      </c>
      <c r="BB196" t="b">
        <f t="shared" si="119"/>
        <v>1</v>
      </c>
      <c r="BD196" t="b">
        <f t="shared" si="120"/>
        <v>0</v>
      </c>
    </row>
    <row r="197" spans="1:56">
      <c r="A197" s="88"/>
      <c r="B197" s="5">
        <f>'[44]Dados de entrada'!$B$28</f>
        <v>20</v>
      </c>
      <c r="C197" s="5">
        <f>'[44]Dados de entrada'!$B$31</f>
        <v>1</v>
      </c>
      <c r="D197" s="5">
        <f>'[44]Dados de entrada'!$B$32</f>
        <v>40</v>
      </c>
      <c r="E197" s="11">
        <f>'[44]Dados de entrada'!$B$27</f>
        <v>2.8</v>
      </c>
      <c r="F197" s="5">
        <f>'[44]Dados de entrada'!$B$30</f>
        <v>40</v>
      </c>
      <c r="G197" s="12">
        <f>'[44]Dados de entrada'!$B$22</f>
        <v>50</v>
      </c>
      <c r="H197" s="52">
        <f>'[44]Dados de entrada'!$B$29/(2*'[44]Dados de entrada'!$B$20*G197)</f>
        <v>3.15E-2</v>
      </c>
      <c r="I197" s="53">
        <v>259.42359080488586</v>
      </c>
      <c r="J197" s="4">
        <v>0.17</v>
      </c>
      <c r="K197" s="11">
        <v>0.21246004203461805</v>
      </c>
      <c r="L197" s="11">
        <f t="shared" si="117"/>
        <v>1.2497649531448118</v>
      </c>
      <c r="M197" s="29">
        <f t="shared" si="103"/>
        <v>0.22295549614879498</v>
      </c>
      <c r="N197" s="11">
        <v>0.20471642370993251</v>
      </c>
      <c r="O197" s="11">
        <f t="shared" si="116"/>
        <v>1.2042142571172501</v>
      </c>
      <c r="P197" s="55">
        <f t="shared" si="104"/>
        <v>0.18582728547094102</v>
      </c>
      <c r="Q197" s="11">
        <v>0.21074491629330622</v>
      </c>
      <c r="R197" s="11">
        <f t="shared" si="95"/>
        <v>1.2396759781959188</v>
      </c>
      <c r="S197" s="11">
        <f t="shared" si="105"/>
        <v>0.21485003756356869</v>
      </c>
      <c r="T197" s="11">
        <v>0.21898738531756209</v>
      </c>
      <c r="U197" s="11">
        <v>0.25462724595282982</v>
      </c>
      <c r="V197" s="11">
        <v>1.2881610901033063</v>
      </c>
      <c r="W197" s="11">
        <f t="shared" si="106"/>
        <v>0.2532156898175501</v>
      </c>
      <c r="X197" s="11">
        <v>0.22681396563117887</v>
      </c>
      <c r="Y197" s="11">
        <f t="shared" si="96"/>
        <v>1.3341997978304638</v>
      </c>
      <c r="Z197" s="11">
        <f t="shared" si="107"/>
        <v>0.28833170976460804</v>
      </c>
      <c r="AA197" s="11">
        <v>0.31723563596323379</v>
      </c>
      <c r="AB197" s="11">
        <f t="shared" si="115"/>
        <v>1.8660919762543162</v>
      </c>
      <c r="AC197" s="11">
        <f t="shared" si="94"/>
        <v>0.62384639180757895</v>
      </c>
      <c r="AD197" s="11">
        <v>0.27316310824578488</v>
      </c>
      <c r="AE197" s="11">
        <f t="shared" si="97"/>
        <v>1.6068418132104991</v>
      </c>
      <c r="AF197" s="11">
        <f t="shared" si="108"/>
        <v>0.47427064582466238</v>
      </c>
      <c r="AG197" s="11">
        <v>0.24193348314627106</v>
      </c>
      <c r="AH197" s="11">
        <f t="shared" si="98"/>
        <v>1.4231381361545354</v>
      </c>
      <c r="AI197" s="11">
        <f t="shared" si="109"/>
        <v>0.35286438829272021</v>
      </c>
      <c r="AJ197" s="11">
        <v>0.14937072949795668</v>
      </c>
      <c r="AK197" s="11">
        <f t="shared" si="99"/>
        <v>0.87865134998798045</v>
      </c>
      <c r="AL197" s="11">
        <f t="shared" si="110"/>
        <v>-0.12936710390818182</v>
      </c>
      <c r="AM197" s="11">
        <v>0.28211410160334066</v>
      </c>
      <c r="AN197" s="11">
        <f t="shared" si="100"/>
        <v>1.6594947153137685</v>
      </c>
      <c r="AO197" s="11">
        <f t="shared" si="111"/>
        <v>0.50651316766771082</v>
      </c>
      <c r="AP197" s="11">
        <v>0.22370555374959566</v>
      </c>
      <c r="AQ197" s="11">
        <f t="shared" si="101"/>
        <v>1.3159150220564451</v>
      </c>
      <c r="AR197" s="11">
        <f t="shared" si="112"/>
        <v>0.27453225791276875</v>
      </c>
      <c r="AS197" s="11">
        <v>0.27652144593195271</v>
      </c>
      <c r="AT197" s="11">
        <f t="shared" si="102"/>
        <v>1.6265967407761923</v>
      </c>
      <c r="AU197" s="11">
        <f t="shared" si="113"/>
        <v>0.48648994304521814</v>
      </c>
      <c r="AZ197" t="b">
        <f t="shared" si="118"/>
        <v>0</v>
      </c>
      <c r="BB197" t="b">
        <f t="shared" si="119"/>
        <v>1</v>
      </c>
      <c r="BD197" t="b">
        <f t="shared" si="120"/>
        <v>0</v>
      </c>
    </row>
    <row r="198" spans="1:56">
      <c r="A198" s="89"/>
      <c r="B198" s="5">
        <f>'[44]Dados de entrada'!$B$28</f>
        <v>20</v>
      </c>
      <c r="C198" s="5">
        <f>'[44]Dados de entrada'!$B$31</f>
        <v>1</v>
      </c>
      <c r="D198" s="5">
        <f>'[44]Dados de entrada'!$B$32</f>
        <v>40</v>
      </c>
      <c r="E198" s="11">
        <f>'[44]Dados de entrada'!$B$27</f>
        <v>2.8</v>
      </c>
      <c r="F198" s="5">
        <f>'[44]Dados de entrada'!$B$30</f>
        <v>40</v>
      </c>
      <c r="G198" s="12">
        <f>'[44]Dados de entrada'!$B$22</f>
        <v>50</v>
      </c>
      <c r="H198" s="52">
        <f>'[44]Dados de entrada'!$B$29/(2*'[44]Dados de entrada'!$B$20*G198)</f>
        <v>3.15E-2</v>
      </c>
      <c r="I198" s="53">
        <v>294.14771693820313</v>
      </c>
      <c r="J198" s="4">
        <v>0.21</v>
      </c>
      <c r="K198" s="11">
        <v>0.24895166761821755</v>
      </c>
      <c r="L198" s="11">
        <f t="shared" si="117"/>
        <v>1.1854841315153217</v>
      </c>
      <c r="M198" s="29">
        <f t="shared" si="103"/>
        <v>0.1701512409553072</v>
      </c>
      <c r="N198" s="11">
        <v>0.2472176947443834</v>
      </c>
      <c r="O198" s="11">
        <f t="shared" si="116"/>
        <v>1.1772271178303972</v>
      </c>
      <c r="P198" s="55">
        <f t="shared" si="104"/>
        <v>0.16316177298545503</v>
      </c>
      <c r="Q198" s="11">
        <v>0.24694195600663396</v>
      </c>
      <c r="R198" s="11">
        <f t="shared" si="95"/>
        <v>1.1759140762220666</v>
      </c>
      <c r="S198" s="11">
        <f t="shared" si="105"/>
        <v>0.16204578237008094</v>
      </c>
      <c r="T198" s="11">
        <v>0.24829908193613023</v>
      </c>
      <c r="U198" s="11">
        <v>0.32735343612391454</v>
      </c>
      <c r="V198" s="11">
        <v>1.1823765806482394</v>
      </c>
      <c r="W198" s="11">
        <f t="shared" si="106"/>
        <v>0.16752646439203298</v>
      </c>
      <c r="X198" s="11">
        <v>0.2627506802961358</v>
      </c>
      <c r="Y198" s="11">
        <f t="shared" si="96"/>
        <v>1.2511937156958848</v>
      </c>
      <c r="Z198" s="11">
        <f t="shared" si="107"/>
        <v>0.22409806817472072</v>
      </c>
      <c r="AA198" s="11">
        <v>0.37096260696987954</v>
      </c>
      <c r="AB198" s="11">
        <f t="shared" ref="AB198:AB229" si="121">AA198/J198</f>
        <v>1.766488604618474</v>
      </c>
      <c r="AC198" s="11">
        <f t="shared" ref="AC198:AC261" si="122">LN(AB198)</f>
        <v>0.56899373697172972</v>
      </c>
      <c r="AD198" s="11">
        <v>0.30972628353861942</v>
      </c>
      <c r="AE198" s="11">
        <f t="shared" si="97"/>
        <v>1.4748870644696164</v>
      </c>
      <c r="AF198" s="11">
        <f t="shared" si="108"/>
        <v>0.38858142039914501</v>
      </c>
      <c r="AG198" s="11">
        <v>0.28085846235412198</v>
      </c>
      <c r="AH198" s="11">
        <f t="shared" si="98"/>
        <v>1.3374212493053428</v>
      </c>
      <c r="AI198" s="11">
        <f t="shared" si="109"/>
        <v>0.29074331903054401</v>
      </c>
      <c r="AJ198" s="11">
        <v>0.17110398621575354</v>
      </c>
      <c r="AK198" s="11">
        <f t="shared" si="99"/>
        <v>0.81478088674168359</v>
      </c>
      <c r="AL198" s="11">
        <f t="shared" si="110"/>
        <v>-0.20483605251178327</v>
      </c>
      <c r="AM198" s="11">
        <v>0.3198753769664191</v>
      </c>
      <c r="AN198" s="11">
        <f t="shared" si="100"/>
        <v>1.5232160807924719</v>
      </c>
      <c r="AO198" s="11">
        <f t="shared" si="111"/>
        <v>0.42082394224219344</v>
      </c>
      <c r="AP198" s="11">
        <v>0.27881504552406022</v>
      </c>
      <c r="AQ198" s="11">
        <f t="shared" si="101"/>
        <v>1.3276906929717154</v>
      </c>
      <c r="AR198" s="11">
        <f t="shared" si="112"/>
        <v>0.28344111200715971</v>
      </c>
      <c r="AS198" s="11">
        <v>0.33312944429804181</v>
      </c>
      <c r="AT198" s="11">
        <f t="shared" si="102"/>
        <v>1.5863306871335325</v>
      </c>
      <c r="AU198" s="11">
        <f t="shared" si="113"/>
        <v>0.4614236053460426</v>
      </c>
      <c r="AZ198" t="b">
        <f t="shared" si="118"/>
        <v>0</v>
      </c>
      <c r="BB198" t="b">
        <f t="shared" si="119"/>
        <v>1</v>
      </c>
      <c r="BD198" t="b">
        <f t="shared" si="120"/>
        <v>0</v>
      </c>
    </row>
    <row r="199" spans="1:56">
      <c r="A199" s="85" t="s">
        <v>81</v>
      </c>
      <c r="B199" s="21">
        <f>'[45]Dados de entrada'!$B$28</f>
        <v>20</v>
      </c>
      <c r="C199" s="21">
        <f>'[45]Dados de entrada'!$B$31</f>
        <v>1</v>
      </c>
      <c r="D199" s="21">
        <f>'[45]Dados de entrada'!$B$32</f>
        <v>40</v>
      </c>
      <c r="E199" s="20">
        <f>'[45]Dados de entrada'!$B$27</f>
        <v>2.8</v>
      </c>
      <c r="F199" s="21">
        <f>'[45]Dados de entrada'!$B$30</f>
        <v>40</v>
      </c>
      <c r="G199" s="56">
        <f>'[45]Dados de entrada'!$B$22</f>
        <v>50</v>
      </c>
      <c r="H199" s="57">
        <f>'[45]Dados de entrada'!$B$29/(2*'[45]Dados de entrada'!$B$20*G199)</f>
        <v>3.15E-2</v>
      </c>
      <c r="I199" s="27" cm="1">
        <f t="array" ref="I199:I203">'[45]fib Model Code 2010'!$K$5:$K$9</f>
        <v>154.30311339788094</v>
      </c>
      <c r="J199" s="19" cm="1">
        <f t="array" ref="J199:J203">'[45]Dados de entrada'!$C$7:$C$11</f>
        <v>0.21</v>
      </c>
      <c r="K199" s="20" cm="1">
        <f t="array" ref="K199:K203">'[45]fib Model Code 2010'!$L$5:$L$9</f>
        <v>0.10198880690611019</v>
      </c>
      <c r="L199" s="20">
        <f t="shared" si="117"/>
        <v>0.48566098526719137</v>
      </c>
      <c r="M199" s="54">
        <f t="shared" si="103"/>
        <v>-0.72224445966926254</v>
      </c>
      <c r="N199" s="20" cm="1">
        <f t="array" ref="N199:N203">'[45]fib Model Code 2020'!$L$5:$L$9</f>
        <v>7.6052166346253336E-2</v>
      </c>
      <c r="O199" s="20">
        <f t="shared" si="116"/>
        <v>0.36215317307739686</v>
      </c>
      <c r="P199" s="28">
        <f t="shared" si="104"/>
        <v>-1.0156880266025829</v>
      </c>
      <c r="Q199" s="20" cm="1">
        <f t="array" ref="Q199:Q203">'[45]Eurocode 2'!$L$5:$L$9</f>
        <v>0.10116548207582587</v>
      </c>
      <c r="R199" s="20">
        <f t="shared" si="95"/>
        <v>0.48174039083726611</v>
      </c>
      <c r="S199" s="20">
        <f t="shared" si="105"/>
        <v>-0.73034991825448869</v>
      </c>
      <c r="T199" s="20" cm="1">
        <f t="array" ref="T199:T203">'[45]NBR 6118'!$Q$5:$Q$9</f>
        <v>0.13025197610025843</v>
      </c>
      <c r="U199" s="20" cm="1">
        <f t="array" ref="U199:U203">'[45]NBR 6118'!$R$5:$R$9</f>
        <v>9.0081439601391769E-2</v>
      </c>
      <c r="V199" s="20" cm="1">
        <f t="array" ref="V199:V203">'[45]NBR 6118'!$W$5:$W$9</f>
        <v>0.42895923619710369</v>
      </c>
      <c r="W199" s="20">
        <f t="shared" si="106"/>
        <v>-0.84639338508842743</v>
      </c>
      <c r="X199" s="20" cm="1">
        <f t="array" ref="X199:X203">'[45]Clark (1956)'!$L$5:$L$9</f>
        <v>0.1180226144099611</v>
      </c>
      <c r="Y199" s="20">
        <f t="shared" si="96"/>
        <v>0.56201244957124341</v>
      </c>
      <c r="Z199" s="20">
        <f t="shared" si="107"/>
        <v>-0.57623127707180477</v>
      </c>
      <c r="AA199" s="20" cm="1">
        <f t="array" ref="AA199:AA203">'[45]Leonhardt (1977)'!$L$5:$L$9</f>
        <v>0.14010405042378313</v>
      </c>
      <c r="AB199" s="20">
        <f t="shared" si="121"/>
        <v>0.66716214487515779</v>
      </c>
      <c r="AC199" s="20">
        <f t="shared" si="122"/>
        <v>-0.40472216684464679</v>
      </c>
      <c r="AD199" s="20" cm="1">
        <f t="array" ref="AD199:AD203">'[45]Desayi; Ganesan (1985)'!$L$5:$L$9</f>
        <v>0.16247527041389301</v>
      </c>
      <c r="AE199" s="20">
        <f t="shared" si="97"/>
        <v>0.77369176387568106</v>
      </c>
      <c r="AF199" s="20">
        <f t="shared" si="108"/>
        <v>-0.25658172259689305</v>
      </c>
      <c r="AG199" s="20" cm="1">
        <f t="array" ref="AG199:AG203">'[45]Oh; Kang (1987)'!$L$5:$L$9</f>
        <v>0.12409574745560968</v>
      </c>
      <c r="AH199" s="20">
        <f t="shared" si="98"/>
        <v>0.59093213074099848</v>
      </c>
      <c r="AI199" s="20">
        <f t="shared" si="109"/>
        <v>-0.52605410617212167</v>
      </c>
      <c r="AJ199" s="20" cm="1">
        <f t="array" ref="AJ199:AJ203">'[45]Caldas (1997)'!$L$5:$L$9</f>
        <v>8.3577559843738908E-2</v>
      </c>
      <c r="AK199" s="20">
        <f t="shared" si="99"/>
        <v>0.39798838020828053</v>
      </c>
      <c r="AL199" s="20">
        <f t="shared" si="110"/>
        <v>-0.92133246958047654</v>
      </c>
      <c r="AM199" s="20" cm="1">
        <f t="array" ref="AM199:AM203">'[45]Gergely e Lutz (1968)'!$L$5:$L$9</f>
        <v>0.16779925093081291</v>
      </c>
      <c r="AN199" s="20">
        <f t="shared" si="100"/>
        <v>0.79904405205149009</v>
      </c>
      <c r="AO199" s="20">
        <f t="shared" si="111"/>
        <v>-0.22433920075384459</v>
      </c>
      <c r="AP199" s="20" cm="1">
        <f t="array" ref="AP199:AP203">[45]Sugestão!$M$5:$M$9</f>
        <v>7.6052166346253336E-2</v>
      </c>
      <c r="AQ199" s="20">
        <f t="shared" si="101"/>
        <v>0.36215317307739686</v>
      </c>
      <c r="AR199" s="20">
        <f t="shared" si="112"/>
        <v>-1.0156880266025829</v>
      </c>
      <c r="AS199" s="20" cm="1">
        <f t="array" ref="AS199:AS203">'[45]fib Model Code 2020 modificado'!$L$5:$L$9</f>
        <v>0.11162205731925061</v>
      </c>
      <c r="AT199" s="20">
        <f t="shared" si="102"/>
        <v>0.53153360628214574</v>
      </c>
      <c r="AU199" s="20">
        <f t="shared" si="113"/>
        <v>-0.63198885406985683</v>
      </c>
      <c r="AZ199" t="b">
        <f t="shared" si="118"/>
        <v>0</v>
      </c>
      <c r="BB199" t="b">
        <f t="shared" si="119"/>
        <v>1</v>
      </c>
      <c r="BD199" t="b">
        <f t="shared" si="120"/>
        <v>0</v>
      </c>
    </row>
    <row r="200" spans="1:56">
      <c r="A200" s="90"/>
      <c r="B200" s="21">
        <f>'[45]Dados de entrada'!$B$28</f>
        <v>20</v>
      </c>
      <c r="C200" s="21">
        <f>'[45]Dados de entrada'!$B$31</f>
        <v>1</v>
      </c>
      <c r="D200" s="21">
        <f>'[45]Dados de entrada'!$B$32</f>
        <v>40</v>
      </c>
      <c r="E200" s="20">
        <f>'[45]Dados de entrada'!$B$27</f>
        <v>2.8</v>
      </c>
      <c r="F200" s="21">
        <f>'[45]Dados de entrada'!$B$30</f>
        <v>40</v>
      </c>
      <c r="G200" s="56">
        <f>'[45]Dados de entrada'!$B$22</f>
        <v>50</v>
      </c>
      <c r="H200" s="57">
        <f>'[45]Dados de entrada'!$B$29/(2*'[45]Dados de entrada'!$B$20*G200)</f>
        <v>3.15E-2</v>
      </c>
      <c r="I200" s="27">
        <v>190.33087566589617</v>
      </c>
      <c r="J200" s="19">
        <v>0.25</v>
      </c>
      <c r="K200" s="20">
        <v>0.13985042525905989</v>
      </c>
      <c r="L200" s="20">
        <f t="shared" si="117"/>
        <v>0.55940170103623954</v>
      </c>
      <c r="M200" s="54">
        <f t="shared" si="103"/>
        <v>-0.58088745739616321</v>
      </c>
      <c r="N200" s="20">
        <v>0.12014904823865298</v>
      </c>
      <c r="O200" s="20">
        <f t="shared" si="116"/>
        <v>0.48059619295461192</v>
      </c>
      <c r="P200" s="28">
        <f t="shared" si="104"/>
        <v>-0.73272787715389831</v>
      </c>
      <c r="Q200" s="20">
        <v>0.13872145502071204</v>
      </c>
      <c r="R200" s="20">
        <f t="shared" si="95"/>
        <v>0.55488582008284815</v>
      </c>
      <c r="S200" s="20">
        <f t="shared" si="105"/>
        <v>-0.58899291598138936</v>
      </c>
      <c r="T200" s="20">
        <v>0.16066411184102541</v>
      </c>
      <c r="U200" s="20">
        <v>0.13705801304842097</v>
      </c>
      <c r="V200" s="20">
        <v>0.54823205219368387</v>
      </c>
      <c r="W200" s="20">
        <f t="shared" si="106"/>
        <v>-0.60105662875681987</v>
      </c>
      <c r="X200" s="20">
        <v>0.15530848901114511</v>
      </c>
      <c r="Y200" s="20">
        <f t="shared" si="96"/>
        <v>0.62123395604458043</v>
      </c>
      <c r="Z200" s="20">
        <f t="shared" si="107"/>
        <v>-0.47604752718513033</v>
      </c>
      <c r="AA200" s="20">
        <v>0.20460235210887237</v>
      </c>
      <c r="AB200" s="20">
        <f t="shared" si="121"/>
        <v>0.81840940843548948</v>
      </c>
      <c r="AC200" s="20">
        <f t="shared" si="122"/>
        <v>-0.20039256827750432</v>
      </c>
      <c r="AD200" s="20">
        <v>0.20041112464263613</v>
      </c>
      <c r="AE200" s="20">
        <f t="shared" si="97"/>
        <v>0.80164449857054454</v>
      </c>
      <c r="AF200" s="20">
        <f t="shared" si="108"/>
        <v>-0.22109003800347818</v>
      </c>
      <c r="AG200" s="20">
        <v>0.16448207400573495</v>
      </c>
      <c r="AH200" s="20">
        <f t="shared" si="98"/>
        <v>0.65792829602293978</v>
      </c>
      <c r="AI200" s="20">
        <f t="shared" si="109"/>
        <v>-0.41865932620428004</v>
      </c>
      <c r="AJ200" s="20">
        <v>0.10612674087517321</v>
      </c>
      <c r="AK200" s="20">
        <f t="shared" si="99"/>
        <v>0.42450696350069284</v>
      </c>
      <c r="AL200" s="20">
        <f t="shared" si="110"/>
        <v>-0.85682686935893571</v>
      </c>
      <c r="AM200" s="20">
        <v>0.20697818509591828</v>
      </c>
      <c r="AN200" s="20">
        <f t="shared" si="100"/>
        <v>0.82791274038367313</v>
      </c>
      <c r="AO200" s="20">
        <f t="shared" si="111"/>
        <v>-0.18884751616042969</v>
      </c>
      <c r="AP200" s="20">
        <v>0.12014904823865298</v>
      </c>
      <c r="AQ200" s="20">
        <f t="shared" si="101"/>
        <v>0.48059619295461192</v>
      </c>
      <c r="AR200" s="20">
        <f t="shared" si="112"/>
        <v>-0.73272787715389831</v>
      </c>
      <c r="AS200" s="20">
        <v>0.16704213558685027</v>
      </c>
      <c r="AT200" s="20">
        <f t="shared" si="102"/>
        <v>0.66816854234740108</v>
      </c>
      <c r="AU200" s="20">
        <f t="shared" si="113"/>
        <v>-0.40321482836673467</v>
      </c>
      <c r="AZ200" t="b">
        <f t="shared" si="118"/>
        <v>0</v>
      </c>
      <c r="BB200" t="b">
        <f t="shared" si="119"/>
        <v>1</v>
      </c>
      <c r="BD200" t="b">
        <f t="shared" si="120"/>
        <v>0</v>
      </c>
    </row>
    <row r="201" spans="1:56">
      <c r="A201" s="90"/>
      <c r="B201" s="21">
        <f>'[45]Dados de entrada'!$B$28</f>
        <v>20</v>
      </c>
      <c r="C201" s="21">
        <f>'[45]Dados de entrada'!$B$31</f>
        <v>1</v>
      </c>
      <c r="D201" s="21">
        <f>'[45]Dados de entrada'!$B$32</f>
        <v>40</v>
      </c>
      <c r="E201" s="20">
        <f>'[45]Dados de entrada'!$B$27</f>
        <v>2.8</v>
      </c>
      <c r="F201" s="21">
        <f>'[45]Dados de entrada'!$B$30</f>
        <v>40</v>
      </c>
      <c r="G201" s="56">
        <f>'[45]Dados de entrada'!$B$22</f>
        <v>50</v>
      </c>
      <c r="H201" s="57">
        <f>'[45]Dados de entrada'!$B$29/(2*'[45]Dados de entrada'!$B$20*G201)</f>
        <v>3.15E-2</v>
      </c>
      <c r="I201" s="27">
        <v>224.34392754392366</v>
      </c>
      <c r="J201" s="19">
        <v>0.28999999999999998</v>
      </c>
      <c r="K201" s="20">
        <v>0.17559478205937751</v>
      </c>
      <c r="L201" s="20">
        <f t="shared" si="117"/>
        <v>0.6054992484806121</v>
      </c>
      <c r="M201" s="54">
        <f t="shared" si="103"/>
        <v>-0.5017019571448188</v>
      </c>
      <c r="N201" s="20">
        <v>0.16177998607785915</v>
      </c>
      <c r="O201" s="20">
        <f t="shared" si="116"/>
        <v>0.55786202095813509</v>
      </c>
      <c r="P201" s="28">
        <f t="shared" si="104"/>
        <v>-0.58364362144672399</v>
      </c>
      <c r="Q201" s="20">
        <v>0.17417725842591705</v>
      </c>
      <c r="R201" s="20">
        <f t="shared" ref="R201:R264" si="123">Q201/J201</f>
        <v>0.60061123595143817</v>
      </c>
      <c r="S201" s="20">
        <f t="shared" si="105"/>
        <v>-0.50980741573004484</v>
      </c>
      <c r="T201" s="20">
        <v>0.18937556893839419</v>
      </c>
      <c r="U201" s="20">
        <v>0.19042088424647874</v>
      </c>
      <c r="V201" s="20">
        <v>0.65301920323584206</v>
      </c>
      <c r="W201" s="20">
        <f t="shared" si="106"/>
        <v>-0.42614874242624812</v>
      </c>
      <c r="X201" s="20">
        <v>0.1905092982563418</v>
      </c>
      <c r="Y201" s="20">
        <f t="shared" ref="Y201:Y264" si="124">X201/J201</f>
        <v>0.65692861467704078</v>
      </c>
      <c r="Z201" s="20">
        <f t="shared" si="107"/>
        <v>-0.42017991986034436</v>
      </c>
      <c r="AA201" s="20">
        <v>0.26129919414968328</v>
      </c>
      <c r="AB201" s="20">
        <f t="shared" si="121"/>
        <v>0.90103170396442511</v>
      </c>
      <c r="AC201" s="20">
        <f t="shared" si="122"/>
        <v>-0.10421483446298216</v>
      </c>
      <c r="AD201" s="20">
        <v>0.23622556597042974</v>
      </c>
      <c r="AE201" s="20">
        <f t="shared" ref="AE201:AE264" si="125">AD201/J201</f>
        <v>0.81457091713941299</v>
      </c>
      <c r="AF201" s="20">
        <f t="shared" si="108"/>
        <v>-0.20509378641913559</v>
      </c>
      <c r="AG201" s="20">
        <v>0.20260995466325438</v>
      </c>
      <c r="AH201" s="20">
        <f t="shared" ref="AH201:AH264" si="126">AG201/J201</f>
        <v>0.69865501608018754</v>
      </c>
      <c r="AI201" s="20">
        <f t="shared" si="109"/>
        <v>-0.35859819780609781</v>
      </c>
      <c r="AJ201" s="20">
        <v>0.12741494796734962</v>
      </c>
      <c r="AK201" s="20">
        <f t="shared" ref="AK201:AK264" si="127">AJ201/J201</f>
        <v>0.43936188954258493</v>
      </c>
      <c r="AL201" s="20">
        <f t="shared" si="110"/>
        <v>-0.82243185574129218</v>
      </c>
      <c r="AM201" s="20">
        <v>0.24396619202152753</v>
      </c>
      <c r="AN201" s="20">
        <f t="shared" ref="AN201:AN264" si="128">AM201/J201</f>
        <v>0.84126273110871563</v>
      </c>
      <c r="AO201" s="20">
        <f t="shared" si="111"/>
        <v>-0.17285126457608735</v>
      </c>
      <c r="AP201" s="20">
        <v>0.1680318009672013</v>
      </c>
      <c r="AQ201" s="20">
        <f t="shared" ref="AQ201:AQ264" si="129">AP201/J201</f>
        <v>0.57942000333517696</v>
      </c>
      <c r="AR201" s="20">
        <f t="shared" si="112"/>
        <v>-0.54572767001919442</v>
      </c>
      <c r="AS201" s="20">
        <v>0.22041159899105203</v>
      </c>
      <c r="AT201" s="20">
        <f t="shared" ref="AT201:AT264" si="130">AS201/J201</f>
        <v>0.76003999652086918</v>
      </c>
      <c r="AU201" s="20">
        <f t="shared" si="113"/>
        <v>-0.27438422008536867</v>
      </c>
      <c r="AZ201" t="b">
        <f t="shared" si="118"/>
        <v>0</v>
      </c>
      <c r="BB201" t="b">
        <f t="shared" si="119"/>
        <v>1</v>
      </c>
      <c r="BD201" t="b">
        <f t="shared" si="120"/>
        <v>0</v>
      </c>
    </row>
    <row r="202" spans="1:56">
      <c r="A202" s="90"/>
      <c r="B202" s="21">
        <f>'[45]Dados de entrada'!$B$28</f>
        <v>20</v>
      </c>
      <c r="C202" s="21">
        <f>'[45]Dados de entrada'!$B$31</f>
        <v>1</v>
      </c>
      <c r="D202" s="21">
        <f>'[45]Dados de entrada'!$B$32</f>
        <v>40</v>
      </c>
      <c r="E202" s="20">
        <f>'[45]Dados de entrada'!$B$27</f>
        <v>2.8</v>
      </c>
      <c r="F202" s="21">
        <f>'[45]Dados de entrada'!$B$30</f>
        <v>40</v>
      </c>
      <c r="G202" s="56">
        <f>'[45]Dados de entrada'!$B$22</f>
        <v>50</v>
      </c>
      <c r="H202" s="57">
        <f>'[45]Dados de entrada'!$B$29/(2*'[45]Dados de entrada'!$B$20*G202)</f>
        <v>3.15E-2</v>
      </c>
      <c r="I202" s="27">
        <v>258.47549179783277</v>
      </c>
      <c r="J202" s="19">
        <v>0.33</v>
      </c>
      <c r="K202" s="20">
        <v>0.21146368365690876</v>
      </c>
      <c r="L202" s="20">
        <f t="shared" si="117"/>
        <v>0.640799041384572</v>
      </c>
      <c r="M202" s="54">
        <f t="shared" si="103"/>
        <v>-0.44503937919575448</v>
      </c>
      <c r="N202" s="20">
        <v>0.2035559794496061</v>
      </c>
      <c r="O202" s="20">
        <f t="shared" si="116"/>
        <v>0.61683630136244272</v>
      </c>
      <c r="P202" s="28">
        <f t="shared" si="104"/>
        <v>-0.48315160411589975</v>
      </c>
      <c r="Q202" s="20">
        <v>0.20975660121580914</v>
      </c>
      <c r="R202" s="20">
        <f t="shared" si="123"/>
        <v>0.63562606429033064</v>
      </c>
      <c r="S202" s="20">
        <f t="shared" si="105"/>
        <v>-0.45314483778098091</v>
      </c>
      <c r="T202" s="20">
        <v>0.21818706595596291</v>
      </c>
      <c r="U202" s="20">
        <v>0.25276950663150632</v>
      </c>
      <c r="V202" s="20">
        <v>0.66117292713928155</v>
      </c>
      <c r="W202" s="20">
        <f t="shared" si="106"/>
        <v>-0.41373985891394799</v>
      </c>
      <c r="X202" s="20">
        <v>0.22583275840483186</v>
      </c>
      <c r="Y202" s="20">
        <f t="shared" si="124"/>
        <v>0.68434169213585405</v>
      </c>
      <c r="Z202" s="20">
        <f t="shared" si="107"/>
        <v>-0.37929793618688296</v>
      </c>
      <c r="AA202" s="20">
        <v>0.31574879558393154</v>
      </c>
      <c r="AB202" s="20">
        <f t="shared" si="121"/>
        <v>0.95681453207251976</v>
      </c>
      <c r="AC202" s="20">
        <f t="shared" si="122"/>
        <v>-4.4145707698224977E-2</v>
      </c>
      <c r="AD202" s="20">
        <v>0.27216479629239682</v>
      </c>
      <c r="AE202" s="20">
        <f t="shared" si="125"/>
        <v>0.824741806946657</v>
      </c>
      <c r="AF202" s="20">
        <f t="shared" si="108"/>
        <v>-0.19268490290683588</v>
      </c>
      <c r="AG202" s="20">
        <v>0.2408706850791624</v>
      </c>
      <c r="AH202" s="20">
        <f t="shared" si="126"/>
        <v>0.72991116690655267</v>
      </c>
      <c r="AI202" s="20">
        <f t="shared" si="109"/>
        <v>-0.31483244141353384</v>
      </c>
      <c r="AJ202" s="20">
        <v>0.14877732999712945</v>
      </c>
      <c r="AK202" s="20">
        <f t="shared" si="127"/>
        <v>0.45084039393069525</v>
      </c>
      <c r="AL202" s="20">
        <f t="shared" si="110"/>
        <v>-0.79664189583813427</v>
      </c>
      <c r="AM202" s="20">
        <v>0.28108307702004831</v>
      </c>
      <c r="AN202" s="20">
        <f t="shared" si="128"/>
        <v>0.8517669000607524</v>
      </c>
      <c r="AO202" s="20">
        <f t="shared" si="111"/>
        <v>-0.16044238106378761</v>
      </c>
      <c r="AP202" s="20">
        <v>0.22220085772844975</v>
      </c>
      <c r="AQ202" s="20">
        <f t="shared" si="129"/>
        <v>0.67333593251045376</v>
      </c>
      <c r="AR202" s="20">
        <f t="shared" si="112"/>
        <v>-0.39551091709840647</v>
      </c>
      <c r="AS202" s="20">
        <v>0.27499072077096748</v>
      </c>
      <c r="AT202" s="20">
        <f t="shared" si="130"/>
        <v>0.83330521445747718</v>
      </c>
      <c r="AU202" s="20">
        <f t="shared" si="113"/>
        <v>-0.18235530001427805</v>
      </c>
      <c r="AZ202" t="b">
        <f t="shared" si="118"/>
        <v>0</v>
      </c>
      <c r="BB202" t="b">
        <f t="shared" si="119"/>
        <v>1</v>
      </c>
      <c r="BD202" t="b">
        <f t="shared" si="120"/>
        <v>0</v>
      </c>
    </row>
    <row r="203" spans="1:56">
      <c r="A203" s="86"/>
      <c r="B203" s="21">
        <f>'[45]Dados de entrada'!$B$28</f>
        <v>20</v>
      </c>
      <c r="C203" s="21">
        <f>'[45]Dados de entrada'!$B$31</f>
        <v>1</v>
      </c>
      <c r="D203" s="21">
        <f>'[45]Dados de entrada'!$B$32</f>
        <v>40</v>
      </c>
      <c r="E203" s="20">
        <f>'[45]Dados de entrada'!$B$27</f>
        <v>2.8</v>
      </c>
      <c r="F203" s="21">
        <f>'[45]Dados de entrada'!$B$30</f>
        <v>40</v>
      </c>
      <c r="G203" s="56">
        <f>'[45]Dados de entrada'!$B$22</f>
        <v>50</v>
      </c>
      <c r="H203" s="57">
        <f>'[45]Dados de entrada'!$B$29/(2*'[45]Dados de entrada'!$B$20*G203)</f>
        <v>3.15E-2</v>
      </c>
      <c r="I203" s="27">
        <v>306.71002878165581</v>
      </c>
      <c r="J203" s="19">
        <v>0.37</v>
      </c>
      <c r="K203" s="20">
        <v>0.26215341612286447</v>
      </c>
      <c r="L203" s="20">
        <f t="shared" si="117"/>
        <v>0.70852274627801204</v>
      </c>
      <c r="M203" s="54">
        <f t="shared" si="103"/>
        <v>-0.34457311552834324</v>
      </c>
      <c r="N203" s="20">
        <v>0.26259358119370696</v>
      </c>
      <c r="O203" s="20">
        <f t="shared" si="116"/>
        <v>0.70971238160461336</v>
      </c>
      <c r="P203" s="28">
        <f t="shared" si="104"/>
        <v>-0.34289548735199127</v>
      </c>
      <c r="Q203" s="20">
        <v>0.26003713078346924</v>
      </c>
      <c r="R203" s="20">
        <f t="shared" si="123"/>
        <v>0.70280305617153849</v>
      </c>
      <c r="S203" s="20">
        <f t="shared" si="105"/>
        <v>-0.35267857411356951</v>
      </c>
      <c r="T203" s="20">
        <v>0.25890331347731865</v>
      </c>
      <c r="U203" s="20">
        <v>0.35591139567956681</v>
      </c>
      <c r="V203" s="20">
        <v>0.69973868507383419</v>
      </c>
      <c r="W203" s="20">
        <f t="shared" si="106"/>
        <v>-0.35704832067253017</v>
      </c>
      <c r="X203" s="20">
        <v>0.27575167604523287</v>
      </c>
      <c r="Y203" s="20">
        <f t="shared" si="124"/>
        <v>0.745274800122251</v>
      </c>
      <c r="Z203" s="20">
        <f t="shared" si="107"/>
        <v>-0.2940022693899193</v>
      </c>
      <c r="AA203" s="20">
        <v>0.39010522592092528</v>
      </c>
      <c r="AB203" s="20">
        <f t="shared" si="121"/>
        <v>1.0543384484349332</v>
      </c>
      <c r="AC203" s="20">
        <f t="shared" si="122"/>
        <v>5.2913507146889853E-2</v>
      </c>
      <c r="AD203" s="20">
        <v>0.32295391692101011</v>
      </c>
      <c r="AE203" s="20">
        <f t="shared" si="125"/>
        <v>0.87284842411083818</v>
      </c>
      <c r="AF203" s="20">
        <f t="shared" si="108"/>
        <v>-0.13599336466541775</v>
      </c>
      <c r="AG203" s="20">
        <v>0.29494053674331033</v>
      </c>
      <c r="AH203" s="20">
        <f t="shared" si="126"/>
        <v>0.79713658579273061</v>
      </c>
      <c r="AI203" s="20">
        <f t="shared" si="109"/>
        <v>-0.22672923997814595</v>
      </c>
      <c r="AJ203" s="20">
        <v>0.17896652960171419</v>
      </c>
      <c r="AK203" s="20">
        <f t="shared" si="127"/>
        <v>0.48369332324787617</v>
      </c>
      <c r="AL203" s="20">
        <f t="shared" si="110"/>
        <v>-0.72630420274676066</v>
      </c>
      <c r="AM203" s="20">
        <v>0.33353645269504134</v>
      </c>
      <c r="AN203" s="20">
        <f t="shared" si="128"/>
        <v>0.90144987214876038</v>
      </c>
      <c r="AO203" s="20">
        <f t="shared" si="111"/>
        <v>-0.10375084282236942</v>
      </c>
      <c r="AP203" s="20">
        <v>0.29875226780424197</v>
      </c>
      <c r="AQ203" s="20">
        <f t="shared" si="129"/>
        <v>0.80743856163308636</v>
      </c>
      <c r="AR203" s="20">
        <f t="shared" si="112"/>
        <v>-0.21388831144481893</v>
      </c>
      <c r="AS203" s="20">
        <v>0.35387024043862264</v>
      </c>
      <c r="AT203" s="20">
        <f t="shared" si="130"/>
        <v>0.95640605523952071</v>
      </c>
      <c r="AU203" s="20">
        <f t="shared" si="113"/>
        <v>-4.4572712134529416E-2</v>
      </c>
      <c r="AZ203" t="b">
        <f t="shared" si="118"/>
        <v>0</v>
      </c>
      <c r="BB203" t="b">
        <f t="shared" si="119"/>
        <v>1</v>
      </c>
      <c r="BD203" t="b">
        <f t="shared" si="120"/>
        <v>0</v>
      </c>
    </row>
    <row r="204" spans="1:56">
      <c r="A204" s="87" t="s">
        <v>85</v>
      </c>
      <c r="B204" s="5">
        <f>'[46]Dados de entrada'!$B$28</f>
        <v>20</v>
      </c>
      <c r="C204" s="5">
        <f>'[46]Dados de entrada'!$B$31</f>
        <v>6</v>
      </c>
      <c r="D204" s="5">
        <f>'[46]Dados de entrada'!$B$32</f>
        <v>84</v>
      </c>
      <c r="E204" s="11">
        <f>'[46]Dados de entrada'!$B$27</f>
        <v>3.5088212858554391</v>
      </c>
      <c r="F204" s="5">
        <f>'[46]Dados de entrada'!$B$30</f>
        <v>50</v>
      </c>
      <c r="G204" s="12">
        <f>'[46]Dados de entrada'!$B$22</f>
        <v>64</v>
      </c>
      <c r="H204" s="52">
        <f>'[46]Dados de entrada'!$B$29/(2*'[46]Dados de entrada'!$B$20*G204)</f>
        <v>2.4531250000000001E-2</v>
      </c>
      <c r="I204" s="53" cm="1">
        <f t="array" ref="I204:I206">'[46]fib Model Code 2010'!$K$5:$K$7</f>
        <v>179.8880402629556</v>
      </c>
      <c r="J204" s="4" cm="1">
        <f t="array" ref="J204:J206">'[46]Dados de entrada'!$C$7:$C$9</f>
        <v>0.15</v>
      </c>
      <c r="K204" s="11" cm="1">
        <f t="array" ref="K204:K206">'[46]fib Model Code 2010'!$L$5:$L$7</f>
        <v>0.13165888294921016</v>
      </c>
      <c r="L204" s="11">
        <f t="shared" si="117"/>
        <v>0.87772588632806781</v>
      </c>
      <c r="M204" s="29">
        <f t="shared" si="103"/>
        <v>-0.13042093645215466</v>
      </c>
      <c r="N204" s="11" cm="1">
        <f t="array" ref="N204:N206">'[46]fib Model Code 2020'!$L$5:$L$7</f>
        <v>0.11112967472357412</v>
      </c>
      <c r="O204" s="11">
        <f t="shared" si="116"/>
        <v>0.74086449815716082</v>
      </c>
      <c r="P204" s="55">
        <f t="shared" si="104"/>
        <v>-0.2999375338932288</v>
      </c>
      <c r="Q204" s="11" cm="1">
        <f t="array" ref="Q204:Q206">'[46]Eurocode 2'!$L$5:$L$7</f>
        <v>0.14372200877992905</v>
      </c>
      <c r="R204" s="11">
        <f t="shared" si="123"/>
        <v>0.95814672519952704</v>
      </c>
      <c r="S204" s="11">
        <f t="shared" si="105"/>
        <v>-4.2754354910422954E-2</v>
      </c>
      <c r="T204" s="11" cm="1">
        <f t="array" ref="T204:T206">'[46]NBR 6118'!$Q$5:$Q$7</f>
        <v>0.18553423573636568</v>
      </c>
      <c r="U204" s="11" cm="1">
        <f t="array" ref="U204:U206">'[46]NBR 6118'!$R$5:$R$7</f>
        <v>0.1026441456405006</v>
      </c>
      <c r="V204" s="11" cm="1">
        <f t="array" ref="V204:V206">'[46]NBR 6118'!$W$5:$W$7</f>
        <v>0.68429430427000404</v>
      </c>
      <c r="W204" s="11">
        <f t="shared" si="106"/>
        <v>-0.37936718449833084</v>
      </c>
      <c r="X204" s="11" cm="1">
        <f t="array" ref="X204:X206">'[46]Clark (1956)'!$L$5:$L$7</f>
        <v>0.1794510728837965</v>
      </c>
      <c r="Y204" s="11">
        <f t="shared" si="124"/>
        <v>1.1963404858919766</v>
      </c>
      <c r="Z204" s="11">
        <f t="shared" si="107"/>
        <v>0.17926730221337758</v>
      </c>
      <c r="AA204" s="11" cm="1">
        <f t="array" ref="AA204:AA206">'[46]Leonhardt (1977)'!$L$5:$L$7</f>
        <v>0.18142626809901571</v>
      </c>
      <c r="AB204" s="11">
        <f t="shared" si="121"/>
        <v>1.2095084539934382</v>
      </c>
      <c r="AC204" s="11">
        <f t="shared" si="122"/>
        <v>0.19021404070324302</v>
      </c>
      <c r="AD204" s="11" cm="1">
        <f t="array" ref="AD204:AD206">'[46]Desayi; Ganesan (1985)'!$L$5:$L$7</f>
        <v>0.24579967428747088</v>
      </c>
      <c r="AE204" s="11">
        <f t="shared" si="125"/>
        <v>1.638664495249806</v>
      </c>
      <c r="AF204" s="11">
        <f t="shared" si="108"/>
        <v>0.49388157792280274</v>
      </c>
      <c r="AG204" s="11" cm="1">
        <f t="array" ref="AG204:AG206">'[46]Oh; Kang (1987)'!$L$5:$L$7</f>
        <v>9.6590039935230895E-2</v>
      </c>
      <c r="AH204" s="11">
        <f t="shared" si="126"/>
        <v>0.64393359956820595</v>
      </c>
      <c r="AI204" s="11">
        <f t="shared" si="109"/>
        <v>-0.44015966445414911</v>
      </c>
      <c r="AJ204" s="11" cm="1">
        <f t="array" ref="AJ204:AJ206">'[46]Caldas (1997)'!$L$5:$L$7</f>
        <v>0.22462944676363292</v>
      </c>
      <c r="AK204" s="11">
        <f t="shared" si="127"/>
        <v>1.4975296450908862</v>
      </c>
      <c r="AL204" s="11">
        <f t="shared" si="110"/>
        <v>0.4038168471994254</v>
      </c>
      <c r="AM204" s="11" cm="1">
        <f t="array" ref="AM204:AM206">'[46]Gergely e Lutz (1968)'!$L$5:$L$7</f>
        <v>0.23457569596147687</v>
      </c>
      <c r="AN204" s="11">
        <f t="shared" si="128"/>
        <v>1.5638379730765126</v>
      </c>
      <c r="AO204" s="11">
        <f t="shared" si="111"/>
        <v>0.44714303897933311</v>
      </c>
      <c r="AP204" s="11" cm="1">
        <f t="array" ref="AP204:AP206">[46]Sugestão!$M$5:$M$7</f>
        <v>0.11112967472357412</v>
      </c>
      <c r="AQ204" s="11">
        <f t="shared" si="129"/>
        <v>0.74086449815716082</v>
      </c>
      <c r="AR204" s="11">
        <f t="shared" si="112"/>
        <v>-0.2999375338932288</v>
      </c>
      <c r="AS204" s="11" cm="1">
        <f t="array" ref="AS204:AS206">'[46]fib Model Code 2020 modificado'!$L$5:$L$7</f>
        <v>0.14576001344535874</v>
      </c>
      <c r="AT204" s="11">
        <f t="shared" si="130"/>
        <v>0.97173342296905829</v>
      </c>
      <c r="AU204" s="11">
        <f t="shared" si="113"/>
        <v>-2.8673768341481026E-2</v>
      </c>
      <c r="AZ204" t="b">
        <f t="shared" si="118"/>
        <v>0</v>
      </c>
      <c r="BB204" t="b">
        <f t="shared" si="119"/>
        <v>0</v>
      </c>
      <c r="BD204" t="b">
        <f t="shared" si="120"/>
        <v>0</v>
      </c>
    </row>
    <row r="205" spans="1:56">
      <c r="A205" s="88"/>
      <c r="B205" s="5">
        <f>'[46]Dados de entrada'!$B$28</f>
        <v>20</v>
      </c>
      <c r="C205" s="5">
        <f>'[46]Dados de entrada'!$B$31</f>
        <v>6</v>
      </c>
      <c r="D205" s="5">
        <f>'[46]Dados de entrada'!$B$32</f>
        <v>84</v>
      </c>
      <c r="E205" s="11">
        <f>'[46]Dados de entrada'!$B$27</f>
        <v>3.5088212858554391</v>
      </c>
      <c r="F205" s="5">
        <f>'[46]Dados de entrada'!$B$30</f>
        <v>50</v>
      </c>
      <c r="G205" s="12">
        <f>'[46]Dados de entrada'!$B$22</f>
        <v>64</v>
      </c>
      <c r="H205" s="52">
        <f>'[46]Dados de entrada'!$B$29/(2*'[46]Dados de entrada'!$B$20*G205)</f>
        <v>2.4531250000000001E-2</v>
      </c>
      <c r="I205" s="53">
        <v>225.29667178564338</v>
      </c>
      <c r="J205" s="4">
        <v>0.23</v>
      </c>
      <c r="K205" s="11">
        <v>0.19201766444682036</v>
      </c>
      <c r="L205" s="11">
        <f t="shared" si="117"/>
        <v>0.83485941063834934</v>
      </c>
      <c r="M205" s="29">
        <f t="shared" ref="M205:M268" si="131">LN(L205)</f>
        <v>-0.18049193880017905</v>
      </c>
      <c r="N205" s="11">
        <v>0.15812571226520117</v>
      </c>
      <c r="O205" s="11">
        <f t="shared" si="116"/>
        <v>0.68750309680522248</v>
      </c>
      <c r="P205" s="55">
        <f t="shared" ref="P205:P268" si="132">LN(O205)</f>
        <v>-0.3746889450075957</v>
      </c>
      <c r="Q205" s="11">
        <v>0.19235738777105407</v>
      </c>
      <c r="R205" s="11">
        <f t="shared" si="123"/>
        <v>0.83633646856980026</v>
      </c>
      <c r="S205" s="11">
        <f t="shared" ref="S205:S268" si="133">LN(R205)</f>
        <v>-0.17872427250272807</v>
      </c>
      <c r="T205" s="11">
        <v>0.23236812048535119</v>
      </c>
      <c r="U205" s="11">
        <v>0.16100492295254692</v>
      </c>
      <c r="V205" s="11">
        <v>0.70002140414150837</v>
      </c>
      <c r="W205" s="11">
        <f t="shared" ref="W205:W268" si="134">LN(V205)</f>
        <v>-0.3566443670611979</v>
      </c>
      <c r="X205" s="11">
        <v>0.2397953842270677</v>
      </c>
      <c r="Y205" s="11">
        <f t="shared" si="124"/>
        <v>1.0425886270742073</v>
      </c>
      <c r="Z205" s="11">
        <f t="shared" ref="Z205:Z268" si="135">LN(Y205)</f>
        <v>4.1706685057390815E-2</v>
      </c>
      <c r="AA205" s="11">
        <v>0.28653185735533826</v>
      </c>
      <c r="AB205" s="11">
        <f t="shared" si="121"/>
        <v>1.2457906841536446</v>
      </c>
      <c r="AC205" s="11">
        <f t="shared" si="122"/>
        <v>0.21977041600744845</v>
      </c>
      <c r="AD205" s="11">
        <v>0.30784619401052171</v>
      </c>
      <c r="AE205" s="11">
        <f t="shared" si="125"/>
        <v>1.3384617130892247</v>
      </c>
      <c r="AF205" s="11">
        <f t="shared" ref="AF205:AF268" si="136">LN(AE205)</f>
        <v>0.29152097922789905</v>
      </c>
      <c r="AG205" s="11">
        <v>0.12839861103259623</v>
      </c>
      <c r="AH205" s="11">
        <f t="shared" si="126"/>
        <v>0.55825483057650527</v>
      </c>
      <c r="AI205" s="11">
        <f t="shared" ref="AI205:AI268" si="137">LN(AH205)</f>
        <v>-0.58293973522898901</v>
      </c>
      <c r="AJ205" s="11">
        <v>0.29310374580479831</v>
      </c>
      <c r="AK205" s="11">
        <f t="shared" si="127"/>
        <v>1.2743641121947753</v>
      </c>
      <c r="AL205" s="11">
        <f t="shared" ref="AL205:AL268" si="138">LN(AK205)</f>
        <v>0.24244731866694688</v>
      </c>
      <c r="AM205" s="11">
        <v>0.29378897843718943</v>
      </c>
      <c r="AN205" s="11">
        <f t="shared" si="128"/>
        <v>1.2773433845095192</v>
      </c>
      <c r="AO205" s="11">
        <f t="shared" ref="AO205:AO268" si="139">LN(AN205)</f>
        <v>0.24478244028442955</v>
      </c>
      <c r="AP205" s="11">
        <v>0.17447193318140625</v>
      </c>
      <c r="AQ205" s="11">
        <f t="shared" si="129"/>
        <v>0.75857362252785321</v>
      </c>
      <c r="AR205" s="11">
        <f t="shared" ref="AR205:AR268" si="140">LN(AQ205)</f>
        <v>-0.27631542158437289</v>
      </c>
      <c r="AS205" s="11">
        <v>0.20417558556107207</v>
      </c>
      <c r="AT205" s="11">
        <f t="shared" si="130"/>
        <v>0.88771993722205245</v>
      </c>
      <c r="AU205" s="11">
        <f t="shared" ref="AU205:AU268" si="141">LN(AT205)</f>
        <v>-0.11909897174579667</v>
      </c>
      <c r="AZ205" t="b">
        <f t="shared" si="118"/>
        <v>0</v>
      </c>
      <c r="BB205" t="b">
        <f t="shared" si="119"/>
        <v>0</v>
      </c>
      <c r="BD205" t="b">
        <f t="shared" si="120"/>
        <v>0</v>
      </c>
    </row>
    <row r="206" spans="1:56">
      <c r="A206" s="89"/>
      <c r="B206" s="5">
        <f>'[46]Dados de entrada'!$B$28</f>
        <v>20</v>
      </c>
      <c r="C206" s="5">
        <f>'[46]Dados de entrada'!$B$31</f>
        <v>6</v>
      </c>
      <c r="D206" s="5">
        <f>'[46]Dados de entrada'!$B$32</f>
        <v>84</v>
      </c>
      <c r="E206" s="11">
        <f>'[46]Dados de entrada'!$B$27</f>
        <v>3.5088212858554391</v>
      </c>
      <c r="F206" s="5">
        <f>'[46]Dados de entrada'!$B$30</f>
        <v>50</v>
      </c>
      <c r="G206" s="12">
        <f>'[46]Dados de entrada'!$B$22</f>
        <v>64</v>
      </c>
      <c r="H206" s="52">
        <f>'[46]Dados de entrada'!$B$29/(2*'[46]Dados de entrada'!$B$20*G206)</f>
        <v>2.4531250000000001E-2</v>
      </c>
      <c r="I206" s="53">
        <v>270.70530330833117</v>
      </c>
      <c r="J206" s="4">
        <v>0.28000000000000003</v>
      </c>
      <c r="K206" s="11">
        <v>0.25237644594443065</v>
      </c>
      <c r="L206" s="11">
        <f t="shared" si="117"/>
        <v>0.90134444980153794</v>
      </c>
      <c r="M206" s="29">
        <f t="shared" si="131"/>
        <v>-0.10386779720375283</v>
      </c>
      <c r="N206" s="11">
        <v>0.22825608951794205</v>
      </c>
      <c r="O206" s="11">
        <f t="shared" si="116"/>
        <v>0.81520031970693585</v>
      </c>
      <c r="P206" s="55">
        <f t="shared" si="132"/>
        <v>-0.20432140489149103</v>
      </c>
      <c r="Q206" s="11">
        <v>0.25282295780791741</v>
      </c>
      <c r="R206" s="11">
        <f t="shared" si="123"/>
        <v>0.90293913502827639</v>
      </c>
      <c r="S206" s="11">
        <f t="shared" si="133"/>
        <v>-0.10210013090630196</v>
      </c>
      <c r="T206" s="11">
        <v>0.27920200523433669</v>
      </c>
      <c r="U206" s="11">
        <v>0.2324465641448796</v>
      </c>
      <c r="V206" s="11">
        <v>0.83016630051742712</v>
      </c>
      <c r="W206" s="11">
        <f t="shared" si="134"/>
        <v>-0.18612923619210275</v>
      </c>
      <c r="X206" s="11">
        <v>0.30013969557033893</v>
      </c>
      <c r="Y206" s="11">
        <f t="shared" si="124"/>
        <v>1.0719274841797817</v>
      </c>
      <c r="Z206" s="11">
        <f t="shared" si="135"/>
        <v>6.9458415005878779E-2</v>
      </c>
      <c r="AA206" s="11">
        <v>0.38280381975996458</v>
      </c>
      <c r="AB206" s="11">
        <f t="shared" si="121"/>
        <v>1.3671564991427305</v>
      </c>
      <c r="AC206" s="11">
        <f t="shared" si="122"/>
        <v>0.3127330348340715</v>
      </c>
      <c r="AD206" s="11">
        <v>0.36989271373357252</v>
      </c>
      <c r="AE206" s="11">
        <f t="shared" si="125"/>
        <v>1.3210454061913304</v>
      </c>
      <c r="AF206" s="11">
        <f t="shared" si="136"/>
        <v>0.27842339753941919</v>
      </c>
      <c r="AG206" s="11">
        <v>0.16020718212996152</v>
      </c>
      <c r="AH206" s="11">
        <f t="shared" si="126"/>
        <v>0.57216850760700533</v>
      </c>
      <c r="AI206" s="11">
        <f t="shared" si="137"/>
        <v>-0.5583217372680076</v>
      </c>
      <c r="AJ206" s="11">
        <v>0.36157804484596373</v>
      </c>
      <c r="AK206" s="11">
        <f t="shared" si="127"/>
        <v>1.2913501601641562</v>
      </c>
      <c r="AL206" s="11">
        <f t="shared" si="138"/>
        <v>0.25568830681839194</v>
      </c>
      <c r="AM206" s="11">
        <v>0.35300226091290199</v>
      </c>
      <c r="AN206" s="11">
        <f t="shared" si="128"/>
        <v>1.2607223604032212</v>
      </c>
      <c r="AO206" s="11">
        <f t="shared" si="139"/>
        <v>0.23168485859594956</v>
      </c>
      <c r="AP206" s="11">
        <v>0.27340361669998869</v>
      </c>
      <c r="AQ206" s="11">
        <f t="shared" si="129"/>
        <v>0.97644148821424526</v>
      </c>
      <c r="AR206" s="11">
        <f t="shared" si="140"/>
        <v>-2.384045036415924E-2</v>
      </c>
      <c r="AS206" s="11">
        <v>0.28680495920975169</v>
      </c>
      <c r="AT206" s="11">
        <f t="shared" si="130"/>
        <v>1.024303425749113</v>
      </c>
      <c r="AU206" s="11">
        <f t="shared" si="141"/>
        <v>2.4012796933049689E-2</v>
      </c>
      <c r="AZ206" t="b">
        <f t="shared" si="118"/>
        <v>0</v>
      </c>
      <c r="BB206" t="b">
        <f t="shared" si="119"/>
        <v>0</v>
      </c>
      <c r="BD206" t="b">
        <f t="shared" si="120"/>
        <v>0</v>
      </c>
    </row>
    <row r="207" spans="1:56">
      <c r="A207" s="85" t="s">
        <v>86</v>
      </c>
      <c r="B207" s="21">
        <f>'[47]Dados de entrada'!$B$28</f>
        <v>20</v>
      </c>
      <c r="C207" s="21">
        <f>'[47]Dados de entrada'!$B$31</f>
        <v>9</v>
      </c>
      <c r="D207" s="21">
        <f>'[47]Dados de entrada'!$B$32</f>
        <v>45</v>
      </c>
      <c r="E207" s="20">
        <f>'[47]Dados de entrada'!$B$27</f>
        <v>3.5088212858554391</v>
      </c>
      <c r="F207" s="21">
        <f>'[47]Dados de entrada'!$B$30</f>
        <v>50</v>
      </c>
      <c r="G207" s="56">
        <f>'[47]Dados de entrada'!$B$22</f>
        <v>64</v>
      </c>
      <c r="H207" s="57">
        <f>'[47]Dados de entrada'!$B$29/(2*'[47]Dados de entrada'!$B$20*G207)</f>
        <v>3.6796875E-2</v>
      </c>
      <c r="I207" s="27" cm="1">
        <f t="array" ref="I207:I209">'[47]fib Model Code 2010'!$K$5:$K$7</f>
        <v>176.83957373352104</v>
      </c>
      <c r="J207" s="19" cm="1">
        <f t="array" ref="J207:J209">'[47]Dados de entrada'!$C$7:$C$9</f>
        <v>0.18</v>
      </c>
      <c r="K207" s="20" cm="1">
        <f t="array" ref="K207:K209">'[47]fib Model Code 2010'!$L$5:$L$7</f>
        <v>0.12272095972411494</v>
      </c>
      <c r="L207" s="20">
        <f t="shared" si="117"/>
        <v>0.68178310957841637</v>
      </c>
      <c r="M207" s="54">
        <f t="shared" si="131"/>
        <v>-0.38304369286414053</v>
      </c>
      <c r="N207" s="20" cm="1">
        <f t="array" ref="N207:N209">'[47]fib Model Code 2020'!$L$5:$L$7</f>
        <v>0.11794821671353553</v>
      </c>
      <c r="O207" s="20">
        <f t="shared" si="116"/>
        <v>0.65526787063075298</v>
      </c>
      <c r="P207" s="28">
        <f t="shared" si="132"/>
        <v>-0.42271116415433352</v>
      </c>
      <c r="Q207" s="20" cm="1">
        <f t="array" ref="Q207:Q209">'[47]Eurocode 2'!$L$5:$L$7</f>
        <v>0.13790150792584993</v>
      </c>
      <c r="R207" s="20">
        <f t="shared" si="123"/>
        <v>0.76611948847694411</v>
      </c>
      <c r="S207" s="20">
        <f t="shared" si="133"/>
        <v>-0.26641713122797039</v>
      </c>
      <c r="T207" s="20" cm="1">
        <f t="array" ref="T207:T209">'[47]NBR 6118'!$Q$5:$Q$7</f>
        <v>0.15058108016807392</v>
      </c>
      <c r="U207" s="20" cm="1">
        <f t="array" ref="U207:U209">'[47]NBR 6118'!$R$5:$R$7</f>
        <v>0.10035281057140449</v>
      </c>
      <c r="V207" s="20" cm="1">
        <f t="array" ref="V207:V209">'[47]NBR 6118'!$W$5:$W$7</f>
        <v>0.5575156142855805</v>
      </c>
      <c r="W207" s="20">
        <f t="shared" si="134"/>
        <v>-0.58426476835293129</v>
      </c>
      <c r="X207" s="20" cm="1">
        <f t="array" ref="X207:X209">'[47]Clark (1956)'!$L$5:$L$7</f>
        <v>0.12925750125388741</v>
      </c>
      <c r="Y207" s="20">
        <f t="shared" si="124"/>
        <v>0.71809722918826335</v>
      </c>
      <c r="Z207" s="20">
        <f t="shared" si="135"/>
        <v>-0.33115030240518045</v>
      </c>
      <c r="AA207" s="20" cm="1">
        <f t="array" ref="AA207:AA209">'[47]Leonhardt (1977)'!$L$5:$L$7</f>
        <v>0.18258746810139406</v>
      </c>
      <c r="AB207" s="20">
        <f t="shared" si="121"/>
        <v>1.0143748227855227</v>
      </c>
      <c r="AC207" s="20">
        <f t="shared" si="122"/>
        <v>1.4272484583583408E-2</v>
      </c>
      <c r="AD207" s="20" cm="1">
        <f t="array" ref="AD207:AD209">'[47]Desayi; Ganesan (1985)'!$L$5:$L$7</f>
        <v>0.18565179539027393</v>
      </c>
      <c r="AE207" s="20">
        <f t="shared" si="125"/>
        <v>1.0313988632792996</v>
      </c>
      <c r="AF207" s="20">
        <f t="shared" si="136"/>
        <v>3.0916000519803196E-2</v>
      </c>
      <c r="AG207" s="20" cm="1">
        <f t="array" ref="AG207:AG209">'[47]Oh; Kang (1987)'!$L$5:$L$7</f>
        <v>7.26410069353427E-2</v>
      </c>
      <c r="AH207" s="20">
        <f t="shared" si="126"/>
        <v>0.40356114964079282</v>
      </c>
      <c r="AI207" s="20">
        <f t="shared" si="137"/>
        <v>-0.90742725469789243</v>
      </c>
      <c r="AJ207" s="20" cm="1">
        <f t="array" ref="AJ207:AJ209">'[47]Caldas (1997)'!$L$5:$L$7</f>
        <v>0.22580404183364336</v>
      </c>
      <c r="AK207" s="20">
        <f t="shared" si="127"/>
        <v>1.2544668990757966</v>
      </c>
      <c r="AL207" s="20">
        <f t="shared" si="138"/>
        <v>0.22671070072556951</v>
      </c>
      <c r="AM207" s="20" cm="1">
        <f t="array" ref="AM207:AM209">'[47]Gergely e Lutz (1968)'!$L$5:$L$7</f>
        <v>0.20474891148564389</v>
      </c>
      <c r="AN207" s="20">
        <f t="shared" si="128"/>
        <v>1.1374939526980217</v>
      </c>
      <c r="AO207" s="20">
        <f t="shared" si="139"/>
        <v>0.12882755551940531</v>
      </c>
      <c r="AP207" s="20" cm="1">
        <f t="array" ref="AP207:AP209">[47]Sugestão!$M$5:$M$7</f>
        <v>0.11794821671353553</v>
      </c>
      <c r="AQ207" s="20">
        <f t="shared" si="129"/>
        <v>0.65526787063075298</v>
      </c>
      <c r="AR207" s="20">
        <f t="shared" si="140"/>
        <v>-0.42271116415433352</v>
      </c>
      <c r="AS207" s="20" cm="1">
        <f t="array" ref="AS207:AS209">'[47]fib Model Code 2020 modificado'!$L$5:$L$7</f>
        <v>0.15185058242568208</v>
      </c>
      <c r="AT207" s="20">
        <f t="shared" si="130"/>
        <v>0.84361434680934499</v>
      </c>
      <c r="AU207" s="20">
        <f t="shared" si="141"/>
        <v>-0.17005982387283425</v>
      </c>
      <c r="AZ207" t="b">
        <f t="shared" si="118"/>
        <v>0</v>
      </c>
      <c r="BB207" t="b">
        <f t="shared" si="119"/>
        <v>0</v>
      </c>
      <c r="BD207" t="b">
        <f t="shared" si="120"/>
        <v>0</v>
      </c>
    </row>
    <row r="208" spans="1:56">
      <c r="A208" s="90"/>
      <c r="B208" s="21">
        <f>'[47]Dados de entrada'!$B$28</f>
        <v>20</v>
      </c>
      <c r="C208" s="21">
        <f>'[47]Dados de entrada'!$B$31</f>
        <v>9</v>
      </c>
      <c r="D208" s="21">
        <f>'[47]Dados de entrada'!$B$32</f>
        <v>45</v>
      </c>
      <c r="E208" s="20">
        <f>'[47]Dados de entrada'!$B$27</f>
        <v>3.5088212858554391</v>
      </c>
      <c r="F208" s="21">
        <f>'[47]Dados de entrada'!$B$30</f>
        <v>50</v>
      </c>
      <c r="G208" s="56">
        <f>'[47]Dados de entrada'!$B$22</f>
        <v>64</v>
      </c>
      <c r="H208" s="57">
        <f>'[47]Dados de entrada'!$B$29/(2*'[47]Dados de entrada'!$B$20*G208)</f>
        <v>3.6796875E-2</v>
      </c>
      <c r="I208" s="27">
        <v>220.75275647271758</v>
      </c>
      <c r="J208" s="19">
        <v>0.26</v>
      </c>
      <c r="K208" s="20">
        <v>0.16718299484634599</v>
      </c>
      <c r="L208" s="20">
        <f t="shared" si="117"/>
        <v>0.64301151863979222</v>
      </c>
      <c r="M208" s="54">
        <f t="shared" si="131"/>
        <v>-0.44159264100171586</v>
      </c>
      <c r="N208" s="20">
        <v>0.17512939694084201</v>
      </c>
      <c r="O208" s="20">
        <f t="shared" si="116"/>
        <v>0.67357460361862309</v>
      </c>
      <c r="P208" s="28">
        <f t="shared" si="132"/>
        <v>-0.39515651923119061</v>
      </c>
      <c r="Q208" s="20">
        <v>0.18786348428743904</v>
      </c>
      <c r="R208" s="20">
        <f t="shared" si="123"/>
        <v>0.72255186264399629</v>
      </c>
      <c r="S208" s="20">
        <f t="shared" si="133"/>
        <v>-0.32496607936554589</v>
      </c>
      <c r="T208" s="20">
        <v>0.18797369739101846</v>
      </c>
      <c r="U208" s="20">
        <v>0.15638060603253504</v>
      </c>
      <c r="V208" s="20">
        <v>0.60146386935590401</v>
      </c>
      <c r="W208" s="20">
        <f t="shared" si="134"/>
        <v>-0.50838881294276417</v>
      </c>
      <c r="X208" s="20">
        <v>0.16816215707854121</v>
      </c>
      <c r="Y208" s="20">
        <f t="shared" si="124"/>
        <v>0.64677752722515847</v>
      </c>
      <c r="Z208" s="20">
        <f t="shared" si="135"/>
        <v>-0.43575289643263887</v>
      </c>
      <c r="AA208" s="20">
        <v>0.25171665079763234</v>
      </c>
      <c r="AB208" s="20">
        <f t="shared" si="121"/>
        <v>0.96814096460627819</v>
      </c>
      <c r="AC208" s="20">
        <f t="shared" si="122"/>
        <v>-3.2377577714529246E-2</v>
      </c>
      <c r="AD208" s="20">
        <v>0.23175324793685206</v>
      </c>
      <c r="AE208" s="20">
        <f t="shared" si="125"/>
        <v>0.89135864591096947</v>
      </c>
      <c r="AF208" s="20">
        <f t="shared" si="136"/>
        <v>-0.1150084118377719</v>
      </c>
      <c r="AG208" s="20">
        <v>9.6297992222281054E-2</v>
      </c>
      <c r="AH208" s="20">
        <f t="shared" si="126"/>
        <v>0.3703768931626194</v>
      </c>
      <c r="AI208" s="20">
        <f t="shared" si="137"/>
        <v>-0.9932341616262923</v>
      </c>
      <c r="AJ208" s="20">
        <v>0.29196389196838551</v>
      </c>
      <c r="AK208" s="20">
        <f t="shared" si="127"/>
        <v>1.122938046032252</v>
      </c>
      <c r="AL208" s="20">
        <f t="shared" si="138"/>
        <v>0.11594850596400205</v>
      </c>
      <c r="AM208" s="20">
        <v>0.25559260091496488</v>
      </c>
      <c r="AN208" s="20">
        <f t="shared" si="128"/>
        <v>0.98304846505755716</v>
      </c>
      <c r="AO208" s="20">
        <f t="shared" si="139"/>
        <v>-1.7096856838169968E-2</v>
      </c>
      <c r="AP208" s="20">
        <v>0.18309615198494922</v>
      </c>
      <c r="AQ208" s="20">
        <f t="shared" si="129"/>
        <v>0.70421596917288154</v>
      </c>
      <c r="AR208" s="20">
        <f t="shared" si="140"/>
        <v>-0.35067019547643985</v>
      </c>
      <c r="AS208" s="20">
        <v>0.2199879444082459</v>
      </c>
      <c r="AT208" s="20">
        <f t="shared" si="130"/>
        <v>0.84610747849325341</v>
      </c>
      <c r="AU208" s="20">
        <f t="shared" si="141"/>
        <v>-0.16710888430897625</v>
      </c>
      <c r="AZ208" t="b">
        <f t="shared" si="118"/>
        <v>0</v>
      </c>
      <c r="BB208" t="b">
        <f t="shared" si="119"/>
        <v>0</v>
      </c>
      <c r="BD208" t="b">
        <f t="shared" si="120"/>
        <v>0</v>
      </c>
    </row>
    <row r="209" spans="1:56">
      <c r="A209" s="86"/>
      <c r="B209" s="21">
        <f>'[47]Dados de entrada'!$B$28</f>
        <v>20</v>
      </c>
      <c r="C209" s="21">
        <f>'[47]Dados de entrada'!$B$31</f>
        <v>9</v>
      </c>
      <c r="D209" s="21">
        <f>'[47]Dados de entrada'!$B$32</f>
        <v>45</v>
      </c>
      <c r="E209" s="20">
        <f>'[47]Dados de entrada'!$B$27</f>
        <v>3.5088212858554391</v>
      </c>
      <c r="F209" s="21">
        <f>'[47]Dados de entrada'!$B$30</f>
        <v>50</v>
      </c>
      <c r="G209" s="56">
        <f>'[47]Dados de entrada'!$B$22</f>
        <v>64</v>
      </c>
      <c r="H209" s="57">
        <f>'[47]Dados de entrada'!$B$29/(2*'[47]Dados de entrada'!$B$20*G209)</f>
        <v>3.6796875E-2</v>
      </c>
      <c r="I209" s="27">
        <v>264.66593921191406</v>
      </c>
      <c r="J209" s="19">
        <v>0.34</v>
      </c>
      <c r="K209" s="20">
        <v>0.21164502996857701</v>
      </c>
      <c r="L209" s="20">
        <f t="shared" si="117"/>
        <v>0.62248538226052053</v>
      </c>
      <c r="M209" s="54">
        <f t="shared" si="131"/>
        <v>-0.474035133231405</v>
      </c>
      <c r="N209" s="20">
        <v>0.23231057716814843</v>
      </c>
      <c r="O209" s="20">
        <f t="shared" si="116"/>
        <v>0.68326640343573064</v>
      </c>
      <c r="P209" s="28">
        <f t="shared" si="132"/>
        <v>-0.38087044650644802</v>
      </c>
      <c r="Q209" s="20">
        <v>0.23782546064902813</v>
      </c>
      <c r="R209" s="20">
        <f t="shared" si="123"/>
        <v>0.69948664896772972</v>
      </c>
      <c r="S209" s="20">
        <f t="shared" si="133"/>
        <v>-0.35740857159523504</v>
      </c>
      <c r="T209" s="20">
        <v>0.22536631461396298</v>
      </c>
      <c r="U209" s="20">
        <v>0.22478469064030332</v>
      </c>
      <c r="V209" s="20">
        <v>0.66113144305971561</v>
      </c>
      <c r="W209" s="20">
        <f t="shared" si="134"/>
        <v>-0.41380260404360875</v>
      </c>
      <c r="X209" s="20">
        <v>0.20706681290319492</v>
      </c>
      <c r="Y209" s="20">
        <f t="shared" si="124"/>
        <v>0.60902003795057325</v>
      </c>
      <c r="Z209" s="20">
        <f t="shared" si="135"/>
        <v>-0.49590410877482499</v>
      </c>
      <c r="AA209" s="20">
        <v>0.31733477157368972</v>
      </c>
      <c r="AB209" s="20">
        <f t="shared" si="121"/>
        <v>0.93333756345202856</v>
      </c>
      <c r="AC209" s="20">
        <f t="shared" si="122"/>
        <v>-6.8988339227191553E-2</v>
      </c>
      <c r="AD209" s="20">
        <v>0.27785470048343014</v>
      </c>
      <c r="AE209" s="20">
        <f t="shared" si="125"/>
        <v>0.81721970730420623</v>
      </c>
      <c r="AF209" s="20">
        <f t="shared" si="136"/>
        <v>-0.20184730068553389</v>
      </c>
      <c r="AG209" s="20">
        <v>0.11995497750921939</v>
      </c>
      <c r="AH209" s="20">
        <f t="shared" si="126"/>
        <v>0.35280875738005701</v>
      </c>
      <c r="AI209" s="20">
        <f t="shared" si="137"/>
        <v>-1.0418291326517435</v>
      </c>
      <c r="AJ209" s="20">
        <v>0.35812374210312758</v>
      </c>
      <c r="AK209" s="20">
        <f t="shared" si="127"/>
        <v>1.053305123832728</v>
      </c>
      <c r="AL209" s="20">
        <f t="shared" si="138"/>
        <v>5.1932957400628324E-2</v>
      </c>
      <c r="AM209" s="20">
        <v>0.30643629034428588</v>
      </c>
      <c r="AN209" s="20">
        <f t="shared" si="128"/>
        <v>0.90128320689495844</v>
      </c>
      <c r="AO209" s="20">
        <f t="shared" si="139"/>
        <v>-0.10393574568593167</v>
      </c>
      <c r="AP209" s="20">
        <v>0.25675785816356672</v>
      </c>
      <c r="AQ209" s="20">
        <f t="shared" si="129"/>
        <v>0.75517017106931383</v>
      </c>
      <c r="AR209" s="20">
        <f t="shared" si="140"/>
        <v>-0.28081216298531914</v>
      </c>
      <c r="AS209" s="20">
        <v>0.28913483885503749</v>
      </c>
      <c r="AT209" s="20">
        <f t="shared" si="130"/>
        <v>0.85039658486775727</v>
      </c>
      <c r="AU209" s="20">
        <f t="shared" si="141"/>
        <v>-0.16205246787525987</v>
      </c>
      <c r="AZ209" t="b">
        <f t="shared" si="118"/>
        <v>0</v>
      </c>
      <c r="BB209" t="b">
        <f t="shared" si="119"/>
        <v>0</v>
      </c>
      <c r="BD209" t="b">
        <f t="shared" si="120"/>
        <v>0</v>
      </c>
    </row>
    <row r="210" spans="1:56">
      <c r="A210" s="87" t="s">
        <v>93</v>
      </c>
      <c r="B210" s="5">
        <f>'[48]Dados de entrada'!$B$28</f>
        <v>16</v>
      </c>
      <c r="C210" s="5">
        <f>'[48]Dados de entrada'!$B$31</f>
        <v>2</v>
      </c>
      <c r="D210" s="5">
        <f>'[48]Dados de entrada'!$B$32</f>
        <v>52</v>
      </c>
      <c r="E210" s="11">
        <f>'[48]Dados de entrada'!$B$27</f>
        <v>3.42</v>
      </c>
      <c r="F210" s="5">
        <f>'[48]Dados de entrada'!$B$30</f>
        <v>27</v>
      </c>
      <c r="G210" s="5">
        <f>'[48]Dados de entrada'!$B$22</f>
        <v>35</v>
      </c>
      <c r="H210" s="78">
        <f>'[48]Dados de entrada'!$B$29/(2*'[48]Dados de entrada'!$B$20*G210)</f>
        <v>3.8285714285714284E-2</v>
      </c>
      <c r="I210" s="53" cm="1">
        <f t="array" ref="I210:I215">'[48]fib Model Code 2010'!$K$5:$K$10</f>
        <v>234.72234542321382</v>
      </c>
      <c r="J210" s="4" cm="1">
        <f t="array" ref="J210:J215">'[48]Dados de entrada'!$C$7:$C$12</f>
        <v>0.15</v>
      </c>
      <c r="K210" s="11" cm="1">
        <f t="array" ref="K210:K215">'[48]fib Model Code 2010'!$L$5:$L$10</f>
        <v>0.12947798925127468</v>
      </c>
      <c r="L210" s="11">
        <f t="shared" si="117"/>
        <v>0.86318659500849793</v>
      </c>
      <c r="M210" s="29">
        <f t="shared" si="131"/>
        <v>-0.14712439457434398</v>
      </c>
      <c r="N210" s="11" cm="1">
        <f t="array" ref="N210:N215">'[48]fib Model Code 2020'!$L$5:$L$10</f>
        <v>0.1175277819493063</v>
      </c>
      <c r="O210" s="11">
        <f t="shared" si="116"/>
        <v>0.78351854632870865</v>
      </c>
      <c r="P210" s="11">
        <f t="shared" si="132"/>
        <v>-0.24396054633831954</v>
      </c>
      <c r="Q210" s="11" cm="1">
        <f t="array" ref="Q210:Q215">'[48]Eurocode 2'!$L$5:$L$10</f>
        <v>0.13159532895532036</v>
      </c>
      <c r="R210" s="11">
        <f t="shared" si="123"/>
        <v>0.87730219303546908</v>
      </c>
      <c r="S210" s="11">
        <f t="shared" si="133"/>
        <v>-0.13090377009545867</v>
      </c>
      <c r="T210" s="11" cm="1">
        <f t="array" ref="T210:T215">'[48]NBR 6118'!$Q$5:$Q$10</f>
        <v>0.17990147855742625</v>
      </c>
      <c r="U210" s="11" cm="1">
        <f t="array" ref="U210:U215">'[48]NBR 6118'!$R$5:$R$10</f>
        <v>0.15021092609657113</v>
      </c>
      <c r="V210" s="11" cm="1">
        <f t="array" ref="V210:V215">'[48]NBR 6118'!$W$5:$W$10</f>
        <v>1.0014061739771409</v>
      </c>
      <c r="W210" s="11">
        <f t="shared" si="134"/>
        <v>1.4051862403586901E-3</v>
      </c>
      <c r="X210" s="11" cm="1">
        <f t="array" ref="X210:X215">'[48]Clark (1956)'!$L$5:$L$10</f>
        <v>0.13794033861054511</v>
      </c>
      <c r="Y210" s="11">
        <f t="shared" si="124"/>
        <v>0.9196022574036341</v>
      </c>
      <c r="Z210" s="11">
        <f t="shared" si="135"/>
        <v>-8.3814031329231264E-2</v>
      </c>
      <c r="AA210" s="11" cm="1">
        <f t="array" ref="AA210:AA215">'[48]Leonhardt (1977)'!$L$5:$L$10</f>
        <v>0.2264410111520157</v>
      </c>
      <c r="AB210" s="11">
        <f t="shared" si="121"/>
        <v>1.5096067410134382</v>
      </c>
      <c r="AC210" s="11">
        <f t="shared" si="122"/>
        <v>0.41184918049243885</v>
      </c>
      <c r="AD210" s="11" cm="1">
        <f t="array" ref="AD210:AD215">'[48]Desayi; Ganesan (1985)'!$L$5:$L$10</f>
        <v>0.20888642052178411</v>
      </c>
      <c r="AE210" s="11">
        <f t="shared" si="125"/>
        <v>1.3925761368118941</v>
      </c>
      <c r="AF210" s="11">
        <f t="shared" si="136"/>
        <v>0.33115536767066905</v>
      </c>
      <c r="AG210" s="11" cm="1">
        <f t="array" ref="AG210:AG215">'[48]Oh; Kang (1987)'!$L$5:$L$10</f>
        <v>0.14254973575964078</v>
      </c>
      <c r="AH210" s="11">
        <f t="shared" si="126"/>
        <v>0.95033157173093852</v>
      </c>
      <c r="AI210" s="11">
        <f t="shared" si="137"/>
        <v>-5.0944332407193336E-2</v>
      </c>
      <c r="AJ210" s="11" cm="1">
        <f t="array" ref="AJ210:AJ215">'[48]Caldas (1997)'!$L$5:$L$10</f>
        <v>0.11757562159328946</v>
      </c>
      <c r="AK210" s="11">
        <f t="shared" si="127"/>
        <v>0.78383747728859643</v>
      </c>
      <c r="AL210" s="11">
        <f t="shared" si="138"/>
        <v>-0.24355357949800518</v>
      </c>
      <c r="AM210" s="11" cm="1">
        <f t="array" ref="AM210:AM215">'[48]Gergely e Lutz (1968)'!$L$5:$L$10</f>
        <v>0.1862589740677553</v>
      </c>
      <c r="AN210" s="11">
        <f t="shared" si="128"/>
        <v>1.2417264937850354</v>
      </c>
      <c r="AO210" s="11">
        <f t="shared" si="139"/>
        <v>0.21650274491677632</v>
      </c>
      <c r="AP210" s="11" cm="1">
        <f t="array" ref="AP210:AP215">[48]Sugestão!$M$5:$M$10</f>
        <v>0.13179021349500475</v>
      </c>
      <c r="AQ210" s="11">
        <f t="shared" si="129"/>
        <v>0.87860142330003166</v>
      </c>
      <c r="AR210" s="11">
        <f t="shared" si="140"/>
        <v>-0.12942392747815554</v>
      </c>
      <c r="AS210" s="11" cm="1">
        <f t="array" ref="AS210:AS215">'[48]fib Model Code 2020 (2)'!$L$5:$L$10</f>
        <v>0.17153954981885214</v>
      </c>
      <c r="AT210" s="11">
        <f t="shared" si="130"/>
        <v>1.1435969987923476</v>
      </c>
      <c r="AU210" s="11">
        <f t="shared" si="141"/>
        <v>0.13417855711170826</v>
      </c>
      <c r="AZ210" t="b">
        <f t="shared" si="118"/>
        <v>0</v>
      </c>
      <c r="BB210" t="b">
        <f t="shared" si="119"/>
        <v>1</v>
      </c>
      <c r="BD210" t="b">
        <f t="shared" si="120"/>
        <v>1</v>
      </c>
    </row>
    <row r="211" spans="1:56">
      <c r="A211" s="88"/>
      <c r="B211" s="5">
        <f>'[48]Dados de entrada'!$B$28</f>
        <v>16</v>
      </c>
      <c r="C211" s="5">
        <f>'[48]Dados de entrada'!$B$31</f>
        <v>2</v>
      </c>
      <c r="D211" s="5">
        <f>'[48]Dados de entrada'!$B$32</f>
        <v>52</v>
      </c>
      <c r="E211" s="11">
        <f>'[48]Dados de entrada'!$B$27</f>
        <v>3.42</v>
      </c>
      <c r="F211" s="5">
        <f>'[48]Dados de entrada'!$B$30</f>
        <v>27</v>
      </c>
      <c r="G211" s="5">
        <f>'[48]Dados de entrada'!$B$22</f>
        <v>35</v>
      </c>
      <c r="H211" s="78">
        <f>'[48]Dados de entrada'!$B$29/(2*'[48]Dados de entrada'!$B$20*G211)</f>
        <v>3.8285714285714284E-2</v>
      </c>
      <c r="I211" s="53">
        <v>315.66108522432211</v>
      </c>
      <c r="J211" s="4">
        <v>0.19</v>
      </c>
      <c r="K211" s="11">
        <v>0.18827950796327195</v>
      </c>
      <c r="L211" s="11">
        <f t="shared" si="117"/>
        <v>0.99094477875406284</v>
      </c>
      <c r="M211" s="29">
        <f t="shared" si="131"/>
        <v>-9.0964689554126135E-3</v>
      </c>
      <c r="N211" s="11">
        <v>0.18941639586178169</v>
      </c>
      <c r="O211" s="11">
        <f t="shared" si="116"/>
        <v>0.99692839927253518</v>
      </c>
      <c r="P211" s="11">
        <f t="shared" si="132"/>
        <v>-3.0763277751965578E-3</v>
      </c>
      <c r="Q211" s="11">
        <v>0.19135842261103625</v>
      </c>
      <c r="R211" s="11">
        <f t="shared" si="123"/>
        <v>1.0071495926896645</v>
      </c>
      <c r="S211" s="11">
        <f t="shared" si="133"/>
        <v>7.124155523472773E-3</v>
      </c>
      <c r="T211" s="11">
        <v>0.24193647116343533</v>
      </c>
      <c r="U211" s="11">
        <v>0.27166565825551103</v>
      </c>
      <c r="V211" s="11">
        <v>1.273349848228607</v>
      </c>
      <c r="W211" s="11">
        <f t="shared" si="134"/>
        <v>0.24165110367930895</v>
      </c>
      <c r="X211" s="11">
        <v>0.19307532494670304</v>
      </c>
      <c r="Y211" s="11">
        <f t="shared" si="124"/>
        <v>1.0161859207721213</v>
      </c>
      <c r="Z211" s="11">
        <f t="shared" si="135"/>
        <v>1.6056325301080497E-2</v>
      </c>
      <c r="AA211" s="11">
        <v>0.33247418629074155</v>
      </c>
      <c r="AB211" s="11">
        <f t="shared" si="121"/>
        <v>1.7498641383723239</v>
      </c>
      <c r="AC211" s="11">
        <f t="shared" si="122"/>
        <v>0.55953814970583837</v>
      </c>
      <c r="AD211" s="11">
        <v>0.28091622070170974</v>
      </c>
      <c r="AE211" s="11">
        <f t="shared" si="125"/>
        <v>1.4785064247458408</v>
      </c>
      <c r="AF211" s="11">
        <f t="shared" si="136"/>
        <v>0.3910324057496114</v>
      </c>
      <c r="AG211" s="11">
        <v>0.20180228813769377</v>
      </c>
      <c r="AH211" s="11">
        <f t="shared" si="126"/>
        <v>1.0621173059878619</v>
      </c>
      <c r="AI211" s="11">
        <f t="shared" si="137"/>
        <v>6.0264374335443037E-2</v>
      </c>
      <c r="AJ211" s="11">
        <v>0.16222730427256263</v>
      </c>
      <c r="AK211" s="11">
        <f t="shared" si="127"/>
        <v>0.85382791722401385</v>
      </c>
      <c r="AL211" s="11">
        <f t="shared" si="138"/>
        <v>-0.15802560757744791</v>
      </c>
      <c r="AM211" s="11">
        <v>0.25048620650491238</v>
      </c>
      <c r="AN211" s="11">
        <f t="shared" si="128"/>
        <v>1.3183484552890126</v>
      </c>
      <c r="AO211" s="11">
        <f t="shared" si="139"/>
        <v>0.27637978299571858</v>
      </c>
      <c r="AP211" s="11">
        <v>0.22950476895125482</v>
      </c>
      <c r="AQ211" s="11">
        <f t="shared" si="129"/>
        <v>1.2079198365855517</v>
      </c>
      <c r="AR211" s="11">
        <f t="shared" si="140"/>
        <v>0.18889973686824754</v>
      </c>
      <c r="AS211" s="11">
        <v>0.27139126043657136</v>
      </c>
      <c r="AT211" s="11">
        <f t="shared" si="130"/>
        <v>1.4283750549293228</v>
      </c>
      <c r="AU211" s="11">
        <f t="shared" si="141"/>
        <v>0.35653747294055366</v>
      </c>
      <c r="AZ211" t="b">
        <f t="shared" si="118"/>
        <v>0</v>
      </c>
      <c r="BB211" t="b">
        <f t="shared" si="119"/>
        <v>1</v>
      </c>
      <c r="BD211" t="b">
        <f t="shared" si="120"/>
        <v>1</v>
      </c>
    </row>
    <row r="212" spans="1:56">
      <c r="A212" s="88"/>
      <c r="B212" s="5">
        <f>'[48]Dados de entrada'!$B$28</f>
        <v>16</v>
      </c>
      <c r="C212" s="5">
        <f>'[48]Dados de entrada'!$B$31</f>
        <v>2</v>
      </c>
      <c r="D212" s="5">
        <f>'[48]Dados de entrada'!$B$32</f>
        <v>52</v>
      </c>
      <c r="E212" s="11">
        <f>'[48]Dados de entrada'!$B$27</f>
        <v>3.42</v>
      </c>
      <c r="F212" s="5">
        <f>'[48]Dados de entrada'!$B$30</f>
        <v>27</v>
      </c>
      <c r="G212" s="5">
        <f>'[48]Dados de entrada'!$B$22</f>
        <v>35</v>
      </c>
      <c r="H212" s="78">
        <f>'[48]Dados de entrada'!$B$29/(2*'[48]Dados de entrada'!$B$20*G212)</f>
        <v>3.8285714285714284E-2</v>
      </c>
      <c r="I212" s="53">
        <v>364.22432910498702</v>
      </c>
      <c r="J212" s="4">
        <v>0.22</v>
      </c>
      <c r="K212" s="11">
        <v>0.22356041919047023</v>
      </c>
      <c r="L212" s="11">
        <f t="shared" si="117"/>
        <v>1.0161837235930464</v>
      </c>
      <c r="M212" s="29">
        <f t="shared" si="131"/>
        <v>1.6054163116577307E-2</v>
      </c>
      <c r="N212" s="11">
        <v>0.23254956420926687</v>
      </c>
      <c r="O212" s="11">
        <f t="shared" si="116"/>
        <v>1.0570434736784857</v>
      </c>
      <c r="P212" s="11">
        <f t="shared" si="132"/>
        <v>5.5475835350247298E-2</v>
      </c>
      <c r="Q212" s="11">
        <v>0.22721627880446577</v>
      </c>
      <c r="R212" s="11">
        <f t="shared" si="123"/>
        <v>1.0328012672930262</v>
      </c>
      <c r="S212" s="11">
        <f t="shared" si="133"/>
        <v>3.2274787595462928E-2</v>
      </c>
      <c r="T212" s="11">
        <v>0.27915746672704078</v>
      </c>
      <c r="U212" s="11">
        <v>0.36168504797331352</v>
      </c>
      <c r="V212" s="11">
        <v>1.2688975760320036</v>
      </c>
      <c r="W212" s="11">
        <f t="shared" si="134"/>
        <v>0.238148473128107</v>
      </c>
      <c r="X212" s="11">
        <v>0.22615631674839778</v>
      </c>
      <c r="Y212" s="11">
        <f t="shared" si="124"/>
        <v>1.0279832579472628</v>
      </c>
      <c r="Z212" s="11">
        <f t="shared" si="135"/>
        <v>2.7598880856835595E-2</v>
      </c>
      <c r="AA212" s="11">
        <v>0.39355118324063459</v>
      </c>
      <c r="AB212" s="11">
        <f t="shared" si="121"/>
        <v>1.7888690147301571</v>
      </c>
      <c r="AC212" s="11">
        <f t="shared" si="122"/>
        <v>0.58158358481431083</v>
      </c>
      <c r="AD212" s="11">
        <v>0.32413410080966504</v>
      </c>
      <c r="AE212" s="11">
        <f t="shared" si="125"/>
        <v>1.4733368218621139</v>
      </c>
      <c r="AF212" s="11">
        <f t="shared" si="136"/>
        <v>0.3875297751984092</v>
      </c>
      <c r="AG212" s="11">
        <v>0.23735381956452556</v>
      </c>
      <c r="AH212" s="11">
        <f t="shared" si="126"/>
        <v>1.0788809980205707</v>
      </c>
      <c r="AI212" s="11">
        <f t="shared" si="137"/>
        <v>7.5924391056141544E-2</v>
      </c>
      <c r="AJ212" s="11">
        <v>0.18901831388012649</v>
      </c>
      <c r="AK212" s="11">
        <f t="shared" si="127"/>
        <v>0.85917415400057495</v>
      </c>
      <c r="AL212" s="11">
        <f t="shared" si="138"/>
        <v>-0.15178363715046009</v>
      </c>
      <c r="AM212" s="11">
        <v>0.28902254596720656</v>
      </c>
      <c r="AN212" s="11">
        <f t="shared" si="128"/>
        <v>1.3137388453054843</v>
      </c>
      <c r="AO212" s="11">
        <f t="shared" si="139"/>
        <v>0.27287715244451638</v>
      </c>
      <c r="AP212" s="11">
        <v>0.28813350222500478</v>
      </c>
      <c r="AQ212" s="11">
        <f t="shared" si="129"/>
        <v>1.3096977373863854</v>
      </c>
      <c r="AR212" s="11">
        <f t="shared" si="140"/>
        <v>0.26979637577013321</v>
      </c>
      <c r="AS212" s="11">
        <v>0.33360095737065409</v>
      </c>
      <c r="AT212" s="11">
        <f t="shared" si="130"/>
        <v>1.5163679880484278</v>
      </c>
      <c r="AU212" s="11">
        <f t="shared" si="141"/>
        <v>0.4163179939442217</v>
      </c>
      <c r="AZ212" t="b">
        <f t="shared" si="118"/>
        <v>0</v>
      </c>
      <c r="BB212" t="b">
        <f t="shared" si="119"/>
        <v>1</v>
      </c>
      <c r="BD212" t="b">
        <f t="shared" si="120"/>
        <v>1</v>
      </c>
    </row>
    <row r="213" spans="1:56">
      <c r="A213" s="88"/>
      <c r="B213" s="5">
        <f>'[48]Dados de entrada'!$B$28</f>
        <v>16</v>
      </c>
      <c r="C213" s="5">
        <f>'[48]Dados de entrada'!$B$31</f>
        <v>2</v>
      </c>
      <c r="D213" s="5">
        <f>'[48]Dados de entrada'!$B$32</f>
        <v>52</v>
      </c>
      <c r="E213" s="11">
        <f>'[48]Dados de entrada'!$B$27</f>
        <v>3.42</v>
      </c>
      <c r="F213" s="5">
        <f>'[48]Dados de entrada'!$B$30</f>
        <v>27</v>
      </c>
      <c r="G213" s="5">
        <f>'[48]Dados de entrada'!$B$22</f>
        <v>35</v>
      </c>
      <c r="H213" s="78">
        <f>'[48]Dados de entrada'!$B$29/(2*'[48]Dados de entrada'!$B$20*G213)</f>
        <v>3.8285714285714284E-2</v>
      </c>
      <c r="I213" s="53">
        <v>404.69369900554108</v>
      </c>
      <c r="J213" s="4">
        <v>0.22</v>
      </c>
      <c r="K213" s="11">
        <v>0.25296117854646882</v>
      </c>
      <c r="L213" s="11">
        <f t="shared" si="117"/>
        <v>1.1498235388475855</v>
      </c>
      <c r="M213" s="29">
        <f t="shared" si="131"/>
        <v>0.13960848612098953</v>
      </c>
      <c r="N213" s="11">
        <v>0.26849387116550444</v>
      </c>
      <c r="O213" s="11">
        <f t="shared" si="116"/>
        <v>1.2204266871159293</v>
      </c>
      <c r="P213" s="11">
        <f t="shared" si="132"/>
        <v>0.19920054113679761</v>
      </c>
      <c r="Q213" s="11">
        <v>0.25709782563232364</v>
      </c>
      <c r="R213" s="11">
        <f t="shared" si="123"/>
        <v>1.1686264801469257</v>
      </c>
      <c r="S213" s="11">
        <f t="shared" si="133"/>
        <v>0.15582911059987503</v>
      </c>
      <c r="T213" s="11">
        <v>0.31017496303004533</v>
      </c>
      <c r="U213" s="11">
        <v>0.44652475058433772</v>
      </c>
      <c r="V213" s="11">
        <v>1.4098861955911151</v>
      </c>
      <c r="W213" s="11">
        <f t="shared" si="134"/>
        <v>0.34350898878593328</v>
      </c>
      <c r="X213" s="11">
        <v>0.25372380991647669</v>
      </c>
      <c r="Y213" s="11">
        <f t="shared" si="124"/>
        <v>1.153290045074894</v>
      </c>
      <c r="Z213" s="11">
        <f t="shared" si="135"/>
        <v>0.14261876652507882</v>
      </c>
      <c r="AA213" s="11">
        <v>0.44360369351707019</v>
      </c>
      <c r="AB213" s="11">
        <f t="shared" si="121"/>
        <v>2.0163804250775916</v>
      </c>
      <c r="AC213" s="11">
        <f t="shared" si="122"/>
        <v>0.70130403532243857</v>
      </c>
      <c r="AD213" s="11">
        <v>0.36014900089962781</v>
      </c>
      <c r="AE213" s="11">
        <f t="shared" si="125"/>
        <v>1.6370409131801265</v>
      </c>
      <c r="AF213" s="11">
        <f t="shared" si="136"/>
        <v>0.49289029085623542</v>
      </c>
      <c r="AG213" s="11">
        <v>0.26698009575355197</v>
      </c>
      <c r="AH213" s="11">
        <f t="shared" si="126"/>
        <v>1.2135458897888727</v>
      </c>
      <c r="AI213" s="11">
        <f t="shared" si="137"/>
        <v>0.19354656152956148</v>
      </c>
      <c r="AJ213" s="11">
        <v>0.21134415521976302</v>
      </c>
      <c r="AK213" s="11">
        <f t="shared" si="127"/>
        <v>0.96065525099892279</v>
      </c>
      <c r="AL213" s="11">
        <f t="shared" si="138"/>
        <v>-4.013967422981924E-2</v>
      </c>
      <c r="AM213" s="11">
        <v>0.321136162185785</v>
      </c>
      <c r="AN213" s="11">
        <f t="shared" si="128"/>
        <v>1.4597098281172045</v>
      </c>
      <c r="AO213" s="11">
        <f t="shared" si="139"/>
        <v>0.37823766810234244</v>
      </c>
      <c r="AP213" s="11">
        <v>0.33699077995312976</v>
      </c>
      <c r="AQ213" s="11">
        <f t="shared" si="129"/>
        <v>1.5317762725142261</v>
      </c>
      <c r="AR213" s="11">
        <f t="shared" si="140"/>
        <v>0.42642802443620476</v>
      </c>
      <c r="AS213" s="11">
        <v>0.38675931815936704</v>
      </c>
      <c r="AT213" s="11">
        <f t="shared" si="130"/>
        <v>1.7579969007243956</v>
      </c>
      <c r="AU213" s="11">
        <f t="shared" si="141"/>
        <v>0.56417503630602495</v>
      </c>
      <c r="AZ213" t="b">
        <f t="shared" si="118"/>
        <v>0</v>
      </c>
      <c r="BB213" t="b">
        <f t="shared" si="119"/>
        <v>1</v>
      </c>
      <c r="BD213" t="b">
        <f t="shared" si="120"/>
        <v>1</v>
      </c>
    </row>
    <row r="214" spans="1:56">
      <c r="A214" s="88"/>
      <c r="B214" s="5">
        <f>'[48]Dados de entrada'!$B$28</f>
        <v>16</v>
      </c>
      <c r="C214" s="5">
        <f>'[48]Dados de entrada'!$B$31</f>
        <v>2</v>
      </c>
      <c r="D214" s="5">
        <f>'[48]Dados de entrada'!$B$32</f>
        <v>52</v>
      </c>
      <c r="E214" s="11">
        <f>'[48]Dados de entrada'!$B$27</f>
        <v>3.42</v>
      </c>
      <c r="F214" s="5">
        <f>'[48]Dados de entrada'!$B$30</f>
        <v>27</v>
      </c>
      <c r="G214" s="5">
        <f>'[48]Dados de entrada'!$B$22</f>
        <v>35</v>
      </c>
      <c r="H214" s="78">
        <f>'[48]Dados de entrada'!$B$29/(2*'[48]Dados de entrada'!$B$20*G214)</f>
        <v>3.8285714285714284E-2</v>
      </c>
      <c r="I214" s="53">
        <v>469.44469084642765</v>
      </c>
      <c r="J214" s="4">
        <v>0.25</v>
      </c>
      <c r="K214" s="11">
        <v>0.30000239351606656</v>
      </c>
      <c r="L214" s="11">
        <f t="shared" si="117"/>
        <v>1.2000095740642662</v>
      </c>
      <c r="M214" s="29">
        <f t="shared" si="131"/>
        <v>0.18232953514901598</v>
      </c>
      <c r="N214" s="11">
        <v>0.32600476229548475</v>
      </c>
      <c r="O214" s="11">
        <f t="shared" si="116"/>
        <v>1.304019049181939</v>
      </c>
      <c r="P214" s="11">
        <f t="shared" si="132"/>
        <v>0.26545107166611964</v>
      </c>
      <c r="Q214" s="11">
        <v>0.30490830055689627</v>
      </c>
      <c r="R214" s="11">
        <f t="shared" si="123"/>
        <v>1.2196332022275851</v>
      </c>
      <c r="S214" s="11">
        <f t="shared" si="133"/>
        <v>0.19855015962790132</v>
      </c>
      <c r="T214" s="11">
        <v>0.3598029571148525</v>
      </c>
      <c r="U214" s="11">
        <v>0.60084370438628454</v>
      </c>
      <c r="V214" s="11">
        <v>1.43921182845941</v>
      </c>
      <c r="W214" s="11">
        <f t="shared" si="134"/>
        <v>0.36409562239432147</v>
      </c>
      <c r="X214" s="11">
        <v>0.29783179898540302</v>
      </c>
      <c r="Y214" s="11">
        <f t="shared" si="124"/>
        <v>1.1913271959416121</v>
      </c>
      <c r="Z214" s="11">
        <f t="shared" si="135"/>
        <v>0.17506797635603458</v>
      </c>
      <c r="AA214" s="11">
        <v>0.52261333127303</v>
      </c>
      <c r="AB214" s="11">
        <f t="shared" si="121"/>
        <v>2.09045332509212</v>
      </c>
      <c r="AC214" s="11">
        <f t="shared" si="122"/>
        <v>0.73738094441484303</v>
      </c>
      <c r="AD214" s="11">
        <v>0.41777284104356821</v>
      </c>
      <c r="AE214" s="11">
        <f t="shared" si="125"/>
        <v>1.6710913641742728</v>
      </c>
      <c r="AF214" s="11">
        <f t="shared" si="136"/>
        <v>0.51347692446462367</v>
      </c>
      <c r="AG214" s="11">
        <v>0.31438213765599438</v>
      </c>
      <c r="AH214" s="11">
        <f t="shared" si="126"/>
        <v>1.2575285506239775</v>
      </c>
      <c r="AI214" s="11">
        <f t="shared" si="137"/>
        <v>0.22914832700755985</v>
      </c>
      <c r="AJ214" s="11">
        <v>0.24706550136318153</v>
      </c>
      <c r="AK214" s="11">
        <f t="shared" si="127"/>
        <v>0.98826200545272613</v>
      </c>
      <c r="AL214" s="11">
        <f t="shared" si="138"/>
        <v>-1.1807428685125172E-2</v>
      </c>
      <c r="AM214" s="11">
        <v>0.37251794813551059</v>
      </c>
      <c r="AN214" s="11">
        <f t="shared" si="128"/>
        <v>1.4900717925420424</v>
      </c>
      <c r="AO214" s="11">
        <f t="shared" si="139"/>
        <v>0.39882430171073086</v>
      </c>
      <c r="AP214" s="11">
        <v>0.41516242431812972</v>
      </c>
      <c r="AQ214" s="11">
        <f t="shared" si="129"/>
        <v>1.6606496972725189</v>
      </c>
      <c r="AR214" s="11">
        <f t="shared" si="140"/>
        <v>0.50720890969685972</v>
      </c>
      <c r="AS214" s="11">
        <v>0.47430292186504686</v>
      </c>
      <c r="AT214" s="11">
        <f t="shared" si="130"/>
        <v>1.8972116874601874</v>
      </c>
      <c r="AU214" s="11">
        <f t="shared" si="141"/>
        <v>0.64038527537559486</v>
      </c>
      <c r="AZ214" t="b">
        <f t="shared" si="118"/>
        <v>0</v>
      </c>
      <c r="BB214" t="b">
        <f t="shared" si="119"/>
        <v>1</v>
      </c>
      <c r="BD214" t="b">
        <f t="shared" si="120"/>
        <v>1</v>
      </c>
    </row>
    <row r="215" spans="1:56">
      <c r="A215" s="89"/>
      <c r="B215" s="5">
        <f>'[48]Dados de entrada'!$B$28</f>
        <v>16</v>
      </c>
      <c r="C215" s="5">
        <f>'[48]Dados de entrada'!$B$31</f>
        <v>2</v>
      </c>
      <c r="D215" s="5">
        <f>'[48]Dados de entrada'!$B$32</f>
        <v>52</v>
      </c>
      <c r="E215" s="11">
        <f>'[48]Dados de entrada'!$B$27</f>
        <v>3.42</v>
      </c>
      <c r="F215" s="5">
        <f>'[48]Dados de entrada'!$B$30</f>
        <v>27</v>
      </c>
      <c r="G215" s="5">
        <f>'[48]Dados de entrada'!$B$22</f>
        <v>35</v>
      </c>
      <c r="H215" s="78">
        <f>'[48]Dados de entrada'!$B$29/(2*'[48]Dados de entrada'!$B$20*G215)</f>
        <v>3.8285714285714284E-2</v>
      </c>
      <c r="I215" s="53">
        <v>526.10180870720353</v>
      </c>
      <c r="J215" s="4">
        <v>0.28999999999999998</v>
      </c>
      <c r="K215" s="11">
        <v>0.34116345661446468</v>
      </c>
      <c r="L215" s="11">
        <f t="shared" si="117"/>
        <v>1.1764257124636714</v>
      </c>
      <c r="M215" s="29">
        <f t="shared" si="131"/>
        <v>0.16248078436437929</v>
      </c>
      <c r="N215" s="11">
        <v>0.37632679203421759</v>
      </c>
      <c r="O215" s="11">
        <f t="shared" si="116"/>
        <v>1.2976785932214401</v>
      </c>
      <c r="P215" s="11">
        <f t="shared" si="132"/>
        <v>0.26057697068712909</v>
      </c>
      <c r="Q215" s="11">
        <v>0.34674246611589749</v>
      </c>
      <c r="R215" s="11">
        <f t="shared" si="123"/>
        <v>1.1956636762617157</v>
      </c>
      <c r="S215" s="11">
        <f t="shared" si="133"/>
        <v>0.1787014088432648</v>
      </c>
      <c r="T215" s="11">
        <v>0.38713656797945217</v>
      </c>
      <c r="U215" s="11">
        <v>0.69560140350877198</v>
      </c>
      <c r="V215" s="11">
        <v>1.3349536826877662</v>
      </c>
      <c r="W215" s="11">
        <f t="shared" si="134"/>
        <v>0.28889659663443523</v>
      </c>
      <c r="X215" s="11">
        <v>0.33642628942071362</v>
      </c>
      <c r="Y215" s="11">
        <f t="shared" si="124"/>
        <v>1.1600906531748747</v>
      </c>
      <c r="Z215" s="11">
        <f t="shared" si="135"/>
        <v>0.14849815135346178</v>
      </c>
      <c r="AA215" s="11">
        <v>0.59099581175136728</v>
      </c>
      <c r="AB215" s="11">
        <f t="shared" si="121"/>
        <v>2.037916592246094</v>
      </c>
      <c r="AC215" s="11">
        <f t="shared" si="122"/>
        <v>0.71192800768535303</v>
      </c>
      <c r="AD215" s="11">
        <v>0.46819370116951625</v>
      </c>
      <c r="AE215" s="11">
        <f t="shared" si="125"/>
        <v>1.6144610385155733</v>
      </c>
      <c r="AF215" s="11">
        <f t="shared" si="136"/>
        <v>0.47900117869556852</v>
      </c>
      <c r="AG215" s="11">
        <v>0.35585892432063149</v>
      </c>
      <c r="AH215" s="11">
        <f t="shared" si="126"/>
        <v>1.2270997390366605</v>
      </c>
      <c r="AI215" s="11">
        <f t="shared" si="137"/>
        <v>0.2046534493336164</v>
      </c>
      <c r="AJ215" s="11">
        <v>0.27832167923867279</v>
      </c>
      <c r="AK215" s="11">
        <f t="shared" si="127"/>
        <v>0.95972992840921656</v>
      </c>
      <c r="AL215" s="11">
        <f t="shared" si="138"/>
        <v>-4.1103358673169013E-2</v>
      </c>
      <c r="AM215" s="11">
        <v>0.41747701084152061</v>
      </c>
      <c r="AN215" s="11">
        <f t="shared" si="128"/>
        <v>1.4395758994535195</v>
      </c>
      <c r="AO215" s="11">
        <f t="shared" si="139"/>
        <v>0.36434855594167576</v>
      </c>
      <c r="AP215" s="11">
        <v>0.46727599043108969</v>
      </c>
      <c r="AQ215" s="11">
        <f t="shared" si="129"/>
        <v>1.6112965187278956</v>
      </c>
      <c r="AR215" s="11">
        <f t="shared" si="140"/>
        <v>0.47703914605877457</v>
      </c>
      <c r="AS215" s="11">
        <v>0.55341774603629168</v>
      </c>
      <c r="AT215" s="11">
        <f t="shared" si="130"/>
        <v>1.9083370552975576</v>
      </c>
      <c r="AU215" s="11">
        <f t="shared" si="141"/>
        <v>0.64623221114455764</v>
      </c>
      <c r="AZ215" t="b">
        <f t="shared" si="118"/>
        <v>0</v>
      </c>
      <c r="BB215" t="b">
        <f t="shared" si="119"/>
        <v>1</v>
      </c>
      <c r="BD215" t="b">
        <f t="shared" si="120"/>
        <v>1</v>
      </c>
    </row>
    <row r="216" spans="1:56">
      <c r="A216" s="85" t="s">
        <v>94</v>
      </c>
      <c r="B216" s="21">
        <f>'[49]Dados de entrada'!$B$28</f>
        <v>20</v>
      </c>
      <c r="C216" s="21">
        <f>'[49]Dados de entrada'!$B$31</f>
        <v>2</v>
      </c>
      <c r="D216" s="21">
        <f>'[49]Dados de entrada'!$B$32</f>
        <v>44</v>
      </c>
      <c r="E216" s="20">
        <f>'[49]Dados de entrada'!$B$27</f>
        <v>3.42</v>
      </c>
      <c r="F216" s="21">
        <f>'[49]Dados de entrada'!$B$30</f>
        <v>25</v>
      </c>
      <c r="G216" s="21">
        <f>'[49]Dados de entrada'!$B$22</f>
        <v>35</v>
      </c>
      <c r="H216" s="79">
        <f>'[49]Dados de entrada'!$B$29/(2*'[49]Dados de entrada'!$B$20*G216)</f>
        <v>5.9809523809523812E-2</v>
      </c>
      <c r="I216" s="27" cm="1">
        <f t="array" ref="I216:I221">'[49]fib Model Code 2010'!$K$5:$K$10</f>
        <v>270.87013331072598</v>
      </c>
      <c r="J216" s="19" cm="1">
        <f t="array" ref="J216:J221">'[49]Dados de entrada'!$C$7:$C$12</f>
        <v>0.17</v>
      </c>
      <c r="K216" s="20" cm="1">
        <f t="array" ref="K216:K221">'[49]fib Model Code 2010'!$L$5:$L$10</f>
        <v>0.13588199007541207</v>
      </c>
      <c r="L216" s="20">
        <f t="shared" si="117"/>
        <v>0.79930582397301209</v>
      </c>
      <c r="M216" s="54">
        <f t="shared" si="131"/>
        <v>-0.22401164803489476</v>
      </c>
      <c r="N216" s="20" cm="1">
        <f t="array" ref="N216:N221">'[49]fib Model Code 2020'!$L$5:$L$10</f>
        <v>0.15128120300738629</v>
      </c>
      <c r="O216" s="20">
        <f t="shared" si="116"/>
        <v>0.88988942945521343</v>
      </c>
      <c r="P216" s="20">
        <f t="shared" si="132"/>
        <v>-0.11665806054112901</v>
      </c>
      <c r="Q216" s="20" cm="1">
        <f t="array" ref="Q216:Q221">'[49]Eurocode 2'!$L$5:$L$10</f>
        <v>0.14617173010832946</v>
      </c>
      <c r="R216" s="20">
        <f t="shared" si="123"/>
        <v>0.85983370651958502</v>
      </c>
      <c r="S216" s="20">
        <f t="shared" si="133"/>
        <v>-0.15101627294402165</v>
      </c>
      <c r="T216" s="20" cm="1">
        <f t="array" ref="T216:T221">'[49]NBR 6118'!$Q$5:$Q$10</f>
        <v>0.20519523255216443</v>
      </c>
      <c r="U216" s="20" cm="1">
        <f t="array" ref="U216:U221">'[49]NBR 6118'!$R$5:$R$10</f>
        <v>0.25252771133111879</v>
      </c>
      <c r="V216" s="20" cm="1">
        <f t="array" ref="V216:V221">'[49]NBR 6118'!$W$5:$W$10</f>
        <v>1.2070307797186142</v>
      </c>
      <c r="W216" s="20">
        <f t="shared" si="134"/>
        <v>0.18816344279987157</v>
      </c>
      <c r="X216" s="20" cm="1">
        <f t="array" ref="X216:X221">'[49]Clark (1956)'!$L$5:$L$10</f>
        <v>0.13578602772186552</v>
      </c>
      <c r="Y216" s="20">
        <f t="shared" si="124"/>
        <v>0.79874133954038529</v>
      </c>
      <c r="Z216" s="20">
        <f t="shared" si="135"/>
        <v>-0.22471811586512255</v>
      </c>
      <c r="AA216" s="20" cm="1">
        <f t="array" ref="AA216:AA221">'[49]Leonhardt (1977)'!$L$5:$L$10</f>
        <v>0.27645367428719742</v>
      </c>
      <c r="AB216" s="20">
        <f t="shared" si="121"/>
        <v>1.6261980840423376</v>
      </c>
      <c r="AC216" s="20">
        <f t="shared" si="122"/>
        <v>0.48624482661007806</v>
      </c>
      <c r="AD216" s="20" cm="1">
        <f t="array" ref="AD216:AD221">'[49]Desayi; Ganesan (1985)'!$L$5:$L$10</f>
        <v>0.22543099969497715</v>
      </c>
      <c r="AE216" s="20">
        <f t="shared" si="125"/>
        <v>1.3260647040881008</v>
      </c>
      <c r="AF216" s="20">
        <f t="shared" si="136"/>
        <v>0.28221568701969446</v>
      </c>
      <c r="AG216" s="20" cm="1">
        <f t="array" ref="AG216:AG221">'[49]Oh; Kang (1987)'!$L$5:$L$10</f>
        <v>0.18418728728989281</v>
      </c>
      <c r="AH216" s="20">
        <f t="shared" si="126"/>
        <v>1.0834546311170163</v>
      </c>
      <c r="AI216" s="20">
        <f t="shared" si="137"/>
        <v>8.0154668590617192E-2</v>
      </c>
      <c r="AJ216" s="20" cm="1">
        <f t="array" ref="AJ216:AJ221">'[49]Caldas (1997)'!$L$5:$L$10</f>
        <v>0.13845530611466497</v>
      </c>
      <c r="AK216" s="20">
        <f t="shared" si="127"/>
        <v>0.81444297714508807</v>
      </c>
      <c r="AL216" s="20">
        <f t="shared" si="138"/>
        <v>-0.20525086303467197</v>
      </c>
      <c r="AM216" s="20" cm="1">
        <f t="array" ref="AM216:AM221">'[49]Gergely e Lutz (1968)'!$L$5:$L$10</f>
        <v>0.21999033548888819</v>
      </c>
      <c r="AN216" s="20">
        <f t="shared" si="128"/>
        <v>1.2940607969934599</v>
      </c>
      <c r="AO216" s="20">
        <f t="shared" si="139"/>
        <v>0.25778517874120399</v>
      </c>
      <c r="AP216" s="20" cm="1">
        <f t="array" ref="AP216:AP221">[49]Sugestão!$M$5:$M$10</f>
        <v>0.16752621909578566</v>
      </c>
      <c r="AQ216" s="20">
        <f t="shared" si="129"/>
        <v>0.98544834762226852</v>
      </c>
      <c r="AR216" s="20">
        <f t="shared" si="140"/>
        <v>-1.4658566119844361E-2</v>
      </c>
      <c r="AS216" s="20" cm="1">
        <f t="array" ref="AS216:AS221">[49]Sugestão!$M$5:$M$10</f>
        <v>0.16752621909578566</v>
      </c>
      <c r="AT216" s="20">
        <f t="shared" si="130"/>
        <v>0.98544834762226852</v>
      </c>
      <c r="AU216" s="20">
        <f t="shared" si="141"/>
        <v>-1.4658566119844361E-2</v>
      </c>
      <c r="AZ216" t="b">
        <f t="shared" si="118"/>
        <v>0</v>
      </c>
      <c r="BB216" t="b">
        <f t="shared" si="119"/>
        <v>1</v>
      </c>
      <c r="BD216" t="b">
        <f t="shared" si="120"/>
        <v>1</v>
      </c>
    </row>
    <row r="217" spans="1:56">
      <c r="A217" s="90"/>
      <c r="B217" s="21">
        <f>'[49]Dados de entrada'!$B$28</f>
        <v>20</v>
      </c>
      <c r="C217" s="21">
        <f>'[49]Dados de entrada'!$B$31</f>
        <v>2</v>
      </c>
      <c r="D217" s="21">
        <f>'[49]Dados de entrada'!$B$32</f>
        <v>44</v>
      </c>
      <c r="E217" s="20">
        <f>'[49]Dados de entrada'!$B$27</f>
        <v>3.42</v>
      </c>
      <c r="F217" s="21">
        <f>'[49]Dados de entrada'!$B$30</f>
        <v>25</v>
      </c>
      <c r="G217" s="21">
        <f>'[49]Dados de entrada'!$B$22</f>
        <v>35</v>
      </c>
      <c r="H217" s="79">
        <f>'[49]Dados de entrada'!$B$29/(2*'[49]Dados de entrada'!$B$20*G217)</f>
        <v>5.9809523809523812E-2</v>
      </c>
      <c r="I217" s="27">
        <v>308.0483869023941</v>
      </c>
      <c r="J217" s="19">
        <v>0.19</v>
      </c>
      <c r="K217" s="20">
        <v>0.15768903676554977</v>
      </c>
      <c r="L217" s="20">
        <f t="shared" si="117"/>
        <v>0.82994229876605141</v>
      </c>
      <c r="M217" s="54">
        <f t="shared" si="131"/>
        <v>-0.18639910016706418</v>
      </c>
      <c r="N217" s="20">
        <v>0.17990644867800365</v>
      </c>
      <c r="O217" s="20">
        <f t="shared" si="116"/>
        <v>0.94687604567370343</v>
      </c>
      <c r="P217" s="20">
        <f t="shared" si="132"/>
        <v>-5.4587085943147873E-2</v>
      </c>
      <c r="Q217" s="20">
        <v>0.16963012765962743</v>
      </c>
      <c r="R217" s="20">
        <f t="shared" si="123"/>
        <v>0.89279014557698644</v>
      </c>
      <c r="S217" s="20">
        <f t="shared" si="133"/>
        <v>-0.11340372507619143</v>
      </c>
      <c r="T217" s="20">
        <v>0.23335928407893206</v>
      </c>
      <c r="U217" s="20">
        <v>0.32660639020295401</v>
      </c>
      <c r="V217" s="20">
        <v>1.2282067583101688</v>
      </c>
      <c r="W217" s="20">
        <f t="shared" si="134"/>
        <v>0.20555518551174076</v>
      </c>
      <c r="X217" s="20">
        <v>0.15605054397095469</v>
      </c>
      <c r="Y217" s="20">
        <f t="shared" si="124"/>
        <v>0.82131865247870894</v>
      </c>
      <c r="Z217" s="20">
        <f t="shared" si="135"/>
        <v>-0.19684411757374196</v>
      </c>
      <c r="AA217" s="20">
        <v>0.32036897380246837</v>
      </c>
      <c r="AB217" s="20">
        <f t="shared" si="121"/>
        <v>1.6861524936972019</v>
      </c>
      <c r="AC217" s="20">
        <f t="shared" si="122"/>
        <v>0.5224493025223188</v>
      </c>
      <c r="AD217" s="20">
        <v>0.25637250945703272</v>
      </c>
      <c r="AE217" s="20">
        <f t="shared" si="125"/>
        <v>1.3493289971422775</v>
      </c>
      <c r="AF217" s="20">
        <f t="shared" si="136"/>
        <v>0.29960742973156324</v>
      </c>
      <c r="AG217" s="20">
        <v>0.2138479522577981</v>
      </c>
      <c r="AH217" s="20">
        <f t="shared" si="126"/>
        <v>1.1255155381989372</v>
      </c>
      <c r="AI217" s="20">
        <f t="shared" si="137"/>
        <v>0.11824118686592147</v>
      </c>
      <c r="AJ217" s="20">
        <v>0.15900260071078956</v>
      </c>
      <c r="AK217" s="20">
        <f t="shared" si="127"/>
        <v>0.83685579321468184</v>
      </c>
      <c r="AL217" s="20">
        <f t="shared" si="138"/>
        <v>-0.17810351340239111</v>
      </c>
      <c r="AM217" s="20">
        <v>0.25018508741873546</v>
      </c>
      <c r="AN217" s="20">
        <f t="shared" si="128"/>
        <v>1.3167636179933446</v>
      </c>
      <c r="AO217" s="20">
        <f t="shared" si="139"/>
        <v>0.27517692145307276</v>
      </c>
      <c r="AP217" s="20">
        <v>0.20362194551252039</v>
      </c>
      <c r="AQ217" s="20">
        <f t="shared" si="129"/>
        <v>1.0716944500658967</v>
      </c>
      <c r="AR217" s="20">
        <f t="shared" si="140"/>
        <v>6.9240994096827505E-2</v>
      </c>
      <c r="AS217" s="20">
        <v>0.20362194551252039</v>
      </c>
      <c r="AT217" s="20">
        <f t="shared" si="130"/>
        <v>1.0716944500658967</v>
      </c>
      <c r="AU217" s="20">
        <f t="shared" si="141"/>
        <v>6.9240994096827505E-2</v>
      </c>
      <c r="AZ217" t="b">
        <f t="shared" si="118"/>
        <v>0</v>
      </c>
      <c r="BB217" t="b">
        <f t="shared" si="119"/>
        <v>1</v>
      </c>
      <c r="BD217" t="b">
        <f t="shared" si="120"/>
        <v>1</v>
      </c>
    </row>
    <row r="218" spans="1:56">
      <c r="A218" s="90"/>
      <c r="B218" s="21">
        <f>'[49]Dados de entrada'!$B$28</f>
        <v>20</v>
      </c>
      <c r="C218" s="21">
        <f>'[49]Dados de entrada'!$B$31</f>
        <v>2</v>
      </c>
      <c r="D218" s="21">
        <f>'[49]Dados de entrada'!$B$32</f>
        <v>44</v>
      </c>
      <c r="E218" s="20">
        <f>'[49]Dados de entrada'!$B$27</f>
        <v>3.42</v>
      </c>
      <c r="F218" s="21">
        <f>'[49]Dados de entrada'!$B$30</f>
        <v>25</v>
      </c>
      <c r="G218" s="21">
        <f>'[49]Dados de entrada'!$B$22</f>
        <v>35</v>
      </c>
      <c r="H218" s="79">
        <f>'[49]Dados de entrada'!$B$29/(2*'[49]Dados de entrada'!$B$20*G218)</f>
        <v>5.9809523809523812E-2</v>
      </c>
      <c r="I218" s="27">
        <v>355.84899866311054</v>
      </c>
      <c r="J218" s="19">
        <v>0.21</v>
      </c>
      <c r="K218" s="20">
        <v>0.18572666822429837</v>
      </c>
      <c r="L218" s="20">
        <f t="shared" si="117"/>
        <v>0.88441270582999232</v>
      </c>
      <c r="M218" s="54">
        <f t="shared" si="131"/>
        <v>-0.1228314634919221</v>
      </c>
      <c r="N218" s="20">
        <v>0.21671033596879763</v>
      </c>
      <c r="O218" s="20">
        <f t="shared" si="116"/>
        <v>1.0319539808037983</v>
      </c>
      <c r="P218" s="20">
        <f t="shared" si="132"/>
        <v>3.1454073820725813E-2</v>
      </c>
      <c r="Q218" s="20">
        <v>0.19979092451129646</v>
      </c>
      <c r="R218" s="20">
        <f t="shared" si="123"/>
        <v>0.95138535481569741</v>
      </c>
      <c r="S218" s="20">
        <f t="shared" si="133"/>
        <v>-4.9836088401049271E-2</v>
      </c>
      <c r="T218" s="20">
        <v>0.26957020747049049</v>
      </c>
      <c r="U218" s="20">
        <v>0.43583117884098121</v>
      </c>
      <c r="V218" s="20">
        <v>1.2836676546213832</v>
      </c>
      <c r="W218" s="20">
        <f t="shared" si="134"/>
        <v>0.24972133579930486</v>
      </c>
      <c r="X218" s="20">
        <v>0.18210492200549805</v>
      </c>
      <c r="Y218" s="20">
        <f t="shared" si="124"/>
        <v>0.86716629526427647</v>
      </c>
      <c r="Z218" s="20">
        <f t="shared" si="135"/>
        <v>-0.14252451521410694</v>
      </c>
      <c r="AA218" s="20">
        <v>0.37597375921905984</v>
      </c>
      <c r="AB218" s="20">
        <f t="shared" si="121"/>
        <v>1.7903512343764756</v>
      </c>
      <c r="AC218" s="20">
        <f t="shared" si="122"/>
        <v>0.58241182092602761</v>
      </c>
      <c r="AD218" s="20">
        <v>0.29615445057967582</v>
      </c>
      <c r="AE218" s="20">
        <f t="shared" si="125"/>
        <v>1.4102592884746468</v>
      </c>
      <c r="AF218" s="20">
        <f t="shared" si="136"/>
        <v>0.34377358001912772</v>
      </c>
      <c r="AG218" s="20">
        <v>0.25198309293081939</v>
      </c>
      <c r="AH218" s="20">
        <f t="shared" si="126"/>
        <v>1.1999194901467589</v>
      </c>
      <c r="AI218" s="20">
        <f t="shared" si="137"/>
        <v>0.18225446299884873</v>
      </c>
      <c r="AJ218" s="20">
        <v>0.18542055090580706</v>
      </c>
      <c r="AK218" s="20">
        <f t="shared" si="127"/>
        <v>0.88295500431336693</v>
      </c>
      <c r="AL218" s="20">
        <f t="shared" si="138"/>
        <v>-0.12448103741907321</v>
      </c>
      <c r="AM218" s="20">
        <v>0.28900691132853934</v>
      </c>
      <c r="AN218" s="20">
        <f t="shared" si="128"/>
        <v>1.3762233872787588</v>
      </c>
      <c r="AO218" s="20">
        <f t="shared" si="139"/>
        <v>0.31934307174063731</v>
      </c>
      <c r="AP218" s="20">
        <v>0.25003073661975095</v>
      </c>
      <c r="AQ218" s="20">
        <f t="shared" si="129"/>
        <v>1.1906225553321474</v>
      </c>
      <c r="AR218" s="20">
        <f t="shared" si="140"/>
        <v>0.17447632606648267</v>
      </c>
      <c r="AS218" s="20">
        <v>0.25003073661975095</v>
      </c>
      <c r="AT218" s="20">
        <f t="shared" si="130"/>
        <v>1.1906225553321474</v>
      </c>
      <c r="AU218" s="20">
        <f t="shared" si="141"/>
        <v>0.17447632606648267</v>
      </c>
      <c r="AZ218" t="b">
        <f t="shared" si="118"/>
        <v>0</v>
      </c>
      <c r="BB218" t="b">
        <f t="shared" si="119"/>
        <v>1</v>
      </c>
      <c r="BD218" t="b">
        <f t="shared" si="120"/>
        <v>1</v>
      </c>
    </row>
    <row r="219" spans="1:56">
      <c r="A219" s="90"/>
      <c r="B219" s="21">
        <f>'[49]Dados de entrada'!$B$28</f>
        <v>20</v>
      </c>
      <c r="C219" s="21">
        <f>'[49]Dados de entrada'!$B$31</f>
        <v>2</v>
      </c>
      <c r="D219" s="21">
        <f>'[49]Dados de entrada'!$B$32</f>
        <v>44</v>
      </c>
      <c r="E219" s="20">
        <f>'[49]Dados de entrada'!$B$27</f>
        <v>3.42</v>
      </c>
      <c r="F219" s="21">
        <f>'[49]Dados de entrada'!$B$30</f>
        <v>25</v>
      </c>
      <c r="G219" s="21">
        <f>'[49]Dados de entrada'!$B$22</f>
        <v>35</v>
      </c>
      <c r="H219" s="79">
        <f>'[49]Dados de entrada'!$B$29/(2*'[49]Dados de entrada'!$B$20*G219)</f>
        <v>5.9809523809523812E-2</v>
      </c>
      <c r="I219" s="27">
        <v>377.09371500120665</v>
      </c>
      <c r="J219" s="19">
        <v>0.23</v>
      </c>
      <c r="K219" s="20">
        <v>0.19818783776151991</v>
      </c>
      <c r="L219" s="20">
        <f t="shared" si="117"/>
        <v>0.861686251137043</v>
      </c>
      <c r="M219" s="54">
        <f t="shared" si="131"/>
        <v>-0.14886405237369482</v>
      </c>
      <c r="N219" s="20">
        <v>0.2330676192091504</v>
      </c>
      <c r="O219" s="20">
        <f t="shared" si="116"/>
        <v>1.0133374748223929</v>
      </c>
      <c r="P219" s="20">
        <f t="shared" si="132"/>
        <v>1.3249313737451352E-2</v>
      </c>
      <c r="Q219" s="20">
        <v>0.21319572311203822</v>
      </c>
      <c r="R219" s="20">
        <f t="shared" si="123"/>
        <v>0.92693792657407914</v>
      </c>
      <c r="S219" s="20">
        <f t="shared" si="133"/>
        <v>-7.5868677282821664E-2</v>
      </c>
      <c r="T219" s="20">
        <v>0.28566395120007193</v>
      </c>
      <c r="U219" s="20">
        <v>0.48942414179937288</v>
      </c>
      <c r="V219" s="20">
        <v>1.2420171791307475</v>
      </c>
      <c r="W219" s="20">
        <f t="shared" si="134"/>
        <v>0.21673681524392727</v>
      </c>
      <c r="X219" s="20">
        <v>0.19368464557640616</v>
      </c>
      <c r="Y219" s="20">
        <f t="shared" si="124"/>
        <v>0.84210715468002673</v>
      </c>
      <c r="Z219" s="20">
        <f t="shared" si="135"/>
        <v>-0.17184801074665015</v>
      </c>
      <c r="AA219" s="20">
        <v>0.40046450762860109</v>
      </c>
      <c r="AB219" s="20">
        <f t="shared" si="121"/>
        <v>1.7411500331678307</v>
      </c>
      <c r="AC219" s="20">
        <f t="shared" si="122"/>
        <v>0.55454583350491504</v>
      </c>
      <c r="AD219" s="20">
        <v>0.31383531330085046</v>
      </c>
      <c r="AE219" s="20">
        <f t="shared" si="125"/>
        <v>1.3645013621776105</v>
      </c>
      <c r="AF219" s="20">
        <f t="shared" si="136"/>
        <v>0.31078905946375013</v>
      </c>
      <c r="AG219" s="20">
        <v>0.26893204434105095</v>
      </c>
      <c r="AH219" s="20">
        <f t="shared" si="126"/>
        <v>1.1692697580045692</v>
      </c>
      <c r="AI219" s="20">
        <f t="shared" si="137"/>
        <v>0.15637941549654238</v>
      </c>
      <c r="AJ219" s="20">
        <v>0.19716186210359257</v>
      </c>
      <c r="AK219" s="20">
        <f t="shared" si="127"/>
        <v>0.85722548740692417</v>
      </c>
      <c r="AL219" s="20">
        <f t="shared" si="138"/>
        <v>-0.1540542824988852</v>
      </c>
      <c r="AM219" s="20">
        <v>0.3062610552884521</v>
      </c>
      <c r="AN219" s="20">
        <f t="shared" si="128"/>
        <v>1.3315698056019656</v>
      </c>
      <c r="AO219" s="20">
        <f t="shared" si="139"/>
        <v>0.28635855118525977</v>
      </c>
      <c r="AP219" s="20">
        <v>0.27065686600074229</v>
      </c>
      <c r="AQ219" s="20">
        <f t="shared" si="129"/>
        <v>1.176768982611923</v>
      </c>
      <c r="AR219" s="20">
        <f t="shared" si="140"/>
        <v>0.16277253255793481</v>
      </c>
      <c r="AS219" s="20">
        <v>0.27065686600074229</v>
      </c>
      <c r="AT219" s="20">
        <f t="shared" si="130"/>
        <v>1.176768982611923</v>
      </c>
      <c r="AU219" s="20">
        <f t="shared" si="141"/>
        <v>0.16277253255793481</v>
      </c>
      <c r="AZ219" t="b">
        <f t="shared" si="118"/>
        <v>0</v>
      </c>
      <c r="BB219" t="b">
        <f t="shared" si="119"/>
        <v>1</v>
      </c>
      <c r="BD219" t="b">
        <f t="shared" si="120"/>
        <v>1</v>
      </c>
    </row>
    <row r="220" spans="1:56">
      <c r="A220" s="90"/>
      <c r="B220" s="21">
        <f>'[49]Dados de entrada'!$B$28</f>
        <v>20</v>
      </c>
      <c r="C220" s="21">
        <f>'[49]Dados de entrada'!$B$31</f>
        <v>2</v>
      </c>
      <c r="D220" s="21">
        <f>'[49]Dados de entrada'!$B$32</f>
        <v>44</v>
      </c>
      <c r="E220" s="20">
        <f>'[49]Dados de entrada'!$B$27</f>
        <v>3.42</v>
      </c>
      <c r="F220" s="21">
        <f>'[49]Dados de entrada'!$B$30</f>
        <v>25</v>
      </c>
      <c r="G220" s="21">
        <f>'[49]Dados de entrada'!$B$22</f>
        <v>35</v>
      </c>
      <c r="H220" s="79">
        <f>'[49]Dados de entrada'!$B$29/(2*'[49]Dados de entrada'!$B$20*G220)</f>
        <v>5.9809523809523812E-2</v>
      </c>
      <c r="I220" s="27">
        <v>424.89432676192303</v>
      </c>
      <c r="J220" s="19">
        <v>0.25</v>
      </c>
      <c r="K220" s="20">
        <v>0.22622546922026851</v>
      </c>
      <c r="L220" s="20">
        <f t="shared" si="117"/>
        <v>0.90490187688107404</v>
      </c>
      <c r="M220" s="54">
        <f t="shared" si="131"/>
        <v>-9.9928764496275496E-2</v>
      </c>
      <c r="N220" s="20">
        <v>0.26987150649994435</v>
      </c>
      <c r="O220" s="20">
        <f t="shared" si="116"/>
        <v>1.0794860259997774</v>
      </c>
      <c r="P220" s="20">
        <f t="shared" si="132"/>
        <v>7.6485026006843301E-2</v>
      </c>
      <c r="Q220" s="20">
        <v>0.24335651996370719</v>
      </c>
      <c r="R220" s="20">
        <f t="shared" si="123"/>
        <v>0.97342607985482876</v>
      </c>
      <c r="S220" s="20">
        <f t="shared" si="133"/>
        <v>-2.6933389405402526E-2</v>
      </c>
      <c r="T220" s="20">
        <v>0.32187487459163039</v>
      </c>
      <c r="U220" s="20">
        <v>0.62136768647410989</v>
      </c>
      <c r="V220" s="20">
        <v>1.2874994983665216</v>
      </c>
      <c r="W220" s="20">
        <f t="shared" si="134"/>
        <v>0.2527019639374426</v>
      </c>
      <c r="X220" s="20">
        <v>0.21973902361094949</v>
      </c>
      <c r="Y220" s="20">
        <f t="shared" si="124"/>
        <v>0.87895609444379796</v>
      </c>
      <c r="Z220" s="20">
        <f t="shared" si="135"/>
        <v>-0.12902033198270235</v>
      </c>
      <c r="AA220" s="20">
        <v>0.45520575546610442</v>
      </c>
      <c r="AB220" s="20">
        <f t="shared" si="121"/>
        <v>1.8208230218644177</v>
      </c>
      <c r="AC220" s="20">
        <f t="shared" si="122"/>
        <v>0.59928860868827372</v>
      </c>
      <c r="AD220" s="20">
        <v>0.35361725442349351</v>
      </c>
      <c r="AE220" s="20">
        <f t="shared" si="125"/>
        <v>1.414469017693974</v>
      </c>
      <c r="AF220" s="20">
        <f t="shared" si="136"/>
        <v>0.34675420815726549</v>
      </c>
      <c r="AG220" s="20">
        <v>0.30706718501407221</v>
      </c>
      <c r="AH220" s="20">
        <f t="shared" si="126"/>
        <v>1.2282687400562888</v>
      </c>
      <c r="AI220" s="20">
        <f t="shared" si="137"/>
        <v>0.20560564947620888</v>
      </c>
      <c r="AJ220" s="20">
        <v>0.22357981229861004</v>
      </c>
      <c r="AK220" s="20">
        <f t="shared" si="127"/>
        <v>0.89431924919444017</v>
      </c>
      <c r="AL220" s="20">
        <f t="shared" si="138"/>
        <v>-0.11169246554716554</v>
      </c>
      <c r="AM220" s="20">
        <v>0.34508287919825592</v>
      </c>
      <c r="AN220" s="20">
        <f t="shared" si="128"/>
        <v>1.3803315167930237</v>
      </c>
      <c r="AO220" s="20">
        <f t="shared" si="139"/>
        <v>0.32232369987877502</v>
      </c>
      <c r="AP220" s="20">
        <v>0.3170656571079728</v>
      </c>
      <c r="AQ220" s="20">
        <f t="shared" si="129"/>
        <v>1.2682626284318912</v>
      </c>
      <c r="AR220" s="20">
        <f t="shared" si="140"/>
        <v>0.23764795478302908</v>
      </c>
      <c r="AS220" s="20">
        <v>0.3170656571079728</v>
      </c>
      <c r="AT220" s="20">
        <f t="shared" si="130"/>
        <v>1.2682626284318912</v>
      </c>
      <c r="AU220" s="20">
        <f t="shared" si="141"/>
        <v>0.23764795478302908</v>
      </c>
      <c r="AZ220" t="b">
        <f t="shared" si="118"/>
        <v>0</v>
      </c>
      <c r="BB220" t="b">
        <f t="shared" si="119"/>
        <v>1</v>
      </c>
      <c r="BD220" t="b">
        <f t="shared" si="120"/>
        <v>1</v>
      </c>
    </row>
    <row r="221" spans="1:56">
      <c r="A221" s="86"/>
      <c r="B221" s="21">
        <f>'[49]Dados de entrada'!$B$28</f>
        <v>20</v>
      </c>
      <c r="C221" s="21">
        <f>'[49]Dados de entrada'!$B$31</f>
        <v>2</v>
      </c>
      <c r="D221" s="21">
        <f>'[49]Dados de entrada'!$B$32</f>
        <v>44</v>
      </c>
      <c r="E221" s="20">
        <f>'[49]Dados de entrada'!$B$27</f>
        <v>3.42</v>
      </c>
      <c r="F221" s="21">
        <f>'[49]Dados de entrada'!$B$30</f>
        <v>25</v>
      </c>
      <c r="G221" s="21">
        <f>'[49]Dados de entrada'!$B$22</f>
        <v>35</v>
      </c>
      <c r="H221" s="79">
        <f>'[49]Dados de entrada'!$B$29/(2*'[49]Dados de entrada'!$B$20*G221)</f>
        <v>5.9809523809523812E-2</v>
      </c>
      <c r="I221" s="27">
        <v>525.80672936787971</v>
      </c>
      <c r="J221" s="19">
        <v>0.25</v>
      </c>
      <c r="K221" s="20">
        <v>0.28541602452207099</v>
      </c>
      <c r="L221" s="20">
        <f t="shared" si="117"/>
        <v>1.141664098088284</v>
      </c>
      <c r="M221" s="54">
        <f t="shared" si="131"/>
        <v>0.13248693319386973</v>
      </c>
      <c r="N221" s="20">
        <v>0.34756860189162025</v>
      </c>
      <c r="O221" s="20">
        <f t="shared" si="116"/>
        <v>1.390274407566481</v>
      </c>
      <c r="P221" s="20">
        <f t="shared" si="132"/>
        <v>0.32950114317417573</v>
      </c>
      <c r="Q221" s="20">
        <v>0.30702931331723049</v>
      </c>
      <c r="R221" s="20">
        <f t="shared" si="123"/>
        <v>1.228117253268922</v>
      </c>
      <c r="S221" s="20">
        <f t="shared" si="133"/>
        <v>0.20548230828474259</v>
      </c>
      <c r="T221" s="20">
        <v>0.38075707004060283</v>
      </c>
      <c r="U221" s="20">
        <v>0.86950175438596489</v>
      </c>
      <c r="V221" s="20">
        <v>1.5230282801624113</v>
      </c>
      <c r="W221" s="20">
        <f t="shared" si="134"/>
        <v>0.42070064246184374</v>
      </c>
      <c r="X221" s="20">
        <v>0.27474271057276312</v>
      </c>
      <c r="Y221" s="20">
        <f t="shared" si="124"/>
        <v>1.0989708422910525</v>
      </c>
      <c r="Z221" s="20">
        <f t="shared" si="135"/>
        <v>9.4374143942186933E-2</v>
      </c>
      <c r="AA221" s="20">
        <v>0.56965376026569303</v>
      </c>
      <c r="AB221" s="20">
        <f t="shared" si="121"/>
        <v>2.2786150410627721</v>
      </c>
      <c r="AC221" s="20">
        <f t="shared" si="122"/>
        <v>0.82356782027070008</v>
      </c>
      <c r="AD221" s="20">
        <v>0.43760135234907321</v>
      </c>
      <c r="AE221" s="20">
        <f t="shared" si="125"/>
        <v>1.7504054093962929</v>
      </c>
      <c r="AF221" s="20">
        <f t="shared" si="136"/>
        <v>0.55984742361797379</v>
      </c>
      <c r="AG221" s="20">
        <v>0.38757470421267243</v>
      </c>
      <c r="AH221" s="20">
        <f t="shared" si="126"/>
        <v>1.5502988168506897</v>
      </c>
      <c r="AI221" s="20">
        <f t="shared" si="137"/>
        <v>0.43844769741546374</v>
      </c>
      <c r="AJ221" s="20">
        <v>0.27935104048809128</v>
      </c>
      <c r="AK221" s="20">
        <f t="shared" si="127"/>
        <v>1.1174041619523651</v>
      </c>
      <c r="AL221" s="20">
        <f t="shared" si="138"/>
        <v>0.11100828271144025</v>
      </c>
      <c r="AM221" s="20">
        <v>0.4270400630078417</v>
      </c>
      <c r="AN221" s="20">
        <f t="shared" si="128"/>
        <v>1.7081602520313668</v>
      </c>
      <c r="AO221" s="20">
        <f t="shared" si="139"/>
        <v>0.53541691533948332</v>
      </c>
      <c r="AP221" s="20">
        <v>0.40484276019873267</v>
      </c>
      <c r="AQ221" s="20">
        <f t="shared" si="129"/>
        <v>1.6193710407949307</v>
      </c>
      <c r="AR221" s="20">
        <f t="shared" si="140"/>
        <v>0.48203782743425477</v>
      </c>
      <c r="AS221" s="20">
        <v>0.40484276019873267</v>
      </c>
      <c r="AT221" s="20">
        <f t="shared" si="130"/>
        <v>1.6193710407949307</v>
      </c>
      <c r="AU221" s="20">
        <f t="shared" si="141"/>
        <v>0.48203782743425477</v>
      </c>
      <c r="AZ221" t="b">
        <f t="shared" si="118"/>
        <v>0</v>
      </c>
      <c r="BB221" t="b">
        <f t="shared" si="119"/>
        <v>1</v>
      </c>
      <c r="BD221" t="b">
        <f t="shared" si="120"/>
        <v>1</v>
      </c>
    </row>
    <row r="222" spans="1:56">
      <c r="A222" s="87" t="s">
        <v>95</v>
      </c>
      <c r="B222" s="5">
        <f>'[50]Dados de entrada'!$B$28</f>
        <v>20</v>
      </c>
      <c r="C222" s="5">
        <f>'[50]Dados de entrada'!$B$31</f>
        <v>3</v>
      </c>
      <c r="D222" s="5">
        <f>'[50]Dados de entrada'!$B$32</f>
        <v>12</v>
      </c>
      <c r="E222" s="11">
        <f>'[50]Dados de entrada'!$B$27</f>
        <v>3.42</v>
      </c>
      <c r="F222" s="5">
        <f>'[50]Dados de entrada'!$B$30</f>
        <v>25</v>
      </c>
      <c r="G222" s="5">
        <f>'[50]Dados de entrada'!$B$22</f>
        <v>35</v>
      </c>
      <c r="H222" s="78">
        <f>'[50]Dados de entrada'!$B$29/(2*'[50]Dados de entrada'!$B$20*G222)</f>
        <v>8.9714285714285719E-2</v>
      </c>
      <c r="I222" s="53" cm="1">
        <f t="array" ref="I222:I229">'[50]fib Model Code 2010'!$K$5:$K$12</f>
        <v>246.92191294539825</v>
      </c>
      <c r="J222" s="4" cm="1">
        <f t="array" ref="J222:J229">'[50]Dados de entrada'!$C$7:$C$14</f>
        <v>0.18</v>
      </c>
      <c r="K222" s="11" cm="1">
        <f t="array" ref="K222:K229">'[50]fib Model Code 2010'!$L$5:$L$12</f>
        <v>9.9001541127222883E-2</v>
      </c>
      <c r="L222" s="11">
        <f t="shared" ref="L222:L247" si="142">K222/J222</f>
        <v>0.55000856181790492</v>
      </c>
      <c r="M222" s="29">
        <f t="shared" si="131"/>
        <v>-0.59782143393513876</v>
      </c>
      <c r="N222" s="11" cm="1">
        <f t="array" ref="N222:N229">'[50]fib Model Code 2020'!$L$5:$L$12</f>
        <v>0.12703849644400417</v>
      </c>
      <c r="O222" s="11">
        <f t="shared" si="116"/>
        <v>0.70576942468891202</v>
      </c>
      <c r="P222" s="11">
        <f t="shared" si="132"/>
        <v>-0.34846668875735948</v>
      </c>
      <c r="Q222" s="11" cm="1">
        <f t="array" ref="Q222:Q229">'[50]Eurocode 2'!$L$5:$L$12</f>
        <v>0.11972263952840977</v>
      </c>
      <c r="R222" s="11">
        <f t="shared" si="123"/>
        <v>0.66512577515783211</v>
      </c>
      <c r="S222" s="11">
        <f t="shared" si="133"/>
        <v>-0.40777912063447358</v>
      </c>
      <c r="T222" s="11" cm="1">
        <f t="array" ref="T222:T229">'[50]NBR 6118'!$Q$5:$Q$12</f>
        <v>0.15281153215677173</v>
      </c>
      <c r="U222" s="11" cm="1">
        <f t="array" ref="U222:U229">'[50]NBR 6118'!$R$5:$R$12</f>
        <v>0.21127454925494149</v>
      </c>
      <c r="V222" s="11" cm="1">
        <f t="array" ref="V222:V229">'[50]NBR 6118'!$W$5:$W$12</f>
        <v>0.8489529564265097</v>
      </c>
      <c r="W222" s="11">
        <f t="shared" si="134"/>
        <v>-0.16375150477549416</v>
      </c>
      <c r="X222" s="11" cm="1">
        <f t="array" ref="X222:X229">'[50]Clark (1956)'!$L$5:$L$12</f>
        <v>8.4078447968071318E-2</v>
      </c>
      <c r="Y222" s="11">
        <f t="shared" si="124"/>
        <v>0.46710248871150734</v>
      </c>
      <c r="Z222" s="11">
        <f t="shared" si="135"/>
        <v>-0.76120658348247239</v>
      </c>
      <c r="AA222" s="11" cm="1">
        <f t="array" ref="AA222:AA229">'[50]Leonhardt (1977)'!$L$5:$L$12</f>
        <v>0.19816264568473804</v>
      </c>
      <c r="AB222" s="11">
        <f t="shared" si="121"/>
        <v>1.1009035871374335</v>
      </c>
      <c r="AC222" s="11">
        <f t="shared" si="122"/>
        <v>9.6131285457004889E-2</v>
      </c>
      <c r="AD222" s="11" cm="1">
        <f t="array" ref="AD222:AD229">'[50]Desayi; Ganesan (1985)'!$L$5:$L$12</f>
        <v>0.15788934749629366</v>
      </c>
      <c r="AE222" s="11">
        <f t="shared" si="125"/>
        <v>0.87716304164607595</v>
      </c>
      <c r="AF222" s="11">
        <f t="shared" si="136"/>
        <v>-0.13106239551240534</v>
      </c>
      <c r="AG222" s="11" cm="1">
        <f t="array" ref="AG222:AG229">'[50]Oh; Kang (1987)'!$L$5:$L$12</f>
        <v>0.12820922460159795</v>
      </c>
      <c r="AH222" s="11">
        <f t="shared" si="126"/>
        <v>0.71227347000887753</v>
      </c>
      <c r="AI222" s="11">
        <f t="shared" si="137"/>
        <v>-0.33929335422160617</v>
      </c>
      <c r="AJ222" s="11" cm="1">
        <f t="array" ref="AJ222:AJ229">'[50]Caldas (1997)'!$L$5:$L$12</f>
        <v>0.12537381381508225</v>
      </c>
      <c r="AK222" s="11">
        <f t="shared" si="127"/>
        <v>0.69652118786156814</v>
      </c>
      <c r="AL222" s="11">
        <f t="shared" si="138"/>
        <v>-0.36165706574892093</v>
      </c>
      <c r="AM222" s="11" cm="1">
        <f t="array" ref="AM222:AM229">'[50]Gergely e Lutz (1968)'!$L$5:$L$12</f>
        <v>0.18016328881157176</v>
      </c>
      <c r="AN222" s="11">
        <f t="shared" si="128"/>
        <v>1.0009071600642876</v>
      </c>
      <c r="AO222" s="11">
        <f t="shared" si="139"/>
        <v>9.0674884327320384E-4</v>
      </c>
      <c r="AP222" s="11" cm="1">
        <f t="array" ref="AP222:AP229">[50]Sugestão!$M$5:$M$12</f>
        <v>0.13419966539766751</v>
      </c>
      <c r="AQ222" s="11">
        <f t="shared" si="129"/>
        <v>0.74555369665370841</v>
      </c>
      <c r="AR222" s="11">
        <f t="shared" si="140"/>
        <v>-0.2936281196667096</v>
      </c>
      <c r="AS222" s="11" cm="1">
        <f t="array" ref="AS222:AS229">'[50]fib Model Code 2020 modificado'!$L$5:$L$12</f>
        <v>0.21524503066384404</v>
      </c>
      <c r="AT222" s="11">
        <f t="shared" si="130"/>
        <v>1.1958057259102448</v>
      </c>
      <c r="AU222" s="11">
        <f t="shared" si="141"/>
        <v>0.17882020580430238</v>
      </c>
      <c r="AZ222" t="b">
        <f t="shared" si="118"/>
        <v>0</v>
      </c>
      <c r="BB222" t="b">
        <f t="shared" si="119"/>
        <v>1</v>
      </c>
      <c r="BD222" t="b">
        <f t="shared" si="120"/>
        <v>1</v>
      </c>
    </row>
    <row r="223" spans="1:56">
      <c r="A223" s="88"/>
      <c r="B223" s="5">
        <f>'[50]Dados de entrada'!$B$28</f>
        <v>20</v>
      </c>
      <c r="C223" s="5">
        <f>'[50]Dados de entrada'!$B$31</f>
        <v>3</v>
      </c>
      <c r="D223" s="5">
        <f>'[50]Dados de entrada'!$B$32</f>
        <v>12</v>
      </c>
      <c r="E223" s="11">
        <f>'[50]Dados de entrada'!$B$27</f>
        <v>3.42</v>
      </c>
      <c r="F223" s="5">
        <f>'[50]Dados de entrada'!$B$30</f>
        <v>25</v>
      </c>
      <c r="G223" s="5">
        <f>'[50]Dados de entrada'!$B$22</f>
        <v>35</v>
      </c>
      <c r="H223" s="78">
        <f>'[50]Dados de entrada'!$B$29/(2*'[50]Dados de entrada'!$B$20*G223)</f>
        <v>8.9714285714285719E-2</v>
      </c>
      <c r="I223" s="53">
        <v>283.23395896678039</v>
      </c>
      <c r="J223" s="4">
        <v>0.19</v>
      </c>
      <c r="K223" s="11">
        <v>0.11553739220709007</v>
      </c>
      <c r="L223" s="11">
        <f t="shared" si="142"/>
        <v>0.60809153793205295</v>
      </c>
      <c r="M223" s="29">
        <f t="shared" si="131"/>
        <v>-0.49742985253906086</v>
      </c>
      <c r="N223" s="11">
        <v>0.15099627778839889</v>
      </c>
      <c r="O223" s="11">
        <f t="shared" si="116"/>
        <v>0.79471725151788886</v>
      </c>
      <c r="P223" s="11">
        <f t="shared" si="132"/>
        <v>-0.22976888605734253</v>
      </c>
      <c r="Q223" s="11">
        <v>0.13971945690710444</v>
      </c>
      <c r="R223" s="11">
        <f t="shared" si="123"/>
        <v>0.73536556266897068</v>
      </c>
      <c r="S223" s="11">
        <f t="shared" si="133"/>
        <v>-0.30738753923839568</v>
      </c>
      <c r="T223" s="11">
        <v>0.17528381629747347</v>
      </c>
      <c r="U223" s="11">
        <v>0.27798320883803285</v>
      </c>
      <c r="V223" s="11">
        <v>0.92254640156564982</v>
      </c>
      <c r="W223" s="11">
        <f t="shared" si="134"/>
        <v>-8.061760453228492E-2</v>
      </c>
      <c r="X223" s="11">
        <v>9.7273366601955721E-2</v>
      </c>
      <c r="Y223" s="11">
        <f t="shared" si="124"/>
        <v>0.51196508737871427</v>
      </c>
      <c r="Z223" s="11">
        <f t="shared" si="135"/>
        <v>-0.66949884498103396</v>
      </c>
      <c r="AA223" s="11">
        <v>0.2302395167174637</v>
      </c>
      <c r="AB223" s="11">
        <f t="shared" si="121"/>
        <v>1.2117869300919142</v>
      </c>
      <c r="AC223" s="11">
        <f t="shared" si="122"/>
        <v>0.19209607193825048</v>
      </c>
      <c r="AD223" s="11">
        <v>0.18110836918692513</v>
      </c>
      <c r="AE223" s="11">
        <f t="shared" si="125"/>
        <v>0.95320194308907968</v>
      </c>
      <c r="AF223" s="11">
        <f t="shared" si="136"/>
        <v>-4.7928495269195813E-2</v>
      </c>
      <c r="AG223" s="11">
        <v>0.15070823979931375</v>
      </c>
      <c r="AH223" s="11">
        <f t="shared" si="126"/>
        <v>0.79320126210165132</v>
      </c>
      <c r="AI223" s="11">
        <f t="shared" si="137"/>
        <v>-0.2316782911859071</v>
      </c>
      <c r="AJ223" s="11">
        <v>0.14542842857482446</v>
      </c>
      <c r="AK223" s="11">
        <f t="shared" si="127"/>
        <v>0.7654127819727603</v>
      </c>
      <c r="AL223" s="11">
        <f t="shared" si="138"/>
        <v>-0.26734000640073408</v>
      </c>
      <c r="AM223" s="11">
        <v>0.20665789010739119</v>
      </c>
      <c r="AN223" s="11">
        <f t="shared" si="128"/>
        <v>1.0876731058283746</v>
      </c>
      <c r="AO223" s="11">
        <f t="shared" si="139"/>
        <v>8.4040649086482636E-2</v>
      </c>
      <c r="AP223" s="11">
        <v>0.16272765949974599</v>
      </c>
      <c r="AQ223" s="11">
        <f t="shared" si="129"/>
        <v>0.85646136578813681</v>
      </c>
      <c r="AR223" s="11">
        <f t="shared" si="140"/>
        <v>-0.15494606931279911</v>
      </c>
      <c r="AS223" s="11">
        <v>0.25870244106620943</v>
      </c>
      <c r="AT223" s="11">
        <f t="shared" si="130"/>
        <v>1.3615917950853127</v>
      </c>
      <c r="AU223" s="11">
        <f t="shared" si="141"/>
        <v>0.30865445288264792</v>
      </c>
      <c r="AZ223" t="b">
        <f t="shared" si="118"/>
        <v>0</v>
      </c>
      <c r="BB223" t="b">
        <f t="shared" si="119"/>
        <v>1</v>
      </c>
      <c r="BD223" t="b">
        <f t="shared" si="120"/>
        <v>1</v>
      </c>
    </row>
    <row r="224" spans="1:56">
      <c r="A224" s="88"/>
      <c r="B224" s="5">
        <f>'[50]Dados de entrada'!$B$28</f>
        <v>20</v>
      </c>
      <c r="C224" s="5">
        <f>'[50]Dados de entrada'!$B$31</f>
        <v>3</v>
      </c>
      <c r="D224" s="5">
        <f>'[50]Dados de entrada'!$B$32</f>
        <v>12</v>
      </c>
      <c r="E224" s="11">
        <f>'[50]Dados de entrada'!$B$27</f>
        <v>3.42</v>
      </c>
      <c r="F224" s="5">
        <f>'[50]Dados de entrada'!$B$30</f>
        <v>25</v>
      </c>
      <c r="G224" s="5">
        <f>'[50]Dados de entrada'!$B$22</f>
        <v>35</v>
      </c>
      <c r="H224" s="78">
        <f>'[50]Dados de entrada'!$B$29/(2*'[50]Dados de entrada'!$B$20*G224)</f>
        <v>8.9714285714285719E-2</v>
      </c>
      <c r="I224" s="53">
        <v>315.9148003860243</v>
      </c>
      <c r="J224" s="4">
        <v>0.21</v>
      </c>
      <c r="K224" s="11">
        <v>0.13041965817897053</v>
      </c>
      <c r="L224" s="11">
        <f t="shared" si="142"/>
        <v>0.62104599132843108</v>
      </c>
      <c r="M224" s="29">
        <f t="shared" si="131"/>
        <v>-0.47635013968077788</v>
      </c>
      <c r="N224" s="11">
        <v>0.17255828099835413</v>
      </c>
      <c r="O224" s="11">
        <f t="shared" si="116"/>
        <v>0.8217060999921626</v>
      </c>
      <c r="P224" s="11">
        <f t="shared" si="132"/>
        <v>-0.19637249044815822</v>
      </c>
      <c r="Q224" s="11">
        <v>0.15771659254792961</v>
      </c>
      <c r="R224" s="11">
        <f t="shared" si="123"/>
        <v>0.75103139308537914</v>
      </c>
      <c r="S224" s="11">
        <f t="shared" si="133"/>
        <v>-0.28630782638011271</v>
      </c>
      <c r="T224" s="11">
        <v>0.19550887202410502</v>
      </c>
      <c r="U224" s="11">
        <v>0.34583413998932788</v>
      </c>
      <c r="V224" s="11">
        <v>0.93099462868621441</v>
      </c>
      <c r="W224" s="11">
        <f t="shared" si="134"/>
        <v>-7.1501771124275443E-2</v>
      </c>
      <c r="X224" s="11">
        <v>0.10914879337245167</v>
      </c>
      <c r="Y224" s="11">
        <f t="shared" si="124"/>
        <v>0.51975615891643656</v>
      </c>
      <c r="Z224" s="11">
        <f t="shared" si="135"/>
        <v>-0.65439550254714896</v>
      </c>
      <c r="AA224" s="11">
        <v>0.25883998916646</v>
      </c>
      <c r="AB224" s="11">
        <f t="shared" si="121"/>
        <v>1.232571376983143</v>
      </c>
      <c r="AC224" s="11">
        <f t="shared" si="122"/>
        <v>0.20910253761740025</v>
      </c>
      <c r="AD224" s="11">
        <v>0.20200548870849344</v>
      </c>
      <c r="AE224" s="11">
        <f t="shared" si="125"/>
        <v>0.96193089861187353</v>
      </c>
      <c r="AF224" s="11">
        <f t="shared" si="136"/>
        <v>-3.8812661861186294E-2</v>
      </c>
      <c r="AG224" s="11">
        <v>0.17095735347725799</v>
      </c>
      <c r="AH224" s="11">
        <f t="shared" si="126"/>
        <v>0.81408263560599048</v>
      </c>
      <c r="AI224" s="11">
        <f t="shared" si="137"/>
        <v>-0.20569340018871721</v>
      </c>
      <c r="AJ224" s="11">
        <v>0.16347758185859246</v>
      </c>
      <c r="AK224" s="11">
        <f t="shared" si="127"/>
        <v>0.77846467551710696</v>
      </c>
      <c r="AL224" s="11">
        <f t="shared" si="138"/>
        <v>-0.25043166379587145</v>
      </c>
      <c r="AM224" s="11">
        <v>0.23050303127362862</v>
      </c>
      <c r="AN224" s="11">
        <f t="shared" si="128"/>
        <v>1.0976334822553744</v>
      </c>
      <c r="AO224" s="11">
        <f t="shared" si="139"/>
        <v>9.3156482494492071E-2</v>
      </c>
      <c r="AP224" s="11">
        <v>0.18840285419161665</v>
      </c>
      <c r="AQ224" s="11">
        <f t="shared" si="129"/>
        <v>0.89715644853150789</v>
      </c>
      <c r="AR224" s="11">
        <f t="shared" si="140"/>
        <v>-0.10852501905292951</v>
      </c>
      <c r="AS224" s="11">
        <v>0.29924526640816773</v>
      </c>
      <c r="AT224" s="11">
        <f t="shared" si="130"/>
        <v>1.424977459086513</v>
      </c>
      <c r="AU224" s="11">
        <f t="shared" si="141"/>
        <v>0.35415599541060189</v>
      </c>
      <c r="AZ224" t="b">
        <f t="shared" si="118"/>
        <v>0</v>
      </c>
      <c r="BB224" t="b">
        <f t="shared" si="119"/>
        <v>1</v>
      </c>
      <c r="BD224" t="b">
        <f t="shared" si="120"/>
        <v>1</v>
      </c>
    </row>
    <row r="225" spans="1:56">
      <c r="A225" s="88"/>
      <c r="B225" s="5">
        <f>'[50]Dados de entrada'!$B$28</f>
        <v>20</v>
      </c>
      <c r="C225" s="5">
        <f>'[50]Dados de entrada'!$B$31</f>
        <v>3</v>
      </c>
      <c r="D225" s="5">
        <f>'[50]Dados de entrada'!$B$32</f>
        <v>12</v>
      </c>
      <c r="E225" s="11">
        <f>'[50]Dados de entrada'!$B$27</f>
        <v>3.42</v>
      </c>
      <c r="F225" s="5">
        <f>'[50]Dados de entrada'!$B$30</f>
        <v>25</v>
      </c>
      <c r="G225" s="5">
        <f>'[50]Dados de entrada'!$B$22</f>
        <v>35</v>
      </c>
      <c r="H225" s="78">
        <f>'[50]Dados de entrada'!$B$29/(2*'[50]Dados de entrada'!$B$20*G225)</f>
        <v>8.9714285714285719E-2</v>
      </c>
      <c r="I225" s="53">
        <v>355.85805100954457</v>
      </c>
      <c r="J225" s="4">
        <v>0.23</v>
      </c>
      <c r="K225" s="11">
        <v>0.1486090943668244</v>
      </c>
      <c r="L225" s="11">
        <f t="shared" si="142"/>
        <v>0.64612649724706261</v>
      </c>
      <c r="M225" s="29">
        <f t="shared" si="131"/>
        <v>-0.43675997819709583</v>
      </c>
      <c r="N225" s="11">
        <v>0.19891184047718827</v>
      </c>
      <c r="O225" s="11">
        <f t="shared" si="116"/>
        <v>0.86483408903125325</v>
      </c>
      <c r="P225" s="11">
        <f t="shared" si="132"/>
        <v>-0.14521759503525672</v>
      </c>
      <c r="Q225" s="11">
        <v>0.1797130916644937</v>
      </c>
      <c r="R225" s="11">
        <f t="shared" si="123"/>
        <v>0.78136126810649431</v>
      </c>
      <c r="S225" s="11">
        <f t="shared" si="133"/>
        <v>-0.24671766489643077</v>
      </c>
      <c r="T225" s="11">
        <v>0.22022838457887689</v>
      </c>
      <c r="U225" s="11">
        <v>0.43881504564110252</v>
      </c>
      <c r="V225" s="11">
        <v>0.9575147155603343</v>
      </c>
      <c r="W225" s="11">
        <f t="shared" si="134"/>
        <v>-4.3414189314014112E-2</v>
      </c>
      <c r="X225" s="11">
        <v>0.12366320386972449</v>
      </c>
      <c r="Y225" s="11">
        <f t="shared" si="124"/>
        <v>0.53766610378141078</v>
      </c>
      <c r="Z225" s="11">
        <f t="shared" si="135"/>
        <v>-0.62051753642934759</v>
      </c>
      <c r="AA225" s="11">
        <v>0.29355624128202901</v>
      </c>
      <c r="AB225" s="11">
        <f t="shared" si="121"/>
        <v>1.2763314838349087</v>
      </c>
      <c r="AC225" s="11">
        <f t="shared" si="122"/>
        <v>0.24398993475436717</v>
      </c>
      <c r="AD225" s="11">
        <v>0.22754641256818794</v>
      </c>
      <c r="AE225" s="11">
        <f t="shared" si="125"/>
        <v>0.98933222855733882</v>
      </c>
      <c r="AF225" s="11">
        <f t="shared" si="136"/>
        <v>-1.072508005092516E-2</v>
      </c>
      <c r="AG225" s="11">
        <v>0.19570627019474529</v>
      </c>
      <c r="AH225" s="11">
        <f t="shared" si="126"/>
        <v>0.85089682693367519</v>
      </c>
      <c r="AI225" s="11">
        <f t="shared" si="137"/>
        <v>-0.16146439520435618</v>
      </c>
      <c r="AJ225" s="11">
        <v>0.18553765809430886</v>
      </c>
      <c r="AK225" s="11">
        <f t="shared" si="127"/>
        <v>0.80668546997525592</v>
      </c>
      <c r="AL225" s="11">
        <f t="shared" si="138"/>
        <v>-0.21482143888450494</v>
      </c>
      <c r="AM225" s="11">
        <v>0.25964709269902991</v>
      </c>
      <c r="AN225" s="11">
        <f t="shared" si="128"/>
        <v>1.1289004030392604</v>
      </c>
      <c r="AO225" s="11">
        <f t="shared" si="139"/>
        <v>0.12124406430475342</v>
      </c>
      <c r="AP225" s="11">
        <v>0.21978364770390293</v>
      </c>
      <c r="AQ225" s="11">
        <f t="shared" si="129"/>
        <v>0.95558107697349093</v>
      </c>
      <c r="AR225" s="11">
        <f t="shared" si="140"/>
        <v>-4.5435665972791875E-2</v>
      </c>
      <c r="AS225" s="11">
        <v>0.35063886180016635</v>
      </c>
      <c r="AT225" s="11">
        <f t="shared" si="130"/>
        <v>1.5245167904355057</v>
      </c>
      <c r="AU225" s="11">
        <f t="shared" si="141"/>
        <v>0.42167750111822472</v>
      </c>
      <c r="AZ225" t="b">
        <f t="shared" si="118"/>
        <v>0</v>
      </c>
      <c r="BB225" t="b">
        <f t="shared" si="119"/>
        <v>1</v>
      </c>
      <c r="BD225" t="b">
        <f t="shared" si="120"/>
        <v>1</v>
      </c>
    </row>
    <row r="226" spans="1:56">
      <c r="A226" s="88"/>
      <c r="B226" s="5">
        <f>'[50]Dados de entrada'!$B$28</f>
        <v>20</v>
      </c>
      <c r="C226" s="5">
        <f>'[50]Dados de entrada'!$B$31</f>
        <v>3</v>
      </c>
      <c r="D226" s="5">
        <f>'[50]Dados de entrada'!$B$32</f>
        <v>12</v>
      </c>
      <c r="E226" s="11">
        <f>'[50]Dados de entrada'!$B$27</f>
        <v>3.42</v>
      </c>
      <c r="F226" s="5">
        <f>'[50]Dados de entrada'!$B$30</f>
        <v>25</v>
      </c>
      <c r="G226" s="5">
        <f>'[50]Dados de entrada'!$B$22</f>
        <v>35</v>
      </c>
      <c r="H226" s="78">
        <f>'[50]Dados de entrada'!$B$29/(2*'[50]Dados de entrada'!$B$20*G226)</f>
        <v>8.9714285714285719E-2</v>
      </c>
      <c r="I226" s="53">
        <v>395.80130163306495</v>
      </c>
      <c r="J226" s="4">
        <v>0.25</v>
      </c>
      <c r="K226" s="11">
        <v>0.16679853055467833</v>
      </c>
      <c r="L226" s="11">
        <f t="shared" si="142"/>
        <v>0.66719412221871333</v>
      </c>
      <c r="M226" s="29">
        <f t="shared" si="131"/>
        <v>-0.40467423760063564</v>
      </c>
      <c r="N226" s="11">
        <v>0.22526539995602249</v>
      </c>
      <c r="O226" s="11">
        <f t="shared" si="116"/>
        <v>0.90106159982408995</v>
      </c>
      <c r="P226" s="11">
        <f t="shared" si="132"/>
        <v>-0.10418165542657518</v>
      </c>
      <c r="Q226" s="11">
        <v>0.20170959078105782</v>
      </c>
      <c r="R226" s="11">
        <f t="shared" si="123"/>
        <v>0.80683836312423129</v>
      </c>
      <c r="S226" s="11">
        <f t="shared" si="133"/>
        <v>-0.21463192429997072</v>
      </c>
      <c r="T226" s="11">
        <v>0.2449478971336489</v>
      </c>
      <c r="U226" s="11">
        <v>0.54285314007308849</v>
      </c>
      <c r="V226" s="11">
        <v>0.97979158853459558</v>
      </c>
      <c r="W226" s="11">
        <f t="shared" si="134"/>
        <v>-2.0415394694492932E-2</v>
      </c>
      <c r="X226" s="11">
        <v>0.13817761436699733</v>
      </c>
      <c r="Y226" s="11">
        <f t="shared" si="124"/>
        <v>0.5527104574679893</v>
      </c>
      <c r="Z226" s="11">
        <f t="shared" si="135"/>
        <v>-0.59292099962716205</v>
      </c>
      <c r="AA226" s="11">
        <v>0.32808366973427472</v>
      </c>
      <c r="AB226" s="11">
        <f t="shared" si="121"/>
        <v>1.3123346789370989</v>
      </c>
      <c r="AC226" s="11">
        <f t="shared" si="122"/>
        <v>0.27180774864508517</v>
      </c>
      <c r="AD226" s="11">
        <v>0.25308733642788256</v>
      </c>
      <c r="AE226" s="11">
        <f t="shared" si="125"/>
        <v>1.0123493457115302</v>
      </c>
      <c r="AF226" s="11">
        <f t="shared" si="136"/>
        <v>1.2273714568595825E-2</v>
      </c>
      <c r="AG226" s="11">
        <v>0.22045518691223273</v>
      </c>
      <c r="AH226" s="11">
        <f t="shared" si="126"/>
        <v>0.88182074764893092</v>
      </c>
      <c r="AI226" s="11">
        <f t="shared" si="137"/>
        <v>-0.12576647758829337</v>
      </c>
      <c r="AJ226" s="11">
        <v>0.20759773433002529</v>
      </c>
      <c r="AK226" s="11">
        <f t="shared" si="127"/>
        <v>0.83039093732010116</v>
      </c>
      <c r="AL226" s="11">
        <f t="shared" si="138"/>
        <v>-0.18585868026192973</v>
      </c>
      <c r="AM226" s="11">
        <v>0.28879115412443129</v>
      </c>
      <c r="AN226" s="11">
        <f t="shared" si="128"/>
        <v>1.1551646164977252</v>
      </c>
      <c r="AO226" s="11">
        <f t="shared" si="139"/>
        <v>0.14424285892427441</v>
      </c>
      <c r="AP226" s="11">
        <v>0.2511644412161893</v>
      </c>
      <c r="AQ226" s="11">
        <f t="shared" si="129"/>
        <v>1.0046577648647572</v>
      </c>
      <c r="AR226" s="11">
        <f t="shared" si="140"/>
        <v>4.6469510438117961E-3</v>
      </c>
      <c r="AS226" s="11">
        <v>0.40405783583028637</v>
      </c>
      <c r="AT226" s="11">
        <f t="shared" si="130"/>
        <v>1.6162313433211455</v>
      </c>
      <c r="AU226" s="11">
        <f t="shared" si="141"/>
        <v>0.48009710784853399</v>
      </c>
      <c r="AZ226" t="b">
        <f t="shared" si="118"/>
        <v>0</v>
      </c>
      <c r="BB226" t="b">
        <f t="shared" si="119"/>
        <v>1</v>
      </c>
      <c r="BD226" t="b">
        <f t="shared" si="120"/>
        <v>1</v>
      </c>
    </row>
    <row r="227" spans="1:56">
      <c r="A227" s="88"/>
      <c r="B227" s="5">
        <f>'[50]Dados de entrada'!$B$28</f>
        <v>20</v>
      </c>
      <c r="C227" s="5">
        <f>'[50]Dados de entrada'!$B$31</f>
        <v>3</v>
      </c>
      <c r="D227" s="5">
        <f>'[50]Dados de entrada'!$B$32</f>
        <v>12</v>
      </c>
      <c r="E227" s="11">
        <f>'[50]Dados de entrada'!$B$27</f>
        <v>3.42</v>
      </c>
      <c r="F227" s="5">
        <f>'[50]Dados de entrada'!$B$30</f>
        <v>25</v>
      </c>
      <c r="G227" s="5">
        <f>'[50]Dados de entrada'!$B$22</f>
        <v>35</v>
      </c>
      <c r="H227" s="78">
        <f>'[50]Dados de entrada'!$B$29/(2*'[50]Dados de entrada'!$B$20*G227)</f>
        <v>8.9714285714285719E-2</v>
      </c>
      <c r="I227" s="53">
        <v>432.11334765444701</v>
      </c>
      <c r="J227" s="4">
        <v>0.28999999999999998</v>
      </c>
      <c r="K227" s="11">
        <v>0.18333438163454549</v>
      </c>
      <c r="L227" s="11">
        <f t="shared" si="142"/>
        <v>0.63218752287774316</v>
      </c>
      <c r="M227" s="29">
        <f t="shared" si="131"/>
        <v>-0.45856921543184864</v>
      </c>
      <c r="N227" s="11">
        <v>0.24922318130041712</v>
      </c>
      <c r="O227" s="11">
        <f t="shared" si="116"/>
        <v>0.85939028034626597</v>
      </c>
      <c r="P227" s="11">
        <f t="shared" si="132"/>
        <v>-0.15153211751871287</v>
      </c>
      <c r="Q227" s="11">
        <v>0.22170640815975243</v>
      </c>
      <c r="R227" s="11">
        <f t="shared" si="123"/>
        <v>0.7645048557232843</v>
      </c>
      <c r="S227" s="11">
        <f t="shared" si="133"/>
        <v>-0.2685269021311838</v>
      </c>
      <c r="T227" s="11">
        <v>0.26742018127435052</v>
      </c>
      <c r="U227" s="11">
        <v>0.64702830709325831</v>
      </c>
      <c r="V227" s="11">
        <v>0.92213855611845019</v>
      </c>
      <c r="W227" s="11">
        <f t="shared" si="134"/>
        <v>-8.1059788930380794E-2</v>
      </c>
      <c r="X227" s="11">
        <v>0.15137253300088171</v>
      </c>
      <c r="Y227" s="11">
        <f t="shared" si="124"/>
        <v>0.52197425172717837</v>
      </c>
      <c r="Z227" s="11">
        <f t="shared" si="135"/>
        <v>-0.6501370185092199</v>
      </c>
      <c r="AA227" s="11">
        <v>0.35935244772409597</v>
      </c>
      <c r="AB227" s="11">
        <f t="shared" si="121"/>
        <v>1.2391463714624</v>
      </c>
      <c r="AC227" s="11">
        <f t="shared" si="122"/>
        <v>0.21442273244293336</v>
      </c>
      <c r="AD227" s="11">
        <v>0.27630635811851401</v>
      </c>
      <c r="AE227" s="11">
        <f t="shared" si="125"/>
        <v>0.95278054523625522</v>
      </c>
      <c r="AF227" s="11">
        <f t="shared" si="136"/>
        <v>-4.8370679667291673E-2</v>
      </c>
      <c r="AG227" s="11">
        <v>0.2429542021099485</v>
      </c>
      <c r="AH227" s="11">
        <f t="shared" si="126"/>
        <v>0.83777311072396043</v>
      </c>
      <c r="AI227" s="11">
        <f t="shared" si="137"/>
        <v>-0.17700796608576477</v>
      </c>
      <c r="AJ227" s="11">
        <v>0.2276523490897675</v>
      </c>
      <c r="AK227" s="11">
        <f t="shared" si="127"/>
        <v>0.78500810030954316</v>
      </c>
      <c r="AL227" s="11">
        <f t="shared" si="138"/>
        <v>-0.24206124238730767</v>
      </c>
      <c r="AM227" s="11">
        <v>0.31528575542025067</v>
      </c>
      <c r="AN227" s="11">
        <f t="shared" si="128"/>
        <v>1.0871922600698301</v>
      </c>
      <c r="AO227" s="11">
        <f t="shared" si="139"/>
        <v>8.3598464688386942E-2</v>
      </c>
      <c r="AP227" s="11">
        <v>0.27969243531826776</v>
      </c>
      <c r="AQ227" s="11">
        <f t="shared" si="129"/>
        <v>0.96445667351126818</v>
      </c>
      <c r="AR227" s="11">
        <f t="shared" si="140"/>
        <v>-3.6190368836352974E-2</v>
      </c>
      <c r="AS227" s="11">
        <v>0.45437809946926089</v>
      </c>
      <c r="AT227" s="11">
        <f t="shared" si="130"/>
        <v>1.566821032652624</v>
      </c>
      <c r="AU227" s="11">
        <f t="shared" si="141"/>
        <v>0.44904874667439398</v>
      </c>
      <c r="AZ227" t="b">
        <f t="shared" si="118"/>
        <v>0</v>
      </c>
      <c r="BB227" t="b">
        <f t="shared" si="119"/>
        <v>1</v>
      </c>
      <c r="BD227" t="b">
        <f t="shared" si="120"/>
        <v>1</v>
      </c>
    </row>
    <row r="228" spans="1:56">
      <c r="A228" s="88"/>
      <c r="B228" s="5">
        <f>'[50]Dados de entrada'!$B$28</f>
        <v>20</v>
      </c>
      <c r="C228" s="5">
        <f>'[50]Dados de entrada'!$B$31</f>
        <v>3</v>
      </c>
      <c r="D228" s="5">
        <f>'[50]Dados de entrada'!$B$32</f>
        <v>12</v>
      </c>
      <c r="E228" s="11">
        <f>'[50]Dados de entrada'!$B$27</f>
        <v>3.42</v>
      </c>
      <c r="F228" s="5">
        <f>'[50]Dados de entrada'!$B$30</f>
        <v>25</v>
      </c>
      <c r="G228" s="5">
        <f>'[50]Dados de entrada'!$B$22</f>
        <v>35</v>
      </c>
      <c r="H228" s="78">
        <f>'[50]Dados de entrada'!$B$29/(2*'[50]Dados de entrada'!$B$20*G228)</f>
        <v>8.9714285714285719E-2</v>
      </c>
      <c r="I228" s="53">
        <v>468.42539367582907</v>
      </c>
      <c r="J228" s="4">
        <v>0.31</v>
      </c>
      <c r="K228" s="11">
        <v>0.19987023271441262</v>
      </c>
      <c r="L228" s="11">
        <f t="shared" si="142"/>
        <v>0.64474268617552455</v>
      </c>
      <c r="M228" s="29">
        <f t="shared" si="131"/>
        <v>-0.43890397794454256</v>
      </c>
      <c r="N228" s="11">
        <v>0.27318096264481179</v>
      </c>
      <c r="O228" s="11">
        <f t="shared" si="116"/>
        <v>0.88122891175745743</v>
      </c>
      <c r="P228" s="11">
        <f t="shared" si="132"/>
        <v>-0.12643785506259944</v>
      </c>
      <c r="Q228" s="11">
        <v>0.24170322553844709</v>
      </c>
      <c r="R228" s="11">
        <f t="shared" si="123"/>
        <v>0.77968782431757122</v>
      </c>
      <c r="S228" s="11">
        <f t="shared" si="133"/>
        <v>-0.24886166464387741</v>
      </c>
      <c r="T228" s="11">
        <v>0.28989246541505231</v>
      </c>
      <c r="U228" s="11">
        <v>0.76034164665905757</v>
      </c>
      <c r="V228" s="11">
        <v>0.93513698520984623</v>
      </c>
      <c r="W228" s="11">
        <f t="shared" si="134"/>
        <v>-6.7062252178910126E-2</v>
      </c>
      <c r="X228" s="11">
        <v>0.16456745163476608</v>
      </c>
      <c r="Y228" s="11">
        <f t="shared" si="124"/>
        <v>0.53086274720892279</v>
      </c>
      <c r="Z228" s="11">
        <f t="shared" si="135"/>
        <v>-0.63325177098440488</v>
      </c>
      <c r="AA228" s="11">
        <v>0.3905345535368821</v>
      </c>
      <c r="AB228" s="11">
        <f t="shared" si="121"/>
        <v>1.2597888823770391</v>
      </c>
      <c r="AC228" s="11">
        <f t="shared" si="122"/>
        <v>0.23094415325568587</v>
      </c>
      <c r="AD228" s="11">
        <v>0.29952537980914534</v>
      </c>
      <c r="AE228" s="11">
        <f t="shared" si="125"/>
        <v>0.9662109026101463</v>
      </c>
      <c r="AF228" s="11">
        <f t="shared" si="136"/>
        <v>-3.4373142915821456E-2</v>
      </c>
      <c r="AG228" s="11">
        <v>0.26545321730766425</v>
      </c>
      <c r="AH228" s="11">
        <f t="shared" si="126"/>
        <v>0.85630070099246536</v>
      </c>
      <c r="AI228" s="11">
        <f t="shared" si="137"/>
        <v>-0.15513367832079714</v>
      </c>
      <c r="AJ228" s="11">
        <v>0.24770696384950966</v>
      </c>
      <c r="AK228" s="11">
        <f t="shared" si="127"/>
        <v>0.79905472209519246</v>
      </c>
      <c r="AL228" s="11">
        <f t="shared" si="138"/>
        <v>-0.22432584733179692</v>
      </c>
      <c r="AM228" s="11">
        <v>0.34178035671606999</v>
      </c>
      <c r="AN228" s="11">
        <f t="shared" si="128"/>
        <v>1.1025172797292579</v>
      </c>
      <c r="AO228" s="11">
        <f t="shared" si="139"/>
        <v>9.7596001439857055E-2</v>
      </c>
      <c r="AP228" s="11">
        <v>0.30822042942034616</v>
      </c>
      <c r="AQ228" s="11">
        <f t="shared" si="129"/>
        <v>0.99425944974305214</v>
      </c>
      <c r="AR228" s="11">
        <f t="shared" si="140"/>
        <v>-5.7570905461898142E-3</v>
      </c>
      <c r="AS228" s="11">
        <v>0.5063722297513108</v>
      </c>
      <c r="AT228" s="11">
        <f t="shared" si="130"/>
        <v>1.6334588056493897</v>
      </c>
      <c r="AU228" s="11">
        <f t="shared" si="141"/>
        <v>0.49069973328332328</v>
      </c>
      <c r="AZ228" t="b">
        <f t="shared" si="118"/>
        <v>0</v>
      </c>
      <c r="BB228" t="b">
        <f t="shared" si="119"/>
        <v>1</v>
      </c>
      <c r="BD228" t="b">
        <f t="shared" si="120"/>
        <v>1</v>
      </c>
    </row>
    <row r="229" spans="1:56">
      <c r="A229" s="89"/>
      <c r="B229" s="5">
        <f>'[50]Dados de entrada'!$B$28</f>
        <v>20</v>
      </c>
      <c r="C229" s="5">
        <f>'[50]Dados de entrada'!$B$31</f>
        <v>3</v>
      </c>
      <c r="D229" s="5">
        <f>'[50]Dados de entrada'!$B$32</f>
        <v>12</v>
      </c>
      <c r="E229" s="11">
        <f>'[50]Dados de entrada'!$B$27</f>
        <v>3.42</v>
      </c>
      <c r="F229" s="5">
        <f>'[50]Dados de entrada'!$B$30</f>
        <v>25</v>
      </c>
      <c r="G229" s="5">
        <f>'[50]Dados de entrada'!$B$22</f>
        <v>35</v>
      </c>
      <c r="H229" s="78">
        <f>'[50]Dados de entrada'!$B$29/(2*'[50]Dados de entrada'!$B$20*G229)</f>
        <v>8.9714285714285719E-2</v>
      </c>
      <c r="I229" s="53">
        <v>501.10623509507292</v>
      </c>
      <c r="J229" s="4">
        <v>0.37</v>
      </c>
      <c r="K229" s="11">
        <v>0.21475249868629306</v>
      </c>
      <c r="L229" s="11">
        <f t="shared" si="142"/>
        <v>0.58041215861160289</v>
      </c>
      <c r="M229" s="29">
        <f t="shared" si="131"/>
        <v>-0.5440168095154343</v>
      </c>
      <c r="N229" s="11">
        <v>0.294742965854767</v>
      </c>
      <c r="O229" s="11">
        <f t="shared" si="116"/>
        <v>0.79660261041828917</v>
      </c>
      <c r="P229" s="11">
        <f t="shared" si="132"/>
        <v>-0.22739933129006387</v>
      </c>
      <c r="Q229" s="11">
        <v>0.2597003611792722</v>
      </c>
      <c r="R229" s="11">
        <f t="shared" si="123"/>
        <v>0.70189286805208706</v>
      </c>
      <c r="S229" s="11">
        <f t="shared" si="133"/>
        <v>-0.35397449621476929</v>
      </c>
      <c r="T229" s="11">
        <v>0.3100043368965783</v>
      </c>
      <c r="U229" s="11">
        <v>0.86950175438596489</v>
      </c>
      <c r="V229" s="11">
        <v>0.83784955917994142</v>
      </c>
      <c r="W229" s="11">
        <f t="shared" si="134"/>
        <v>-0.17691671826797484</v>
      </c>
      <c r="X229" s="11">
        <v>0.17644287840526202</v>
      </c>
      <c r="Y229" s="11">
        <f t="shared" si="124"/>
        <v>0.47687264433854598</v>
      </c>
      <c r="Z229" s="11">
        <f t="shared" si="135"/>
        <v>-0.7405058167437244</v>
      </c>
      <c r="AA229" s="11">
        <v>0.41853991678622454</v>
      </c>
      <c r="AB229" s="11">
        <f t="shared" si="121"/>
        <v>1.1311889642870934</v>
      </c>
      <c r="AC229" s="11">
        <f t="shared" si="122"/>
        <v>0.12326926035506354</v>
      </c>
      <c r="AD229" s="11">
        <v>0.32042249933071365</v>
      </c>
      <c r="AE229" s="11">
        <f t="shared" si="125"/>
        <v>0.86600675494787471</v>
      </c>
      <c r="AF229" s="11">
        <f t="shared" si="136"/>
        <v>-0.14386257027936705</v>
      </c>
      <c r="AG229" s="11">
        <v>0.28570233098560849</v>
      </c>
      <c r="AH229" s="11">
        <f t="shared" si="126"/>
        <v>0.77216846212326617</v>
      </c>
      <c r="AI229" s="11">
        <f t="shared" si="137"/>
        <v>-0.25855253757725344</v>
      </c>
      <c r="AJ229" s="11">
        <v>0.26575611713327757</v>
      </c>
      <c r="AK229" s="11">
        <f t="shared" si="127"/>
        <v>0.71825977603588531</v>
      </c>
      <c r="AL229" s="11">
        <f t="shared" si="138"/>
        <v>-0.33092397030567505</v>
      </c>
      <c r="AM229" s="11">
        <v>0.36562549788230742</v>
      </c>
      <c r="AN229" s="11">
        <f t="shared" si="128"/>
        <v>0.98817702130353358</v>
      </c>
      <c r="AO229" s="11">
        <f t="shared" si="139"/>
        <v>-1.1893425923688517E-2</v>
      </c>
      <c r="AP229" s="11">
        <v>0.33061738255264667</v>
      </c>
      <c r="AQ229" s="11">
        <f t="shared" si="129"/>
        <v>0.89356049338553156</v>
      </c>
      <c r="AR229" s="11">
        <f t="shared" si="140"/>
        <v>-0.11254124282942926</v>
      </c>
      <c r="AS229" s="11">
        <v>0.55459810298498535</v>
      </c>
      <c r="AT229" s="11">
        <f t="shared" si="130"/>
        <v>1.4989137918513118</v>
      </c>
      <c r="AU229" s="11">
        <f t="shared" si="141"/>
        <v>0.40474070702725351</v>
      </c>
      <c r="AZ229" t="b">
        <f t="shared" si="118"/>
        <v>0</v>
      </c>
      <c r="BB229" t="b">
        <f t="shared" si="119"/>
        <v>1</v>
      </c>
      <c r="BD229" t="b">
        <f t="shared" si="120"/>
        <v>1</v>
      </c>
    </row>
    <row r="230" spans="1:56">
      <c r="A230" s="85" t="s">
        <v>96</v>
      </c>
      <c r="B230" s="21">
        <f>'[51]Dados de entrada'!$B$28</f>
        <v>16</v>
      </c>
      <c r="C230" s="21">
        <f>'[51]Dados de entrada'!$B$31</f>
        <v>2</v>
      </c>
      <c r="D230" s="21">
        <f>'[51]Dados de entrada'!$B$32</f>
        <v>52</v>
      </c>
      <c r="E230" s="20">
        <f>'[51]Dados de entrada'!$B$27</f>
        <v>2.98</v>
      </c>
      <c r="F230" s="21">
        <f>'[51]Dados de entrada'!$B$30</f>
        <v>27</v>
      </c>
      <c r="G230" s="21">
        <f>'[51]Dados de entrada'!$B$22</f>
        <v>35</v>
      </c>
      <c r="H230" s="79">
        <f>'[51]Dados de entrada'!$B$29/(2*'[51]Dados de entrada'!$B$20*G230)</f>
        <v>3.8285714285714284E-2</v>
      </c>
      <c r="I230" s="27" cm="1">
        <f t="array" ref="I230:I232">'[51]fib Model Code 2010'!$K$5:$K$7</f>
        <v>370.74728404873275</v>
      </c>
      <c r="J230" s="19" cm="1">
        <f t="array" ref="J230:J232">'[51]Dados de entrada'!$C$7:$C$9</f>
        <v>0.16</v>
      </c>
      <c r="K230" s="20" cm="1">
        <f t="array" ref="K230:K232">'[51]fib Model Code 2010'!$L$5:$L$7</f>
        <v>0.23593566188489304</v>
      </c>
      <c r="L230" s="20">
        <f t="shared" si="142"/>
        <v>1.4745978867805816</v>
      </c>
      <c r="M230" s="54">
        <f t="shared" si="131"/>
        <v>0.38838533349262333</v>
      </c>
      <c r="N230" s="20" cm="1">
        <f t="array" ref="N230:N232">'[51]fib Model Code 2020'!$L$5:$L$7</f>
        <v>0.2505652204437212</v>
      </c>
      <c r="O230" s="20">
        <f t="shared" si="116"/>
        <v>1.5660326277732575</v>
      </c>
      <c r="P230" s="20">
        <f t="shared" si="132"/>
        <v>0.44854543245581485</v>
      </c>
      <c r="Q230" s="20" cm="1">
        <f t="array" ref="Q230:Q232">'[51]Eurocode 2'!$L$5:$L$7</f>
        <v>0.23898546695454101</v>
      </c>
      <c r="R230" s="20">
        <f t="shared" si="123"/>
        <v>1.4936591684658813</v>
      </c>
      <c r="S230" s="20">
        <f t="shared" si="133"/>
        <v>0.40122892712723357</v>
      </c>
      <c r="T230" s="20" cm="1">
        <f t="array" ref="T230:T232">'[51]NBR 6118'!$Q$5:$Q$7</f>
        <v>0.28536096598764171</v>
      </c>
      <c r="U230" s="20" cm="1">
        <f t="array" ref="U230:U232">'[51]NBR 6118'!$R$5:$R$7</f>
        <v>0.4337415561139179</v>
      </c>
      <c r="V230" s="20" cm="1">
        <f t="array" ref="V230:V232">'[51]NBR 6118'!$W$5:$W$7</f>
        <v>1.7835060374227607</v>
      </c>
      <c r="W230" s="20">
        <f t="shared" si="134"/>
        <v>0.57858111096541687</v>
      </c>
      <c r="X230" s="20" cm="1">
        <f t="array" ref="X230:X232">'[51]Clark (1956)'!$L$5:$L$7</f>
        <v>0.23059971471306279</v>
      </c>
      <c r="Y230" s="20">
        <f t="shared" si="124"/>
        <v>1.4412482169566423</v>
      </c>
      <c r="Z230" s="20">
        <f t="shared" si="135"/>
        <v>0.36550955544972796</v>
      </c>
      <c r="AA230" s="20" cm="1">
        <f t="array" ref="AA230:AA232">'[51]Leonhardt (1977)'!$L$5:$L$7</f>
        <v>0.38576330504641754</v>
      </c>
      <c r="AB230" s="20">
        <f t="shared" ref="AB230:AB261" si="143">AA230/J230</f>
        <v>2.4110206565401096</v>
      </c>
      <c r="AC230" s="20">
        <f t="shared" si="122"/>
        <v>0.8800501667857703</v>
      </c>
      <c r="AD230" s="20" cm="1">
        <f t="array" ref="AD230:AD232">'[51]Desayi; Ganesan (1985)'!$L$5:$L$7</f>
        <v>0.30168752538416338</v>
      </c>
      <c r="AE230" s="20">
        <f t="shared" si="125"/>
        <v>1.8855470336510212</v>
      </c>
      <c r="AF230" s="20">
        <f t="shared" si="136"/>
        <v>0.6342179823274684</v>
      </c>
      <c r="AG230" s="20" cm="1">
        <f t="array" ref="AG230:AG232">'[51]Oh; Kang (1987)'!$L$5:$L$7</f>
        <v>0.24176316091598563</v>
      </c>
      <c r="AH230" s="20">
        <f t="shared" si="126"/>
        <v>1.5110197557249101</v>
      </c>
      <c r="AI230" s="20">
        <f t="shared" si="137"/>
        <v>0.41278475780798313</v>
      </c>
      <c r="AJ230" s="20" cm="1">
        <f t="array" ref="AJ230:AJ232">'[51]Caldas (1997)'!$L$5:$L$7</f>
        <v>0.19261684920443534</v>
      </c>
      <c r="AK230" s="20">
        <f t="shared" si="127"/>
        <v>1.2038553075277207</v>
      </c>
      <c r="AL230" s="20">
        <f t="shared" si="138"/>
        <v>0.18552916319286575</v>
      </c>
      <c r="AM230" s="20" cm="1">
        <f t="array" ref="AM230:AM232">'[51]Gergely e Lutz (1968)'!$L$5:$L$7</f>
        <v>0.29314095694596359</v>
      </c>
      <c r="AN230" s="20">
        <f t="shared" si="128"/>
        <v>1.8321309809122723</v>
      </c>
      <c r="AO230" s="20">
        <f t="shared" si="139"/>
        <v>0.60547975982736502</v>
      </c>
      <c r="AP230" s="20" cm="1">
        <f t="array" ref="AP230:AP232">[51]Sugestão!$M$5:$M$7</f>
        <v>0.3001831883229612</v>
      </c>
      <c r="AQ230" s="20">
        <f t="shared" si="129"/>
        <v>1.8761449270185075</v>
      </c>
      <c r="AR230" s="20">
        <f t="shared" si="140"/>
        <v>0.62921910080831722</v>
      </c>
      <c r="AS230" s="20" cm="1">
        <f t="array" ref="AS230:AS232">'[51]fib Model Code 2020 modificado'!$L$5:$L$7</f>
        <v>0.36956004236325091</v>
      </c>
      <c r="AT230" s="20">
        <f t="shared" si="130"/>
        <v>2.3097502647703183</v>
      </c>
      <c r="AU230" s="20">
        <f t="shared" si="141"/>
        <v>0.8371394082003023</v>
      </c>
      <c r="AZ230" t="b">
        <f t="shared" si="118"/>
        <v>0</v>
      </c>
      <c r="BB230" t="b">
        <f t="shared" si="119"/>
        <v>1</v>
      </c>
      <c r="BD230" t="b">
        <f t="shared" si="120"/>
        <v>1</v>
      </c>
    </row>
    <row r="231" spans="1:56">
      <c r="A231" s="90"/>
      <c r="B231" s="21">
        <f>'[51]Dados de entrada'!$B$28</f>
        <v>16</v>
      </c>
      <c r="C231" s="21">
        <f>'[51]Dados de entrada'!$B$31</f>
        <v>2</v>
      </c>
      <c r="D231" s="21">
        <f>'[51]Dados de entrada'!$B$32</f>
        <v>52</v>
      </c>
      <c r="E231" s="20">
        <f>'[51]Dados de entrada'!$B$27</f>
        <v>2.98</v>
      </c>
      <c r="F231" s="21">
        <f>'[51]Dados de entrada'!$B$30</f>
        <v>27</v>
      </c>
      <c r="G231" s="21">
        <f>'[51]Dados de entrada'!$B$22</f>
        <v>35</v>
      </c>
      <c r="H231" s="79">
        <f>'[51]Dados de entrada'!$B$29/(2*'[51]Dados de entrada'!$B$20*G231)</f>
        <v>3.8285714285714284E-2</v>
      </c>
      <c r="I231" s="27">
        <v>443.28479614522388</v>
      </c>
      <c r="J231" s="19">
        <v>0.2</v>
      </c>
      <c r="K231" s="20">
        <v>0.28908411538548223</v>
      </c>
      <c r="L231" s="20">
        <f t="shared" si="142"/>
        <v>1.4454205769274111</v>
      </c>
      <c r="M231" s="54">
        <f t="shared" si="131"/>
        <v>0.36840033591278237</v>
      </c>
      <c r="N231" s="20">
        <v>0.31490001064532835</v>
      </c>
      <c r="O231" s="20">
        <f t="shared" ref="O231:O247" si="144">N231/J231</f>
        <v>1.5745000532266418</v>
      </c>
      <c r="P231" s="20">
        <f t="shared" si="132"/>
        <v>0.45393779536436679</v>
      </c>
      <c r="Q231" s="20">
        <v>0.2928209400503668</v>
      </c>
      <c r="R231" s="20">
        <f t="shared" si="123"/>
        <v>1.4641047002518339</v>
      </c>
      <c r="S231" s="20">
        <f t="shared" si="133"/>
        <v>0.3812439295473925</v>
      </c>
      <c r="T231" s="20">
        <v>0.34119245933304981</v>
      </c>
      <c r="U231" s="20">
        <v>0.62007004123090814</v>
      </c>
      <c r="V231" s="20">
        <v>1.705962296665249</v>
      </c>
      <c r="W231" s="20">
        <f t="shared" si="134"/>
        <v>0.53412934839458281</v>
      </c>
      <c r="X231" s="20">
        <v>0.2800118348934188</v>
      </c>
      <c r="Y231" s="20">
        <f t="shared" si="124"/>
        <v>1.4000591744670938</v>
      </c>
      <c r="Z231" s="20">
        <f t="shared" si="135"/>
        <v>0.33651450320446391</v>
      </c>
      <c r="AA231" s="20">
        <v>0.46907891597074758</v>
      </c>
      <c r="AB231" s="20">
        <f t="shared" si="143"/>
        <v>2.3453945798537377</v>
      </c>
      <c r="AC231" s="20">
        <f t="shared" si="122"/>
        <v>0.85245365207334023</v>
      </c>
      <c r="AD231" s="20">
        <v>0.36071334556802137</v>
      </c>
      <c r="AE231" s="20">
        <f t="shared" si="125"/>
        <v>1.8035667278401069</v>
      </c>
      <c r="AF231" s="20">
        <f t="shared" si="136"/>
        <v>0.58976621975663435</v>
      </c>
      <c r="AG231" s="20">
        <v>0.29478520842838585</v>
      </c>
      <c r="AH231" s="20">
        <f t="shared" si="126"/>
        <v>1.4739260421419291</v>
      </c>
      <c r="AI231" s="20">
        <f t="shared" si="137"/>
        <v>0.38792961757070771</v>
      </c>
      <c r="AJ231" s="20">
        <v>0.23263380499637751</v>
      </c>
      <c r="AK231" s="20">
        <f t="shared" si="127"/>
        <v>1.1631690249818876</v>
      </c>
      <c r="AL231" s="20">
        <f t="shared" si="138"/>
        <v>0.1511481983004373</v>
      </c>
      <c r="AM231" s="20">
        <v>0.3504946224353912</v>
      </c>
      <c r="AN231" s="20">
        <f t="shared" si="128"/>
        <v>1.7524731121769559</v>
      </c>
      <c r="AO231" s="20">
        <f t="shared" si="139"/>
        <v>0.56102799725653096</v>
      </c>
      <c r="AP231" s="20">
        <v>0.3844332818818173</v>
      </c>
      <c r="AQ231" s="20">
        <f t="shared" si="129"/>
        <v>1.9221664094090865</v>
      </c>
      <c r="AR231" s="20">
        <f t="shared" si="140"/>
        <v>0.65345288817844638</v>
      </c>
      <c r="AS231" s="20">
        <v>0.47161471405057648</v>
      </c>
      <c r="AT231" s="20">
        <f t="shared" si="130"/>
        <v>2.3580735702528823</v>
      </c>
      <c r="AU231" s="20">
        <f t="shared" si="141"/>
        <v>0.85784500190534041</v>
      </c>
      <c r="AZ231" t="b">
        <f t="shared" si="118"/>
        <v>0</v>
      </c>
      <c r="BB231" t="b">
        <f t="shared" si="119"/>
        <v>1</v>
      </c>
      <c r="BD231" t="b">
        <f t="shared" si="120"/>
        <v>1</v>
      </c>
    </row>
    <row r="232" spans="1:56">
      <c r="A232" s="86"/>
      <c r="B232" s="21">
        <f>'[51]Dados de entrada'!$B$28</f>
        <v>16</v>
      </c>
      <c r="C232" s="21">
        <f>'[51]Dados de entrada'!$B$31</f>
        <v>2</v>
      </c>
      <c r="D232" s="21">
        <f>'[51]Dados de entrada'!$B$32</f>
        <v>52</v>
      </c>
      <c r="E232" s="20">
        <f>'[51]Dados de entrada'!$B$27</f>
        <v>2.98</v>
      </c>
      <c r="F232" s="21">
        <f>'[51]Dados de entrada'!$B$30</f>
        <v>27</v>
      </c>
      <c r="G232" s="21">
        <f>'[51]Dados de entrada'!$B$22</f>
        <v>35</v>
      </c>
      <c r="H232" s="79">
        <f>'[51]Dados de entrada'!$B$29/(2*'[51]Dados de entrada'!$B$20*G232)</f>
        <v>3.8285714285714284E-2</v>
      </c>
      <c r="I232" s="27">
        <v>523.88203180799201</v>
      </c>
      <c r="J232" s="19">
        <v>0.26</v>
      </c>
      <c r="K232" s="20">
        <v>0.34813795260835928</v>
      </c>
      <c r="L232" s="20">
        <f t="shared" si="142"/>
        <v>1.3389921254167665</v>
      </c>
      <c r="M232" s="54">
        <f t="shared" si="131"/>
        <v>0.29191718574832703</v>
      </c>
      <c r="N232" s="20">
        <v>0.38638311086933647</v>
      </c>
      <c r="O232" s="20">
        <f t="shared" si="144"/>
        <v>1.4860888879589864</v>
      </c>
      <c r="P232" s="20">
        <f t="shared" si="132"/>
        <v>0.39614776143728342</v>
      </c>
      <c r="Q232" s="20">
        <v>0.35263813237906227</v>
      </c>
      <c r="R232" s="20">
        <f t="shared" si="123"/>
        <v>1.3563005091502394</v>
      </c>
      <c r="S232" s="20">
        <f t="shared" si="133"/>
        <v>0.30476077938293689</v>
      </c>
      <c r="T232" s="20">
        <v>0.38713656797945217</v>
      </c>
      <c r="U232" s="20">
        <v>0.79830765100671142</v>
      </c>
      <c r="V232" s="20">
        <v>1.4889867999209698</v>
      </c>
      <c r="W232" s="20">
        <f t="shared" si="134"/>
        <v>0.39809588859942713</v>
      </c>
      <c r="X232" s="20">
        <v>0.33491419064937011</v>
      </c>
      <c r="Y232" s="20">
        <f t="shared" si="124"/>
        <v>1.2881315024975772</v>
      </c>
      <c r="Z232" s="20">
        <f t="shared" si="135"/>
        <v>0.25319272068289883</v>
      </c>
      <c r="AA232" s="20">
        <v>0.5604920778448782</v>
      </c>
      <c r="AB232" s="20">
        <f t="shared" si="143"/>
        <v>2.1557387609418392</v>
      </c>
      <c r="AC232" s="20">
        <f t="shared" si="122"/>
        <v>0.76813347731094461</v>
      </c>
      <c r="AD232" s="20">
        <v>0.42629759021675262</v>
      </c>
      <c r="AE232" s="20">
        <f t="shared" si="125"/>
        <v>1.6396061162182793</v>
      </c>
      <c r="AF232" s="20">
        <f t="shared" si="136"/>
        <v>0.49445603995230969</v>
      </c>
      <c r="AG232" s="20">
        <v>0.35369859455327513</v>
      </c>
      <c r="AH232" s="20">
        <f t="shared" si="126"/>
        <v>1.3603792098202889</v>
      </c>
      <c r="AI232" s="20">
        <f t="shared" si="137"/>
        <v>0.30776349163210398</v>
      </c>
      <c r="AJ232" s="20">
        <v>0.27709708920964671</v>
      </c>
      <c r="AK232" s="20">
        <f t="shared" si="127"/>
        <v>1.065758035421718</v>
      </c>
      <c r="AL232" s="20">
        <f t="shared" si="138"/>
        <v>6.3686316322038722E-2</v>
      </c>
      <c r="AM232" s="20">
        <v>0.41422091742364425</v>
      </c>
      <c r="AN232" s="20">
        <f t="shared" si="128"/>
        <v>1.5931573747063239</v>
      </c>
      <c r="AO232" s="20">
        <f t="shared" si="139"/>
        <v>0.46571781745220636</v>
      </c>
      <c r="AP232" s="20">
        <v>0.46464015145605214</v>
      </c>
      <c r="AQ232" s="20">
        <f t="shared" si="129"/>
        <v>1.7870775056002004</v>
      </c>
      <c r="AR232" s="20">
        <f t="shared" si="140"/>
        <v>0.58058160714509521</v>
      </c>
      <c r="AS232" s="20">
        <v>0.59055076202563694</v>
      </c>
      <c r="AT232" s="20">
        <f t="shared" si="130"/>
        <v>2.2713490847139881</v>
      </c>
      <c r="AU232" s="20">
        <f t="shared" si="141"/>
        <v>0.82037396540748853</v>
      </c>
      <c r="AZ232" t="b">
        <f t="shared" si="118"/>
        <v>0</v>
      </c>
      <c r="BB232" t="b">
        <f t="shared" si="119"/>
        <v>1</v>
      </c>
      <c r="BD232" t="b">
        <f t="shared" si="120"/>
        <v>1</v>
      </c>
    </row>
    <row r="233" spans="1:56">
      <c r="A233" s="87" t="s">
        <v>97</v>
      </c>
      <c r="B233" s="5">
        <f>'[52]Dados de entrada'!$B$28</f>
        <v>20</v>
      </c>
      <c r="C233" s="5">
        <f>'[52]Dados de entrada'!$B$31</f>
        <v>2</v>
      </c>
      <c r="D233" s="5">
        <f>'[52]Dados de entrada'!$B$32</f>
        <v>44</v>
      </c>
      <c r="E233" s="11">
        <f>'[52]Dados de entrada'!$B$27</f>
        <v>2.98</v>
      </c>
      <c r="F233" s="5">
        <f>'[52]Dados de entrada'!$B$30</f>
        <v>25</v>
      </c>
      <c r="G233" s="5">
        <f>'[52]Dados de entrada'!$B$22</f>
        <v>35</v>
      </c>
      <c r="H233" s="78">
        <f>'[52]Dados de entrada'!$B$29/(2*'[52]Dados de entrada'!$B$20*G233)</f>
        <v>5.9809523809523812E-2</v>
      </c>
      <c r="I233" s="53" cm="1">
        <f t="array" ref="I233:I240">'[52]fib Model Code 2010'!$K$5:$K$12</f>
        <v>264.28009430947355</v>
      </c>
      <c r="J233" s="4" cm="1">
        <f t="array" ref="J233:J240">'[52]Dados de entrada'!$C$7:$C$14</f>
        <v>0.17</v>
      </c>
      <c r="K233" s="11" cm="1">
        <f t="array" ref="K233:K240">'[52]fib Model Code 2010'!$L$5:$L$12</f>
        <v>0.13662419439598317</v>
      </c>
      <c r="L233" s="11">
        <f t="shared" si="142"/>
        <v>0.80367173174107742</v>
      </c>
      <c r="M233" s="29">
        <f t="shared" si="131"/>
        <v>-0.21856438703218276</v>
      </c>
      <c r="N233" s="11" cm="1">
        <f t="array" ref="N233:N240">'[52]fib Model Code 2020'!$L$5:$L$12</f>
        <v>0.15414349743096403</v>
      </c>
      <c r="O233" s="11">
        <f t="shared" si="144"/>
        <v>0.90672645547625896</v>
      </c>
      <c r="P233" s="11">
        <f t="shared" si="132"/>
        <v>-9.7914466994391894E-2</v>
      </c>
      <c r="Q233" s="11" cm="1">
        <f t="array" ref="Q233:Q240">'[52]Eurocode 2'!$L$5:$L$12</f>
        <v>0.14637788590728448</v>
      </c>
      <c r="R233" s="11">
        <f t="shared" si="123"/>
        <v>0.86104638768990871</v>
      </c>
      <c r="S233" s="11">
        <f t="shared" si="133"/>
        <v>-0.14960689947850639</v>
      </c>
      <c r="T233" s="11" cm="1">
        <f t="array" ref="T233:T240">'[52]NBR 6118'!$Q$5:$Q$12</f>
        <v>0.20117179661976903</v>
      </c>
      <c r="U233" s="11" cm="1">
        <f t="array" ref="U233:U240">'[52]NBR 6118'!$R$5:$R$12</f>
        <v>0.27855986364060603</v>
      </c>
      <c r="V233" s="11" cm="1">
        <f t="array" ref="V233:V240">'[52]NBR 6118'!$W$5:$W$12</f>
        <v>1.183363509528053</v>
      </c>
      <c r="W233" s="11">
        <f t="shared" si="134"/>
        <v>0.16836081550369181</v>
      </c>
      <c r="X233" s="11" cm="1">
        <f t="array" ref="X233:X240">'[52]Clark (1956)'!$L$5:$L$12</f>
        <v>0.13219403671847585</v>
      </c>
      <c r="Y233" s="11">
        <f t="shared" si="124"/>
        <v>0.77761198069691673</v>
      </c>
      <c r="Z233" s="11">
        <f t="shared" si="135"/>
        <v>-0.25152761867975709</v>
      </c>
      <c r="AA233" s="11" cm="1">
        <f t="array" ref="AA233:AA240">'[52]Leonhardt (1977)'!$L$5:$L$12</f>
        <v>0.25805122845267203</v>
      </c>
      <c r="AB233" s="11">
        <f t="shared" si="143"/>
        <v>1.5179484026627765</v>
      </c>
      <c r="AC233" s="11">
        <f t="shared" si="122"/>
        <v>0.41735968805502655</v>
      </c>
      <c r="AD233" s="11" cm="1">
        <f t="array" ref="AD233:AD240">'[52]Desayi; Ganesan (1985)'!$L$5:$L$12</f>
        <v>0.20111319768091604</v>
      </c>
      <c r="AE233" s="11">
        <f t="shared" si="125"/>
        <v>1.1830188098877412</v>
      </c>
      <c r="AF233" s="11">
        <f t="shared" si="136"/>
        <v>0.1680694850285428</v>
      </c>
      <c r="AG233" s="11" cm="1">
        <f t="array" ref="AG233:AG240">'[52]Oh; Kang (1987)'!$L$5:$L$12</f>
        <v>0.17846102513414572</v>
      </c>
      <c r="AH233" s="11">
        <f t="shared" si="126"/>
        <v>1.04977073608321</v>
      </c>
      <c r="AI233" s="11">
        <f t="shared" si="137"/>
        <v>4.8571793740926392E-2</v>
      </c>
      <c r="AJ233" s="11" cm="1">
        <f t="array" ref="AJ233:AJ240">'[52]Caldas (1997)'!$L$5:$L$12</f>
        <v>0.13481319117710291</v>
      </c>
      <c r="AK233" s="11">
        <f t="shared" si="127"/>
        <v>0.79301877163001711</v>
      </c>
      <c r="AL233" s="11">
        <f t="shared" si="138"/>
        <v>-0.23190838596287197</v>
      </c>
      <c r="AM233" s="11" cm="1">
        <f t="array" ref="AM233:AM240">'[52]Gergely e Lutz (1968)'!$L$5:$L$12</f>
        <v>0.21360585337041593</v>
      </c>
      <c r="AN233" s="11">
        <f t="shared" si="128"/>
        <v>1.256505019825976</v>
      </c>
      <c r="AO233" s="11">
        <f t="shared" si="139"/>
        <v>0.22833407307986131</v>
      </c>
      <c r="AP233" s="11" cm="1">
        <f t="array" ref="AP233:AP240">[52]Sugestão!$M$5:$M$12</f>
        <v>0.16693000107002398</v>
      </c>
      <c r="AQ233" s="11">
        <f t="shared" si="129"/>
        <v>0.98194118276484688</v>
      </c>
      <c r="AR233" s="11">
        <f t="shared" si="140"/>
        <v>-1.8223867772949116E-2</v>
      </c>
      <c r="AS233" s="11" cm="1">
        <f t="array" ref="AS233:AS240">'[52]fib Model Code 2020 modificado'!$L$5:$L$12</f>
        <v>0.26623829658196496</v>
      </c>
      <c r="AT233" s="11">
        <f t="shared" si="130"/>
        <v>1.566107626952735</v>
      </c>
      <c r="AU233" s="11">
        <f t="shared" si="141"/>
        <v>0.4485933225075957</v>
      </c>
      <c r="AZ233" t="b">
        <f t="shared" si="118"/>
        <v>0</v>
      </c>
      <c r="BB233" t="b">
        <f t="shared" si="119"/>
        <v>1</v>
      </c>
      <c r="BD233" t="b">
        <f t="shared" si="120"/>
        <v>1</v>
      </c>
    </row>
    <row r="234" spans="1:56">
      <c r="A234" s="88"/>
      <c r="B234" s="5">
        <f>'[52]Dados de entrada'!$B$28</f>
        <v>20</v>
      </c>
      <c r="C234" s="5">
        <f>'[52]Dados de entrada'!$B$31</f>
        <v>2</v>
      </c>
      <c r="D234" s="5">
        <f>'[52]Dados de entrada'!$B$32</f>
        <v>44</v>
      </c>
      <c r="E234" s="11">
        <f>'[52]Dados de entrada'!$B$27</f>
        <v>2.98</v>
      </c>
      <c r="F234" s="5">
        <f>'[52]Dados de entrada'!$B$30</f>
        <v>25</v>
      </c>
      <c r="G234" s="5">
        <f>'[52]Dados de entrada'!$B$22</f>
        <v>35</v>
      </c>
      <c r="H234" s="78">
        <f>'[52]Dados de entrada'!$B$29/(2*'[52]Dados de entrada'!$B$20*G234)</f>
        <v>5.9809523809523812E-2</v>
      </c>
      <c r="I234" s="53">
        <v>301.27930751279979</v>
      </c>
      <c r="J234" s="4">
        <v>0.19</v>
      </c>
      <c r="K234" s="11">
        <v>0.15853100890336841</v>
      </c>
      <c r="L234" s="11">
        <f t="shared" si="142"/>
        <v>0.83437373107036006</v>
      </c>
      <c r="M234" s="29">
        <f t="shared" si="131"/>
        <v>-0.18107385820922889</v>
      </c>
      <c r="N234" s="11">
        <v>0.18259499046456978</v>
      </c>
      <c r="O234" s="11">
        <f t="shared" si="144"/>
        <v>0.96102626560299886</v>
      </c>
      <c r="P234" s="11">
        <f t="shared" si="132"/>
        <v>-3.9753538852566925E-2</v>
      </c>
      <c r="Q234" s="11">
        <v>0.16984864237710898</v>
      </c>
      <c r="R234" s="11">
        <f t="shared" si="123"/>
        <v>0.8939402230374156</v>
      </c>
      <c r="S234" s="11">
        <f t="shared" si="133"/>
        <v>-0.11211637065555263</v>
      </c>
      <c r="T234" s="11">
        <v>0.22933584814653671</v>
      </c>
      <c r="U234" s="11">
        <v>0.36201639878733166</v>
      </c>
      <c r="V234" s="11">
        <v>1.2070307797186142</v>
      </c>
      <c r="W234" s="11">
        <f t="shared" si="134"/>
        <v>0.18816344279987157</v>
      </c>
      <c r="X234" s="11">
        <v>0.15236096455207232</v>
      </c>
      <c r="Y234" s="11">
        <f t="shared" si="124"/>
        <v>0.8018998134319596</v>
      </c>
      <c r="Z234" s="11">
        <f t="shared" si="135"/>
        <v>-0.22077159982667008</v>
      </c>
      <c r="AA234" s="11">
        <v>0.29877103473588551</v>
      </c>
      <c r="AB234" s="11">
        <f t="shared" si="143"/>
        <v>1.572479130188871</v>
      </c>
      <c r="AC234" s="11">
        <f t="shared" si="122"/>
        <v>0.45265343776440153</v>
      </c>
      <c r="AD234" s="11">
        <v>0.22926904535624426</v>
      </c>
      <c r="AE234" s="11">
        <f t="shared" si="125"/>
        <v>1.2066791860854962</v>
      </c>
      <c r="AF234" s="11">
        <f t="shared" si="136"/>
        <v>0.18787211232472262</v>
      </c>
      <c r="AG234" s="11">
        <v>0.20790152246295171</v>
      </c>
      <c r="AH234" s="11">
        <f t="shared" si="126"/>
        <v>1.0942185392786932</v>
      </c>
      <c r="AI234" s="11">
        <f t="shared" si="137"/>
        <v>9.0040445730788413E-2</v>
      </c>
      <c r="AJ234" s="11">
        <v>0.15526153557389136</v>
      </c>
      <c r="AK234" s="11">
        <f t="shared" si="127"/>
        <v>0.81716597670469138</v>
      </c>
      <c r="AL234" s="11">
        <f t="shared" si="138"/>
        <v>-0.20191305089377409</v>
      </c>
      <c r="AM234" s="11">
        <v>0.2435106728422741</v>
      </c>
      <c r="AN234" s="11">
        <f t="shared" si="128"/>
        <v>1.2816351202224951</v>
      </c>
      <c r="AO234" s="11">
        <f t="shared" si="139"/>
        <v>0.24813670037604077</v>
      </c>
      <c r="AP234" s="11">
        <v>0.201752540208612</v>
      </c>
      <c r="AQ234" s="11">
        <f t="shared" si="129"/>
        <v>1.0618554747821685</v>
      </c>
      <c r="AR234" s="11">
        <f t="shared" si="140"/>
        <v>6.0017825783229631E-2</v>
      </c>
      <c r="AS234" s="11">
        <v>0.31914657598887364</v>
      </c>
      <c r="AT234" s="11">
        <f t="shared" si="130"/>
        <v>1.6797188209940717</v>
      </c>
      <c r="AU234" s="11">
        <f t="shared" si="141"/>
        <v>0.51862641095159479</v>
      </c>
      <c r="AZ234" t="b">
        <f t="shared" si="118"/>
        <v>0</v>
      </c>
      <c r="BB234" t="b">
        <f t="shared" si="119"/>
        <v>1</v>
      </c>
      <c r="BD234" t="b">
        <f t="shared" si="120"/>
        <v>1</v>
      </c>
    </row>
    <row r="235" spans="1:56">
      <c r="A235" s="88"/>
      <c r="B235" s="5">
        <f>'[52]Dados de entrada'!$B$28</f>
        <v>20</v>
      </c>
      <c r="C235" s="5">
        <f>'[52]Dados de entrada'!$B$31</f>
        <v>2</v>
      </c>
      <c r="D235" s="5">
        <f>'[52]Dados de entrada'!$B$32</f>
        <v>44</v>
      </c>
      <c r="E235" s="11">
        <f>'[52]Dados de entrada'!$B$27</f>
        <v>2.98</v>
      </c>
      <c r="F235" s="5">
        <f>'[52]Dados de entrada'!$B$30</f>
        <v>25</v>
      </c>
      <c r="G235" s="5">
        <f>'[52]Dados de entrada'!$B$22</f>
        <v>35</v>
      </c>
      <c r="H235" s="78">
        <f>'[52]Dados de entrada'!$B$29/(2*'[52]Dados de entrada'!$B$20*G235)</f>
        <v>5.9809523809523812E-2</v>
      </c>
      <c r="I235" s="53">
        <v>348.84972448850499</v>
      </c>
      <c r="J235" s="4">
        <v>0.23</v>
      </c>
      <c r="K235" s="11">
        <v>0.18669691327000662</v>
      </c>
      <c r="L235" s="11">
        <f t="shared" si="142"/>
        <v>0.81172570986959391</v>
      </c>
      <c r="M235" s="29">
        <f t="shared" si="131"/>
        <v>-0.20859279161338823</v>
      </c>
      <c r="N235" s="11">
        <v>0.21917548150777719</v>
      </c>
      <c r="O235" s="11">
        <f t="shared" si="144"/>
        <v>0.95293687612077038</v>
      </c>
      <c r="P235" s="11">
        <f t="shared" si="132"/>
        <v>-4.8206614540831833E-2</v>
      </c>
      <c r="Q235" s="11">
        <v>0.20002532926688341</v>
      </c>
      <c r="R235" s="11">
        <f t="shared" si="123"/>
        <v>0.8696753446386235</v>
      </c>
      <c r="S235" s="11">
        <f t="shared" si="133"/>
        <v>-0.13963530405971164</v>
      </c>
      <c r="T235" s="11">
        <v>0.26554677153809503</v>
      </c>
      <c r="U235" s="11">
        <v>0.48536270640739188</v>
      </c>
      <c r="V235" s="11">
        <v>1.1545511806004132</v>
      </c>
      <c r="W235" s="11">
        <f t="shared" si="134"/>
        <v>0.14371168022903741</v>
      </c>
      <c r="X235" s="11">
        <v>0.17828987176669633</v>
      </c>
      <c r="Y235" s="11">
        <f t="shared" si="124"/>
        <v>0.77517335550737532</v>
      </c>
      <c r="Z235" s="11">
        <f t="shared" si="135"/>
        <v>-0.25466859011679793</v>
      </c>
      <c r="AA235" s="11">
        <v>0.35045615996932078</v>
      </c>
      <c r="AB235" s="11">
        <f t="shared" si="143"/>
        <v>1.5237224346492206</v>
      </c>
      <c r="AC235" s="11">
        <f t="shared" si="122"/>
        <v>0.42115631118160185</v>
      </c>
      <c r="AD235" s="11">
        <v>0.2654694209388091</v>
      </c>
      <c r="AE235" s="11">
        <f t="shared" si="125"/>
        <v>1.1542148736469959</v>
      </c>
      <c r="AF235" s="11">
        <f t="shared" si="136"/>
        <v>0.14342034975388843</v>
      </c>
      <c r="AG235" s="11">
        <v>0.24575359045713094</v>
      </c>
      <c r="AH235" s="11">
        <f t="shared" si="126"/>
        <v>1.0684938715527432</v>
      </c>
      <c r="AI235" s="11">
        <f t="shared" si="137"/>
        <v>6.6250060199309638E-2</v>
      </c>
      <c r="AJ235" s="11">
        <v>0.18155226408404798</v>
      </c>
      <c r="AK235" s="11">
        <f t="shared" si="127"/>
        <v>0.78935766993064338</v>
      </c>
      <c r="AL235" s="11">
        <f t="shared" si="138"/>
        <v>-0.23653574028383345</v>
      </c>
      <c r="AM235" s="11">
        <v>0.28195972644894896</v>
      </c>
      <c r="AN235" s="11">
        <f t="shared" si="128"/>
        <v>1.2259118541258649</v>
      </c>
      <c r="AO235" s="11">
        <f t="shared" si="139"/>
        <v>0.20368493780520691</v>
      </c>
      <c r="AP235" s="11">
        <v>0.24652437624393947</v>
      </c>
      <c r="AQ235" s="11">
        <f t="shared" si="129"/>
        <v>1.0718451141040846</v>
      </c>
      <c r="AR235" s="11">
        <f t="shared" si="140"/>
        <v>6.9381569098058538E-2</v>
      </c>
      <c r="AS235" s="11">
        <v>0.39033427880244653</v>
      </c>
      <c r="AT235" s="11">
        <f t="shared" si="130"/>
        <v>1.6971055600106371</v>
      </c>
      <c r="AU235" s="11">
        <f t="shared" si="141"/>
        <v>0.52892418821299159</v>
      </c>
      <c r="AZ235" t="b">
        <f t="shared" si="118"/>
        <v>0</v>
      </c>
      <c r="BB235" t="b">
        <f t="shared" si="119"/>
        <v>1</v>
      </c>
      <c r="BD235" t="b">
        <f t="shared" si="120"/>
        <v>1</v>
      </c>
    </row>
    <row r="236" spans="1:56">
      <c r="A236" s="88"/>
      <c r="B236" s="5">
        <f>'[52]Dados de entrada'!$B$28</f>
        <v>20</v>
      </c>
      <c r="C236" s="5">
        <f>'[52]Dados de entrada'!$B$31</f>
        <v>2</v>
      </c>
      <c r="D236" s="5">
        <f>'[52]Dados de entrada'!$B$32</f>
        <v>44</v>
      </c>
      <c r="E236" s="11">
        <f>'[52]Dados de entrada'!$B$27</f>
        <v>2.98</v>
      </c>
      <c r="F236" s="5">
        <f>'[52]Dados de entrada'!$B$30</f>
        <v>25</v>
      </c>
      <c r="G236" s="5">
        <f>'[52]Dados de entrada'!$B$22</f>
        <v>35</v>
      </c>
      <c r="H236" s="78">
        <f>'[52]Dados de entrada'!$B$29/(2*'[52]Dados de entrada'!$B$20*G236)</f>
        <v>5.9809523809523812E-2</v>
      </c>
      <c r="I236" s="53">
        <v>369.99213203326286</v>
      </c>
      <c r="J236" s="4">
        <v>0.25</v>
      </c>
      <c r="K236" s="11">
        <v>0.1992150929885125</v>
      </c>
      <c r="L236" s="11">
        <f t="shared" si="142"/>
        <v>0.79686037195405002</v>
      </c>
      <c r="M236" s="29">
        <f t="shared" si="131"/>
        <v>-0.22707580756737861</v>
      </c>
      <c r="N236" s="11">
        <v>0.23543347752698049</v>
      </c>
      <c r="O236" s="11">
        <f t="shared" si="144"/>
        <v>0.94173391010792196</v>
      </c>
      <c r="P236" s="11">
        <f t="shared" si="132"/>
        <v>-6.0032517655039225E-2</v>
      </c>
      <c r="Q236" s="11">
        <v>0.21343719010678314</v>
      </c>
      <c r="R236" s="11">
        <f t="shared" si="123"/>
        <v>0.85374876042713255</v>
      </c>
      <c r="S236" s="11">
        <f t="shared" si="133"/>
        <v>-0.15811832001370218</v>
      </c>
      <c r="T236" s="11">
        <v>0.28164051526767664</v>
      </c>
      <c r="U236" s="11">
        <v>0.54597733273558791</v>
      </c>
      <c r="V236" s="11">
        <v>1.1265620610707066</v>
      </c>
      <c r="W236" s="11">
        <f t="shared" si="134"/>
        <v>0.11917057131292012</v>
      </c>
      <c r="X236" s="11">
        <v>0.18981383052875145</v>
      </c>
      <c r="Y236" s="11">
        <f t="shared" si="124"/>
        <v>0.75925532211500579</v>
      </c>
      <c r="Z236" s="11">
        <f t="shared" si="135"/>
        <v>-0.27541716538047689</v>
      </c>
      <c r="AA236" s="11">
        <v>0.37325479006486861</v>
      </c>
      <c r="AB236" s="11">
        <f t="shared" si="143"/>
        <v>1.4930191602594745</v>
      </c>
      <c r="AC236" s="11">
        <f t="shared" si="122"/>
        <v>0.4008003518702013</v>
      </c>
      <c r="AD236" s="11">
        <v>0.28155847675328238</v>
      </c>
      <c r="AE236" s="11">
        <f t="shared" si="125"/>
        <v>1.1262339070131295</v>
      </c>
      <c r="AF236" s="11">
        <f t="shared" si="136"/>
        <v>0.11887924083777096</v>
      </c>
      <c r="AG236" s="11">
        <v>0.26257673178787727</v>
      </c>
      <c r="AH236" s="11">
        <f t="shared" si="126"/>
        <v>1.0503069271515091</v>
      </c>
      <c r="AI236" s="11">
        <f t="shared" si="137"/>
        <v>4.9082433027593783E-2</v>
      </c>
      <c r="AJ236" s="11">
        <v>0.19323703231078423</v>
      </c>
      <c r="AK236" s="11">
        <f t="shared" si="127"/>
        <v>0.77294812924313694</v>
      </c>
      <c r="AL236" s="11">
        <f t="shared" si="138"/>
        <v>-0.25754333582458216</v>
      </c>
      <c r="AM236" s="11">
        <v>0.29904819471858218</v>
      </c>
      <c r="AN236" s="11">
        <f t="shared" si="128"/>
        <v>1.1961927788743287</v>
      </c>
      <c r="AO236" s="11">
        <f t="shared" si="139"/>
        <v>0.17914382888908928</v>
      </c>
      <c r="AP236" s="11">
        <v>0.26642297003741838</v>
      </c>
      <c r="AQ236" s="11">
        <f t="shared" si="129"/>
        <v>1.0656918801496735</v>
      </c>
      <c r="AR236" s="11">
        <f t="shared" si="140"/>
        <v>6.3624240951107039E-2</v>
      </c>
      <c r="AS236" s="11">
        <v>0.42311536999509336</v>
      </c>
      <c r="AT236" s="11">
        <f t="shared" si="130"/>
        <v>1.6924614799803734</v>
      </c>
      <c r="AU236" s="11">
        <f t="shared" si="141"/>
        <v>0.52618396630179587</v>
      </c>
      <c r="AZ236" t="b">
        <f t="shared" si="118"/>
        <v>0</v>
      </c>
      <c r="BB236" t="b">
        <f t="shared" si="119"/>
        <v>1</v>
      </c>
      <c r="BD236" t="b">
        <f t="shared" si="120"/>
        <v>1</v>
      </c>
    </row>
    <row r="237" spans="1:56">
      <c r="A237" s="88"/>
      <c r="B237" s="5">
        <f>'[52]Dados de entrada'!$B$28</f>
        <v>20</v>
      </c>
      <c r="C237" s="5">
        <f>'[52]Dados de entrada'!$B$31</f>
        <v>2</v>
      </c>
      <c r="D237" s="5">
        <f>'[52]Dados de entrada'!$B$32</f>
        <v>44</v>
      </c>
      <c r="E237" s="11">
        <f>'[52]Dados de entrada'!$B$27</f>
        <v>2.98</v>
      </c>
      <c r="F237" s="5">
        <f>'[52]Dados de entrada'!$B$30</f>
        <v>25</v>
      </c>
      <c r="G237" s="5">
        <f>'[52]Dados de entrada'!$B$22</f>
        <v>35</v>
      </c>
      <c r="H237" s="78">
        <f>'[52]Dados de entrada'!$B$29/(2*'[52]Dados de entrada'!$B$20*G237)</f>
        <v>5.9809523809523812E-2</v>
      </c>
      <c r="I237" s="53">
        <v>401.7057433503997</v>
      </c>
      <c r="J237" s="4">
        <v>0.3</v>
      </c>
      <c r="K237" s="11">
        <v>0.21799236256627133</v>
      </c>
      <c r="L237" s="11">
        <f t="shared" si="142"/>
        <v>0.72664120855423775</v>
      </c>
      <c r="M237" s="29">
        <f t="shared" si="131"/>
        <v>-0.3193224465804933</v>
      </c>
      <c r="N237" s="11">
        <v>0.25982047155578547</v>
      </c>
      <c r="O237" s="11">
        <f t="shared" si="144"/>
        <v>0.86606823851928494</v>
      </c>
      <c r="P237" s="11">
        <f t="shared" si="132"/>
        <v>-0.14379157615767146</v>
      </c>
      <c r="Q237" s="11">
        <v>0.23355498136663277</v>
      </c>
      <c r="R237" s="11">
        <f t="shared" si="123"/>
        <v>0.77851660455544258</v>
      </c>
      <c r="S237" s="11">
        <f t="shared" si="133"/>
        <v>-0.25036495902681677</v>
      </c>
      <c r="T237" s="11">
        <v>0.30578113086204883</v>
      </c>
      <c r="U237" s="11">
        <v>0.64358470895525621</v>
      </c>
      <c r="V237" s="11">
        <v>1.0192704362068294</v>
      </c>
      <c r="W237" s="11">
        <f t="shared" si="134"/>
        <v>1.9087112755937295E-2</v>
      </c>
      <c r="X237" s="11">
        <v>0.20709976867183416</v>
      </c>
      <c r="Y237" s="11">
        <f t="shared" si="124"/>
        <v>0.69033256223944728</v>
      </c>
      <c r="Z237" s="11">
        <f t="shared" si="135"/>
        <v>-0.37058182324304989</v>
      </c>
      <c r="AA237" s="11">
        <v>0.40730342462417024</v>
      </c>
      <c r="AB237" s="11">
        <f t="shared" si="143"/>
        <v>1.3576780820805676</v>
      </c>
      <c r="AC237" s="11">
        <f t="shared" si="122"/>
        <v>0.30577594807519271</v>
      </c>
      <c r="AD237" s="11">
        <v>0.30569206047499231</v>
      </c>
      <c r="AE237" s="11">
        <f t="shared" si="125"/>
        <v>1.0189735349166411</v>
      </c>
      <c r="AF237" s="11">
        <f t="shared" si="136"/>
        <v>1.8795782280788528E-2</v>
      </c>
      <c r="AG237" s="11">
        <v>0.28781144378399676</v>
      </c>
      <c r="AH237" s="11">
        <f t="shared" si="126"/>
        <v>0.95937147927998923</v>
      </c>
      <c r="AI237" s="11">
        <f t="shared" si="137"/>
        <v>-4.1476918019183254E-2</v>
      </c>
      <c r="AJ237" s="11">
        <v>0.2107641846508887</v>
      </c>
      <c r="AK237" s="11">
        <f t="shared" si="127"/>
        <v>0.70254728216962903</v>
      </c>
      <c r="AL237" s="11">
        <f t="shared" si="138"/>
        <v>-0.35304257445961201</v>
      </c>
      <c r="AM237" s="11">
        <v>0.32468089712303211</v>
      </c>
      <c r="AN237" s="11">
        <f t="shared" si="128"/>
        <v>1.0822696570767738</v>
      </c>
      <c r="AO237" s="11">
        <f t="shared" si="139"/>
        <v>7.9060370332106902E-2</v>
      </c>
      <c r="AP237" s="11">
        <v>0.2962708607276367</v>
      </c>
      <c r="AQ237" s="11">
        <f t="shared" si="129"/>
        <v>0.98756953575878903</v>
      </c>
      <c r="AR237" s="11">
        <f t="shared" si="140"/>
        <v>-1.2508368727679959E-2</v>
      </c>
      <c r="AS237" s="11">
        <v>0.47360482851220842</v>
      </c>
      <c r="AT237" s="11">
        <f t="shared" si="130"/>
        <v>1.5786827617073615</v>
      </c>
      <c r="AU237" s="11">
        <f t="shared" si="141"/>
        <v>0.45659080419990078</v>
      </c>
      <c r="AZ237" t="b">
        <f t="shared" si="118"/>
        <v>0</v>
      </c>
      <c r="BB237" t="b">
        <f t="shared" si="119"/>
        <v>1</v>
      </c>
      <c r="BD237" t="b">
        <f t="shared" si="120"/>
        <v>1</v>
      </c>
    </row>
    <row r="238" spans="1:56">
      <c r="A238" s="88"/>
      <c r="B238" s="5">
        <f>'[52]Dados de entrada'!$B$28</f>
        <v>20</v>
      </c>
      <c r="C238" s="5">
        <f>'[52]Dados de entrada'!$B$31</f>
        <v>2</v>
      </c>
      <c r="D238" s="5">
        <f>'[52]Dados de entrada'!$B$32</f>
        <v>44</v>
      </c>
      <c r="E238" s="11">
        <f>'[52]Dados de entrada'!$B$27</f>
        <v>2.98</v>
      </c>
      <c r="F238" s="5">
        <f>'[52]Dados de entrada'!$B$30</f>
        <v>25</v>
      </c>
      <c r="G238" s="5">
        <f>'[52]Dados de entrada'!$B$22</f>
        <v>35</v>
      </c>
      <c r="H238" s="78">
        <f>'[52]Dados de entrada'!$B$29/(2*'[52]Dados de entrada'!$B$20*G238)</f>
        <v>5.9809523809523812E-2</v>
      </c>
      <c r="I238" s="53">
        <v>422.84815089515763</v>
      </c>
      <c r="J238" s="4">
        <v>0.32</v>
      </c>
      <c r="K238" s="11">
        <v>0.23051054228477727</v>
      </c>
      <c r="L238" s="11">
        <f t="shared" si="142"/>
        <v>0.720345444639929</v>
      </c>
      <c r="M238" s="29">
        <f t="shared" si="131"/>
        <v>-0.32802439780956127</v>
      </c>
      <c r="N238" s="11">
        <v>0.27607846757498877</v>
      </c>
      <c r="O238" s="11">
        <f t="shared" si="144"/>
        <v>0.86274521117183989</v>
      </c>
      <c r="P238" s="11">
        <f t="shared" si="132"/>
        <v>-0.14763586767507697</v>
      </c>
      <c r="Q238" s="11">
        <v>0.24696684220653253</v>
      </c>
      <c r="R238" s="11">
        <f t="shared" si="123"/>
        <v>0.77177138189541417</v>
      </c>
      <c r="S238" s="11">
        <f t="shared" si="133"/>
        <v>-0.25906691025588502</v>
      </c>
      <c r="T238" s="11">
        <v>0.32187487459163039</v>
      </c>
      <c r="U238" s="11">
        <v>0.71311325091995159</v>
      </c>
      <c r="V238" s="11">
        <v>1.0058589830988449</v>
      </c>
      <c r="W238" s="11">
        <f t="shared" si="134"/>
        <v>5.8418860059167256E-3</v>
      </c>
      <c r="X238" s="11">
        <v>0.2186237274338893</v>
      </c>
      <c r="Y238" s="11">
        <f t="shared" si="124"/>
        <v>0.68319914823090411</v>
      </c>
      <c r="Z238" s="11">
        <f t="shared" si="135"/>
        <v>-0.38096888324317923</v>
      </c>
      <c r="AA238" s="11">
        <v>0.42992039350916023</v>
      </c>
      <c r="AB238" s="11">
        <f t="shared" si="143"/>
        <v>1.3435012297161257</v>
      </c>
      <c r="AC238" s="11">
        <f t="shared" si="122"/>
        <v>0.29527906438086177</v>
      </c>
      <c r="AD238" s="11">
        <v>0.32178111628946565</v>
      </c>
      <c r="AE238" s="11">
        <f t="shared" si="125"/>
        <v>1.0055659884045802</v>
      </c>
      <c r="AF238" s="11">
        <f t="shared" si="136"/>
        <v>5.5505555307680714E-3</v>
      </c>
      <c r="AG238" s="11">
        <v>0.30463458511474312</v>
      </c>
      <c r="AH238" s="11">
        <f t="shared" si="126"/>
        <v>0.95198307848357222</v>
      </c>
      <c r="AI238" s="11">
        <f t="shared" si="137"/>
        <v>-4.9208019050873651E-2</v>
      </c>
      <c r="AJ238" s="11">
        <v>0.22244895287762498</v>
      </c>
      <c r="AK238" s="11">
        <f t="shared" si="127"/>
        <v>0.695152977742578</v>
      </c>
      <c r="AL238" s="11">
        <f t="shared" si="138"/>
        <v>-0.36362334577858169</v>
      </c>
      <c r="AM238" s="11">
        <v>0.34176936539266545</v>
      </c>
      <c r="AN238" s="11">
        <f t="shared" si="128"/>
        <v>1.0680292668520794</v>
      </c>
      <c r="AO238" s="11">
        <f t="shared" si="139"/>
        <v>6.5815143582086288E-2</v>
      </c>
      <c r="AP238" s="11">
        <v>0.31616945452111567</v>
      </c>
      <c r="AQ238" s="11">
        <f t="shared" si="129"/>
        <v>0.98802954537848642</v>
      </c>
      <c r="AR238" s="11">
        <f t="shared" si="140"/>
        <v>-1.2042677452154522E-2</v>
      </c>
      <c r="AS238" s="11">
        <v>0.5081430153423816</v>
      </c>
      <c r="AT238" s="11">
        <f t="shared" si="130"/>
        <v>1.5879469229449426</v>
      </c>
      <c r="AU238" s="11">
        <f t="shared" si="141"/>
        <v>0.46244193842815767</v>
      </c>
      <c r="AZ238" t="b">
        <f t="shared" si="118"/>
        <v>0</v>
      </c>
      <c r="BB238" t="b">
        <f t="shared" si="119"/>
        <v>1</v>
      </c>
      <c r="BD238" t="b">
        <f t="shared" si="120"/>
        <v>1</v>
      </c>
    </row>
    <row r="239" spans="1:56">
      <c r="A239" s="88"/>
      <c r="B239" s="5">
        <f>'[52]Dados de entrada'!$B$28</f>
        <v>20</v>
      </c>
      <c r="C239" s="5">
        <f>'[52]Dados de entrada'!$B$31</f>
        <v>2</v>
      </c>
      <c r="D239" s="5">
        <f>'[52]Dados de entrada'!$B$32</f>
        <v>44</v>
      </c>
      <c r="E239" s="11">
        <f>'[52]Dados de entrada'!$B$27</f>
        <v>2.98</v>
      </c>
      <c r="F239" s="5">
        <f>'[52]Dados de entrada'!$B$30</f>
        <v>25</v>
      </c>
      <c r="G239" s="5">
        <f>'[52]Dados de entrada'!$B$22</f>
        <v>35</v>
      </c>
      <c r="H239" s="78">
        <f>'[52]Dados de entrada'!$B$29/(2*'[52]Dados de entrada'!$B$20*G239)</f>
        <v>5.9809523809523812E-2</v>
      </c>
      <c r="I239" s="53">
        <v>474.64704937981429</v>
      </c>
      <c r="J239" s="4">
        <v>0.36</v>
      </c>
      <c r="K239" s="11">
        <v>0.2611800825951166</v>
      </c>
      <c r="L239" s="11">
        <f t="shared" si="142"/>
        <v>0.72550022943087944</v>
      </c>
      <c r="M239" s="29">
        <f t="shared" si="131"/>
        <v>-0.32089389041965444</v>
      </c>
      <c r="N239" s="11">
        <v>0.31591055782203681</v>
      </c>
      <c r="O239" s="11">
        <f t="shared" si="144"/>
        <v>0.87752932728343558</v>
      </c>
      <c r="P239" s="11">
        <f t="shared" si="132"/>
        <v>-0.13064490279497432</v>
      </c>
      <c r="Q239" s="11">
        <v>0.27982590126428686</v>
      </c>
      <c r="R239" s="11">
        <f t="shared" si="123"/>
        <v>0.77729417017857461</v>
      </c>
      <c r="S239" s="11">
        <f t="shared" si="133"/>
        <v>-0.25193640286597802</v>
      </c>
      <c r="T239" s="11">
        <v>0.36130454672910511</v>
      </c>
      <c r="U239" s="11">
        <v>0.89852715311695708</v>
      </c>
      <c r="V239" s="11">
        <v>1.0036237409141808</v>
      </c>
      <c r="W239" s="11">
        <f t="shared" si="134"/>
        <v>3.6171909838055897E-3</v>
      </c>
      <c r="X239" s="11">
        <v>0.24685742640092428</v>
      </c>
      <c r="Y239" s="11">
        <f t="shared" si="124"/>
        <v>0.68571507333590087</v>
      </c>
      <c r="Z239" s="11">
        <f t="shared" si="135"/>
        <v>-0.37729308252727228</v>
      </c>
      <c r="AA239" s="11">
        <v>0.48511553593266332</v>
      </c>
      <c r="AB239" s="11">
        <f t="shared" si="143"/>
        <v>1.3475431553685093</v>
      </c>
      <c r="AC239" s="11">
        <f t="shared" si="122"/>
        <v>0.29828304953568813</v>
      </c>
      <c r="AD239" s="11">
        <v>0.36119930303492503</v>
      </c>
      <c r="AE239" s="11">
        <f t="shared" si="125"/>
        <v>1.0033313973192362</v>
      </c>
      <c r="AF239" s="11">
        <f t="shared" si="136"/>
        <v>3.3258605086563631E-3</v>
      </c>
      <c r="AG239" s="11">
        <v>0.34585128137507148</v>
      </c>
      <c r="AH239" s="11">
        <f t="shared" si="126"/>
        <v>0.9606980038196431</v>
      </c>
      <c r="AI239" s="11">
        <f t="shared" si="137"/>
        <v>-4.0095171408050113E-2</v>
      </c>
      <c r="AJ239" s="11">
        <v>0.25107663503312877</v>
      </c>
      <c r="AK239" s="11">
        <f t="shared" si="127"/>
        <v>0.69743509731424658</v>
      </c>
      <c r="AL239" s="11">
        <f t="shared" si="138"/>
        <v>-0.36034582006160226</v>
      </c>
      <c r="AM239" s="11">
        <v>0.3836361126532668</v>
      </c>
      <c r="AN239" s="11">
        <f t="shared" si="128"/>
        <v>1.0656558684812967</v>
      </c>
      <c r="AO239" s="11">
        <f t="shared" si="139"/>
        <v>6.3590448559974797E-2</v>
      </c>
      <c r="AP239" s="11">
        <v>0.36492100931513882</v>
      </c>
      <c r="AQ239" s="11">
        <f t="shared" si="129"/>
        <v>1.0136694703198301</v>
      </c>
      <c r="AR239" s="11">
        <f t="shared" si="140"/>
        <v>1.3576885876463069E-2</v>
      </c>
      <c r="AS239" s="11">
        <v>0.59573194325154422</v>
      </c>
      <c r="AT239" s="11">
        <f t="shared" si="130"/>
        <v>1.6548109534765119</v>
      </c>
      <c r="AU239" s="11">
        <f t="shared" si="141"/>
        <v>0.50368677479792834</v>
      </c>
      <c r="AZ239" t="b">
        <f t="shared" si="118"/>
        <v>0</v>
      </c>
      <c r="BB239" t="b">
        <f t="shared" si="119"/>
        <v>1</v>
      </c>
      <c r="BD239" t="b">
        <f t="shared" si="120"/>
        <v>1</v>
      </c>
    </row>
    <row r="240" spans="1:56">
      <c r="A240" s="89"/>
      <c r="B240" s="5">
        <f>'[52]Dados de entrada'!$B$28</f>
        <v>20</v>
      </c>
      <c r="C240" s="5">
        <f>'[52]Dados de entrada'!$B$31</f>
        <v>2</v>
      </c>
      <c r="D240" s="5">
        <f>'[52]Dados de entrada'!$B$32</f>
        <v>44</v>
      </c>
      <c r="E240" s="11">
        <f>'[52]Dados de entrada'!$B$27</f>
        <v>2.98</v>
      </c>
      <c r="F240" s="5">
        <f>'[52]Dados de entrada'!$B$30</f>
        <v>25</v>
      </c>
      <c r="G240" s="5">
        <f>'[52]Dados de entrada'!$B$22</f>
        <v>35</v>
      </c>
      <c r="H240" s="78">
        <f>'[52]Dados de entrada'!$B$29/(2*'[52]Dados de entrada'!$B$20*G240)</f>
        <v>5.9809523809523812E-2</v>
      </c>
      <c r="I240" s="53">
        <v>526.44594786447112</v>
      </c>
      <c r="J240" s="4">
        <v>0.47</v>
      </c>
      <c r="K240" s="11">
        <v>0.29184962290545596</v>
      </c>
      <c r="L240" s="11">
        <f t="shared" si="142"/>
        <v>0.62095664447969356</v>
      </c>
      <c r="M240" s="29">
        <f t="shared" si="131"/>
        <v>-0.47649401513855177</v>
      </c>
      <c r="N240" s="11">
        <v>0.3557426480690849</v>
      </c>
      <c r="O240" s="11">
        <f t="shared" si="144"/>
        <v>0.75689925121081902</v>
      </c>
      <c r="P240" s="11">
        <f t="shared" si="132"/>
        <v>-0.27852512395166501</v>
      </c>
      <c r="Q240" s="11">
        <v>0.31268496032204124</v>
      </c>
      <c r="R240" s="11">
        <f t="shared" si="123"/>
        <v>0.66528714962136437</v>
      </c>
      <c r="S240" s="11">
        <f t="shared" si="133"/>
        <v>-0.40753652758487513</v>
      </c>
      <c r="T240" s="11">
        <v>0.38075707004060283</v>
      </c>
      <c r="U240" s="11">
        <v>0.9978845637583893</v>
      </c>
      <c r="V240" s="11">
        <v>0.81012142561830391</v>
      </c>
      <c r="W240" s="11">
        <f t="shared" si="134"/>
        <v>-0.21057113438001404</v>
      </c>
      <c r="X240" s="11">
        <v>0.27509112536795938</v>
      </c>
      <c r="Y240" s="11">
        <f t="shared" si="124"/>
        <v>0.58530026674033908</v>
      </c>
      <c r="Z240" s="11">
        <f t="shared" si="135"/>
        <v>-0.53563028695238313</v>
      </c>
      <c r="AA240" s="11">
        <v>0.54007611973683578</v>
      </c>
      <c r="AB240" s="11">
        <f t="shared" si="143"/>
        <v>1.1490981270996508</v>
      </c>
      <c r="AC240" s="11">
        <f t="shared" si="122"/>
        <v>0.13897739739556156</v>
      </c>
      <c r="AD240" s="11">
        <v>0.40061748978038464</v>
      </c>
      <c r="AE240" s="11">
        <f t="shared" si="125"/>
        <v>0.85237763783060572</v>
      </c>
      <c r="AF240" s="11">
        <f t="shared" si="136"/>
        <v>-0.15972561346289321</v>
      </c>
      <c r="AG240" s="11">
        <v>0.38706797763540002</v>
      </c>
      <c r="AH240" s="11">
        <f t="shared" si="126"/>
        <v>0.82354888858595754</v>
      </c>
      <c r="AI240" s="11">
        <f t="shared" si="137"/>
        <v>-0.19413236429481878</v>
      </c>
      <c r="AJ240" s="11">
        <v>0.2797043171886327</v>
      </c>
      <c r="AK240" s="11">
        <f t="shared" si="127"/>
        <v>0.59511556848645264</v>
      </c>
      <c r="AL240" s="11">
        <f t="shared" si="138"/>
        <v>-0.51899965954690519</v>
      </c>
      <c r="AM240" s="11">
        <v>0.42550285991386838</v>
      </c>
      <c r="AN240" s="11">
        <f t="shared" si="128"/>
        <v>0.90532523385929453</v>
      </c>
      <c r="AO240" s="11">
        <f t="shared" si="139"/>
        <v>-9.9461025411574852E-2</v>
      </c>
      <c r="AP240" s="11">
        <v>0.40482410087816229</v>
      </c>
      <c r="AQ240" s="11">
        <f t="shared" si="129"/>
        <v>0.86132787420885593</v>
      </c>
      <c r="AR240" s="11">
        <f t="shared" si="140"/>
        <v>-0.14928004076065376</v>
      </c>
      <c r="AS240" s="11">
        <v>0.68753965778640769</v>
      </c>
      <c r="AT240" s="11">
        <f t="shared" si="130"/>
        <v>1.4628503357157612</v>
      </c>
      <c r="AU240" s="11">
        <f t="shared" si="141"/>
        <v>0.38038681722591783</v>
      </c>
      <c r="AZ240" t="b">
        <f t="shared" si="118"/>
        <v>0</v>
      </c>
      <c r="BB240" t="b">
        <f t="shared" si="119"/>
        <v>1</v>
      </c>
      <c r="BD240" t="b">
        <f t="shared" si="120"/>
        <v>1</v>
      </c>
    </row>
    <row r="241" spans="1:56">
      <c r="A241" s="85" t="s">
        <v>98</v>
      </c>
      <c r="B241" s="21">
        <f>'[53]Dados de entrada'!$B$28</f>
        <v>20</v>
      </c>
      <c r="C241" s="21">
        <f>'[53]Dados de entrada'!$B$31</f>
        <v>3</v>
      </c>
      <c r="D241" s="21">
        <f>'[53]Dados de entrada'!$B$32</f>
        <v>12</v>
      </c>
      <c r="E241" s="20">
        <f>'[53]Dados de entrada'!$B$27</f>
        <v>2.98</v>
      </c>
      <c r="F241" s="21">
        <f>'[53]Dados de entrada'!$B$30</f>
        <v>25</v>
      </c>
      <c r="G241" s="21">
        <f>'[53]Dados de entrada'!$B$22</f>
        <v>35</v>
      </c>
      <c r="H241" s="79">
        <f>'[53]Dados de entrada'!$B$29/(2*'[53]Dados de entrada'!$B$20*G241)</f>
        <v>8.9714285714285719E-2</v>
      </c>
      <c r="I241" s="27" cm="1">
        <f t="array" ref="I241:I247">'[53]fib Model Code 2010'!$K$5:$K$11</f>
        <v>303.4025683141906</v>
      </c>
      <c r="J241" s="19" cm="1">
        <f t="array" ref="J241:J247">'[53]Dados de entrada'!$C$7:$C$13</f>
        <v>0.16</v>
      </c>
      <c r="K241" s="20" cm="1">
        <f t="array" ref="K241:K247">'[53]fib Model Code 2010'!$L$5:$L$11</f>
        <v>0.12789012791537674</v>
      </c>
      <c r="L241" s="20">
        <f t="shared" si="142"/>
        <v>0.79931329947110463</v>
      </c>
      <c r="M241" s="54">
        <f t="shared" si="131"/>
        <v>-0.22400229559067217</v>
      </c>
      <c r="N241" s="20" cm="1">
        <f t="array" ref="N241:N247">'[53]fib Model Code 2020'!$L$5:$L$11</f>
        <v>0.16920059472353005</v>
      </c>
      <c r="O241" s="20">
        <f t="shared" si="144"/>
        <v>1.0575037170220627</v>
      </c>
      <c r="P241" s="20">
        <f t="shared" si="132"/>
        <v>5.5911146846598772E-2</v>
      </c>
      <c r="Q241" s="20" cm="1">
        <f t="array" ref="Q241:Q247">'[53]Eurocode 2'!$L$5:$L$11</f>
        <v>0.15399797461207157</v>
      </c>
      <c r="R241" s="20">
        <f t="shared" si="123"/>
        <v>0.96248734132544733</v>
      </c>
      <c r="S241" s="20">
        <f t="shared" si="133"/>
        <v>-3.8234364776349471E-2</v>
      </c>
      <c r="T241" s="20" cm="1">
        <f t="array" ref="T241:T247">'[53]NBR 6118'!$Q$5:$Q$11</f>
        <v>0.18876718678189455</v>
      </c>
      <c r="U241" s="20" cm="1">
        <f t="array" ref="U241:U247">'[53]NBR 6118'!$R$5:$R$11</f>
        <v>0.36999663347029554</v>
      </c>
      <c r="V241" s="20" cm="1">
        <f t="array" ref="V241:V247">'[53]NBR 6118'!$W$5:$W$11</f>
        <v>1.1797949173868409</v>
      </c>
      <c r="W241" s="20">
        <f t="shared" si="134"/>
        <v>0.16534062454809645</v>
      </c>
      <c r="X241" s="20" cm="1">
        <f t="array" ref="X241:X247">'[53]Clark (1956)'!$L$5:$L$11</f>
        <v>0.10460215108138089</v>
      </c>
      <c r="Y241" s="20">
        <f t="shared" si="124"/>
        <v>0.65376344425863053</v>
      </c>
      <c r="Z241" s="20">
        <f t="shared" si="135"/>
        <v>-0.42500969898290042</v>
      </c>
      <c r="AA241" s="20" cm="1">
        <f t="array" ref="AA241:AA247">'[53]Leonhardt (1977)'!$L$5:$L$11</f>
        <v>0.23572619789928739</v>
      </c>
      <c r="AB241" s="20">
        <f t="shared" si="143"/>
        <v>1.4732887368705461</v>
      </c>
      <c r="AC241" s="20">
        <f t="shared" si="122"/>
        <v>0.38749713787098927</v>
      </c>
      <c r="AD241" s="20" cm="1">
        <f t="array" ref="AD241:AD247">'[53]Desayi; Ganesan (1985)'!$L$5:$L$11</f>
        <v>0.1773928260722093</v>
      </c>
      <c r="AE241" s="20">
        <f t="shared" si="125"/>
        <v>1.1087051629513081</v>
      </c>
      <c r="AF241" s="20">
        <f t="shared" si="136"/>
        <v>0.10319281454667559</v>
      </c>
      <c r="AG241" s="20" cm="1">
        <f t="array" ref="AG241:AG247">'[53]Oh; Kang (1987)'!$L$5:$L$11</f>
        <v>0.16251339397692882</v>
      </c>
      <c r="AH241" s="20">
        <f t="shared" si="126"/>
        <v>1.0157087123558051</v>
      </c>
      <c r="AI241" s="20">
        <f t="shared" si="137"/>
        <v>1.5586607612663058E-2</v>
      </c>
      <c r="AJ241" s="20" cm="1">
        <f t="array" ref="AJ241:AJ247">'[53]Caldas (1997)'!$L$5:$L$11</f>
        <v>0.15656725810990152</v>
      </c>
      <c r="AK241" s="20">
        <f t="shared" si="127"/>
        <v>0.97854536318688445</v>
      </c>
      <c r="AL241" s="20">
        <f t="shared" si="138"/>
        <v>-2.1688133295316325E-2</v>
      </c>
      <c r="AM241" s="20" cm="1">
        <f t="array" ref="AM241:AM247">'[53]Gergely e Lutz (1968)'!$L$5:$L$11</f>
        <v>0.21997495191530891</v>
      </c>
      <c r="AN241" s="20">
        <f t="shared" si="128"/>
        <v>1.3748434494706807</v>
      </c>
      <c r="AO241" s="20">
        <f t="shared" si="139"/>
        <v>0.31833986970615596</v>
      </c>
      <c r="AP241" s="20" cm="1">
        <f t="array" ref="AP241:AP247">[53]Sugestão!$M$5:$M$11</f>
        <v>0.18134808592282184</v>
      </c>
      <c r="AQ241" s="20">
        <f t="shared" si="129"/>
        <v>1.1334255370176365</v>
      </c>
      <c r="AR241" s="20">
        <f t="shared" si="140"/>
        <v>0.12524449583680269</v>
      </c>
      <c r="AS241" s="20" cm="1">
        <f t="array" ref="AS241:AS247">'[53]fib Model Code 2020 modificado'!$L$5:$L$11</f>
        <v>0.30722097818359223</v>
      </c>
      <c r="AT241" s="20">
        <f t="shared" si="130"/>
        <v>1.9201311136474515</v>
      </c>
      <c r="AU241" s="20">
        <f t="shared" si="141"/>
        <v>0.65239347206619402</v>
      </c>
      <c r="AZ241" t="b">
        <f t="shared" si="118"/>
        <v>0</v>
      </c>
      <c r="BB241" t="b">
        <f t="shared" si="119"/>
        <v>1</v>
      </c>
      <c r="BD241" t="b">
        <f t="shared" si="120"/>
        <v>1</v>
      </c>
    </row>
    <row r="242" spans="1:56">
      <c r="A242" s="90"/>
      <c r="B242" s="21">
        <f>'[53]Dados de entrada'!$B$28</f>
        <v>20</v>
      </c>
      <c r="C242" s="21">
        <f>'[53]Dados de entrada'!$B$31</f>
        <v>3</v>
      </c>
      <c r="D242" s="21">
        <f>'[53]Dados de entrada'!$B$32</f>
        <v>12</v>
      </c>
      <c r="E242" s="20">
        <f>'[53]Dados de entrada'!$B$27</f>
        <v>2.98</v>
      </c>
      <c r="F242" s="21">
        <f>'[53]Dados de entrada'!$B$30</f>
        <v>25</v>
      </c>
      <c r="G242" s="21">
        <f>'[53]Dados de entrada'!$B$22</f>
        <v>35</v>
      </c>
      <c r="H242" s="79">
        <f>'[53]Dados de entrada'!$B$29/(2*'[53]Dados de entrada'!$B$20*G242)</f>
        <v>8.9714285714285719E-2</v>
      </c>
      <c r="I242" s="27">
        <v>317.8503096624853</v>
      </c>
      <c r="J242" s="19">
        <v>0.18</v>
      </c>
      <c r="K242" s="20">
        <v>0.13452667868681525</v>
      </c>
      <c r="L242" s="20">
        <f t="shared" si="142"/>
        <v>0.74737043714897367</v>
      </c>
      <c r="M242" s="54">
        <f t="shared" si="131"/>
        <v>-0.29119431696916676</v>
      </c>
      <c r="N242" s="20">
        <v>0.17871200070263188</v>
      </c>
      <c r="O242" s="20">
        <f t="shared" si="144"/>
        <v>0.99284444834795493</v>
      </c>
      <c r="P242" s="20">
        <f t="shared" si="132"/>
        <v>-7.1812753969442006E-3</v>
      </c>
      <c r="Q242" s="20">
        <v>0.16198932933092808</v>
      </c>
      <c r="R242" s="20">
        <f t="shared" si="123"/>
        <v>0.899940718505156</v>
      </c>
      <c r="S242" s="20">
        <f t="shared" si="133"/>
        <v>-0.1054263861548443</v>
      </c>
      <c r="T242" s="20">
        <v>0.19775610043817518</v>
      </c>
      <c r="U242" s="20">
        <v>0.40607340272023357</v>
      </c>
      <c r="V242" s="20">
        <v>1.0986450024343066</v>
      </c>
      <c r="W242" s="20">
        <f t="shared" si="134"/>
        <v>9.4077604526605588E-2</v>
      </c>
      <c r="X242" s="20">
        <v>0.10985211059679627</v>
      </c>
      <c r="Y242" s="20">
        <f t="shared" si="124"/>
        <v>0.61028950331553489</v>
      </c>
      <c r="Z242" s="20">
        <f t="shared" si="135"/>
        <v>-0.49382183880041391</v>
      </c>
      <c r="AA242" s="20">
        <v>0.24753953660852956</v>
      </c>
      <c r="AB242" s="20">
        <f t="shared" si="143"/>
        <v>1.3752196478251644</v>
      </c>
      <c r="AC242" s="20">
        <f t="shared" si="122"/>
        <v>0.31861346223368758</v>
      </c>
      <c r="AD242" s="20">
        <v>0.1858401035042192</v>
      </c>
      <c r="AE242" s="20">
        <f t="shared" si="125"/>
        <v>1.0324450194678845</v>
      </c>
      <c r="AF242" s="20">
        <f t="shared" si="136"/>
        <v>3.1929794525184726E-2</v>
      </c>
      <c r="AG242" s="20">
        <v>0.17142732179790401</v>
      </c>
      <c r="AH242" s="20">
        <f t="shared" si="126"/>
        <v>0.95237400998835564</v>
      </c>
      <c r="AI242" s="20">
        <f t="shared" si="137"/>
        <v>-4.8797453708227204E-2</v>
      </c>
      <c r="AJ242" s="20">
        <v>0.16454653547471412</v>
      </c>
      <c r="AK242" s="20">
        <f t="shared" si="127"/>
        <v>0.91414741930396737</v>
      </c>
      <c r="AL242" s="20">
        <f t="shared" si="138"/>
        <v>-8.9763430266940961E-2</v>
      </c>
      <c r="AM242" s="20">
        <v>0.23044994962556165</v>
      </c>
      <c r="AN242" s="20">
        <f t="shared" si="128"/>
        <v>1.2802774979197871</v>
      </c>
      <c r="AO242" s="20">
        <f t="shared" si="139"/>
        <v>0.2470768496846652</v>
      </c>
      <c r="AP242" s="20">
        <v>0.19240743373165534</v>
      </c>
      <c r="AQ242" s="20">
        <f t="shared" si="129"/>
        <v>1.0689301873980852</v>
      </c>
      <c r="AR242" s="20">
        <f t="shared" si="140"/>
        <v>6.6658323453927013E-2</v>
      </c>
      <c r="AS242" s="20">
        <v>0.32691504863932969</v>
      </c>
      <c r="AT242" s="20">
        <f t="shared" si="130"/>
        <v>1.8161947146629427</v>
      </c>
      <c r="AU242" s="20">
        <f t="shared" si="141"/>
        <v>0.59674349616195799</v>
      </c>
      <c r="AZ242" t="b">
        <f t="shared" si="118"/>
        <v>0</v>
      </c>
      <c r="BB242" t="b">
        <f t="shared" si="119"/>
        <v>1</v>
      </c>
      <c r="BD242" t="b">
        <f t="shared" si="120"/>
        <v>1</v>
      </c>
    </row>
    <row r="243" spans="1:56">
      <c r="A243" s="90"/>
      <c r="B243" s="21">
        <f>'[53]Dados de entrada'!$B$28</f>
        <v>20</v>
      </c>
      <c r="C243" s="21">
        <f>'[53]Dados de entrada'!$B$31</f>
        <v>3</v>
      </c>
      <c r="D243" s="21">
        <f>'[53]Dados de entrada'!$B$32</f>
        <v>12</v>
      </c>
      <c r="E243" s="20">
        <f>'[53]Dados de entrada'!$B$27</f>
        <v>2.98</v>
      </c>
      <c r="F243" s="21">
        <f>'[53]Dados de entrada'!$B$30</f>
        <v>25</v>
      </c>
      <c r="G243" s="21">
        <f>'[53]Dados de entrada'!$B$22</f>
        <v>35</v>
      </c>
      <c r="H243" s="79">
        <f>'[53]Dados de entrada'!$B$29/(2*'[53]Dados de entrada'!$B$20*G243)</f>
        <v>8.9714285714285719E-2</v>
      </c>
      <c r="I243" s="27">
        <v>353.96966303322239</v>
      </c>
      <c r="J243" s="19">
        <v>0.18</v>
      </c>
      <c r="K243" s="20">
        <v>0.15111805561541164</v>
      </c>
      <c r="L243" s="20">
        <f t="shared" si="142"/>
        <v>0.83954475341895363</v>
      </c>
      <c r="M243" s="54">
        <f t="shared" si="131"/>
        <v>-0.17489549427383</v>
      </c>
      <c r="N243" s="20">
        <v>0.20249051565038667</v>
      </c>
      <c r="O243" s="20">
        <f t="shared" si="144"/>
        <v>1.1249473091688149</v>
      </c>
      <c r="P243" s="20">
        <f t="shared" si="132"/>
        <v>0.11773619826514323</v>
      </c>
      <c r="Q243" s="20">
        <v>0.18196771612806956</v>
      </c>
      <c r="R243" s="20">
        <f t="shared" si="123"/>
        <v>1.0109317562670532</v>
      </c>
      <c r="S243" s="20">
        <f t="shared" si="133"/>
        <v>1.0872436540492598E-2</v>
      </c>
      <c r="T243" s="20">
        <v>0.22022838457887689</v>
      </c>
      <c r="U243" s="20">
        <v>0.50360652889012436</v>
      </c>
      <c r="V243" s="20">
        <v>1.223491025438205</v>
      </c>
      <c r="W243" s="20">
        <f t="shared" si="134"/>
        <v>0.20170826871897093</v>
      </c>
      <c r="X243" s="20">
        <v>0.1229770093853348</v>
      </c>
      <c r="Y243" s="20">
        <f t="shared" si="124"/>
        <v>0.68320560769630445</v>
      </c>
      <c r="Z243" s="20">
        <f t="shared" si="135"/>
        <v>-0.3809594285550682</v>
      </c>
      <c r="AA243" s="20">
        <v>0.27697027611423669</v>
      </c>
      <c r="AB243" s="20">
        <f t="shared" si="143"/>
        <v>1.5387237561902039</v>
      </c>
      <c r="AC243" s="20">
        <f t="shared" si="122"/>
        <v>0.43095334309258054</v>
      </c>
      <c r="AD243" s="20">
        <v>0.20695829708424418</v>
      </c>
      <c r="AE243" s="20">
        <f t="shared" si="125"/>
        <v>1.14976831713469</v>
      </c>
      <c r="AF243" s="20">
        <f t="shared" si="136"/>
        <v>0.13956045871755055</v>
      </c>
      <c r="AG243" s="20">
        <v>0.19371214135034218</v>
      </c>
      <c r="AH243" s="20">
        <f t="shared" si="126"/>
        <v>1.0761785630574565</v>
      </c>
      <c r="AI243" s="20">
        <f t="shared" si="137"/>
        <v>7.3416398768175073E-2</v>
      </c>
      <c r="AJ243" s="20">
        <v>0.18449472888674587</v>
      </c>
      <c r="AK243" s="20">
        <f t="shared" si="127"/>
        <v>1.024970716037477</v>
      </c>
      <c r="AL243" s="20">
        <f t="shared" si="138"/>
        <v>2.466404246271468E-2</v>
      </c>
      <c r="AM243" s="20">
        <v>0.25663744390119375</v>
      </c>
      <c r="AN243" s="20">
        <f t="shared" si="128"/>
        <v>1.4257635772288542</v>
      </c>
      <c r="AO243" s="20">
        <f t="shared" si="139"/>
        <v>0.35470751387703092</v>
      </c>
      <c r="AP243" s="20">
        <v>0.22005580325373927</v>
      </c>
      <c r="AQ243" s="20">
        <f t="shared" si="129"/>
        <v>1.2225322402985517</v>
      </c>
      <c r="AR243" s="20">
        <f t="shared" si="140"/>
        <v>0.20092431445149667</v>
      </c>
      <c r="AS243" s="20">
        <v>0.37758612573604677</v>
      </c>
      <c r="AT243" s="20">
        <f t="shared" si="130"/>
        <v>2.0977006985335933</v>
      </c>
      <c r="AU243" s="20">
        <f t="shared" si="141"/>
        <v>0.74084183942230986</v>
      </c>
      <c r="AZ243" t="b">
        <f t="shared" si="118"/>
        <v>0</v>
      </c>
      <c r="BB243" t="b">
        <f t="shared" si="119"/>
        <v>1</v>
      </c>
      <c r="BD243" t="b">
        <f t="shared" si="120"/>
        <v>1</v>
      </c>
    </row>
    <row r="244" spans="1:56">
      <c r="A244" s="90"/>
      <c r="B244" s="21">
        <f>'[53]Dados de entrada'!$B$28</f>
        <v>20</v>
      </c>
      <c r="C244" s="21">
        <f>'[53]Dados de entrada'!$B$31</f>
        <v>3</v>
      </c>
      <c r="D244" s="21">
        <f>'[53]Dados de entrada'!$B$32</f>
        <v>12</v>
      </c>
      <c r="E244" s="20">
        <f>'[53]Dados de entrada'!$B$27</f>
        <v>2.98</v>
      </c>
      <c r="F244" s="21">
        <f>'[53]Dados de entrada'!$B$30</f>
        <v>25</v>
      </c>
      <c r="G244" s="21">
        <f>'[53]Dados de entrada'!$B$22</f>
        <v>35</v>
      </c>
      <c r="H244" s="79">
        <f>'[53]Dados de entrada'!$B$29/(2*'[53]Dados de entrada'!$B$20*G244)</f>
        <v>8.9714285714285719E-2</v>
      </c>
      <c r="I244" s="27">
        <v>393.70095174103312</v>
      </c>
      <c r="J244" s="19">
        <v>0.2</v>
      </c>
      <c r="K244" s="20">
        <v>0.16936857023686763</v>
      </c>
      <c r="L244" s="20">
        <f t="shared" si="142"/>
        <v>0.84684285118433811</v>
      </c>
      <c r="M244" s="54">
        <f t="shared" si="131"/>
        <v>-0.16624013733578552</v>
      </c>
      <c r="N244" s="20">
        <v>0.22864688209291692</v>
      </c>
      <c r="O244" s="20">
        <f t="shared" si="144"/>
        <v>1.1432344104645846</v>
      </c>
      <c r="P244" s="20">
        <f t="shared" si="132"/>
        <v>0.13386144730699448</v>
      </c>
      <c r="Q244" s="20">
        <v>0.20394394160492516</v>
      </c>
      <c r="R244" s="20">
        <f t="shared" si="123"/>
        <v>1.0197197080246256</v>
      </c>
      <c r="S244" s="20">
        <f t="shared" si="133"/>
        <v>1.952779347853709E-2</v>
      </c>
      <c r="T244" s="20">
        <v>0.2449478971336489</v>
      </c>
      <c r="U244" s="20">
        <v>0.62300595270132975</v>
      </c>
      <c r="V244" s="20">
        <v>1.2247394856682443</v>
      </c>
      <c r="W244" s="20">
        <f t="shared" si="134"/>
        <v>0.20272815661971669</v>
      </c>
      <c r="X244" s="20">
        <v>0.13741439805272718</v>
      </c>
      <c r="Y244" s="20">
        <f t="shared" si="124"/>
        <v>0.68707199026363586</v>
      </c>
      <c r="Z244" s="20">
        <f t="shared" si="135"/>
        <v>-0.37531620292864665</v>
      </c>
      <c r="AA244" s="20">
        <v>0.30921361831123506</v>
      </c>
      <c r="AB244" s="20">
        <f t="shared" si="143"/>
        <v>1.5460680915561753</v>
      </c>
      <c r="AC244" s="20">
        <f t="shared" si="122"/>
        <v>0.43571499289273175</v>
      </c>
      <c r="AD244" s="20">
        <v>0.23018831002227164</v>
      </c>
      <c r="AE244" s="20">
        <f t="shared" si="125"/>
        <v>1.150941550111358</v>
      </c>
      <c r="AF244" s="20">
        <f t="shared" si="136"/>
        <v>0.14058034661829602</v>
      </c>
      <c r="AG244" s="20">
        <v>0.21822544285802417</v>
      </c>
      <c r="AH244" s="20">
        <f t="shared" si="126"/>
        <v>1.0911272142901207</v>
      </c>
      <c r="AI244" s="20">
        <f t="shared" si="137"/>
        <v>8.7211303435616588E-2</v>
      </c>
      <c r="AJ244" s="20">
        <v>0.20643774163998074</v>
      </c>
      <c r="AK244" s="20">
        <f t="shared" si="127"/>
        <v>1.0321887081999037</v>
      </c>
      <c r="AL244" s="20">
        <f t="shared" si="138"/>
        <v>3.1681507125959671E-2</v>
      </c>
      <c r="AM244" s="20">
        <v>0.28544368760438898</v>
      </c>
      <c r="AN244" s="20">
        <f t="shared" si="128"/>
        <v>1.4272184380219448</v>
      </c>
      <c r="AO244" s="20">
        <f t="shared" si="139"/>
        <v>0.3557274017777764</v>
      </c>
      <c r="AP244" s="20">
        <v>0.2504690097280316</v>
      </c>
      <c r="AQ244" s="20">
        <f t="shared" si="129"/>
        <v>1.2523450486401579</v>
      </c>
      <c r="AR244" s="20">
        <f t="shared" si="140"/>
        <v>0.22501783266316416</v>
      </c>
      <c r="AS244" s="20">
        <v>0.43569354712210062</v>
      </c>
      <c r="AT244" s="20">
        <f t="shared" si="130"/>
        <v>2.1784677356105031</v>
      </c>
      <c r="AU244" s="20">
        <f t="shared" si="141"/>
        <v>0.77862175609639583</v>
      </c>
      <c r="AZ244" t="b">
        <f t="shared" si="118"/>
        <v>0</v>
      </c>
      <c r="BB244" t="b">
        <f t="shared" si="119"/>
        <v>1</v>
      </c>
      <c r="BD244" t="b">
        <f t="shared" si="120"/>
        <v>1</v>
      </c>
    </row>
    <row r="245" spans="1:56">
      <c r="A245" s="90"/>
      <c r="B245" s="21">
        <f>'[53]Dados de entrada'!$B$28</f>
        <v>20</v>
      </c>
      <c r="C245" s="21">
        <f>'[53]Dados de entrada'!$B$31</f>
        <v>3</v>
      </c>
      <c r="D245" s="21">
        <f>'[53]Dados de entrada'!$B$32</f>
        <v>12</v>
      </c>
      <c r="E245" s="20">
        <f>'[53]Dados de entrada'!$B$27</f>
        <v>2.98</v>
      </c>
      <c r="F245" s="21">
        <f>'[53]Dados de entrada'!$B$30</f>
        <v>25</v>
      </c>
      <c r="G245" s="21">
        <f>'[53]Dados de entrada'!$B$22</f>
        <v>35</v>
      </c>
      <c r="H245" s="79">
        <f>'[53]Dados de entrada'!$B$29/(2*'[53]Dados de entrada'!$B$20*G245)</f>
        <v>8.9714285714285719E-2</v>
      </c>
      <c r="I245" s="27">
        <v>429.82030511177004</v>
      </c>
      <c r="J245" s="19">
        <v>0.2</v>
      </c>
      <c r="K245" s="20">
        <v>0.18595994716546396</v>
      </c>
      <c r="L245" s="20">
        <f t="shared" si="142"/>
        <v>0.92979973582731978</v>
      </c>
      <c r="M245" s="54">
        <f t="shared" si="131"/>
        <v>-7.278605384343903E-2</v>
      </c>
      <c r="N245" s="20">
        <v>0.25242539704067157</v>
      </c>
      <c r="O245" s="20">
        <f t="shared" si="144"/>
        <v>1.2621269852033579</v>
      </c>
      <c r="P245" s="20">
        <f t="shared" si="132"/>
        <v>0.23279838124661395</v>
      </c>
      <c r="Q245" s="20">
        <v>0.22392232840206655</v>
      </c>
      <c r="R245" s="20">
        <f t="shared" si="123"/>
        <v>1.1196116420103326</v>
      </c>
      <c r="S245" s="20">
        <f t="shared" si="133"/>
        <v>0.11298187697088351</v>
      </c>
      <c r="T245" s="20">
        <v>0.26742018127435052</v>
      </c>
      <c r="U245" s="20">
        <v>0.74256268800635683</v>
      </c>
      <c r="V245" s="20">
        <v>1.3371009063717525</v>
      </c>
      <c r="W245" s="20">
        <f t="shared" si="134"/>
        <v>0.29050376750210205</v>
      </c>
      <c r="X245" s="20">
        <v>0.15053929684126566</v>
      </c>
      <c r="Y245" s="20">
        <f t="shared" si="124"/>
        <v>0.75269648420632829</v>
      </c>
      <c r="Z245" s="20">
        <f t="shared" si="135"/>
        <v>-0.28409320786218045</v>
      </c>
      <c r="AA245" s="20">
        <v>0.33843803581028936</v>
      </c>
      <c r="AB245" s="20">
        <f t="shared" si="143"/>
        <v>1.6921901790514466</v>
      </c>
      <c r="AC245" s="20">
        <f t="shared" si="122"/>
        <v>0.52602365383431704</v>
      </c>
      <c r="AD245" s="20">
        <v>0.2513065036022965</v>
      </c>
      <c r="AE245" s="20">
        <f t="shared" si="125"/>
        <v>1.2565325180114824</v>
      </c>
      <c r="AF245" s="20">
        <f t="shared" si="136"/>
        <v>0.22835595750068152</v>
      </c>
      <c r="AG245" s="20">
        <v>0.24051026241046222</v>
      </c>
      <c r="AH245" s="20">
        <f t="shared" si="126"/>
        <v>1.202551312052311</v>
      </c>
      <c r="AI245" s="20">
        <f t="shared" si="137"/>
        <v>0.18444539323276476</v>
      </c>
      <c r="AJ245" s="20">
        <v>0.2263859350520124</v>
      </c>
      <c r="AK245" s="20">
        <f t="shared" si="127"/>
        <v>1.1319296752600621</v>
      </c>
      <c r="AL245" s="20">
        <f t="shared" si="138"/>
        <v>0.12392385352262808</v>
      </c>
      <c r="AM245" s="20">
        <v>0.31163118188002098</v>
      </c>
      <c r="AN245" s="20">
        <f t="shared" si="128"/>
        <v>1.5581559094001047</v>
      </c>
      <c r="AO245" s="20">
        <f t="shared" si="139"/>
        <v>0.44350301266016195</v>
      </c>
      <c r="AP245" s="20">
        <v>0.27811737925011548</v>
      </c>
      <c r="AQ245" s="20">
        <f t="shared" si="129"/>
        <v>1.3905868962505774</v>
      </c>
      <c r="AR245" s="20">
        <f t="shared" si="140"/>
        <v>0.32972588554804583</v>
      </c>
      <c r="AS245" s="20">
        <v>0.49067232709093606</v>
      </c>
      <c r="AT245" s="20">
        <f t="shared" si="130"/>
        <v>2.4533616354546801</v>
      </c>
      <c r="AU245" s="20">
        <f t="shared" si="141"/>
        <v>0.89745918019690019</v>
      </c>
      <c r="AZ245" t="b">
        <f t="shared" si="118"/>
        <v>0</v>
      </c>
      <c r="BB245" t="b">
        <f t="shared" si="119"/>
        <v>1</v>
      </c>
      <c r="BD245" t="b">
        <f t="shared" si="120"/>
        <v>1</v>
      </c>
    </row>
    <row r="246" spans="1:56">
      <c r="A246" s="90"/>
      <c r="B246" s="21">
        <f>'[53]Dados de entrada'!$B$28</f>
        <v>20</v>
      </c>
      <c r="C246" s="21">
        <f>'[53]Dados de entrada'!$B$31</f>
        <v>3</v>
      </c>
      <c r="D246" s="21">
        <f>'[53]Dados de entrada'!$B$32</f>
        <v>12</v>
      </c>
      <c r="E246" s="20">
        <f>'[53]Dados de entrada'!$B$27</f>
        <v>2.98</v>
      </c>
      <c r="F246" s="21">
        <f>'[53]Dados de entrada'!$B$30</f>
        <v>25</v>
      </c>
      <c r="G246" s="21">
        <f>'[53]Dados de entrada'!$B$22</f>
        <v>35</v>
      </c>
      <c r="H246" s="79">
        <f>'[53]Dados de entrada'!$B$29/(2*'[53]Dados de entrada'!$B$20*G246)</f>
        <v>8.9714285714285719E-2</v>
      </c>
      <c r="I246" s="27">
        <v>462.32772314543331</v>
      </c>
      <c r="J246" s="19">
        <v>0.2</v>
      </c>
      <c r="K246" s="20">
        <v>0.20089218640120066</v>
      </c>
      <c r="L246" s="20">
        <f t="shared" si="142"/>
        <v>1.0044609320060032</v>
      </c>
      <c r="M246" s="54">
        <f t="shared" si="131"/>
        <v>4.451011540894066E-3</v>
      </c>
      <c r="N246" s="20">
        <v>0.27382606049365088</v>
      </c>
      <c r="O246" s="20">
        <f t="shared" si="144"/>
        <v>1.3691303024682544</v>
      </c>
      <c r="P246" s="20">
        <f t="shared" si="132"/>
        <v>0.31417572254261827</v>
      </c>
      <c r="Q246" s="20">
        <v>0.24190287651949383</v>
      </c>
      <c r="R246" s="20">
        <f t="shared" si="123"/>
        <v>1.209514382597469</v>
      </c>
      <c r="S246" s="20">
        <f t="shared" si="133"/>
        <v>0.1902189423552168</v>
      </c>
      <c r="T246" s="20">
        <v>0.28764523700098216</v>
      </c>
      <c r="U246" s="20">
        <v>0.85913050492875898</v>
      </c>
      <c r="V246" s="20">
        <v>1.4382261850049107</v>
      </c>
      <c r="W246" s="20">
        <f t="shared" si="134"/>
        <v>0.36341053831019016</v>
      </c>
      <c r="X246" s="20">
        <v>0.16235170575095029</v>
      </c>
      <c r="Y246" s="20">
        <f t="shared" si="124"/>
        <v>0.81175852875475141</v>
      </c>
      <c r="Z246" s="20">
        <f t="shared" si="135"/>
        <v>-0.20855236142702588</v>
      </c>
      <c r="AA246" s="20">
        <v>0.36468532875224025</v>
      </c>
      <c r="AB246" s="20">
        <f t="shared" si="143"/>
        <v>1.8234266437612012</v>
      </c>
      <c r="AC246" s="20">
        <f t="shared" si="122"/>
        <v>0.60071750219375142</v>
      </c>
      <c r="AD246" s="20">
        <v>0.2703128778243189</v>
      </c>
      <c r="AE246" s="20">
        <f t="shared" si="125"/>
        <v>1.3515643891215945</v>
      </c>
      <c r="AF246" s="20">
        <f t="shared" si="136"/>
        <v>0.30126272830876932</v>
      </c>
      <c r="AG246" s="20">
        <v>0.26056660000765652</v>
      </c>
      <c r="AH246" s="20">
        <f t="shared" si="126"/>
        <v>1.3028330000382826</v>
      </c>
      <c r="AI246" s="20">
        <f t="shared" si="137"/>
        <v>0.26454112418686088</v>
      </c>
      <c r="AJ246" s="20">
        <v>0.24433930912284094</v>
      </c>
      <c r="AK246" s="20">
        <f t="shared" si="127"/>
        <v>1.2216965456142046</v>
      </c>
      <c r="AL246" s="20">
        <f t="shared" si="138"/>
        <v>0.20024050390010509</v>
      </c>
      <c r="AM246" s="20">
        <v>0.33519992672808979</v>
      </c>
      <c r="AN246" s="20">
        <f t="shared" si="128"/>
        <v>1.6759996336404488</v>
      </c>
      <c r="AO246" s="20">
        <f t="shared" si="139"/>
        <v>0.51640978346824973</v>
      </c>
      <c r="AP246" s="20">
        <v>0.303000911819991</v>
      </c>
      <c r="AQ246" s="20">
        <f t="shared" si="129"/>
        <v>1.515004559099955</v>
      </c>
      <c r="AR246" s="20">
        <f t="shared" si="140"/>
        <v>0.4154184482637055</v>
      </c>
      <c r="AS246" s="20">
        <v>0.54190707951796491</v>
      </c>
      <c r="AT246" s="20">
        <f t="shared" si="130"/>
        <v>2.7095353975898244</v>
      </c>
      <c r="AU246" s="20">
        <f t="shared" si="141"/>
        <v>0.99677718019033745</v>
      </c>
      <c r="AZ246" t="b">
        <f t="shared" si="118"/>
        <v>0</v>
      </c>
      <c r="BB246" t="b">
        <f t="shared" si="119"/>
        <v>1</v>
      </c>
      <c r="BD246" t="b">
        <f t="shared" si="120"/>
        <v>1</v>
      </c>
    </row>
    <row r="247" spans="1:56">
      <c r="A247" s="86"/>
      <c r="B247" s="21">
        <f>'[53]Dados de entrada'!$B$28</f>
        <v>20</v>
      </c>
      <c r="C247" s="21">
        <f>'[53]Dados de entrada'!$B$31</f>
        <v>3</v>
      </c>
      <c r="D247" s="21">
        <f>'[53]Dados de entrada'!$B$32</f>
        <v>12</v>
      </c>
      <c r="E247" s="20">
        <f>'[53]Dados de entrada'!$B$27</f>
        <v>2.98</v>
      </c>
      <c r="F247" s="21">
        <f>'[53]Dados de entrada'!$B$30</f>
        <v>25</v>
      </c>
      <c r="G247" s="21">
        <f>'[53]Dados de entrada'!$B$22</f>
        <v>35</v>
      </c>
      <c r="H247" s="79">
        <f>'[53]Dados de entrada'!$B$29/(2*'[53]Dados de entrada'!$B$20*G247)</f>
        <v>8.9714285714285719E-2</v>
      </c>
      <c r="I247" s="27">
        <v>502.05901185324399</v>
      </c>
      <c r="J247" s="19">
        <v>0.22</v>
      </c>
      <c r="K247" s="20">
        <v>0.21914270102265665</v>
      </c>
      <c r="L247" s="20">
        <f t="shared" si="142"/>
        <v>0.9961031864666211</v>
      </c>
      <c r="M247" s="54">
        <f t="shared" si="131"/>
        <v>-3.9044258936368256E-3</v>
      </c>
      <c r="N247" s="20">
        <v>0.29998242693618105</v>
      </c>
      <c r="O247" s="20">
        <f t="shared" si="144"/>
        <v>1.3635564860735503</v>
      </c>
      <c r="P247" s="20">
        <f t="shared" si="132"/>
        <v>0.31009634970875066</v>
      </c>
      <c r="Q247" s="20">
        <v>0.2638791019963494</v>
      </c>
      <c r="R247" s="20">
        <f t="shared" si="123"/>
        <v>1.19945046361977</v>
      </c>
      <c r="S247" s="20">
        <f t="shared" si="133"/>
        <v>0.18186350492068595</v>
      </c>
      <c r="T247" s="20">
        <v>0.3100043368965783</v>
      </c>
      <c r="U247" s="20">
        <v>0.9978845637583893</v>
      </c>
      <c r="V247" s="20">
        <v>1.4091106222571741</v>
      </c>
      <c r="W247" s="20">
        <f t="shared" si="134"/>
        <v>0.34295874101793367</v>
      </c>
      <c r="X247" s="20">
        <v>0.17678909441834265</v>
      </c>
      <c r="Y247" s="20">
        <f t="shared" si="124"/>
        <v>0.80358679281064838</v>
      </c>
      <c r="Z247" s="20">
        <f t="shared" si="135"/>
        <v>-0.21867008120547304</v>
      </c>
      <c r="AA247" s="20">
        <v>0.39671018522664003</v>
      </c>
      <c r="AB247" s="20">
        <f t="shared" si="143"/>
        <v>1.8032281146665456</v>
      </c>
      <c r="AC247" s="20">
        <f t="shared" si="122"/>
        <v>0.58957845572272505</v>
      </c>
      <c r="AD247" s="20">
        <v>0.2935428907623463</v>
      </c>
      <c r="AE247" s="20">
        <f t="shared" si="125"/>
        <v>1.334285867101574</v>
      </c>
      <c r="AF247" s="20">
        <f t="shared" si="136"/>
        <v>0.28839621771551899</v>
      </c>
      <c r="AG247" s="20">
        <v>0.28507990151533846</v>
      </c>
      <c r="AH247" s="20">
        <f t="shared" si="126"/>
        <v>1.2958177341606294</v>
      </c>
      <c r="AI247" s="20">
        <f t="shared" si="137"/>
        <v>0.25914195081800501</v>
      </c>
      <c r="AJ247" s="20">
        <v>0.26628232187607576</v>
      </c>
      <c r="AK247" s="20">
        <f t="shared" si="127"/>
        <v>1.210374190345799</v>
      </c>
      <c r="AL247" s="20">
        <f t="shared" si="138"/>
        <v>0.19092956002094358</v>
      </c>
      <c r="AM247" s="20">
        <v>0.36400617043128497</v>
      </c>
      <c r="AN247" s="20">
        <f t="shared" si="128"/>
        <v>1.6545735019603862</v>
      </c>
      <c r="AO247" s="20">
        <f t="shared" si="139"/>
        <v>0.50354327287499945</v>
      </c>
      <c r="AP247" s="20">
        <v>0.33052135777379082</v>
      </c>
      <c r="AQ247" s="20">
        <f t="shared" si="129"/>
        <v>1.5023698080626855</v>
      </c>
      <c r="AR247" s="20">
        <f t="shared" si="140"/>
        <v>0.40704373346501621</v>
      </c>
      <c r="AS247" s="20">
        <v>0.60678374827449089</v>
      </c>
      <c r="AT247" s="20">
        <f t="shared" si="130"/>
        <v>2.7581079467022311</v>
      </c>
      <c r="AU247" s="20">
        <f t="shared" si="141"/>
        <v>1.0145449180911235</v>
      </c>
      <c r="AZ247" t="b">
        <f t="shared" si="118"/>
        <v>0</v>
      </c>
      <c r="BB247" t="b">
        <f t="shared" si="119"/>
        <v>1</v>
      </c>
      <c r="BD247" t="b">
        <f t="shared" si="120"/>
        <v>1</v>
      </c>
    </row>
    <row r="248" spans="1:56" ht="15" customHeight="1">
      <c r="A248" s="87" t="s">
        <v>99</v>
      </c>
      <c r="B248" s="5">
        <f>'[54]Dados de entrada'!$B$28</f>
        <v>28</v>
      </c>
      <c r="C248" s="5">
        <f>'[54]Dados de entrada'!$B$31</f>
        <v>4</v>
      </c>
      <c r="D248" s="5">
        <f>'[54]Dados de entrada'!$B$32</f>
        <v>16</v>
      </c>
      <c r="E248" s="11">
        <f>'[54]Dados de entrada'!$B$27</f>
        <v>5.3084743571011064</v>
      </c>
      <c r="F248" s="5">
        <f>'[54]Dados de entrada'!$B$30</f>
        <v>30</v>
      </c>
      <c r="G248" s="5">
        <f>'[54]Dados de entrada'!$B$22</f>
        <v>44</v>
      </c>
      <c r="H248" s="78">
        <f>'[54]Dados de entrada'!$B$29/(2*'[54]Dados de entrada'!$B$20*G248)</f>
        <v>0.13994318181818183</v>
      </c>
      <c r="I248" s="53" cm="1">
        <f t="array" ref="I248:I255">'[54]fib Model Code 2010'!$K$5:$K$12</f>
        <v>111.43533786909821</v>
      </c>
      <c r="J248" s="4" cm="1">
        <f t="array" ref="J248:J255">'[54]Dados de entrada'!$C$7:$C$14</f>
        <v>0.2</v>
      </c>
      <c r="K248" s="11" cm="1">
        <f t="array" ref="K248:K255">'[54]fib Model Code 2010'!$L$5:$L$12</f>
        <v>3.7198868887620064E-2</v>
      </c>
      <c r="L248" s="11"/>
      <c r="M248" s="29"/>
      <c r="N248" s="11" cm="1">
        <f t="array" ref="N248:N255">'[54]fib Model Code 2020'!$L$5:$L$12</f>
        <v>3.8596968092179766E-2</v>
      </c>
      <c r="O248" s="11"/>
      <c r="P248" s="11"/>
      <c r="Q248" s="11" cm="1">
        <f t="array" ref="Q248:Q255">'[54]Eurocode 2'!$L$5:$L$12</f>
        <v>4.8312819683654099E-2</v>
      </c>
      <c r="R248" s="11"/>
      <c r="S248" s="11"/>
      <c r="T248" s="11"/>
      <c r="U248" s="11"/>
      <c r="V248" s="11"/>
      <c r="W248" s="11"/>
      <c r="X248" s="11" cm="1">
        <f t="array" ref="X248:X255">'[54]Clark (1956)'!$L$5:$L$12</f>
        <v>3.2681120834482567E-2</v>
      </c>
      <c r="Y248" s="11"/>
      <c r="Z248" s="11"/>
      <c r="AA248" s="11" cm="1">
        <f t="array" ref="AA248:AA255">'[54]Leonhardt (1977)'!$L$5:$L$12</f>
        <v>8.7357863921345619E-2</v>
      </c>
      <c r="AB248" s="11">
        <f t="shared" si="143"/>
        <v>0.43678931960672807</v>
      </c>
      <c r="AC248" s="11">
        <f t="shared" si="122"/>
        <v>-0.8283043063001817</v>
      </c>
      <c r="AD248" s="11" cm="1">
        <f t="array" ref="AD248:AD255">'[54]Desayi; Ganesan (1985)'!$L$5:$L$12</f>
        <v>8.9874707166590059E-2</v>
      </c>
      <c r="AE248" s="11">
        <f t="shared" si="125"/>
        <v>0.44937353583295025</v>
      </c>
      <c r="AF248" s="11">
        <f t="shared" si="136"/>
        <v>-0.7999008087420082</v>
      </c>
      <c r="AG248" s="11" cm="1">
        <f t="array" ref="AG248:AG255">'[54]Oh; Kang (1987)'!$L$5:$L$12</f>
        <v>4.9169776475293893E-2</v>
      </c>
      <c r="AH248" s="11">
        <f t="shared" si="126"/>
        <v>0.24584888237646946</v>
      </c>
      <c r="AI248" s="11">
        <f t="shared" si="137"/>
        <v>-1.4030382310915301</v>
      </c>
      <c r="AJ248" s="11" cm="1">
        <f t="array" ref="AJ248:AJ255">'[54]Caldas (1997)'!$L$5:$L$12</f>
        <v>6.6998497358580017E-2</v>
      </c>
      <c r="AK248" s="11">
        <f t="shared" si="127"/>
        <v>0.33499248679290006</v>
      </c>
      <c r="AL248" s="11">
        <f t="shared" si="138"/>
        <v>-1.0936471748924508</v>
      </c>
      <c r="AM248" s="11" cm="1">
        <f t="array" ref="AM248:AM255">'[54]Gergely e Lutz (1968)'!$L$5:$L$12</f>
        <v>9.6380546573143322E-2</v>
      </c>
      <c r="AN248" s="11">
        <f t="shared" si="128"/>
        <v>0.48190273286571661</v>
      </c>
      <c r="AO248" s="11">
        <f t="shared" si="139"/>
        <v>-0.73001298432948447</v>
      </c>
      <c r="AP248" s="11" cm="1">
        <f t="array" ref="AP248:AP255">[54]Sugestão!$M$5:$M$12</f>
        <v>3.8596968092179766E-2</v>
      </c>
      <c r="AQ248" s="11"/>
      <c r="AR248" s="11"/>
      <c r="AS248" s="11" cm="1">
        <f t="array" ref="AS248:AS255">'[54]fib Model Code 2020 modificado'!$L$5:$L$12</f>
        <v>7.2666319950042649E-2</v>
      </c>
      <c r="AT248" s="11">
        <f t="shared" si="130"/>
        <v>0.36333159975021323</v>
      </c>
      <c r="AU248" s="11">
        <f t="shared" si="141"/>
        <v>-1.0124393637681286</v>
      </c>
      <c r="AZ248" t="b">
        <f t="shared" si="118"/>
        <v>0</v>
      </c>
      <c r="BB248" t="b">
        <f t="shared" si="119"/>
        <v>1</v>
      </c>
      <c r="BD248" t="b">
        <f t="shared" si="120"/>
        <v>1</v>
      </c>
    </row>
    <row r="249" spans="1:56">
      <c r="A249" s="88"/>
      <c r="B249" s="5">
        <f>'[54]Dados de entrada'!$B$28</f>
        <v>28</v>
      </c>
      <c r="C249" s="5">
        <f>'[54]Dados de entrada'!$B$31</f>
        <v>4</v>
      </c>
      <c r="D249" s="5">
        <f>'[54]Dados de entrada'!$B$32</f>
        <v>16</v>
      </c>
      <c r="E249" s="11">
        <f>'[54]Dados de entrada'!$B$27</f>
        <v>5.3084743571011064</v>
      </c>
      <c r="F249" s="5">
        <f>'[54]Dados de entrada'!$B$30</f>
        <v>30</v>
      </c>
      <c r="G249" s="5">
        <f>'[54]Dados de entrada'!$B$22</f>
        <v>44</v>
      </c>
      <c r="H249" s="78">
        <f>'[54]Dados de entrada'!$B$29/(2*'[54]Dados de entrada'!$B$20*G249)</f>
        <v>0.13994318181818183</v>
      </c>
      <c r="I249" s="53">
        <v>151.17196997745879</v>
      </c>
      <c r="J249" s="4">
        <v>0.22</v>
      </c>
      <c r="K249" s="11">
        <v>5.6084396803587552E-2</v>
      </c>
      <c r="L249" s="11"/>
      <c r="M249" s="29"/>
      <c r="N249" s="11">
        <v>6.7647653042968173E-2</v>
      </c>
      <c r="O249" s="11">
        <f t="shared" ref="O249:O293" si="145">N249/J249</f>
        <v>0.30748933201349171</v>
      </c>
      <c r="P249" s="11">
        <f t="shared" si="132"/>
        <v>-1.1793148849764195</v>
      </c>
      <c r="Q249" s="11">
        <v>7.28407994883951E-2</v>
      </c>
      <c r="R249" s="11">
        <f t="shared" si="123"/>
        <v>0.33109454312906861</v>
      </c>
      <c r="S249" s="11">
        <f t="shared" si="133"/>
        <v>-1.1053513156004837</v>
      </c>
      <c r="T249" s="11" cm="1">
        <f t="array" ref="T249:T255">'[54]NBR 6118'!$Q$6:$Q$12</f>
        <v>0.11044982359729417</v>
      </c>
      <c r="U249" s="11" cm="1">
        <f t="array" ref="U249:U255">'[54]NBR 6118'!$R$6:$R$12</f>
        <v>7.3361377368608163E-2</v>
      </c>
      <c r="V249" s="11" cm="1">
        <f t="array" ref="V249:V255">'[54]NBR 6118'!$W$6:$W$12</f>
        <v>0.3334608062209462</v>
      </c>
      <c r="W249" s="11">
        <f t="shared" si="134"/>
        <v>-1.0982299431086511</v>
      </c>
      <c r="X249" s="11">
        <v>4.5640522399196387E-2</v>
      </c>
      <c r="Y249" s="11">
        <f t="shared" si="124"/>
        <v>0.20745691999634722</v>
      </c>
      <c r="Z249" s="11">
        <f t="shared" si="135"/>
        <v>-1.5728315753416877</v>
      </c>
      <c r="AA249" s="11">
        <v>0.13890415290354707</v>
      </c>
      <c r="AB249" s="11">
        <f t="shared" si="143"/>
        <v>0.63138251319794125</v>
      </c>
      <c r="AC249" s="11">
        <f t="shared" si="122"/>
        <v>-0.45984339852535727</v>
      </c>
      <c r="AD249" s="11">
        <v>0.12192305235777719</v>
      </c>
      <c r="AE249" s="11">
        <f t="shared" si="125"/>
        <v>0.55419569253535084</v>
      </c>
      <c r="AF249" s="11">
        <f t="shared" si="136"/>
        <v>-0.59023741898449122</v>
      </c>
      <c r="AG249" s="11">
        <v>7.6520963953813206E-2</v>
      </c>
      <c r="AH249" s="11">
        <f t="shared" si="126"/>
        <v>0.34782256342642365</v>
      </c>
      <c r="AI249" s="11">
        <f t="shared" si="137"/>
        <v>-1.0560628044496561</v>
      </c>
      <c r="AJ249" s="11">
        <v>9.59824202295676E-2</v>
      </c>
      <c r="AK249" s="11">
        <f t="shared" si="127"/>
        <v>0.43628372831621637</v>
      </c>
      <c r="AL249" s="11">
        <f t="shared" si="138"/>
        <v>-0.82946249426218821</v>
      </c>
      <c r="AM249" s="11">
        <v>0.13074880349069828</v>
      </c>
      <c r="AN249" s="11">
        <f t="shared" si="128"/>
        <v>0.59431274313953764</v>
      </c>
      <c r="AO249" s="11">
        <f t="shared" si="139"/>
        <v>-0.5203495945719675</v>
      </c>
      <c r="AP249" s="11">
        <v>6.7647653042968173E-2</v>
      </c>
      <c r="AQ249" s="11">
        <f t="shared" si="129"/>
        <v>0.30748933201349171</v>
      </c>
      <c r="AR249" s="11">
        <f t="shared" si="140"/>
        <v>-1.1793148849764195</v>
      </c>
      <c r="AS249" s="11">
        <v>0.11719465240651869</v>
      </c>
      <c r="AT249" s="11">
        <f t="shared" si="130"/>
        <v>0.53270296548417584</v>
      </c>
      <c r="AU249" s="11">
        <f t="shared" si="141"/>
        <v>-0.62979129818116297</v>
      </c>
      <c r="AZ249" t="b">
        <f t="shared" si="118"/>
        <v>0</v>
      </c>
      <c r="BB249" t="b">
        <f t="shared" si="119"/>
        <v>1</v>
      </c>
      <c r="BD249" t="b">
        <f t="shared" si="120"/>
        <v>1</v>
      </c>
    </row>
    <row r="250" spans="1:56">
      <c r="A250" s="88"/>
      <c r="B250" s="5">
        <f>'[54]Dados de entrada'!$B$28</f>
        <v>28</v>
      </c>
      <c r="C250" s="5">
        <f>'[54]Dados de entrada'!$B$31</f>
        <v>4</v>
      </c>
      <c r="D250" s="5">
        <f>'[54]Dados de entrada'!$B$32</f>
        <v>16</v>
      </c>
      <c r="E250" s="11">
        <f>'[54]Dados de entrada'!$B$27</f>
        <v>5.3084743571011064</v>
      </c>
      <c r="F250" s="5">
        <f>'[54]Dados de entrada'!$B$30</f>
        <v>30</v>
      </c>
      <c r="G250" s="5">
        <f>'[54]Dados de entrada'!$B$22</f>
        <v>44</v>
      </c>
      <c r="H250" s="78">
        <f>'[54]Dados de entrada'!$B$29/(2*'[54]Dados de entrada'!$B$20*G250)</f>
        <v>0.13994318181818183</v>
      </c>
      <c r="I250" s="53">
        <v>201.70659994135215</v>
      </c>
      <c r="J250" s="4">
        <v>0.25</v>
      </c>
      <c r="K250" s="11">
        <v>8.0101861653241874E-2</v>
      </c>
      <c r="L250" s="11">
        <f t="shared" ref="L250:L293" si="146">K250/J250</f>
        <v>0.32040744661296749</v>
      </c>
      <c r="M250" s="29">
        <f t="shared" si="131"/>
        <v>-1.1381618224445085</v>
      </c>
      <c r="N250" s="11">
        <v>0.10459254586081865</v>
      </c>
      <c r="O250" s="11">
        <f t="shared" si="145"/>
        <v>0.41837018344327459</v>
      </c>
      <c r="P250" s="11">
        <f t="shared" si="132"/>
        <v>-0.87138863205166461</v>
      </c>
      <c r="Q250" s="11">
        <v>0.10403399119659834</v>
      </c>
      <c r="R250" s="11">
        <f t="shared" si="123"/>
        <v>0.41613596478639336</v>
      </c>
      <c r="S250" s="11">
        <f t="shared" si="133"/>
        <v>-0.87674323369208773</v>
      </c>
      <c r="T250" s="11">
        <v>0.14737162177124677</v>
      </c>
      <c r="U250" s="11">
        <v>0.13060660758320314</v>
      </c>
      <c r="V250" s="11">
        <v>0.52242643033281255</v>
      </c>
      <c r="W250" s="11">
        <f t="shared" si="134"/>
        <v>-0.64927110824766021</v>
      </c>
      <c r="X250" s="11">
        <v>6.2121500476060715E-2</v>
      </c>
      <c r="Y250" s="11">
        <f t="shared" si="124"/>
        <v>0.24848600190424286</v>
      </c>
      <c r="Z250" s="11">
        <f t="shared" si="135"/>
        <v>-1.392368765397288</v>
      </c>
      <c r="AA250" s="11">
        <v>0.19953179125099435</v>
      </c>
      <c r="AB250" s="11">
        <f t="shared" si="143"/>
        <v>0.7981271650039774</v>
      </c>
      <c r="AC250" s="11">
        <f t="shared" si="122"/>
        <v>-0.22548733958635478</v>
      </c>
      <c r="AD250" s="11">
        <v>0.16268018700309125</v>
      </c>
      <c r="AE250" s="11">
        <f t="shared" si="125"/>
        <v>0.65072074801236501</v>
      </c>
      <c r="AF250" s="11">
        <f t="shared" si="136"/>
        <v>-0.42967468730893832</v>
      </c>
      <c r="AG250" s="11">
        <v>0.11130453933410413</v>
      </c>
      <c r="AH250" s="11">
        <f t="shared" si="126"/>
        <v>0.44521815733641651</v>
      </c>
      <c r="AI250" s="11">
        <f t="shared" si="137"/>
        <v>-0.80919087573942639</v>
      </c>
      <c r="AJ250" s="11">
        <v>0.13284240909810618</v>
      </c>
      <c r="AK250" s="11">
        <f t="shared" si="127"/>
        <v>0.53136963639242474</v>
      </c>
      <c r="AL250" s="11">
        <f t="shared" si="138"/>
        <v>-0.63229738618160225</v>
      </c>
      <c r="AM250" s="11">
        <v>0.17445626065758885</v>
      </c>
      <c r="AN250" s="11">
        <f t="shared" si="128"/>
        <v>0.69782504263035539</v>
      </c>
      <c r="AO250" s="11">
        <f t="shared" si="139"/>
        <v>-0.35978686289641448</v>
      </c>
      <c r="AP250" s="11">
        <v>0.10634972385684166</v>
      </c>
      <c r="AQ250" s="11">
        <f t="shared" si="129"/>
        <v>0.42539889542736664</v>
      </c>
      <c r="AR250" s="11">
        <f t="shared" si="140"/>
        <v>-0.85472797276999035</v>
      </c>
      <c r="AS250" s="11">
        <v>0.17635106460204125</v>
      </c>
      <c r="AT250" s="11">
        <f t="shared" si="130"/>
        <v>0.70540425840816501</v>
      </c>
      <c r="AU250" s="11">
        <f t="shared" si="141"/>
        <v>-0.34898422432831228</v>
      </c>
      <c r="AZ250" t="b">
        <f t="shared" si="118"/>
        <v>0</v>
      </c>
      <c r="BB250" t="b">
        <f t="shared" si="119"/>
        <v>1</v>
      </c>
      <c r="BD250" t="b">
        <f t="shared" si="120"/>
        <v>1</v>
      </c>
    </row>
    <row r="251" spans="1:56">
      <c r="A251" s="88"/>
      <c r="B251" s="5">
        <f>'[54]Dados de entrada'!$B$28</f>
        <v>28</v>
      </c>
      <c r="C251" s="5">
        <f>'[54]Dados de entrada'!$B$31</f>
        <v>4</v>
      </c>
      <c r="D251" s="5">
        <f>'[54]Dados de entrada'!$B$32</f>
        <v>16</v>
      </c>
      <c r="E251" s="11">
        <f>'[54]Dados de entrada'!$B$27</f>
        <v>5.3084743571011064</v>
      </c>
      <c r="F251" s="5">
        <f>'[54]Dados de entrada'!$B$30</f>
        <v>30</v>
      </c>
      <c r="G251" s="5">
        <f>'[54]Dados de entrada'!$B$22</f>
        <v>44</v>
      </c>
      <c r="H251" s="78">
        <f>'[54]Dados de entrada'!$B$29/(2*'[54]Dados de entrada'!$B$20*G251)</f>
        <v>0.13994318181818183</v>
      </c>
      <c r="I251" s="53">
        <v>230.64523419418001</v>
      </c>
      <c r="J251" s="4">
        <v>0.28999999999999998</v>
      </c>
      <c r="K251" s="11">
        <v>9.3855452635522557E-2</v>
      </c>
      <c r="L251" s="11">
        <f t="shared" si="146"/>
        <v>0.32363949184662955</v>
      </c>
      <c r="M251" s="29">
        <f t="shared" si="131"/>
        <v>-1.1281250621629078</v>
      </c>
      <c r="N251" s="11">
        <v>0.12574902294454501</v>
      </c>
      <c r="O251" s="11">
        <f t="shared" si="145"/>
        <v>0.4336173204984311</v>
      </c>
      <c r="P251" s="11">
        <f t="shared" si="132"/>
        <v>-0.83559288385554809</v>
      </c>
      <c r="Q251" s="11">
        <v>0.12189675909787713</v>
      </c>
      <c r="R251" s="11">
        <f t="shared" si="123"/>
        <v>0.4203336520616453</v>
      </c>
      <c r="S251" s="11">
        <f t="shared" si="133"/>
        <v>-0.86670647341048712</v>
      </c>
      <c r="T251" s="11">
        <v>0.16851487371701451</v>
      </c>
      <c r="U251" s="11">
        <v>0.17077091367283942</v>
      </c>
      <c r="V251" s="11">
        <v>0.58108577143798112</v>
      </c>
      <c r="W251" s="11">
        <f t="shared" si="134"/>
        <v>-0.54285690576619317</v>
      </c>
      <c r="X251" s="11">
        <v>7.1559325528624054E-2</v>
      </c>
      <c r="Y251" s="11">
        <f t="shared" si="124"/>
        <v>0.24675629492628987</v>
      </c>
      <c r="Z251" s="11">
        <f t="shared" si="135"/>
        <v>-1.39935408964121</v>
      </c>
      <c r="AA251" s="11">
        <v>0.23305036490381525</v>
      </c>
      <c r="AB251" s="11">
        <f t="shared" si="143"/>
        <v>0.80362194794419062</v>
      </c>
      <c r="AC251" s="11">
        <f t="shared" si="122"/>
        <v>-0.21862633438820356</v>
      </c>
      <c r="AD251" s="11">
        <v>0.18601974274015148</v>
      </c>
      <c r="AE251" s="11">
        <f t="shared" si="125"/>
        <v>0.64144738875914309</v>
      </c>
      <c r="AF251" s="11">
        <f t="shared" si="136"/>
        <v>-0.44402811113591384</v>
      </c>
      <c r="AG251" s="11">
        <v>0.13122333891085189</v>
      </c>
      <c r="AH251" s="11">
        <f t="shared" si="126"/>
        <v>0.45249427210638588</v>
      </c>
      <c r="AI251" s="11">
        <f t="shared" si="137"/>
        <v>-0.79298017425070255</v>
      </c>
      <c r="AJ251" s="11">
        <v>0.15395026597154279</v>
      </c>
      <c r="AK251" s="11">
        <f t="shared" si="127"/>
        <v>0.53086298610876825</v>
      </c>
      <c r="AL251" s="11">
        <f t="shared" si="138"/>
        <v>-0.63325132096263759</v>
      </c>
      <c r="AM251" s="11">
        <v>0.19948531732580826</v>
      </c>
      <c r="AN251" s="11">
        <f t="shared" si="128"/>
        <v>0.6878804045717527</v>
      </c>
      <c r="AO251" s="11">
        <f t="shared" si="139"/>
        <v>-0.37414028672339</v>
      </c>
      <c r="AP251" s="11">
        <v>0.13185876427251048</v>
      </c>
      <c r="AQ251" s="11">
        <f t="shared" si="129"/>
        <v>0.45468539404313962</v>
      </c>
      <c r="AR251" s="11">
        <f t="shared" si="140"/>
        <v>-0.78814954085065103</v>
      </c>
      <c r="AS251" s="11">
        <v>0.21150144669289611</v>
      </c>
      <c r="AT251" s="11">
        <f t="shared" si="130"/>
        <v>0.72931533342377974</v>
      </c>
      <c r="AU251" s="11">
        <f t="shared" si="141"/>
        <v>-0.31564908436204359</v>
      </c>
      <c r="AZ251" t="b">
        <f t="shared" si="118"/>
        <v>0</v>
      </c>
      <c r="BB251" t="b">
        <f t="shared" si="119"/>
        <v>1</v>
      </c>
      <c r="BD251" t="b">
        <f t="shared" si="120"/>
        <v>1</v>
      </c>
    </row>
    <row r="252" spans="1:56">
      <c r="A252" s="88"/>
      <c r="B252" s="5">
        <f>'[54]Dados de entrada'!$B$28</f>
        <v>28</v>
      </c>
      <c r="C252" s="5">
        <f>'[54]Dados de entrada'!$B$31</f>
        <v>4</v>
      </c>
      <c r="D252" s="5">
        <f>'[54]Dados de entrada'!$B$32</f>
        <v>16</v>
      </c>
      <c r="E252" s="11">
        <f>'[54]Dados de entrada'!$B$27</f>
        <v>5.3084743571011064</v>
      </c>
      <c r="F252" s="5">
        <f>'[54]Dados de entrada'!$B$30</f>
        <v>30</v>
      </c>
      <c r="G252" s="5">
        <f>'[54]Dados de entrada'!$B$22</f>
        <v>44</v>
      </c>
      <c r="H252" s="78">
        <f>'[54]Dados de entrada'!$B$29/(2*'[54]Dados de entrada'!$B$20*G252)</f>
        <v>0.13994318181818183</v>
      </c>
      <c r="I252" s="53">
        <v>263.90306758922088</v>
      </c>
      <c r="J252" s="4">
        <v>0.31</v>
      </c>
      <c r="K252" s="11">
        <v>0.10966181839127793</v>
      </c>
      <c r="L252" s="11">
        <f t="shared" si="146"/>
        <v>0.35374780126218691</v>
      </c>
      <c r="M252" s="29">
        <f t="shared" si="131"/>
        <v>-1.0391710455572587</v>
      </c>
      <c r="N252" s="11">
        <v>0.15006318317509615</v>
      </c>
      <c r="O252" s="11">
        <f t="shared" si="145"/>
        <v>0.48407478443579405</v>
      </c>
      <c r="P252" s="11">
        <f t="shared" si="132"/>
        <v>-0.7255158709043602</v>
      </c>
      <c r="Q252" s="11">
        <v>0.14242561176054078</v>
      </c>
      <c r="R252" s="11">
        <f t="shared" si="123"/>
        <v>0.45943745729206703</v>
      </c>
      <c r="S252" s="11">
        <f t="shared" si="133"/>
        <v>-0.77775245680483773</v>
      </c>
      <c r="T252" s="11">
        <v>0.19281383490841922</v>
      </c>
      <c r="U252" s="11">
        <v>0.22357014498470335</v>
      </c>
      <c r="V252" s="11">
        <v>0.62198011260780395</v>
      </c>
      <c r="W252" s="11">
        <f t="shared" si="134"/>
        <v>-0.474847160053465</v>
      </c>
      <c r="X252" s="11">
        <v>8.2405781186047578E-2</v>
      </c>
      <c r="Y252" s="11">
        <f t="shared" si="124"/>
        <v>0.26582510060015346</v>
      </c>
      <c r="Z252" s="11">
        <f t="shared" si="135"/>
        <v>-1.3249167030000162</v>
      </c>
      <c r="AA252" s="11">
        <v>0.27095354827819368</v>
      </c>
      <c r="AB252" s="11">
        <f t="shared" si="143"/>
        <v>0.87404370412320542</v>
      </c>
      <c r="AC252" s="11">
        <f t="shared" si="122"/>
        <v>-0.13462489985916948</v>
      </c>
      <c r="AD252" s="11">
        <v>0.21284281425886242</v>
      </c>
      <c r="AE252" s="11">
        <f t="shared" si="125"/>
        <v>0.68658972341568525</v>
      </c>
      <c r="AF252" s="11">
        <f t="shared" si="136"/>
        <v>-0.37601836542318584</v>
      </c>
      <c r="AG252" s="11">
        <v>0.15411509364830822</v>
      </c>
      <c r="AH252" s="11">
        <f t="shared" si="126"/>
        <v>0.49714546338163945</v>
      </c>
      <c r="AI252" s="11">
        <f t="shared" si="137"/>
        <v>-0.69887261284833957</v>
      </c>
      <c r="AJ252" s="11">
        <v>0.17820854924399976</v>
      </c>
      <c r="AK252" s="11">
        <f t="shared" si="127"/>
        <v>0.57486628788387018</v>
      </c>
      <c r="AL252" s="11">
        <f t="shared" si="138"/>
        <v>-0.55361780803771898</v>
      </c>
      <c r="AM252" s="11">
        <v>0.22825005409376184</v>
      </c>
      <c r="AN252" s="11">
        <f t="shared" si="128"/>
        <v>0.73629049707665106</v>
      </c>
      <c r="AO252" s="11">
        <f t="shared" si="139"/>
        <v>-0.30613054101066206</v>
      </c>
      <c r="AP252" s="11">
        <v>0.16117512415320437</v>
      </c>
      <c r="AQ252" s="11">
        <f t="shared" si="129"/>
        <v>0.51991975533291734</v>
      </c>
      <c r="AR252" s="11">
        <f t="shared" si="140"/>
        <v>-0.65408079598217272</v>
      </c>
      <c r="AS252" s="11">
        <v>0.25304444925653458</v>
      </c>
      <c r="AT252" s="11">
        <f t="shared" si="130"/>
        <v>0.81627241695656316</v>
      </c>
      <c r="AU252" s="11">
        <f t="shared" si="141"/>
        <v>-0.20300713542212842</v>
      </c>
      <c r="AZ252" t="b">
        <f t="shared" si="118"/>
        <v>0</v>
      </c>
      <c r="BB252" t="b">
        <f t="shared" si="119"/>
        <v>1</v>
      </c>
      <c r="BD252" t="b">
        <f t="shared" si="120"/>
        <v>1</v>
      </c>
    </row>
    <row r="253" spans="1:56">
      <c r="A253" s="88"/>
      <c r="B253" s="5">
        <f>'[54]Dados de entrada'!$B$28</f>
        <v>28</v>
      </c>
      <c r="C253" s="5">
        <f>'[54]Dados de entrada'!$B$31</f>
        <v>4</v>
      </c>
      <c r="D253" s="5">
        <f>'[54]Dados de entrada'!$B$32</f>
        <v>16</v>
      </c>
      <c r="E253" s="11">
        <f>'[54]Dados de entrada'!$B$27</f>
        <v>5.3084743571011064</v>
      </c>
      <c r="F253" s="5">
        <f>'[54]Dados de entrada'!$B$30</f>
        <v>30</v>
      </c>
      <c r="G253" s="5">
        <f>'[54]Dados de entrada'!$B$22</f>
        <v>44</v>
      </c>
      <c r="H253" s="78">
        <f>'[54]Dados de entrada'!$B$29/(2*'[54]Dados de entrada'!$B$20*G253)</f>
        <v>0.13994318181818183</v>
      </c>
      <c r="I253" s="53">
        <v>315.73345729577818</v>
      </c>
      <c r="J253" s="4">
        <v>0.33</v>
      </c>
      <c r="K253" s="11">
        <v>0.13429511567297467</v>
      </c>
      <c r="L253" s="11">
        <f t="shared" si="146"/>
        <v>0.4069548959787111</v>
      </c>
      <c r="M253" s="29">
        <f t="shared" si="131"/>
        <v>-0.89905292037173612</v>
      </c>
      <c r="N253" s="11">
        <v>0.18795538093699407</v>
      </c>
      <c r="O253" s="11">
        <f t="shared" si="145"/>
        <v>0.56956176041513351</v>
      </c>
      <c r="P253" s="11">
        <f t="shared" si="132"/>
        <v>-0.56288805524061059</v>
      </c>
      <c r="Q253" s="11">
        <v>0.17441862889715948</v>
      </c>
      <c r="R253" s="11">
        <f t="shared" si="123"/>
        <v>0.52854129968836205</v>
      </c>
      <c r="S253" s="11">
        <f t="shared" si="133"/>
        <v>-0.63763433161931515</v>
      </c>
      <c r="T253" s="11">
        <v>0.23068234585606295</v>
      </c>
      <c r="U253" s="11">
        <v>0.32001190997605566</v>
      </c>
      <c r="V253" s="11">
        <v>0.69903741168503919</v>
      </c>
      <c r="W253" s="11">
        <f t="shared" si="134"/>
        <v>-0.3580510164566158</v>
      </c>
      <c r="X253" s="11">
        <v>9.9309348444369963E-2</v>
      </c>
      <c r="Y253" s="11">
        <f t="shared" si="124"/>
        <v>0.30093741952839381</v>
      </c>
      <c r="Z253" s="11">
        <f t="shared" si="135"/>
        <v>-1.2008529443927809</v>
      </c>
      <c r="AA253" s="11">
        <v>0.32918147488740823</v>
      </c>
      <c r="AB253" s="11">
        <f t="shared" si="143"/>
        <v>0.99751962087093404</v>
      </c>
      <c r="AC253" s="11">
        <f t="shared" si="122"/>
        <v>-2.4834603655221835E-3</v>
      </c>
      <c r="AD253" s="11">
        <v>0.25464500363867176</v>
      </c>
      <c r="AE253" s="11">
        <f t="shared" si="125"/>
        <v>0.7716515261777932</v>
      </c>
      <c r="AF253" s="11">
        <f t="shared" si="136"/>
        <v>-0.25922222182633659</v>
      </c>
      <c r="AG253" s="11">
        <v>0.18979055557681171</v>
      </c>
      <c r="AH253" s="11">
        <f t="shared" si="126"/>
        <v>0.57512289568730823</v>
      </c>
      <c r="AI253" s="11">
        <f t="shared" si="137"/>
        <v>-0.55317152939203618</v>
      </c>
      <c r="AJ253" s="11">
        <v>0.21601366603224445</v>
      </c>
      <c r="AK253" s="11">
        <f t="shared" si="127"/>
        <v>0.65458686676437705</v>
      </c>
      <c r="AL253" s="11">
        <f t="shared" si="138"/>
        <v>-0.42375098010994039</v>
      </c>
      <c r="AM253" s="11">
        <v>0.27307821529057269</v>
      </c>
      <c r="AN253" s="11">
        <f t="shared" si="128"/>
        <v>0.82750974330476568</v>
      </c>
      <c r="AO253" s="11">
        <f t="shared" si="139"/>
        <v>-0.18933439741381286</v>
      </c>
      <c r="AP253" s="11">
        <v>0.20686295773350663</v>
      </c>
      <c r="AQ253" s="11">
        <f t="shared" si="129"/>
        <v>0.62685744767729279</v>
      </c>
      <c r="AR253" s="11">
        <f t="shared" si="140"/>
        <v>-0.46703612037511649</v>
      </c>
      <c r="AS253" s="11">
        <v>0.32023073109979766</v>
      </c>
      <c r="AT253" s="11">
        <f t="shared" si="130"/>
        <v>0.97039615484787167</v>
      </c>
      <c r="AU253" s="11">
        <f t="shared" si="141"/>
        <v>-3.0050883800510238E-2</v>
      </c>
      <c r="AZ253" t="b">
        <f t="shared" si="118"/>
        <v>0</v>
      </c>
      <c r="BB253" t="b">
        <f t="shared" si="119"/>
        <v>1</v>
      </c>
      <c r="BD253" t="b">
        <f t="shared" si="120"/>
        <v>1</v>
      </c>
    </row>
    <row r="254" spans="1:56">
      <c r="A254" s="88"/>
      <c r="B254" s="5">
        <f>'[54]Dados de entrada'!$B$28</f>
        <v>28</v>
      </c>
      <c r="C254" s="5">
        <f>'[54]Dados de entrada'!$B$31</f>
        <v>4</v>
      </c>
      <c r="D254" s="5">
        <f>'[54]Dados de entrada'!$B$32</f>
        <v>16</v>
      </c>
      <c r="E254" s="11">
        <f>'[54]Dados de entrada'!$B$27</f>
        <v>5.3084743571011064</v>
      </c>
      <c r="F254" s="5">
        <f>'[54]Dados de entrada'!$B$30</f>
        <v>30</v>
      </c>
      <c r="G254" s="5">
        <f>'[54]Dados de entrada'!$B$22</f>
        <v>44</v>
      </c>
      <c r="H254" s="78">
        <f>'[54]Dados de entrada'!$B$29/(2*'[54]Dados de entrada'!$B$20*G254)</f>
        <v>0.13994318181818183</v>
      </c>
      <c r="I254" s="53">
        <v>342.08057206327823</v>
      </c>
      <c r="J254" s="4">
        <v>0.34</v>
      </c>
      <c r="K254" s="11">
        <v>0.14681704179117055</v>
      </c>
      <c r="L254" s="11">
        <f t="shared" si="146"/>
        <v>0.43181482879756045</v>
      </c>
      <c r="M254" s="29">
        <f t="shared" si="131"/>
        <v>-0.83975841967182763</v>
      </c>
      <c r="N254" s="11">
        <v>0.20721724813262554</v>
      </c>
      <c r="O254" s="11">
        <f t="shared" si="145"/>
        <v>0.60946249450772216</v>
      </c>
      <c r="P254" s="11">
        <f t="shared" si="132"/>
        <v>-0.49517786680613102</v>
      </c>
      <c r="Q254" s="11">
        <v>0.19068174594160736</v>
      </c>
      <c r="R254" s="11">
        <f t="shared" si="123"/>
        <v>0.56082866453413927</v>
      </c>
      <c r="S254" s="11">
        <f t="shared" si="133"/>
        <v>-0.57833983091940688</v>
      </c>
      <c r="T254" s="11">
        <v>0.24993217225444855</v>
      </c>
      <c r="U254" s="11">
        <v>0.3756485797040216</v>
      </c>
      <c r="V254" s="11">
        <v>0.73509462427778982</v>
      </c>
      <c r="W254" s="11">
        <f t="shared" si="134"/>
        <v>-0.30775604754164942</v>
      </c>
      <c r="X254" s="11">
        <v>0.10790199513401721</v>
      </c>
      <c r="Y254" s="11">
        <f t="shared" si="124"/>
        <v>0.31735880921769766</v>
      </c>
      <c r="Z254" s="11">
        <f t="shared" si="135"/>
        <v>-1.1477222549330335</v>
      </c>
      <c r="AA254" s="11">
        <v>0.35851553204254821</v>
      </c>
      <c r="AB254" s="11">
        <f t="shared" si="143"/>
        <v>1.0544574471839652</v>
      </c>
      <c r="AC254" s="11">
        <f t="shared" si="122"/>
        <v>5.3026366574779979E-2</v>
      </c>
      <c r="AD254" s="11">
        <v>0.27589444990674156</v>
      </c>
      <c r="AE254" s="11">
        <f t="shared" si="125"/>
        <v>0.81145426443159274</v>
      </c>
      <c r="AF254" s="11">
        <f t="shared" si="136"/>
        <v>-0.20892725291137026</v>
      </c>
      <c r="AG254" s="11">
        <v>0.20792558205713438</v>
      </c>
      <c r="AH254" s="11">
        <f t="shared" si="126"/>
        <v>0.61154582957980697</v>
      </c>
      <c r="AI254" s="11">
        <f t="shared" si="137"/>
        <v>-0.49176538049838153</v>
      </c>
      <c r="AJ254" s="11">
        <v>0.2352312670662689</v>
      </c>
      <c r="AK254" s="11">
        <f t="shared" si="127"/>
        <v>0.69185666784196731</v>
      </c>
      <c r="AL254" s="11">
        <f t="shared" si="138"/>
        <v>-0.36837647221431008</v>
      </c>
      <c r="AM254" s="11">
        <v>0.29586586389895159</v>
      </c>
      <c r="AN254" s="11">
        <f t="shared" si="128"/>
        <v>0.87019371734985751</v>
      </c>
      <c r="AO254" s="11">
        <f t="shared" si="139"/>
        <v>-0.13903942849884651</v>
      </c>
      <c r="AP254" s="11">
        <v>0.23008760647016038</v>
      </c>
      <c r="AQ254" s="11">
        <f t="shared" si="129"/>
        <v>0.67672825432400108</v>
      </c>
      <c r="AR254" s="11">
        <f t="shared" si="140"/>
        <v>-0.39048548351377449</v>
      </c>
      <c r="AS254" s="11">
        <v>0.35552519355750478</v>
      </c>
      <c r="AT254" s="11">
        <f t="shared" si="130"/>
        <v>1.045662333992661</v>
      </c>
      <c r="AU254" s="11">
        <f t="shared" si="141"/>
        <v>4.4650497075673493E-2</v>
      </c>
      <c r="AZ254" t="b">
        <f t="shared" si="118"/>
        <v>0</v>
      </c>
      <c r="BB254" t="b">
        <f t="shared" si="119"/>
        <v>1</v>
      </c>
      <c r="BD254" t="b">
        <f t="shared" si="120"/>
        <v>1</v>
      </c>
    </row>
    <row r="255" spans="1:56">
      <c r="A255" s="89"/>
      <c r="B255" s="5">
        <f>'[54]Dados de entrada'!$B$28</f>
        <v>28</v>
      </c>
      <c r="C255" s="5">
        <f>'[54]Dados de entrada'!$B$31</f>
        <v>4</v>
      </c>
      <c r="D255" s="5">
        <f>'[54]Dados de entrada'!$B$32</f>
        <v>16</v>
      </c>
      <c r="E255" s="11">
        <f>'[54]Dados de entrada'!$B$27</f>
        <v>5.3084743571011064</v>
      </c>
      <c r="F255" s="5">
        <f>'[54]Dados de entrada'!$B$30</f>
        <v>30</v>
      </c>
      <c r="G255" s="5">
        <f>'[54]Dados de entrada'!$B$22</f>
        <v>44</v>
      </c>
      <c r="H255" s="78">
        <f>'[54]Dados de entrada'!$B$29/(2*'[54]Dados de entrada'!$B$20*G255)</f>
        <v>0.13994318181818183</v>
      </c>
      <c r="I255" s="53">
        <v>380.5214444289748</v>
      </c>
      <c r="J255" s="4">
        <v>0.37</v>
      </c>
      <c r="K255" s="11">
        <v>0.1650867372750956</v>
      </c>
      <c r="L255" s="11">
        <f t="shared" si="146"/>
        <v>0.44618037101377189</v>
      </c>
      <c r="M255" s="29">
        <f t="shared" si="131"/>
        <v>-0.80703198940413201</v>
      </c>
      <c r="N255" s="11">
        <v>0.23532062813936647</v>
      </c>
      <c r="O255" s="11">
        <f t="shared" si="145"/>
        <v>0.63600169767396342</v>
      </c>
      <c r="P255" s="11">
        <f t="shared" si="132"/>
        <v>-0.45255404634689284</v>
      </c>
      <c r="Q255" s="11">
        <v>0.21440990031793289</v>
      </c>
      <c r="R255" s="11">
        <f t="shared" si="123"/>
        <v>0.5794862170754943</v>
      </c>
      <c r="S255" s="11">
        <f t="shared" si="133"/>
        <v>-0.54561340065171116</v>
      </c>
      <c r="T255" s="11">
        <v>0.27358028479302049</v>
      </c>
      <c r="U255" s="11">
        <v>0.45009793258907616</v>
      </c>
      <c r="V255" s="11">
        <v>0.7394061751162716</v>
      </c>
      <c r="W255" s="11">
        <f t="shared" si="134"/>
        <v>-0.30190788099125559</v>
      </c>
      <c r="X255" s="11">
        <v>0.12043880751727296</v>
      </c>
      <c r="Y255" s="11">
        <f t="shared" si="124"/>
        <v>0.32551029058722419</v>
      </c>
      <c r="Z255" s="11">
        <f t="shared" si="135"/>
        <v>-1.1223612031259536</v>
      </c>
      <c r="AA255" s="11">
        <v>0.40109206541061937</v>
      </c>
      <c r="AB255" s="11">
        <f t="shared" si="143"/>
        <v>1.0840326092178902</v>
      </c>
      <c r="AC255" s="11">
        <f t="shared" si="122"/>
        <v>8.0687984869317816E-2</v>
      </c>
      <c r="AD255" s="11">
        <v>0.30689774036343337</v>
      </c>
      <c r="AE255" s="11">
        <f t="shared" si="125"/>
        <v>0.82945335233360373</v>
      </c>
      <c r="AF255" s="11">
        <f t="shared" si="136"/>
        <v>-0.18698840681767986</v>
      </c>
      <c r="AG255" s="11">
        <v>0.23438488298744109</v>
      </c>
      <c r="AH255" s="11">
        <f t="shared" si="126"/>
        <v>0.63347265672281372</v>
      </c>
      <c r="AI255" s="11">
        <f t="shared" si="137"/>
        <v>-0.45653844238953334</v>
      </c>
      <c r="AJ255" s="11">
        <v>0.26327006201755027</v>
      </c>
      <c r="AK255" s="11">
        <f t="shared" si="127"/>
        <v>0.71154070815554127</v>
      </c>
      <c r="AL255" s="11">
        <f t="shared" si="138"/>
        <v>-0.34032264853439981</v>
      </c>
      <c r="AM255" s="11">
        <v>0.32911341678658623</v>
      </c>
      <c r="AN255" s="11">
        <f t="shared" si="128"/>
        <v>0.88949572104482766</v>
      </c>
      <c r="AO255" s="11">
        <f t="shared" si="139"/>
        <v>-0.117100582405156</v>
      </c>
      <c r="AP255" s="11">
        <v>0.26397274970888446</v>
      </c>
      <c r="AQ255" s="11">
        <f t="shared" si="129"/>
        <v>0.71343986407806614</v>
      </c>
      <c r="AR255" s="11">
        <f t="shared" si="140"/>
        <v>-0.33765712861926733</v>
      </c>
      <c r="AS255" s="11">
        <v>0.40840053676760768</v>
      </c>
      <c r="AT255" s="11">
        <f t="shared" si="130"/>
        <v>1.1037852345070478</v>
      </c>
      <c r="AU255" s="11">
        <f t="shared" si="141"/>
        <v>9.874539496971084E-2</v>
      </c>
      <c r="AZ255" t="b">
        <f t="shared" si="118"/>
        <v>0</v>
      </c>
      <c r="BB255" t="b">
        <f t="shared" si="119"/>
        <v>1</v>
      </c>
      <c r="BD255" t="b">
        <f t="shared" si="120"/>
        <v>1</v>
      </c>
    </row>
    <row r="256" spans="1:56" ht="14.4" customHeight="1">
      <c r="A256" s="87" t="s">
        <v>103</v>
      </c>
      <c r="B256" s="5">
        <f>'[55]Dados de entrada'!$B$28</f>
        <v>15.9</v>
      </c>
      <c r="C256" s="5">
        <f>'[55]Dados de entrada'!$B$31</f>
        <v>2</v>
      </c>
      <c r="D256" s="5">
        <f>'[55]Dados de entrada'!$B$32</f>
        <v>46</v>
      </c>
      <c r="E256" s="11">
        <f>'[55]Dados de entrada'!$B$27</f>
        <v>2.8258773978663156</v>
      </c>
      <c r="F256" s="5">
        <f>'[55]Dados de entrada'!$B$30</f>
        <v>30</v>
      </c>
      <c r="G256" s="5">
        <f>'[55]Dados de entrada'!$B$22</f>
        <v>38</v>
      </c>
      <c r="H256" s="78">
        <f>'[55]Dados de entrada'!$B$29/(2*'[55]Dados de entrada'!$B$20*G256)</f>
        <v>3.4842105263157896E-2</v>
      </c>
      <c r="I256" s="53" cm="1">
        <f t="array" ref="I256:I257">'[55]fib Model Code 2010'!$K$5:$K$6</f>
        <v>361.66957450902817</v>
      </c>
      <c r="J256" s="4" cm="1">
        <f t="array" ref="J256:J257">'[55]Dados de entrada'!$C$7:$C$8</f>
        <v>0.2</v>
      </c>
      <c r="K256" s="11" cm="1">
        <f t="array" ref="K256:K257">'[55]fib Model Code 2010'!$L$5:$L$6</f>
        <v>0.24981880799060688</v>
      </c>
      <c r="L256" s="11">
        <f t="shared" si="146"/>
        <v>1.2490940399530344</v>
      </c>
      <c r="M256" s="29">
        <f t="shared" si="131"/>
        <v>0.22241852050530991</v>
      </c>
      <c r="N256" s="11" cm="1">
        <f t="array" ref="N256:N257">'[55]fib Model Code 2020'!$L$5:$L$6</f>
        <v>0.26728929873091839</v>
      </c>
      <c r="O256" s="11">
        <f t="shared" si="145"/>
        <v>1.3364464936545919</v>
      </c>
      <c r="P256" s="11">
        <f t="shared" si="132"/>
        <v>0.29001422111872865</v>
      </c>
      <c r="Q256" s="11" cm="1">
        <f t="array" ref="Q256:Q257">'[55]Eurocode 2'!$L$5:$L$6</f>
        <v>0.25478881615385329</v>
      </c>
      <c r="R256" s="11">
        <f t="shared" si="123"/>
        <v>1.2739440807692664</v>
      </c>
      <c r="S256" s="11">
        <f t="shared" si="133"/>
        <v>0.24211766354087344</v>
      </c>
      <c r="T256" s="11" cm="1">
        <f t="array" ref="T256:T257">'[55]NBR 6118'!$Q$5:$Q$6</f>
        <v>0.28199361842550319</v>
      </c>
      <c r="U256" s="11" cm="1">
        <f t="array" ref="U256:U257">'[55]NBR 6118'!$R$5:$R$6</f>
        <v>0.43113366848373058</v>
      </c>
      <c r="V256" s="11" cm="1">
        <f t="array" ref="V256:V257">'[55]NBR 6118'!$W$5:$W$6</f>
        <v>1.4099680921275159</v>
      </c>
      <c r="W256" s="11">
        <f t="shared" si="134"/>
        <v>0.34356707443722428</v>
      </c>
      <c r="X256" s="11" cm="1">
        <f t="array" ref="X256:X257">'[55]Clark (1956)'!$L$5:$L$6</f>
        <v>0.24347863384105645</v>
      </c>
      <c r="Y256" s="11">
        <f t="shared" si="124"/>
        <v>1.2173931692052822</v>
      </c>
      <c r="Z256" s="11">
        <f t="shared" si="135"/>
        <v>0.19671182609207702</v>
      </c>
      <c r="AA256" s="11" cm="1">
        <f t="array" ref="AA256:AA257">'[55]Leonhardt (1977)'!$L$5:$L$6</f>
        <v>0.38622010388926009</v>
      </c>
      <c r="AB256" s="11">
        <f t="shared" si="143"/>
        <v>1.9311005194463005</v>
      </c>
      <c r="AC256" s="11">
        <f t="shared" si="122"/>
        <v>0.65809005773435725</v>
      </c>
      <c r="AD256" s="11" cm="1">
        <f t="array" ref="AD256:AD257">'[55]Desayi; Ganesan (1985)'!$L$5:$L$6</f>
        <v>0.27246081076315715</v>
      </c>
      <c r="AE256" s="11">
        <f t="shared" si="125"/>
        <v>1.3623040538157856</v>
      </c>
      <c r="AF256" s="11">
        <f t="shared" si="136"/>
        <v>0.30917742349989358</v>
      </c>
      <c r="AG256" s="11" cm="1">
        <f t="array" ref="AG256:AG257">'[55]Oh; Kang (1987)'!$L$5:$L$6</f>
        <v>0.24138283874457872</v>
      </c>
      <c r="AH256" s="11">
        <f t="shared" si="126"/>
        <v>1.2069141937228935</v>
      </c>
      <c r="AI256" s="11">
        <f t="shared" si="137"/>
        <v>0.18806684905221455</v>
      </c>
      <c r="AJ256" s="11" cm="1">
        <f t="array" ref="AJ256:AJ257">'[55]Caldas (1997)'!$L$5:$L$6</f>
        <v>0.19708565182586593</v>
      </c>
      <c r="AK256" s="11">
        <f t="shared" si="127"/>
        <v>0.98542825912932963</v>
      </c>
      <c r="AL256" s="11">
        <f t="shared" si="138"/>
        <v>-1.4678951457892176E-2</v>
      </c>
      <c r="AM256" s="11" cm="1">
        <f t="array" ref="AM256:AM257">'[55]Gergely e Lutz (1968)'!$L$5:$L$6</f>
        <v>0.30288745462493416</v>
      </c>
      <c r="AN256" s="11">
        <f t="shared" si="128"/>
        <v>1.5144372731246707</v>
      </c>
      <c r="AO256" s="11">
        <f t="shared" si="139"/>
        <v>0.41504393308016196</v>
      </c>
      <c r="AP256" s="11" cm="1">
        <f t="array" ref="AP256:AP257">[55]Sugestão!$M$5:$M$6</f>
        <v>0.31773914093066064</v>
      </c>
      <c r="AQ256" s="11">
        <f t="shared" si="129"/>
        <v>1.588695704653303</v>
      </c>
      <c r="AR256" s="11">
        <f t="shared" si="140"/>
        <v>0.46291336805371452</v>
      </c>
      <c r="AS256" s="11" cm="1">
        <f t="array" ref="AS256:AS257">'[55]fib Model Code 2020 modificado'!$L$5:$L$6</f>
        <v>0.36890934795193298</v>
      </c>
      <c r="AT256" s="11">
        <f t="shared" si="130"/>
        <v>1.8445467397596649</v>
      </c>
      <c r="AU256" s="11">
        <f t="shared" si="141"/>
        <v>0.61223357780383725</v>
      </c>
      <c r="AV256" s="107" t="s">
        <v>108</v>
      </c>
      <c r="AZ256" t="b">
        <f t="shared" si="118"/>
        <v>0</v>
      </c>
      <c r="BB256" t="b">
        <f t="shared" si="119"/>
        <v>1</v>
      </c>
      <c r="BD256" t="b">
        <f t="shared" si="120"/>
        <v>1</v>
      </c>
    </row>
    <row r="257" spans="1:56">
      <c r="A257" s="89"/>
      <c r="B257" s="5">
        <f>'[55]Dados de entrada'!$B$28</f>
        <v>15.9</v>
      </c>
      <c r="C257" s="5">
        <f>'[55]Dados de entrada'!$B$31</f>
        <v>2</v>
      </c>
      <c r="D257" s="5">
        <f>'[55]Dados de entrada'!$B$32</f>
        <v>46</v>
      </c>
      <c r="E257" s="11">
        <f>'[55]Dados de entrada'!$B$27</f>
        <v>2.8258773978663156</v>
      </c>
      <c r="F257" s="5">
        <f>'[55]Dados de entrada'!$B$30</f>
        <v>30</v>
      </c>
      <c r="G257" s="5">
        <f>'[55]Dados de entrada'!$B$22</f>
        <v>38</v>
      </c>
      <c r="H257" s="78">
        <f>'[55]Dados de entrada'!$B$29/(2*'[55]Dados de entrada'!$B$20*G257)</f>
        <v>3.4842105263157896E-2</v>
      </c>
      <c r="I257" s="53">
        <v>392.3</v>
      </c>
      <c r="J257" s="4">
        <v>0.35</v>
      </c>
      <c r="K257" s="11">
        <v>0.27432948922960282</v>
      </c>
      <c r="L257" s="11">
        <f t="shared" si="146"/>
        <v>0.78379854065600807</v>
      </c>
      <c r="M257" s="29">
        <f t="shared" si="131"/>
        <v>-0.24360325510146244</v>
      </c>
      <c r="N257" s="11">
        <v>0.29702172941567545</v>
      </c>
      <c r="O257" s="11">
        <f t="shared" si="145"/>
        <v>0.84863351261621567</v>
      </c>
      <c r="P257" s="11">
        <f t="shared" si="132"/>
        <v>-0.16412785534130028</v>
      </c>
      <c r="Q257" s="11">
        <v>0.27978712395237204</v>
      </c>
      <c r="R257" s="11">
        <f t="shared" si="123"/>
        <v>0.79939178272106304</v>
      </c>
      <c r="S257" s="11">
        <f t="shared" si="133"/>
        <v>-0.22390411206589866</v>
      </c>
      <c r="T257" s="11">
        <v>0.29185886340253192</v>
      </c>
      <c r="U257" s="11">
        <v>0.46182682241819578</v>
      </c>
      <c r="V257" s="11">
        <v>0.83388246686437695</v>
      </c>
      <c r="W257" s="11">
        <f t="shared" si="134"/>
        <v>-0.18166281357566674</v>
      </c>
      <c r="X257" s="11">
        <v>0.26626281210622382</v>
      </c>
      <c r="Y257" s="11">
        <f t="shared" si="124"/>
        <v>0.76075089173206811</v>
      </c>
      <c r="Z257" s="11">
        <f t="shared" si="135"/>
        <v>-0.27344931803082656</v>
      </c>
      <c r="AA257" s="11">
        <v>0.42262897836105034</v>
      </c>
      <c r="AB257" s="11">
        <f t="shared" si="143"/>
        <v>1.2075113667458581</v>
      </c>
      <c r="AC257" s="11">
        <f t="shared" si="122"/>
        <v>0.18856151995441123</v>
      </c>
      <c r="AD257" s="11">
        <v>0.29553599084879173</v>
      </c>
      <c r="AE257" s="11">
        <f t="shared" si="125"/>
        <v>0.84438854528226215</v>
      </c>
      <c r="AF257" s="11">
        <f t="shared" si="136"/>
        <v>-0.16914252861127932</v>
      </c>
      <c r="AG257" s="11">
        <v>0.26436809953043394</v>
      </c>
      <c r="AH257" s="11">
        <f t="shared" si="126"/>
        <v>0.75533742722981134</v>
      </c>
      <c r="AI257" s="11">
        <f t="shared" si="137"/>
        <v>-0.28059070609047215</v>
      </c>
      <c r="AJ257" s="11">
        <v>0.21484833224410843</v>
      </c>
      <c r="AK257" s="11">
        <f t="shared" si="127"/>
        <v>0.61385237784030988</v>
      </c>
      <c r="AL257" s="11">
        <f t="shared" si="138"/>
        <v>-0.48800080671237139</v>
      </c>
      <c r="AM257" s="11">
        <v>0.32853952011491516</v>
      </c>
      <c r="AN257" s="11">
        <f t="shared" si="128"/>
        <v>0.938684343185472</v>
      </c>
      <c r="AO257" s="11">
        <f t="shared" si="139"/>
        <v>-6.3276019031010905E-2</v>
      </c>
      <c r="AP257" s="11">
        <v>0.35647441315660378</v>
      </c>
      <c r="AQ257" s="11">
        <f t="shared" si="129"/>
        <v>1.0184983233045823</v>
      </c>
      <c r="AR257" s="11">
        <f t="shared" si="140"/>
        <v>1.832931044339034E-2</v>
      </c>
      <c r="AS257" s="11">
        <v>0.41195283177017566</v>
      </c>
      <c r="AT257" s="11">
        <f t="shared" si="130"/>
        <v>1.1770080907719305</v>
      </c>
      <c r="AU257" s="11">
        <f t="shared" si="141"/>
        <v>0.16297570231732603</v>
      </c>
      <c r="AV257" s="107"/>
      <c r="AZ257" t="b">
        <f t="shared" si="118"/>
        <v>0</v>
      </c>
      <c r="BB257" t="b">
        <f t="shared" si="119"/>
        <v>1</v>
      </c>
      <c r="BD257" t="b">
        <f t="shared" si="120"/>
        <v>1</v>
      </c>
    </row>
    <row r="258" spans="1:56" ht="15" customHeight="1">
      <c r="A258" s="87" t="s">
        <v>104</v>
      </c>
      <c r="B258" s="5">
        <f>'[56]Dados de entrada'!$B$28</f>
        <v>15.9</v>
      </c>
      <c r="C258" s="5">
        <f>'[56]Dados de entrada'!$B$31</f>
        <v>2</v>
      </c>
      <c r="D258" s="5">
        <f>'[56]Dados de entrada'!$B$32</f>
        <v>46</v>
      </c>
      <c r="E258" s="11">
        <f>'[56]Dados de entrada'!$B$27</f>
        <v>2.8258773978663156</v>
      </c>
      <c r="F258" s="5">
        <f>'[56]Dados de entrada'!$B$33</f>
        <v>30</v>
      </c>
      <c r="G258" s="5">
        <f>'[56]Dados de entrada'!$B$22</f>
        <v>38</v>
      </c>
      <c r="H258" s="78">
        <f>'[56]Dados de entrada'!$B$29/(2*'[56]Dados de entrada'!$B$20*G258)</f>
        <v>3.4842105263157896E-2</v>
      </c>
      <c r="I258" s="53" cm="1">
        <f t="array" ref="I258:I259">'[56]fib Model Code 2010'!$K$5:$K$6</f>
        <v>363.0041485847072</v>
      </c>
      <c r="J258" s="4" cm="1">
        <f t="array" ref="J258:J259">'[56]Dados de entrada'!$C$7:$C$8</f>
        <v>0.2</v>
      </c>
      <c r="K258" s="11" cm="1">
        <f t="array" ref="K258:K259">'[56]fib Model Code 2010'!$L$5:$L$6</f>
        <v>0.25088674352315238</v>
      </c>
      <c r="L258" s="11">
        <f t="shared" si="146"/>
        <v>1.2544337176157618</v>
      </c>
      <c r="M258" s="29">
        <f t="shared" si="131"/>
        <v>0.22668424972961063</v>
      </c>
      <c r="N258" s="11" cm="1">
        <f t="array" ref="N258:N259">'[56]fib Model Code 2020'!$L$5:$L$6</f>
        <v>0.26858474698417545</v>
      </c>
      <c r="O258" s="11">
        <f t="shared" si="145"/>
        <v>1.3429237349208771</v>
      </c>
      <c r="P258" s="11">
        <f t="shared" si="132"/>
        <v>0.29484912882580544</v>
      </c>
      <c r="Q258" s="11" cm="1">
        <f t="array" ref="Q258:Q259">'[56]Eurocode 2'!$L$5:$L$6</f>
        <v>0.25587799767807279</v>
      </c>
      <c r="R258" s="11">
        <f t="shared" si="123"/>
        <v>1.2793899883903639</v>
      </c>
      <c r="S258" s="11">
        <f t="shared" si="133"/>
        <v>0.24638339276517429</v>
      </c>
      <c r="T258" s="11" cm="1">
        <f t="array" ref="T258:T259">'[56]NBR 6118'!$Q$5:$Q$6</f>
        <v>0.28303418528316193</v>
      </c>
      <c r="U258" s="11" cm="1">
        <f t="array" ref="U258:U259">'[56]NBR 6118'!$R$5:$R$6</f>
        <v>0.43432133725167588</v>
      </c>
      <c r="V258" s="11" cm="1">
        <f t="array" ref="V258:V259">'[56]NBR 6118'!$W$5:$W$6</f>
        <v>1.4151709264158097</v>
      </c>
      <c r="W258" s="11">
        <f t="shared" si="134"/>
        <v>0.34725031985352089</v>
      </c>
      <c r="X258" s="11" cm="1">
        <f t="array" ref="X258:X259">'[56]Clark (1956)'!$L$5:$L$6</f>
        <v>0.24447134527620462</v>
      </c>
      <c r="Y258" s="11">
        <f t="shared" si="124"/>
        <v>1.2223567263810231</v>
      </c>
      <c r="Z258" s="11">
        <f t="shared" si="135"/>
        <v>0.20078073826442061</v>
      </c>
      <c r="AA258" s="11" cm="1">
        <f t="array" ref="AA258:AA259">'[56]Leonhardt (1977)'!$L$5:$L$6</f>
        <v>0.3878126857436745</v>
      </c>
      <c r="AB258" s="11">
        <f t="shared" si="143"/>
        <v>1.9390634287183723</v>
      </c>
      <c r="AC258" s="11">
        <f t="shared" si="122"/>
        <v>0.66220508780303788</v>
      </c>
      <c r="AD258" s="11" cm="1">
        <f t="array" ref="AD258:AD259">'[56]Desayi; Ganesan (1985)'!$L$5:$L$6</f>
        <v>0.27346620120877757</v>
      </c>
      <c r="AE258" s="11">
        <f t="shared" si="125"/>
        <v>1.3673310060438877</v>
      </c>
      <c r="AF258" s="11">
        <f t="shared" si="136"/>
        <v>0.31286066891618969</v>
      </c>
      <c r="AG258" s="11" cm="1">
        <f t="array" ref="AG258:AG259">'[56]Oh; Kang (1987)'!$L$5:$L$6</f>
        <v>0.24238431138741112</v>
      </c>
      <c r="AH258" s="11">
        <f t="shared" si="126"/>
        <v>1.2119215569370556</v>
      </c>
      <c r="AI258" s="11">
        <f t="shared" si="137"/>
        <v>0.1922071635534347</v>
      </c>
      <c r="AJ258" s="11" cm="1">
        <f t="array" ref="AJ258:AJ259">'[56]Caldas (1997)'!$L$5:$L$6</f>
        <v>0.19785957554454706</v>
      </c>
      <c r="AK258" s="11">
        <f t="shared" si="127"/>
        <v>0.98929787772273525</v>
      </c>
      <c r="AL258" s="11">
        <f t="shared" si="138"/>
        <v>-1.075980188650018E-2</v>
      </c>
      <c r="AM258" s="11" cm="1">
        <f t="array" ref="AM258:AM259">'[56]Gergely e Lutz (1968)'!$L$5:$L$6</f>
        <v>0.30400512050915895</v>
      </c>
      <c r="AN258" s="11">
        <f t="shared" si="128"/>
        <v>1.5200256025457948</v>
      </c>
      <c r="AO258" s="11">
        <f t="shared" si="139"/>
        <v>0.4187271784964583</v>
      </c>
      <c r="AP258" s="11" cm="1">
        <f t="array" ref="AP258:AP259">[56]Sugestão!$M$5:$M$6</f>
        <v>0.31942684488182999</v>
      </c>
      <c r="AQ258" s="11">
        <f t="shared" si="129"/>
        <v>1.5971342244091498</v>
      </c>
      <c r="AR258" s="11">
        <f t="shared" si="140"/>
        <v>0.46821091354648192</v>
      </c>
      <c r="AS258" s="11" cm="1">
        <f t="array" ref="AS258:AS259">'[56]fib Model Code 2020 modificado'!$L$5:$L$6</f>
        <v>0.37076945398985112</v>
      </c>
      <c r="AT258" s="11">
        <f t="shared" si="130"/>
        <v>1.8538472699492554</v>
      </c>
      <c r="AU258" s="11">
        <f t="shared" si="141"/>
        <v>0.61726308508220751</v>
      </c>
      <c r="AV258" s="107"/>
      <c r="AZ258" t="b">
        <f t="shared" si="118"/>
        <v>0</v>
      </c>
      <c r="BB258" t="b">
        <f t="shared" si="119"/>
        <v>1</v>
      </c>
      <c r="BD258" t="b">
        <f t="shared" si="120"/>
        <v>1</v>
      </c>
    </row>
    <row r="259" spans="1:56">
      <c r="A259" s="89"/>
      <c r="B259" s="5">
        <f>'[56]Dados de entrada'!$B$28</f>
        <v>15.9</v>
      </c>
      <c r="C259" s="5">
        <f>'[56]Dados de entrada'!$B$31</f>
        <v>2</v>
      </c>
      <c r="D259" s="5">
        <f>'[56]Dados de entrada'!$B$32</f>
        <v>46</v>
      </c>
      <c r="E259" s="11">
        <f>'[56]Dados de entrada'!$B$27</f>
        <v>2.8258773978663156</v>
      </c>
      <c r="F259" s="5">
        <f>'[56]Dados de entrada'!$B$33</f>
        <v>30</v>
      </c>
      <c r="G259" s="5">
        <f>'[56]Dados de entrada'!$B$22</f>
        <v>38</v>
      </c>
      <c r="H259" s="78">
        <f>'[56]Dados de entrada'!$B$29/(2*'[56]Dados de entrada'!$B$20*G259)</f>
        <v>3.4842105263157896E-2</v>
      </c>
      <c r="I259" s="53">
        <v>392.3</v>
      </c>
      <c r="J259" s="4">
        <v>0.25</v>
      </c>
      <c r="K259" s="11">
        <v>0.27432948922960282</v>
      </c>
      <c r="L259" s="11">
        <f t="shared" si="146"/>
        <v>1.0973179569184113</v>
      </c>
      <c r="M259" s="29">
        <f t="shared" si="131"/>
        <v>9.2868981519750482E-2</v>
      </c>
      <c r="N259" s="11">
        <v>0.29702172941567545</v>
      </c>
      <c r="O259" s="11">
        <f t="shared" si="145"/>
        <v>1.1880869176627018</v>
      </c>
      <c r="P259" s="11">
        <f t="shared" si="132"/>
        <v>0.17234438127991256</v>
      </c>
      <c r="Q259" s="11">
        <v>0.27978712395237204</v>
      </c>
      <c r="R259" s="11">
        <f t="shared" si="123"/>
        <v>1.1191484958094882</v>
      </c>
      <c r="S259" s="11">
        <f t="shared" si="133"/>
        <v>0.11256812455531418</v>
      </c>
      <c r="T259" s="11">
        <v>0.29185886340253192</v>
      </c>
      <c r="U259" s="11">
        <v>0.46182682241819578</v>
      </c>
      <c r="V259" s="11">
        <v>1.1674354536101277</v>
      </c>
      <c r="W259" s="11">
        <f t="shared" si="134"/>
        <v>0.15480942304554615</v>
      </c>
      <c r="X259" s="11">
        <v>0.26626281210622382</v>
      </c>
      <c r="Y259" s="11">
        <f t="shared" si="124"/>
        <v>1.0650512484248953</v>
      </c>
      <c r="Z259" s="11">
        <f t="shared" si="135"/>
        <v>6.3022918590386279E-2</v>
      </c>
      <c r="AA259" s="11">
        <v>0.42262897836105034</v>
      </c>
      <c r="AB259" s="11">
        <f t="shared" si="143"/>
        <v>1.6905159134442014</v>
      </c>
      <c r="AC259" s="11">
        <f t="shared" si="122"/>
        <v>0.52503375657562412</v>
      </c>
      <c r="AD259" s="11">
        <v>0.29553599084879173</v>
      </c>
      <c r="AE259" s="11">
        <f t="shared" si="125"/>
        <v>1.1821439633951669</v>
      </c>
      <c r="AF259" s="11">
        <f t="shared" si="136"/>
        <v>0.16732970800993355</v>
      </c>
      <c r="AG259" s="11">
        <v>0.26436809953043394</v>
      </c>
      <c r="AH259" s="11">
        <f t="shared" si="126"/>
        <v>1.0574723981217358</v>
      </c>
      <c r="AI259" s="11">
        <f t="shared" si="137"/>
        <v>5.5881530530740679E-2</v>
      </c>
      <c r="AJ259" s="11">
        <v>0.21484833224410843</v>
      </c>
      <c r="AK259" s="11">
        <f t="shared" si="127"/>
        <v>0.85939332897643372</v>
      </c>
      <c r="AL259" s="11">
        <f t="shared" si="138"/>
        <v>-0.15152857009115861</v>
      </c>
      <c r="AM259" s="11">
        <v>0.32853952011491516</v>
      </c>
      <c r="AN259" s="11">
        <f t="shared" si="128"/>
        <v>1.3141580804596606</v>
      </c>
      <c r="AO259" s="11">
        <f t="shared" si="139"/>
        <v>0.27319621759020191</v>
      </c>
      <c r="AP259" s="11">
        <v>0.35647441315660378</v>
      </c>
      <c r="AQ259" s="11">
        <f t="shared" si="129"/>
        <v>1.4258976526264151</v>
      </c>
      <c r="AR259" s="11">
        <f t="shared" si="140"/>
        <v>0.35480154706460315</v>
      </c>
      <c r="AS259" s="11">
        <v>0.41195283177017566</v>
      </c>
      <c r="AT259" s="11">
        <f t="shared" si="130"/>
        <v>1.6478113270807027</v>
      </c>
      <c r="AU259" s="11">
        <f t="shared" si="141"/>
        <v>0.49944793893853895</v>
      </c>
      <c r="AV259" s="107"/>
      <c r="AZ259" t="b">
        <f t="shared" ref="AZ259:AZ293" si="147">IF(AND(B259&lt;=12.7,F259&lt;=45),TRUE,FALSE)</f>
        <v>0</v>
      </c>
      <c r="BB259" t="b">
        <f t="shared" ref="BB259:BB293" si="148">IF(AND(B259&gt;12.7,F259&lt;=45),TRUE,FALSE)</f>
        <v>1</v>
      </c>
      <c r="BD259" t="b">
        <f t="shared" ref="BD259:BD293" si="149">IF(AND(F259&lt;=45,C259&gt;1),TRUE,FALSE)</f>
        <v>1</v>
      </c>
    </row>
    <row r="260" spans="1:56">
      <c r="A260" s="87" t="s">
        <v>105</v>
      </c>
      <c r="B260" s="5">
        <f>'[57]Dados de entrada'!$B$28</f>
        <v>15.9</v>
      </c>
      <c r="C260" s="5">
        <f>'[57]Dados de entrada'!$B$31</f>
        <v>2</v>
      </c>
      <c r="D260" s="5">
        <f>'[57]Dados de entrada'!$B$32</f>
        <v>46</v>
      </c>
      <c r="E260" s="11">
        <f>'[57]Dados de entrada'!$B$27</f>
        <v>2.8258773978663156</v>
      </c>
      <c r="F260" s="5">
        <f>'[57]Dados de entrada'!$B$30</f>
        <v>30</v>
      </c>
      <c r="G260" s="5">
        <f>'[57]Dados de entrada'!$B$22</f>
        <v>38</v>
      </c>
      <c r="H260" s="78">
        <f>'[57]Dados de entrada'!$B$29/(2*'[57]Dados de entrada'!$B$20*G260)</f>
        <v>3.4842105263157896E-2</v>
      </c>
      <c r="I260" s="53" cm="1">
        <f t="array" ref="I260:I261">'[57]fib Model Code 2010'!$K$5:$K$6</f>
        <v>363.0041485847072</v>
      </c>
      <c r="J260" s="4" cm="1">
        <f t="array" ref="J260:J261">'[57]Dados de entrada'!$C$7:$C$8</f>
        <v>0.2</v>
      </c>
      <c r="K260" s="11" cm="1">
        <f t="array" ref="K260:K261">'[57]fib Model Code 2010'!$L$5:$L$6</f>
        <v>0.25088674352315238</v>
      </c>
      <c r="L260" s="11">
        <f t="shared" si="146"/>
        <v>1.2544337176157618</v>
      </c>
      <c r="M260" s="29">
        <f t="shared" si="131"/>
        <v>0.22668424972961063</v>
      </c>
      <c r="N260" s="11" cm="1">
        <f t="array" ref="N260:N261">'[57]fib Model Code 2020'!$L$5:$L$6</f>
        <v>0.26858474698417545</v>
      </c>
      <c r="O260" s="11">
        <f t="shared" si="145"/>
        <v>1.3429237349208771</v>
      </c>
      <c r="P260" s="11">
        <f t="shared" si="132"/>
        <v>0.29484912882580544</v>
      </c>
      <c r="Q260" s="11" cm="1">
        <f t="array" ref="Q260:Q261">'[57]Eurocode 2'!$L$5:$L$6</f>
        <v>0.25587799767807279</v>
      </c>
      <c r="R260" s="11">
        <f t="shared" si="123"/>
        <v>1.2793899883903639</v>
      </c>
      <c r="S260" s="11">
        <f t="shared" si="133"/>
        <v>0.24638339276517429</v>
      </c>
      <c r="T260" s="11" cm="1">
        <f t="array" ref="T260:T261">'[57]NBR 6118'!$Q$5:$Q$6</f>
        <v>0.28303418528316193</v>
      </c>
      <c r="U260" s="11" cm="1">
        <f t="array" ref="U260:U261">'[57]NBR 6118'!$R$5:$R$6</f>
        <v>0.43432133725167588</v>
      </c>
      <c r="V260" s="11" cm="1">
        <f t="array" ref="V260:V261">'[57]NBR 6118'!$W$5:$W$6</f>
        <v>1.4151709264158097</v>
      </c>
      <c r="W260" s="11">
        <f t="shared" si="134"/>
        <v>0.34725031985352089</v>
      </c>
      <c r="X260" s="11" cm="1">
        <f t="array" ref="X260:X261">'[57]Clark (1956)'!$L$5:$L$6</f>
        <v>0.24447134527620462</v>
      </c>
      <c r="Y260" s="11">
        <f t="shared" si="124"/>
        <v>1.2223567263810231</v>
      </c>
      <c r="Z260" s="11">
        <f t="shared" si="135"/>
        <v>0.20078073826442061</v>
      </c>
      <c r="AA260" s="11" cm="1">
        <f t="array" ref="AA260:AA261">'[57]Leonhardt (1977)'!$L$5:$L$6</f>
        <v>0.3878126857436745</v>
      </c>
      <c r="AB260" s="11">
        <f t="shared" si="143"/>
        <v>1.9390634287183723</v>
      </c>
      <c r="AC260" s="11">
        <f t="shared" si="122"/>
        <v>0.66220508780303788</v>
      </c>
      <c r="AD260" s="11" cm="1">
        <f t="array" ref="AD260:AD261">'[57]Desayi; Ganesan (1985)'!$L$5:$L$6</f>
        <v>0.27346620120877757</v>
      </c>
      <c r="AE260" s="11">
        <f t="shared" si="125"/>
        <v>1.3673310060438877</v>
      </c>
      <c r="AF260" s="11">
        <f t="shared" si="136"/>
        <v>0.31286066891618969</v>
      </c>
      <c r="AG260" s="11" cm="1">
        <f t="array" ref="AG260:AG261">'[57]Oh; Kang (1987)'!$L$5:$L$6</f>
        <v>0.24238431138741112</v>
      </c>
      <c r="AH260" s="11">
        <f t="shared" si="126"/>
        <v>1.2119215569370556</v>
      </c>
      <c r="AI260" s="11">
        <f t="shared" si="137"/>
        <v>0.1922071635534347</v>
      </c>
      <c r="AJ260" s="11" cm="1">
        <f t="array" ref="AJ260:AJ261">'[57]Caldas (1997)'!$L$5:$L$6</f>
        <v>0.19785957554454706</v>
      </c>
      <c r="AK260" s="11">
        <f t="shared" si="127"/>
        <v>0.98929787772273525</v>
      </c>
      <c r="AL260" s="11">
        <f t="shared" si="138"/>
        <v>-1.075980188650018E-2</v>
      </c>
      <c r="AM260" s="11" cm="1">
        <f t="array" ref="AM260:AM261">'[57]Gergely e Lutz (1968)'!$L$5:$L$6</f>
        <v>0.30400512050915895</v>
      </c>
      <c r="AN260" s="11">
        <f t="shared" si="128"/>
        <v>1.5200256025457948</v>
      </c>
      <c r="AO260" s="11">
        <f t="shared" si="139"/>
        <v>0.4187271784964583</v>
      </c>
      <c r="AP260" s="11" cm="1">
        <f t="array" ref="AP260:AP261">[57]Sugestão!$M$5:$M$6</f>
        <v>0.31942684488182999</v>
      </c>
      <c r="AQ260" s="11">
        <f t="shared" si="129"/>
        <v>1.5971342244091498</v>
      </c>
      <c r="AR260" s="11">
        <f t="shared" si="140"/>
        <v>0.46821091354648192</v>
      </c>
      <c r="AS260" s="11" cm="1">
        <f t="array" ref="AS260:AS261">'[57]fib Model Code 2020 modificado'!$L$5:$L$6</f>
        <v>0.37076945398985112</v>
      </c>
      <c r="AT260" s="11">
        <f t="shared" si="130"/>
        <v>1.8538472699492554</v>
      </c>
      <c r="AU260" s="11">
        <f t="shared" si="141"/>
        <v>0.61726308508220751</v>
      </c>
      <c r="AV260" s="107"/>
      <c r="AZ260" t="b">
        <f t="shared" si="147"/>
        <v>0</v>
      </c>
      <c r="BB260" t="b">
        <f t="shared" si="148"/>
        <v>1</v>
      </c>
      <c r="BD260" t="b">
        <f t="shared" si="149"/>
        <v>1</v>
      </c>
    </row>
    <row r="261" spans="1:56">
      <c r="A261" s="89"/>
      <c r="B261" s="5">
        <f>'[57]Dados de entrada'!$B$28</f>
        <v>15.9</v>
      </c>
      <c r="C261" s="5">
        <f>'[57]Dados de entrada'!$B$31</f>
        <v>2</v>
      </c>
      <c r="D261" s="5">
        <f>'[57]Dados de entrada'!$B$32</f>
        <v>46</v>
      </c>
      <c r="E261" s="11">
        <f>'[57]Dados de entrada'!$B$27</f>
        <v>2.8258773978663156</v>
      </c>
      <c r="F261" s="5">
        <f>'[57]Dados de entrada'!$B$30</f>
        <v>30</v>
      </c>
      <c r="G261" s="5">
        <f>'[57]Dados de entrada'!$B$22</f>
        <v>38</v>
      </c>
      <c r="H261" s="78">
        <f>'[57]Dados de entrada'!$B$29/(2*'[57]Dados de entrada'!$B$20*G261)</f>
        <v>3.4842105263157896E-2</v>
      </c>
      <c r="I261" s="53">
        <v>392.3</v>
      </c>
      <c r="J261" s="4">
        <v>0.25</v>
      </c>
      <c r="K261" s="11">
        <v>0.27432948922960282</v>
      </c>
      <c r="L261" s="11">
        <f t="shared" si="146"/>
        <v>1.0973179569184113</v>
      </c>
      <c r="M261" s="29">
        <f t="shared" si="131"/>
        <v>9.2868981519750482E-2</v>
      </c>
      <c r="N261" s="11">
        <v>0.29702172941567545</v>
      </c>
      <c r="O261" s="11">
        <f t="shared" si="145"/>
        <v>1.1880869176627018</v>
      </c>
      <c r="P261" s="11">
        <f t="shared" si="132"/>
        <v>0.17234438127991256</v>
      </c>
      <c r="Q261" s="11">
        <v>0.27978712395237204</v>
      </c>
      <c r="R261" s="11">
        <f t="shared" si="123"/>
        <v>1.1191484958094882</v>
      </c>
      <c r="S261" s="11">
        <f t="shared" si="133"/>
        <v>0.11256812455531418</v>
      </c>
      <c r="T261" s="11">
        <v>0.29185886340253192</v>
      </c>
      <c r="U261" s="11">
        <v>0.46182682241819578</v>
      </c>
      <c r="V261" s="11">
        <v>1.1674354536101277</v>
      </c>
      <c r="W261" s="11">
        <f t="shared" si="134"/>
        <v>0.15480942304554615</v>
      </c>
      <c r="X261" s="11">
        <v>0.26626281210622382</v>
      </c>
      <c r="Y261" s="11">
        <f t="shared" si="124"/>
        <v>1.0650512484248953</v>
      </c>
      <c r="Z261" s="11">
        <f t="shared" si="135"/>
        <v>6.3022918590386279E-2</v>
      </c>
      <c r="AA261" s="11">
        <v>0.42262897836105034</v>
      </c>
      <c r="AB261" s="11">
        <f t="shared" si="143"/>
        <v>1.6905159134442014</v>
      </c>
      <c r="AC261" s="11">
        <f t="shared" si="122"/>
        <v>0.52503375657562412</v>
      </c>
      <c r="AD261" s="11">
        <v>0.29553599084879173</v>
      </c>
      <c r="AE261" s="11">
        <f t="shared" si="125"/>
        <v>1.1821439633951669</v>
      </c>
      <c r="AF261" s="11">
        <f t="shared" si="136"/>
        <v>0.16732970800993355</v>
      </c>
      <c r="AG261" s="11">
        <v>0.26436809953043394</v>
      </c>
      <c r="AH261" s="11">
        <f t="shared" si="126"/>
        <v>1.0574723981217358</v>
      </c>
      <c r="AI261" s="11">
        <f t="shared" si="137"/>
        <v>5.5881530530740679E-2</v>
      </c>
      <c r="AJ261" s="11">
        <v>0.21484833224410843</v>
      </c>
      <c r="AK261" s="11">
        <f t="shared" si="127"/>
        <v>0.85939332897643372</v>
      </c>
      <c r="AL261" s="11">
        <f t="shared" si="138"/>
        <v>-0.15152857009115861</v>
      </c>
      <c r="AM261" s="11">
        <v>0.32853952011491516</v>
      </c>
      <c r="AN261" s="11">
        <f t="shared" si="128"/>
        <v>1.3141580804596606</v>
      </c>
      <c r="AO261" s="11">
        <f t="shared" si="139"/>
        <v>0.27319621759020191</v>
      </c>
      <c r="AP261" s="11">
        <v>0.35647441315660378</v>
      </c>
      <c r="AQ261" s="11">
        <f t="shared" si="129"/>
        <v>1.4258976526264151</v>
      </c>
      <c r="AR261" s="11">
        <f t="shared" si="140"/>
        <v>0.35480154706460315</v>
      </c>
      <c r="AS261" s="11">
        <v>0.41195283177017566</v>
      </c>
      <c r="AT261" s="11">
        <f t="shared" si="130"/>
        <v>1.6478113270807027</v>
      </c>
      <c r="AU261" s="11">
        <f t="shared" si="141"/>
        <v>0.49944793893853895</v>
      </c>
      <c r="AV261" s="107"/>
      <c r="AZ261" t="b">
        <f t="shared" si="147"/>
        <v>0</v>
      </c>
      <c r="BB261" t="b">
        <f t="shared" si="148"/>
        <v>1</v>
      </c>
      <c r="BD261" t="b">
        <f t="shared" si="149"/>
        <v>1</v>
      </c>
    </row>
    <row r="262" spans="1:56">
      <c r="A262" s="87" t="s">
        <v>106</v>
      </c>
      <c r="B262" s="5">
        <f>'[58]Dados de entrada'!$B$28</f>
        <v>15.9</v>
      </c>
      <c r="C262" s="5">
        <f>'[58]Dados de entrada'!$B$31</f>
        <v>2</v>
      </c>
      <c r="D262" s="5">
        <f>'[58]Dados de entrada'!$B$32</f>
        <v>46</v>
      </c>
      <c r="E262" s="11">
        <f>'[58]Dados de entrada'!$B$27</f>
        <v>2.8258773978663156</v>
      </c>
      <c r="F262" s="5">
        <f>'[58]Dados de entrada'!$B$30</f>
        <v>30</v>
      </c>
      <c r="G262" s="5">
        <f>'[58]Dados de entrada'!$B$22</f>
        <v>38</v>
      </c>
      <c r="H262" s="78">
        <f>'[58]Dados de entrada'!$B$29/(2*'[58]Dados de entrada'!$B$20*G262)</f>
        <v>3.4842105263157896E-2</v>
      </c>
      <c r="I262" s="53" cm="1">
        <f t="array" ref="I262:I263">'[58]fib Model Code 2010'!$K$5:$K$6</f>
        <v>364.33872266038628</v>
      </c>
      <c r="J262" s="4" cm="1">
        <f t="array" ref="J262:J263">'[58]Dados de entrada'!$C$7:$C$8</f>
        <v>0.2</v>
      </c>
      <c r="K262" s="11" cm="1">
        <f t="array" ref="K262:K263">'[58]fib Model Code 2010'!$L$5:$L$6</f>
        <v>0.25195467905569791</v>
      </c>
      <c r="L262" s="11">
        <f t="shared" si="146"/>
        <v>1.2597733952784895</v>
      </c>
      <c r="M262" s="29">
        <f t="shared" si="131"/>
        <v>0.23093185977226049</v>
      </c>
      <c r="N262" s="11" cm="1">
        <f t="array" ref="N262:N263">'[58]fib Model Code 2020'!$L$5:$L$6</f>
        <v>0.26988019523743262</v>
      </c>
      <c r="O262" s="11">
        <f t="shared" si="145"/>
        <v>1.349400976187163</v>
      </c>
      <c r="P262" s="11">
        <f t="shared" si="132"/>
        <v>0.29966077263404989</v>
      </c>
      <c r="Q262" s="11" cm="1">
        <f t="array" ref="Q262:Q263">'[58]Eurocode 2'!$L$5:$L$6</f>
        <v>0.25696717920229234</v>
      </c>
      <c r="R262" s="11">
        <f t="shared" si="123"/>
        <v>1.2848358960114616</v>
      </c>
      <c r="S262" s="11">
        <f t="shared" si="133"/>
        <v>0.25063100280782424</v>
      </c>
      <c r="T262" s="11" cm="1">
        <f t="array" ref="T262:T263">'[58]NBR 6118'!$Q$5:$Q$6</f>
        <v>0.28407475214082062</v>
      </c>
      <c r="U262" s="11" cm="1">
        <f t="array" ref="U262:U263">'[58]NBR 6118'!$R$5:$R$6</f>
        <v>0.4375207469727258</v>
      </c>
      <c r="V262" s="11" cm="1">
        <f t="array" ref="V262:V263">'[58]NBR 6118'!$W$5:$W$6</f>
        <v>1.4203737607041029</v>
      </c>
      <c r="W262" s="11">
        <f t="shared" si="134"/>
        <v>0.35092004874248317</v>
      </c>
      <c r="X262" s="11" cm="1">
        <f t="array" ref="X262:X263">'[58]Clark (1956)'!$L$5:$L$6</f>
        <v>0.24546405671135285</v>
      </c>
      <c r="Y262" s="11">
        <f t="shared" si="124"/>
        <v>1.2273202835567643</v>
      </c>
      <c r="Z262" s="11">
        <f t="shared" si="135"/>
        <v>0.2048331614600391</v>
      </c>
      <c r="AA262" s="11" cm="1">
        <f t="array" ref="AA262:AA263">'[58]Leonhardt (1977)'!$L$5:$L$6</f>
        <v>0.38940465548415598</v>
      </c>
      <c r="AB262" s="11">
        <f t="shared" ref="AB262:AB293" si="150">AA262/J262</f>
        <v>1.9470232774207799</v>
      </c>
      <c r="AC262" s="11">
        <f t="shared" ref="AC262:AC293" si="151">LN(AB262)</f>
        <v>0.66630168185058347</v>
      </c>
      <c r="AD262" s="11" cm="1">
        <f t="array" ref="AD262:AD263">'[58]Desayi; Ganesan (1985)'!$L$5:$L$6</f>
        <v>0.27447159165439811</v>
      </c>
      <c r="AE262" s="11">
        <f t="shared" si="125"/>
        <v>1.3723579582719905</v>
      </c>
      <c r="AF262" s="11">
        <f t="shared" si="136"/>
        <v>0.3165303978051523</v>
      </c>
      <c r="AG262" s="11" cm="1">
        <f t="array" ref="AG262:AG263">'[58]Oh; Kang (1987)'!$L$5:$L$6</f>
        <v>0.24338578403024358</v>
      </c>
      <c r="AH262" s="11">
        <f t="shared" si="126"/>
        <v>1.2169289201512179</v>
      </c>
      <c r="AI262" s="11">
        <f t="shared" si="137"/>
        <v>0.19633040650777273</v>
      </c>
      <c r="AJ262" s="11" cm="1">
        <f t="array" ref="AJ262:AJ263">'[58]Caldas (1997)'!$L$5:$L$6</f>
        <v>0.19863349926322821</v>
      </c>
      <c r="AK262" s="11">
        <f t="shared" si="127"/>
        <v>0.99316749631614099</v>
      </c>
      <c r="AL262" s="11">
        <f t="shared" si="138"/>
        <v>-6.85595210580977E-3</v>
      </c>
      <c r="AM262" s="11" cm="1">
        <f t="array" ref="AM262:AM263">'[58]Gergely e Lutz (1968)'!$L$5:$L$6</f>
        <v>0.3051227863933838</v>
      </c>
      <c r="AN262" s="11">
        <f t="shared" si="128"/>
        <v>1.5256139319669189</v>
      </c>
      <c r="AO262" s="11">
        <f t="shared" si="139"/>
        <v>0.42239690738542057</v>
      </c>
      <c r="AP262" s="11" cm="1">
        <f t="array" ref="AP262:AP263">[58]Sugestão!$M$5:$M$6</f>
        <v>0.3211145488329995</v>
      </c>
      <c r="AQ262" s="11">
        <f t="shared" si="129"/>
        <v>1.6055727441649974</v>
      </c>
      <c r="AR262" s="11">
        <f t="shared" si="140"/>
        <v>0.473480542873219</v>
      </c>
      <c r="AS262" s="11" cm="1">
        <f t="array" ref="AS262:AS263">'[58]fib Model Code 2020 modificado'!$L$5:$L$6</f>
        <v>0.37263095470463126</v>
      </c>
      <c r="AT262" s="11">
        <f t="shared" si="130"/>
        <v>1.8631547735231562</v>
      </c>
      <c r="AU262" s="11">
        <f t="shared" si="141"/>
        <v>0.62227116574420061</v>
      </c>
      <c r="AV262" s="107"/>
      <c r="AZ262" t="b">
        <f t="shared" si="147"/>
        <v>0</v>
      </c>
      <c r="BB262" t="b">
        <f t="shared" si="148"/>
        <v>1</v>
      </c>
      <c r="BD262" t="b">
        <f t="shared" si="149"/>
        <v>1</v>
      </c>
    </row>
    <row r="263" spans="1:56">
      <c r="A263" s="89"/>
      <c r="B263" s="5">
        <f>'[58]Dados de entrada'!$B$28</f>
        <v>15.9</v>
      </c>
      <c r="C263" s="5">
        <f>'[58]Dados de entrada'!$B$31</f>
        <v>2</v>
      </c>
      <c r="D263" s="5">
        <f>'[58]Dados de entrada'!$B$32</f>
        <v>46</v>
      </c>
      <c r="E263" s="11">
        <f>'[58]Dados de entrada'!$B$27</f>
        <v>2.8258773978663156</v>
      </c>
      <c r="F263" s="5">
        <f>'[58]Dados de entrada'!$B$30</f>
        <v>30</v>
      </c>
      <c r="G263" s="5">
        <f>'[58]Dados de entrada'!$B$22</f>
        <v>38</v>
      </c>
      <c r="H263" s="78">
        <f>'[58]Dados de entrada'!$B$29/(2*'[58]Dados de entrada'!$B$20*G263)</f>
        <v>3.4842105263157896E-2</v>
      </c>
      <c r="I263" s="53">
        <v>392.3</v>
      </c>
      <c r="J263" s="4">
        <v>0.3</v>
      </c>
      <c r="K263" s="11">
        <v>0.27432948922960282</v>
      </c>
      <c r="L263" s="11">
        <f t="shared" si="146"/>
        <v>0.91443163076534273</v>
      </c>
      <c r="M263" s="29">
        <f t="shared" si="131"/>
        <v>-8.9452575274204152E-2</v>
      </c>
      <c r="N263" s="11">
        <v>0.29702172941567545</v>
      </c>
      <c r="O263" s="11">
        <f t="shared" si="145"/>
        <v>0.99007243138558487</v>
      </c>
      <c r="P263" s="11">
        <f t="shared" si="132"/>
        <v>-9.9771755140420464E-3</v>
      </c>
      <c r="Q263" s="11">
        <v>0.27978712395237204</v>
      </c>
      <c r="R263" s="11">
        <f t="shared" si="123"/>
        <v>0.9326237465079068</v>
      </c>
      <c r="S263" s="11">
        <f t="shared" si="133"/>
        <v>-6.9753432238640445E-2</v>
      </c>
      <c r="T263" s="11">
        <v>0.29185886340253192</v>
      </c>
      <c r="U263" s="11">
        <v>0.46182682241819578</v>
      </c>
      <c r="V263" s="11">
        <v>0.97286287800843974</v>
      </c>
      <c r="W263" s="11">
        <f t="shared" si="134"/>
        <v>-2.7512133748408482E-2</v>
      </c>
      <c r="X263" s="11">
        <v>0.26626281210622382</v>
      </c>
      <c r="Y263" s="11">
        <f t="shared" si="124"/>
        <v>0.88754270702074611</v>
      </c>
      <c r="Z263" s="11">
        <f t="shared" si="135"/>
        <v>-0.1192986382035683</v>
      </c>
      <c r="AA263" s="11">
        <v>0.42262897836105034</v>
      </c>
      <c r="AB263" s="11">
        <f t="shared" si="150"/>
        <v>1.4087632612035013</v>
      </c>
      <c r="AC263" s="11">
        <f t="shared" si="151"/>
        <v>0.34271219978166961</v>
      </c>
      <c r="AD263" s="11">
        <v>0.29553599084879173</v>
      </c>
      <c r="AE263" s="11">
        <f t="shared" si="125"/>
        <v>0.98511996949597247</v>
      </c>
      <c r="AF263" s="11">
        <f t="shared" si="136"/>
        <v>-1.4991848784021039E-2</v>
      </c>
      <c r="AG263" s="11">
        <v>0.26436809953043394</v>
      </c>
      <c r="AH263" s="11">
        <f t="shared" si="126"/>
        <v>0.88122699843477981</v>
      </c>
      <c r="AI263" s="11">
        <f t="shared" si="137"/>
        <v>-0.12644002626321396</v>
      </c>
      <c r="AJ263" s="11">
        <v>0.21484833224410843</v>
      </c>
      <c r="AK263" s="11">
        <f t="shared" si="127"/>
        <v>0.71616110748036144</v>
      </c>
      <c r="AL263" s="11">
        <f t="shared" si="138"/>
        <v>-0.33385012688511323</v>
      </c>
      <c r="AM263" s="11">
        <v>0.32853952011491516</v>
      </c>
      <c r="AN263" s="11">
        <f t="shared" si="128"/>
        <v>1.0951317337163839</v>
      </c>
      <c r="AO263" s="11">
        <f t="shared" si="139"/>
        <v>9.0874660796247342E-2</v>
      </c>
      <c r="AP263" s="11">
        <v>0.35647441315660378</v>
      </c>
      <c r="AQ263" s="11">
        <f t="shared" si="129"/>
        <v>1.188248043855346</v>
      </c>
      <c r="AR263" s="11">
        <f t="shared" si="140"/>
        <v>0.17247999027064859</v>
      </c>
      <c r="AS263" s="11">
        <v>0.41195283177017566</v>
      </c>
      <c r="AT263" s="11">
        <f t="shared" si="130"/>
        <v>1.3731761059005856</v>
      </c>
      <c r="AU263" s="11">
        <f t="shared" si="141"/>
        <v>0.31712638214458438</v>
      </c>
      <c r="AV263" s="107"/>
      <c r="AZ263" t="b">
        <f t="shared" si="147"/>
        <v>0</v>
      </c>
      <c r="BB263" t="b">
        <f t="shared" si="148"/>
        <v>1</v>
      </c>
      <c r="BD263" t="b">
        <f t="shared" si="149"/>
        <v>1</v>
      </c>
    </row>
    <row r="264" spans="1:56">
      <c r="A264" s="87" t="s">
        <v>109</v>
      </c>
      <c r="B264" s="5">
        <f>'[59]Dados de entrada'!$B$28</f>
        <v>12.7</v>
      </c>
      <c r="C264" s="5">
        <f>'[59]Dados de entrada'!$B$31</f>
        <v>2</v>
      </c>
      <c r="D264" s="5">
        <f>'[59]Dados de entrada'!$B$32</f>
        <v>52</v>
      </c>
      <c r="E264" s="11">
        <f>'[59]Dados de entrada'!$B$27</f>
        <v>2.9208758709847928</v>
      </c>
      <c r="F264" s="5">
        <f>'[59]Dados de entrada'!$B$30</f>
        <v>30</v>
      </c>
      <c r="G264" s="5">
        <f>'[59]Dados de entrada'!$B$22</f>
        <v>36.5</v>
      </c>
      <c r="H264" s="78">
        <f>'[59]Dados de entrada'!$B$29/(2*'[59]Dados de entrada'!$B$20*G264)</f>
        <v>2.3141552511415527E-2</v>
      </c>
      <c r="I264" s="53" cm="1">
        <f t="array" ref="I264:I265">'[59]fib Model Code 2010'!$K$5:$K$6</f>
        <v>317.10269794078823</v>
      </c>
      <c r="J264" s="4" cm="1">
        <f t="array" ref="J264:J265">'[59]Dados de entrada'!$C$7:$C$8</f>
        <v>0.15</v>
      </c>
      <c r="K264" s="11" cm="1">
        <f t="array" ref="K264:K265">'[59]fib Model Code 2010'!$L$5:$L$6</f>
        <v>0.23181080280759936</v>
      </c>
      <c r="L264" s="11">
        <f t="shared" si="146"/>
        <v>1.5454053520506625</v>
      </c>
      <c r="M264" s="29">
        <f t="shared" si="131"/>
        <v>0.43528623972518576</v>
      </c>
      <c r="N264" s="11" cm="1">
        <f t="array" ref="N264:N265">'[59]fib Model Code 2020'!$L$5:$L$6</f>
        <v>0.21302068526037121</v>
      </c>
      <c r="O264" s="11">
        <f t="shared" si="145"/>
        <v>1.4201379017358082</v>
      </c>
      <c r="P264" s="11">
        <f t="shared" si="132"/>
        <v>0.35075398079637649</v>
      </c>
      <c r="Q264" s="11" cm="1">
        <f t="array" ref="Q264:Q265">'[59]Eurocode 2'!$L$5:$L$6</f>
        <v>0.22003405864266853</v>
      </c>
      <c r="R264" s="11">
        <f t="shared" si="123"/>
        <v>1.4668937242844569</v>
      </c>
      <c r="S264" s="11">
        <f t="shared" si="133"/>
        <v>0.38314705228609253</v>
      </c>
      <c r="T264" s="11" cm="1">
        <f t="array" ref="T264:T265">'[59]NBR 6118'!$Q$5:$Q$6</f>
        <v>0.24661873508292353</v>
      </c>
      <c r="U264" s="11" cm="1">
        <f t="array" ref="U264:U265">'[59]NBR 6118'!$R$5:$R$6</f>
        <v>0.2533316241930651</v>
      </c>
      <c r="V264" s="11" cm="1">
        <f t="array" ref="V264:V265">'[59]NBR 6118'!$W$5:$W$6</f>
        <v>1.6441249005528236</v>
      </c>
      <c r="W264" s="11">
        <f t="shared" si="134"/>
        <v>0.49720826732041962</v>
      </c>
      <c r="X264" s="11" cm="1">
        <f t="array" ref="X264:X265">'[59]Clark (1956)'!$L$5:$L$6</f>
        <v>0.23677888448534648</v>
      </c>
      <c r="Y264" s="11">
        <f t="shared" si="124"/>
        <v>1.5785258965689766</v>
      </c>
      <c r="Z264" s="11">
        <f t="shared" si="135"/>
        <v>0.45649143468999975</v>
      </c>
      <c r="AA264" s="11" cm="1">
        <f t="array" ref="AA264:AA265">'[59]Leonhardt (1977)'!$L$5:$L$6</f>
        <v>0.32848004590109303</v>
      </c>
      <c r="AB264" s="11">
        <f t="shared" si="150"/>
        <v>2.1898669726739537</v>
      </c>
      <c r="AC264" s="11">
        <f t="shared" si="151"/>
        <v>0.78384079891222036</v>
      </c>
      <c r="AD264" s="11" cm="1">
        <f t="array" ref="AD264:AD265">'[59]Desayi; Ganesan (1985)'!$L$5:$L$6</f>
        <v>0.25140813378365084</v>
      </c>
      <c r="AE264" s="11">
        <f t="shared" si="125"/>
        <v>1.6760542252243391</v>
      </c>
      <c r="AF264" s="11">
        <f t="shared" si="136"/>
        <v>0.5164423554889831</v>
      </c>
      <c r="AG264" s="11" cm="1">
        <f t="array" ref="AG264:AG265">'[59]Oh; Kang (1987)'!$L$5:$L$6</f>
        <v>0.18866261416535396</v>
      </c>
      <c r="AH264" s="11">
        <f t="shared" si="126"/>
        <v>1.2577507611023597</v>
      </c>
      <c r="AI264" s="11">
        <f t="shared" si="137"/>
        <v>0.22932501551918905</v>
      </c>
      <c r="AJ264" s="11" cm="1">
        <f t="array" ref="AJ264:AJ265">'[59]Caldas (1997)'!$L$5:$L$6</f>
        <v>0.16697779297207394</v>
      </c>
      <c r="AK264" s="11">
        <f t="shared" si="127"/>
        <v>1.113185286480493</v>
      </c>
      <c r="AL264" s="11">
        <f t="shared" si="138"/>
        <v>0.10722553326325253</v>
      </c>
      <c r="AM264" s="11" cm="1">
        <f t="array" ref="AM264:AM265">'[59]Gergely e Lutz (1968)'!$L$5:$L$6</f>
        <v>0.25182342460354623</v>
      </c>
      <c r="AN264" s="11">
        <f t="shared" si="128"/>
        <v>1.6788228306903084</v>
      </c>
      <c r="AO264" s="11">
        <f t="shared" si="139"/>
        <v>0.5180928517953044</v>
      </c>
      <c r="AP264" s="11" cm="1">
        <f t="array" ref="AP264:AP265">[59]Sugestão!$M$5:$M$6</f>
        <v>0.26705922088184081</v>
      </c>
      <c r="AQ264" s="11">
        <f t="shared" si="129"/>
        <v>1.7803948058789387</v>
      </c>
      <c r="AR264" s="11">
        <f t="shared" si="140"/>
        <v>0.5768351407653598</v>
      </c>
      <c r="AS264" s="11" cm="1">
        <f t="array" ref="AS264:AS265">'[59]fib Model Code 2020 modificado'!$L$5:$L$6</f>
        <v>0.2689691013170048</v>
      </c>
      <c r="AT264" s="11">
        <f t="shared" si="130"/>
        <v>1.7931273421133653</v>
      </c>
      <c r="AU264" s="11">
        <f t="shared" si="141"/>
        <v>0.58396121391554767</v>
      </c>
      <c r="AZ264" t="b">
        <f t="shared" si="147"/>
        <v>1</v>
      </c>
      <c r="BB264" t="b">
        <f t="shared" si="148"/>
        <v>0</v>
      </c>
      <c r="BD264" t="b">
        <f t="shared" si="149"/>
        <v>1</v>
      </c>
    </row>
    <row r="265" spans="1:56">
      <c r="A265" s="89"/>
      <c r="B265" s="5">
        <f>'[59]Dados de entrada'!$B$28</f>
        <v>12.7</v>
      </c>
      <c r="C265" s="5">
        <f>'[59]Dados de entrada'!$B$31</f>
        <v>2</v>
      </c>
      <c r="D265" s="5">
        <f>'[59]Dados de entrada'!$B$32</f>
        <v>52</v>
      </c>
      <c r="E265" s="11">
        <f>'[59]Dados de entrada'!$B$27</f>
        <v>2.9208758709847928</v>
      </c>
      <c r="F265" s="5">
        <f>'[59]Dados de entrada'!$B$30</f>
        <v>30</v>
      </c>
      <c r="G265" s="5">
        <f>'[59]Dados de entrada'!$B$22</f>
        <v>36.5</v>
      </c>
      <c r="H265" s="78">
        <f>'[59]Dados de entrada'!$B$29/(2*'[59]Dados de entrada'!$B$20*G265)</f>
        <v>2.3141552511415527E-2</v>
      </c>
      <c r="I265" s="53">
        <v>392.3</v>
      </c>
      <c r="J265" s="4">
        <v>0.2</v>
      </c>
      <c r="K265" s="11">
        <v>0.30460035377229411</v>
      </c>
      <c r="L265" s="11">
        <f t="shared" si="146"/>
        <v>1.5230017688614705</v>
      </c>
      <c r="M265" s="29">
        <f t="shared" si="131"/>
        <v>0.42068323534470126</v>
      </c>
      <c r="N265" s="11">
        <v>0.2922790774211681</v>
      </c>
      <c r="O265" s="11">
        <f t="shared" si="145"/>
        <v>1.4613953871058405</v>
      </c>
      <c r="P265" s="11">
        <f t="shared" si="132"/>
        <v>0.37939172388022208</v>
      </c>
      <c r="Q265" s="11">
        <v>0.28912566322518846</v>
      </c>
      <c r="R265" s="11">
        <f t="shared" ref="R265:R293" si="152">Q265/J265</f>
        <v>1.4456283161259422</v>
      </c>
      <c r="S265" s="11">
        <f t="shared" si="133"/>
        <v>0.36854404790560813</v>
      </c>
      <c r="T265" s="11">
        <v>0.29271457269954582</v>
      </c>
      <c r="U265" s="11">
        <v>0.35688308472413011</v>
      </c>
      <c r="V265" s="11">
        <v>1.463572863497729</v>
      </c>
      <c r="W265" s="11">
        <f t="shared" si="134"/>
        <v>0.38088061306299525</v>
      </c>
      <c r="X265" s="11">
        <v>0.30404573484725961</v>
      </c>
      <c r="Y265" s="11">
        <f t="shared" ref="Y265:Y293" si="153">X265/J265</f>
        <v>1.520228674236298</v>
      </c>
      <c r="Z265" s="11">
        <f t="shared" si="135"/>
        <v>0.4188607671191969</v>
      </c>
      <c r="AA265" s="11">
        <v>0.42697819075524601</v>
      </c>
      <c r="AB265" s="11">
        <f t="shared" si="150"/>
        <v>2.1348909537762299</v>
      </c>
      <c r="AC265" s="11">
        <f t="shared" si="151"/>
        <v>0.75841556986154302</v>
      </c>
      <c r="AD265" s="11">
        <v>0.31102671634078205</v>
      </c>
      <c r="AE265" s="11">
        <f t="shared" ref="AE265:AE293" si="154">AD265/J265</f>
        <v>1.5551335817039103</v>
      </c>
      <c r="AF265" s="11">
        <f t="shared" si="136"/>
        <v>0.44156144657434548</v>
      </c>
      <c r="AG265" s="11">
        <v>0.23985994890838896</v>
      </c>
      <c r="AH265" s="11">
        <f t="shared" ref="AH265:AH293" si="155">AG265/J265</f>
        <v>1.1992997445419447</v>
      </c>
      <c r="AI265" s="11">
        <f t="shared" si="137"/>
        <v>0.18173784024954937</v>
      </c>
      <c r="AJ265" s="11">
        <v>0.20988664557260006</v>
      </c>
      <c r="AK265" s="11">
        <f t="shared" ref="AK265:AK293" si="156">AJ265/J265</f>
        <v>1.0494332278630003</v>
      </c>
      <c r="AL265" s="11">
        <f t="shared" si="138"/>
        <v>4.8250235446530405E-2</v>
      </c>
      <c r="AM265" s="11">
        <v>0.31154048866029532</v>
      </c>
      <c r="AN265" s="11">
        <f t="shared" ref="AN265:AN293" si="157">AM265/J265</f>
        <v>1.5577024433014766</v>
      </c>
      <c r="AO265" s="11">
        <f t="shared" si="139"/>
        <v>0.44321194288066668</v>
      </c>
      <c r="AP265" s="11">
        <v>0.37829420906230976</v>
      </c>
      <c r="AQ265" s="11">
        <f t="shared" ref="AQ265:AQ293" si="158">AP265/J265</f>
        <v>1.8914710453115486</v>
      </c>
      <c r="AR265" s="11">
        <f t="shared" si="140"/>
        <v>0.63735485718184315</v>
      </c>
      <c r="AS265" s="11">
        <v>0.36835857345606948</v>
      </c>
      <c r="AT265" s="11">
        <f t="shared" ref="AT265:AT293" si="159">AS265/J265</f>
        <v>1.8417928672803474</v>
      </c>
      <c r="AU265" s="11">
        <f t="shared" si="141"/>
        <v>0.61073948160805935</v>
      </c>
      <c r="AZ265" t="b">
        <f t="shared" si="147"/>
        <v>1</v>
      </c>
      <c r="BB265" t="b">
        <f t="shared" si="148"/>
        <v>0</v>
      </c>
      <c r="BD265" t="b">
        <f t="shared" si="149"/>
        <v>1</v>
      </c>
    </row>
    <row r="266" spans="1:56">
      <c r="A266" s="87" t="s">
        <v>110</v>
      </c>
      <c r="B266" s="5">
        <f>'[60]Dados de entrada'!$B$28</f>
        <v>12.7</v>
      </c>
      <c r="C266" s="5">
        <f>'[60]Dados de entrada'!$B$31</f>
        <v>2</v>
      </c>
      <c r="D266" s="5">
        <f>'[60]Dados de entrada'!$B$32</f>
        <v>52</v>
      </c>
      <c r="E266" s="11">
        <f>'[60]Dados de entrada'!$B$27</f>
        <v>2.9208758709847928</v>
      </c>
      <c r="F266" s="5">
        <f>'[60]Dados de entrada'!$B$30</f>
        <v>30</v>
      </c>
      <c r="G266" s="5">
        <f>'[60]Dados de entrada'!$B$22</f>
        <v>36.5</v>
      </c>
      <c r="H266" s="78">
        <f>'[60]Dados de entrada'!$B$29/(2*'[60]Dados de entrada'!$B$20*G266)</f>
        <v>2.3141552511415527E-2</v>
      </c>
      <c r="I266" s="53" cm="1">
        <f t="array" ref="I266:I267">'[60]fib Model Code 2010'!$K$5:$K$6</f>
        <v>319.13540754297276</v>
      </c>
      <c r="J266" s="4" cm="1">
        <f t="array" ref="J266:J267">'[60]Dados de entrada'!$C$7:$C$8</f>
        <v>0.15</v>
      </c>
      <c r="K266" s="11" cm="1">
        <f t="array" ref="K266:K267">'[60]fib Model Code 2010'!$L$5:$L$6</f>
        <v>0.23377842684639971</v>
      </c>
      <c r="L266" s="11">
        <f t="shared" si="146"/>
        <v>1.5585228456426647</v>
      </c>
      <c r="M266" s="29">
        <f t="shared" si="131"/>
        <v>0.44373847885549034</v>
      </c>
      <c r="N266" s="11" cm="1">
        <f t="array" ref="N266:N267">'[60]fib Model Code 2020'!$L$5:$L$6</f>
        <v>0.21516317296122117</v>
      </c>
      <c r="O266" s="11">
        <f t="shared" si="145"/>
        <v>1.4344211530748079</v>
      </c>
      <c r="P266" s="11">
        <f t="shared" si="132"/>
        <v>0.36076139018471842</v>
      </c>
      <c r="Q266" s="11" cm="1">
        <f t="array" ref="Q266:Q267">'[60]Eurocode 2'!$L$5:$L$6</f>
        <v>0.22190172096856739</v>
      </c>
      <c r="R266" s="11">
        <f t="shared" si="152"/>
        <v>1.479344806457116</v>
      </c>
      <c r="S266" s="11">
        <f t="shared" si="133"/>
        <v>0.39159929141639727</v>
      </c>
      <c r="T266" s="11" cm="1">
        <f t="array" ref="T266:T267">'[60]NBR 6118'!$Q$5:$Q$6</f>
        <v>0.24819962441037818</v>
      </c>
      <c r="U266" s="11" cm="1">
        <f t="array" ref="U266:U267">'[60]NBR 6118'!$R$5:$R$6</f>
        <v>0.25658987527674482</v>
      </c>
      <c r="V266" s="11" cm="1">
        <f t="array" ref="V266:V267">'[60]NBR 6118'!$W$5:$W$6</f>
        <v>1.6546641627358547</v>
      </c>
      <c r="W266" s="11">
        <f t="shared" si="134"/>
        <v>0.50359806541919072</v>
      </c>
      <c r="X266" s="11" cm="1">
        <f t="array" ref="X266:X267">'[60]Clark (1956)'!$L$5:$L$6</f>
        <v>0.23859722063431765</v>
      </c>
      <c r="Y266" s="11">
        <f t="shared" si="153"/>
        <v>1.5906481375621178</v>
      </c>
      <c r="Z266" s="11">
        <f t="shared" si="135"/>
        <v>0.46414156685896663</v>
      </c>
      <c r="AA266" s="11" cm="1">
        <f t="array" ref="AA266:AA267">'[60]Leonhardt (1977)'!$L$5:$L$6</f>
        <v>0.33119968980678799</v>
      </c>
      <c r="AB266" s="11">
        <f t="shared" si="150"/>
        <v>2.2079979320452532</v>
      </c>
      <c r="AC266" s="11">
        <f t="shared" si="151"/>
        <v>0.7920861918407025</v>
      </c>
      <c r="AD266" s="11" cm="1">
        <f t="array" ref="AD266:AD267">'[60]Desayi; Ganesan (1985)'!$L$5:$L$6</f>
        <v>0.25301972438482806</v>
      </c>
      <c r="AE266" s="11">
        <f t="shared" si="154"/>
        <v>1.6867981625655204</v>
      </c>
      <c r="AF266" s="11">
        <f t="shared" si="136"/>
        <v>0.52283215358775392</v>
      </c>
      <c r="AG266" s="11" cm="1">
        <f t="array" ref="AG266:AG267">'[60]Oh; Kang (1987)'!$L$5:$L$6</f>
        <v>0.19004656426846372</v>
      </c>
      <c r="AH266" s="11">
        <f t="shared" si="155"/>
        <v>1.2669770951230916</v>
      </c>
      <c r="AI266" s="11">
        <f t="shared" si="137"/>
        <v>0.23663382313541204</v>
      </c>
      <c r="AJ266" s="11" cm="1">
        <f t="array" ref="AJ266:AJ267">'[60]Caldas (1997)'!$L$5:$L$6</f>
        <v>0.16813769145661173</v>
      </c>
      <c r="AK266" s="11">
        <f t="shared" si="156"/>
        <v>1.1209179430440783</v>
      </c>
      <c r="AL266" s="11">
        <f t="shared" si="138"/>
        <v>0.11414794162852072</v>
      </c>
      <c r="AM266" s="11" cm="1">
        <f t="array" ref="AM266:AM267">'[60]Gergely e Lutz (1968)'!$L$5:$L$6</f>
        <v>0.25343767732536382</v>
      </c>
      <c r="AN266" s="11">
        <f t="shared" si="157"/>
        <v>1.6895845155024256</v>
      </c>
      <c r="AO266" s="11">
        <f t="shared" si="139"/>
        <v>0.52448264989407534</v>
      </c>
      <c r="AP266" s="11" cm="1">
        <f t="array" ref="AP266:AP267">[60]Sugestão!$M$5:$M$6</f>
        <v>0.27006608977715413</v>
      </c>
      <c r="AQ266" s="11">
        <f t="shared" si="158"/>
        <v>1.800440598514361</v>
      </c>
      <c r="AR266" s="11">
        <f t="shared" si="140"/>
        <v>0.58803141190155128</v>
      </c>
      <c r="AS266" s="11" cm="1">
        <f t="array" ref="AS266:AS267">'[60]fib Model Code 2020 modificado'!$L$5:$L$6</f>
        <v>0.27162116372332756</v>
      </c>
      <c r="AT266" s="11">
        <f t="shared" si="159"/>
        <v>1.8108077581555171</v>
      </c>
      <c r="AU266" s="11">
        <f t="shared" si="141"/>
        <v>0.59377302095060625</v>
      </c>
      <c r="AZ266" t="b">
        <f t="shared" si="147"/>
        <v>1</v>
      </c>
      <c r="BB266" t="b">
        <f t="shared" si="148"/>
        <v>0</v>
      </c>
      <c r="BD266" t="b">
        <f t="shared" si="149"/>
        <v>1</v>
      </c>
    </row>
    <row r="267" spans="1:56">
      <c r="A267" s="89"/>
      <c r="B267" s="5">
        <f>'[60]Dados de entrada'!$B$28</f>
        <v>12.7</v>
      </c>
      <c r="C267" s="5">
        <f>'[60]Dados de entrada'!$B$31</f>
        <v>2</v>
      </c>
      <c r="D267" s="5">
        <f>'[60]Dados de entrada'!$B$32</f>
        <v>52</v>
      </c>
      <c r="E267" s="11">
        <f>'[60]Dados de entrada'!$B$27</f>
        <v>2.9208758709847928</v>
      </c>
      <c r="F267" s="5">
        <f>'[60]Dados de entrada'!$B$30</f>
        <v>30</v>
      </c>
      <c r="G267" s="5">
        <f>'[60]Dados de entrada'!$B$22</f>
        <v>36.5</v>
      </c>
      <c r="H267" s="78">
        <f>'[60]Dados de entrada'!$B$29/(2*'[60]Dados de entrada'!$B$20*G267)</f>
        <v>2.3141552511415527E-2</v>
      </c>
      <c r="I267" s="53">
        <v>392.3</v>
      </c>
      <c r="J267" s="4">
        <v>0.2</v>
      </c>
      <c r="K267" s="11">
        <v>0.30460035377229411</v>
      </c>
      <c r="L267" s="11">
        <f t="shared" si="146"/>
        <v>1.5230017688614705</v>
      </c>
      <c r="M267" s="29">
        <f t="shared" si="131"/>
        <v>0.42068323534470126</v>
      </c>
      <c r="N267" s="11">
        <v>0.2922790774211681</v>
      </c>
      <c r="O267" s="11">
        <f t="shared" si="145"/>
        <v>1.4613953871058405</v>
      </c>
      <c r="P267" s="11">
        <f t="shared" si="132"/>
        <v>0.37939172388022208</v>
      </c>
      <c r="Q267" s="11">
        <v>0.28912566322518846</v>
      </c>
      <c r="R267" s="11">
        <f t="shared" si="152"/>
        <v>1.4456283161259422</v>
      </c>
      <c r="S267" s="11">
        <f t="shared" si="133"/>
        <v>0.36854404790560813</v>
      </c>
      <c r="T267" s="11">
        <v>0.29271457269954582</v>
      </c>
      <c r="U267" s="11">
        <v>0.35688308472413011</v>
      </c>
      <c r="V267" s="11">
        <v>1.463572863497729</v>
      </c>
      <c r="W267" s="11">
        <f t="shared" si="134"/>
        <v>0.38088061306299525</v>
      </c>
      <c r="X267" s="11">
        <v>0.30404573484725961</v>
      </c>
      <c r="Y267" s="11">
        <f t="shared" si="153"/>
        <v>1.520228674236298</v>
      </c>
      <c r="Z267" s="11">
        <f t="shared" si="135"/>
        <v>0.4188607671191969</v>
      </c>
      <c r="AA267" s="11">
        <v>0.42697819075524601</v>
      </c>
      <c r="AB267" s="11">
        <f t="shared" si="150"/>
        <v>2.1348909537762299</v>
      </c>
      <c r="AC267" s="11">
        <f t="shared" si="151"/>
        <v>0.75841556986154302</v>
      </c>
      <c r="AD267" s="11">
        <v>0.31102671634078205</v>
      </c>
      <c r="AE267" s="11">
        <f t="shared" si="154"/>
        <v>1.5551335817039103</v>
      </c>
      <c r="AF267" s="11">
        <f t="shared" si="136"/>
        <v>0.44156144657434548</v>
      </c>
      <c r="AG267" s="11">
        <v>0.23985994890838896</v>
      </c>
      <c r="AH267" s="11">
        <f t="shared" si="155"/>
        <v>1.1992997445419447</v>
      </c>
      <c r="AI267" s="11">
        <f t="shared" si="137"/>
        <v>0.18173784024954937</v>
      </c>
      <c r="AJ267" s="11">
        <v>0.20988664557260006</v>
      </c>
      <c r="AK267" s="11">
        <f t="shared" si="156"/>
        <v>1.0494332278630003</v>
      </c>
      <c r="AL267" s="11">
        <f t="shared" si="138"/>
        <v>4.8250235446530405E-2</v>
      </c>
      <c r="AM267" s="11">
        <v>0.31154048866029532</v>
      </c>
      <c r="AN267" s="11">
        <f t="shared" si="157"/>
        <v>1.5577024433014766</v>
      </c>
      <c r="AO267" s="11">
        <f t="shared" si="139"/>
        <v>0.44321194288066668</v>
      </c>
      <c r="AP267" s="11">
        <v>0.37829420906230976</v>
      </c>
      <c r="AQ267" s="11">
        <f t="shared" si="158"/>
        <v>1.8914710453115486</v>
      </c>
      <c r="AR267" s="11">
        <f t="shared" si="140"/>
        <v>0.63735485718184315</v>
      </c>
      <c r="AS267" s="11">
        <v>0.36835857345606948</v>
      </c>
      <c r="AT267" s="11">
        <f t="shared" si="159"/>
        <v>1.8417928672803474</v>
      </c>
      <c r="AU267" s="11">
        <f t="shared" si="141"/>
        <v>0.61073948160805935</v>
      </c>
      <c r="AZ267" t="b">
        <f t="shared" si="147"/>
        <v>1</v>
      </c>
      <c r="BB267" t="b">
        <f t="shared" si="148"/>
        <v>0</v>
      </c>
      <c r="BD267" t="b">
        <f t="shared" si="149"/>
        <v>1</v>
      </c>
    </row>
    <row r="268" spans="1:56" ht="13.2" customHeight="1">
      <c r="A268" s="87" t="s">
        <v>111</v>
      </c>
      <c r="B268" s="5">
        <f>'[61]Dados de entrada'!$B$28</f>
        <v>15.9</v>
      </c>
      <c r="C268" s="5">
        <f>'[61]Dados de entrada'!$B$31</f>
        <v>2</v>
      </c>
      <c r="D268" s="5">
        <f>'[61]Dados de entrada'!$B$32</f>
        <v>46</v>
      </c>
      <c r="E268" s="11">
        <f>'[61]Dados de entrada'!$B$27</f>
        <v>2.9208758709847928</v>
      </c>
      <c r="F268" s="5">
        <f>'[61]Dados de entrada'!$B$30</f>
        <v>30</v>
      </c>
      <c r="G268" s="5">
        <f>'[61]Dados de entrada'!$B$22</f>
        <v>38</v>
      </c>
      <c r="H268" s="78">
        <f>'[61]Dados de entrada'!$B$29/(2*'[61]Dados de entrada'!$B$20*G268)</f>
        <v>3.4842105263157896E-2</v>
      </c>
      <c r="I268" s="53" cm="1">
        <f t="array" ref="I268:I270">'[61]fib Model Code 2010'!$K$5:$K$7</f>
        <v>260.02902224680844</v>
      </c>
      <c r="J268" s="4" cm="1">
        <f t="array" ref="J268:J270">'[61]Dados de entrada'!$C$7:$C$9</f>
        <v>0.15</v>
      </c>
      <c r="K268" s="11" cm="1">
        <f t="array" ref="K268:K270">'[61]fib Model Code 2010'!$L$5:$L$7</f>
        <v>0.1674919062651099</v>
      </c>
      <c r="L268" s="11">
        <f t="shared" si="146"/>
        <v>1.116612708434066</v>
      </c>
      <c r="M268" s="29">
        <f t="shared" si="131"/>
        <v>0.11029973519606363</v>
      </c>
      <c r="N268" s="11" cm="1">
        <f t="array" ref="N268:N270">'[61]fib Model Code 2020'!$L$5:$L$7</f>
        <v>0.16593842049260554</v>
      </c>
      <c r="O268" s="11">
        <f t="shared" si="145"/>
        <v>1.1062561366173704</v>
      </c>
      <c r="P268" s="11">
        <f t="shared" si="132"/>
        <v>0.10098146454935807</v>
      </c>
      <c r="Q268" s="11" cm="1">
        <f t="array" ref="Q268:Q270">'[61]Eurocode 2'!$L$5:$L$7</f>
        <v>0.17071425757771175</v>
      </c>
      <c r="R268" s="11">
        <f t="shared" si="152"/>
        <v>1.1380950505180785</v>
      </c>
      <c r="S268" s="11">
        <f t="shared" si="133"/>
        <v>0.12935585639727726</v>
      </c>
      <c r="T268" s="11" cm="1">
        <f t="array" ref="T268:T270">'[61]NBR 6118'!$Q$5:$Q$7</f>
        <v>0.20291053724344324</v>
      </c>
      <c r="U268" s="11" cm="1">
        <f t="array" ref="U268:U270">'[61]NBR 6118'!$R$5:$R$7</f>
        <v>0.2159647123648005</v>
      </c>
      <c r="V268" s="11" cm="1">
        <f t="array" ref="V268:V270">'[61]NBR 6118'!$W$5:$W$7</f>
        <v>1.3527369149562882</v>
      </c>
      <c r="W268" s="11">
        <f t="shared" si="134"/>
        <v>0.30212988457305101</v>
      </c>
      <c r="X268" s="11" cm="1">
        <f t="array" ref="X268:X270">'[61]Clark (1956)'!$L$5:$L$7</f>
        <v>0.1678741841935957</v>
      </c>
      <c r="Y268" s="11">
        <f t="shared" si="153"/>
        <v>1.1191612279573047</v>
      </c>
      <c r="Z268" s="11">
        <f t="shared" si="135"/>
        <v>0.11257950112905769</v>
      </c>
      <c r="AA268" s="11" cm="1">
        <f t="array" ref="AA268:AA270">'[61]Leonhardt (1977)'!$L$5:$L$7</f>
        <v>0.26351316056177404</v>
      </c>
      <c r="AB268" s="11">
        <f t="shared" si="150"/>
        <v>1.7567544037451603</v>
      </c>
      <c r="AC268" s="11">
        <f t="shared" si="151"/>
        <v>0.56346801784391465</v>
      </c>
      <c r="AD268" s="11" cm="1">
        <f t="array" ref="AD268:AD270">'[61]Desayi; Ganesan (1985)'!$L$5:$L$7</f>
        <v>0.20014638609567872</v>
      </c>
      <c r="AE268" s="11">
        <f t="shared" si="154"/>
        <v>1.3343092406378583</v>
      </c>
      <c r="AF268" s="11">
        <f t="shared" si="136"/>
        <v>0.28841373519969415</v>
      </c>
      <c r="AG268" s="11" cm="1">
        <f t="array" ref="AG268:AG270">'[61]Oh; Kang (1987)'!$L$5:$L$7</f>
        <v>0.16506313820449167</v>
      </c>
      <c r="AH268" s="11">
        <f t="shared" si="155"/>
        <v>1.1004209213632778</v>
      </c>
      <c r="AI268" s="11">
        <f t="shared" si="137"/>
        <v>9.5692762395069575E-2</v>
      </c>
      <c r="AJ268" s="11" cm="1">
        <f t="array" ref="AJ268:AJ270">'[61]Caldas (1997)'!$L$5:$L$7</f>
        <v>0.1381439747701679</v>
      </c>
      <c r="AK268" s="11">
        <f t="shared" si="156"/>
        <v>0.9209598318011194</v>
      </c>
      <c r="AL268" s="11">
        <f t="shared" si="138"/>
        <v>-8.2338857357500725E-2</v>
      </c>
      <c r="AM268" s="11" cm="1">
        <f t="array" ref="AM268:AM270">'[61]Gergely e Lutz (1968)'!$L$5:$L$7</f>
        <v>0.21761687204786706</v>
      </c>
      <c r="AN268" s="11">
        <f t="shared" si="157"/>
        <v>1.4507791469857805</v>
      </c>
      <c r="AO268" s="11">
        <f t="shared" si="139"/>
        <v>0.37210075486437844</v>
      </c>
      <c r="AP268" s="11" cm="1">
        <f t="array" ref="AP268:AP270">[61]Sugestão!$M$5:$M$7</f>
        <v>0.18715407179110796</v>
      </c>
      <c r="AQ268" s="11">
        <f t="shared" si="158"/>
        <v>1.2476938119407197</v>
      </c>
      <c r="AR268" s="11">
        <f t="shared" si="140"/>
        <v>0.22129689684950127</v>
      </c>
      <c r="AS268" s="11" cm="1">
        <f t="array" ref="AS268:AS270">'[61]fib Model Code 2020 modificado'!$L$5:$L$7</f>
        <v>0.22731064085675326</v>
      </c>
      <c r="AT268" s="11">
        <f t="shared" si="159"/>
        <v>1.5154042723783552</v>
      </c>
      <c r="AU268" s="11">
        <f t="shared" si="141"/>
        <v>0.41568224981850971</v>
      </c>
      <c r="AZ268" t="b">
        <f t="shared" si="147"/>
        <v>0</v>
      </c>
      <c r="BB268" t="b">
        <f t="shared" si="148"/>
        <v>1</v>
      </c>
      <c r="BD268" t="b">
        <f t="shared" si="149"/>
        <v>1</v>
      </c>
    </row>
    <row r="269" spans="1:56">
      <c r="A269" s="88"/>
      <c r="B269" s="5">
        <f>'[61]Dados de entrada'!$B$28</f>
        <v>15.9</v>
      </c>
      <c r="C269" s="5">
        <f>'[61]Dados de entrada'!$B$31</f>
        <v>2</v>
      </c>
      <c r="D269" s="5">
        <f>'[61]Dados de entrada'!$B$32</f>
        <v>46</v>
      </c>
      <c r="E269" s="11">
        <f>'[61]Dados de entrada'!$B$27</f>
        <v>2.9208758709847928</v>
      </c>
      <c r="F269" s="5">
        <f>'[61]Dados de entrada'!$B$30</f>
        <v>30</v>
      </c>
      <c r="G269" s="5">
        <f>'[61]Dados de entrada'!$B$22</f>
        <v>38</v>
      </c>
      <c r="H269" s="78">
        <f>'[61]Dados de entrada'!$B$29/(2*'[61]Dados de entrada'!$B$20*G269)</f>
        <v>3.4842105263157896E-2</v>
      </c>
      <c r="I269" s="53">
        <v>365.37411331090004</v>
      </c>
      <c r="J269" s="4">
        <v>0.25</v>
      </c>
      <c r="K269" s="11">
        <v>0.251925495788488</v>
      </c>
      <c r="L269" s="11">
        <f t="shared" si="146"/>
        <v>1.007701983153952</v>
      </c>
      <c r="M269" s="29">
        <f t="shared" ref="M269:M293" si="160">LN(L269)</f>
        <v>7.6724743026324862E-3</v>
      </c>
      <c r="N269" s="11">
        <v>0.26816066312683373</v>
      </c>
      <c r="O269" s="11">
        <f t="shared" si="145"/>
        <v>1.0726426525073349</v>
      </c>
      <c r="P269" s="11">
        <f t="shared" ref="P269:P293" si="161">LN(O269)</f>
        <v>7.012537230592665E-2</v>
      </c>
      <c r="Q269" s="11">
        <v>0.25677225208933863</v>
      </c>
      <c r="R269" s="11">
        <f t="shared" si="152"/>
        <v>1.0270890083573545</v>
      </c>
      <c r="S269" s="11">
        <f t="shared" ref="S269:S293" si="162">LN(R269)</f>
        <v>2.6728595503845976E-2</v>
      </c>
      <c r="T269" s="11">
        <v>0.28511531899847925</v>
      </c>
      <c r="U269" s="11">
        <v>0.42639754754765979</v>
      </c>
      <c r="V269" s="11">
        <v>1.140461275993917</v>
      </c>
      <c r="W269" s="11">
        <f t="shared" ref="W269:W293" si="163">LN(V269)</f>
        <v>0.13143280863138387</v>
      </c>
      <c r="X269" s="11">
        <v>0.24623422313174248</v>
      </c>
      <c r="Y269" s="11">
        <f t="shared" si="153"/>
        <v>0.98493689252696992</v>
      </c>
      <c r="Z269" s="11">
        <f t="shared" ref="Z269:Z293" si="164">LN(Y269)</f>
        <v>-1.517770836306037E-2</v>
      </c>
      <c r="AA269" s="11">
        <v>0.39358361903775879</v>
      </c>
      <c r="AB269" s="11">
        <f t="shared" si="150"/>
        <v>1.5743344761510352</v>
      </c>
      <c r="AC269" s="11">
        <f t="shared" si="151"/>
        <v>0.45383262815140946</v>
      </c>
      <c r="AD269" s="11">
        <v>0.28123133225751779</v>
      </c>
      <c r="AE269" s="11">
        <f t="shared" si="154"/>
        <v>1.1249253290300711</v>
      </c>
      <c r="AF269" s="11">
        <f t="shared" ref="AF269:AF293" si="165">LN(AE269)</f>
        <v>0.11771665925802674</v>
      </c>
      <c r="AG269" s="11">
        <v>0.24409176428260956</v>
      </c>
      <c r="AH269" s="11">
        <f t="shared" si="155"/>
        <v>0.97636705713043825</v>
      </c>
      <c r="AI269" s="11">
        <f t="shared" ref="AI269:AI293" si="166">LN(AH269)</f>
        <v>-2.391668014512828E-2</v>
      </c>
      <c r="AJ269" s="11">
        <v>0.19923392556937053</v>
      </c>
      <c r="AK269" s="11">
        <f t="shared" si="156"/>
        <v>0.79693570227748212</v>
      </c>
      <c r="AL269" s="11">
        <f t="shared" ref="AL269:AL293" si="167">LN(AK269)</f>
        <v>-0.22698127812950869</v>
      </c>
      <c r="AM269" s="11">
        <v>0.30577960482623368</v>
      </c>
      <c r="AN269" s="11">
        <f t="shared" si="157"/>
        <v>1.2231184193049347</v>
      </c>
      <c r="AO269" s="11">
        <f t="shared" ref="AO269:AO293" si="168">LN(AN269)</f>
        <v>0.20140367892271097</v>
      </c>
      <c r="AP269" s="11">
        <v>0.3213019786086907</v>
      </c>
      <c r="AQ269" s="11">
        <f t="shared" si="158"/>
        <v>1.2852079144347628</v>
      </c>
      <c r="AR269" s="11">
        <f t="shared" ref="AR269:AR293" si="169">LN(AQ269)</f>
        <v>0.25092050637534119</v>
      </c>
      <c r="AS269" s="11">
        <v>0.36886297806916946</v>
      </c>
      <c r="AT269" s="11">
        <f t="shared" si="159"/>
        <v>1.4754519122766778</v>
      </c>
      <c r="AU269" s="11">
        <f t="shared" ref="AU269:AU293" si="170">LN(AT269)</f>
        <v>0.38896432407117365</v>
      </c>
      <c r="AZ269" t="b">
        <f t="shared" si="147"/>
        <v>0</v>
      </c>
      <c r="BB269" t="b">
        <f t="shared" si="148"/>
        <v>1</v>
      </c>
      <c r="BD269" t="b">
        <f t="shared" si="149"/>
        <v>1</v>
      </c>
    </row>
    <row r="270" spans="1:56">
      <c r="A270" s="89"/>
      <c r="B270" s="5">
        <f>'[61]Dados de entrada'!$B$28</f>
        <v>15.9</v>
      </c>
      <c r="C270" s="5">
        <f>'[61]Dados de entrada'!$B$31</f>
        <v>2</v>
      </c>
      <c r="D270" s="5">
        <f>'[61]Dados de entrada'!$B$32</f>
        <v>46</v>
      </c>
      <c r="E270" s="11">
        <f>'[61]Dados de entrada'!$B$27</f>
        <v>2.9208758709847928</v>
      </c>
      <c r="F270" s="5">
        <f>'[61]Dados de entrada'!$B$30</f>
        <v>30</v>
      </c>
      <c r="G270" s="5">
        <f>'[61]Dados de entrada'!$B$22</f>
        <v>38</v>
      </c>
      <c r="H270" s="78">
        <f>'[61]Dados de entrada'!$B$29/(2*'[61]Dados de entrada'!$B$20*G270)</f>
        <v>3.4842105263157896E-2</v>
      </c>
      <c r="I270" s="53">
        <v>392.3</v>
      </c>
      <c r="J270" s="4">
        <v>0.3</v>
      </c>
      <c r="K270" s="11">
        <v>0.27350646592479266</v>
      </c>
      <c r="L270" s="11">
        <f t="shared" si="146"/>
        <v>0.91168821974930891</v>
      </c>
      <c r="M270" s="29">
        <f t="shared" si="160"/>
        <v>-9.2457211666698624E-2</v>
      </c>
      <c r="N270" s="11">
        <v>0.2942883592014458</v>
      </c>
      <c r="O270" s="11">
        <f t="shared" si="145"/>
        <v>0.98096119733815268</v>
      </c>
      <c r="P270" s="11">
        <f t="shared" si="161"/>
        <v>-1.9222374390547175E-2</v>
      </c>
      <c r="Q270" s="11">
        <v>0.27876841522807938</v>
      </c>
      <c r="R270" s="11">
        <f t="shared" si="152"/>
        <v>0.9292280507602646</v>
      </c>
      <c r="S270" s="11">
        <f t="shared" si="162"/>
        <v>-7.3401090465484917E-2</v>
      </c>
      <c r="T270" s="11">
        <v>0.29185886340253192</v>
      </c>
      <c r="U270" s="11">
        <v>0.4468063816624937</v>
      </c>
      <c r="V270" s="11">
        <v>0.97286287800843974</v>
      </c>
      <c r="W270" s="11">
        <f t="shared" si="163"/>
        <v>-2.7512133748408482E-2</v>
      </c>
      <c r="X270" s="11">
        <v>0.26626281210622382</v>
      </c>
      <c r="Y270" s="11">
        <f t="shared" si="153"/>
        <v>0.88754270702074611</v>
      </c>
      <c r="Z270" s="11">
        <f t="shared" si="164"/>
        <v>-0.1192986382035683</v>
      </c>
      <c r="AA270" s="11">
        <v>0.42599386724750998</v>
      </c>
      <c r="AB270" s="11">
        <f t="shared" si="150"/>
        <v>1.4199795574917</v>
      </c>
      <c r="AC270" s="11">
        <f t="shared" si="151"/>
        <v>0.35064247537693843</v>
      </c>
      <c r="AD270" s="11">
        <v>0.30195639927765211</v>
      </c>
      <c r="AE270" s="11">
        <f t="shared" si="154"/>
        <v>1.006521330925507</v>
      </c>
      <c r="AF270" s="11">
        <f t="shared" si="165"/>
        <v>6.5001590430396996E-3</v>
      </c>
      <c r="AG270" s="11">
        <v>0.26429124210811206</v>
      </c>
      <c r="AH270" s="11">
        <f t="shared" si="155"/>
        <v>0.88097080702704023</v>
      </c>
      <c r="AI270" s="11">
        <f t="shared" si="166"/>
        <v>-0.12673078977313373</v>
      </c>
      <c r="AJ270" s="11">
        <v>0.21484833224410843</v>
      </c>
      <c r="AK270" s="11">
        <f t="shared" si="156"/>
        <v>0.71616110748036144</v>
      </c>
      <c r="AL270" s="11">
        <f t="shared" si="167"/>
        <v>-0.33385012688511323</v>
      </c>
      <c r="AM270" s="11">
        <v>0.32831373270075848</v>
      </c>
      <c r="AN270" s="11">
        <f t="shared" si="157"/>
        <v>1.0943791090025283</v>
      </c>
      <c r="AO270" s="11">
        <f t="shared" si="168"/>
        <v>9.0187178707723983E-2</v>
      </c>
      <c r="AP270" s="11">
        <v>0.35558977789829044</v>
      </c>
      <c r="AQ270" s="11">
        <f t="shared" si="158"/>
        <v>1.1852992596609682</v>
      </c>
      <c r="AR270" s="11">
        <f t="shared" si="169"/>
        <v>0.1699952825025727</v>
      </c>
      <c r="AS270" s="11">
        <v>0.4063819103105144</v>
      </c>
      <c r="AT270" s="11">
        <f t="shared" si="159"/>
        <v>1.3546063677017148</v>
      </c>
      <c r="AU270" s="11">
        <f t="shared" si="170"/>
        <v>0.30351090858616675</v>
      </c>
      <c r="AZ270" t="b">
        <f t="shared" si="147"/>
        <v>0</v>
      </c>
      <c r="BB270" t="b">
        <f t="shared" si="148"/>
        <v>1</v>
      </c>
      <c r="BD270" t="b">
        <f t="shared" si="149"/>
        <v>1</v>
      </c>
    </row>
    <row r="271" spans="1:56" ht="13.2" customHeight="1">
      <c r="A271" s="87" t="s">
        <v>112</v>
      </c>
      <c r="B271" s="5">
        <f>'[62]Dados de entrada'!$B$28</f>
        <v>15.9</v>
      </c>
      <c r="C271" s="5">
        <f>'[62]Dados de entrada'!$B$31</f>
        <v>2</v>
      </c>
      <c r="D271" s="5">
        <f>'[62]Dados de entrada'!$B$32</f>
        <v>46</v>
      </c>
      <c r="E271" s="11">
        <f>'[62]Dados de entrada'!$B$27</f>
        <v>2.9208758709847928</v>
      </c>
      <c r="F271" s="5">
        <f>'[62]Dados de entrada'!$B$30</f>
        <v>30</v>
      </c>
      <c r="G271" s="5">
        <f>'[62]Dados de entrada'!$B$22</f>
        <v>38</v>
      </c>
      <c r="H271" s="78">
        <f>'[62]Dados de entrada'!$B$29/(2*'[62]Dados de entrada'!$B$20*G271)</f>
        <v>3.4842105263157896E-2</v>
      </c>
      <c r="I271" s="53" cm="1">
        <f t="array" ref="I271:I272">'[62]fib Model Code 2010'!$K$5:$K$6</f>
        <v>261.36250441217675</v>
      </c>
      <c r="J271" s="4" cm="1">
        <f t="array" ref="J271:J272">'[62]Dados de entrada'!$C$7:$C$8</f>
        <v>0.15</v>
      </c>
      <c r="K271" s="11" cm="1">
        <f t="array" ref="K271:K272">'[62]fib Model Code 2010'!$L$5:$L$6</f>
        <v>0.16856068587932993</v>
      </c>
      <c r="L271" s="11">
        <f t="shared" si="146"/>
        <v>1.1237379058621997</v>
      </c>
      <c r="M271" s="29">
        <f t="shared" si="160"/>
        <v>0.11666054444295333</v>
      </c>
      <c r="N271" s="11" cm="1">
        <f t="array" ref="N271:N272">'[62]fib Model Code 2020'!$L$5:$L$6</f>
        <v>0.16723237293101356</v>
      </c>
      <c r="O271" s="11">
        <f t="shared" si="145"/>
        <v>1.1148824862067572</v>
      </c>
      <c r="P271" s="11">
        <f t="shared" si="161"/>
        <v>0.10874900582125245</v>
      </c>
      <c r="Q271" s="11" cm="1">
        <f t="array" ref="Q271:Q272">'[62]Eurocode 2'!$L$5:$L$6</f>
        <v>0.17180359928039066</v>
      </c>
      <c r="R271" s="11">
        <f t="shared" si="152"/>
        <v>1.1453573285359377</v>
      </c>
      <c r="S271" s="11">
        <f t="shared" si="162"/>
        <v>0.13571666564416693</v>
      </c>
      <c r="T271" s="11" cm="1">
        <f t="array" ref="T271:T272">'[62]NBR 6118'!$Q$5:$Q$6</f>
        <v>0.20395110410110193</v>
      </c>
      <c r="U271" s="11" cm="1">
        <f t="array" ref="U271:U272">'[62]NBR 6118'!$R$5:$R$6</f>
        <v>0.21818541460108287</v>
      </c>
      <c r="V271" s="11" cm="1">
        <f t="array" ref="V271:V272">'[62]NBR 6118'!$W$5:$W$6</f>
        <v>1.3596740273406795</v>
      </c>
      <c r="W271" s="11">
        <f t="shared" si="163"/>
        <v>0.30724498523982147</v>
      </c>
      <c r="X271" s="11" cm="1">
        <f t="array" ref="X271:X272">'[62]Clark (1956)'!$L$5:$L$6</f>
        <v>0.1688660834206609</v>
      </c>
      <c r="Y271" s="11">
        <f t="shared" si="153"/>
        <v>1.1257738894710727</v>
      </c>
      <c r="Z271" s="11">
        <f t="shared" si="164"/>
        <v>0.11847070091248894</v>
      </c>
      <c r="AA271" s="11" cm="1">
        <f t="array" ref="AA271:AA272">'[62]Leonhardt (1977)'!$L$5:$L$6</f>
        <v>0.26520845210462046</v>
      </c>
      <c r="AB271" s="11">
        <f t="shared" si="150"/>
        <v>1.7680563473641364</v>
      </c>
      <c r="AC271" s="11">
        <f t="shared" si="151"/>
        <v>0.56988083438866499</v>
      </c>
      <c r="AD271" s="11" cm="1">
        <f t="array" ref="AD271:AD272">'[62]Desayi; Ganesan (1985)'!$L$5:$L$6</f>
        <v>0.20117277781924639</v>
      </c>
      <c r="AE271" s="11">
        <f t="shared" si="154"/>
        <v>1.3411518521283092</v>
      </c>
      <c r="AF271" s="11">
        <f t="shared" si="165"/>
        <v>0.29352883586646483</v>
      </c>
      <c r="AG271" s="11" cm="1">
        <f t="array" ref="AG271:AG272">'[62]Oh; Kang (1987)'!$L$5:$L$6</f>
        <v>0.16606350055991093</v>
      </c>
      <c r="AH271" s="11">
        <f t="shared" si="155"/>
        <v>1.1070900037327396</v>
      </c>
      <c r="AI271" s="11">
        <f t="shared" si="166"/>
        <v>0.10173495460644366</v>
      </c>
      <c r="AJ271" s="11" cm="1">
        <f t="array" ref="AJ271:AJ272">'[62]Caldas (1997)'!$L$5:$L$6</f>
        <v>0.13891726528661352</v>
      </c>
      <c r="AK271" s="11">
        <f t="shared" si="156"/>
        <v>0.92611510191075685</v>
      </c>
      <c r="AL271" s="11">
        <f t="shared" si="167"/>
        <v>-7.6756751940969592E-2</v>
      </c>
      <c r="AM271" s="11" cm="1">
        <f t="array" ref="AM271:AM272">'[62]Gergely e Lutz (1968)'!$L$5:$L$6</f>
        <v>0.21873285600708692</v>
      </c>
      <c r="AN271" s="11">
        <f t="shared" si="157"/>
        <v>1.4582190400472461</v>
      </c>
      <c r="AO271" s="11">
        <f t="shared" si="168"/>
        <v>0.37721585553114889</v>
      </c>
      <c r="AP271" s="11" cm="1">
        <f t="array" ref="AP271:AP272">[62]Sugestão!$M$5:$M$6</f>
        <v>0.18885214656095087</v>
      </c>
      <c r="AQ271" s="11">
        <f t="shared" si="158"/>
        <v>1.2590143104063392</v>
      </c>
      <c r="AR271" s="11">
        <f t="shared" si="169"/>
        <v>0.23032912148398157</v>
      </c>
      <c r="AS271" s="11" cm="1">
        <f t="array" ref="AS271:AS272">'[62]fib Model Code 2020 modificado'!$L$5:$L$6</f>
        <v>0.22905031355298408</v>
      </c>
      <c r="AT271" s="11">
        <f t="shared" si="159"/>
        <v>1.5270020903532273</v>
      </c>
      <c r="AU271" s="11">
        <f t="shared" si="170"/>
        <v>0.42330639516367058</v>
      </c>
      <c r="AZ271" t="b">
        <f t="shared" si="147"/>
        <v>0</v>
      </c>
      <c r="BB271" t="b">
        <f t="shared" si="148"/>
        <v>1</v>
      </c>
      <c r="BD271" t="b">
        <f t="shared" si="149"/>
        <v>1</v>
      </c>
    </row>
    <row r="272" spans="1:56">
      <c r="A272" s="88"/>
      <c r="B272" s="5">
        <f>'[62]Dados de entrada'!$B$28</f>
        <v>15.9</v>
      </c>
      <c r="C272" s="5">
        <f>'[62]Dados de entrada'!$B$31</f>
        <v>2</v>
      </c>
      <c r="D272" s="5">
        <f>'[62]Dados de entrada'!$B$32</f>
        <v>46</v>
      </c>
      <c r="E272" s="11">
        <f>'[62]Dados de entrada'!$B$27</f>
        <v>2.9208758709847928</v>
      </c>
      <c r="F272" s="5">
        <f>'[62]Dados de entrada'!$B$30</f>
        <v>30</v>
      </c>
      <c r="G272" s="5">
        <f>'[62]Dados de entrada'!$B$22</f>
        <v>38</v>
      </c>
      <c r="H272" s="78">
        <f>'[62]Dados de entrada'!$B$29/(2*'[62]Dados de entrada'!$B$20*G272)</f>
        <v>3.4842105263157896E-2</v>
      </c>
      <c r="I272" s="53">
        <v>366.70759547626835</v>
      </c>
      <c r="J272" s="4">
        <v>0.25</v>
      </c>
      <c r="K272" s="11">
        <v>0.25299427540270802</v>
      </c>
      <c r="L272" s="11">
        <f t="shared" si="146"/>
        <v>1.0119771016108321</v>
      </c>
      <c r="M272" s="29">
        <f t="shared" si="160"/>
        <v>1.1905943742515688E-2</v>
      </c>
      <c r="N272" s="11">
        <v>0.26945461556524175</v>
      </c>
      <c r="O272" s="11">
        <f t="shared" si="145"/>
        <v>1.077818462260967</v>
      </c>
      <c r="P272" s="11">
        <f t="shared" si="161"/>
        <v>7.4939055950218464E-2</v>
      </c>
      <c r="Q272" s="11">
        <v>0.25786159379201756</v>
      </c>
      <c r="R272" s="11">
        <f t="shared" si="152"/>
        <v>1.0314463751680703</v>
      </c>
      <c r="S272" s="11">
        <f t="shared" si="162"/>
        <v>3.0962064943729418E-2</v>
      </c>
      <c r="T272" s="11">
        <v>0.28615588585613794</v>
      </c>
      <c r="U272" s="11">
        <v>0.42951561795103321</v>
      </c>
      <c r="V272" s="11">
        <v>1.1446235434245517</v>
      </c>
      <c r="W272" s="11">
        <f t="shared" si="163"/>
        <v>0.13507579990988494</v>
      </c>
      <c r="X272" s="11">
        <v>0.24722612235880767</v>
      </c>
      <c r="Y272" s="11">
        <f t="shared" si="153"/>
        <v>0.98890448943523068</v>
      </c>
      <c r="Z272" s="11">
        <f t="shared" si="164"/>
        <v>-1.1157524889183036E-2</v>
      </c>
      <c r="AA272" s="11">
        <v>0.39519438566208898</v>
      </c>
      <c r="AB272" s="11">
        <f t="shared" si="150"/>
        <v>1.5807775426483559</v>
      </c>
      <c r="AC272" s="11">
        <f t="shared" si="151"/>
        <v>0.45791684158993051</v>
      </c>
      <c r="AD272" s="11">
        <v>0.28225772398108545</v>
      </c>
      <c r="AE272" s="11">
        <f t="shared" si="154"/>
        <v>1.1290308959243418</v>
      </c>
      <c r="AF272" s="11">
        <f t="shared" si="165"/>
        <v>0.12135965053652811</v>
      </c>
      <c r="AG272" s="11">
        <v>0.24509212663802887</v>
      </c>
      <c r="AH272" s="11">
        <f t="shared" si="155"/>
        <v>0.98036850655211549</v>
      </c>
      <c r="AI272" s="11">
        <f t="shared" si="166"/>
        <v>-1.9826750903993797E-2</v>
      </c>
      <c r="AJ272" s="11">
        <v>0.20000721608581618</v>
      </c>
      <c r="AK272" s="11">
        <f t="shared" si="156"/>
        <v>0.8000288643432647</v>
      </c>
      <c r="AL272" s="11">
        <f t="shared" si="167"/>
        <v>-0.2231074715360119</v>
      </c>
      <c r="AM272" s="11">
        <v>0.30689558878545359</v>
      </c>
      <c r="AN272" s="11">
        <f t="shared" si="157"/>
        <v>1.2275823551418144</v>
      </c>
      <c r="AO272" s="11">
        <f t="shared" si="168"/>
        <v>0.20504667020121231</v>
      </c>
      <c r="AP272" s="11">
        <v>0.3230000533785336</v>
      </c>
      <c r="AQ272" s="11">
        <f t="shared" si="158"/>
        <v>1.2920002135141344</v>
      </c>
      <c r="AR272" s="11">
        <f t="shared" si="169"/>
        <v>0.25619157061901443</v>
      </c>
      <c r="AS272" s="11">
        <v>0.37070824548873837</v>
      </c>
      <c r="AT272" s="11">
        <f t="shared" si="159"/>
        <v>1.4828329819549535</v>
      </c>
      <c r="AU272" s="11">
        <f t="shared" si="170"/>
        <v>0.39395443507037065</v>
      </c>
      <c r="AZ272" t="b">
        <f t="shared" si="147"/>
        <v>0</v>
      </c>
      <c r="BB272" t="b">
        <f t="shared" si="148"/>
        <v>1</v>
      </c>
      <c r="BD272" t="b">
        <f t="shared" si="149"/>
        <v>1</v>
      </c>
    </row>
    <row r="273" spans="1:56" ht="13.2" customHeight="1">
      <c r="A273" s="87" t="s">
        <v>114</v>
      </c>
      <c r="B273" s="5">
        <f>'[63]Dados de entrada'!$B$28</f>
        <v>19.100000000000001</v>
      </c>
      <c r="C273" s="5">
        <f>'[63]Dados de entrada'!$B$31</f>
        <v>2</v>
      </c>
      <c r="D273" s="5">
        <f>'[63]Dados de entrada'!$B$32</f>
        <v>40</v>
      </c>
      <c r="E273" s="11">
        <f>'[63]Dados de entrada'!$B$27</f>
        <v>2.9208758709847928</v>
      </c>
      <c r="F273" s="5">
        <f>'[63]Dados de entrada'!$B$30</f>
        <v>30</v>
      </c>
      <c r="G273" s="5">
        <f>'[63]Dados de entrada'!$B$22</f>
        <v>39.5</v>
      </c>
      <c r="H273" s="78">
        <f>'[63]Dados de entrada'!$B$29/(2*'[63]Dados de entrada'!$B$20*G273)</f>
        <v>4.8354430379746835E-2</v>
      </c>
      <c r="I273" s="53" cm="1">
        <f t="array" ref="I273:I276">'[63]fib Model Code 2010'!$K$5:$K$8</f>
        <v>187.02573904138569</v>
      </c>
      <c r="J273" s="4" cm="1">
        <f t="array" ref="J273:J276">'[63]Dados de entrada'!$C$7:$C$10</f>
        <v>0.15</v>
      </c>
      <c r="K273" s="11" cm="1">
        <f t="array" ref="K273:K276">'[63]fib Model Code 2010'!$L$5:$L$8</f>
        <v>0.10386548783744019</v>
      </c>
      <c r="L273" s="11">
        <f t="shared" si="146"/>
        <v>0.69243658558293464</v>
      </c>
      <c r="M273" s="29">
        <f t="shared" si="160"/>
        <v>-0.36753861827915912</v>
      </c>
      <c r="N273" s="11" cm="1">
        <f t="array" ref="N273:N276">'[63]fib Model Code 2020'!$L$5:$L$8</f>
        <v>0.10247434514056784</v>
      </c>
      <c r="O273" s="11">
        <f t="shared" si="145"/>
        <v>0.68316230093711894</v>
      </c>
      <c r="P273" s="11">
        <f t="shared" si="161"/>
        <v>-0.381022818157424</v>
      </c>
      <c r="Q273" s="11" cm="1">
        <f t="array" ref="Q273:Q276">'[63]Eurocode 2'!$L$5:$L$8</f>
        <v>0.11245220647895145</v>
      </c>
      <c r="R273" s="11">
        <f t="shared" si="152"/>
        <v>0.74968137652634304</v>
      </c>
      <c r="S273" s="11">
        <f t="shared" si="162"/>
        <v>-0.28810699401637241</v>
      </c>
      <c r="T273" s="11" cm="1">
        <f t="array" ref="T273:T276">'[63]NBR 6118'!$Q$5:$Q$8</f>
        <v>0.14814917423039506</v>
      </c>
      <c r="U273" s="11" cm="1">
        <f t="array" ref="U273:U276">'[63]NBR 6118'!$R$5:$R$8</f>
        <v>0.1355080739737812</v>
      </c>
      <c r="V273" s="11" cm="1">
        <f t="array" ref="V273:V276">'[63]NBR 6118'!$W$5:$W$8</f>
        <v>0.90338715982520801</v>
      </c>
      <c r="W273" s="11">
        <f t="shared" si="163"/>
        <v>-0.10160406902933597</v>
      </c>
      <c r="X273" s="11" cm="1">
        <f t="array" ref="X273:X276">'[63]Clark (1956)'!$L$5:$L$8</f>
        <v>0.10457083423101082</v>
      </c>
      <c r="Y273" s="11">
        <f t="shared" si="153"/>
        <v>0.69713889487340552</v>
      </c>
      <c r="Z273" s="11">
        <f t="shared" si="164"/>
        <v>-0.3607706127896389</v>
      </c>
      <c r="AA273" s="11" cm="1">
        <f t="array" ref="AA273:AA276">'[63]Leonhardt (1977)'!$L$5:$L$8</f>
        <v>0.17816304051344647</v>
      </c>
      <c r="AB273" s="11">
        <f t="shared" si="150"/>
        <v>1.1877536034229765</v>
      </c>
      <c r="AC273" s="11">
        <f t="shared" si="151"/>
        <v>0.17206379490304602</v>
      </c>
      <c r="AD273" s="11" cm="1">
        <f t="array" ref="AD273:AD276">'[63]Desayi; Ganesan (1985)'!$L$5:$L$8</f>
        <v>0.14126225441748413</v>
      </c>
      <c r="AE273" s="11">
        <f t="shared" si="154"/>
        <v>0.9417483627832276</v>
      </c>
      <c r="AF273" s="11">
        <f t="shared" si="165"/>
        <v>-6.0017170894930097E-2</v>
      </c>
      <c r="AG273" s="11" cm="1">
        <f t="array" ref="AG273:AG276">'[63]Oh; Kang (1987)'!$L$5:$L$8</f>
        <v>0.12045195342623187</v>
      </c>
      <c r="AH273" s="11">
        <f t="shared" si="155"/>
        <v>0.80301302284154585</v>
      </c>
      <c r="AI273" s="11">
        <f t="shared" si="166"/>
        <v>-0.21938434743145696</v>
      </c>
      <c r="AJ273" s="11" cm="1">
        <f t="array" ref="AJ273:AJ276">'[63]Caldas (1997)'!$L$5:$L$8</f>
        <v>9.7961980084099287E-2</v>
      </c>
      <c r="AK273" s="11">
        <f t="shared" si="156"/>
        <v>0.65307986722732858</v>
      </c>
      <c r="AL273" s="11">
        <f t="shared" si="167"/>
        <v>-0.42605584902650223</v>
      </c>
      <c r="AM273" s="11" cm="1">
        <f t="array" ref="AM273:AM276">'[63]Gergely e Lutz (1968)'!$L$5:$L$8</f>
        <v>0.16516121781174603</v>
      </c>
      <c r="AN273" s="11">
        <f t="shared" si="157"/>
        <v>1.1010747854116403</v>
      </c>
      <c r="AO273" s="11">
        <f t="shared" si="168"/>
        <v>9.6286780421611207E-2</v>
      </c>
      <c r="AP273" s="11" cm="1">
        <f t="array" ref="AP273:AP276">[63]Sugestão!$M$5:$M$8</f>
        <v>0.10247434514056784</v>
      </c>
      <c r="AQ273" s="11">
        <f t="shared" si="158"/>
        <v>0.68316230093711894</v>
      </c>
      <c r="AR273" s="11">
        <f t="shared" si="169"/>
        <v>-0.381022818157424</v>
      </c>
      <c r="AS273" s="11" cm="1">
        <f t="array" ref="AS273:AS276">'[63]fib Model Code 2020 modificado'!$L$5:$L$8</f>
        <v>0.15494441608752402</v>
      </c>
      <c r="AT273" s="11">
        <f t="shared" si="159"/>
        <v>1.0329627739168268</v>
      </c>
      <c r="AU273" s="11">
        <f t="shared" si="170"/>
        <v>3.2431152621581812E-2</v>
      </c>
      <c r="AZ273" t="b">
        <f t="shared" si="147"/>
        <v>0</v>
      </c>
      <c r="BB273" t="b">
        <f t="shared" si="148"/>
        <v>1</v>
      </c>
      <c r="BD273" t="b">
        <f t="shared" si="149"/>
        <v>1</v>
      </c>
    </row>
    <row r="274" spans="1:56">
      <c r="A274" s="88"/>
      <c r="B274" s="5">
        <f>'[63]Dados de entrada'!$B$28</f>
        <v>19.100000000000001</v>
      </c>
      <c r="C274" s="5">
        <f>'[63]Dados de entrada'!$B$31</f>
        <v>2</v>
      </c>
      <c r="D274" s="5">
        <f>'[63]Dados de entrada'!$B$32</f>
        <v>40</v>
      </c>
      <c r="E274" s="11">
        <f>'[63]Dados de entrada'!$B$27</f>
        <v>2.9208758709847928</v>
      </c>
      <c r="F274" s="5">
        <f>'[63]Dados de entrada'!$B$30</f>
        <v>30</v>
      </c>
      <c r="G274" s="5">
        <f>'[63]Dados de entrada'!$B$22</f>
        <v>39.5</v>
      </c>
      <c r="H274" s="78">
        <f>'[63]Dados de entrada'!$B$29/(2*'[63]Dados de entrada'!$B$20*G274)</f>
        <v>4.8354430379746835E-2</v>
      </c>
      <c r="I274" s="53">
        <v>261.07653927096982</v>
      </c>
      <c r="J274" s="4">
        <v>0.2</v>
      </c>
      <c r="K274" s="11">
        <v>0.15521803357180655</v>
      </c>
      <c r="L274" s="11">
        <f t="shared" si="146"/>
        <v>0.77609016785903273</v>
      </c>
      <c r="M274" s="29">
        <f t="shared" si="160"/>
        <v>-0.25348656985448531</v>
      </c>
      <c r="N274" s="11">
        <v>0.16913510332806375</v>
      </c>
      <c r="O274" s="11">
        <f t="shared" si="145"/>
        <v>0.8456755166403187</v>
      </c>
      <c r="P274" s="11">
        <f t="shared" si="161"/>
        <v>-0.16761954302060086</v>
      </c>
      <c r="Q274" s="11">
        <v>0.16805014566331994</v>
      </c>
      <c r="R274" s="11">
        <f t="shared" si="152"/>
        <v>0.84025072831659964</v>
      </c>
      <c r="S274" s="11">
        <f t="shared" si="162"/>
        <v>-0.17405494559169857</v>
      </c>
      <c r="T274" s="11">
        <v>0.20680722291045003</v>
      </c>
      <c r="U274" s="11">
        <v>0.2640572571894973</v>
      </c>
      <c r="V274" s="11">
        <v>1.0340361145522501</v>
      </c>
      <c r="W274" s="11">
        <f t="shared" si="163"/>
        <v>3.3469702509426644E-2</v>
      </c>
      <c r="X274" s="11">
        <v>0.15224844195882856</v>
      </c>
      <c r="Y274" s="11">
        <f t="shared" si="153"/>
        <v>0.7612422097941427</v>
      </c>
      <c r="Z274" s="11">
        <f t="shared" si="164"/>
        <v>-0.2728036934499421</v>
      </c>
      <c r="AA274" s="11">
        <v>0.26957165351417106</v>
      </c>
      <c r="AB274" s="11">
        <f t="shared" si="150"/>
        <v>1.3478582675708553</v>
      </c>
      <c r="AC274" s="11">
        <f t="shared" si="151"/>
        <v>0.29851686421063767</v>
      </c>
      <c r="AD274" s="11">
        <v>0.19719350235943212</v>
      </c>
      <c r="AE274" s="11">
        <f t="shared" si="154"/>
        <v>0.98596751179716058</v>
      </c>
      <c r="AF274" s="11">
        <f t="shared" si="165"/>
        <v>-1.4131874418128541E-2</v>
      </c>
      <c r="AG274" s="11">
        <v>0.18111863395839592</v>
      </c>
      <c r="AH274" s="11">
        <f t="shared" si="155"/>
        <v>0.90559316979197957</v>
      </c>
      <c r="AI274" s="11">
        <f t="shared" si="166"/>
        <v>-9.9165113752496314E-2</v>
      </c>
      <c r="AJ274" s="11">
        <v>0.14156003614041548</v>
      </c>
      <c r="AK274" s="11">
        <f t="shared" si="156"/>
        <v>0.7078001807020774</v>
      </c>
      <c r="AL274" s="11">
        <f t="shared" si="167"/>
        <v>-0.3455934557697648</v>
      </c>
      <c r="AM274" s="11">
        <v>0.2305549994834018</v>
      </c>
      <c r="AN274" s="11">
        <f t="shared" si="157"/>
        <v>1.152774997417009</v>
      </c>
      <c r="AO274" s="11">
        <f t="shared" si="168"/>
        <v>0.14217207689841288</v>
      </c>
      <c r="AP274" s="11">
        <v>0.18555915799000014</v>
      </c>
      <c r="AQ274" s="11">
        <f t="shared" si="158"/>
        <v>0.92779578995000067</v>
      </c>
      <c r="AR274" s="11">
        <f t="shared" si="169"/>
        <v>-7.4943624344544699E-2</v>
      </c>
      <c r="AS274" s="11">
        <v>0.25309419789992316</v>
      </c>
      <c r="AT274" s="11">
        <f t="shared" si="159"/>
        <v>1.2654709894996157</v>
      </c>
      <c r="AU274" s="11">
        <f t="shared" si="170"/>
        <v>0.23544437659931999</v>
      </c>
      <c r="AZ274" t="b">
        <f t="shared" si="147"/>
        <v>0</v>
      </c>
      <c r="BB274" t="b">
        <f t="shared" si="148"/>
        <v>1</v>
      </c>
      <c r="BD274" t="b">
        <f t="shared" si="149"/>
        <v>1</v>
      </c>
    </row>
    <row r="275" spans="1:56">
      <c r="A275" s="88"/>
      <c r="B275" s="5">
        <f>'[63]Dados de entrada'!$B$28</f>
        <v>19.100000000000001</v>
      </c>
      <c r="C275" s="5">
        <f>'[63]Dados de entrada'!$B$31</f>
        <v>2</v>
      </c>
      <c r="D275" s="5">
        <f>'[63]Dados de entrada'!$B$32</f>
        <v>40</v>
      </c>
      <c r="E275" s="11">
        <f>'[63]Dados de entrada'!$B$27</f>
        <v>2.9208758709847928</v>
      </c>
      <c r="F275" s="5">
        <f>'[63]Dados de entrada'!$B$30</f>
        <v>30</v>
      </c>
      <c r="G275" s="5">
        <f>'[63]Dados de entrada'!$B$22</f>
        <v>39.5</v>
      </c>
      <c r="H275" s="78">
        <f>'[63]Dados de entrada'!$B$29/(2*'[63]Dados de entrada'!$B$20*G275)</f>
        <v>4.8354430379746835E-2</v>
      </c>
      <c r="I275" s="53">
        <v>336.07670873426662</v>
      </c>
      <c r="J275" s="4">
        <v>0.3</v>
      </c>
      <c r="K275" s="11">
        <v>0.20722894527712638</v>
      </c>
      <c r="L275" s="11">
        <f t="shared" si="146"/>
        <v>0.69076315092375462</v>
      </c>
      <c r="M275" s="29">
        <f t="shared" si="160"/>
        <v>-0.3699582767442014</v>
      </c>
      <c r="N275" s="11">
        <v>0.23665048662052759</v>
      </c>
      <c r="O275" s="11">
        <f t="shared" si="145"/>
        <v>0.78883495540175863</v>
      </c>
      <c r="P275" s="11">
        <f t="shared" si="161"/>
        <v>-0.2371981620181749</v>
      </c>
      <c r="Q275" s="11">
        <v>0.22436087893979573</v>
      </c>
      <c r="R275" s="11">
        <f t="shared" si="152"/>
        <v>0.74786959646598583</v>
      </c>
      <c r="S275" s="11">
        <f t="shared" si="162"/>
        <v>-0.29052665248141474</v>
      </c>
      <c r="T275" s="11">
        <v>0.26621729785563381</v>
      </c>
      <c r="U275" s="11">
        <v>0.43756164286888011</v>
      </c>
      <c r="V275" s="11">
        <v>0.88739099285211276</v>
      </c>
      <c r="W275" s="11">
        <f t="shared" si="163"/>
        <v>-0.11946959013153463</v>
      </c>
      <c r="X275" s="11">
        <v>0.20053730106777218</v>
      </c>
      <c r="Y275" s="11">
        <f t="shared" si="153"/>
        <v>0.6684576702259073</v>
      </c>
      <c r="Z275" s="11">
        <f t="shared" si="164"/>
        <v>-0.402782204974651</v>
      </c>
      <c r="AA275" s="11">
        <v>0.35824006167094863</v>
      </c>
      <c r="AB275" s="11">
        <f t="shared" si="150"/>
        <v>1.1941335389031622</v>
      </c>
      <c r="AC275" s="11">
        <f t="shared" si="151"/>
        <v>0.17742085034404084</v>
      </c>
      <c r="AD275" s="11">
        <v>0.2538418175826872</v>
      </c>
      <c r="AE275" s="11">
        <f t="shared" si="154"/>
        <v>0.84613939194229071</v>
      </c>
      <c r="AF275" s="11">
        <f t="shared" si="165"/>
        <v>-0.16707116705908956</v>
      </c>
      <c r="AG275" s="11">
        <v>0.24256309244610058</v>
      </c>
      <c r="AH275" s="11">
        <f t="shared" si="155"/>
        <v>0.80854364148700197</v>
      </c>
      <c r="AI275" s="11">
        <f t="shared" si="166"/>
        <v>-0.21252062308285199</v>
      </c>
      <c r="AJ275" s="11">
        <v>0.18571704163335118</v>
      </c>
      <c r="AK275" s="11">
        <f t="shared" si="156"/>
        <v>0.61905680544450392</v>
      </c>
      <c r="AL275" s="11">
        <f t="shared" si="167"/>
        <v>-0.47955824080779286</v>
      </c>
      <c r="AM275" s="11">
        <v>0.29678716297136087</v>
      </c>
      <c r="AN275" s="11">
        <f t="shared" si="157"/>
        <v>0.98929054323786958</v>
      </c>
      <c r="AO275" s="11">
        <f t="shared" si="168"/>
        <v>-1.0767215742548268E-2</v>
      </c>
      <c r="AP275" s="11">
        <v>0.27041104484597911</v>
      </c>
      <c r="AQ275" s="11">
        <f t="shared" si="158"/>
        <v>0.90137014948659711</v>
      </c>
      <c r="AR275" s="11">
        <f t="shared" si="169"/>
        <v>-0.10383928499769308</v>
      </c>
      <c r="AS275" s="11">
        <v>0.35869749118086919</v>
      </c>
      <c r="AT275" s="11">
        <f t="shared" si="159"/>
        <v>1.1956583039362307</v>
      </c>
      <c r="AU275" s="11">
        <f t="shared" si="170"/>
        <v>0.17869691565871715</v>
      </c>
      <c r="AZ275" t="b">
        <f t="shared" si="147"/>
        <v>0</v>
      </c>
      <c r="BB275" t="b">
        <f t="shared" si="148"/>
        <v>1</v>
      </c>
      <c r="BD275" t="b">
        <f t="shared" si="149"/>
        <v>1</v>
      </c>
    </row>
    <row r="276" spans="1:56">
      <c r="A276" s="89"/>
      <c r="B276" s="5">
        <f>'[63]Dados de entrada'!$B$28</f>
        <v>19.100000000000001</v>
      </c>
      <c r="C276" s="5">
        <f>'[63]Dados de entrada'!$B$31</f>
        <v>2</v>
      </c>
      <c r="D276" s="5">
        <f>'[63]Dados de entrada'!$B$32</f>
        <v>40</v>
      </c>
      <c r="E276" s="11">
        <f>'[63]Dados de entrada'!$B$27</f>
        <v>2.9208758709847928</v>
      </c>
      <c r="F276" s="5">
        <f>'[63]Dados de entrada'!$B$30</f>
        <v>30</v>
      </c>
      <c r="G276" s="5">
        <f>'[63]Dados de entrada'!$B$22</f>
        <v>39.5</v>
      </c>
      <c r="H276" s="78">
        <f>'[63]Dados de entrada'!$B$29/(2*'[63]Dados de entrada'!$B$20*G276)</f>
        <v>4.8354430379746835E-2</v>
      </c>
      <c r="I276" s="53">
        <v>392.3</v>
      </c>
      <c r="J276" s="4">
        <v>0.33</v>
      </c>
      <c r="K276" s="11">
        <v>0.24621851901716416</v>
      </c>
      <c r="L276" s="11">
        <f t="shared" si="146"/>
        <v>0.74611672429443676</v>
      </c>
      <c r="M276" s="29">
        <f t="shared" si="160"/>
        <v>-0.29287322413541916</v>
      </c>
      <c r="N276" s="11">
        <v>0.28726286639158216</v>
      </c>
      <c r="O276" s="11">
        <f t="shared" si="145"/>
        <v>0.87049353451994593</v>
      </c>
      <c r="P276" s="11">
        <f t="shared" si="161"/>
        <v>-0.13869494711917163</v>
      </c>
      <c r="Q276" s="11">
        <v>0.26657378033783419</v>
      </c>
      <c r="R276" s="11">
        <f t="shared" si="152"/>
        <v>0.8077993343570733</v>
      </c>
      <c r="S276" s="11">
        <f t="shared" si="162"/>
        <v>-0.21344159987263261</v>
      </c>
      <c r="T276" s="11">
        <v>0.29484546616440754</v>
      </c>
      <c r="U276" s="11">
        <v>0.5367296786008573</v>
      </c>
      <c r="V276" s="11">
        <v>0.89347110958911369</v>
      </c>
      <c r="W276" s="11">
        <f t="shared" si="163"/>
        <v>-0.11264127888513598</v>
      </c>
      <c r="X276" s="11">
        <v>0.23673666714921462</v>
      </c>
      <c r="Y276" s="11">
        <f t="shared" si="153"/>
        <v>0.71738383984610488</v>
      </c>
      <c r="Z276" s="11">
        <f t="shared" si="164"/>
        <v>-0.33214424013975313</v>
      </c>
      <c r="AA276" s="11">
        <v>0.42347873544006226</v>
      </c>
      <c r="AB276" s="11">
        <f t="shared" si="150"/>
        <v>1.2832688952729159</v>
      </c>
      <c r="AC276" s="11">
        <f t="shared" si="151"/>
        <v>0.24941064689529485</v>
      </c>
      <c r="AD276" s="11">
        <v>0.29630778465051877</v>
      </c>
      <c r="AE276" s="11">
        <f t="shared" si="154"/>
        <v>0.89790237772884474</v>
      </c>
      <c r="AF276" s="11">
        <f t="shared" si="165"/>
        <v>-0.10769392735904211</v>
      </c>
      <c r="AG276" s="11">
        <v>0.28862445085289834</v>
      </c>
      <c r="AH276" s="11">
        <f t="shared" si="155"/>
        <v>0.87461954803908581</v>
      </c>
      <c r="AI276" s="11">
        <f t="shared" si="166"/>
        <v>-0.13396628941947097</v>
      </c>
      <c r="AJ276" s="11">
        <v>0.21881899592249263</v>
      </c>
      <c r="AK276" s="11">
        <f t="shared" si="156"/>
        <v>0.66308786643179585</v>
      </c>
      <c r="AL276" s="11">
        <f t="shared" si="167"/>
        <v>-0.41084776902266279</v>
      </c>
      <c r="AM276" s="11">
        <v>0.34643758703827615</v>
      </c>
      <c r="AN276" s="11">
        <f t="shared" si="157"/>
        <v>1.049810869812958</v>
      </c>
      <c r="AO276" s="11">
        <f t="shared" si="168"/>
        <v>4.8610023957499221E-2</v>
      </c>
      <c r="AP276" s="11">
        <v>0.33401959911045176</v>
      </c>
      <c r="AQ276" s="11">
        <f t="shared" si="158"/>
        <v>1.0121806033650054</v>
      </c>
      <c r="AR276" s="11">
        <f t="shared" si="169"/>
        <v>1.2107016765984815E-2</v>
      </c>
      <c r="AS276" s="11">
        <v>0.44195087002207567</v>
      </c>
      <c r="AT276" s="11">
        <f t="shared" si="159"/>
        <v>1.3392450606729565</v>
      </c>
      <c r="AU276" s="11">
        <f t="shared" si="170"/>
        <v>0.29210606764292218</v>
      </c>
      <c r="AZ276" t="b">
        <f t="shared" si="147"/>
        <v>0</v>
      </c>
      <c r="BB276" t="b">
        <f t="shared" si="148"/>
        <v>1</v>
      </c>
      <c r="BD276" t="b">
        <f t="shared" si="149"/>
        <v>1</v>
      </c>
    </row>
    <row r="277" spans="1:56">
      <c r="A277" s="87" t="s">
        <v>113</v>
      </c>
      <c r="B277" s="5">
        <f>'[64]Dados de entrada'!$B$28</f>
        <v>19.100000000000001</v>
      </c>
      <c r="C277" s="5">
        <f>'[64]Dados de entrada'!$B$31</f>
        <v>2</v>
      </c>
      <c r="D277" s="5">
        <f>'[64]Dados de entrada'!$B$32</f>
        <v>40</v>
      </c>
      <c r="E277" s="11">
        <f>'[64]Dados de entrada'!$B$27</f>
        <v>2.9208758709847928</v>
      </c>
      <c r="F277" s="5">
        <f>'[64]Dados de entrada'!$B$33</f>
        <v>30</v>
      </c>
      <c r="G277" s="5">
        <f>'[64]Dados de entrada'!$B$22</f>
        <v>39.5</v>
      </c>
      <c r="H277" s="78">
        <f>'[64]Dados de entrada'!$B$29/(2*'[64]Dados de entrada'!$B$20*G277)</f>
        <v>4.8354430379746835E-2</v>
      </c>
      <c r="I277" s="53" cm="1">
        <f t="array" ref="I277:I279">'[64]fib Model Code 2010'!$K$5:$K$7</f>
        <v>186.07636980767307</v>
      </c>
      <c r="J277" s="4" cm="1">
        <f t="array" ref="J277:J279">'[64]Dados de entrada'!$C$7:$C$9</f>
        <v>0.15</v>
      </c>
      <c r="K277" s="11" cm="1">
        <f t="array" ref="K277:K279">'[64]fib Model Code 2010'!$L$5:$L$7</f>
        <v>0.1032071218664868</v>
      </c>
      <c r="L277" s="11">
        <f t="shared" si="146"/>
        <v>0.68804747910991204</v>
      </c>
      <c r="M277" s="29">
        <f t="shared" si="160"/>
        <v>-0.37389743309572249</v>
      </c>
      <c r="N277" s="11" cm="1">
        <f t="array" ref="N277:N279">'[64]fib Model Code 2020'!$L$5:$L$7</f>
        <v>0.10161972003559995</v>
      </c>
      <c r="O277" s="11">
        <f t="shared" si="145"/>
        <v>0.67746480023733302</v>
      </c>
      <c r="P277" s="11">
        <f t="shared" si="161"/>
        <v>-0.38939768294725818</v>
      </c>
      <c r="Q277" s="11" cm="1">
        <f t="array" ref="Q277:Q279">'[64]Eurocode 2'!$L$5:$L$7</f>
        <v>0.11173941238684416</v>
      </c>
      <c r="R277" s="11">
        <f t="shared" si="152"/>
        <v>0.74492941591229445</v>
      </c>
      <c r="S277" s="11">
        <f t="shared" si="162"/>
        <v>-0.29446580883293599</v>
      </c>
      <c r="T277" s="11" cm="1">
        <f t="array" ref="T277:T279">'[64]NBR 6118'!$Q$5:$Q$7</f>
        <v>0.14739714796526618</v>
      </c>
      <c r="U277" s="11" cm="1">
        <f t="array" ref="U277:U279">'[64]NBR 6118'!$R$5:$R$7</f>
        <v>0.13413584915294852</v>
      </c>
      <c r="V277" s="11" cm="1">
        <f t="array" ref="V277:V279">'[64]NBR 6118'!$W$5:$W$7</f>
        <v>0.89423899435299015</v>
      </c>
      <c r="W277" s="11">
        <f t="shared" si="163"/>
        <v>-0.11178220804427842</v>
      </c>
      <c r="X277" s="11" cm="1">
        <f t="array" ref="X277:X279">'[64]Clark (1956)'!$L$5:$L$7</f>
        <v>0.10395958284988495</v>
      </c>
      <c r="Y277" s="11">
        <f t="shared" si="153"/>
        <v>0.69306388566589971</v>
      </c>
      <c r="Z277" s="11">
        <f t="shared" si="164"/>
        <v>-0.36663309693312374</v>
      </c>
      <c r="AA277" s="11" cm="1">
        <f t="array" ref="AA277:AA279">'[64]Leonhardt (1977)'!$L$5:$L$7</f>
        <v>0.17694613044184809</v>
      </c>
      <c r="AB277" s="11">
        <f t="shared" si="150"/>
        <v>1.1796408696123206</v>
      </c>
      <c r="AC277" s="11">
        <f t="shared" si="151"/>
        <v>0.16521004436821782</v>
      </c>
      <c r="AD277" s="11" cm="1">
        <f t="array" ref="AD277:AD279">'[64]Desayi; Ganesan (1985)'!$L$5:$L$7</f>
        <v>0.14054518713617711</v>
      </c>
      <c r="AE277" s="11">
        <f t="shared" si="154"/>
        <v>0.93696791424118075</v>
      </c>
      <c r="AF277" s="11">
        <f t="shared" si="165"/>
        <v>-6.5106240402401386E-2</v>
      </c>
      <c r="AG277" s="11" cm="1">
        <f t="array" ref="AG277:AG279">'[64]Oh; Kang (1987)'!$L$5:$L$7</f>
        <v>0.1196741754706913</v>
      </c>
      <c r="AH277" s="11">
        <f t="shared" si="155"/>
        <v>0.79782783647127531</v>
      </c>
      <c r="AI277" s="11">
        <f t="shared" si="166"/>
        <v>-0.22586244857869503</v>
      </c>
      <c r="AJ277" s="11" cm="1">
        <f t="array" ref="AJ277:AJ279">'[64]Caldas (1997)'!$L$5:$L$7</f>
        <v>9.7403030647479835E-2</v>
      </c>
      <c r="AK277" s="11">
        <f t="shared" si="156"/>
        <v>0.64935353764986559</v>
      </c>
      <c r="AL277" s="11">
        <f t="shared" si="167"/>
        <v>-0.43177796845463701</v>
      </c>
      <c r="AM277" s="11" cm="1">
        <f t="array" ref="AM277:AM279">'[64]Gergely e Lutz (1968)'!$L$5:$L$7</f>
        <v>0.16432283599544276</v>
      </c>
      <c r="AN277" s="11">
        <f t="shared" si="157"/>
        <v>1.0954855733029518</v>
      </c>
      <c r="AO277" s="11">
        <f t="shared" si="168"/>
        <v>9.1197710914140001E-2</v>
      </c>
      <c r="AP277" s="11" cm="1">
        <f t="array" ref="AP277:AP279">[64]Sugestão!$M$5:$M$7</f>
        <v>0.10161972003559995</v>
      </c>
      <c r="AQ277" s="11">
        <f t="shared" si="158"/>
        <v>0.67746480023733302</v>
      </c>
      <c r="AR277" s="11">
        <f t="shared" si="169"/>
        <v>-0.38939768294725818</v>
      </c>
      <c r="AS277" s="11" cm="1">
        <f t="array" ref="AS277:AS279">'[64]fib Model Code 2020 modificado'!$L$5:$L$7</f>
        <v>0.15372554530263</v>
      </c>
      <c r="AT277" s="11">
        <f t="shared" si="159"/>
        <v>1.0248369686842</v>
      </c>
      <c r="AU277" s="11">
        <f t="shared" si="170"/>
        <v>2.4533544997548874E-2</v>
      </c>
      <c r="AZ277" t="b">
        <f t="shared" si="147"/>
        <v>0</v>
      </c>
      <c r="BB277" t="b">
        <f t="shared" si="148"/>
        <v>1</v>
      </c>
      <c r="BD277" t="b">
        <f t="shared" si="149"/>
        <v>1</v>
      </c>
    </row>
    <row r="278" spans="1:56">
      <c r="A278" s="88"/>
      <c r="B278" s="5">
        <f>'[64]Dados de entrada'!$B$28</f>
        <v>19.100000000000001</v>
      </c>
      <c r="C278" s="5">
        <f>'[64]Dados de entrada'!$B$31</f>
        <v>2</v>
      </c>
      <c r="D278" s="5">
        <f>'[64]Dados de entrada'!$B$32</f>
        <v>40</v>
      </c>
      <c r="E278" s="11">
        <f>'[64]Dados de entrada'!$B$27</f>
        <v>2.9208758709847928</v>
      </c>
      <c r="F278" s="5">
        <f>'[64]Dados de entrada'!$B$33</f>
        <v>30</v>
      </c>
      <c r="G278" s="5">
        <f>'[64]Dados de entrada'!$B$22</f>
        <v>39.5</v>
      </c>
      <c r="H278" s="78">
        <f>'[64]Dados de entrada'!$B$29/(2*'[64]Dados de entrada'!$B$20*G278)</f>
        <v>4.8354430379746835E-2</v>
      </c>
      <c r="I278" s="53">
        <v>259.17780080354459</v>
      </c>
      <c r="J278" s="4">
        <v>0.25</v>
      </c>
      <c r="K278" s="11">
        <v>0.15390130162989973</v>
      </c>
      <c r="L278" s="11">
        <f t="shared" si="146"/>
        <v>0.61560520651959894</v>
      </c>
      <c r="M278" s="29">
        <f t="shared" si="160"/>
        <v>-0.48514941941900219</v>
      </c>
      <c r="N278" s="11">
        <v>0.16742585311812797</v>
      </c>
      <c r="O278" s="11">
        <f t="shared" si="145"/>
        <v>0.66970341247251186</v>
      </c>
      <c r="P278" s="11">
        <f t="shared" si="161"/>
        <v>-0.40092033255498172</v>
      </c>
      <c r="Q278" s="11">
        <v>0.16662455747910535</v>
      </c>
      <c r="R278" s="11">
        <f t="shared" si="152"/>
        <v>0.66649822991642138</v>
      </c>
      <c r="S278" s="11">
        <f t="shared" si="162"/>
        <v>-0.40571779515621559</v>
      </c>
      <c r="T278" s="11">
        <v>0.20530317038019216</v>
      </c>
      <c r="U278" s="11">
        <v>0.26023039102249323</v>
      </c>
      <c r="V278" s="11">
        <v>0.82121268152076865</v>
      </c>
      <c r="W278" s="11">
        <f t="shared" si="163"/>
        <v>-0.19697315128639484</v>
      </c>
      <c r="X278" s="11">
        <v>0.15102593919657681</v>
      </c>
      <c r="Y278" s="11">
        <f t="shared" si="153"/>
        <v>0.60410375678630723</v>
      </c>
      <c r="Z278" s="11">
        <f t="shared" si="164"/>
        <v>-0.50400931304150387</v>
      </c>
      <c r="AA278" s="11">
        <v>0.26729001115865386</v>
      </c>
      <c r="AB278" s="11">
        <f t="shared" si="150"/>
        <v>1.0691600446346154</v>
      </c>
      <c r="AC278" s="11">
        <f t="shared" si="151"/>
        <v>6.6873335181656793E-2</v>
      </c>
      <c r="AD278" s="11">
        <v>0.19575936779681807</v>
      </c>
      <c r="AE278" s="11">
        <f t="shared" si="154"/>
        <v>0.78303747118727229</v>
      </c>
      <c r="AF278" s="11">
        <f t="shared" si="165"/>
        <v>-0.24457472821394982</v>
      </c>
      <c r="AG278" s="11">
        <v>0.17956307804731475</v>
      </c>
      <c r="AH278" s="11">
        <f t="shared" si="155"/>
        <v>0.718252312189259</v>
      </c>
      <c r="AI278" s="11">
        <f t="shared" si="166"/>
        <v>-0.33093436192950831</v>
      </c>
      <c r="AJ278" s="11">
        <v>0.14044213726717661</v>
      </c>
      <c r="AK278" s="11">
        <f t="shared" si="156"/>
        <v>0.56176854906870644</v>
      </c>
      <c r="AL278" s="11">
        <f t="shared" si="167"/>
        <v>-0.57666534831284155</v>
      </c>
      <c r="AM278" s="11">
        <v>0.22887823585079523</v>
      </c>
      <c r="AN278" s="11">
        <f t="shared" si="157"/>
        <v>0.9155129434031809</v>
      </c>
      <c r="AO278" s="11">
        <f t="shared" si="168"/>
        <v>-8.8270776897408462E-2</v>
      </c>
      <c r="AP278" s="11">
        <v>0.18341100895567153</v>
      </c>
      <c r="AQ278" s="11">
        <f t="shared" si="158"/>
        <v>0.73364403582268611</v>
      </c>
      <c r="AR278" s="11">
        <f t="shared" si="169"/>
        <v>-0.30973133282032173</v>
      </c>
      <c r="AS278" s="11">
        <v>0.25050161426861189</v>
      </c>
      <c r="AT278" s="11">
        <f t="shared" si="159"/>
        <v>1.0020064570744476</v>
      </c>
      <c r="AU278" s="11">
        <f t="shared" si="170"/>
        <v>2.0044468279848036E-3</v>
      </c>
      <c r="AZ278" t="b">
        <f t="shared" si="147"/>
        <v>0</v>
      </c>
      <c r="BB278" t="b">
        <f t="shared" si="148"/>
        <v>1</v>
      </c>
      <c r="BD278" t="b">
        <f t="shared" si="149"/>
        <v>1</v>
      </c>
    </row>
    <row r="279" spans="1:56">
      <c r="A279" s="89"/>
      <c r="B279" s="5">
        <f>'[64]Dados de entrada'!$B$28</f>
        <v>19.100000000000001</v>
      </c>
      <c r="C279" s="5">
        <f>'[64]Dados de entrada'!$B$31</f>
        <v>2</v>
      </c>
      <c r="D279" s="5">
        <f>'[64]Dados de entrada'!$B$32</f>
        <v>40</v>
      </c>
      <c r="E279" s="11">
        <f>'[64]Dados de entrada'!$B$27</f>
        <v>2.9208758709847928</v>
      </c>
      <c r="F279" s="5">
        <f>'[64]Dados de entrada'!$B$33</f>
        <v>30</v>
      </c>
      <c r="G279" s="5">
        <f>'[64]Dados de entrada'!$B$22</f>
        <v>39.5</v>
      </c>
      <c r="H279" s="78">
        <f>'[64]Dados de entrada'!$B$29/(2*'[64]Dados de entrada'!$B$20*G279)</f>
        <v>4.8354430379746835E-2</v>
      </c>
      <c r="I279" s="53">
        <v>333.22860103312883</v>
      </c>
      <c r="J279" s="4">
        <v>0.28000000000000003</v>
      </c>
      <c r="K279" s="11">
        <v>0.20525384736426619</v>
      </c>
      <c r="L279" s="11">
        <f t="shared" si="146"/>
        <v>0.73304945487237916</v>
      </c>
      <c r="M279" s="29">
        <f t="shared" si="160"/>
        <v>-0.31054211024130329</v>
      </c>
      <c r="N279" s="11">
        <v>0.23408661130562394</v>
      </c>
      <c r="O279" s="11">
        <f t="shared" si="145"/>
        <v>0.83602361180579976</v>
      </c>
      <c r="P279" s="11">
        <f t="shared" si="161"/>
        <v>-0.17909842250944186</v>
      </c>
      <c r="Q279" s="11">
        <v>0.22222249666347391</v>
      </c>
      <c r="R279" s="11">
        <f t="shared" si="152"/>
        <v>0.79365177379812102</v>
      </c>
      <c r="S279" s="11">
        <f t="shared" si="162"/>
        <v>-0.23111048597851674</v>
      </c>
      <c r="T279" s="11">
        <v>0.26396121906024711</v>
      </c>
      <c r="U279" s="11">
        <v>0.43017676883310102</v>
      </c>
      <c r="V279" s="11">
        <v>0.94271863950088242</v>
      </c>
      <c r="W279" s="11">
        <f t="shared" si="163"/>
        <v>-5.8987408312491905E-2</v>
      </c>
      <c r="X279" s="11">
        <v>0.19870354692439463</v>
      </c>
      <c r="Y279" s="11">
        <f t="shared" si="153"/>
        <v>0.70965552472998072</v>
      </c>
      <c r="Z279" s="11">
        <f t="shared" si="164"/>
        <v>-0.34297560311959358</v>
      </c>
      <c r="AA279" s="11">
        <v>0.35491326945201562</v>
      </c>
      <c r="AB279" s="11">
        <f t="shared" si="150"/>
        <v>1.2675473909000556</v>
      </c>
      <c r="AC279" s="11">
        <f t="shared" si="151"/>
        <v>0.2370838450545007</v>
      </c>
      <c r="AD279" s="11">
        <v>0.25169061573876617</v>
      </c>
      <c r="AE279" s="11">
        <f t="shared" si="154"/>
        <v>0.89889505620987908</v>
      </c>
      <c r="AF279" s="11">
        <f t="shared" si="165"/>
        <v>-0.10658898524004672</v>
      </c>
      <c r="AG279" s="11">
        <v>0.24022975857947892</v>
      </c>
      <c r="AH279" s="11">
        <f t="shared" si="155"/>
        <v>0.85796342349813892</v>
      </c>
      <c r="AI279" s="11">
        <f t="shared" si="166"/>
        <v>-0.15319381035840618</v>
      </c>
      <c r="AJ279" s="11">
        <v>0.18404019332349289</v>
      </c>
      <c r="AK279" s="11">
        <f t="shared" si="156"/>
        <v>0.65728640472676025</v>
      </c>
      <c r="AL279" s="11">
        <f t="shared" si="167"/>
        <v>-0.4196354274397337</v>
      </c>
      <c r="AM279" s="11">
        <v>0.29427201752245108</v>
      </c>
      <c r="AN279" s="11">
        <f t="shared" si="157"/>
        <v>1.0509714911516108</v>
      </c>
      <c r="AO279" s="11">
        <f t="shared" si="168"/>
        <v>4.9714966076494518E-2</v>
      </c>
      <c r="AP279" s="11">
        <v>0.26718882129448629</v>
      </c>
      <c r="AQ279" s="11">
        <f t="shared" si="158"/>
        <v>0.95424579033745094</v>
      </c>
      <c r="AR279" s="11">
        <f t="shared" si="169"/>
        <v>-4.6833998854659636E-2</v>
      </c>
      <c r="AS279" s="11">
        <v>0.35457335569849135</v>
      </c>
      <c r="AT279" s="11">
        <f t="shared" si="159"/>
        <v>1.2663334132088975</v>
      </c>
      <c r="AU279" s="11">
        <f t="shared" si="170"/>
        <v>0.23612564861363175</v>
      </c>
      <c r="AZ279" t="b">
        <f t="shared" si="147"/>
        <v>0</v>
      </c>
      <c r="BB279" t="b">
        <f t="shared" si="148"/>
        <v>1</v>
      </c>
      <c r="BD279" t="b">
        <f t="shared" si="149"/>
        <v>1</v>
      </c>
    </row>
    <row r="280" spans="1:56">
      <c r="A280" s="87" t="s">
        <v>115</v>
      </c>
      <c r="B280" s="5">
        <f>'[65]Dados de entrada'!$B$28</f>
        <v>15.9</v>
      </c>
      <c r="C280" s="5">
        <f>'[65]Dados de entrada'!$B$31</f>
        <v>2</v>
      </c>
      <c r="D280" s="5">
        <f>'[65]Dados de entrada'!$B$32</f>
        <v>46</v>
      </c>
      <c r="E280" s="11">
        <f>'[65]Dados de entrada'!$B$27</f>
        <v>3.3538794827423906</v>
      </c>
      <c r="F280" s="5">
        <f>'[65]Dados de entrada'!$B$30</f>
        <v>30</v>
      </c>
      <c r="G280" s="5">
        <f>'[65]Dados de entrada'!$B$22</f>
        <v>38</v>
      </c>
      <c r="H280" s="78">
        <f>'[65]Dados de entrada'!$B$29/(2*'[65]Dados de entrada'!$B$20*G280)</f>
        <v>3.4842105263157896E-2</v>
      </c>
      <c r="I280" s="53" cm="1">
        <f t="array" ref="I280:I281">'[65]fib Model Code 2010'!$K$5:$K$6</f>
        <v>365.47269151625068</v>
      </c>
      <c r="J280" s="4" cm="1">
        <f t="array" ref="J280:J281">'[65]Dados de entrada'!$C$7:$C$8</f>
        <v>0.2</v>
      </c>
      <c r="K280" s="11" cm="1">
        <f t="array" ref="K280:K281">'[65]fib Model Code 2010'!$L$5:$L$6</f>
        <v>0.24787609391279472</v>
      </c>
      <c r="L280" s="11">
        <f t="shared" si="146"/>
        <v>1.2393804695639736</v>
      </c>
      <c r="M280" s="29">
        <f t="shared" si="160"/>
        <v>0.21461163344525036</v>
      </c>
      <c r="N280" s="11" cm="1">
        <f t="array" ref="N280:N281">'[65]fib Model Code 2020'!$L$5:$L$6</f>
        <v>0.2559318537568821</v>
      </c>
      <c r="O280" s="11">
        <f t="shared" si="145"/>
        <v>1.2796592687844104</v>
      </c>
      <c r="P280" s="11">
        <f t="shared" si="161"/>
        <v>0.24659384623283256</v>
      </c>
      <c r="Q280" s="11" cm="1">
        <f t="array" ref="Q280:Q281">'[65]Eurocode 2'!$L$5:$L$6</f>
        <v>0.25197930642052585</v>
      </c>
      <c r="R280" s="11">
        <f t="shared" si="152"/>
        <v>1.2598965321026292</v>
      </c>
      <c r="S280" s="11">
        <f t="shared" si="162"/>
        <v>0.23102960021270436</v>
      </c>
      <c r="T280" s="11" cm="1">
        <f t="array" ref="T280:T281">'[65]NBR 6118'!$Q$5:$Q$6</f>
        <v>0.28615588585613794</v>
      </c>
      <c r="U280" s="11" cm="1">
        <f t="array" ref="U280:U281">'[65]NBR 6118'!$R$5:$R$6</f>
        <v>0.37406287588439796</v>
      </c>
      <c r="V280" s="11" cm="1">
        <f t="array" ref="V280:V281">'[65]NBR 6118'!$W$5:$W$6</f>
        <v>1.4307794292806897</v>
      </c>
      <c r="W280" s="11">
        <f t="shared" si="163"/>
        <v>0.35821935122409471</v>
      </c>
      <c r="X280" s="11" cm="1">
        <f t="array" ref="X280:X281">'[65]Clark (1956)'!$L$5:$L$6</f>
        <v>0.2463075496810074</v>
      </c>
      <c r="Y280" s="11">
        <f t="shared" si="153"/>
        <v>1.2315377484050369</v>
      </c>
      <c r="Z280" s="11">
        <f t="shared" si="164"/>
        <v>0.20826359048792331</v>
      </c>
      <c r="AA280" s="11" cm="1">
        <f t="array" ref="AA280:AA281">'[65]Leonhardt (1977)'!$L$5:$L$6</f>
        <v>0.40653331382420199</v>
      </c>
      <c r="AB280" s="11">
        <f t="shared" si="150"/>
        <v>2.0326665691210097</v>
      </c>
      <c r="AC280" s="11">
        <f t="shared" si="151"/>
        <v>0.70934851190894421</v>
      </c>
      <c r="AD280" s="11" cm="1">
        <f t="array" ref="AD280:AD281">'[65]Desayi; Ganesan (1985)'!$L$5:$L$6</f>
        <v>0.30775363409033601</v>
      </c>
      <c r="AE280" s="11">
        <f t="shared" si="154"/>
        <v>1.53876817045168</v>
      </c>
      <c r="AF280" s="11">
        <f t="shared" si="165"/>
        <v>0.43098220702628887</v>
      </c>
      <c r="AG280" s="11" cm="1">
        <f t="array" ref="AG280:AG281">'[65]Oh; Kang (1987)'!$L$5:$L$6</f>
        <v>0.24388415917646628</v>
      </c>
      <c r="AH280" s="11">
        <f t="shared" si="155"/>
        <v>1.2194207958823313</v>
      </c>
      <c r="AI280" s="11">
        <f t="shared" si="166"/>
        <v>0.19837598853865498</v>
      </c>
      <c r="AJ280" s="11" cm="1">
        <f t="array" ref="AJ280:AJ281">'[65]Caldas (1997)'!$L$5:$L$6</f>
        <v>0.1992910913817868</v>
      </c>
      <c r="AK280" s="11">
        <f t="shared" si="156"/>
        <v>0.996455456908934</v>
      </c>
      <c r="AL280" s="11">
        <f t="shared" si="167"/>
        <v>-3.5508398677959164E-3</v>
      </c>
      <c r="AM280" s="11" cm="1">
        <f t="array" ref="AM280:AM281">'[65]Gergely e Lutz (1968)'!$L$5:$L$6</f>
        <v>0.30500771306213503</v>
      </c>
      <c r="AN280" s="11">
        <f t="shared" si="157"/>
        <v>1.5250385653106751</v>
      </c>
      <c r="AO280" s="11">
        <f t="shared" si="168"/>
        <v>0.42201969846793197</v>
      </c>
      <c r="AP280" s="11" cm="1">
        <f t="array" ref="AP280:AP281">[65]Sugestão!$M$5:$M$6</f>
        <v>0.31638565265359381</v>
      </c>
      <c r="AQ280" s="11">
        <f t="shared" si="158"/>
        <v>1.581928263267969</v>
      </c>
      <c r="AR280" s="11">
        <f t="shared" si="169"/>
        <v>0.45864452272185113</v>
      </c>
      <c r="AS280" s="11" cm="1">
        <f t="array" ref="AS280:AS281">'[65]fib Model Code 2020 modificado'!$L$5:$L$6</f>
        <v>0.34704935812947924</v>
      </c>
      <c r="AT280" s="11">
        <f t="shared" si="159"/>
        <v>1.7352467906473961</v>
      </c>
      <c r="AU280" s="11">
        <f t="shared" si="170"/>
        <v>0.55114964573139158</v>
      </c>
      <c r="AZ280" t="b">
        <f t="shared" si="147"/>
        <v>0</v>
      </c>
      <c r="BB280" t="b">
        <f t="shared" si="148"/>
        <v>1</v>
      </c>
      <c r="BD280" t="b">
        <f t="shared" si="149"/>
        <v>1</v>
      </c>
    </row>
    <row r="281" spans="1:56">
      <c r="A281" s="89"/>
      <c r="B281" s="5">
        <f>'[65]Dados de entrada'!$B$28</f>
        <v>15.9</v>
      </c>
      <c r="C281" s="5">
        <f>'[65]Dados de entrada'!$B$31</f>
        <v>2</v>
      </c>
      <c r="D281" s="5">
        <f>'[65]Dados de entrada'!$B$32</f>
        <v>46</v>
      </c>
      <c r="E281" s="11">
        <f>'[65]Dados de entrada'!$B$27</f>
        <v>3.3538794827423906</v>
      </c>
      <c r="F281" s="5">
        <f>'[65]Dados de entrada'!$B$30</f>
        <v>30</v>
      </c>
      <c r="G281" s="5">
        <f>'[65]Dados de entrada'!$B$22</f>
        <v>38</v>
      </c>
      <c r="H281" s="78">
        <f>'[65]Dados de entrada'!$B$29/(2*'[65]Dados de entrada'!$B$20*G281)</f>
        <v>3.4842105263157896E-2</v>
      </c>
      <c r="I281" s="53">
        <v>392.3</v>
      </c>
      <c r="J281" s="4">
        <v>0.22</v>
      </c>
      <c r="K281" s="11">
        <v>0.26952078089345077</v>
      </c>
      <c r="L281" s="11">
        <f t="shared" si="146"/>
        <v>1.2250944586065944</v>
      </c>
      <c r="M281" s="29">
        <f t="shared" si="160"/>
        <v>0.20301795009054671</v>
      </c>
      <c r="N281" s="11">
        <v>0.28192769917035537</v>
      </c>
      <c r="O281" s="11">
        <f t="shared" si="145"/>
        <v>1.2814895416834335</v>
      </c>
      <c r="P281" s="11">
        <f t="shared" si="161"/>
        <v>0.24802310579253745</v>
      </c>
      <c r="Q281" s="11">
        <v>0.27398228834178312</v>
      </c>
      <c r="R281" s="11">
        <f t="shared" si="152"/>
        <v>1.245374037917196</v>
      </c>
      <c r="S281" s="11">
        <f t="shared" si="162"/>
        <v>0.21943591685800073</v>
      </c>
      <c r="T281" s="11">
        <v>0.29185886340253192</v>
      </c>
      <c r="U281" s="11">
        <v>0.38912131038557102</v>
      </c>
      <c r="V281" s="11">
        <v>1.326631197284236</v>
      </c>
      <c r="W281" s="11">
        <f t="shared" si="163"/>
        <v>0.28264279455543101</v>
      </c>
      <c r="X281" s="11">
        <v>0.26626281210622382</v>
      </c>
      <c r="Y281" s="11">
        <f t="shared" si="153"/>
        <v>1.2102855095737446</v>
      </c>
      <c r="Z281" s="11">
        <f t="shared" si="164"/>
        <v>0.19085629010027114</v>
      </c>
      <c r="AA281" s="11">
        <v>0.44076646673889397</v>
      </c>
      <c r="AB281" s="11">
        <f t="shared" si="150"/>
        <v>2.0034839397222455</v>
      </c>
      <c r="AC281" s="11">
        <f t="shared" si="151"/>
        <v>0.69488763495124939</v>
      </c>
      <c r="AD281" s="11">
        <v>0.33034410902974537</v>
      </c>
      <c r="AE281" s="11">
        <f t="shared" si="154"/>
        <v>1.5015641319533881</v>
      </c>
      <c r="AF281" s="11">
        <f t="shared" si="165"/>
        <v>0.40650731945278806</v>
      </c>
      <c r="AG281" s="11">
        <v>0.26398647726050195</v>
      </c>
      <c r="AH281" s="11">
        <f t="shared" si="155"/>
        <v>1.1999385330022816</v>
      </c>
      <c r="AI281" s="11">
        <f t="shared" si="166"/>
        <v>0.18227033298393899</v>
      </c>
      <c r="AJ281" s="11">
        <v>0.21484833224410843</v>
      </c>
      <c r="AK281" s="11">
        <f t="shared" si="156"/>
        <v>0.9765833283823111</v>
      </c>
      <c r="AL281" s="11">
        <f t="shared" si="167"/>
        <v>-2.3695198581273655E-2</v>
      </c>
      <c r="AM281" s="11">
        <v>0.32739662527960767</v>
      </c>
      <c r="AN281" s="11">
        <f t="shared" si="157"/>
        <v>1.4881664785436712</v>
      </c>
      <c r="AO281" s="11">
        <f t="shared" si="168"/>
        <v>0.39754481089443128</v>
      </c>
      <c r="AP281" s="11">
        <v>0.35162528560688727</v>
      </c>
      <c r="AQ281" s="11">
        <f t="shared" si="158"/>
        <v>1.5982967527585785</v>
      </c>
      <c r="AR281" s="11">
        <f t="shared" si="169"/>
        <v>0.46893853270585356</v>
      </c>
      <c r="AS281" s="11">
        <v>0.38306358553276815</v>
      </c>
      <c r="AT281" s="11">
        <f t="shared" si="159"/>
        <v>1.741198116058037</v>
      </c>
      <c r="AU281" s="11">
        <f t="shared" si="170"/>
        <v>0.5545734487163464</v>
      </c>
      <c r="AZ281" t="b">
        <f t="shared" si="147"/>
        <v>0</v>
      </c>
      <c r="BB281" t="b">
        <f t="shared" si="148"/>
        <v>1</v>
      </c>
      <c r="BD281" t="b">
        <f t="shared" si="149"/>
        <v>1</v>
      </c>
    </row>
    <row r="282" spans="1:56">
      <c r="A282" s="87" t="s">
        <v>116</v>
      </c>
      <c r="B282" s="5">
        <f>'[66]Dados de entrada'!$B$28</f>
        <v>15.9</v>
      </c>
      <c r="C282" s="5">
        <f>'[66]Dados de entrada'!$B$31</f>
        <v>2</v>
      </c>
      <c r="D282" s="5">
        <f>'[66]Dados de entrada'!$B$32</f>
        <v>46</v>
      </c>
      <c r="E282" s="11">
        <f>'[66]Dados de entrada'!$B$27</f>
        <v>3.3538794827423906</v>
      </c>
      <c r="F282" s="5">
        <f>'[66]Dados de entrada'!$B$30</f>
        <v>30</v>
      </c>
      <c r="G282" s="5">
        <f>'[66]Dados de entrada'!$B$22</f>
        <v>38</v>
      </c>
      <c r="H282" s="78">
        <f>'[66]Dados de entrada'!$B$29/(2*'[66]Dados de entrada'!$B$20*G282)</f>
        <v>3.4842105263157896E-2</v>
      </c>
      <c r="I282" s="53" cm="1">
        <f t="array" ref="I282:I283">'[66]fib Model Code 2010'!$K$5:$K$6</f>
        <v>365.47269151625068</v>
      </c>
      <c r="J282" s="4" cm="1">
        <f t="array" ref="J282:J283">'[66]Dados de entrada'!$C$7:$C$8</f>
        <v>0.17</v>
      </c>
      <c r="K282" s="11" cm="1">
        <f t="array" ref="K282:K283">'[66]fib Model Code 2010'!$L$5:$L$6</f>
        <v>0.24787609391279472</v>
      </c>
      <c r="L282" s="11">
        <f t="shared" si="146"/>
        <v>1.4580946700752631</v>
      </c>
      <c r="M282" s="29">
        <f t="shared" si="160"/>
        <v>0.37713056294302522</v>
      </c>
      <c r="N282" s="11" cm="1">
        <f t="array" ref="N282:N283">'[66]fib Model Code 2020'!$L$5:$L$6</f>
        <v>0.2559318537568821</v>
      </c>
      <c r="O282" s="11">
        <f t="shared" si="145"/>
        <v>1.5054814926875417</v>
      </c>
      <c r="P282" s="11">
        <f t="shared" si="161"/>
        <v>0.40911277573060756</v>
      </c>
      <c r="Q282" s="11" cm="1">
        <f t="array" ref="Q282:Q283">'[66]Eurocode 2'!$L$5:$L$6</f>
        <v>0.25197930642052585</v>
      </c>
      <c r="R282" s="11">
        <f t="shared" si="152"/>
        <v>1.4822312142383873</v>
      </c>
      <c r="S282" s="11">
        <f t="shared" si="162"/>
        <v>0.39354852971047932</v>
      </c>
      <c r="T282" s="11" cm="1">
        <f t="array" ref="T282:T283">'[66]NBR 6118'!$Q$5:$Q$6</f>
        <v>0.28615588585613794</v>
      </c>
      <c r="U282" s="11" cm="1">
        <f t="array" ref="U282:U283">'[66]NBR 6118'!$R$5:$R$6</f>
        <v>0.37406287588439796</v>
      </c>
      <c r="V282" s="11" cm="1">
        <f t="array" ref="V282:V283">'[66]NBR 6118'!$W$5:$W$6</f>
        <v>1.6832699168008112</v>
      </c>
      <c r="W282" s="11">
        <f t="shared" si="163"/>
        <v>0.52073828072186945</v>
      </c>
      <c r="X282" s="11" cm="1">
        <f t="array" ref="X282:X283">'[66]Clark (1956)'!$L$5:$L$6</f>
        <v>0.2463075496810074</v>
      </c>
      <c r="Y282" s="11">
        <f t="shared" si="153"/>
        <v>1.4488679393000434</v>
      </c>
      <c r="Z282" s="11">
        <f t="shared" si="164"/>
        <v>0.37078251998569822</v>
      </c>
      <c r="AA282" s="11" cm="1">
        <f t="array" ref="AA282:AA283">'[66]Leonhardt (1977)'!$L$5:$L$6</f>
        <v>0.40653331382420199</v>
      </c>
      <c r="AB282" s="11">
        <f t="shared" si="150"/>
        <v>2.3913724342600116</v>
      </c>
      <c r="AC282" s="11">
        <f t="shared" si="151"/>
        <v>0.87186744140671912</v>
      </c>
      <c r="AD282" s="11" cm="1">
        <f t="array" ref="AD282:AD283">'[66]Desayi; Ganesan (1985)'!$L$5:$L$6</f>
        <v>0.30775363409033601</v>
      </c>
      <c r="AE282" s="11">
        <f t="shared" si="154"/>
        <v>1.8103154946490352</v>
      </c>
      <c r="AF282" s="11">
        <f t="shared" si="165"/>
        <v>0.59350113652406367</v>
      </c>
      <c r="AG282" s="11" cm="1">
        <f t="array" ref="AG282:AG283">'[66]Oh; Kang (1987)'!$L$5:$L$6</f>
        <v>0.24388415917646628</v>
      </c>
      <c r="AH282" s="11">
        <f t="shared" si="155"/>
        <v>1.4346127010380367</v>
      </c>
      <c r="AI282" s="11">
        <f t="shared" si="166"/>
        <v>0.36089491803642981</v>
      </c>
      <c r="AJ282" s="11" cm="1">
        <f t="array" ref="AJ282:AJ283">'[66]Caldas (1997)'!$L$5:$L$6</f>
        <v>0.1992910913817868</v>
      </c>
      <c r="AK282" s="11">
        <f t="shared" si="156"/>
        <v>1.1723005375399222</v>
      </c>
      <c r="AL282" s="11">
        <f t="shared" si="167"/>
        <v>0.15896808962997891</v>
      </c>
      <c r="AM282" s="11" cm="1">
        <f t="array" ref="AM282:AM283">'[66]Gergely e Lutz (1968)'!$L$5:$L$6</f>
        <v>0.30500771306213503</v>
      </c>
      <c r="AN282" s="11">
        <f t="shared" si="157"/>
        <v>1.794163018012559</v>
      </c>
      <c r="AO282" s="11">
        <f t="shared" si="168"/>
        <v>0.58453862796570688</v>
      </c>
      <c r="AP282" s="11" cm="1">
        <f t="array" ref="AP282:AP283">[66]Sugestão!$M$5:$M$6</f>
        <v>0.31638565265359381</v>
      </c>
      <c r="AQ282" s="11">
        <f t="shared" si="158"/>
        <v>1.8610920744329047</v>
      </c>
      <c r="AR282" s="11">
        <f t="shared" si="169"/>
        <v>0.6211634522196261</v>
      </c>
      <c r="AS282" s="11" cm="1">
        <f t="array" ref="AS282:AS283">'[66]fib Model Code 2020 modificado'!$L$5:$L$6</f>
        <v>0.34704935812947924</v>
      </c>
      <c r="AT282" s="11">
        <f t="shared" si="159"/>
        <v>2.0414668125263482</v>
      </c>
      <c r="AU282" s="11">
        <f t="shared" si="170"/>
        <v>0.71366857522916649</v>
      </c>
      <c r="AZ282" t="b">
        <f t="shared" si="147"/>
        <v>0</v>
      </c>
      <c r="BB282" t="b">
        <f t="shared" si="148"/>
        <v>1</v>
      </c>
      <c r="BD282" t="b">
        <f t="shared" si="149"/>
        <v>1</v>
      </c>
    </row>
    <row r="283" spans="1:56">
      <c r="A283" s="89"/>
      <c r="B283" s="5">
        <f>'[66]Dados de entrada'!$B$28</f>
        <v>15.9</v>
      </c>
      <c r="C283" s="5">
        <f>'[66]Dados de entrada'!$B$31</f>
        <v>2</v>
      </c>
      <c r="D283" s="5">
        <f>'[66]Dados de entrada'!$B$32</f>
        <v>46</v>
      </c>
      <c r="E283" s="11">
        <f>'[66]Dados de entrada'!$B$27</f>
        <v>3.3538794827423906</v>
      </c>
      <c r="F283" s="5">
        <f>'[66]Dados de entrada'!$B$30</f>
        <v>30</v>
      </c>
      <c r="G283" s="5">
        <f>'[66]Dados de entrada'!$B$22</f>
        <v>38</v>
      </c>
      <c r="H283" s="78">
        <f>'[66]Dados de entrada'!$B$29/(2*'[66]Dados de entrada'!$B$20*G283)</f>
        <v>3.4842105263157896E-2</v>
      </c>
      <c r="I283" s="53">
        <v>392.3</v>
      </c>
      <c r="J283" s="4">
        <v>0.21</v>
      </c>
      <c r="K283" s="11">
        <v>0.26952078089345077</v>
      </c>
      <c r="L283" s="11">
        <f t="shared" si="146"/>
        <v>1.2834322899688133</v>
      </c>
      <c r="M283" s="29">
        <f t="shared" si="160"/>
        <v>0.24953796572543968</v>
      </c>
      <c r="N283" s="11">
        <v>0.28192769917035537</v>
      </c>
      <c r="O283" s="11">
        <f t="shared" si="145"/>
        <v>1.3425128531921684</v>
      </c>
      <c r="P283" s="11">
        <f t="shared" si="161"/>
        <v>0.29454312142743028</v>
      </c>
      <c r="Q283" s="11">
        <v>0.27398228834178312</v>
      </c>
      <c r="R283" s="11">
        <f t="shared" si="152"/>
        <v>1.3046775635323007</v>
      </c>
      <c r="S283" s="11">
        <f t="shared" si="162"/>
        <v>0.26595593249289368</v>
      </c>
      <c r="T283" s="11">
        <v>0.29185886340253192</v>
      </c>
      <c r="U283" s="11">
        <v>0.38912131038557102</v>
      </c>
      <c r="V283" s="11">
        <v>1.3898041114406283</v>
      </c>
      <c r="W283" s="11">
        <f t="shared" si="163"/>
        <v>0.32916281019032401</v>
      </c>
      <c r="X283" s="11">
        <v>0.26626281210622382</v>
      </c>
      <c r="Y283" s="11">
        <f t="shared" si="153"/>
        <v>1.2679181528867802</v>
      </c>
      <c r="Z283" s="11">
        <f t="shared" si="164"/>
        <v>0.23737630573516413</v>
      </c>
      <c r="AA283" s="11">
        <v>0.44076646673889397</v>
      </c>
      <c r="AB283" s="11">
        <f t="shared" si="150"/>
        <v>2.098887936851876</v>
      </c>
      <c r="AC283" s="11">
        <f t="shared" si="151"/>
        <v>0.74140765058614222</v>
      </c>
      <c r="AD283" s="11">
        <v>0.33034410902974537</v>
      </c>
      <c r="AE283" s="11">
        <f t="shared" si="154"/>
        <v>1.5730671858559304</v>
      </c>
      <c r="AF283" s="11">
        <f t="shared" si="165"/>
        <v>0.45302733508768095</v>
      </c>
      <c r="AG283" s="11">
        <v>0.26398647726050195</v>
      </c>
      <c r="AH283" s="11">
        <f t="shared" si="155"/>
        <v>1.2570784631452474</v>
      </c>
      <c r="AI283" s="11">
        <f t="shared" si="166"/>
        <v>0.22879034861883188</v>
      </c>
      <c r="AJ283" s="11">
        <v>0.21484833224410843</v>
      </c>
      <c r="AK283" s="11">
        <f t="shared" si="156"/>
        <v>1.0230872964005164</v>
      </c>
      <c r="AL283" s="11">
        <f t="shared" si="167"/>
        <v>2.2824817053619245E-2</v>
      </c>
      <c r="AM283" s="11">
        <v>0.32739662527960767</v>
      </c>
      <c r="AN283" s="11">
        <f t="shared" si="157"/>
        <v>1.5590315489505127</v>
      </c>
      <c r="AO283" s="11">
        <f t="shared" si="168"/>
        <v>0.44406482652932405</v>
      </c>
      <c r="AP283" s="11">
        <v>0.35162528560688727</v>
      </c>
      <c r="AQ283" s="11">
        <f t="shared" si="158"/>
        <v>1.6744061219375586</v>
      </c>
      <c r="AR283" s="11">
        <f t="shared" si="169"/>
        <v>0.51545854834074645</v>
      </c>
      <c r="AS283" s="11">
        <v>0.38306358553276815</v>
      </c>
      <c r="AT283" s="11">
        <f t="shared" si="159"/>
        <v>1.8241123120608007</v>
      </c>
      <c r="AU283" s="11">
        <f t="shared" si="170"/>
        <v>0.60109346435123934</v>
      </c>
      <c r="AZ283" t="b">
        <f t="shared" si="147"/>
        <v>0</v>
      </c>
      <c r="BB283" t="b">
        <f t="shared" si="148"/>
        <v>1</v>
      </c>
      <c r="BD283" t="b">
        <f t="shared" si="149"/>
        <v>1</v>
      </c>
    </row>
    <row r="284" spans="1:56" ht="13.2" customHeight="1">
      <c r="A284" s="87" t="s">
        <v>117</v>
      </c>
      <c r="B284" s="5">
        <f>'[67]Dados de entrada'!$B$28</f>
        <v>19.100000000000001</v>
      </c>
      <c r="C284" s="5">
        <f>'[67]Dados de entrada'!$B$31</f>
        <v>2</v>
      </c>
      <c r="D284" s="5">
        <f>'[67]Dados de entrada'!$B$32</f>
        <v>40</v>
      </c>
      <c r="E284" s="11">
        <f>'[67]Dados de entrada'!$B$27</f>
        <v>3.3538794827423906</v>
      </c>
      <c r="F284" s="5">
        <f>'[67]Dados de entrada'!$B$30</f>
        <v>30</v>
      </c>
      <c r="G284" s="5">
        <f>'[67]Dados de entrada'!$B$22</f>
        <v>39.5</v>
      </c>
      <c r="H284" s="78">
        <f>'[67]Dados de entrada'!$B$29/(2*'[67]Dados de entrada'!$B$20*G284)</f>
        <v>4.8354430379746835E-2</v>
      </c>
      <c r="I284" s="53" cm="1">
        <f t="array" ref="I284:I289">'[67]fib Model Code 2010'!$K$5:$K$10</f>
        <v>221.31013180149799</v>
      </c>
      <c r="J284" s="4" cm="1">
        <f t="array" ref="J284:J289">'[67]Dados de entrada'!$C$7:$C$12</f>
        <v>0.17</v>
      </c>
      <c r="K284" s="11" cm="1">
        <f t="array" ref="K284:K289">'[67]fib Model Code 2010'!$L$5:$L$10</f>
        <v>0.1250242104051538</v>
      </c>
      <c r="L284" s="11">
        <f t="shared" si="146"/>
        <v>0.73543653179502233</v>
      </c>
      <c r="M284" s="29">
        <f t="shared" si="160"/>
        <v>-0.30729103526090767</v>
      </c>
      <c r="N284" s="11" cm="1">
        <f t="array" ref="N284:N289">'[67]fib Model Code 2020'!$L$5:$L$10</f>
        <v>0.12418568445184547</v>
      </c>
      <c r="O284" s="11">
        <f t="shared" si="145"/>
        <v>0.73050402618732624</v>
      </c>
      <c r="P284" s="11">
        <f t="shared" si="161"/>
        <v>-0.31402053625650128</v>
      </c>
      <c r="Q284" s="11" cm="1">
        <f t="array" ref="Q284:Q289">'[67]Eurocode 2'!$L$5:$L$10</f>
        <v>0.13495075566019682</v>
      </c>
      <c r="R284" s="11">
        <f t="shared" si="152"/>
        <v>0.79382797447174591</v>
      </c>
      <c r="S284" s="11">
        <f t="shared" si="162"/>
        <v>-0.23088849804507633</v>
      </c>
      <c r="T284" s="11" cm="1">
        <f t="array" ref="T284:T289">'[67]NBR 6118'!$Q$5:$Q$10</f>
        <v>0.17597414604016473</v>
      </c>
      <c r="U284" s="11" cm="1">
        <f t="array" ref="U284:U289">'[67]NBR 6118'!$R$5:$R$10</f>
        <v>0.16650607497088082</v>
      </c>
      <c r="V284" s="11" cm="1">
        <f t="array" ref="V284:V289">'[67]NBR 6118'!$W$5:$W$10</f>
        <v>0.97944749982871071</v>
      </c>
      <c r="W284" s="11">
        <f t="shared" si="163"/>
        <v>-2.0766641983776001E-2</v>
      </c>
      <c r="X284" s="11" cm="1">
        <f t="array" ref="X284:X289">'[67]Clark (1956)'!$L$5:$L$10</f>
        <v>0.12664484050960911</v>
      </c>
      <c r="Y284" s="11">
        <f t="shared" si="153"/>
        <v>0.74496965005652416</v>
      </c>
      <c r="Z284" s="11">
        <f t="shared" si="164"/>
        <v>-0.29441179961156189</v>
      </c>
      <c r="AA284" s="11" cm="1">
        <f t="array" ref="AA284:AA289">'[67]Leonhardt (1977)'!$L$5:$L$10</f>
        <v>0.22538674781496504</v>
      </c>
      <c r="AB284" s="11">
        <f t="shared" si="150"/>
        <v>1.3258043989115589</v>
      </c>
      <c r="AC284" s="11">
        <f t="shared" si="151"/>
        <v>0.2820193687496233</v>
      </c>
      <c r="AD284" s="11" cm="1">
        <f t="array" ref="AD284:AD289">'[67]Desayi; Ganesan (1985)'!$L$5:$L$10</f>
        <v>0.18287249019815305</v>
      </c>
      <c r="AE284" s="11">
        <f t="shared" si="154"/>
        <v>1.0757205305773707</v>
      </c>
      <c r="AF284" s="11">
        <f t="shared" si="165"/>
        <v>7.2990698057247005E-2</v>
      </c>
      <c r="AG284" s="11" cm="1">
        <f t="array" ref="AG284:AG289">'[67]Oh; Kang (1987)'!$L$5:$L$10</f>
        <v>0.14823245470779992</v>
      </c>
      <c r="AH284" s="11">
        <f t="shared" si="155"/>
        <v>0.87195561592823478</v>
      </c>
      <c r="AI284" s="11">
        <f t="shared" si="166"/>
        <v>-0.13701675553343223</v>
      </c>
      <c r="AJ284" s="11" cm="1">
        <f t="array" ref="AJ284:AJ289">'[67]Caldas (1997)'!$L$5:$L$10</f>
        <v>0.11814721606774738</v>
      </c>
      <c r="AK284" s="11">
        <f t="shared" si="156"/>
        <v>0.69498362392792568</v>
      </c>
      <c r="AL284" s="11">
        <f t="shared" si="167"/>
        <v>-0.36386699638858166</v>
      </c>
      <c r="AM284" s="11" cm="1">
        <f t="array" ref="AM284:AM289">'[67]Gergely e Lutz (1968)'!$L$5:$L$10</f>
        <v>0.19471858851908505</v>
      </c>
      <c r="AN284" s="11">
        <f t="shared" si="157"/>
        <v>1.1454034618769708</v>
      </c>
      <c r="AO284" s="11">
        <f t="shared" si="168"/>
        <v>0.13575694339052299</v>
      </c>
      <c r="AP284" s="11" cm="1">
        <f t="array" ref="AP284:AP289">[67]Sugestão!$M$5:$M$10</f>
        <v>0.13239376928063259</v>
      </c>
      <c r="AQ284" s="11">
        <f t="shared" si="158"/>
        <v>0.77878687812136815</v>
      </c>
      <c r="AR284" s="11">
        <f t="shared" si="169"/>
        <v>-0.25001785446865499</v>
      </c>
      <c r="AS284" s="11" cm="1">
        <f t="array" ref="AS284:AS289">'[67]fib Model Code 2020 modificado'!$L$5:$L$10</f>
        <v>0.18470782045461417</v>
      </c>
      <c r="AT284" s="11">
        <f t="shared" si="159"/>
        <v>1.0865165909094952</v>
      </c>
      <c r="AU284" s="11">
        <f t="shared" si="170"/>
        <v>8.2976790647917853E-2</v>
      </c>
      <c r="AZ284" t="b">
        <f t="shared" si="147"/>
        <v>0</v>
      </c>
      <c r="BB284" t="b">
        <f t="shared" si="148"/>
        <v>1</v>
      </c>
      <c r="BD284" t="b">
        <f t="shared" si="149"/>
        <v>1</v>
      </c>
    </row>
    <row r="285" spans="1:56">
      <c r="A285" s="88"/>
      <c r="B285" s="5">
        <f>'[67]Dados de entrada'!$B$28</f>
        <v>19.100000000000001</v>
      </c>
      <c r="C285" s="5">
        <f>'[67]Dados de entrada'!$B$31</f>
        <v>2</v>
      </c>
      <c r="D285" s="5">
        <f>'[67]Dados de entrada'!$B$32</f>
        <v>40</v>
      </c>
      <c r="E285" s="11">
        <f>'[67]Dados de entrada'!$B$27</f>
        <v>3.3538794827423906</v>
      </c>
      <c r="F285" s="5">
        <f>'[67]Dados de entrada'!$B$30</f>
        <v>30</v>
      </c>
      <c r="G285" s="5">
        <f>'[67]Dados de entrada'!$B$22</f>
        <v>39.5</v>
      </c>
      <c r="H285" s="78">
        <f>'[67]Dados de entrada'!$B$29/(2*'[67]Dados de entrada'!$B$20*G285)</f>
        <v>4.8354430379746835E-2</v>
      </c>
      <c r="I285" s="53">
        <v>259.14092356243782</v>
      </c>
      <c r="J285" s="4">
        <v>0.18</v>
      </c>
      <c r="K285" s="11">
        <v>0.15144280284122463</v>
      </c>
      <c r="L285" s="11">
        <f t="shared" si="146"/>
        <v>0.84134890467347023</v>
      </c>
      <c r="M285" s="29">
        <f t="shared" si="160"/>
        <v>-0.17274883622839571</v>
      </c>
      <c r="N285" s="11">
        <v>0.15819691921097215</v>
      </c>
      <c r="O285" s="11">
        <f t="shared" si="145"/>
        <v>0.87887177339428979</v>
      </c>
      <c r="P285" s="11">
        <f t="shared" si="161"/>
        <v>-0.12911626976036036</v>
      </c>
      <c r="Q285" s="11">
        <v>0.16346690466184294</v>
      </c>
      <c r="R285" s="11">
        <f t="shared" si="152"/>
        <v>0.90814947034357196</v>
      </c>
      <c r="S285" s="11">
        <f t="shared" si="162"/>
        <v>-9.6346299012564127E-2</v>
      </c>
      <c r="T285" s="11">
        <v>0.20605519664532107</v>
      </c>
      <c r="U285" s="11">
        <v>0.228296626570857</v>
      </c>
      <c r="V285" s="11">
        <v>1.1447510924740061</v>
      </c>
      <c r="W285" s="11">
        <f t="shared" si="163"/>
        <v>0.13518722688875182</v>
      </c>
      <c r="X285" s="11">
        <v>0.15100219578489021</v>
      </c>
      <c r="Y285" s="11">
        <f t="shared" si="153"/>
        <v>0.83890108769383454</v>
      </c>
      <c r="Z285" s="11">
        <f t="shared" si="164"/>
        <v>-0.1756624725592249</v>
      </c>
      <c r="AA285" s="11">
        <v>0.27452178182149056</v>
      </c>
      <c r="AB285" s="11">
        <f t="shared" si="150"/>
        <v>1.5251210101193922</v>
      </c>
      <c r="AC285" s="11">
        <f t="shared" si="151"/>
        <v>0.42207375780922107</v>
      </c>
      <c r="AD285" s="11">
        <v>0.21413274493288006</v>
      </c>
      <c r="AE285" s="11">
        <f t="shared" si="154"/>
        <v>1.1896263607382227</v>
      </c>
      <c r="AF285" s="11">
        <f t="shared" si="165"/>
        <v>0.17363927524766745</v>
      </c>
      <c r="AG285" s="11">
        <v>0.17916151019160051</v>
      </c>
      <c r="AH285" s="11">
        <f t="shared" si="155"/>
        <v>0.99534172328666948</v>
      </c>
      <c r="AI285" s="11">
        <f t="shared" si="166"/>
        <v>-4.6691602966143966E-3</v>
      </c>
      <c r="AJ285" s="11">
        <v>0.14042042546905978</v>
      </c>
      <c r="AK285" s="11">
        <f t="shared" si="156"/>
        <v>0.78011347482810989</v>
      </c>
      <c r="AL285" s="11">
        <f t="shared" si="167"/>
        <v>-0.24831588933090962</v>
      </c>
      <c r="AM285" s="11">
        <v>0.22800381732576627</v>
      </c>
      <c r="AN285" s="11">
        <f t="shared" si="157"/>
        <v>1.2666878740320349</v>
      </c>
      <c r="AO285" s="11">
        <f t="shared" si="168"/>
        <v>0.2364055205809433</v>
      </c>
      <c r="AP285" s="11">
        <v>0.17633003721722093</v>
      </c>
      <c r="AQ285" s="11">
        <f t="shared" si="158"/>
        <v>0.97961131787344968</v>
      </c>
      <c r="AR285" s="11">
        <f t="shared" si="169"/>
        <v>-2.0599400404666141E-2</v>
      </c>
      <c r="AS285" s="11">
        <v>0.23362544371712252</v>
      </c>
      <c r="AT285" s="11">
        <f t="shared" si="159"/>
        <v>1.2979191317617917</v>
      </c>
      <c r="AU285" s="11">
        <f t="shared" si="170"/>
        <v>0.26076231415443529</v>
      </c>
      <c r="AZ285" t="b">
        <f t="shared" si="147"/>
        <v>0</v>
      </c>
      <c r="BB285" t="b">
        <f t="shared" si="148"/>
        <v>1</v>
      </c>
      <c r="BD285" t="b">
        <f t="shared" si="149"/>
        <v>1</v>
      </c>
    </row>
    <row r="286" spans="1:56">
      <c r="A286" s="88"/>
      <c r="B286" s="5">
        <f>'[67]Dados de entrada'!$B$28</f>
        <v>19.100000000000001</v>
      </c>
      <c r="C286" s="5">
        <f>'[67]Dados de entrada'!$B$31</f>
        <v>2</v>
      </c>
      <c r="D286" s="5">
        <f>'[67]Dados de entrada'!$B$32</f>
        <v>40</v>
      </c>
      <c r="E286" s="11">
        <f>'[67]Dados de entrada'!$B$27</f>
        <v>3.3538794827423906</v>
      </c>
      <c r="F286" s="5">
        <f>'[67]Dados de entrada'!$B$30</f>
        <v>30</v>
      </c>
      <c r="G286" s="5">
        <f>'[67]Dados de entrada'!$B$22</f>
        <v>39.5</v>
      </c>
      <c r="H286" s="78">
        <f>'[67]Dados de entrada'!$B$29/(2*'[67]Dados de entrada'!$B$20*G286)</f>
        <v>4.8354430379746835E-2</v>
      </c>
      <c r="I286" s="53">
        <v>296.0259455293542</v>
      </c>
      <c r="J286" s="4">
        <v>0.2</v>
      </c>
      <c r="K286" s="11">
        <v>0.17720093046639374</v>
      </c>
      <c r="L286" s="11">
        <f t="shared" si="146"/>
        <v>0.88600465233196868</v>
      </c>
      <c r="M286" s="29">
        <f t="shared" si="160"/>
        <v>-0.12103307745182566</v>
      </c>
      <c r="N286" s="11">
        <v>0.19135787310112068</v>
      </c>
      <c r="O286" s="11">
        <f t="shared" si="145"/>
        <v>0.95678936550560334</v>
      </c>
      <c r="P286" s="11">
        <f t="shared" si="161"/>
        <v>-4.4172010494691612E-2</v>
      </c>
      <c r="Q286" s="11">
        <v>0.19127014993844793</v>
      </c>
      <c r="R286" s="11">
        <f t="shared" si="152"/>
        <v>0.95635074969223965</v>
      </c>
      <c r="S286" s="11">
        <f t="shared" si="162"/>
        <v>-4.4630540235994144E-2</v>
      </c>
      <c r="T286" s="11">
        <v>0.23538422098534853</v>
      </c>
      <c r="U286" s="11">
        <v>0.2979113459497082</v>
      </c>
      <c r="V286" s="11">
        <v>1.1769211049267425</v>
      </c>
      <c r="W286" s="11">
        <f t="shared" si="163"/>
        <v>0.16290179538300831</v>
      </c>
      <c r="X286" s="11">
        <v>0.17475061717828932</v>
      </c>
      <c r="Y286" s="11">
        <f t="shared" si="153"/>
        <v>0.87375308589144662</v>
      </c>
      <c r="Z286" s="11">
        <f t="shared" si="164"/>
        <v>-0.13495745366187406</v>
      </c>
      <c r="AA286" s="11">
        <v>0.32122604310317937</v>
      </c>
      <c r="AB286" s="11">
        <f t="shared" si="150"/>
        <v>1.6061302155158967</v>
      </c>
      <c r="AC286" s="11">
        <f t="shared" si="151"/>
        <v>0.47382769288272875</v>
      </c>
      <c r="AD286" s="11">
        <v>0.24461149329923895</v>
      </c>
      <c r="AE286" s="11">
        <f t="shared" si="154"/>
        <v>1.2230574664961946</v>
      </c>
      <c r="AF286" s="11">
        <f t="shared" si="165"/>
        <v>0.20135384374192411</v>
      </c>
      <c r="AG286" s="11">
        <v>0.20931733928830606</v>
      </c>
      <c r="AH286" s="11">
        <f t="shared" si="155"/>
        <v>1.0465866964415302</v>
      </c>
      <c r="AI286" s="11">
        <f t="shared" si="166"/>
        <v>4.5534103659369322E-2</v>
      </c>
      <c r="AJ286" s="11">
        <v>0.16213680463533942</v>
      </c>
      <c r="AK286" s="11">
        <f t="shared" si="156"/>
        <v>0.81068402317669708</v>
      </c>
      <c r="AL286" s="11">
        <f t="shared" si="167"/>
        <v>-0.20987691462476046</v>
      </c>
      <c r="AM286" s="11">
        <v>0.2604569154122805</v>
      </c>
      <c r="AN286" s="11">
        <f t="shared" si="157"/>
        <v>1.3022845770614024</v>
      </c>
      <c r="AO286" s="11">
        <f t="shared" si="168"/>
        <v>0.26412008907520013</v>
      </c>
      <c r="AP286" s="11">
        <v>0.21916789845539458</v>
      </c>
      <c r="AQ286" s="11">
        <f t="shared" si="158"/>
        <v>1.0958394922769727</v>
      </c>
      <c r="AR286" s="11">
        <f t="shared" si="169"/>
        <v>9.1520729148775681E-2</v>
      </c>
      <c r="AS286" s="11">
        <v>0.28260220590087787</v>
      </c>
      <c r="AT286" s="11">
        <f t="shared" si="159"/>
        <v>1.4130110295043892</v>
      </c>
      <c r="AU286" s="11">
        <f t="shared" si="170"/>
        <v>0.34572290940751615</v>
      </c>
      <c r="AZ286" t="b">
        <f t="shared" si="147"/>
        <v>0</v>
      </c>
      <c r="BB286" t="b">
        <f t="shared" si="148"/>
        <v>1</v>
      </c>
      <c r="BD286" t="b">
        <f t="shared" si="149"/>
        <v>1</v>
      </c>
    </row>
    <row r="287" spans="1:56">
      <c r="A287" s="88"/>
      <c r="B287" s="5">
        <f>'[67]Dados de entrada'!$B$28</f>
        <v>19.100000000000001</v>
      </c>
      <c r="C287" s="5">
        <f>'[67]Dados de entrada'!$B$31</f>
        <v>2</v>
      </c>
      <c r="D287" s="5">
        <f>'[67]Dados de entrada'!$B$32</f>
        <v>40</v>
      </c>
      <c r="E287" s="11">
        <f>'[67]Dados de entrada'!$B$27</f>
        <v>3.3538794827423906</v>
      </c>
      <c r="F287" s="5">
        <f>'[67]Dados de entrada'!$B$30</f>
        <v>30</v>
      </c>
      <c r="G287" s="5">
        <f>'[67]Dados de entrada'!$B$22</f>
        <v>39.5</v>
      </c>
      <c r="H287" s="78">
        <f>'[67]Dados de entrada'!$B$29/(2*'[67]Dados de entrada'!$B$20*G287)</f>
        <v>4.8354430379746835E-2</v>
      </c>
      <c r="I287" s="53">
        <v>333.85673729029395</v>
      </c>
      <c r="J287" s="4">
        <v>0.2</v>
      </c>
      <c r="K287" s="11">
        <v>0.20361952290246452</v>
      </c>
      <c r="L287" s="11">
        <f t="shared" si="146"/>
        <v>1.0180976145123226</v>
      </c>
      <c r="M287" s="29">
        <f t="shared" si="160"/>
        <v>1.7935802050301784E-2</v>
      </c>
      <c r="N287" s="11">
        <v>0.22536910786024728</v>
      </c>
      <c r="O287" s="11">
        <f t="shared" si="145"/>
        <v>1.1268455393012362</v>
      </c>
      <c r="P287" s="11">
        <f t="shared" si="161"/>
        <v>0.11942217091875998</v>
      </c>
      <c r="Q287" s="11">
        <v>0.21978629894009402</v>
      </c>
      <c r="R287" s="11">
        <f t="shared" si="152"/>
        <v>1.09893149470047</v>
      </c>
      <c r="S287" s="11">
        <f t="shared" si="162"/>
        <v>9.43383392661334E-2</v>
      </c>
      <c r="T287" s="11">
        <v>0.26546527159050493</v>
      </c>
      <c r="U287" s="11">
        <v>0.37892021871660619</v>
      </c>
      <c r="V287" s="11">
        <v>1.3273263579525245</v>
      </c>
      <c r="W287" s="11">
        <f t="shared" si="163"/>
        <v>0.28316666177615202</v>
      </c>
      <c r="X287" s="11">
        <v>0.19910797245357037</v>
      </c>
      <c r="Y287" s="11">
        <f t="shared" si="153"/>
        <v>0.99553986226785185</v>
      </c>
      <c r="Z287" s="11">
        <f t="shared" si="164"/>
        <v>-4.4701138206469518E-3</v>
      </c>
      <c r="AA287" s="11">
        <v>0.36831035592009659</v>
      </c>
      <c r="AB287" s="11">
        <f t="shared" si="150"/>
        <v>1.8415517796004828</v>
      </c>
      <c r="AC287" s="11">
        <f t="shared" si="151"/>
        <v>0.61060857467247664</v>
      </c>
      <c r="AD287" s="11">
        <v>0.27587174803396586</v>
      </c>
      <c r="AE287" s="11">
        <f t="shared" si="154"/>
        <v>1.3793587401698293</v>
      </c>
      <c r="AF287" s="11">
        <f t="shared" si="165"/>
        <v>0.32161871013506732</v>
      </c>
      <c r="AG287" s="11">
        <v>0.2402463947721066</v>
      </c>
      <c r="AH287" s="11">
        <f t="shared" si="155"/>
        <v>1.201231973860533</v>
      </c>
      <c r="AI287" s="11">
        <f t="shared" si="166"/>
        <v>0.18334767503829044</v>
      </c>
      <c r="AJ287" s="11">
        <v>0.18441001403665175</v>
      </c>
      <c r="AK287" s="11">
        <f t="shared" si="156"/>
        <v>0.92205007018325869</v>
      </c>
      <c r="AL287" s="11">
        <f t="shared" si="167"/>
        <v>-8.1155750844468577E-2</v>
      </c>
      <c r="AM287" s="11">
        <v>0.29374214421896161</v>
      </c>
      <c r="AN287" s="11">
        <f t="shared" si="157"/>
        <v>1.468710721094808</v>
      </c>
      <c r="AO287" s="11">
        <f t="shared" si="168"/>
        <v>0.38438495546834339</v>
      </c>
      <c r="AP287" s="11">
        <v>0.26310416639198281</v>
      </c>
      <c r="AQ287" s="11">
        <f t="shared" si="158"/>
        <v>1.3155208319599139</v>
      </c>
      <c r="AR287" s="11">
        <f t="shared" si="169"/>
        <v>0.27423265714623052</v>
      </c>
      <c r="AS287" s="11">
        <v>0.3341497358358162</v>
      </c>
      <c r="AT287" s="11">
        <f t="shared" si="159"/>
        <v>1.6707486791790809</v>
      </c>
      <c r="AU287" s="11">
        <f t="shared" si="170"/>
        <v>0.5132718368530399</v>
      </c>
      <c r="AZ287" t="b">
        <f t="shared" si="147"/>
        <v>0</v>
      </c>
      <c r="BB287" t="b">
        <f t="shared" si="148"/>
        <v>1</v>
      </c>
      <c r="BD287" t="b">
        <f t="shared" si="149"/>
        <v>1</v>
      </c>
    </row>
    <row r="288" spans="1:56">
      <c r="A288" s="88"/>
      <c r="B288" s="5">
        <f>'[67]Dados de entrada'!$B$28</f>
        <v>19.100000000000001</v>
      </c>
      <c r="C288" s="5">
        <f>'[67]Dados de entrada'!$B$31</f>
        <v>2</v>
      </c>
      <c r="D288" s="5">
        <f>'[67]Dados de entrada'!$B$32</f>
        <v>40</v>
      </c>
      <c r="E288" s="11">
        <f>'[67]Dados de entrada'!$B$27</f>
        <v>3.3538794827423906</v>
      </c>
      <c r="F288" s="5">
        <f>'[67]Dados de entrada'!$B$30</f>
        <v>30</v>
      </c>
      <c r="G288" s="5">
        <f>'[67]Dados de entrada'!$B$22</f>
        <v>39.5</v>
      </c>
      <c r="H288" s="78">
        <f>'[67]Dados de entrada'!$B$29/(2*'[67]Dados de entrada'!$B$20*G288)</f>
        <v>4.8354430379746835E-2</v>
      </c>
      <c r="I288" s="53">
        <v>369.79598946318686</v>
      </c>
      <c r="J288" s="4">
        <v>0.25</v>
      </c>
      <c r="K288" s="11">
        <v>0.22871718571673189</v>
      </c>
      <c r="L288" s="11">
        <f t="shared" si="146"/>
        <v>0.91486874286692754</v>
      </c>
      <c r="M288" s="29">
        <f t="shared" si="160"/>
        <v>-8.8974674415269545E-2</v>
      </c>
      <c r="N288" s="11">
        <v>0.25767978088141763</v>
      </c>
      <c r="O288" s="11">
        <f t="shared" si="145"/>
        <v>1.0307191235256705</v>
      </c>
      <c r="P288" s="11">
        <f t="shared" si="161"/>
        <v>3.0256736808804943E-2</v>
      </c>
      <c r="Q288" s="11">
        <v>0.24687664049165789</v>
      </c>
      <c r="R288" s="11">
        <f t="shared" si="152"/>
        <v>0.98750656196663156</v>
      </c>
      <c r="S288" s="11">
        <f t="shared" si="162"/>
        <v>-1.2572137199437918E-2</v>
      </c>
      <c r="T288" s="11">
        <v>0.29404226966540348</v>
      </c>
      <c r="U288" s="11">
        <v>0.46489179720255736</v>
      </c>
      <c r="V288" s="11">
        <v>1.1761690786616139</v>
      </c>
      <c r="W288" s="11">
        <f t="shared" si="163"/>
        <v>0.16226261351401136</v>
      </c>
      <c r="X288" s="11">
        <v>0.22224745996508746</v>
      </c>
      <c r="Y288" s="11">
        <f t="shared" si="153"/>
        <v>0.88898983986034985</v>
      </c>
      <c r="Z288" s="11">
        <f t="shared" si="164"/>
        <v>-0.11766947226205625</v>
      </c>
      <c r="AA288" s="11">
        <v>0.41250311294003189</v>
      </c>
      <c r="AB288" s="11">
        <f t="shared" si="150"/>
        <v>1.6500124517601276</v>
      </c>
      <c r="AC288" s="11">
        <f t="shared" si="151"/>
        <v>0.5007828344053038</v>
      </c>
      <c r="AD288" s="11">
        <v>0.30556899003195659</v>
      </c>
      <c r="AE288" s="11">
        <f t="shared" si="154"/>
        <v>1.2222759601278264</v>
      </c>
      <c r="AF288" s="11">
        <f t="shared" si="165"/>
        <v>0.20071466187292683</v>
      </c>
      <c r="AG288" s="11">
        <v>0.26962899748171715</v>
      </c>
      <c r="AH288" s="11">
        <f t="shared" si="155"/>
        <v>1.0785159899268686</v>
      </c>
      <c r="AI288" s="11">
        <f t="shared" si="166"/>
        <v>7.5586012816787326E-2</v>
      </c>
      <c r="AJ288" s="11">
        <v>0.20556956296789858</v>
      </c>
      <c r="AK288" s="11">
        <f t="shared" si="156"/>
        <v>0.82227825187159431</v>
      </c>
      <c r="AL288" s="11">
        <f t="shared" si="167"/>
        <v>-0.19567643527964843</v>
      </c>
      <c r="AM288" s="11">
        <v>0.32536311158530884</v>
      </c>
      <c r="AN288" s="11">
        <f t="shared" si="157"/>
        <v>1.3014524463412354</v>
      </c>
      <c r="AO288" s="11">
        <f t="shared" si="168"/>
        <v>0.26348090720620287</v>
      </c>
      <c r="AP288" s="11">
        <v>0.30484362093174178</v>
      </c>
      <c r="AQ288" s="11">
        <f t="shared" si="158"/>
        <v>1.2193744837269671</v>
      </c>
      <c r="AR288" s="11">
        <f t="shared" si="169"/>
        <v>0.19833800900363047</v>
      </c>
      <c r="AS288" s="11">
        <v>0.38435328221341958</v>
      </c>
      <c r="AT288" s="11">
        <f t="shared" si="159"/>
        <v>1.5374131288536783</v>
      </c>
      <c r="AU288" s="11">
        <f t="shared" si="170"/>
        <v>0.43010121754367947</v>
      </c>
      <c r="AZ288" t="b">
        <f t="shared" si="147"/>
        <v>0</v>
      </c>
      <c r="BB288" t="b">
        <f t="shared" si="148"/>
        <v>1</v>
      </c>
      <c r="BD288" t="b">
        <f t="shared" si="149"/>
        <v>1</v>
      </c>
    </row>
    <row r="289" spans="1:58">
      <c r="A289" s="89"/>
      <c r="B289" s="5">
        <f>'[67]Dados de entrada'!$B$28</f>
        <v>19.100000000000001</v>
      </c>
      <c r="C289" s="5">
        <f>'[67]Dados de entrada'!$B$31</f>
        <v>2</v>
      </c>
      <c r="D289" s="5">
        <f>'[67]Dados de entrada'!$B$32</f>
        <v>40</v>
      </c>
      <c r="E289" s="11">
        <f>'[67]Dados de entrada'!$B$27</f>
        <v>3.3538794827423906</v>
      </c>
      <c r="F289" s="5">
        <f>'[67]Dados de entrada'!$B$30</f>
        <v>30</v>
      </c>
      <c r="G289" s="5">
        <f>'[67]Dados de entrada'!$B$22</f>
        <v>39.5</v>
      </c>
      <c r="H289" s="78">
        <f>'[67]Dados de entrada'!$B$29/(2*'[67]Dados de entrada'!$B$20*G289)</f>
        <v>4.8354430379746835E-2</v>
      </c>
      <c r="I289" s="53">
        <v>392.3</v>
      </c>
      <c r="J289" s="4">
        <v>0.27</v>
      </c>
      <c r="K289" s="11">
        <v>0.24443253966189971</v>
      </c>
      <c r="L289" s="11">
        <f t="shared" si="146"/>
        <v>0.90530570245148034</v>
      </c>
      <c r="M289" s="29">
        <f t="shared" si="160"/>
        <v>-9.9482599557275411E-2</v>
      </c>
      <c r="N289" s="11">
        <v>0.27791169117888265</v>
      </c>
      <c r="O289" s="11">
        <f t="shared" si="145"/>
        <v>1.0293025599217875</v>
      </c>
      <c r="P289" s="11">
        <f t="shared" si="161"/>
        <v>2.8881446598471704E-2</v>
      </c>
      <c r="Q289" s="11">
        <v>0.26383974614531641</v>
      </c>
      <c r="R289" s="11">
        <f t="shared" si="152"/>
        <v>0.97718424498265333</v>
      </c>
      <c r="S289" s="11">
        <f t="shared" si="162"/>
        <v>-2.3080062341443646E-2</v>
      </c>
      <c r="T289" s="11">
        <v>0.29484546616440754</v>
      </c>
      <c r="U289" s="11">
        <v>0.46743503323046587</v>
      </c>
      <c r="V289" s="11">
        <v>1.0920202450533611</v>
      </c>
      <c r="W289" s="11">
        <f t="shared" si="163"/>
        <v>8.8029416577015157E-2</v>
      </c>
      <c r="X289" s="11">
        <v>0.23673666714921462</v>
      </c>
      <c r="Y289" s="11">
        <f t="shared" si="153"/>
        <v>0.87680247092301711</v>
      </c>
      <c r="Z289" s="11">
        <f t="shared" si="164"/>
        <v>-0.13147354467760192</v>
      </c>
      <c r="AA289" s="11">
        <v>0.43997406077432616</v>
      </c>
      <c r="AB289" s="11">
        <f t="shared" si="150"/>
        <v>1.6295335584234301</v>
      </c>
      <c r="AC289" s="11">
        <f t="shared" si="151"/>
        <v>0.48829381339052585</v>
      </c>
      <c r="AD289" s="11">
        <v>0.32416445338834615</v>
      </c>
      <c r="AE289" s="11">
        <f t="shared" si="154"/>
        <v>1.2006090866235042</v>
      </c>
      <c r="AF289" s="11">
        <f t="shared" si="165"/>
        <v>0.18282900020901793</v>
      </c>
      <c r="AG289" s="11">
        <v>0.28802744377645673</v>
      </c>
      <c r="AH289" s="11">
        <f t="shared" si="155"/>
        <v>1.0667683102831731</v>
      </c>
      <c r="AI289" s="11">
        <f t="shared" si="166"/>
        <v>6.4633807488157446E-2</v>
      </c>
      <c r="AJ289" s="11">
        <v>0.21881899592249263</v>
      </c>
      <c r="AK289" s="11">
        <f t="shared" si="156"/>
        <v>0.81044072563886149</v>
      </c>
      <c r="AL289" s="11">
        <f t="shared" si="167"/>
        <v>-0.21017707356051171</v>
      </c>
      <c r="AM289" s="11">
        <v>0.34516315025537397</v>
      </c>
      <c r="AN289" s="11">
        <f t="shared" si="157"/>
        <v>1.2783820379828665</v>
      </c>
      <c r="AO289" s="11">
        <f t="shared" si="168"/>
        <v>0.24559524554229392</v>
      </c>
      <c r="AP289" s="11">
        <v>0.33097953272659097</v>
      </c>
      <c r="AQ289" s="11">
        <f t="shared" si="158"/>
        <v>1.225850121209596</v>
      </c>
      <c r="AR289" s="11">
        <f t="shared" si="169"/>
        <v>0.20363457980397928</v>
      </c>
      <c r="AS289" s="11">
        <v>0.41640099019753685</v>
      </c>
      <c r="AT289" s="11">
        <f t="shared" si="159"/>
        <v>1.5422258896205068</v>
      </c>
      <c r="AU289" s="11">
        <f t="shared" si="170"/>
        <v>0.43322675573561747</v>
      </c>
      <c r="AZ289" t="b">
        <f t="shared" si="147"/>
        <v>0</v>
      </c>
      <c r="BB289" t="b">
        <f t="shared" si="148"/>
        <v>1</v>
      </c>
      <c r="BD289" t="b">
        <f t="shared" si="149"/>
        <v>1</v>
      </c>
    </row>
    <row r="290" spans="1:58" ht="13.2" customHeight="1">
      <c r="A290" s="87" t="s">
        <v>118</v>
      </c>
      <c r="B290" s="5">
        <f>'[68]Dados de entrada'!$B$28</f>
        <v>19.100000000000001</v>
      </c>
      <c r="C290" s="5">
        <f>'[68]Dados de entrada'!$B$31</f>
        <v>2</v>
      </c>
      <c r="D290" s="5">
        <f>'[68]Dados de entrada'!$B$32</f>
        <v>40</v>
      </c>
      <c r="E290" s="11">
        <f>'[68]Dados de entrada'!$B$27</f>
        <v>3.3538794827423906</v>
      </c>
      <c r="F290" s="5">
        <f>'[68]Dados de entrada'!$B$30</f>
        <v>30</v>
      </c>
      <c r="G290" s="5">
        <f>'[68]Dados de entrada'!$B$22</f>
        <v>39.5</v>
      </c>
      <c r="H290" s="78">
        <f>'[68]Dados de entrada'!$B$29/(2*'[68]Dados de entrada'!$B$20*G290)</f>
        <v>4.8354430379746835E-2</v>
      </c>
      <c r="I290" s="53" cm="1">
        <f t="array" ref="I290:I293">'[68]fib Model Code 2010'!$K$5:$K$8</f>
        <v>296.0259455293542</v>
      </c>
      <c r="J290" s="4" cm="1">
        <f t="array" ref="J290:J293">'[68]Dados de entrada'!$C$7:$C$10</f>
        <v>0.18</v>
      </c>
      <c r="K290" s="11" cm="1">
        <f t="array" ref="K290:K293">'[68]fib Model Code 2010'!$L$5:$L$8</f>
        <v>0.17720093046639374</v>
      </c>
      <c r="L290" s="11">
        <f t="shared" si="146"/>
        <v>0.98444961370218742</v>
      </c>
      <c r="M290" s="29">
        <f t="shared" si="160"/>
        <v>-1.5672561793999368E-2</v>
      </c>
      <c r="N290" s="11" cm="1">
        <f t="array" ref="N290:N293">'[68]fib Model Code 2020'!$L$5:$L$8</f>
        <v>0.19135787310112068</v>
      </c>
      <c r="O290" s="11">
        <f t="shared" si="145"/>
        <v>1.0630992950062261</v>
      </c>
      <c r="P290" s="11">
        <f t="shared" si="161"/>
        <v>6.1188505163134878E-2</v>
      </c>
      <c r="Q290" s="11" cm="1">
        <f t="array" ref="Q290:Q293">'[68]Eurocode 2'!$L$5:$L$8</f>
        <v>0.19127014993844793</v>
      </c>
      <c r="R290" s="11">
        <f t="shared" si="152"/>
        <v>1.0626119441024886</v>
      </c>
      <c r="S290" s="11">
        <f t="shared" si="162"/>
        <v>6.0729975421832248E-2</v>
      </c>
      <c r="T290" s="11" cm="1">
        <f t="array" ref="T290:T293">'[68]NBR 6118'!$Q$5:$Q$8</f>
        <v>0.23538422098534853</v>
      </c>
      <c r="U290" s="11" cm="1">
        <f t="array" ref="U290:U293">'[68]NBR 6118'!$R$5:$R$8</f>
        <v>0.2979113459497082</v>
      </c>
      <c r="V290" s="11" cm="1">
        <f t="array" ref="V290:V293">'[68]NBR 6118'!$W$5:$W$8</f>
        <v>1.3076901165852697</v>
      </c>
      <c r="W290" s="11">
        <f t="shared" si="163"/>
        <v>0.26826231104083476</v>
      </c>
      <c r="X290" s="11" cm="1">
        <f t="array" ref="X290:X293">'[68]Clark (1956)'!$L$5:$L$8</f>
        <v>0.17475061717828932</v>
      </c>
      <c r="Y290" s="11">
        <f t="shared" si="153"/>
        <v>0.97083676210160741</v>
      </c>
      <c r="Z290" s="11">
        <f t="shared" si="164"/>
        <v>-2.959693800404772E-2</v>
      </c>
      <c r="AA290" s="11" cm="1">
        <f t="array" ref="AA290:AA293">'[68]Leonhardt (1977)'!$L$5:$L$8</f>
        <v>0.32122604310317937</v>
      </c>
      <c r="AB290" s="11">
        <f t="shared" si="150"/>
        <v>1.7845891283509965</v>
      </c>
      <c r="AC290" s="11">
        <f t="shared" si="151"/>
        <v>0.57918820854055508</v>
      </c>
      <c r="AD290" s="11" cm="1">
        <f t="array" ref="AD290:AD293">'[68]Desayi; Ganesan (1985)'!$L$5:$L$8</f>
        <v>0.24461149329923895</v>
      </c>
      <c r="AE290" s="11">
        <f t="shared" si="154"/>
        <v>1.3589527405513275</v>
      </c>
      <c r="AF290" s="11">
        <f t="shared" si="165"/>
        <v>0.30671435939975056</v>
      </c>
      <c r="AG290" s="11" cm="1">
        <f t="array" ref="AG290:AG293">'[68]Oh; Kang (1987)'!$L$5:$L$8</f>
        <v>0.20931733928830606</v>
      </c>
      <c r="AH290" s="11">
        <f t="shared" si="155"/>
        <v>1.1628741071572559</v>
      </c>
      <c r="AI290" s="11">
        <f t="shared" si="166"/>
        <v>0.15089461931719569</v>
      </c>
      <c r="AJ290" s="11" cm="1">
        <f t="array" ref="AJ290:AJ293">'[68]Caldas (1997)'!$L$5:$L$8</f>
        <v>0.16213680463533942</v>
      </c>
      <c r="AK290" s="11">
        <f t="shared" si="156"/>
        <v>0.90076002575188563</v>
      </c>
      <c r="AL290" s="11">
        <f t="shared" si="167"/>
        <v>-0.10451639896693418</v>
      </c>
      <c r="AM290" s="11" cm="1">
        <f t="array" ref="AM290:AM293">'[68]Gergely e Lutz (1968)'!$L$5:$L$8</f>
        <v>0.2604569154122805</v>
      </c>
      <c r="AN290" s="11">
        <f t="shared" si="157"/>
        <v>1.4469828634015585</v>
      </c>
      <c r="AO290" s="11">
        <f t="shared" si="168"/>
        <v>0.36948060473302657</v>
      </c>
      <c r="AP290" s="11" cm="1">
        <f t="array" ref="AP290:AP293">[68]Sugestão!$M$5:$M$8</f>
        <v>0.21916789845539458</v>
      </c>
      <c r="AQ290" s="11">
        <f t="shared" si="158"/>
        <v>1.2175994358633033</v>
      </c>
      <c r="AR290" s="11">
        <f t="shared" si="169"/>
        <v>0.19688124480660221</v>
      </c>
      <c r="AS290" s="11" cm="1">
        <f t="array" ref="AS290:AS293">'[68]fib Model Code 2020 modificado'!$L$5:$L$8</f>
        <v>0.28260220590087787</v>
      </c>
      <c r="AT290" s="11">
        <f t="shared" si="159"/>
        <v>1.5700122550048772</v>
      </c>
      <c r="AU290" s="11">
        <f t="shared" si="170"/>
        <v>0.45108342506534266</v>
      </c>
      <c r="AZ290" t="b">
        <f t="shared" si="147"/>
        <v>0</v>
      </c>
      <c r="BB290" t="b">
        <f t="shared" si="148"/>
        <v>1</v>
      </c>
      <c r="BD290" t="b">
        <f t="shared" si="149"/>
        <v>1</v>
      </c>
    </row>
    <row r="291" spans="1:58">
      <c r="A291" s="88"/>
      <c r="B291" s="5">
        <f>'[68]Dados de entrada'!$B$28</f>
        <v>19.100000000000001</v>
      </c>
      <c r="C291" s="5">
        <f>'[68]Dados de entrada'!$B$31</f>
        <v>2</v>
      </c>
      <c r="D291" s="5">
        <f>'[68]Dados de entrada'!$B$32</f>
        <v>40</v>
      </c>
      <c r="E291" s="11">
        <f>'[68]Dados de entrada'!$B$27</f>
        <v>3.3538794827423906</v>
      </c>
      <c r="F291" s="5">
        <f>'[68]Dados de entrada'!$B$30</f>
        <v>30</v>
      </c>
      <c r="G291" s="5">
        <f>'[68]Dados de entrada'!$B$22</f>
        <v>39.5</v>
      </c>
      <c r="H291" s="78">
        <f>'[68]Dados de entrada'!$B$29/(2*'[68]Dados de entrada'!$B$20*G291)</f>
        <v>4.8354430379746835E-2</v>
      </c>
      <c r="I291" s="53">
        <v>331.965197702247</v>
      </c>
      <c r="J291" s="4">
        <v>0.19</v>
      </c>
      <c r="K291" s="11">
        <v>0.20229859328066102</v>
      </c>
      <c r="L291" s="11">
        <f t="shared" si="146"/>
        <v>1.0647294383192685</v>
      </c>
      <c r="M291" s="29">
        <f t="shared" si="160"/>
        <v>6.2720718359086519E-2</v>
      </c>
      <c r="N291" s="11">
        <v>0.22366854612229098</v>
      </c>
      <c r="O291" s="11">
        <f t="shared" si="145"/>
        <v>1.1772028743278473</v>
      </c>
      <c r="P291" s="11">
        <f t="shared" si="161"/>
        <v>0.16314117903903783</v>
      </c>
      <c r="Q291" s="11">
        <v>0.21836049149001174</v>
      </c>
      <c r="R291" s="11">
        <f t="shared" si="152"/>
        <v>1.1492657446842722</v>
      </c>
      <c r="S291" s="11">
        <f t="shared" si="162"/>
        <v>0.13912325557491809</v>
      </c>
      <c r="T291" s="11">
        <v>0.26396121906024711</v>
      </c>
      <c r="U291" s="11">
        <v>0.37463866868448187</v>
      </c>
      <c r="V291" s="11">
        <v>1.3892695740013006</v>
      </c>
      <c r="W291" s="11">
        <f t="shared" si="163"/>
        <v>0.32877812269627166</v>
      </c>
      <c r="X291" s="11">
        <v>0.19789010468980636</v>
      </c>
      <c r="Y291" s="11">
        <f t="shared" si="153"/>
        <v>1.0415268667884545</v>
      </c>
      <c r="Z291" s="11">
        <f t="shared" si="164"/>
        <v>4.068777763048767E-2</v>
      </c>
      <c r="AA291" s="11">
        <v>0.36597148836903443</v>
      </c>
      <c r="AB291" s="11">
        <f t="shared" si="150"/>
        <v>1.926165728258076</v>
      </c>
      <c r="AC291" s="11">
        <f t="shared" si="151"/>
        <v>0.65553135757541492</v>
      </c>
      <c r="AD291" s="11">
        <v>0.27430873529722954</v>
      </c>
      <c r="AE291" s="11">
        <f t="shared" si="154"/>
        <v>1.4437301857748923</v>
      </c>
      <c r="AF291" s="11">
        <f t="shared" si="165"/>
        <v>0.36723017105518702</v>
      </c>
      <c r="AG291" s="11">
        <v>0.23869994199791661</v>
      </c>
      <c r="AH291" s="11">
        <f t="shared" si="155"/>
        <v>1.2563154841995612</v>
      </c>
      <c r="AI291" s="11">
        <f t="shared" si="166"/>
        <v>0.22818321819271711</v>
      </c>
      <c r="AJ291" s="11">
        <v>0.18329635356658616</v>
      </c>
      <c r="AK291" s="11">
        <f t="shared" si="156"/>
        <v>0.96471765035045343</v>
      </c>
      <c r="AL291" s="11">
        <f t="shared" si="167"/>
        <v>-3.5919810766458254E-2</v>
      </c>
      <c r="AM291" s="11">
        <v>0.29207788277862762</v>
      </c>
      <c r="AN291" s="11">
        <f t="shared" si="157"/>
        <v>1.5372520146243558</v>
      </c>
      <c r="AO291" s="11">
        <f t="shared" si="168"/>
        <v>0.42999641638846314</v>
      </c>
      <c r="AP291" s="11">
        <v>0.26090735299515344</v>
      </c>
      <c r="AQ291" s="11">
        <f t="shared" si="158"/>
        <v>1.3731965947113338</v>
      </c>
      <c r="AR291" s="11">
        <f t="shared" si="169"/>
        <v>0.3171413027784401</v>
      </c>
      <c r="AS291" s="11">
        <v>0.33154073387908439</v>
      </c>
      <c r="AT291" s="11">
        <f t="shared" si="159"/>
        <v>1.7449512309425494</v>
      </c>
      <c r="AU291" s="11">
        <f t="shared" si="170"/>
        <v>0.55672660737991531</v>
      </c>
      <c r="AZ291" t="b">
        <f t="shared" si="147"/>
        <v>0</v>
      </c>
      <c r="BB291" t="b">
        <f t="shared" si="148"/>
        <v>1</v>
      </c>
      <c r="BD291" t="b">
        <f t="shared" si="149"/>
        <v>1</v>
      </c>
    </row>
    <row r="292" spans="1:58">
      <c r="A292" s="88"/>
      <c r="B292" s="5">
        <f>'[68]Dados de entrada'!$B$28</f>
        <v>19.100000000000001</v>
      </c>
      <c r="C292" s="5">
        <f>'[68]Dados de entrada'!$B$31</f>
        <v>2</v>
      </c>
      <c r="D292" s="5">
        <f>'[68]Dados de entrada'!$B$32</f>
        <v>40</v>
      </c>
      <c r="E292" s="11">
        <f>'[68]Dados de entrada'!$B$27</f>
        <v>3.3538794827423906</v>
      </c>
      <c r="F292" s="5">
        <f>'[68]Dados de entrada'!$B$30</f>
        <v>30</v>
      </c>
      <c r="G292" s="5">
        <f>'[68]Dados de entrada'!$B$22</f>
        <v>39.5</v>
      </c>
      <c r="H292" s="78">
        <f>'[68]Dados de entrada'!$B$29/(2*'[68]Dados de entrada'!$B$20*G292)</f>
        <v>4.8354430379746835E-2</v>
      </c>
      <c r="I292" s="53">
        <v>369.79598946318686</v>
      </c>
      <c r="J292" s="4">
        <v>0.21</v>
      </c>
      <c r="K292" s="11">
        <v>0.22871718571673189</v>
      </c>
      <c r="L292" s="11">
        <f t="shared" si="146"/>
        <v>1.0891294557939615</v>
      </c>
      <c r="M292" s="29">
        <f t="shared" si="160"/>
        <v>8.537871272950831E-2</v>
      </c>
      <c r="N292" s="11">
        <v>0.25767978088141763</v>
      </c>
      <c r="O292" s="11">
        <f t="shared" si="145"/>
        <v>1.2270465756257982</v>
      </c>
      <c r="P292" s="11">
        <f t="shared" si="161"/>
        <v>0.20461012395358269</v>
      </c>
      <c r="Q292" s="11">
        <v>0.24687664049165789</v>
      </c>
      <c r="R292" s="11">
        <f t="shared" si="152"/>
        <v>1.1756030499602756</v>
      </c>
      <c r="S292" s="11">
        <f t="shared" si="162"/>
        <v>0.16178124994533982</v>
      </c>
      <c r="T292" s="11">
        <v>0.29404226966540348</v>
      </c>
      <c r="U292" s="11">
        <v>0.46489179720255736</v>
      </c>
      <c r="V292" s="11">
        <v>1.400201284120969</v>
      </c>
      <c r="W292" s="11">
        <f t="shared" si="163"/>
        <v>0.33661600065878916</v>
      </c>
      <c r="X292" s="11">
        <v>0.22224745996508746</v>
      </c>
      <c r="Y292" s="11">
        <f t="shared" si="153"/>
        <v>1.0583212379289879</v>
      </c>
      <c r="Z292" s="11">
        <f t="shared" si="164"/>
        <v>5.6683914882721502E-2</v>
      </c>
      <c r="AA292" s="11">
        <v>0.41250311294003189</v>
      </c>
      <c r="AB292" s="11">
        <f t="shared" si="150"/>
        <v>1.9643005378096758</v>
      </c>
      <c r="AC292" s="11">
        <f t="shared" si="151"/>
        <v>0.67513622155008168</v>
      </c>
      <c r="AD292" s="11">
        <v>0.30556899003195659</v>
      </c>
      <c r="AE292" s="11">
        <f t="shared" si="154"/>
        <v>1.4550904287236028</v>
      </c>
      <c r="AF292" s="11">
        <f t="shared" si="165"/>
        <v>0.37506804901770463</v>
      </c>
      <c r="AG292" s="11">
        <v>0.26962899748171715</v>
      </c>
      <c r="AH292" s="11">
        <f t="shared" si="155"/>
        <v>1.283947607055796</v>
      </c>
      <c r="AI292" s="11">
        <f t="shared" si="166"/>
        <v>0.24993939996156514</v>
      </c>
      <c r="AJ292" s="11">
        <v>0.20556956296789858</v>
      </c>
      <c r="AK292" s="11">
        <f t="shared" si="156"/>
        <v>0.97890268079951703</v>
      </c>
      <c r="AL292" s="11">
        <f t="shared" si="167"/>
        <v>-2.1323048134870674E-2</v>
      </c>
      <c r="AM292" s="11">
        <v>0.32536311158530884</v>
      </c>
      <c r="AN292" s="11">
        <f t="shared" si="157"/>
        <v>1.5493481504062325</v>
      </c>
      <c r="AO292" s="11">
        <f t="shared" si="168"/>
        <v>0.43783429435098059</v>
      </c>
      <c r="AP292" s="11">
        <v>0.30484362093174178</v>
      </c>
      <c r="AQ292" s="11">
        <f t="shared" si="158"/>
        <v>1.4516362901511515</v>
      </c>
      <c r="AR292" s="11">
        <f t="shared" si="169"/>
        <v>0.37269139614840829</v>
      </c>
      <c r="AS292" s="11">
        <v>0.38435328221341958</v>
      </c>
      <c r="AT292" s="11">
        <f t="shared" si="159"/>
        <v>1.8302537248258075</v>
      </c>
      <c r="AU292" s="11">
        <f t="shared" si="170"/>
        <v>0.60445460468845724</v>
      </c>
      <c r="AZ292" t="b">
        <f t="shared" si="147"/>
        <v>0</v>
      </c>
      <c r="BB292" t="b">
        <f t="shared" si="148"/>
        <v>1</v>
      </c>
      <c r="BD292" t="b">
        <f t="shared" si="149"/>
        <v>1</v>
      </c>
    </row>
    <row r="293" spans="1:58">
      <c r="A293" s="89"/>
      <c r="B293" s="5">
        <f>'[68]Dados de entrada'!$B$28</f>
        <v>19.100000000000001</v>
      </c>
      <c r="C293" s="5">
        <f>'[68]Dados de entrada'!$B$31</f>
        <v>2</v>
      </c>
      <c r="D293" s="5">
        <f>'[68]Dados de entrada'!$B$32</f>
        <v>40</v>
      </c>
      <c r="E293" s="11">
        <f>'[68]Dados de entrada'!$B$27</f>
        <v>3.3538794827423906</v>
      </c>
      <c r="F293" s="5">
        <f>'[68]Dados de entrada'!$B$30</f>
        <v>30</v>
      </c>
      <c r="G293" s="5">
        <f>'[68]Dados de entrada'!$B$22</f>
        <v>39.5</v>
      </c>
      <c r="H293" s="78">
        <f>'[68]Dados de entrada'!$B$29/(2*'[68]Dados de entrada'!$B$20*G293)</f>
        <v>4.8354430379746835E-2</v>
      </c>
      <c r="I293" s="53">
        <v>392.3</v>
      </c>
      <c r="J293" s="4">
        <v>0.26</v>
      </c>
      <c r="K293" s="11">
        <v>0.24443253966189971</v>
      </c>
      <c r="L293" s="11">
        <f t="shared" si="146"/>
        <v>0.94012515254576812</v>
      </c>
      <c r="M293" s="29">
        <f t="shared" si="160"/>
        <v>-6.1742271574428305E-2</v>
      </c>
      <c r="N293" s="11">
        <v>0.27791169117888265</v>
      </c>
      <c r="O293" s="11">
        <f t="shared" si="145"/>
        <v>1.0688911199187794</v>
      </c>
      <c r="P293" s="11">
        <f t="shared" si="161"/>
        <v>6.6621774581318752E-2</v>
      </c>
      <c r="Q293" s="11">
        <v>0.26383974614531641</v>
      </c>
      <c r="R293" s="11">
        <f t="shared" si="152"/>
        <v>1.0147682544050631</v>
      </c>
      <c r="S293" s="11">
        <f t="shared" si="162"/>
        <v>1.4660265641403439E-2</v>
      </c>
      <c r="T293" s="11">
        <v>0.29484546616440754</v>
      </c>
      <c r="U293" s="11">
        <v>0.46743503323046587</v>
      </c>
      <c r="V293" s="11">
        <v>1.1340210237092598</v>
      </c>
      <c r="W293" s="11">
        <f t="shared" si="163"/>
        <v>0.12576974455986234</v>
      </c>
      <c r="X293" s="11">
        <v>0.23673666714921462</v>
      </c>
      <c r="Y293" s="11">
        <f t="shared" si="153"/>
        <v>0.91052564288159465</v>
      </c>
      <c r="Z293" s="11">
        <f t="shared" si="164"/>
        <v>-9.3733216694754942E-2</v>
      </c>
      <c r="AA293" s="11">
        <v>0.43997406077432616</v>
      </c>
      <c r="AB293" s="11">
        <f t="shared" si="150"/>
        <v>1.6922079260551006</v>
      </c>
      <c r="AC293" s="11">
        <f t="shared" si="151"/>
        <v>0.52603414137337301</v>
      </c>
      <c r="AD293" s="11">
        <v>0.32416445338834615</v>
      </c>
      <c r="AE293" s="11">
        <f t="shared" si="154"/>
        <v>1.2467863591859467</v>
      </c>
      <c r="AF293" s="11">
        <f t="shared" si="165"/>
        <v>0.22056932819186501</v>
      </c>
      <c r="AG293" s="11">
        <v>0.28802744377645673</v>
      </c>
      <c r="AH293" s="11">
        <f t="shared" si="155"/>
        <v>1.1077978606786796</v>
      </c>
      <c r="AI293" s="11">
        <f t="shared" si="166"/>
        <v>0.10237413547100432</v>
      </c>
      <c r="AJ293" s="11">
        <v>0.21881899592249263</v>
      </c>
      <c r="AK293" s="11">
        <f t="shared" si="156"/>
        <v>0.84161152277881779</v>
      </c>
      <c r="AL293" s="11">
        <f t="shared" si="167"/>
        <v>-0.17243674557766459</v>
      </c>
      <c r="AM293" s="11">
        <v>0.34516315025537397</v>
      </c>
      <c r="AN293" s="11">
        <f t="shared" si="157"/>
        <v>1.3275505779052845</v>
      </c>
      <c r="AO293" s="11">
        <f t="shared" si="168"/>
        <v>0.28333557352514099</v>
      </c>
      <c r="AP293" s="11">
        <v>0.33097953272659097</v>
      </c>
      <c r="AQ293" s="11">
        <f t="shared" si="158"/>
        <v>1.2729982027945805</v>
      </c>
      <c r="AR293" s="11">
        <f t="shared" si="169"/>
        <v>0.24137490778682635</v>
      </c>
      <c r="AS293" s="11">
        <v>0.41640099019753685</v>
      </c>
      <c r="AT293" s="11">
        <f t="shared" si="159"/>
        <v>1.6015422699905262</v>
      </c>
      <c r="AU293" s="11">
        <f t="shared" si="170"/>
        <v>0.47096708371846446</v>
      </c>
      <c r="AZ293" t="b">
        <f t="shared" si="147"/>
        <v>0</v>
      </c>
      <c r="BB293" t="b">
        <f t="shared" si="148"/>
        <v>1</v>
      </c>
      <c r="BD293" t="b">
        <f t="shared" si="149"/>
        <v>1</v>
      </c>
    </row>
    <row r="294" spans="1:58">
      <c r="A294" s="62" t="s">
        <v>0</v>
      </c>
      <c r="B294" s="6"/>
      <c r="C294" s="6"/>
      <c r="D294" s="6"/>
      <c r="E294" s="6"/>
      <c r="F294" s="6"/>
      <c r="G294" s="75"/>
      <c r="H294" s="75"/>
      <c r="I294" s="6"/>
      <c r="J294" s="7"/>
      <c r="K294" s="13"/>
      <c r="L294" s="14">
        <f>AVERAGE(L12:L293)</f>
        <v>0.8823084041552518</v>
      </c>
      <c r="M294" s="8">
        <f>AVERAGE(M12:M293)</f>
        <v>-0.17872441953310583</v>
      </c>
      <c r="N294" s="13"/>
      <c r="O294" s="14">
        <f>AVERAGE(O12:O293)</f>
        <v>0.8610331091638892</v>
      </c>
      <c r="P294" s="8">
        <f>AVERAGE(P12:P293)</f>
        <v>-0.19823011146021216</v>
      </c>
      <c r="Q294" s="13"/>
      <c r="R294" s="14">
        <f>AVERAGE(R12:R293)</f>
        <v>0.93826700772641192</v>
      </c>
      <c r="S294" s="8">
        <f>AVERAGE(S12:S293)</f>
        <v>-0.11859881536954153</v>
      </c>
      <c r="T294" s="13"/>
      <c r="U294" s="13"/>
      <c r="V294" s="14">
        <f>AVERAGE(V12:V293)</f>
        <v>0.93048062189491365</v>
      </c>
      <c r="W294" s="8">
        <f>AVERAGE(W12:W293)</f>
        <v>-0.12531436513178792</v>
      </c>
      <c r="X294" s="13"/>
      <c r="Y294" s="14">
        <f>AVERAGE(Y12:Y293)</f>
        <v>0.98469922259764131</v>
      </c>
      <c r="Z294" s="8">
        <f>AVERAGE(Z12:Z293)</f>
        <v>-0.13146289327103122</v>
      </c>
      <c r="AA294" s="13"/>
      <c r="AB294" s="14">
        <f>AVERAGE(AB12:AB293)</f>
        <v>1.3810525500224322</v>
      </c>
      <c r="AC294" s="8">
        <f>AVERAGE(AC12:AC293)</f>
        <v>0.2662409280894994</v>
      </c>
      <c r="AD294" s="13"/>
      <c r="AE294" s="14">
        <f>AVERAGE(AE12:AE293)</f>
        <v>1.2215554173872176</v>
      </c>
      <c r="AF294" s="8">
        <f>AVERAGE(AF12:AF293)</f>
        <v>0.13075492687917098</v>
      </c>
      <c r="AG294" s="13"/>
      <c r="AH294" s="14">
        <f>AVERAGE(AH12:AH293)</f>
        <v>0.85283279968225079</v>
      </c>
      <c r="AI294" s="8">
        <f>AVERAGE(AI12:AI293)</f>
        <v>-0.24211806978941247</v>
      </c>
      <c r="AJ294" s="13"/>
      <c r="AK294" s="14">
        <f>AVERAGE(AK12:AK293)</f>
        <v>0.80790200985390948</v>
      </c>
      <c r="AL294" s="8">
        <f>AVERAGE(AL12:AL293)</f>
        <v>-0.2501594341939013</v>
      </c>
      <c r="AM294" s="8"/>
      <c r="AN294" s="14">
        <f>AVERAGE(AN12:AN293)</f>
        <v>1.1592471976789605</v>
      </c>
      <c r="AO294" s="8">
        <f>AVERAGE(AO12:AO293)</f>
        <v>9.7802904124181411E-2</v>
      </c>
      <c r="AP294" s="13"/>
      <c r="AQ294" s="14">
        <f>AVERAGE(AQ12:AQ293)</f>
        <v>1.0826038538884635</v>
      </c>
      <c r="AR294" s="8">
        <f>AVERAGE(AR12:AR293)</f>
        <v>1.0413525997290314E-2</v>
      </c>
      <c r="AS294" s="8"/>
      <c r="AT294" s="14">
        <f>AVERAGE(AT12:AT293)</f>
        <v>1.17073340159655</v>
      </c>
      <c r="AU294" s="8">
        <f>AVERAGE(AU12:AU293)</f>
        <v>9.7987445717146918E-2</v>
      </c>
      <c r="AY294" s="2" t="s">
        <v>56</v>
      </c>
      <c r="AZ294" s="1">
        <f>COUNTIF(AZ3:AZ293,TRUE)</f>
        <v>97</v>
      </c>
      <c r="BA294" s="1"/>
      <c r="BB294" s="1">
        <f>COUNTIF(BB3:BB293,TRUE)</f>
        <v>171</v>
      </c>
      <c r="BC294" s="1"/>
      <c r="BD294" s="1">
        <f>COUNTIF(BD3:BD293,TRUE)</f>
        <v>206</v>
      </c>
      <c r="BF294" s="1"/>
    </row>
    <row r="295" spans="1:58">
      <c r="A295" s="62" t="s">
        <v>12</v>
      </c>
      <c r="B295" s="6"/>
      <c r="C295" s="6"/>
      <c r="D295" s="6"/>
      <c r="E295" s="6"/>
      <c r="F295" s="6"/>
      <c r="G295" s="75"/>
      <c r="H295" s="75"/>
      <c r="I295" s="6"/>
      <c r="J295" s="7"/>
      <c r="K295" s="13"/>
      <c r="L295" s="14">
        <f>_xlfn.STDEV.S(L12:L293)</f>
        <v>0.27250855835932003</v>
      </c>
      <c r="M295" s="8">
        <f>_xlfn.STDEV.S(M12:M293)</f>
        <v>0.3425594388040728</v>
      </c>
      <c r="N295" s="13"/>
      <c r="O295" s="14">
        <f>_xlfn.STDEV.S(O12:O293)</f>
        <v>0.260009083660802</v>
      </c>
      <c r="P295" s="8">
        <f>_xlfn.STDEV.S(P12:P293)</f>
        <v>0.321886908694555</v>
      </c>
      <c r="Q295" s="13"/>
      <c r="R295" s="14">
        <f>_xlfn.STDEV.S(R12:R293)</f>
        <v>0.31826747930321947</v>
      </c>
      <c r="S295" s="8">
        <f>_xlfn.STDEV.S(S12:S293)</f>
        <v>0.3336277337733593</v>
      </c>
      <c r="T295" s="13"/>
      <c r="U295" s="13"/>
      <c r="V295" s="14">
        <f>_xlfn.STDEV.S(V12:V293)</f>
        <v>0.28929992831788498</v>
      </c>
      <c r="W295" s="8">
        <f>_xlfn.STDEV.S(W12:W293)</f>
        <v>0.34020260081651826</v>
      </c>
      <c r="X295" s="13"/>
      <c r="Y295" s="14">
        <f>_xlfn.STDEV.S(Y12:Y293)</f>
        <v>0.46436359306684799</v>
      </c>
      <c r="Z295" s="8">
        <f>_xlfn.STDEV.S(Z12:Z293)</f>
        <v>0.49806144534700514</v>
      </c>
      <c r="AA295" s="13"/>
      <c r="AB295" s="14">
        <f>_xlfn.STDEV.S(AB12:AB293)</f>
        <v>0.42698930667422186</v>
      </c>
      <c r="AC295" s="8">
        <f>_xlfn.STDEV.S(AC12:AC293)</f>
        <v>0.35729675727771809</v>
      </c>
      <c r="AD295" s="13"/>
      <c r="AE295" s="14">
        <f>_xlfn.STDEV.S(AE12:AE293)</f>
        <v>0.43766667733942083</v>
      </c>
      <c r="AF295" s="8">
        <f>_xlfn.STDEV.S(AF12:AF293)</f>
        <v>0.38440818766179929</v>
      </c>
      <c r="AG295" s="13"/>
      <c r="AH295" s="14">
        <f>_xlfn.STDEV.S(AH12:AH293)</f>
        <v>0.31765126082177358</v>
      </c>
      <c r="AI295" s="8">
        <f>_xlfn.STDEV.S(AI12:AI293)</f>
        <v>0.43211871930166706</v>
      </c>
      <c r="AJ295" s="13"/>
      <c r="AK295" s="14">
        <f>_xlfn.STDEV.S(AK12:AK293)</f>
        <v>0.21402952851616464</v>
      </c>
      <c r="AL295" s="8">
        <f>_xlfn.STDEV.S(AL12:AL293)</f>
        <v>0.27835648625607362</v>
      </c>
      <c r="AM295" s="8"/>
      <c r="AN295" s="14">
        <f>_xlfn.STDEV.S(AN12:AN293)</f>
        <v>0.3544080279873249</v>
      </c>
      <c r="AO295" s="8">
        <f>_xlfn.STDEV.S(AO12:AO293)</f>
        <v>0.32494008918940803</v>
      </c>
      <c r="AP295" s="13"/>
      <c r="AQ295" s="14">
        <f>_xlfn.STDEV.S(AQ12:AQ293)</f>
        <v>0.3880791696579538</v>
      </c>
      <c r="AR295" s="8">
        <f>_xlfn.STDEV.S(AR12:AR293)</f>
        <v>0.38540095619194625</v>
      </c>
      <c r="AS295" s="8"/>
      <c r="AT295" s="14">
        <f>_xlfn.STDEV.S(AT12:AT293)</f>
        <v>0.4053736421096969</v>
      </c>
      <c r="AU295" s="8">
        <f>_xlfn.STDEV.S(AU12:AU293)</f>
        <v>0.35161749025454586</v>
      </c>
    </row>
    <row r="296" spans="1:58">
      <c r="A296" s="62" t="s">
        <v>1</v>
      </c>
      <c r="B296" s="6"/>
      <c r="C296" s="6"/>
      <c r="D296" s="6"/>
      <c r="E296" s="6"/>
      <c r="F296" s="6"/>
      <c r="G296" s="75"/>
      <c r="H296" s="75"/>
      <c r="I296" s="6"/>
      <c r="J296" s="7"/>
      <c r="K296" s="13"/>
      <c r="L296" s="15">
        <f>L295/L294</f>
        <v>0.30885862253599161</v>
      </c>
      <c r="M296" s="9"/>
      <c r="N296" s="13"/>
      <c r="O296" s="15">
        <f>O295/O294</f>
        <v>0.30197338626534953</v>
      </c>
      <c r="P296" s="9"/>
      <c r="Q296" s="13"/>
      <c r="R296" s="15">
        <f>R295/R294</f>
        <v>0.33920779126022799</v>
      </c>
      <c r="S296" s="9"/>
      <c r="T296" s="13"/>
      <c r="U296" s="13"/>
      <c r="V296" s="15">
        <f>V295/V294</f>
        <v>0.31091451182371627</v>
      </c>
      <c r="W296" s="9"/>
      <c r="X296" s="13"/>
      <c r="Y296" s="15">
        <f>Y295/Y294</f>
        <v>0.47157912021282455</v>
      </c>
      <c r="Z296" s="9"/>
      <c r="AA296" s="13"/>
      <c r="AB296" s="15">
        <f>AB295/AB294</f>
        <v>0.309176726596889</v>
      </c>
      <c r="AC296" s="9"/>
      <c r="AD296" s="13"/>
      <c r="AE296" s="15">
        <f>AE295/AE294</f>
        <v>0.35828638726480799</v>
      </c>
      <c r="AF296" s="9"/>
      <c r="AG296" s="13"/>
      <c r="AH296" s="15">
        <f>AH295/AH294</f>
        <v>0.37246604602933231</v>
      </c>
      <c r="AI296" s="9"/>
      <c r="AJ296" s="13"/>
      <c r="AK296" s="15">
        <f>AK295/AK294</f>
        <v>0.2649201585163366</v>
      </c>
      <c r="AL296" s="9"/>
      <c r="AM296" s="9"/>
      <c r="AN296" s="15">
        <f>AN295/AN294</f>
        <v>0.30572256607298176</v>
      </c>
      <c r="AO296" s="9"/>
      <c r="AP296" s="13"/>
      <c r="AQ296" s="15">
        <f>AQ295/AQ294</f>
        <v>0.35846830607896218</v>
      </c>
      <c r="AR296" s="9"/>
      <c r="AS296" s="9"/>
      <c r="AT296" s="15">
        <f>AT295/AT294</f>
        <v>0.34625615153448397</v>
      </c>
      <c r="AU296" s="9"/>
    </row>
    <row r="297" spans="1:58" s="116" customFormat="1" ht="13.2" customHeight="1">
      <c r="A297" s="109"/>
      <c r="B297" s="110"/>
      <c r="C297" s="110"/>
      <c r="D297" s="110"/>
      <c r="E297" s="110"/>
      <c r="F297" s="110"/>
      <c r="G297" s="111"/>
      <c r="H297" s="111"/>
      <c r="I297" s="110"/>
      <c r="J297" s="112"/>
      <c r="K297" s="113"/>
      <c r="L297" s="114"/>
      <c r="M297" s="115"/>
      <c r="N297" s="113"/>
      <c r="O297" s="114"/>
      <c r="P297" s="115"/>
      <c r="Q297" s="113"/>
      <c r="R297" s="114"/>
      <c r="S297" s="115"/>
      <c r="T297" s="113"/>
      <c r="U297" s="113"/>
      <c r="V297" s="114"/>
      <c r="W297" s="115"/>
      <c r="X297" s="113"/>
      <c r="Y297" s="114"/>
      <c r="Z297" s="115"/>
      <c r="AA297" s="113"/>
      <c r="AB297" s="114"/>
      <c r="AC297" s="115"/>
      <c r="AD297" s="113"/>
      <c r="AE297" s="114"/>
      <c r="AF297" s="115"/>
      <c r="AG297" s="113"/>
      <c r="AH297" s="114"/>
      <c r="AI297" s="115"/>
      <c r="AJ297" s="113"/>
      <c r="AK297" s="114"/>
      <c r="AL297" s="115"/>
      <c r="AM297" s="115"/>
      <c r="AN297" s="114"/>
      <c r="AO297" s="115"/>
      <c r="AP297" s="113"/>
      <c r="AQ297" s="114"/>
      <c r="AR297" s="115"/>
      <c r="AS297" s="115"/>
      <c r="AT297" s="114"/>
      <c r="AU297" s="115"/>
    </row>
    <row r="298" spans="1:58" s="116" customFormat="1" ht="19.8" customHeight="1">
      <c r="A298" s="117" t="s">
        <v>121</v>
      </c>
      <c r="B298" s="110"/>
      <c r="C298" s="110"/>
      <c r="D298" s="110"/>
      <c r="E298" s="110"/>
      <c r="F298" s="110"/>
      <c r="G298" s="111"/>
      <c r="H298" s="111"/>
      <c r="I298" s="110"/>
      <c r="J298" s="112"/>
      <c r="K298" s="113"/>
      <c r="L298" s="118">
        <f>COUNTBLANK(L3:L293)</f>
        <v>7</v>
      </c>
      <c r="M298" s="115"/>
      <c r="N298" s="113"/>
      <c r="O298" s="118">
        <f>COUNTBLANK(O3:O293)</f>
        <v>3</v>
      </c>
      <c r="P298" s="115"/>
      <c r="Q298" s="113"/>
      <c r="R298" s="118">
        <f>COUNTBLANK(R3:R293)</f>
        <v>4</v>
      </c>
      <c r="S298" s="115"/>
      <c r="T298" s="113"/>
      <c r="U298" s="113"/>
      <c r="V298" s="118">
        <f>COUNTBLANK(V3:V293)</f>
        <v>9</v>
      </c>
      <c r="W298" s="115"/>
      <c r="X298" s="113"/>
      <c r="Y298" s="118">
        <f>COUNTBLANK(Y3:Y293)</f>
        <v>1</v>
      </c>
      <c r="Z298" s="115"/>
      <c r="AA298" s="113"/>
      <c r="AB298" s="118">
        <f>COUNTBLANK(AB3:AB293)</f>
        <v>21</v>
      </c>
      <c r="AC298" s="115"/>
      <c r="AD298" s="113"/>
      <c r="AE298" s="118">
        <f>COUNTBLANK(AE3:AE293)</f>
        <v>0</v>
      </c>
      <c r="AF298" s="115"/>
      <c r="AG298" s="113"/>
      <c r="AH298" s="118">
        <f>COUNTBLANK(AH3:AH293)</f>
        <v>0</v>
      </c>
      <c r="AI298" s="115"/>
      <c r="AJ298" s="113"/>
      <c r="AK298" s="118">
        <f>COUNTBLANK(AK3:AK293)</f>
        <v>0</v>
      </c>
      <c r="AL298" s="115"/>
      <c r="AM298" s="115"/>
      <c r="AN298" s="118">
        <f>COUNTBLANK(AN3:AN293)</f>
        <v>0</v>
      </c>
      <c r="AO298" s="115"/>
      <c r="AP298" s="113"/>
      <c r="AQ298" s="118">
        <f>COUNTBLANK(AQ3:AQ293)</f>
        <v>3</v>
      </c>
      <c r="AR298" s="115"/>
      <c r="AS298" s="115"/>
      <c r="AT298" s="118">
        <f>COUNTBLANK(AT3:AT293)</f>
        <v>0</v>
      </c>
      <c r="AU298" s="115"/>
    </row>
    <row r="299" spans="1:58" s="116" customFormat="1" ht="26.4">
      <c r="A299" s="117" t="s">
        <v>119</v>
      </c>
      <c r="B299" s="110"/>
      <c r="C299" s="110"/>
      <c r="D299" s="110"/>
      <c r="E299" s="110"/>
      <c r="F299" s="110"/>
      <c r="G299" s="111"/>
      <c r="H299" s="111"/>
      <c r="I299" s="110"/>
      <c r="J299" s="112"/>
      <c r="K299" s="113"/>
      <c r="L299" s="108">
        <f>(ROW(L293)-2-L298)/(ROW(L293)-2)</f>
        <v>0.97594501718213056</v>
      </c>
      <c r="M299" s="115"/>
      <c r="N299" s="113"/>
      <c r="O299" s="108">
        <f>(ROW(O293)-2-O298)/(ROW(O293)-2)</f>
        <v>0.98969072164948457</v>
      </c>
      <c r="P299" s="115"/>
      <c r="Q299" s="113"/>
      <c r="R299" s="108">
        <f>(ROW(R293)-2-R298)/(ROW(R293)-2)</f>
        <v>0.9862542955326461</v>
      </c>
      <c r="S299" s="115"/>
      <c r="T299" s="113"/>
      <c r="U299" s="113"/>
      <c r="V299" s="108">
        <f>(ROW(V293)-2-V298)/(ROW(V293)-2)</f>
        <v>0.96907216494845361</v>
      </c>
      <c r="W299" s="115"/>
      <c r="X299" s="113"/>
      <c r="Y299" s="108">
        <f>(ROW(Y293)-2-Y298)/(ROW(Y293)-2)</f>
        <v>0.99656357388316152</v>
      </c>
      <c r="Z299" s="115"/>
      <c r="AA299" s="113"/>
      <c r="AB299" s="108">
        <f>(ROW(AB293)-2-AB298)/(ROW(AB293)-2)</f>
        <v>0.92783505154639179</v>
      </c>
      <c r="AC299" s="115"/>
      <c r="AD299" s="113"/>
      <c r="AE299" s="108">
        <f>(ROW(AE293)-2-AE298)/(ROW(AE293)-2)</f>
        <v>1</v>
      </c>
      <c r="AF299" s="115"/>
      <c r="AG299" s="113"/>
      <c r="AH299" s="108">
        <f>(ROW(AH293)-2-AH298)/(ROW(AH293)-2)</f>
        <v>1</v>
      </c>
      <c r="AI299" s="115"/>
      <c r="AJ299" s="113"/>
      <c r="AK299" s="108">
        <f>(ROW(AK293)-2-AK298)/(ROW(AK293)-2)</f>
        <v>1</v>
      </c>
      <c r="AL299" s="115"/>
      <c r="AM299" s="115"/>
      <c r="AN299" s="108">
        <f>(ROW(AN293)-2-AN298)/(ROW(AN293)-2)</f>
        <v>1</v>
      </c>
      <c r="AO299" s="115"/>
      <c r="AP299" s="113"/>
      <c r="AQ299" s="108">
        <f>(ROW(AQ293)-2-AQ298)/(ROW(AQ293)-2)</f>
        <v>0.98969072164948457</v>
      </c>
      <c r="AR299" s="115"/>
      <c r="AS299" s="115"/>
      <c r="AT299" s="108">
        <f>(ROW(AT293)-2-AT298)/(ROW(AT293)-2)</f>
        <v>1</v>
      </c>
      <c r="AU299" s="115"/>
    </row>
    <row r="300" spans="1:58">
      <c r="M300"/>
      <c r="P300"/>
      <c r="S300"/>
      <c r="W300"/>
      <c r="Z300"/>
      <c r="AC300"/>
      <c r="AF300"/>
      <c r="AI300"/>
      <c r="AL300"/>
      <c r="AM300"/>
      <c r="AN300"/>
      <c r="AO300"/>
      <c r="AP300" s="17"/>
      <c r="AQ300" s="16"/>
      <c r="AT300" s="16"/>
    </row>
    <row r="301" spans="1:58" ht="42">
      <c r="A301" s="10" t="s">
        <v>38</v>
      </c>
      <c r="B301" s="10"/>
      <c r="C301" s="10"/>
      <c r="D301" s="10"/>
      <c r="E301" s="10"/>
      <c r="F301" s="10"/>
      <c r="G301" s="76"/>
      <c r="H301" s="76"/>
      <c r="I301" s="10"/>
      <c r="L301" s="17"/>
      <c r="M301" s="18">
        <f>EXP(M294-0.674*M295)</f>
        <v>0.66390946858938493</v>
      </c>
      <c r="O301" s="17"/>
      <c r="P301" s="18">
        <f>EXP(P294-0.674*P295)</f>
        <v>0.66022018370703495</v>
      </c>
      <c r="R301" s="17"/>
      <c r="S301" s="18">
        <f>EXP(S294-0.674*S295)</f>
        <v>0.70930908111347324</v>
      </c>
      <c r="V301" s="17"/>
      <c r="W301" s="18">
        <f>EXP(W294-0.674*W295)</f>
        <v>0.70144631019698489</v>
      </c>
      <c r="Y301" s="17"/>
      <c r="Z301" s="18">
        <f>EXP(Z294-0.674*Z295)</f>
        <v>0.62678211205101952</v>
      </c>
      <c r="AB301" s="17"/>
      <c r="AC301" s="18">
        <f>EXP(AC294-0.674*AC295)</f>
        <v>1.0257488320244361</v>
      </c>
      <c r="AE301" s="17"/>
      <c r="AF301" s="18">
        <f>EXP(AF294-0.674*AF295)</f>
        <v>0.87955762954210093</v>
      </c>
      <c r="AH301" s="17"/>
      <c r="AI301" s="18">
        <f>EXP(AI294-0.674*AI295)</f>
        <v>0.58662700524537337</v>
      </c>
      <c r="AK301" s="17"/>
      <c r="AL301" s="18">
        <f>EXP(AL294-0.674*AL295)</f>
        <v>0.64547312372430277</v>
      </c>
      <c r="AM301" s="17"/>
      <c r="AN301" s="17"/>
      <c r="AO301" s="18">
        <f>EXP(AO294-0.674*AO295)</f>
        <v>0.88585082113568159</v>
      </c>
      <c r="AP301" s="17"/>
      <c r="AQ301" s="17"/>
      <c r="AR301" s="18">
        <f>EXP(AR294-0.674*AR295)</f>
        <v>0.77930972545702692</v>
      </c>
      <c r="AS301" s="17"/>
      <c r="AT301" s="17"/>
      <c r="AU301" s="18">
        <f>EXP(AU294-0.674*AU295)</f>
        <v>0.87022564167456506</v>
      </c>
    </row>
    <row r="302" spans="1:58" s="116" customFormat="1">
      <c r="A302" s="119"/>
      <c r="B302" s="119"/>
      <c r="C302" s="119"/>
      <c r="D302" s="119"/>
      <c r="E302" s="119"/>
      <c r="F302" s="119"/>
      <c r="G302" s="120"/>
      <c r="H302" s="120"/>
      <c r="I302" s="119"/>
      <c r="J302" s="121"/>
      <c r="K302" s="122"/>
      <c r="L302" s="123"/>
      <c r="M302" s="123"/>
      <c r="N302" s="122"/>
      <c r="O302" s="123"/>
      <c r="P302" s="123"/>
      <c r="Q302" s="122"/>
      <c r="R302" s="123"/>
      <c r="S302" s="123"/>
      <c r="T302" s="122"/>
      <c r="U302" s="122"/>
      <c r="V302" s="123"/>
      <c r="W302" s="123"/>
      <c r="X302" s="122"/>
      <c r="Y302" s="123"/>
      <c r="Z302" s="123"/>
      <c r="AA302" s="122"/>
      <c r="AB302" s="123"/>
      <c r="AC302" s="123"/>
      <c r="AD302" s="122"/>
      <c r="AE302" s="123"/>
      <c r="AF302" s="123"/>
      <c r="AG302" s="122"/>
      <c r="AH302" s="123"/>
      <c r="AI302" s="123"/>
      <c r="AJ302" s="122"/>
      <c r="AK302" s="123"/>
      <c r="AL302" s="123"/>
      <c r="AM302" s="123"/>
      <c r="AN302" s="123"/>
      <c r="AO302" s="123"/>
      <c r="AP302" s="123"/>
      <c r="AQ302" s="123"/>
      <c r="AR302" s="123"/>
      <c r="AS302" s="123"/>
      <c r="AT302" s="123"/>
      <c r="AU302" s="123"/>
    </row>
    <row r="303" spans="1:58" s="116" customFormat="1">
      <c r="A303" s="10" t="s">
        <v>120</v>
      </c>
      <c r="B303" s="119"/>
      <c r="C303" s="119"/>
      <c r="D303" s="119"/>
      <c r="E303" s="119"/>
      <c r="F303" s="119"/>
      <c r="G303" s="120"/>
      <c r="H303" s="120"/>
      <c r="I303" s="119"/>
      <c r="J303" s="121"/>
      <c r="K303" s="122"/>
      <c r="L303" s="123"/>
      <c r="M303" s="123"/>
      <c r="N303" s="122"/>
      <c r="O303" s="123"/>
      <c r="P303" s="123"/>
      <c r="Q303" s="122"/>
      <c r="R303" s="123"/>
      <c r="S303" s="123"/>
      <c r="T303" s="122"/>
      <c r="U303" s="122"/>
      <c r="V303" s="123"/>
      <c r="W303" s="123"/>
      <c r="X303" s="122"/>
      <c r="Y303" s="123"/>
      <c r="Z303" s="123"/>
      <c r="AA303" s="122"/>
      <c r="AB303" s="123"/>
      <c r="AC303" s="123"/>
      <c r="AD303" s="122"/>
      <c r="AE303" s="123"/>
      <c r="AF303" s="123"/>
      <c r="AG303" s="122"/>
      <c r="AH303" s="123"/>
      <c r="AI303" s="123"/>
      <c r="AJ303" s="122"/>
      <c r="AK303" s="123"/>
      <c r="AL303" s="123"/>
      <c r="AM303" s="123"/>
      <c r="AN303" s="123"/>
      <c r="AO303" s="123"/>
      <c r="AP303" s="123"/>
      <c r="AQ303" s="123"/>
      <c r="AR303" s="123"/>
      <c r="AS303" s="123"/>
      <c r="AT303" s="123"/>
      <c r="AU303" s="123"/>
    </row>
    <row r="304" spans="1:58">
      <c r="M304"/>
      <c r="P304"/>
      <c r="S304"/>
      <c r="W304"/>
      <c r="Z304"/>
      <c r="AC304"/>
      <c r="AF304"/>
      <c r="AI304"/>
      <c r="AL304"/>
      <c r="AM304"/>
      <c r="AN304"/>
      <c r="AO304"/>
      <c r="AP304" s="17"/>
      <c r="AQ304" s="16"/>
      <c r="AT304" s="16"/>
    </row>
    <row r="305" spans="1:47" ht="42">
      <c r="A305" s="10" t="s">
        <v>39</v>
      </c>
      <c r="B305" s="10"/>
      <c r="C305" s="10"/>
      <c r="D305" s="10"/>
      <c r="E305" s="10"/>
      <c r="F305" s="10"/>
      <c r="G305" s="76"/>
      <c r="H305" s="76"/>
      <c r="I305" s="10"/>
      <c r="M305" s="18">
        <f>IF(M301&lt;1,1/M301,1)</f>
        <v>1.5062294594543288</v>
      </c>
      <c r="P305" s="18">
        <f>IF(P301&lt;1,1/P301,1)</f>
        <v>1.5146462114883454</v>
      </c>
      <c r="S305" s="18">
        <f>IF(S301&lt;1,1/S301,1)</f>
        <v>1.4098226381511996</v>
      </c>
      <c r="W305" s="18">
        <f>IF(W301&lt;1,1/W301,1)</f>
        <v>1.4256258611142645</v>
      </c>
      <c r="Z305" s="18">
        <f>IF(Z301&lt;1,1/Z301,1)</f>
        <v>1.5954507647445446</v>
      </c>
      <c r="AC305" s="18">
        <f>IF(AC301&lt;1,1/AC301,1)</f>
        <v>1</v>
      </c>
      <c r="AF305" s="18">
        <f>IF(AF301&lt;1,1/AF301,1)</f>
        <v>1.1369351665116036</v>
      </c>
      <c r="AI305" s="18">
        <f>IF(AI301&lt;1,1/AI301,1)</f>
        <v>1.7046606976126537</v>
      </c>
      <c r="AL305" s="18">
        <f>IF(AL301&lt;1,1/AL301,1)</f>
        <v>1.5492511821872916</v>
      </c>
      <c r="AM305" s="17"/>
      <c r="AN305" s="17"/>
      <c r="AO305" s="18">
        <f>IF(AO301&lt;1,1/AO301,1)</f>
        <v>1.1288582412984349</v>
      </c>
      <c r="AP305" s="17"/>
      <c r="AQ305" s="16"/>
      <c r="AR305" s="18">
        <f>IF(AR301&lt;1,1/AR301,1)</f>
        <v>1.2831868605432186</v>
      </c>
      <c r="AS305" s="17"/>
      <c r="AT305" s="16"/>
      <c r="AU305" s="18">
        <f>IF(AU301&lt;1,1/AU301,1)</f>
        <v>1.1491272517271631</v>
      </c>
    </row>
    <row r="306" spans="1:47">
      <c r="AP306" s="17"/>
      <c r="AQ306" s="16"/>
      <c r="AR306" s="16"/>
      <c r="AS306" s="16"/>
      <c r="AT306" s="16"/>
      <c r="AU306" s="16"/>
    </row>
    <row r="307" spans="1:47" s="46" customFormat="1" ht="26.4">
      <c r="A307" s="58" t="s">
        <v>52</v>
      </c>
      <c r="G307" s="47"/>
      <c r="H307" s="47"/>
      <c r="J307" s="47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61"/>
      <c r="AQ307" s="48"/>
      <c r="AR307" s="48"/>
      <c r="AS307" s="48"/>
      <c r="AT307" s="48"/>
      <c r="AU307" s="48"/>
    </row>
    <row r="308" spans="1:47">
      <c r="AP308" s="17"/>
      <c r="AQ308" s="16"/>
      <c r="AR308" s="16"/>
      <c r="AS308" s="16"/>
      <c r="AT308" s="16"/>
      <c r="AU308" s="16"/>
    </row>
    <row r="309" spans="1:47">
      <c r="A309" s="62" t="s">
        <v>0</v>
      </c>
      <c r="B309" s="6"/>
      <c r="C309" s="6"/>
      <c r="D309" s="6"/>
      <c r="E309" s="6"/>
      <c r="F309" s="6"/>
      <c r="G309" s="75"/>
      <c r="H309" s="75"/>
      <c r="I309" s="6"/>
      <c r="J309" s="7"/>
      <c r="K309" s="13"/>
      <c r="L309" s="8">
        <f>AVERAGEIF($AZ12:$AZ293,TRUE,L12:L293)</f>
        <v>0.99161075680283184</v>
      </c>
      <c r="M309" s="8">
        <f>AVERAGEIF($AZ12:$AZ293,TRUE,M12:M293)</f>
        <v>-4.35912340289046E-2</v>
      </c>
      <c r="N309" s="13"/>
      <c r="O309" s="8">
        <f>AVERAGEIF($AZ12:$AZ293,TRUE,O12:O293)</f>
        <v>0.86393940430860294</v>
      </c>
      <c r="P309" s="8">
        <f>AVERAGEIF($AZ12:$AZ293,TRUE,P12:P293)</f>
        <v>-0.1932285149903786</v>
      </c>
      <c r="Q309" s="13"/>
      <c r="R309" s="8">
        <f>AVERAGEIF($AZ12:$AZ293,TRUE,R12:R293)</f>
        <v>1.0628568634422284</v>
      </c>
      <c r="S309" s="8">
        <f>AVERAGEIF($AZ12:$AZ293,TRUE,S12:S293)</f>
        <v>-2.3188125335257674E-3</v>
      </c>
      <c r="T309" s="13"/>
      <c r="U309" s="13"/>
      <c r="V309" s="8">
        <f>AVERAGEIF($AZ12:$AZ293,TRUE,V12:V293)</f>
        <v>0.88262595314384751</v>
      </c>
      <c r="W309" s="8">
        <f>AVERAGEIF($AZ12:$AZ293,TRUE,W12:W293)</f>
        <v>-0.16568874990153046</v>
      </c>
      <c r="X309" s="13"/>
      <c r="Y309" s="8">
        <f>AVERAGEIF($AZ12:$AZ293,TRUE,Y12:Y293)</f>
        <v>1.2806098069084464</v>
      </c>
      <c r="Z309" s="8">
        <f>AVERAGEIF($AZ12:$AZ293,TRUE,Z12:Z293)</f>
        <v>0.13251713824283823</v>
      </c>
      <c r="AA309" s="13"/>
      <c r="AB309" s="8">
        <f>AVERAGEIF($AZ12:$AZ293,TRUE,AB12:AB293)</f>
        <v>1.3795331406103564</v>
      </c>
      <c r="AC309" s="8">
        <f>AVERAGEIF($AZ12:$AZ293,TRUE,AC12:AC293)</f>
        <v>0.27985747773021186</v>
      </c>
      <c r="AD309" s="13"/>
      <c r="AE309" s="8">
        <f>AVERAGEIF($AZ12:$AZ293,TRUE,AE12:AE293)</f>
        <v>1.3988038636189775</v>
      </c>
      <c r="AF309" s="8">
        <f>AVERAGEIF($AZ12:$AZ293,TRUE,AF12:AF293)</f>
        <v>0.25142426738304985</v>
      </c>
      <c r="AG309" s="13"/>
      <c r="AH309" s="8">
        <f>AVERAGEIF($AZ12:$AZ293,TRUE,AH12:AH293)</f>
        <v>0.86023073990571508</v>
      </c>
      <c r="AI309" s="8">
        <f>AVERAGEIF($AZ12:$AZ293,TRUE,AI12:AI293)</f>
        <v>-0.23216252837948689</v>
      </c>
      <c r="AJ309" s="13"/>
      <c r="AK309" s="8">
        <f>AVERAGEIF($AZ12:$AZ293,TRUE,AK12:AK293)</f>
        <v>0.84676710396918009</v>
      </c>
      <c r="AL309" s="8">
        <f>AVERAGEIF($AZ12:$AZ293,TRUE,AL12:AL293)</f>
        <v>-0.19547113311779499</v>
      </c>
      <c r="AM309" s="8"/>
      <c r="AN309" s="8">
        <f>AVERAGEIF($AZ12:$AZ293,TRUE,AN12:AN293)</f>
        <v>1.2134298797789416</v>
      </c>
      <c r="AO309" s="8">
        <f>AVERAGEIF($AZ12:$AZ293,TRUE,AO12:AO293)</f>
        <v>0.12562777608760886</v>
      </c>
      <c r="AP309" s="13"/>
      <c r="AQ309" s="8">
        <f>AVERAGEIF($AZ12:$AZ293,TRUE,AQ12:AQ293)</f>
        <v>1.2363775625260216</v>
      </c>
      <c r="AR309" s="8">
        <f>AVERAGEIF($AZ12:$AZ293,TRUE,AR12:AR293)</f>
        <v>0.14467337869672656</v>
      </c>
      <c r="AS309" s="8"/>
      <c r="AT309" s="8">
        <f>AVERAGEIF($AZ12:$AZ293,TRUE,AT12:AT293)</f>
        <v>1.0498337319698576</v>
      </c>
      <c r="AU309" s="8">
        <f>AVERAGEIF($AZ12:$AZ293,TRUE,AU12:AU293)</f>
        <v>1.1118799660933433E-2</v>
      </c>
    </row>
    <row r="310" spans="1:47">
      <c r="A310" s="62" t="s">
        <v>12</v>
      </c>
      <c r="B310" s="6"/>
      <c r="C310" s="6"/>
      <c r="D310" s="6"/>
      <c r="E310" s="6"/>
      <c r="F310" s="6"/>
      <c r="G310" s="75"/>
      <c r="H310" s="75"/>
      <c r="I310" s="6"/>
      <c r="J310" s="7"/>
      <c r="K310" s="13"/>
      <c r="L310" s="14" cm="1">
        <f t="array" ref="L310">_xlfn.STDEV.S(_xlfn._xlws.FILTER(L12:L293,$AZ12:$AZ293=TRUE))</f>
        <v>0.261330455799137</v>
      </c>
      <c r="M310" s="14" cm="1">
        <f t="array" ref="M310">_xlfn.STDEV.S(_xlfn._xlws.FILTER(M12:M293,$AZ12:$AZ293=TRUE))</f>
        <v>0.2700585153963404</v>
      </c>
      <c r="N310" s="13"/>
      <c r="O310" s="14" cm="1">
        <f t="array" ref="O310">_xlfn.STDEV.S(_xlfn._xlws.FILTER(O12:O293,$AZ12:$AZ293=TRUE))</f>
        <v>0.25554591226007101</v>
      </c>
      <c r="P310" s="14" cm="1">
        <f t="array" ref="P310">_xlfn.STDEV.S(_xlfn._xlws.FILTER(P12:P293,$AZ12:$AZ293=TRUE))</f>
        <v>0.31773997784315211</v>
      </c>
      <c r="Q310" s="13"/>
      <c r="R310" s="14" cm="1">
        <f t="array" ref="R310">_xlfn.STDEV.S(_xlfn._xlws.FILTER(R12:R293,$AZ12:$AZ293=TRUE))</f>
        <v>0.39076727958751517</v>
      </c>
      <c r="S310" s="14" cm="1">
        <f t="array" ref="S310">_xlfn.STDEV.S(_xlfn._xlws.FILTER(S12:S293,$AZ12:$AZ293=TRUE))</f>
        <v>0.35402363853565305</v>
      </c>
      <c r="T310" s="13"/>
      <c r="U310" s="13"/>
      <c r="V310" s="14" cm="1">
        <f t="array" ref="V310">_xlfn.STDEV.S(_xlfn._xlws.FILTER(V12:V293,$AZ12:$AZ293=TRUE))</f>
        <v>0.25398466812353038</v>
      </c>
      <c r="W310" s="14" cm="1">
        <f t="array" ref="W310">_xlfn.STDEV.S(_xlfn._xlws.FILTER(W12:W293,$AZ12:$AZ293=TRUE))</f>
        <v>0.29049431787091956</v>
      </c>
      <c r="X310" s="13"/>
      <c r="Y310" s="14" cm="1">
        <f t="array" ref="Y310">_xlfn.STDEV.S(_xlfn._xlws.FILTER(Y12:Y293,$AZ12:$AZ293=TRUE))</f>
        <v>0.56627636250824676</v>
      </c>
      <c r="Z310" s="14" cm="1">
        <f t="array" ref="Z310">_xlfn.STDEV.S(_xlfn._xlws.FILTER(Z12:Z293,$AZ12:$AZ293=TRUE))</f>
        <v>0.50295146489610554</v>
      </c>
      <c r="AA310" s="13"/>
      <c r="AB310" s="14" cm="1">
        <f t="array" ref="AB310">_xlfn.STDEV.S(_xlfn._xlws.FILTER(AB12:AB293,$AZ12:$AZ293=TRUE))</f>
        <v>0.38681690783865047</v>
      </c>
      <c r="AC310" s="14" cm="1">
        <f t="array" ref="AC310">_xlfn.STDEV.S(_xlfn._xlws.FILTER(AC12:AC293,$AZ12:$AZ293=TRUE))</f>
        <v>0.29993304826095585</v>
      </c>
      <c r="AD310" s="13"/>
      <c r="AE310" s="14" cm="1">
        <f t="array" ref="AE310">_xlfn.STDEV.S(_xlfn._xlws.FILTER(AE12:AE293,$AZ12:$AZ293=TRUE))</f>
        <v>0.52465690286734523</v>
      </c>
      <c r="AF310" s="14" cm="1">
        <f t="array" ref="AF310">_xlfn.STDEV.S(_xlfn._xlws.FILTER(AF12:AF293,$AZ12:$AZ293=TRUE))</f>
        <v>0.43415172705762323</v>
      </c>
      <c r="AG310" s="13"/>
      <c r="AH310" s="14" cm="1">
        <f t="array" ref="AH310">_xlfn.STDEV.S(_xlfn._xlws.FILTER(AH12:AH293,$AZ12:$AZ293=TRUE))</f>
        <v>0.33570961723445092</v>
      </c>
      <c r="AI310" s="14" cm="1">
        <f t="array" ref="AI310">_xlfn.STDEV.S(_xlfn._xlws.FILTER(AI12:AI293,$AZ12:$AZ293=TRUE))</f>
        <v>0.41654378998956426</v>
      </c>
      <c r="AJ310" s="13"/>
      <c r="AK310" s="14" cm="1">
        <f t="array" ref="AK310">_xlfn.STDEV.S(_xlfn._xlws.FILTER(AK12:AK293,$AZ12:$AZ293=TRUE))</f>
        <v>0.20646620701992494</v>
      </c>
      <c r="AL310" s="14" cm="1">
        <f t="array" ref="AL310">_xlfn.STDEV.S(_xlfn._xlws.FILTER(AL12:AL293,$AZ12:$AZ293=TRUE))</f>
        <v>0.2434071672017237</v>
      </c>
      <c r="AM310" s="14"/>
      <c r="AN310" s="14" cm="1">
        <f t="array" ref="AN310">_xlfn.STDEV.S(_xlfn._xlws.FILTER(AN12:AN293,$AZ12:$AZ293=TRUE))</f>
        <v>0.42697717022753845</v>
      </c>
      <c r="AO310" s="14" cm="1">
        <f t="array" ref="AO310">_xlfn.STDEV.S(_xlfn._xlws.FILTER(AO12:AO293,$AZ12:$AZ293=TRUE))</f>
        <v>0.38198022221783706</v>
      </c>
      <c r="AP310" s="13"/>
      <c r="AQ310" s="14" cm="1">
        <f t="array" ref="AQ310">_xlfn.STDEV.S(_xlfn._xlws.FILTER(AQ12:AQ293,$AZ12:$AZ293=TRUE))</f>
        <v>0.43614603559829218</v>
      </c>
      <c r="AR310" s="14" cm="1">
        <f t="array" ref="AR310">_xlfn.STDEV.S(_xlfn._xlws.FILTER(AR12:AR293,$AZ12:$AZ293=TRUE))</f>
        <v>0.38244217957051069</v>
      </c>
      <c r="AS310" s="14"/>
      <c r="AT310" s="14" cm="1">
        <f t="array" ref="AT310">_xlfn.STDEV.S(_xlfn._xlws.FILTER(AT12:AT293,$AZ12:$AZ293=TRUE))</f>
        <v>0.28797458174264334</v>
      </c>
      <c r="AU310" s="14" cm="1">
        <f t="array" ref="AU310">_xlfn.STDEV.S(_xlfn._xlws.FILTER(AU12:AU293,$AZ12:$AZ293=TRUE))</f>
        <v>0.27857634677083881</v>
      </c>
    </row>
    <row r="311" spans="1:47">
      <c r="A311" s="62" t="s">
        <v>1</v>
      </c>
      <c r="B311" s="6"/>
      <c r="C311" s="6"/>
      <c r="D311" s="6"/>
      <c r="E311" s="6"/>
      <c r="F311" s="6"/>
      <c r="G311" s="75"/>
      <c r="H311" s="75"/>
      <c r="I311" s="6"/>
      <c r="J311" s="7"/>
      <c r="K311" s="13"/>
      <c r="L311" s="15">
        <f>L310/L309</f>
        <v>0.26354136843142267</v>
      </c>
      <c r="M311" s="9"/>
      <c r="N311" s="13"/>
      <c r="O311" s="15">
        <f>O310/O309</f>
        <v>0.29579147679295908</v>
      </c>
      <c r="P311" s="9"/>
      <c r="Q311" s="13"/>
      <c r="R311" s="15">
        <f>R310/R309</f>
        <v>0.36765748336229787</v>
      </c>
      <c r="S311" s="9"/>
      <c r="T311" s="13"/>
      <c r="U311" s="13"/>
      <c r="V311" s="15">
        <f>V310/V309</f>
        <v>0.28776025361463259</v>
      </c>
      <c r="W311" s="9"/>
      <c r="X311" s="13"/>
      <c r="Y311" s="15">
        <f>Y310/Y309</f>
        <v>0.44219274243675311</v>
      </c>
      <c r="Z311" s="9"/>
      <c r="AA311" s="13"/>
      <c r="AB311" s="15">
        <f>AB310/AB309</f>
        <v>0.28039696651833124</v>
      </c>
      <c r="AC311" s="9"/>
      <c r="AD311" s="13"/>
      <c r="AE311" s="15">
        <f>AE310/AE309</f>
        <v>0.3750753887038572</v>
      </c>
      <c r="AF311" s="9"/>
      <c r="AG311" s="13"/>
      <c r="AH311" s="15">
        <f>AH310/AH309</f>
        <v>0.39025531367461491</v>
      </c>
      <c r="AI311" s="9"/>
      <c r="AJ311" s="13"/>
      <c r="AK311" s="15">
        <f>AK310/AK309</f>
        <v>0.24382880021215339</v>
      </c>
      <c r="AL311" s="9"/>
      <c r="AM311" s="9"/>
      <c r="AN311" s="15">
        <f>AN310/AN309</f>
        <v>0.35187626194380811</v>
      </c>
      <c r="AO311" s="9"/>
      <c r="AP311" s="13"/>
      <c r="AQ311" s="15">
        <f>AQ310/AQ309</f>
        <v>0.35276120241717246</v>
      </c>
      <c r="AR311" s="9"/>
      <c r="AS311" s="9"/>
      <c r="AT311" s="15">
        <f>AT310/AT309</f>
        <v>0.27430494274774508</v>
      </c>
      <c r="AU311" s="9"/>
    </row>
    <row r="312" spans="1:47">
      <c r="M312"/>
      <c r="P312"/>
      <c r="S312"/>
      <c r="W312"/>
      <c r="Z312"/>
      <c r="AC312"/>
      <c r="AF312"/>
      <c r="AI312"/>
      <c r="AL312"/>
      <c r="AM312"/>
      <c r="AO312"/>
      <c r="AP312" s="17"/>
      <c r="AQ312" s="16"/>
      <c r="AT312" s="16"/>
    </row>
    <row r="313" spans="1:47" ht="42">
      <c r="A313" s="10" t="s">
        <v>38</v>
      </c>
      <c r="B313" s="49"/>
      <c r="C313" s="49"/>
      <c r="D313" s="49"/>
      <c r="E313" s="49"/>
      <c r="F313" s="49"/>
      <c r="G313" s="77"/>
      <c r="H313" s="77"/>
      <c r="I313" s="49"/>
      <c r="L313" s="17"/>
      <c r="M313" s="18">
        <f>EXP(M309-0.674*M310)</f>
        <v>0.79802873500212335</v>
      </c>
      <c r="O313" s="17"/>
      <c r="P313" s="18">
        <f>EXP(P309-0.674*P310)</f>
        <v>0.66538779357592803</v>
      </c>
      <c r="R313" s="17"/>
      <c r="S313" s="18">
        <f>EXP(S309-0.674*S310)</f>
        <v>0.78589605180821032</v>
      </c>
      <c r="V313" s="17"/>
      <c r="W313" s="18">
        <f>EXP(W309-0.674*W310)</f>
        <v>0.69664319116845352</v>
      </c>
      <c r="Y313" s="17"/>
      <c r="Z313" s="18">
        <f>EXP(Z309-0.674*Z310)</f>
        <v>0.81344891642823447</v>
      </c>
      <c r="AB313" s="17"/>
      <c r="AC313" s="18">
        <f>EXP(AC309-0.674*AC310)</f>
        <v>1.0808011840586329</v>
      </c>
      <c r="AE313" s="17"/>
      <c r="AF313" s="18">
        <f>EXP(AF309-0.674*AF310)</f>
        <v>0.95964294436865416</v>
      </c>
      <c r="AH313" s="17"/>
      <c r="AI313" s="18">
        <f>EXP(AI309-0.674*AI310)</f>
        <v>0.59874885484654972</v>
      </c>
      <c r="AK313" s="17"/>
      <c r="AL313" s="18">
        <f>EXP(AL309-0.674*AL310)</f>
        <v>0.69800601148667607</v>
      </c>
      <c r="AM313" s="17"/>
      <c r="AN313" s="17"/>
      <c r="AO313" s="18">
        <f>EXP(AO309-0.674*AO310)</f>
        <v>0.87649270836866056</v>
      </c>
      <c r="AP313" s="17"/>
      <c r="AQ313" s="17"/>
      <c r="AR313" s="18">
        <f>EXP(AR309-0.674*AR310)</f>
        <v>0.89306791324254609</v>
      </c>
      <c r="AS313" s="17"/>
      <c r="AT313" s="17"/>
      <c r="AU313" s="18">
        <f>EXP(AU309-0.674*AU310)</f>
        <v>0.83808004994971874</v>
      </c>
    </row>
    <row r="314" spans="1:47">
      <c r="M314"/>
      <c r="P314"/>
      <c r="S314"/>
      <c r="W314"/>
      <c r="Z314"/>
      <c r="AC314"/>
      <c r="AF314"/>
      <c r="AI314"/>
      <c r="AL314"/>
      <c r="AM314"/>
      <c r="AO314"/>
      <c r="AP314" s="17"/>
      <c r="AQ314" s="16"/>
      <c r="AT314" s="16"/>
    </row>
    <row r="315" spans="1:47" ht="42">
      <c r="A315" s="10" t="s">
        <v>39</v>
      </c>
      <c r="B315" s="49"/>
      <c r="C315" s="49"/>
      <c r="D315" s="49"/>
      <c r="E315" s="49"/>
      <c r="F315" s="49"/>
      <c r="G315" s="77"/>
      <c r="H315" s="77"/>
      <c r="I315" s="49"/>
      <c r="M315" s="18">
        <f>IF(M313&lt;1,1/M313,1)</f>
        <v>1.2530877099273114</v>
      </c>
      <c r="P315" s="18">
        <f>IF(P313&lt;1,1/P313,1)</f>
        <v>1.5028829949311191</v>
      </c>
      <c r="S315" s="18">
        <f>IF(S313&lt;1,1/S313,1)</f>
        <v>1.2724329097966247</v>
      </c>
      <c r="W315" s="18">
        <f>IF(W313&lt;1,1/W313,1)</f>
        <v>1.4354550689324006</v>
      </c>
      <c r="Z315" s="18">
        <f>IF(Z313&lt;1,1/Z313,1)</f>
        <v>1.2293334956925028</v>
      </c>
      <c r="AC315" s="18">
        <f>IF(AC313&lt;1,1/AC313,1)</f>
        <v>1</v>
      </c>
      <c r="AF315" s="18">
        <f>IF(AF313&lt;1,1/AF313,1)</f>
        <v>1.042054240973862</v>
      </c>
      <c r="AI315" s="18">
        <f>IF(AI313&lt;1,1/AI313,1)</f>
        <v>1.6701493320705973</v>
      </c>
      <c r="AL315" s="18">
        <f>IF(AL313&lt;1,1/AL313,1)</f>
        <v>1.4326524178067033</v>
      </c>
      <c r="AM315" s="17"/>
      <c r="AO315" s="18">
        <f>IF(AO313&lt;1,1/AO313,1)</f>
        <v>1.1409108033097193</v>
      </c>
      <c r="AP315" s="17"/>
      <c r="AQ315" s="16"/>
      <c r="AR315" s="18">
        <f>IF(AR313&lt;1,1/AR313,1)</f>
        <v>1.1197356720265601</v>
      </c>
      <c r="AS315" s="17"/>
      <c r="AT315" s="16"/>
      <c r="AU315" s="18">
        <f>IF(AU313&lt;1,1/AU313,1)</f>
        <v>1.193203441676002</v>
      </c>
    </row>
    <row r="316" spans="1:47">
      <c r="AP316" s="17"/>
      <c r="AQ316" s="16"/>
      <c r="AR316" s="16"/>
      <c r="AS316" s="16"/>
      <c r="AT316" s="16"/>
      <c r="AU316" s="16"/>
    </row>
    <row r="317" spans="1:47">
      <c r="AP317" s="17"/>
      <c r="AQ317" s="16"/>
      <c r="AR317" s="16"/>
      <c r="AS317" s="16"/>
      <c r="AT317" s="16"/>
      <c r="AU317" s="16"/>
    </row>
    <row r="318" spans="1:47" s="46" customFormat="1" ht="26.4">
      <c r="A318" s="58" t="s">
        <v>54</v>
      </c>
      <c r="G318" s="47"/>
      <c r="H318" s="47"/>
      <c r="J318" s="47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61"/>
      <c r="AQ318" s="48"/>
      <c r="AR318" s="48"/>
      <c r="AS318" s="48"/>
      <c r="AT318" s="48"/>
      <c r="AU318" s="48"/>
    </row>
    <row r="319" spans="1:47">
      <c r="AP319" s="17"/>
      <c r="AQ319" s="16"/>
      <c r="AR319" s="16"/>
      <c r="AS319" s="16"/>
      <c r="AT319" s="16"/>
      <c r="AU319" s="16"/>
    </row>
    <row r="320" spans="1:47">
      <c r="A320" s="62" t="s">
        <v>0</v>
      </c>
      <c r="B320" s="6"/>
      <c r="C320" s="6"/>
      <c r="D320" s="6"/>
      <c r="E320" s="6"/>
      <c r="F320" s="6"/>
      <c r="G320" s="75"/>
      <c r="H320" s="75"/>
      <c r="I320" s="6"/>
      <c r="J320" s="7"/>
      <c r="K320" s="13"/>
      <c r="L320" s="8">
        <f>AVERAGEIF($BB12:$BB293,TRUE,L12:L293)</f>
        <v>0.8623037016606675</v>
      </c>
      <c r="M320" s="8">
        <f>AVERAGEIF($BB12:$BB293,TRUE,M12:M293)</f>
        <v>-0.1968667842463509</v>
      </c>
      <c r="N320" s="13"/>
      <c r="O320" s="8">
        <f>AVERAGEIF($BB12:$BB293,TRUE,O12:O293)</f>
        <v>0.8792882229950576</v>
      </c>
      <c r="P320" s="8">
        <f>AVERAGEIF($BB12:$BB293,TRUE,P12:P293)</f>
        <v>-0.17553846000962184</v>
      </c>
      <c r="Q320" s="13"/>
      <c r="R320" s="8">
        <f>AVERAGEIF($BB12:$BB293,TRUE,R12:R293)</f>
        <v>0.88240200412058645</v>
      </c>
      <c r="S320" s="8">
        <f>AVERAGEIF($BB12:$BB293,TRUE,S12:S293)</f>
        <v>-0.16602507128979688</v>
      </c>
      <c r="T320" s="13"/>
      <c r="U320" s="13"/>
      <c r="V320" s="8">
        <f>AVERAGEIF($BB12:$BB293,TRUE,V12:V293)</f>
        <v>1.0056023347810379</v>
      </c>
      <c r="W320" s="8">
        <f>AVERAGEIF($BB12:$BB293,TRUE,W12:W293)</f>
        <v>-3.7751418556361958E-2</v>
      </c>
      <c r="X320" s="13"/>
      <c r="Y320" s="8">
        <f>AVERAGEIF($BB12:$BB293,TRUE,Y12:Y293)</f>
        <v>0.84223563864457052</v>
      </c>
      <c r="Z320" s="8">
        <f>AVERAGEIF($BB12:$BB293,TRUE,Z12:Z293)</f>
        <v>-0.25596722737663008</v>
      </c>
      <c r="AA320" s="13"/>
      <c r="AB320" s="8">
        <f>AVERAGEIF($BB12:$BB293,TRUE,AB12:AB293)</f>
        <v>1.4291130039867972</v>
      </c>
      <c r="AC320" s="8">
        <f>AVERAGEIF($BB12:$BB293,TRUE,AC12:AC293)</f>
        <v>0.30277330767012117</v>
      </c>
      <c r="AD320" s="13"/>
      <c r="AE320" s="8">
        <f>AVERAGEIF($BB12:$BB293,TRUE,AE12:AE293)</f>
        <v>1.1442368561762002</v>
      </c>
      <c r="AF320" s="8">
        <f>AVERAGEIF($BB12:$BB293,TRUE,AF12:AF293)</f>
        <v>8.3312461928212941E-2</v>
      </c>
      <c r="AG320" s="13"/>
      <c r="AH320" s="8">
        <f>AVERAGEIF($BB12:$BB293,TRUE,AH12:AH293)</f>
        <v>0.90899797865931653</v>
      </c>
      <c r="AI320" s="8">
        <f>AVERAGEIF($BB12:$BB293,TRUE,AI12:AI293)</f>
        <v>-0.15320367067316853</v>
      </c>
      <c r="AJ320" s="13"/>
      <c r="AK320" s="8">
        <f>AVERAGEIF($BB12:$BB293,TRUE,AK12:AK293)</f>
        <v>0.78116321588654669</v>
      </c>
      <c r="AL320" s="8">
        <f>AVERAGEIF($BB12:$BB293,TRUE,AL12:AL293)</f>
        <v>-0.28182017927598274</v>
      </c>
      <c r="AM320" s="8"/>
      <c r="AN320" s="8">
        <f>AVERAGEIF($BB12:$BB293,TRUE,AN12:AN293)</f>
        <v>1.1425572210693895</v>
      </c>
      <c r="AO320" s="8">
        <f>AVERAGEIF($BB12:$BB293,TRUE,AO12:AO293)</f>
        <v>9.3281861751134371E-2</v>
      </c>
      <c r="AP320" s="13"/>
      <c r="AQ320" s="8">
        <f>AVERAGEIF($BB12:$BB293,TRUE,AQ12:AQ293)</f>
        <v>1.0298923400770168</v>
      </c>
      <c r="AR320" s="8">
        <f>AVERAGEIF($BB12:$BB293,TRUE,AR12:AR293)</f>
        <v>-2.8253151496354822E-2</v>
      </c>
      <c r="AS320" s="8"/>
      <c r="AT320" s="8">
        <f>AVERAGEIF($BB12:$BB293,TRUE,AT12:AT293)</f>
        <v>1.2860308182200038</v>
      </c>
      <c r="AU320" s="8">
        <f>AVERAGEIF($BB12:$BB293,TRUE,AU12:AU293)</f>
        <v>0.19143075066564572</v>
      </c>
    </row>
    <row r="321" spans="1:47">
      <c r="A321" s="62" t="s">
        <v>12</v>
      </c>
      <c r="B321" s="6"/>
      <c r="C321" s="6"/>
      <c r="D321" s="6"/>
      <c r="E321" s="6"/>
      <c r="F321" s="6"/>
      <c r="G321" s="75"/>
      <c r="H321" s="75"/>
      <c r="I321" s="6"/>
      <c r="J321" s="7"/>
      <c r="K321" s="13"/>
      <c r="L321" s="14" cm="1">
        <f t="array" ref="L321">_xlfn.STDEV.S(_xlfn._xlws.FILTER(L12:L293,$BB12:$BB293=TRUE))</f>
        <v>0.25113633210193742</v>
      </c>
      <c r="M321" s="14" cm="1">
        <f t="array" ref="M321">_xlfn.STDEV.S(_xlfn._xlws.FILTER(M12:M293,$BB12:$BB293=TRUE))</f>
        <v>0.32937722309759399</v>
      </c>
      <c r="N321" s="13"/>
      <c r="O321" s="14" cm="1">
        <f t="array" ref="O321">_xlfn.STDEV.S(_xlfn._xlws.FILTER(O12:O293,$BB12:$BB293=TRUE))</f>
        <v>0.25887605259908458</v>
      </c>
      <c r="P321" s="14" cm="1">
        <f t="array" ref="P321">_xlfn.STDEV.S(_xlfn._xlws.FILTER(P12:P293,$BB12:$BB293=TRUE))</f>
        <v>0.31865571705733453</v>
      </c>
      <c r="Q321" s="13"/>
      <c r="R321" s="14" cm="1">
        <f t="array" ref="R321">_xlfn.STDEV.S(_xlfn._xlws.FILTER(R12:R293,$BB12:$BB293=TRUE))</f>
        <v>0.23818912263810496</v>
      </c>
      <c r="S321" s="14" cm="1">
        <f t="array" ref="S321">_xlfn.STDEV.S(_xlfn._xlws.FILTER(S12:S293,$BB12:$BB293=TRUE))</f>
        <v>0.2999743670780356</v>
      </c>
      <c r="T321" s="13"/>
      <c r="U321" s="13"/>
      <c r="V321" s="14" cm="1">
        <f t="array" ref="V321">_xlfn.STDEV.S(_xlfn._xlws.FILTER(V12:V293,$BB12:$BB293=TRUE))</f>
        <v>0.2781138885568622</v>
      </c>
      <c r="W321" s="14" cm="1">
        <f t="array" ref="W321">_xlfn.STDEV.S(_xlfn._xlws.FILTER(W12:W293,$BB12:$BB293=TRUE))</f>
        <v>0.31020777237402575</v>
      </c>
      <c r="X321" s="13"/>
      <c r="Y321" s="14" cm="1">
        <f t="array" ref="Y321">_xlfn.STDEV.S(_xlfn._xlws.FILTER(Y12:Y293,$BB12:$BB293=TRUE))</f>
        <v>0.309335122291719</v>
      </c>
      <c r="Z321" s="14" cm="1">
        <f t="array" ref="Z321">_xlfn.STDEV.S(_xlfn._xlws.FILTER(Z12:Z293,$BB12:$BB293=TRUE))</f>
        <v>0.44246995560749958</v>
      </c>
      <c r="AA321" s="13"/>
      <c r="AB321" s="14" cm="1">
        <f t="array" ref="AB321">_xlfn.STDEV.S(_xlfn._xlws.FILTER(AB12:AB293,$BB12:$BB293=TRUE))</f>
        <v>0.42647811794302759</v>
      </c>
      <c r="AC321" s="14" cm="1">
        <f t="array" ref="AC321">_xlfn.STDEV.S(_xlfn._xlws.FILTER(AC12:AC293,$BB12:$BB293=TRUE))</f>
        <v>0.35335183880516902</v>
      </c>
      <c r="AD321" s="13"/>
      <c r="AE321" s="14" cm="1">
        <f t="array" ref="AE321">_xlfn.STDEV.S(_xlfn._xlws.FILTER(AE12:AE293,$BB12:$BB293=TRUE))</f>
        <v>0.34279366050636156</v>
      </c>
      <c r="AF321" s="14" cm="1">
        <f t="array" ref="AF321">_xlfn.STDEV.S(_xlfn._xlws.FILTER(AF12:AF293,$BB12:$BB293=TRUE))</f>
        <v>0.33653882868361451</v>
      </c>
      <c r="AG321" s="13"/>
      <c r="AH321" s="14" cm="1">
        <f t="array" ref="AH321">_xlfn.STDEV.S(_xlfn._xlws.FILTER(AH12:AH293,$BB12:$BB293=TRUE))</f>
        <v>0.27681088586882768</v>
      </c>
      <c r="AI321" s="14" cm="1">
        <f t="array" ref="AI321">_xlfn.STDEV.S(_xlfn._xlws.FILTER(AI12:AI293,$BB12:$BB293=TRUE))</f>
        <v>0.36686173680959588</v>
      </c>
      <c r="AJ321" s="13"/>
      <c r="AK321" s="14" cm="1">
        <f t="array" ref="AK321">_xlfn.STDEV.S(_xlfn._xlws.FILTER(AK12:AK293,$BB12:$BB293=TRUE))</f>
        <v>0.19322339235835082</v>
      </c>
      <c r="AL321" s="14" cm="1">
        <f t="array" ref="AL321">_xlfn.STDEV.S(_xlfn._xlws.FILTER(AL12:AL293,$BB12:$BB293=TRUE))</f>
        <v>0.27632296531318978</v>
      </c>
      <c r="AM321" s="14"/>
      <c r="AN321" s="14" cm="1">
        <f t="array" ref="AN321">_xlfn.STDEV.S(_xlfn._xlws.FILTER(AN12:AN293,$BB12:$BB293=TRUE))</f>
        <v>0.30500490624047388</v>
      </c>
      <c r="AO321" s="14" cm="1">
        <f t="array" ref="AO321">_xlfn.STDEV.S(_xlfn._xlws.FILTER(AO12:AO293,$BB12:$BB293=TRUE))</f>
        <v>0.29444581038726614</v>
      </c>
      <c r="AP321" s="13"/>
      <c r="AQ321" s="14" cm="1">
        <f t="array" ref="AQ321">_xlfn.STDEV.S(_xlfn._xlws.FILTER(AQ12:AQ293,$BB12:$BB293=TRUE))</f>
        <v>0.33067982073292251</v>
      </c>
      <c r="AR321" s="14" cm="1">
        <f t="array" ref="AR321">_xlfn.STDEV.S(_xlfn._xlws.FILTER(AR12:AR293,$BB12:$BB293=TRUE))</f>
        <v>0.35742219582522694</v>
      </c>
      <c r="AS321" s="14"/>
      <c r="AT321" s="14" cm="1">
        <f t="array" ref="AT321">_xlfn.STDEV.S(_xlfn._xlws.FILTER(AT12:AT293,$BB12:$BB293=TRUE))</f>
        <v>0.4338458977368313</v>
      </c>
      <c r="AU321" s="14" cm="1">
        <f t="array" ref="AU321">_xlfn.STDEV.S(_xlfn._xlws.FILTER(AU12:AU293,$BB12:$BB293=TRUE))</f>
        <v>0.36037349389865214</v>
      </c>
    </row>
    <row r="322" spans="1:47">
      <c r="A322" s="62" t="s">
        <v>1</v>
      </c>
      <c r="B322" s="6"/>
      <c r="C322" s="6"/>
      <c r="D322" s="6"/>
      <c r="E322" s="6"/>
      <c r="F322" s="6"/>
      <c r="G322" s="75"/>
      <c r="H322" s="75"/>
      <c r="I322" s="6"/>
      <c r="J322" s="7"/>
      <c r="K322" s="13"/>
      <c r="L322" s="15">
        <f>L321/L320</f>
        <v>0.29123884267026401</v>
      </c>
      <c r="M322" s="9"/>
      <c r="N322" s="13"/>
      <c r="O322" s="15">
        <f>O321/O320</f>
        <v>0.29441546677071745</v>
      </c>
      <c r="P322" s="9"/>
      <c r="Q322" s="13"/>
      <c r="R322" s="15">
        <f>R321/R320</f>
        <v>0.2699326628065486</v>
      </c>
      <c r="S322" s="9"/>
      <c r="T322" s="13"/>
      <c r="U322" s="13"/>
      <c r="V322" s="15">
        <f>V321/V320</f>
        <v>0.27656448174160153</v>
      </c>
      <c r="W322" s="9"/>
      <c r="X322" s="13"/>
      <c r="Y322" s="15">
        <f>Y321/Y320</f>
        <v>0.36727859532225354</v>
      </c>
      <c r="Z322" s="9"/>
      <c r="AA322" s="13"/>
      <c r="AB322" s="15">
        <f>AB321/AB320</f>
        <v>0.29842155011764737</v>
      </c>
      <c r="AC322" s="9"/>
      <c r="AD322" s="13"/>
      <c r="AE322" s="15">
        <f>AE321/AE320</f>
        <v>0.29958278188303261</v>
      </c>
      <c r="AF322" s="9"/>
      <c r="AG322" s="13"/>
      <c r="AH322" s="15">
        <f>AH321/AH320</f>
        <v>0.30452310386552978</v>
      </c>
      <c r="AI322" s="9"/>
      <c r="AJ322" s="13"/>
      <c r="AK322" s="15">
        <f>AK321/AK320</f>
        <v>0.24735341914309222</v>
      </c>
      <c r="AL322" s="9"/>
      <c r="AM322" s="9"/>
      <c r="AN322" s="15">
        <f>AN321/AN320</f>
        <v>0.26694934889562999</v>
      </c>
      <c r="AO322" s="9"/>
      <c r="AP322" s="13"/>
      <c r="AQ322" s="15">
        <f>AQ321/AQ320</f>
        <v>0.32108193047459099</v>
      </c>
      <c r="AR322" s="9"/>
      <c r="AS322" s="9"/>
      <c r="AT322" s="15">
        <f>AT321/AT320</f>
        <v>0.33735264473468662</v>
      </c>
      <c r="AU322" s="9"/>
    </row>
    <row r="323" spans="1:47">
      <c r="M323"/>
      <c r="P323"/>
      <c r="S323"/>
      <c r="W323"/>
      <c r="Z323"/>
      <c r="AC323"/>
      <c r="AF323"/>
      <c r="AI323"/>
      <c r="AL323"/>
      <c r="AM323"/>
      <c r="AO323"/>
      <c r="AP323" s="17"/>
      <c r="AQ323" s="16"/>
      <c r="AT323" s="16"/>
    </row>
    <row r="324" spans="1:47" ht="42">
      <c r="A324" s="10" t="s">
        <v>38</v>
      </c>
      <c r="B324" s="49"/>
      <c r="C324" s="49"/>
      <c r="D324" s="49"/>
      <c r="E324" s="49"/>
      <c r="F324" s="49"/>
      <c r="G324" s="77"/>
      <c r="H324" s="77"/>
      <c r="I324" s="49"/>
      <c r="L324" s="17"/>
      <c r="M324" s="18">
        <f>EXP(M320-0.674*M321)</f>
        <v>0.65779165428980779</v>
      </c>
      <c r="O324" s="17"/>
      <c r="P324" s="18">
        <f>EXP(P320-0.674*P321)</f>
        <v>0.67684538595911004</v>
      </c>
      <c r="R324" s="17"/>
      <c r="S324" s="18">
        <f>EXP(S320-0.674*S321)</f>
        <v>0.69197337834762818</v>
      </c>
      <c r="V324" s="17"/>
      <c r="W324" s="18">
        <f>EXP(W320-0.674*W321)</f>
        <v>0.78127236031613234</v>
      </c>
      <c r="Y324" s="17"/>
      <c r="Z324" s="18">
        <f>EXP(Z320-0.674*Z321)</f>
        <v>0.57453631198181887</v>
      </c>
      <c r="AB324" s="17"/>
      <c r="AC324" s="18">
        <f>EXP(AC320-0.674*AC321)</f>
        <v>1.0667473600417983</v>
      </c>
      <c r="AE324" s="17"/>
      <c r="AF324" s="18">
        <f>EXP(AF320-0.674*AF321)</f>
        <v>0.86630805791089793</v>
      </c>
      <c r="AH324" s="17"/>
      <c r="AI324" s="18">
        <f>EXP(AI320-0.674*AI321)</f>
        <v>0.67000608718822563</v>
      </c>
      <c r="AK324" s="17"/>
      <c r="AL324" s="18">
        <f>EXP(AL320-0.674*AL321)</f>
        <v>0.62621478612967152</v>
      </c>
      <c r="AM324" s="17"/>
      <c r="AN324" s="17"/>
      <c r="AO324" s="18">
        <f>EXP(AO320-0.674*AO321)</f>
        <v>0.90016732663977927</v>
      </c>
      <c r="AP324" s="17"/>
      <c r="AQ324" s="17"/>
      <c r="AR324" s="18">
        <f>EXP(AR320-0.674*AR321)</f>
        <v>0.76402427903222847</v>
      </c>
      <c r="AS324" s="17"/>
      <c r="AT324" s="17"/>
      <c r="AU324" s="18">
        <f>EXP(AU320-0.674*AU321)</f>
        <v>0.94984070801342613</v>
      </c>
    </row>
    <row r="325" spans="1:47">
      <c r="M325"/>
      <c r="P325"/>
      <c r="S325"/>
      <c r="W325"/>
      <c r="Z325"/>
      <c r="AC325"/>
      <c r="AF325"/>
      <c r="AI325"/>
      <c r="AL325"/>
      <c r="AM325"/>
      <c r="AO325"/>
      <c r="AP325" s="17"/>
      <c r="AQ325" s="16"/>
      <c r="AT325" s="16"/>
    </row>
    <row r="326" spans="1:47" ht="42">
      <c r="A326" s="10" t="s">
        <v>39</v>
      </c>
      <c r="B326" s="49"/>
      <c r="C326" s="49"/>
      <c r="D326" s="49"/>
      <c r="E326" s="49"/>
      <c r="F326" s="49"/>
      <c r="G326" s="77"/>
      <c r="H326" s="77"/>
      <c r="I326" s="49"/>
      <c r="M326" s="18">
        <f>IF(M324&lt;1,1/M324,1)</f>
        <v>1.520238199251192</v>
      </c>
      <c r="P326" s="18">
        <f>IF(P324&lt;1,1/P324,1)</f>
        <v>1.4774422944214509</v>
      </c>
      <c r="S326" s="18">
        <f>IF(S324&lt;1,1/S324,1)</f>
        <v>1.4451423006877988</v>
      </c>
      <c r="W326" s="18">
        <f>IF(W324&lt;1,1/W324,1)</f>
        <v>1.2799633659065606</v>
      </c>
      <c r="Z326" s="18">
        <f>IF(Z324&lt;1,1/Z324,1)</f>
        <v>1.7405340256920869</v>
      </c>
      <c r="AC326" s="18">
        <f>IF(AC324&lt;1,1/AC324,1)</f>
        <v>1</v>
      </c>
      <c r="AF326" s="18">
        <f>IF(AF324&lt;1,1/AF324,1)</f>
        <v>1.1543237891743732</v>
      </c>
      <c r="AI326" s="18">
        <f>IF(AI324&lt;1,1/AI324,1)</f>
        <v>1.4925237533238542</v>
      </c>
      <c r="AL326" s="18">
        <f>IF(AL324&lt;1,1/AL324,1)</f>
        <v>1.5968961802714892</v>
      </c>
      <c r="AM326" s="17"/>
      <c r="AO326" s="18">
        <f>IF(AO324&lt;1,1/AO324,1)</f>
        <v>1.110904573411795</v>
      </c>
      <c r="AP326" s="17"/>
      <c r="AQ326" s="16"/>
      <c r="AR326" s="18">
        <f>IF(AR324&lt;1,1/AR324,1)</f>
        <v>1.3088589295443287</v>
      </c>
      <c r="AS326" s="17"/>
      <c r="AT326" s="16"/>
      <c r="AU326" s="18">
        <f>IF(AU324&lt;1,1/AU324,1)</f>
        <v>1.0528081093633912</v>
      </c>
    </row>
    <row r="327" spans="1:47">
      <c r="AP327" s="17"/>
      <c r="AQ327" s="16"/>
      <c r="AR327" s="16"/>
      <c r="AS327" s="16"/>
      <c r="AT327" s="16"/>
      <c r="AU327" s="16"/>
    </row>
    <row r="328" spans="1:47">
      <c r="AP328" s="17"/>
      <c r="AQ328" s="16"/>
      <c r="AR328" s="16"/>
      <c r="AS328" s="16"/>
      <c r="AT328" s="16"/>
      <c r="AU328" s="16"/>
    </row>
    <row r="329" spans="1:47" s="46" customFormat="1" ht="34.200000000000003" customHeight="1">
      <c r="A329" s="58" t="s">
        <v>84</v>
      </c>
      <c r="G329" s="47"/>
      <c r="H329" s="47"/>
      <c r="J329" s="47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61"/>
      <c r="AQ329" s="48"/>
      <c r="AR329" s="48"/>
      <c r="AS329" s="48"/>
      <c r="AT329" s="48"/>
      <c r="AU329" s="48"/>
    </row>
    <row r="330" spans="1:47">
      <c r="AP330" s="17"/>
      <c r="AQ330" s="16"/>
      <c r="AR330" s="16"/>
      <c r="AS330" s="16"/>
      <c r="AT330" s="16"/>
      <c r="AU330" s="16"/>
    </row>
    <row r="331" spans="1:47">
      <c r="A331" s="62" t="s">
        <v>0</v>
      </c>
      <c r="B331" s="6"/>
      <c r="C331" s="6"/>
      <c r="D331" s="6"/>
      <c r="E331" s="6"/>
      <c r="F331" s="6"/>
      <c r="G331" s="75"/>
      <c r="H331" s="75"/>
      <c r="I331" s="6"/>
      <c r="J331" s="7"/>
      <c r="K331" s="13"/>
      <c r="L331" s="8">
        <f>AVERAGEIF($BD23:$BD309,TRUE,L23:L309)</f>
        <v>0.86043456149764774</v>
      </c>
      <c r="M331" s="8">
        <f>AVERAGEIF($BD23:$BD309,TRUE,M23:M309)</f>
        <v>-0.19863931435811971</v>
      </c>
      <c r="N331" s="13"/>
      <c r="O331" s="8">
        <f>AVERAGEIF($BD23:$BD309,TRUE,O23:O309)</f>
        <v>0.84982865558945975</v>
      </c>
      <c r="P331" s="8">
        <f>AVERAGEIF($BD23:$BD309,TRUE,P23:P309)</f>
        <v>-0.21751933097904169</v>
      </c>
      <c r="Q331" s="13"/>
      <c r="R331" s="8">
        <f>AVERAGEIF($BD23:$BD309,TRUE,R23:R309)</f>
        <v>0.86464085635843224</v>
      </c>
      <c r="S331" s="8">
        <f>AVERAGEIF($BD23:$BD309,TRUE,S23:S309)</f>
        <v>-0.18698640636434052</v>
      </c>
      <c r="T331" s="13"/>
      <c r="U331" s="13"/>
      <c r="V331" s="8">
        <f>AVERAGEIF($BD23:$BD309,TRUE,V23:V309)</f>
        <v>0.96187971662970906</v>
      </c>
      <c r="W331" s="8">
        <f>AVERAGEIF($BD23:$BD309,TRUE,W23:W309)</f>
        <v>-9.3136369145785797E-2</v>
      </c>
      <c r="X331" s="13"/>
      <c r="Y331" s="8">
        <f>AVERAGEIF($BD23:$BD309,TRUE,Y23:Y309)</f>
        <v>0.84812267446555711</v>
      </c>
      <c r="Z331" s="8">
        <f>AVERAGEIF($BD23:$BD309,TRUE,Z23:Z309)</f>
        <v>-0.25885476584823114</v>
      </c>
      <c r="AA331" s="13"/>
      <c r="AB331" s="8">
        <f>AVERAGEIF($BD23:$BD309,TRUE,AB23:AB309)</f>
        <v>1.3977215276633392</v>
      </c>
      <c r="AC331" s="8">
        <f>AVERAGEIF($BD23:$BD309,TRUE,AC23:AC309)</f>
        <v>0.27457353479507579</v>
      </c>
      <c r="AD331" s="13"/>
      <c r="AE331" s="8">
        <f>AVERAGEIF($BD23:$BD309,TRUE,AE23:AE309)</f>
        <v>1.1344225812065407</v>
      </c>
      <c r="AF331" s="8">
        <f>AVERAGEIF($BD23:$BD309,TRUE,AF23:AF309)</f>
        <v>6.2129635217602029E-2</v>
      </c>
      <c r="AG331" s="13"/>
      <c r="AH331" s="8">
        <f>AVERAGEIF($BD23:$BD309,TRUE,AH23:AH309)</f>
        <v>0.82584623134648727</v>
      </c>
      <c r="AI331" s="8">
        <f>AVERAGEIF($BD23:$BD309,TRUE,AI23:AI309)</f>
        <v>-0.26103863905143254</v>
      </c>
      <c r="AJ331" s="13"/>
      <c r="AK331" s="8">
        <f>AVERAGEIF($BD23:$BD309,TRUE,AK23:AK309)</f>
        <v>0.80054796619941049</v>
      </c>
      <c r="AL331" s="8">
        <f>AVERAGEIF($BD23:$BD309,TRUE,AL23:AL309)</f>
        <v>-0.25158219695304185</v>
      </c>
      <c r="AM331" s="8"/>
      <c r="AN331" s="8">
        <f>AVERAGEIF($BD23:$BD309,TRUE,AN23:AN309)</f>
        <v>1.0793781892834007</v>
      </c>
      <c r="AO331" s="8">
        <f>AVERAGEIF($BD23:$BD309,TRUE,AO23:AO309)</f>
        <v>2.8788588792014524E-2</v>
      </c>
      <c r="AP331" s="13"/>
      <c r="AQ331" s="8">
        <f>AVERAGEIF($BD23:$BD309,TRUE,AQ23:AQ309)</f>
        <v>1.0267246718380449</v>
      </c>
      <c r="AR331" s="8">
        <f>AVERAGEIF($BD23:$BD309,TRUE,AR23:AR309)</f>
        <v>-3.3061617817413604E-2</v>
      </c>
      <c r="AS331" s="13"/>
      <c r="AT331" s="8">
        <f>AVERAGEIF($BD23:$BD309,TRUE,AT23:AT309)</f>
        <v>1.2210281115644814</v>
      </c>
      <c r="AU331" s="8">
        <f>AVERAGEIF($BD23:$BD309,TRUE,AU23:AU309)</f>
        <v>0.12860333017408984</v>
      </c>
    </row>
    <row r="332" spans="1:47">
      <c r="A332" s="62" t="s">
        <v>12</v>
      </c>
      <c r="B332" s="6"/>
      <c r="C332" s="6"/>
      <c r="D332" s="6"/>
      <c r="E332" s="6"/>
      <c r="F332" s="6"/>
      <c r="G332" s="75"/>
      <c r="H332" s="75"/>
      <c r="I332" s="6"/>
      <c r="J332" s="7"/>
      <c r="K332" s="13"/>
      <c r="L332" s="14" cm="1">
        <f t="array" ref="L332">STDEVA(_xlfn._xlws.FILTER(L23:L309,$BD23:$BD309=TRUE))</f>
        <v>0.25621807763897808</v>
      </c>
      <c r="M332" s="14" cm="1">
        <f t="array" ref="M332">STDEVA(_xlfn._xlws.FILTER(M23:M309,$BD23:$BD309=TRUE))</f>
        <v>0.32444092669593422</v>
      </c>
      <c r="N332" s="13"/>
      <c r="O332" s="14" cm="1">
        <f t="array" ref="O332">STDEVA(_xlfn._xlws.FILTER(O23:O309,$BD23:$BD309=TRUE))</f>
        <v>0.27554582613615158</v>
      </c>
      <c r="P332" s="14" cm="1">
        <f t="array" ref="P332">STDEVA(_xlfn._xlws.FILTER(P23:P309,$BD23:$BD309=TRUE))</f>
        <v>0.34051362136623708</v>
      </c>
      <c r="Q332" s="13"/>
      <c r="R332" s="14" cm="1">
        <f t="array" ref="R332">STDEVA(_xlfn._xlws.FILTER(R23:R309,$BD23:$BD309=TRUE))</f>
        <v>0.24388808256694181</v>
      </c>
      <c r="S332" s="14" cm="1">
        <f t="array" ref="S332">STDEVA(_xlfn._xlws.FILTER(S23:S309,$BD23:$BD309=TRUE))</f>
        <v>0.29673477046532182</v>
      </c>
      <c r="T332" s="13"/>
      <c r="U332" s="13"/>
      <c r="V332" s="14" cm="1">
        <f t="array" ref="V332">STDEVA(_xlfn._xlws.FILTER(V23:V309,$BD23:$BD309=TRUE))</f>
        <v>0.3046298481267774</v>
      </c>
      <c r="W332" s="14" cm="1">
        <f t="array" ref="W332">STDEVA(_xlfn._xlws.FILTER(W23:W309,$BD23:$BD309=TRUE))</f>
        <v>0.34191207894387315</v>
      </c>
      <c r="X332" s="13"/>
      <c r="Y332" s="14" cm="1">
        <f t="array" ref="Y332">STDEVA(_xlfn._xlws.FILTER(Y23:Y309,$BD23:$BD309=TRUE))</f>
        <v>0.34461354912969688</v>
      </c>
      <c r="Z332" s="14" cm="1">
        <f t="array" ref="Z332">STDEVA(_xlfn._xlws.FILTER(Z23:Z309,$BD23:$BD309=TRUE))</f>
        <v>0.4571012030837156</v>
      </c>
      <c r="AA332" s="13"/>
      <c r="AB332" s="14" cm="1">
        <f t="array" ref="AB332">STDEVA(_xlfn._xlws.FILTER(AB23:AB309,$BD23:$BD309=TRUE))</f>
        <v>0.44782581588641973</v>
      </c>
      <c r="AC332" s="14" cm="1">
        <f t="array" ref="AC332">STDEVA(_xlfn._xlws.FILTER(AC23:AC309,$BD23:$BD309=TRUE))</f>
        <v>0.36825300546232814</v>
      </c>
      <c r="AD332" s="13"/>
      <c r="AE332" s="14" cm="1">
        <f t="array" ref="AE332">STDEVA(_xlfn._xlws.FILTER(AE23:AE309,$BD23:$BD309=TRUE))</f>
        <v>0.38323783569798614</v>
      </c>
      <c r="AF332" s="14" cm="1">
        <f t="array" ref="AF332">STDEVA(_xlfn._xlws.FILTER(AF23:AF309,$BD23:$BD309=TRUE))</f>
        <v>0.37226365322184329</v>
      </c>
      <c r="AG332" s="13"/>
      <c r="AH332" s="14" cm="1">
        <f t="array" ref="AH332">STDEVA(_xlfn._xlws.FILTER(AH23:AH309,$BD23:$BD309=TRUE))</f>
        <v>0.2868864745278884</v>
      </c>
      <c r="AI332" s="14" cm="1">
        <f t="array" ref="AI332">STDEVA(_xlfn._xlws.FILTER(AI23:AI309,$BD23:$BD309=TRUE))</f>
        <v>0.39341771508022255</v>
      </c>
      <c r="AJ332" s="13"/>
      <c r="AK332" s="14" cm="1">
        <f t="array" ref="AK332">STDEVA(_xlfn._xlws.FILTER(AK23:AK309,$BD23:$BD309=TRUE))</f>
        <v>0.18138938419513231</v>
      </c>
      <c r="AL332" s="14" cm="1">
        <f t="array" ref="AL332">STDEVA(_xlfn._xlws.FILTER(AL23:AL309,$BD23:$BD309=TRUE))</f>
        <v>0.25262532654868974</v>
      </c>
      <c r="AM332" s="14"/>
      <c r="AN332" s="14" cm="1">
        <f t="array" ref="AN332">STDEVA(_xlfn._xlws.FILTER(AN23:AN309,$BD23:$BD309=TRUE))</f>
        <v>0.31867528100133402</v>
      </c>
      <c r="AO332" s="14" cm="1">
        <f t="array" ref="AO332">STDEVA(_xlfn._xlws.FILTER(AO23:AO309,$BD23:$BD309=TRUE))</f>
        <v>0.31883417662777619</v>
      </c>
      <c r="AP332" s="13"/>
      <c r="AQ332" s="14" cm="1">
        <f t="array" ref="AQ332">STDEVA(_xlfn._xlws.FILTER(AQ23:AQ309,$BD23:$BD309=TRUE))</f>
        <v>0.34227772999904083</v>
      </c>
      <c r="AR332" s="14" cm="1">
        <f t="array" ref="AR332">STDEVA(_xlfn._xlws.FILTER(AR23:AR309,$BD23:$BD309=TRUE))</f>
        <v>0.35852890322941594</v>
      </c>
      <c r="AS332" s="13"/>
      <c r="AT332" s="14" cm="1">
        <f t="array" ref="AT332">STDEVA(_xlfn._xlws.FILTER(AT23:AT309,$BD23:$BD309=TRUE))</f>
        <v>0.45523466380594985</v>
      </c>
      <c r="AU332" s="14" cm="1">
        <f t="array" ref="AU332">STDEVA(_xlfn._xlws.FILTER(AU23:AU309,$BD23:$BD309=TRUE))</f>
        <v>0.38667891660808246</v>
      </c>
    </row>
    <row r="333" spans="1:47">
      <c r="A333" s="62" t="s">
        <v>1</v>
      </c>
      <c r="B333" s="6"/>
      <c r="C333" s="6"/>
      <c r="D333" s="6"/>
      <c r="E333" s="6"/>
      <c r="F333" s="6"/>
      <c r="G333" s="75"/>
      <c r="H333" s="75"/>
      <c r="I333" s="6"/>
      <c r="J333" s="7"/>
      <c r="K333" s="13"/>
      <c r="L333" s="15">
        <f>L332/L331</f>
        <v>0.29777752905812177</v>
      </c>
      <c r="M333" s="9"/>
      <c r="N333" s="13"/>
      <c r="O333" s="15">
        <f>O332/O331</f>
        <v>0.32423692037664575</v>
      </c>
      <c r="P333" s="9"/>
      <c r="Q333" s="13"/>
      <c r="R333" s="15">
        <f>R332/R331</f>
        <v>0.28206865402372255</v>
      </c>
      <c r="S333" s="9"/>
      <c r="T333" s="13"/>
      <c r="U333" s="13"/>
      <c r="V333" s="15">
        <f>V332/V331</f>
        <v>0.31670264260707925</v>
      </c>
      <c r="W333" s="9"/>
      <c r="X333" s="13"/>
      <c r="Y333" s="15">
        <f>Y332/Y331</f>
        <v>0.40632512194872572</v>
      </c>
      <c r="Z333" s="9"/>
      <c r="AA333" s="13"/>
      <c r="AB333" s="15">
        <f>AB332/AB331</f>
        <v>0.32039702259940067</v>
      </c>
      <c r="AC333" s="9"/>
      <c r="AD333" s="13"/>
      <c r="AE333" s="15">
        <f>AE332/AE331</f>
        <v>0.33782634623720631</v>
      </c>
      <c r="AF333" s="9"/>
      <c r="AG333" s="13"/>
      <c r="AH333" s="15">
        <f>AH332/AH331</f>
        <v>0.34738485645219824</v>
      </c>
      <c r="AI333" s="9"/>
      <c r="AJ333" s="13"/>
      <c r="AK333" s="15">
        <f>AK332/AK331</f>
        <v>0.22658153146809643</v>
      </c>
      <c r="AL333" s="9"/>
      <c r="AM333" s="9"/>
      <c r="AN333" s="15">
        <f>AN332/AN331</f>
        <v>0.29523968907774817</v>
      </c>
      <c r="AO333" s="9"/>
      <c r="AP333" s="13"/>
      <c r="AQ333" s="15">
        <f>AQ332/AQ331</f>
        <v>0.33336856451135477</v>
      </c>
      <c r="AR333" s="9"/>
      <c r="AS333" s="13"/>
      <c r="AT333" s="15">
        <f>AT332/AT331</f>
        <v>0.37282897870603965</v>
      </c>
      <c r="AU333" s="9"/>
    </row>
    <row r="334" spans="1:47">
      <c r="M334"/>
      <c r="P334"/>
      <c r="S334"/>
      <c r="W334"/>
      <c r="Z334"/>
      <c r="AC334"/>
      <c r="AF334"/>
      <c r="AI334"/>
      <c r="AL334"/>
      <c r="AM334"/>
      <c r="AO334"/>
      <c r="AP334" s="17"/>
      <c r="AQ334" s="16"/>
      <c r="AT334" s="16"/>
    </row>
    <row r="335" spans="1:47" ht="42">
      <c r="A335" s="10" t="s">
        <v>38</v>
      </c>
      <c r="B335" s="49"/>
      <c r="C335" s="49"/>
      <c r="D335" s="49"/>
      <c r="E335" s="49"/>
      <c r="F335" s="49"/>
      <c r="G335" s="77"/>
      <c r="H335" s="77"/>
      <c r="I335" s="49"/>
      <c r="L335" s="17"/>
      <c r="M335" s="18">
        <f>EXP(M331-0.674*M332)</f>
        <v>0.65881500877302102</v>
      </c>
      <c r="O335" s="17"/>
      <c r="P335" s="18">
        <f>EXP(P331-0.674*P332)</f>
        <v>0.63952759257950798</v>
      </c>
      <c r="R335" s="17"/>
      <c r="S335" s="18">
        <f>EXP(S331-0.674*S332)</f>
        <v>0.67910084561885076</v>
      </c>
      <c r="V335" s="17"/>
      <c r="W335" s="18">
        <f>EXP(W331-0.674*W332)</f>
        <v>0.72355037367328223</v>
      </c>
      <c r="Y335" s="17"/>
      <c r="Z335" s="18">
        <f>EXP(Z331-0.674*Z332)</f>
        <v>0.56725804286533277</v>
      </c>
      <c r="AB335" s="17"/>
      <c r="AC335" s="18">
        <f>EXP(AC331-0.674*AC332)</f>
        <v>1.0267218009643535</v>
      </c>
      <c r="AE335" s="17"/>
      <c r="AF335" s="18">
        <f>EXP(AF331-0.674*AF332)</f>
        <v>0.82797189612252842</v>
      </c>
      <c r="AH335" s="17"/>
      <c r="AI335" s="18">
        <f>EXP(AI331-0.674*AI332)</f>
        <v>0.5908446362180958</v>
      </c>
      <c r="AK335" s="17"/>
      <c r="AL335" s="18">
        <f>EXP(AL331-0.674*AL332)</f>
        <v>0.65583131357428515</v>
      </c>
      <c r="AM335" s="17"/>
      <c r="AN335" s="17"/>
      <c r="AO335" s="18">
        <f>EXP(AO331-0.674*AO332)</f>
        <v>0.83018588431914209</v>
      </c>
      <c r="AP335" s="17"/>
      <c r="AQ335" s="17"/>
      <c r="AR335" s="18">
        <f>EXP(AR331-0.674*AR332)</f>
        <v>0.75979235617279761</v>
      </c>
      <c r="AS335" s="17"/>
      <c r="AT335" s="17"/>
      <c r="AU335" s="18">
        <f>EXP(AU331-0.674*AU332)</f>
        <v>0.87632499357211624</v>
      </c>
    </row>
    <row r="336" spans="1:47">
      <c r="M336"/>
      <c r="P336"/>
      <c r="S336"/>
      <c r="W336"/>
      <c r="Z336"/>
      <c r="AC336"/>
      <c r="AF336"/>
      <c r="AI336"/>
      <c r="AL336"/>
      <c r="AM336"/>
      <c r="AO336"/>
      <c r="AP336" s="17"/>
      <c r="AQ336" s="16"/>
      <c r="AT336" s="16"/>
    </row>
    <row r="337" spans="1:47" ht="42">
      <c r="A337" s="10" t="s">
        <v>39</v>
      </c>
      <c r="B337" s="49"/>
      <c r="C337" s="49"/>
      <c r="D337" s="49"/>
      <c r="E337" s="49"/>
      <c r="F337" s="49"/>
      <c r="G337" s="77"/>
      <c r="H337" s="77"/>
      <c r="I337" s="49"/>
      <c r="M337" s="18">
        <f>IF(M335&lt;1,1/M335,1)</f>
        <v>1.5178767737280348</v>
      </c>
      <c r="P337" s="18">
        <f>IF(P335&lt;1,1/P335,1)</f>
        <v>1.5636541903790915</v>
      </c>
      <c r="S337" s="18">
        <f>IF(S335&lt;1,1/S335,1)</f>
        <v>1.4725353479551633</v>
      </c>
      <c r="W337" s="18">
        <f>IF(W335&lt;1,1/W335,1)</f>
        <v>1.3820737800510736</v>
      </c>
      <c r="Z337" s="18">
        <f>IF(Z335&lt;1,1/Z335,1)</f>
        <v>1.7628661463287534</v>
      </c>
      <c r="AC337" s="18">
        <f>IF(AC335&lt;1,1/AC335,1)</f>
        <v>1</v>
      </c>
      <c r="AF337" s="18">
        <f>IF(AF335&lt;1,1/AF335,1)</f>
        <v>1.207770462600356</v>
      </c>
      <c r="AI337" s="18">
        <f>IF(AI335&lt;1,1/AI335,1)</f>
        <v>1.6924923045774669</v>
      </c>
      <c r="AL337" s="18">
        <f>IF(AL335&lt;1,1/AL335,1)</f>
        <v>1.5247823324415437</v>
      </c>
      <c r="AM337" s="17"/>
      <c r="AO337" s="18">
        <f>IF(AO335&lt;1,1/AO335,1)</f>
        <v>1.2045495098005998</v>
      </c>
      <c r="AP337" s="17"/>
      <c r="AQ337" s="16"/>
      <c r="AR337" s="18">
        <f>IF(AR335&lt;1,1/AR335,1)</f>
        <v>1.316149066091121</v>
      </c>
      <c r="AS337" s="17"/>
      <c r="AT337" s="16"/>
      <c r="AU337" s="18">
        <f>IF(AU335&lt;1,1/AU335,1)</f>
        <v>1.1411291556614789</v>
      </c>
    </row>
    <row r="346" spans="1:47">
      <c r="I346" s="2"/>
    </row>
    <row r="347" spans="1:47">
      <c r="I347" s="2"/>
    </row>
    <row r="348" spans="1:47">
      <c r="I348" s="2"/>
    </row>
    <row r="349" spans="1:47">
      <c r="I349" s="2"/>
    </row>
    <row r="350" spans="1:47">
      <c r="I350" s="2"/>
    </row>
    <row r="351" spans="1:47">
      <c r="I351" s="2"/>
    </row>
    <row r="352" spans="1:47">
      <c r="I352" s="2"/>
    </row>
  </sheetData>
  <mergeCells count="72">
    <mergeCell ref="A280:A281"/>
    <mergeCell ref="A282:A283"/>
    <mergeCell ref="A284:A289"/>
    <mergeCell ref="A290:A293"/>
    <mergeCell ref="A264:A265"/>
    <mergeCell ref="A266:A267"/>
    <mergeCell ref="A268:A270"/>
    <mergeCell ref="A271:A272"/>
    <mergeCell ref="A273:A276"/>
    <mergeCell ref="A277:A279"/>
    <mergeCell ref="A233:A240"/>
    <mergeCell ref="A241:A247"/>
    <mergeCell ref="A248:A255"/>
    <mergeCell ref="A256:A257"/>
    <mergeCell ref="AV256:AV263"/>
    <mergeCell ref="A258:A259"/>
    <mergeCell ref="A260:A261"/>
    <mergeCell ref="A262:A263"/>
    <mergeCell ref="A230:A232"/>
    <mergeCell ref="A170:A177"/>
    <mergeCell ref="A178:A185"/>
    <mergeCell ref="A186:A192"/>
    <mergeCell ref="A193:A195"/>
    <mergeCell ref="A196:A198"/>
    <mergeCell ref="A199:A203"/>
    <mergeCell ref="A204:A206"/>
    <mergeCell ref="A207:A209"/>
    <mergeCell ref="A210:A215"/>
    <mergeCell ref="A216:A221"/>
    <mergeCell ref="A222:A229"/>
    <mergeCell ref="A163:A169"/>
    <mergeCell ref="A116:A120"/>
    <mergeCell ref="A121:A124"/>
    <mergeCell ref="A125:A127"/>
    <mergeCell ref="A128:A129"/>
    <mergeCell ref="A130:A132"/>
    <mergeCell ref="A133:A135"/>
    <mergeCell ref="A136:A138"/>
    <mergeCell ref="A139:A141"/>
    <mergeCell ref="A142:A148"/>
    <mergeCell ref="A149:A156"/>
    <mergeCell ref="A157:A162"/>
    <mergeCell ref="A108:A115"/>
    <mergeCell ref="A62:A65"/>
    <mergeCell ref="A66:A69"/>
    <mergeCell ref="A70:A72"/>
    <mergeCell ref="A73:A75"/>
    <mergeCell ref="A76:A78"/>
    <mergeCell ref="A79:A80"/>
    <mergeCell ref="A81:A83"/>
    <mergeCell ref="A84:A85"/>
    <mergeCell ref="A86:A93"/>
    <mergeCell ref="A94:A100"/>
    <mergeCell ref="A101:A107"/>
    <mergeCell ref="A59:A61"/>
    <mergeCell ref="A9:A11"/>
    <mergeCell ref="A12:A21"/>
    <mergeCell ref="A22:A27"/>
    <mergeCell ref="A28:A32"/>
    <mergeCell ref="A33:A37"/>
    <mergeCell ref="A38:A44"/>
    <mergeCell ref="A45:A49"/>
    <mergeCell ref="A50:A53"/>
    <mergeCell ref="A54:A55"/>
    <mergeCell ref="A56:A58"/>
    <mergeCell ref="X1:AL1"/>
    <mergeCell ref="AP1:AR1"/>
    <mergeCell ref="AS1:AU1"/>
    <mergeCell ref="A3:A8"/>
    <mergeCell ref="A1:A2"/>
    <mergeCell ref="B1:I1"/>
    <mergeCell ref="K1:W1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F9B5-46FD-46F1-A791-61B744EA9E72}">
  <dimension ref="A1:BY314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08" sqref="K308"/>
    </sheetView>
  </sheetViews>
  <sheetFormatPr defaultRowHeight="13.2"/>
  <cols>
    <col min="1" max="1" width="30.5546875" style="63" customWidth="1"/>
    <col min="2" max="4" width="17.5546875" customWidth="1"/>
    <col min="5" max="6" width="19.33203125" customWidth="1"/>
    <col min="7" max="8" width="19.33203125" style="1" customWidth="1"/>
    <col min="9" max="9" width="19.33203125" customWidth="1"/>
    <col min="10" max="10" width="12.21875" style="1" bestFit="1" customWidth="1"/>
  </cols>
  <sheetData>
    <row r="1" spans="1:10" s="1" customFormat="1" ht="30.6" customHeight="1">
      <c r="A1" s="94" t="s">
        <v>15</v>
      </c>
      <c r="B1" s="100" t="s">
        <v>43</v>
      </c>
      <c r="C1" s="101"/>
      <c r="D1" s="101"/>
      <c r="E1" s="101"/>
      <c r="F1" s="101"/>
      <c r="G1" s="101"/>
      <c r="H1" s="101"/>
      <c r="I1" s="101"/>
      <c r="J1" s="24" t="s">
        <v>42</v>
      </c>
    </row>
    <row r="2" spans="1:10" s="1" customFormat="1" ht="42.6" customHeight="1">
      <c r="A2" s="94"/>
      <c r="B2" s="3" t="s">
        <v>44</v>
      </c>
      <c r="C2" s="3" t="s">
        <v>82</v>
      </c>
      <c r="D2" s="3" t="s">
        <v>83</v>
      </c>
      <c r="E2" s="3" t="s">
        <v>48</v>
      </c>
      <c r="F2" s="3" t="s">
        <v>45</v>
      </c>
      <c r="G2" s="3" t="s">
        <v>57</v>
      </c>
      <c r="H2" s="3" t="s">
        <v>47</v>
      </c>
      <c r="I2" s="3" t="s">
        <v>46</v>
      </c>
      <c r="J2" s="3" t="s">
        <v>10</v>
      </c>
    </row>
    <row r="3" spans="1:10" s="1" customFormat="1" ht="13.2" customHeight="1">
      <c r="A3" s="85" t="s">
        <v>87</v>
      </c>
      <c r="B3" s="43">
        <f>'[1]Dados de entrada'!$B$28</f>
        <v>10</v>
      </c>
      <c r="C3" s="43">
        <f>'[1]Dados de entrada'!$B$31</f>
        <v>2</v>
      </c>
      <c r="D3" s="43">
        <f>'[1]Dados de entrada'!$B$32</f>
        <v>192</v>
      </c>
      <c r="E3" s="44">
        <f>'[1]Dados de entrada'!$B$27</f>
        <v>4.0933129145061384</v>
      </c>
      <c r="F3" s="43">
        <f>'[1]Dados de entrada'!$B$30</f>
        <v>25</v>
      </c>
      <c r="G3" s="43">
        <f>'[1]Dados de entrada'!$B$22</f>
        <v>30</v>
      </c>
      <c r="H3" s="45">
        <f>'[1]Dados de entrada'!$B$29/(2*'[1]Dados de entrada'!$B$20*G3)</f>
        <v>9.8600508905852414E-3</v>
      </c>
      <c r="I3" s="26" cm="1">
        <f t="array" ref="I3:I8">'[1]Dados de entrada'!$E$7:$E$12</f>
        <v>329</v>
      </c>
      <c r="J3" s="68" cm="1">
        <f t="array" ref="J3:J8">'[1]Dados de entrada'!$C$7:$C$12</f>
        <v>0.16</v>
      </c>
    </row>
    <row r="4" spans="1:10" s="1" customFormat="1">
      <c r="A4" s="90"/>
      <c r="B4" s="43">
        <f>'[1]Dados de entrada'!$B$28</f>
        <v>10</v>
      </c>
      <c r="C4" s="43">
        <f>'[1]Dados de entrada'!$B$31</f>
        <v>2</v>
      </c>
      <c r="D4" s="43">
        <f>'[1]Dados de entrada'!$B$32</f>
        <v>192</v>
      </c>
      <c r="E4" s="44">
        <f>'[1]Dados de entrada'!$B$27</f>
        <v>4.0933129145061384</v>
      </c>
      <c r="F4" s="43">
        <f>'[1]Dados de entrada'!$B$30</f>
        <v>25</v>
      </c>
      <c r="G4" s="43">
        <f>'[1]Dados de entrada'!$B$22</f>
        <v>30</v>
      </c>
      <c r="H4" s="45">
        <f>'[1]Dados de entrada'!$B$29/(2*'[1]Dados de entrada'!$B$20*G4)</f>
        <v>9.8600508905852414E-3</v>
      </c>
      <c r="I4" s="67">
        <v>355</v>
      </c>
      <c r="J4" s="67">
        <v>0.18</v>
      </c>
    </row>
    <row r="5" spans="1:10" s="1" customFormat="1">
      <c r="A5" s="90"/>
      <c r="B5" s="43">
        <f>'[1]Dados de entrada'!$B$28</f>
        <v>10</v>
      </c>
      <c r="C5" s="43">
        <f>'[1]Dados de entrada'!$B$31</f>
        <v>2</v>
      </c>
      <c r="D5" s="43">
        <f>'[1]Dados de entrada'!$B$32</f>
        <v>192</v>
      </c>
      <c r="E5" s="44">
        <f>'[1]Dados de entrada'!$B$27</f>
        <v>4.0933129145061384</v>
      </c>
      <c r="F5" s="43">
        <f>'[1]Dados de entrada'!$B$30</f>
        <v>25</v>
      </c>
      <c r="G5" s="43">
        <f>'[1]Dados de entrada'!$B$22</f>
        <v>30</v>
      </c>
      <c r="H5" s="45">
        <f>'[1]Dados de entrada'!$B$29/(2*'[1]Dados de entrada'!$B$20*G5)</f>
        <v>9.8600508905852414E-3</v>
      </c>
      <c r="I5" s="67">
        <v>387</v>
      </c>
      <c r="J5" s="67">
        <v>0.19</v>
      </c>
    </row>
    <row r="6" spans="1:10" s="1" customFormat="1">
      <c r="A6" s="90"/>
      <c r="B6" s="43">
        <f>'[1]Dados de entrada'!$B$28</f>
        <v>10</v>
      </c>
      <c r="C6" s="43">
        <f>'[1]Dados de entrada'!$B$31</f>
        <v>2</v>
      </c>
      <c r="D6" s="43">
        <f>'[1]Dados de entrada'!$B$32</f>
        <v>192</v>
      </c>
      <c r="E6" s="44">
        <f>'[1]Dados de entrada'!$B$27</f>
        <v>4.0933129145061384</v>
      </c>
      <c r="F6" s="43">
        <f>'[1]Dados de entrada'!$B$30</f>
        <v>25</v>
      </c>
      <c r="G6" s="43">
        <f>'[1]Dados de entrada'!$B$22</f>
        <v>30</v>
      </c>
      <c r="H6" s="45">
        <f>'[1]Dados de entrada'!$B$29/(2*'[1]Dados de entrada'!$B$20*G6)</f>
        <v>9.8600508905852414E-3</v>
      </c>
      <c r="I6" s="67">
        <v>423</v>
      </c>
      <c r="J6" s="67">
        <v>0.24</v>
      </c>
    </row>
    <row r="7" spans="1:10" s="1" customFormat="1">
      <c r="A7" s="90"/>
      <c r="B7" s="43">
        <f>'[1]Dados de entrada'!$B$28</f>
        <v>10</v>
      </c>
      <c r="C7" s="43">
        <f>'[1]Dados de entrada'!$B$31</f>
        <v>2</v>
      </c>
      <c r="D7" s="43">
        <f>'[1]Dados de entrada'!$B$32</f>
        <v>192</v>
      </c>
      <c r="E7" s="44">
        <f>'[1]Dados de entrada'!$B$27</f>
        <v>4.0933129145061384</v>
      </c>
      <c r="F7" s="43">
        <f>'[1]Dados de entrada'!$B$30</f>
        <v>25</v>
      </c>
      <c r="G7" s="43">
        <f>'[1]Dados de entrada'!$B$22</f>
        <v>30</v>
      </c>
      <c r="H7" s="45">
        <f>'[1]Dados de entrada'!$B$29/(2*'[1]Dados de entrada'!$B$20*G7)</f>
        <v>9.8600508905852414E-3</v>
      </c>
      <c r="I7" s="67">
        <v>463</v>
      </c>
      <c r="J7" s="67">
        <v>0.27</v>
      </c>
    </row>
    <row r="8" spans="1:10" s="1" customFormat="1">
      <c r="A8" s="86"/>
      <c r="B8" s="43">
        <f>'[1]Dados de entrada'!$B$28</f>
        <v>10</v>
      </c>
      <c r="C8" s="43">
        <f>'[1]Dados de entrada'!$B$31</f>
        <v>2</v>
      </c>
      <c r="D8" s="43">
        <f>'[1]Dados de entrada'!$B$32</f>
        <v>192</v>
      </c>
      <c r="E8" s="44">
        <f>'[1]Dados de entrada'!$B$27</f>
        <v>4.0933129145061384</v>
      </c>
      <c r="F8" s="43">
        <f>'[1]Dados de entrada'!$B$30</f>
        <v>25</v>
      </c>
      <c r="G8" s="43">
        <f>'[1]Dados de entrada'!$B$22</f>
        <v>30</v>
      </c>
      <c r="H8" s="45">
        <f>'[1]Dados de entrada'!$B$29/(2*'[1]Dados de entrada'!$B$20*G8)</f>
        <v>9.8600508905852414E-3</v>
      </c>
      <c r="I8" s="67">
        <v>499</v>
      </c>
      <c r="J8" s="67">
        <v>0.31</v>
      </c>
    </row>
    <row r="9" spans="1:10" s="1" customFormat="1" ht="13.2" customHeight="1">
      <c r="A9" s="87" t="s">
        <v>88</v>
      </c>
      <c r="B9" s="37">
        <f>'[2]Dados de entrada'!$B$28</f>
        <v>20</v>
      </c>
      <c r="C9" s="37">
        <f>'[2]Dados de entrada'!$B$31</f>
        <v>2</v>
      </c>
      <c r="D9" s="37">
        <f>'[2]Dados de entrada'!$B$32</f>
        <v>126</v>
      </c>
      <c r="E9" s="41">
        <f>'[2]Dados de entrada'!$B$27</f>
        <v>4.1203405239014401</v>
      </c>
      <c r="F9" s="37">
        <f>'[2]Dados de entrada'!$B$30</f>
        <v>25</v>
      </c>
      <c r="G9" s="37">
        <f>'[2]Dados de entrada'!$B$22</f>
        <v>39</v>
      </c>
      <c r="H9" s="42">
        <f>'[2]Dados de entrada'!$B$29/(2*'[2]Dados de entrada'!$B$20*G9)</f>
        <v>3.7274453941120611E-2</v>
      </c>
      <c r="I9" s="25" cm="1">
        <f t="array" ref="I9:I14">'[2]fib Model Code 2010'!$K$5:$K$10</f>
        <v>231.81100493873356</v>
      </c>
      <c r="J9" s="73" cm="1">
        <f t="array" ref="J9:J14">'[2]Dados de entrada'!$C$7:$C$12</f>
        <v>0.16</v>
      </c>
    </row>
    <row r="10" spans="1:10" s="1" customFormat="1">
      <c r="A10" s="88"/>
      <c r="B10" s="37">
        <f>'[2]Dados de entrada'!$B$28</f>
        <v>20</v>
      </c>
      <c r="C10" s="37">
        <f>'[2]Dados de entrada'!$B$31</f>
        <v>2</v>
      </c>
      <c r="D10" s="37">
        <f>'[2]Dados de entrada'!$B$32</f>
        <v>126</v>
      </c>
      <c r="E10" s="41">
        <f>'[2]Dados de entrada'!$B$27</f>
        <v>4.1203405239014401</v>
      </c>
      <c r="F10" s="37">
        <f>'[2]Dados de entrada'!$B$30</f>
        <v>25</v>
      </c>
      <c r="G10" s="37">
        <f>'[2]Dados de entrada'!$B$22</f>
        <v>39</v>
      </c>
      <c r="H10" s="42">
        <f>'[2]Dados de entrada'!$B$29/(2*'[2]Dados de entrada'!$B$20*G10)</f>
        <v>3.7274453941120611E-2</v>
      </c>
      <c r="I10" s="25">
        <v>304.25194398208777</v>
      </c>
      <c r="J10" s="71">
        <v>0.23</v>
      </c>
    </row>
    <row r="11" spans="1:10" s="1" customFormat="1">
      <c r="A11" s="88"/>
      <c r="B11" s="37">
        <f>'[2]Dados de entrada'!$B$28</f>
        <v>20</v>
      </c>
      <c r="C11" s="37">
        <f>'[2]Dados de entrada'!$B$31</f>
        <v>2</v>
      </c>
      <c r="D11" s="37">
        <f>'[2]Dados de entrada'!$B$32</f>
        <v>126</v>
      </c>
      <c r="E11" s="41">
        <f>'[2]Dados de entrada'!$B$27</f>
        <v>4.1203405239014401</v>
      </c>
      <c r="F11" s="37">
        <f>'[2]Dados de entrada'!$B$30</f>
        <v>25</v>
      </c>
      <c r="G11" s="37">
        <f>'[2]Dados de entrada'!$B$22</f>
        <v>39</v>
      </c>
      <c r="H11" s="42">
        <f>'[2]Dados de entrada'!$B$29/(2*'[2]Dados de entrada'!$B$20*G11)</f>
        <v>3.7274453941120611E-2</v>
      </c>
      <c r="I11" s="25">
        <v>314.28222784962912</v>
      </c>
      <c r="J11" s="71">
        <v>0.24</v>
      </c>
    </row>
    <row r="12" spans="1:10" s="1" customFormat="1">
      <c r="A12" s="88"/>
      <c r="B12" s="37">
        <f>'[2]Dados de entrada'!$B$28</f>
        <v>20</v>
      </c>
      <c r="C12" s="37">
        <f>'[2]Dados de entrada'!$B$31</f>
        <v>2</v>
      </c>
      <c r="D12" s="37">
        <f>'[2]Dados de entrada'!$B$32</f>
        <v>126</v>
      </c>
      <c r="E12" s="41">
        <f>'[2]Dados de entrada'!$B$27</f>
        <v>4.1203405239014401</v>
      </c>
      <c r="F12" s="37">
        <f>'[2]Dados de entrada'!$B$30</f>
        <v>25</v>
      </c>
      <c r="G12" s="37">
        <f>'[2]Dados de entrada'!$B$22</f>
        <v>39</v>
      </c>
      <c r="H12" s="42">
        <f>'[2]Dados de entrada'!$B$29/(2*'[2]Dados de entrada'!$B$20*G12)</f>
        <v>3.7274453941120611E-2</v>
      </c>
      <c r="I12" s="25">
        <v>363.31917120205361</v>
      </c>
      <c r="J12" s="71">
        <v>0.27</v>
      </c>
    </row>
    <row r="13" spans="1:10" s="1" customFormat="1">
      <c r="A13" s="88"/>
      <c r="B13" s="37">
        <f>'[2]Dados de entrada'!$B$28</f>
        <v>20</v>
      </c>
      <c r="C13" s="37">
        <f>'[2]Dados de entrada'!$B$31</f>
        <v>2</v>
      </c>
      <c r="D13" s="37">
        <f>'[2]Dados de entrada'!$B$32</f>
        <v>126</v>
      </c>
      <c r="E13" s="41">
        <f>'[2]Dados de entrada'!$B$27</f>
        <v>4.1203405239014401</v>
      </c>
      <c r="F13" s="37">
        <f>'[2]Dados de entrada'!$B$30</f>
        <v>25</v>
      </c>
      <c r="G13" s="37">
        <f>'[2]Dados de entrada'!$B$22</f>
        <v>39</v>
      </c>
      <c r="H13" s="42">
        <f>'[2]Dados de entrada'!$B$29/(2*'[2]Dados de entrada'!$B$20*G13)</f>
        <v>3.7274453941120611E-2</v>
      </c>
      <c r="I13" s="25">
        <v>459.16410593633765</v>
      </c>
      <c r="J13" s="71">
        <v>0.35</v>
      </c>
    </row>
    <row r="14" spans="1:10" s="1" customFormat="1">
      <c r="A14" s="89"/>
      <c r="B14" s="37">
        <f>'[2]Dados de entrada'!$B$28</f>
        <v>20</v>
      </c>
      <c r="C14" s="37">
        <f>'[2]Dados de entrada'!$B$31</f>
        <v>2</v>
      </c>
      <c r="D14" s="37">
        <f>'[2]Dados de entrada'!$B$32</f>
        <v>126</v>
      </c>
      <c r="E14" s="41">
        <f>'[2]Dados de entrada'!$B$27</f>
        <v>4.1203405239014401</v>
      </c>
      <c r="F14" s="37">
        <f>'[2]Dados de entrada'!$B$30</f>
        <v>25</v>
      </c>
      <c r="G14" s="37">
        <f>'[2]Dados de entrada'!$B$22</f>
        <v>39</v>
      </c>
      <c r="H14" s="42">
        <f>'[2]Dados de entrada'!$B$29/(2*'[2]Dados de entrada'!$B$20*G14)</f>
        <v>3.7274453941120611E-2</v>
      </c>
      <c r="I14" s="25">
        <v>500</v>
      </c>
      <c r="J14" s="71">
        <v>0.4</v>
      </c>
    </row>
    <row r="15" spans="1:10" s="1" customFormat="1" ht="13.2" customHeight="1">
      <c r="A15" s="85" t="s">
        <v>89</v>
      </c>
      <c r="B15" s="43">
        <f>'[3]Dados de entrada'!$B$28</f>
        <v>10</v>
      </c>
      <c r="C15" s="43">
        <f>'[3]Dados de entrada'!$B$31</f>
        <v>8</v>
      </c>
      <c r="D15" s="43">
        <f>'[3]Dados de entrada'!$B$32</f>
        <v>40.700000000000003</v>
      </c>
      <c r="E15" s="44">
        <f>'[3]Dados de entrada'!$B$27</f>
        <v>4.1203405239014401</v>
      </c>
      <c r="F15" s="43">
        <f>'[3]Dados de entrada'!$B$30</f>
        <v>25</v>
      </c>
      <c r="G15" s="43">
        <f>'[3]Dados de entrada'!$B$22</f>
        <v>49</v>
      </c>
      <c r="H15" s="45">
        <f>'[3]Dados de entrada'!$B$29/(2*'[3]Dados de entrada'!$B$20*G15)</f>
        <v>3.0227185213708124E-2</v>
      </c>
      <c r="I15" s="26" cm="1">
        <f t="array" ref="I15:I17">'[3]Dados de entrada'!$E$7:$E$9</f>
        <v>344</v>
      </c>
      <c r="J15" s="68" cm="1">
        <f t="array" ref="J15:J17">'[3]Dados de entrada'!$C$7:$C$9</f>
        <v>0.16</v>
      </c>
    </row>
    <row r="16" spans="1:10" s="1" customFormat="1">
      <c r="A16" s="90"/>
      <c r="B16" s="43">
        <f>'[3]Dados de entrada'!$B$28</f>
        <v>10</v>
      </c>
      <c r="C16" s="43">
        <f>'[3]Dados de entrada'!$B$31</f>
        <v>8</v>
      </c>
      <c r="D16" s="43">
        <f>'[3]Dados de entrada'!$B$32</f>
        <v>40.700000000000003</v>
      </c>
      <c r="E16" s="44">
        <f>'[3]Dados de entrada'!$B$27</f>
        <v>4.1203405239014401</v>
      </c>
      <c r="F16" s="43">
        <f>'[3]Dados de entrada'!$B$30</f>
        <v>25</v>
      </c>
      <c r="G16" s="43">
        <f>'[3]Dados de entrada'!$B$22</f>
        <v>49</v>
      </c>
      <c r="H16" s="45">
        <f>'[3]Dados de entrada'!$B$29/(2*'[3]Dados de entrada'!$B$20*G16)</f>
        <v>3.0227185213708124E-2</v>
      </c>
      <c r="I16" s="67">
        <v>424</v>
      </c>
      <c r="J16" s="67">
        <v>0.22</v>
      </c>
    </row>
    <row r="17" spans="1:10" s="1" customFormat="1">
      <c r="A17" s="86"/>
      <c r="B17" s="43">
        <f>'[3]Dados de entrada'!$B$28</f>
        <v>10</v>
      </c>
      <c r="C17" s="43">
        <f>'[3]Dados de entrada'!$B$31</f>
        <v>8</v>
      </c>
      <c r="D17" s="43">
        <f>'[3]Dados de entrada'!$B$32</f>
        <v>40.700000000000003</v>
      </c>
      <c r="E17" s="44">
        <f>'[3]Dados de entrada'!$B$27</f>
        <v>4.1203405239014401</v>
      </c>
      <c r="F17" s="43">
        <f>'[3]Dados de entrada'!$B$30</f>
        <v>25</v>
      </c>
      <c r="G17" s="43">
        <f>'[3]Dados de entrada'!$B$22</f>
        <v>49</v>
      </c>
      <c r="H17" s="45">
        <f>'[3]Dados de entrada'!$B$29/(2*'[3]Dados de entrada'!$B$20*G17)</f>
        <v>3.0227185213708124E-2</v>
      </c>
      <c r="I17" s="67">
        <v>475</v>
      </c>
      <c r="J17" s="67">
        <v>0.28999999999999998</v>
      </c>
    </row>
    <row r="18" spans="1:10" s="1" customFormat="1" ht="13.8" customHeight="1">
      <c r="A18" s="87" t="s">
        <v>90</v>
      </c>
      <c r="B18" s="37">
        <f>'[4]Dados de entrada'!$B$28</f>
        <v>20</v>
      </c>
      <c r="C18" s="37">
        <f>'[4]Dados de entrada'!$B$31</f>
        <v>2</v>
      </c>
      <c r="D18" s="37">
        <f>'[4]Dados de entrada'!$B$32</f>
        <v>221</v>
      </c>
      <c r="E18" s="41">
        <f>'[4]Dados de entrada'!$B$27</f>
        <v>4.1311267633290143</v>
      </c>
      <c r="F18" s="37">
        <f>'[4]Dados de entrada'!$B$30</f>
        <v>25</v>
      </c>
      <c r="G18" s="37">
        <f>'[4]Dados de entrada'!$B$22</f>
        <v>41</v>
      </c>
      <c r="H18" s="42">
        <f>'[4]Dados de entrada'!$B$29/(2*'[4]Dados de entrada'!$B$20*G18)</f>
        <v>2.4625519567092777E-2</v>
      </c>
      <c r="I18" s="25" cm="1">
        <f t="array" ref="I18:I24">'[4]Dados de entrada'!$E$7:$E$13</f>
        <v>262</v>
      </c>
      <c r="J18" s="73" cm="1">
        <f t="array" ref="J18:J24">'[4]Dados de entrada'!$C$7:$C$13</f>
        <v>0.16</v>
      </c>
    </row>
    <row r="19" spans="1:10" s="1" customFormat="1">
      <c r="A19" s="88"/>
      <c r="B19" s="37">
        <f>'[4]Dados de entrada'!$B$28</f>
        <v>20</v>
      </c>
      <c r="C19" s="37">
        <f>'[4]Dados de entrada'!$B$31</f>
        <v>2</v>
      </c>
      <c r="D19" s="37">
        <f>'[4]Dados de entrada'!$B$32</f>
        <v>221</v>
      </c>
      <c r="E19" s="41">
        <f>'[4]Dados de entrada'!$B$27</f>
        <v>4.1311267633290143</v>
      </c>
      <c r="F19" s="37">
        <f>'[4]Dados de entrada'!$B$30</f>
        <v>25</v>
      </c>
      <c r="G19" s="37">
        <f>'[4]Dados de entrada'!$B$22</f>
        <v>41</v>
      </c>
      <c r="H19" s="42">
        <f>'[4]Dados de entrada'!$B$29/(2*'[4]Dados de entrada'!$B$20*G19)</f>
        <v>2.4625519567092777E-2</v>
      </c>
      <c r="I19" s="71">
        <v>289</v>
      </c>
      <c r="J19" s="71">
        <v>0.19</v>
      </c>
    </row>
    <row r="20" spans="1:10" s="1" customFormat="1">
      <c r="A20" s="88"/>
      <c r="B20" s="37">
        <f>'[4]Dados de entrada'!$B$28</f>
        <v>20</v>
      </c>
      <c r="C20" s="37">
        <f>'[4]Dados de entrada'!$B$31</f>
        <v>2</v>
      </c>
      <c r="D20" s="37">
        <f>'[4]Dados de entrada'!$B$32</f>
        <v>221</v>
      </c>
      <c r="E20" s="41">
        <f>'[4]Dados de entrada'!$B$27</f>
        <v>4.1311267633290143</v>
      </c>
      <c r="F20" s="37">
        <f>'[4]Dados de entrada'!$B$30</f>
        <v>25</v>
      </c>
      <c r="G20" s="37">
        <f>'[4]Dados de entrada'!$B$22</f>
        <v>41</v>
      </c>
      <c r="H20" s="42">
        <f>'[4]Dados de entrada'!$B$29/(2*'[4]Dados de entrada'!$B$20*G20)</f>
        <v>2.4625519567092777E-2</v>
      </c>
      <c r="I20" s="71">
        <v>315</v>
      </c>
      <c r="J20" s="71">
        <v>0.21</v>
      </c>
    </row>
    <row r="21" spans="1:10" s="1" customFormat="1">
      <c r="A21" s="88"/>
      <c r="B21" s="37">
        <f>'[4]Dados de entrada'!$B$28</f>
        <v>20</v>
      </c>
      <c r="C21" s="37">
        <f>'[4]Dados de entrada'!$B$31</f>
        <v>2</v>
      </c>
      <c r="D21" s="37">
        <f>'[4]Dados de entrada'!$B$32</f>
        <v>221</v>
      </c>
      <c r="E21" s="41">
        <f>'[4]Dados de entrada'!$B$27</f>
        <v>4.1311267633290143</v>
      </c>
      <c r="F21" s="37">
        <f>'[4]Dados de entrada'!$B$30</f>
        <v>25</v>
      </c>
      <c r="G21" s="37">
        <f>'[4]Dados de entrada'!$B$22</f>
        <v>41</v>
      </c>
      <c r="H21" s="42">
        <f>'[4]Dados de entrada'!$B$29/(2*'[4]Dados de entrada'!$B$20*G21)</f>
        <v>2.4625519567092777E-2</v>
      </c>
      <c r="I21" s="71">
        <v>362</v>
      </c>
      <c r="J21" s="71">
        <v>0.24</v>
      </c>
    </row>
    <row r="22" spans="1:10" s="1" customFormat="1">
      <c r="A22" s="88"/>
      <c r="B22" s="37">
        <f>'[4]Dados de entrada'!$B$28</f>
        <v>20</v>
      </c>
      <c r="C22" s="37">
        <f>'[4]Dados de entrada'!$B$31</f>
        <v>2</v>
      </c>
      <c r="D22" s="37">
        <f>'[4]Dados de entrada'!$B$32</f>
        <v>221</v>
      </c>
      <c r="E22" s="41">
        <f>'[4]Dados de entrada'!$B$27</f>
        <v>4.1311267633290143</v>
      </c>
      <c r="F22" s="37">
        <f>'[4]Dados de entrada'!$B$30</f>
        <v>25</v>
      </c>
      <c r="G22" s="37">
        <f>'[4]Dados de entrada'!$B$22</f>
        <v>41</v>
      </c>
      <c r="H22" s="42">
        <f>'[4]Dados de entrada'!$B$29/(2*'[4]Dados de entrada'!$B$20*G22)</f>
        <v>2.4625519567092777E-2</v>
      </c>
      <c r="I22" s="71">
        <v>405</v>
      </c>
      <c r="J22" s="71">
        <v>0.27</v>
      </c>
    </row>
    <row r="23" spans="1:10" s="1" customFormat="1">
      <c r="A23" s="88"/>
      <c r="B23" s="37">
        <f>'[4]Dados de entrada'!$B$28</f>
        <v>20</v>
      </c>
      <c r="C23" s="37">
        <f>'[4]Dados de entrada'!$B$31</f>
        <v>2</v>
      </c>
      <c r="D23" s="37">
        <f>'[4]Dados de entrada'!$B$32</f>
        <v>221</v>
      </c>
      <c r="E23" s="41">
        <f>'[4]Dados de entrada'!$B$27</f>
        <v>4.1311267633290143</v>
      </c>
      <c r="F23" s="37">
        <f>'[4]Dados de entrada'!$B$30</f>
        <v>25</v>
      </c>
      <c r="G23" s="37">
        <f>'[4]Dados de entrada'!$B$22</f>
        <v>41</v>
      </c>
      <c r="H23" s="42">
        <f>'[4]Dados de entrada'!$B$29/(2*'[4]Dados de entrada'!$B$20*G23)</f>
        <v>2.4625519567092777E-2</v>
      </c>
      <c r="I23" s="71">
        <v>451</v>
      </c>
      <c r="J23" s="71">
        <v>0.3</v>
      </c>
    </row>
    <row r="24" spans="1:10" s="1" customFormat="1">
      <c r="A24" s="89"/>
      <c r="B24" s="37">
        <f>'[4]Dados de entrada'!$B$28</f>
        <v>20</v>
      </c>
      <c r="C24" s="37">
        <f>'[4]Dados de entrada'!$B$31</f>
        <v>2</v>
      </c>
      <c r="D24" s="37">
        <f>'[4]Dados de entrada'!$B$32</f>
        <v>221</v>
      </c>
      <c r="E24" s="41">
        <f>'[4]Dados de entrada'!$B$27</f>
        <v>4.1311267633290143</v>
      </c>
      <c r="F24" s="37">
        <f>'[4]Dados de entrada'!$B$30</f>
        <v>25</v>
      </c>
      <c r="G24" s="37">
        <f>'[4]Dados de entrada'!$B$22</f>
        <v>41</v>
      </c>
      <c r="H24" s="42">
        <f>'[4]Dados de entrada'!$B$29/(2*'[4]Dados de entrada'!$B$20*G24)</f>
        <v>2.4625519567092777E-2</v>
      </c>
      <c r="I24" s="71">
        <v>489</v>
      </c>
      <c r="J24" s="71">
        <v>0.33</v>
      </c>
    </row>
    <row r="25" spans="1:10" s="1" customFormat="1" ht="12" customHeight="1">
      <c r="A25" s="85" t="s">
        <v>91</v>
      </c>
      <c r="B25" s="43">
        <f>'[5]Dados de entrada'!$B$28</f>
        <v>10</v>
      </c>
      <c r="C25" s="43">
        <f>'[5]Dados de entrada'!$B$31</f>
        <v>8</v>
      </c>
      <c r="D25" s="43">
        <f>'[5]Dados de entrada'!$B$32</f>
        <v>87.7</v>
      </c>
      <c r="E25" s="44">
        <f>'[5]Dados de entrada'!$B$27</f>
        <v>4.1311267633290143</v>
      </c>
      <c r="F25" s="43">
        <f>'[5]Dados de entrada'!$B$30</f>
        <v>25</v>
      </c>
      <c r="G25" s="43">
        <f>'[5]Dados de entrada'!$B$22</f>
        <v>53</v>
      </c>
      <c r="H25" s="45">
        <f>'[5]Dados de entrada'!$B$29/(2*'[5]Dados de entrada'!$B$20*G25)</f>
        <v>1.9235481499632442E-2</v>
      </c>
      <c r="I25" s="26" cm="1">
        <f t="array" ref="I25:I27">'[5]fib Model Code 2010'!$K$5:$K$7</f>
        <v>322.91971563781163</v>
      </c>
      <c r="J25" s="68" cm="1">
        <f t="array" ref="J25:J27">'[5]Dados de entrada'!$C$7:$C$9</f>
        <v>0.16</v>
      </c>
    </row>
    <row r="26" spans="1:10" s="1" customFormat="1">
      <c r="A26" s="90"/>
      <c r="B26" s="43">
        <f>'[5]Dados de entrada'!$B$28</f>
        <v>10</v>
      </c>
      <c r="C26" s="43">
        <f>'[5]Dados de entrada'!$B$31</f>
        <v>8</v>
      </c>
      <c r="D26" s="43">
        <f>'[5]Dados de entrada'!$B$32</f>
        <v>87.7</v>
      </c>
      <c r="E26" s="44">
        <f>'[5]Dados de entrada'!$B$27</f>
        <v>4.1311267633290143</v>
      </c>
      <c r="F26" s="43">
        <f>'[5]Dados de entrada'!$B$30</f>
        <v>25</v>
      </c>
      <c r="G26" s="43">
        <f>'[5]Dados de entrada'!$B$22</f>
        <v>53</v>
      </c>
      <c r="H26" s="45">
        <f>'[5]Dados de entrada'!$B$29/(2*'[5]Dados de entrada'!$B$20*G26)</f>
        <v>1.9235481499632442E-2</v>
      </c>
      <c r="I26" s="26">
        <v>367.82093324078352</v>
      </c>
      <c r="J26" s="67">
        <v>0.18</v>
      </c>
    </row>
    <row r="27" spans="1:10" s="1" customFormat="1">
      <c r="A27" s="86"/>
      <c r="B27" s="43">
        <f>'[5]Dados de entrada'!$B$28</f>
        <v>10</v>
      </c>
      <c r="C27" s="43">
        <f>'[5]Dados de entrada'!$B$31</f>
        <v>8</v>
      </c>
      <c r="D27" s="43">
        <f>'[5]Dados de entrada'!$B$32</f>
        <v>87.7</v>
      </c>
      <c r="E27" s="44">
        <f>'[5]Dados de entrada'!$B$27</f>
        <v>4.1311267633290143</v>
      </c>
      <c r="F27" s="43">
        <f>'[5]Dados de entrada'!$B$30</f>
        <v>25</v>
      </c>
      <c r="G27" s="43">
        <f>'[5]Dados de entrada'!$B$22</f>
        <v>53</v>
      </c>
      <c r="H27" s="45">
        <f>'[5]Dados de entrada'!$B$29/(2*'[5]Dados de entrada'!$B$20*G27)</f>
        <v>1.9235481499632442E-2</v>
      </c>
      <c r="I27" s="26">
        <v>500</v>
      </c>
      <c r="J27" s="67">
        <v>0.26</v>
      </c>
    </row>
    <row r="28" spans="1:10">
      <c r="A28" s="93" t="s">
        <v>9</v>
      </c>
      <c r="B28" s="37">
        <f>'[6]Dados de entrada'!$B$28</f>
        <v>10</v>
      </c>
      <c r="C28" s="37">
        <f>'[6]Dados de entrada'!$B$31</f>
        <v>4</v>
      </c>
      <c r="D28" s="41">
        <f>'[6]Leonhardt (1977)'!$B$27</f>
        <v>32.466666666666669</v>
      </c>
      <c r="E28" s="41">
        <f>'[6]Dados de entrada'!$B$27</f>
        <v>3.262</v>
      </c>
      <c r="F28" s="37">
        <f>'[6]Dados de entrada'!$B$30</f>
        <v>25</v>
      </c>
      <c r="G28" s="37">
        <f>'[6]Dados de entrada'!$B$22</f>
        <v>36</v>
      </c>
      <c r="H28" s="42">
        <f>'[6]Dados de entrada'!$B$29/('[6]Dados de entrada'!$B$20*2*G28)</f>
        <v>2.1805555555555557E-2</v>
      </c>
      <c r="I28" s="25">
        <f>'[6]fib Model Code 2010'!$K$5</f>
        <v>285.04803218471648</v>
      </c>
      <c r="J28" s="4">
        <f>'[6]Dados de entrada'!$C$7</f>
        <v>0.16</v>
      </c>
    </row>
    <row r="29" spans="1:10">
      <c r="A29" s="93"/>
      <c r="B29" s="37">
        <f>B32</f>
        <v>10</v>
      </c>
      <c r="C29" s="37">
        <f>'[6]Dados de entrada'!$B$31</f>
        <v>4</v>
      </c>
      <c r="D29" s="41">
        <f>'[6]Leonhardt (1977)'!$B$27</f>
        <v>32.466666666666669</v>
      </c>
      <c r="E29" s="41">
        <f>'[6]Dados de entrada'!$B$27</f>
        <v>3.262</v>
      </c>
      <c r="F29" s="37">
        <f>'[6]Dados de entrada'!$B$30</f>
        <v>25</v>
      </c>
      <c r="G29" s="37">
        <f>'[6]Dados de entrada'!$B$22</f>
        <v>36</v>
      </c>
      <c r="H29" s="42">
        <f>'[6]Dados de entrada'!$B$29/('[6]Dados de entrada'!$B$20*2*G29)</f>
        <v>2.1805555555555557E-2</v>
      </c>
      <c r="I29" s="25">
        <f>'[6]fib Model Code 2010'!$K$6</f>
        <v>324.99964614446418</v>
      </c>
      <c r="J29" s="4">
        <f>'[6]Dados de entrada'!$C$8</f>
        <v>0.2</v>
      </c>
    </row>
    <row r="30" spans="1:10">
      <c r="A30" s="93"/>
      <c r="B30" s="37">
        <f>'Machine learning'!$B$32</f>
        <v>10</v>
      </c>
      <c r="C30" s="37">
        <f>'[6]Dados de entrada'!$B$31</f>
        <v>4</v>
      </c>
      <c r="D30" s="41">
        <f>'[6]Leonhardt (1977)'!$B$27</f>
        <v>32.466666666666669</v>
      </c>
      <c r="E30" s="41">
        <f>'[6]Dados de entrada'!$B$27</f>
        <v>3.262</v>
      </c>
      <c r="F30" s="37">
        <f>'[6]Dados de entrada'!$B$30</f>
        <v>25</v>
      </c>
      <c r="G30" s="37">
        <f>'[6]Dados de entrada'!$B$22</f>
        <v>36</v>
      </c>
      <c r="H30" s="42">
        <f>'[6]Dados de entrada'!$B$29/('[6]Dados de entrada'!$B$20*2*G30)</f>
        <v>2.1805555555555557E-2</v>
      </c>
      <c r="I30" s="25">
        <f>'[6]fib Model Code 2010'!$K$7</f>
        <v>367.6446273374533</v>
      </c>
      <c r="J30" s="4">
        <f>'[6]Dados de entrada'!$C$9</f>
        <v>0.2</v>
      </c>
    </row>
    <row r="31" spans="1:10">
      <c r="A31" s="93"/>
      <c r="B31" s="37">
        <f>'[6]Dados de entrada'!$B$28</f>
        <v>10</v>
      </c>
      <c r="C31" s="37">
        <f>'[6]Dados de entrada'!$B$31</f>
        <v>4</v>
      </c>
      <c r="D31" s="41">
        <f>'[6]Leonhardt (1977)'!$B$27</f>
        <v>32.466666666666669</v>
      </c>
      <c r="E31" s="41">
        <f>'[6]Dados de entrada'!$B$27</f>
        <v>3.262</v>
      </c>
      <c r="F31" s="37">
        <f>'[6]Dados de entrada'!$B$30</f>
        <v>25</v>
      </c>
      <c r="G31" s="37">
        <f>'[6]Dados de entrada'!$B$22</f>
        <v>36</v>
      </c>
      <c r="H31" s="42">
        <f>'[6]Dados de entrada'!$B$29/('[6]Dados de entrada'!$B$20*2*G31)</f>
        <v>2.1805555555555557E-2</v>
      </c>
      <c r="I31" s="25">
        <f>'[6]fib Model Code 2010'!$K$8</f>
        <v>410.73850306931587</v>
      </c>
      <c r="J31" s="4">
        <f>'[6]Dados de entrada'!$C$10</f>
        <v>0.24</v>
      </c>
    </row>
    <row r="32" spans="1:10">
      <c r="A32" s="93"/>
      <c r="B32" s="37">
        <f>'[6]Dados de entrada'!$B$28</f>
        <v>10</v>
      </c>
      <c r="C32" s="37">
        <f>'[6]Dados de entrada'!$B$31</f>
        <v>4</v>
      </c>
      <c r="D32" s="41">
        <f>'[6]Leonhardt (1977)'!$B$27</f>
        <v>32.466666666666669</v>
      </c>
      <c r="E32" s="41">
        <f>'[6]Dados de entrada'!$B$27</f>
        <v>3.262</v>
      </c>
      <c r="F32" s="37">
        <f>'[6]Dados de entrada'!$B$30</f>
        <v>25</v>
      </c>
      <c r="G32" s="37">
        <f>'[6]Dados de entrada'!$B$22</f>
        <v>36</v>
      </c>
      <c r="H32" s="42">
        <f>'[6]Dados de entrada'!$B$29/('[6]Dados de entrada'!$B$20*2*G32)</f>
        <v>2.1805555555555557E-2</v>
      </c>
      <c r="I32" s="25">
        <f>'[6]fib Model Code 2010'!$K$9</f>
        <v>438.56996447947728</v>
      </c>
      <c r="J32" s="4">
        <f>'[6]Dados de entrada'!$C$11</f>
        <v>0.3</v>
      </c>
    </row>
    <row r="33" spans="1:10">
      <c r="A33" s="93"/>
      <c r="B33" s="37">
        <f>'[6]Dados de entrada'!$B$28</f>
        <v>10</v>
      </c>
      <c r="C33" s="37">
        <f>'[6]Dados de entrada'!$B$31</f>
        <v>4</v>
      </c>
      <c r="D33" s="41">
        <f>'[6]Leonhardt (1977)'!$B$27</f>
        <v>32.466666666666669</v>
      </c>
      <c r="E33" s="41">
        <f>'[6]Dados de entrada'!$B$27</f>
        <v>3.262</v>
      </c>
      <c r="F33" s="37">
        <f>'[6]Dados de entrada'!$B$30</f>
        <v>25</v>
      </c>
      <c r="G33" s="37">
        <f>'[6]Dados de entrada'!$B$22</f>
        <v>36</v>
      </c>
      <c r="H33" s="42">
        <f>'[6]Dados de entrada'!$B$29/('[6]Dados de entrada'!$B$20*2*G33)</f>
        <v>2.1805555555555557E-2</v>
      </c>
      <c r="I33" s="25">
        <f>'[6]fib Model Code 2010'!$K$10</f>
        <v>498.27293814966185</v>
      </c>
      <c r="J33" s="4">
        <f>'[6]Dados de entrada'!$C$12</f>
        <v>0.32</v>
      </c>
    </row>
    <row r="34" spans="1:10">
      <c r="A34" s="93"/>
      <c r="B34" s="37">
        <f>'[6]Dados de entrada'!$B$28</f>
        <v>10</v>
      </c>
      <c r="C34" s="37">
        <f>'[6]Dados de entrada'!$B$31</f>
        <v>4</v>
      </c>
      <c r="D34" s="41">
        <f>'[6]Leonhardt (1977)'!$B$27</f>
        <v>32.466666666666669</v>
      </c>
      <c r="E34" s="41">
        <f>'[6]Dados de entrada'!$B$27</f>
        <v>3.262</v>
      </c>
      <c r="F34" s="37">
        <f>'[6]Dados de entrada'!$B$30</f>
        <v>25</v>
      </c>
      <c r="G34" s="37">
        <f>'[6]Dados de entrada'!$B$22</f>
        <v>36</v>
      </c>
      <c r="H34" s="42">
        <f>'[6]Dados de entrada'!$B$29/('[6]Dados de entrada'!$B$20*2*G34)</f>
        <v>2.1805555555555557E-2</v>
      </c>
      <c r="I34" s="25">
        <f>'[6]fib Model Code 2010'!$K$11</f>
        <v>502.76188353839768</v>
      </c>
      <c r="J34" s="4">
        <f>'[6]Dados de entrada'!$C$13</f>
        <v>0.38</v>
      </c>
    </row>
    <row r="35" spans="1:10">
      <c r="A35" s="93"/>
      <c r="B35" s="37">
        <f>'[6]Dados de entrada'!$B$28</f>
        <v>10</v>
      </c>
      <c r="C35" s="37">
        <f>'[6]Dados de entrada'!$B$31</f>
        <v>4</v>
      </c>
      <c r="D35" s="41">
        <f>'[6]Leonhardt (1977)'!$B$27</f>
        <v>32.466666666666669</v>
      </c>
      <c r="E35" s="41">
        <f>'[6]Dados de entrada'!$B$27</f>
        <v>3.262</v>
      </c>
      <c r="F35" s="37">
        <f>'[6]Dados de entrada'!$B$30</f>
        <v>25</v>
      </c>
      <c r="G35" s="37">
        <f>'[6]Dados de entrada'!$B$22</f>
        <v>36</v>
      </c>
      <c r="H35" s="42">
        <f>'[6]Dados de entrada'!$B$29/('[6]Dados de entrada'!$B$20*2*G35)</f>
        <v>2.1805555555555557E-2</v>
      </c>
      <c r="I35" s="25">
        <f>'[6]fib Model Code 2010'!$K$12</f>
        <v>538.67344664828317</v>
      </c>
      <c r="J35" s="4">
        <f>'[6]Dados de entrada'!$C$14</f>
        <v>0.42</v>
      </c>
    </row>
    <row r="36" spans="1:10">
      <c r="A36" s="93"/>
      <c r="B36" s="37">
        <f>'[6]Dados de entrada'!$B$28</f>
        <v>10</v>
      </c>
      <c r="C36" s="37">
        <f>'[6]Dados de entrada'!$B$31</f>
        <v>4</v>
      </c>
      <c r="D36" s="41">
        <f>'[6]Leonhardt (1977)'!$B$27</f>
        <v>32.466666666666669</v>
      </c>
      <c r="E36" s="41">
        <f>'[6]Dados de entrada'!$B$27</f>
        <v>3.262</v>
      </c>
      <c r="F36" s="37">
        <f>'[6]Dados de entrada'!$B$30</f>
        <v>25</v>
      </c>
      <c r="G36" s="37">
        <f>'[6]Dados de entrada'!$B$22</f>
        <v>36</v>
      </c>
      <c r="H36" s="42">
        <f>'[6]Dados de entrada'!$B$29/('[6]Dados de entrada'!$B$20*2*G36)</f>
        <v>2.1805555555555557E-2</v>
      </c>
      <c r="I36" s="25">
        <f>'[6]fib Model Code 2010'!$K$13</f>
        <v>628</v>
      </c>
      <c r="J36" s="4">
        <f>'[6]Dados de entrada'!$C$15</f>
        <v>0.44</v>
      </c>
    </row>
    <row r="37" spans="1:10">
      <c r="A37" s="93"/>
      <c r="B37" s="37">
        <f>'[6]Dados de entrada'!$B$28</f>
        <v>10</v>
      </c>
      <c r="C37" s="37">
        <f>'[6]Dados de entrada'!$B$31</f>
        <v>4</v>
      </c>
      <c r="D37" s="41">
        <f>'[6]Leonhardt (1977)'!$B$27</f>
        <v>32.466666666666669</v>
      </c>
      <c r="E37" s="41">
        <f>'[6]Dados de entrada'!$B$27</f>
        <v>3.262</v>
      </c>
      <c r="F37" s="37">
        <f>'[6]Dados de entrada'!$B$30</f>
        <v>25</v>
      </c>
      <c r="G37" s="37">
        <f>'[6]Dados de entrada'!$B$22</f>
        <v>36</v>
      </c>
      <c r="H37" s="42">
        <f>'[6]Dados de entrada'!$B$29/('[6]Dados de entrada'!$B$20*2*G37)</f>
        <v>2.1805555555555557E-2</v>
      </c>
      <c r="I37" s="25">
        <f>'[6]fib Model Code 2010'!$K$14</f>
        <v>628</v>
      </c>
      <c r="J37" s="4">
        <f>'[6]Dados de entrada'!$C$16</f>
        <v>0.5</v>
      </c>
    </row>
    <row r="38" spans="1:10">
      <c r="A38" s="85" t="s">
        <v>16</v>
      </c>
      <c r="B38" s="43">
        <f>'[7]Dados de entrada'!$B$26</f>
        <v>10</v>
      </c>
      <c r="C38" s="43">
        <f>'[7]Dados de entrada'!$B$29</f>
        <v>4</v>
      </c>
      <c r="D38" s="44">
        <f>'[7]Leonhardt (1977)'!$B$25</f>
        <v>32.466666666666669</v>
      </c>
      <c r="E38" s="44">
        <f>'[7]Dados de entrada'!$B$25</f>
        <v>3.5139999999999993</v>
      </c>
      <c r="F38" s="43">
        <f>'[7]Dados de entrada'!$B$28</f>
        <v>25</v>
      </c>
      <c r="G38" s="43">
        <f>'[7]Dados de entrada'!$B$20</f>
        <v>36</v>
      </c>
      <c r="H38" s="45">
        <f>'[7]Dados de entrada'!$B$27/(2*'[7]Dados de entrada'!$B$18*G38)</f>
        <v>2.1805555555555557E-2</v>
      </c>
      <c r="I38" s="26">
        <f>'[7]fib Model Code 2010'!$K$7</f>
        <v>321.47187644259361</v>
      </c>
      <c r="J38" s="19">
        <f>'[7]Dados de entrada'!$C$9</f>
        <v>0.24</v>
      </c>
    </row>
    <row r="39" spans="1:10">
      <c r="A39" s="90"/>
      <c r="B39" s="43">
        <f>'[7]Dados de entrada'!$B$26</f>
        <v>10</v>
      </c>
      <c r="C39" s="43">
        <f>'[7]Dados de entrada'!$B$29</f>
        <v>4</v>
      </c>
      <c r="D39" s="44">
        <f>'[7]Leonhardt (1977)'!$B$25</f>
        <v>32.466666666666669</v>
      </c>
      <c r="E39" s="44">
        <f>'[7]Dados de entrada'!$B$25</f>
        <v>3.5139999999999993</v>
      </c>
      <c r="F39" s="43">
        <f>'[7]Dados de entrada'!$B$28</f>
        <v>25</v>
      </c>
      <c r="G39" s="43">
        <f>'[7]Dados de entrada'!$B$20</f>
        <v>36</v>
      </c>
      <c r="H39" s="45">
        <f>'[7]Dados de entrada'!$B$27/(2*'[7]Dados de entrada'!$B$18*G39)</f>
        <v>2.1805555555555557E-2</v>
      </c>
      <c r="I39" s="26">
        <f>'[7]fib Model Code 2010'!$K$8</f>
        <v>357.19097382510409</v>
      </c>
      <c r="J39" s="19">
        <f>'[7]Dados de entrada'!$C$10</f>
        <v>0.3</v>
      </c>
    </row>
    <row r="40" spans="1:10">
      <c r="A40" s="90"/>
      <c r="B40" s="43">
        <f>'[7]Dados de entrada'!$B$26</f>
        <v>10</v>
      </c>
      <c r="C40" s="43">
        <f>'[7]Dados de entrada'!$B$29</f>
        <v>4</v>
      </c>
      <c r="D40" s="44">
        <f>'[7]Leonhardt (1977)'!$B$25</f>
        <v>32.466666666666669</v>
      </c>
      <c r="E40" s="44">
        <f>'[7]Dados de entrada'!$B$25</f>
        <v>3.5139999999999993</v>
      </c>
      <c r="F40" s="43">
        <f>'[7]Dados de entrada'!$B$28</f>
        <v>25</v>
      </c>
      <c r="G40" s="43">
        <f>'[7]Dados de entrada'!$B$20</f>
        <v>36</v>
      </c>
      <c r="H40" s="45">
        <f>'[7]Dados de entrada'!$B$27/(2*'[7]Dados de entrada'!$B$18*G40)</f>
        <v>2.1805555555555557E-2</v>
      </c>
      <c r="I40" s="26">
        <f>'[7]fib Model Code 2010'!$K$9</f>
        <v>370.58563534354545</v>
      </c>
      <c r="J40" s="19">
        <f>'[7]Dados de entrada'!$C$11</f>
        <v>0.3</v>
      </c>
    </row>
    <row r="41" spans="1:10">
      <c r="A41" s="90"/>
      <c r="B41" s="43">
        <f>'[7]Dados de entrada'!$B$26</f>
        <v>10</v>
      </c>
      <c r="C41" s="43">
        <f>'[7]Dados de entrada'!$B$29</f>
        <v>4</v>
      </c>
      <c r="D41" s="44">
        <f>'[7]Leonhardt (1977)'!$B$25</f>
        <v>32.466666666666669</v>
      </c>
      <c r="E41" s="44">
        <f>'[7]Dados de entrada'!$B$25</f>
        <v>3.5139999999999993</v>
      </c>
      <c r="F41" s="43">
        <f>'[7]Dados de entrada'!$B$28</f>
        <v>25</v>
      </c>
      <c r="G41" s="43">
        <f>'[7]Dados de entrada'!$B$20</f>
        <v>36</v>
      </c>
      <c r="H41" s="45">
        <f>'[7]Dados de entrada'!$B$27/(2*'[7]Dados de entrada'!$B$18*G41)</f>
        <v>2.1805555555555557E-2</v>
      </c>
      <c r="I41" s="26">
        <f>'[7]fib Model Code 2010'!$K$10</f>
        <v>392.91007120761441</v>
      </c>
      <c r="J41" s="19">
        <f>'[7]Dados de entrada'!$C$12</f>
        <v>0.3</v>
      </c>
    </row>
    <row r="42" spans="1:10">
      <c r="A42" s="90"/>
      <c r="B42" s="43">
        <f>'[7]Dados de entrada'!$B$26</f>
        <v>10</v>
      </c>
      <c r="C42" s="43">
        <f>'[7]Dados de entrada'!$B$29</f>
        <v>4</v>
      </c>
      <c r="D42" s="44">
        <f>'[7]Leonhardt (1977)'!$B$25</f>
        <v>32.466666666666669</v>
      </c>
      <c r="E42" s="44">
        <f>'[7]Dados de entrada'!$B$25</f>
        <v>3.5139999999999993</v>
      </c>
      <c r="F42" s="43">
        <f>'[7]Dados de entrada'!$B$28</f>
        <v>25</v>
      </c>
      <c r="G42" s="43">
        <f>'[7]Dados de entrada'!$B$20</f>
        <v>36</v>
      </c>
      <c r="H42" s="45">
        <f>'[7]Dados de entrada'!$B$27/(2*'[7]Dados de entrada'!$B$18*G42)</f>
        <v>2.1805555555555557E-2</v>
      </c>
      <c r="I42" s="26">
        <f>'[7]fib Model Code 2010'!$K$11</f>
        <v>424.16428141731097</v>
      </c>
      <c r="J42" s="19">
        <f>'[7]Dados de entrada'!$C$13</f>
        <v>0.38</v>
      </c>
    </row>
    <row r="43" spans="1:10">
      <c r="A43" s="86"/>
      <c r="B43" s="43">
        <f>'[7]Dados de entrada'!$B$26</f>
        <v>10</v>
      </c>
      <c r="C43" s="43">
        <f>'[7]Dados de entrada'!$B$29</f>
        <v>4</v>
      </c>
      <c r="D43" s="44">
        <f>'[7]Leonhardt (1977)'!$B$25</f>
        <v>32.466666666666669</v>
      </c>
      <c r="E43" s="44">
        <f>'[7]Dados de entrada'!$B$25</f>
        <v>3.5139999999999993</v>
      </c>
      <c r="F43" s="43">
        <f>'[7]Dados de entrada'!$B$28</f>
        <v>25</v>
      </c>
      <c r="G43" s="43">
        <f>'[7]Dados de entrada'!$B$20</f>
        <v>36</v>
      </c>
      <c r="H43" s="45">
        <f>'[7]Dados de entrada'!$B$27/(2*'[7]Dados de entrada'!$B$18*G43)</f>
        <v>2.1805555555555557E-2</v>
      </c>
      <c r="I43" s="26">
        <f>'[7]fib Model Code 2010'!$K$12</f>
        <v>491.13758900951802</v>
      </c>
      <c r="J43" s="19">
        <f>'[7]Dados de entrada'!$C$14</f>
        <v>0.44</v>
      </c>
    </row>
    <row r="44" spans="1:10">
      <c r="A44" s="87" t="s">
        <v>19</v>
      </c>
      <c r="B44" s="37">
        <f>'[8]Dados de entrada'!$B$28</f>
        <v>16</v>
      </c>
      <c r="C44" s="37">
        <f>'[8]Dados de entrada'!$B$31</f>
        <v>4</v>
      </c>
      <c r="D44" s="41">
        <f>'[8]Leonhardt (1977)'!$B$27</f>
        <v>37</v>
      </c>
      <c r="E44" s="41">
        <f>'[8]Dados de entrada'!$B$27</f>
        <v>4.2587999999999999</v>
      </c>
      <c r="F44" s="37">
        <f>'[8]Dados de entrada'!$B$30</f>
        <v>20</v>
      </c>
      <c r="G44" s="37">
        <f>'[8]Dados de entrada'!$B$22</f>
        <v>54</v>
      </c>
      <c r="H44" s="42">
        <f>'[8]Dados de entrada'!$B$29/('[8]Dados de entrada'!$B$20*2*G44)</f>
        <v>5.9259259259259262E-2</v>
      </c>
      <c r="I44" s="25">
        <f>'[8]fib Model Code 2010'!$K$6</f>
        <v>136.24998634844746</v>
      </c>
      <c r="J44" s="4">
        <f>'[8]Dados de entrada'!$C$8</f>
        <v>0.18</v>
      </c>
    </row>
    <row r="45" spans="1:10">
      <c r="A45" s="88"/>
      <c r="B45" s="37">
        <f>'[8]Dados de entrada'!$B$28</f>
        <v>16</v>
      </c>
      <c r="C45" s="37">
        <f>'[8]Dados de entrada'!$B$31</f>
        <v>4</v>
      </c>
      <c r="D45" s="41">
        <f>'[8]Leonhardt (1977)'!$B$27</f>
        <v>37</v>
      </c>
      <c r="E45" s="41">
        <f>'[8]Dados de entrada'!$B$27</f>
        <v>4.2587999999999999</v>
      </c>
      <c r="F45" s="37">
        <f>'[8]Dados de entrada'!$B$30</f>
        <v>20</v>
      </c>
      <c r="G45" s="37">
        <f>'[8]Dados de entrada'!$B$22</f>
        <v>54</v>
      </c>
      <c r="H45" s="42">
        <f>'[8]Dados de entrada'!$B$29/('[8]Dados de entrada'!$B$20*2*G45)</f>
        <v>5.9259259259259262E-2</v>
      </c>
      <c r="I45" s="25">
        <f>'[8]fib Model Code 2010'!$K$7</f>
        <v>196.14009023787494</v>
      </c>
      <c r="J45" s="4">
        <f>'[8]Dados de entrada'!$C$9</f>
        <v>0.2</v>
      </c>
    </row>
    <row r="46" spans="1:10">
      <c r="A46" s="88"/>
      <c r="B46" s="37">
        <f>'[8]Dados de entrada'!$B$28</f>
        <v>16</v>
      </c>
      <c r="C46" s="37">
        <f>'[8]Dados de entrada'!$B$31</f>
        <v>4</v>
      </c>
      <c r="D46" s="41">
        <f>'[8]Leonhardt (1977)'!$B$27</f>
        <v>37</v>
      </c>
      <c r="E46" s="41">
        <f>'[8]Dados de entrada'!$B$27</f>
        <v>4.2587999999999999</v>
      </c>
      <c r="F46" s="37">
        <f>'[8]Dados de entrada'!$B$30</f>
        <v>20</v>
      </c>
      <c r="G46" s="37">
        <f>'[8]Dados de entrada'!$B$22</f>
        <v>54</v>
      </c>
      <c r="H46" s="42">
        <f>'[8]Dados de entrada'!$B$29/('[8]Dados de entrada'!$B$20*2*G46)</f>
        <v>5.9259259259259262E-2</v>
      </c>
      <c r="I46" s="25">
        <f>'[8]fib Model Code 2010'!$K$8</f>
        <v>237.31453666185638</v>
      </c>
      <c r="J46" s="4">
        <f>'[8]Dados de entrada'!$C$10</f>
        <v>0.26</v>
      </c>
    </row>
    <row r="47" spans="1:10">
      <c r="A47" s="88"/>
      <c r="B47" s="37">
        <f>'[8]Dados de entrada'!$B$28</f>
        <v>16</v>
      </c>
      <c r="C47" s="37">
        <f>'[8]Dados de entrada'!$B$31</f>
        <v>4</v>
      </c>
      <c r="D47" s="41">
        <f>'[8]Leonhardt (1977)'!$B$27</f>
        <v>37</v>
      </c>
      <c r="E47" s="41">
        <f>'[8]Dados de entrada'!$B$27</f>
        <v>4.2587999999999999</v>
      </c>
      <c r="F47" s="37">
        <f>'[8]Dados de entrada'!$B$30</f>
        <v>20</v>
      </c>
      <c r="G47" s="37">
        <f>'[8]Dados de entrada'!$B$22</f>
        <v>54</v>
      </c>
      <c r="H47" s="42">
        <f>'[8]Dados de entrada'!$B$29/('[8]Dados de entrada'!$B$20*2*G47)</f>
        <v>5.9259259259259262E-2</v>
      </c>
      <c r="I47" s="25">
        <f>'[8]fib Model Code 2010'!$K$9</f>
        <v>305.43952983608006</v>
      </c>
      <c r="J47" s="4">
        <f>'[8]Dados de entrada'!$C$11</f>
        <v>0.44</v>
      </c>
    </row>
    <row r="48" spans="1:10">
      <c r="A48" s="88"/>
      <c r="B48" s="37">
        <f>'[8]Dados de entrada'!$B$28</f>
        <v>16</v>
      </c>
      <c r="C48" s="37">
        <f>'[8]Dados de entrada'!$B$31</f>
        <v>4</v>
      </c>
      <c r="D48" s="41">
        <f>'[8]Leonhardt (1977)'!$B$27</f>
        <v>37</v>
      </c>
      <c r="E48" s="41">
        <f>'[8]Dados de entrada'!$B$27</f>
        <v>4.2587999999999999</v>
      </c>
      <c r="F48" s="37">
        <f>'[8]Dados de entrada'!$B$30</f>
        <v>20</v>
      </c>
      <c r="G48" s="37">
        <f>'[8]Dados de entrada'!$B$22</f>
        <v>54</v>
      </c>
      <c r="H48" s="42">
        <f>'[8]Dados de entrada'!$B$29/('[8]Dados de entrada'!$B$20*2*G48)</f>
        <v>5.9259259259259262E-2</v>
      </c>
      <c r="I48" s="25">
        <f>'[8]fib Model Code 2010'!$K$10</f>
        <v>405.00682755225324</v>
      </c>
      <c r="J48" s="4">
        <f>'[8]Dados de entrada'!$C$12</f>
        <v>0.6</v>
      </c>
    </row>
    <row r="49" spans="1:10">
      <c r="A49" s="90" t="s">
        <v>20</v>
      </c>
      <c r="B49" s="67">
        <f>'[9]Dados de entrada'!$B$28</f>
        <v>12</v>
      </c>
      <c r="C49" s="67">
        <f>'[9]Dados de entrada'!$B$31</f>
        <v>4</v>
      </c>
      <c r="D49" s="67">
        <f>'[9]Dados de entrada'!$B$32</f>
        <v>79.3</v>
      </c>
      <c r="E49" s="68">
        <f>'[9]Dados de entrada'!$B$27</f>
        <v>2.6933292113182881</v>
      </c>
      <c r="F49" s="67">
        <f>'[9]Dados de entrada'!$B$30</f>
        <v>32</v>
      </c>
      <c r="G49" s="67">
        <f>'[9]Dados de entrada'!$B$22</f>
        <v>38</v>
      </c>
      <c r="H49" s="69">
        <f>'[9]Dados de entrada'!$B$29/('[9]Dados de entrada'!$B$20*2*G49)</f>
        <v>1.6992481203007517E-2</v>
      </c>
      <c r="I49" s="26">
        <f>'[9]fib Model Code 2010'!$K$6</f>
        <v>300.43295624924116</v>
      </c>
      <c r="J49" s="19">
        <f>'[9]Dados de entrada'!$C$8</f>
        <v>0.36</v>
      </c>
    </row>
    <row r="50" spans="1:10">
      <c r="A50" s="90"/>
      <c r="B50" s="67">
        <f>'[9]Dados de entrada'!$B$28</f>
        <v>12</v>
      </c>
      <c r="C50" s="67">
        <f>'[9]Dados de entrada'!$B$31</f>
        <v>4</v>
      </c>
      <c r="D50" s="67">
        <f>'[9]Dados de entrada'!$B$32</f>
        <v>79.3</v>
      </c>
      <c r="E50" s="68">
        <f>'[9]Dados de entrada'!$B$27</f>
        <v>2.6933292113182881</v>
      </c>
      <c r="F50" s="67">
        <f>'[9]Dados de entrada'!$B$30</f>
        <v>32</v>
      </c>
      <c r="G50" s="67">
        <f>'[9]Dados de entrada'!$B$22</f>
        <v>38</v>
      </c>
      <c r="H50" s="69">
        <f>'[9]Dados de entrada'!$B$29/('[9]Dados de entrada'!$B$20*2*G50)</f>
        <v>1.6992481203007517E-2</v>
      </c>
      <c r="I50" s="26">
        <f>'[9]fib Model Code 2010'!$K$7</f>
        <v>386.27094374902435</v>
      </c>
      <c r="J50" s="19">
        <f>'[9]Dados de entrada'!$C$9</f>
        <v>0.43</v>
      </c>
    </row>
    <row r="51" spans="1:10">
      <c r="A51" s="90"/>
      <c r="B51" s="67">
        <f>'[9]Dados de entrada'!$B$28</f>
        <v>12</v>
      </c>
      <c r="C51" s="67">
        <f>'[9]Dados de entrada'!$B$31</f>
        <v>4</v>
      </c>
      <c r="D51" s="67">
        <f>'[9]Dados de entrada'!$B$32</f>
        <v>79.3</v>
      </c>
      <c r="E51" s="68">
        <f>'[9]Dados de entrada'!$B$27</f>
        <v>2.6933292113182881</v>
      </c>
      <c r="F51" s="67">
        <f>'[9]Dados de entrada'!$B$30</f>
        <v>32</v>
      </c>
      <c r="G51" s="67">
        <f>'[9]Dados de entrada'!$B$22</f>
        <v>38</v>
      </c>
      <c r="H51" s="69">
        <f>'[9]Dados de entrada'!$B$29/('[9]Dados de entrada'!$B$20*2*G51)</f>
        <v>1.6992481203007517E-2</v>
      </c>
      <c r="I51" s="26">
        <f>'[9]fib Model Code 2010'!$K$8</f>
        <v>500</v>
      </c>
      <c r="J51" s="19">
        <f>'[9]Dados de entrada'!$C$10</f>
        <v>0.56000000000000005</v>
      </c>
    </row>
    <row r="52" spans="1:10">
      <c r="A52" s="90"/>
      <c r="B52" s="67">
        <f>'[9]Dados de entrada'!$B$28</f>
        <v>12</v>
      </c>
      <c r="C52" s="67">
        <f>'[9]Dados de entrada'!$B$31</f>
        <v>4</v>
      </c>
      <c r="D52" s="67">
        <f>'[9]Dados de entrada'!$B$32</f>
        <v>79.3</v>
      </c>
      <c r="E52" s="68">
        <f>'[9]Dados de entrada'!$B$27</f>
        <v>2.6933292113182881</v>
      </c>
      <c r="F52" s="67">
        <f>'[9]Dados de entrada'!$B$30</f>
        <v>32</v>
      </c>
      <c r="G52" s="67">
        <f>'[9]Dados de entrada'!$B$22</f>
        <v>38</v>
      </c>
      <c r="H52" s="69">
        <f>'[9]Dados de entrada'!$B$29/('[9]Dados de entrada'!$B$20*2*G52)</f>
        <v>1.6992481203007517E-2</v>
      </c>
      <c r="I52" s="26">
        <f>'[9]fib Model Code 2010'!$K$9</f>
        <v>500</v>
      </c>
      <c r="J52" s="19">
        <f>'[9]Dados de entrada'!$C$11</f>
        <v>0.71</v>
      </c>
    </row>
    <row r="53" spans="1:10">
      <c r="A53" s="86"/>
      <c r="B53" s="67">
        <f>'[9]Dados de entrada'!$B$28</f>
        <v>12</v>
      </c>
      <c r="C53" s="67">
        <f>'[9]Dados de entrada'!$B$31</f>
        <v>4</v>
      </c>
      <c r="D53" s="67">
        <f>'[9]Dados de entrada'!$B$32</f>
        <v>79.3</v>
      </c>
      <c r="E53" s="68">
        <f>'[9]Dados de entrada'!$B$27</f>
        <v>2.6933292113182881</v>
      </c>
      <c r="F53" s="67">
        <f>'[9]Dados de entrada'!$B$30</f>
        <v>32</v>
      </c>
      <c r="G53" s="67">
        <f>'[9]Dados de entrada'!$B$22</f>
        <v>38</v>
      </c>
      <c r="H53" s="69">
        <f>'[9]Dados de entrada'!$B$29/('[9]Dados de entrada'!$B$20*2*G53)</f>
        <v>1.6992481203007517E-2</v>
      </c>
      <c r="I53" s="26">
        <f>'[9]fib Model Code 2010'!$K$10</f>
        <v>500</v>
      </c>
      <c r="J53" s="19">
        <f>'[9]Dados de entrada'!$C$12</f>
        <v>0.79</v>
      </c>
    </row>
    <row r="54" spans="1:10" ht="15.6" customHeight="1">
      <c r="A54" s="87" t="s">
        <v>23</v>
      </c>
      <c r="B54" s="37">
        <f>'[10]Dados de entrada'!$B$28</f>
        <v>25</v>
      </c>
      <c r="C54" s="37">
        <f>'[10]Dados de entrada'!$B$31</f>
        <v>4</v>
      </c>
      <c r="D54" s="37">
        <f>'[10]Dados de entrada'!$B$32</f>
        <v>62</v>
      </c>
      <c r="E54" s="41">
        <f>'[10]Dados de entrada'!$B$27</f>
        <v>2.6933292113182881</v>
      </c>
      <c r="F54" s="37">
        <f>'[10]Dados de entrada'!$B$30</f>
        <v>32</v>
      </c>
      <c r="G54" s="37">
        <f>'[10]Dados de entrada'!$B$22</f>
        <v>44.5</v>
      </c>
      <c r="H54" s="42">
        <f>'[10]Dados de entrada'!$B$29/('[10]Dados de entrada'!$B$20*2*G54)</f>
        <v>6.3049759229534513E-2</v>
      </c>
      <c r="I54" s="25">
        <f>'[10]fib Model Code 2010'!$K$5</f>
        <v>85.210124180795688</v>
      </c>
      <c r="J54" s="4">
        <f>'[10]Dados de entrada'!$C$7</f>
        <v>0.15</v>
      </c>
    </row>
    <row r="55" spans="1:10">
      <c r="A55" s="88"/>
      <c r="B55" s="37">
        <f>'[10]Dados de entrada'!$B$28</f>
        <v>25</v>
      </c>
      <c r="C55" s="37">
        <f>'[10]Dados de entrada'!$B$31</f>
        <v>4</v>
      </c>
      <c r="D55" s="37">
        <f>'[10]Dados de entrada'!$B$32</f>
        <v>62</v>
      </c>
      <c r="E55" s="41">
        <f>'[10]Dados de entrada'!$B$27</f>
        <v>2.6933292113182881</v>
      </c>
      <c r="F55" s="37">
        <f>'[10]Dados de entrada'!$B$30</f>
        <v>32</v>
      </c>
      <c r="G55" s="37">
        <f>'[10]Dados de entrada'!$B$22</f>
        <v>44.5</v>
      </c>
      <c r="H55" s="42">
        <f>'[10]Dados de entrada'!$B$29/('[10]Dados de entrada'!$B$20*2*G55)</f>
        <v>6.3049759229534513E-2</v>
      </c>
      <c r="I55" s="25">
        <f>'[10]fib Model Code 2010'!$K$6</f>
        <v>106.51265522599461</v>
      </c>
      <c r="J55" s="4">
        <f>'[10]Dados de entrada'!$C$8</f>
        <v>0.2</v>
      </c>
    </row>
    <row r="56" spans="1:10">
      <c r="A56" s="88"/>
      <c r="B56" s="37">
        <f>'[10]Dados de entrada'!$B$28</f>
        <v>25</v>
      </c>
      <c r="C56" s="37">
        <f>'[10]Dados de entrada'!$B$31</f>
        <v>4</v>
      </c>
      <c r="D56" s="37">
        <f>'[10]Dados de entrada'!$B$32</f>
        <v>62</v>
      </c>
      <c r="E56" s="41">
        <f>'[10]Dados de entrada'!$B$27</f>
        <v>2.6933292113182881</v>
      </c>
      <c r="F56" s="37">
        <f>'[10]Dados de entrada'!$B$30</f>
        <v>32</v>
      </c>
      <c r="G56" s="37">
        <f>'[10]Dados de entrada'!$B$22</f>
        <v>44.5</v>
      </c>
      <c r="H56" s="42">
        <f>'[10]Dados de entrada'!$B$29/('[10]Dados de entrada'!$B$20*2*G56)</f>
        <v>6.3049759229534513E-2</v>
      </c>
      <c r="I56" s="25">
        <f>'[10]fib Model Code 2010'!$K$7</f>
        <v>191.72277940679027</v>
      </c>
      <c r="J56" s="4">
        <f>'[10]Dados de entrada'!$C$9</f>
        <v>0.25</v>
      </c>
    </row>
    <row r="57" spans="1:10">
      <c r="A57" s="88"/>
      <c r="B57" s="37">
        <f>'[10]Dados de entrada'!$B$28</f>
        <v>25</v>
      </c>
      <c r="C57" s="37">
        <f>'[10]Dados de entrada'!$B$31</f>
        <v>4</v>
      </c>
      <c r="D57" s="37">
        <f>'[10]Dados de entrada'!$B$32</f>
        <v>62</v>
      </c>
      <c r="E57" s="41">
        <f>'[10]Dados de entrada'!$B$27</f>
        <v>2.6933292113182881</v>
      </c>
      <c r="F57" s="37">
        <f>'[10]Dados de entrada'!$B$30</f>
        <v>32</v>
      </c>
      <c r="G57" s="37">
        <f>'[10]Dados de entrada'!$B$22</f>
        <v>44.5</v>
      </c>
      <c r="H57" s="42">
        <f>'[10]Dados de entrada'!$B$29/('[10]Dados de entrada'!$B$20*2*G57)</f>
        <v>6.3049759229534513E-2</v>
      </c>
      <c r="I57" s="25">
        <f>'[10]fib Model Code 2010'!$K$8</f>
        <v>276.93290358758594</v>
      </c>
      <c r="J57" s="4">
        <f>'[10]Dados de entrada'!$C$10</f>
        <v>0.36</v>
      </c>
    </row>
    <row r="58" spans="1:10">
      <c r="A58" s="88"/>
      <c r="B58" s="37">
        <f>'[10]Dados de entrada'!$B$28</f>
        <v>25</v>
      </c>
      <c r="C58" s="37">
        <f>'[10]Dados de entrada'!$B$31</f>
        <v>4</v>
      </c>
      <c r="D58" s="37">
        <f>'[10]Dados de entrada'!$B$32</f>
        <v>62</v>
      </c>
      <c r="E58" s="41">
        <f>'[10]Dados de entrada'!$B$27</f>
        <v>2.6933292113182881</v>
      </c>
      <c r="F58" s="37">
        <f>'[10]Dados de entrada'!$B$30</f>
        <v>32</v>
      </c>
      <c r="G58" s="37">
        <f>'[10]Dados de entrada'!$B$22</f>
        <v>44.5</v>
      </c>
      <c r="H58" s="42">
        <f>'[10]Dados de entrada'!$B$29/('[10]Dados de entrada'!$B$20*2*G58)</f>
        <v>6.3049759229534513E-2</v>
      </c>
      <c r="I58" s="25">
        <f>'[10]fib Model Code 2010'!$K$9</f>
        <v>362.14302776838161</v>
      </c>
      <c r="J58" s="4">
        <f>'[10]Dados de entrada'!$C$11</f>
        <v>0.47</v>
      </c>
    </row>
    <row r="59" spans="1:10">
      <c r="A59" s="88"/>
      <c r="B59" s="37">
        <f>'[10]Dados de entrada'!$B$28</f>
        <v>25</v>
      </c>
      <c r="C59" s="37">
        <f>'[10]Dados de entrada'!$B$31</f>
        <v>4</v>
      </c>
      <c r="D59" s="37">
        <f>'[10]Dados de entrada'!$B$32</f>
        <v>62</v>
      </c>
      <c r="E59" s="41">
        <f>'[10]Dados de entrada'!$B$27</f>
        <v>2.6933292113182881</v>
      </c>
      <c r="F59" s="37">
        <f>'[10]Dados de entrada'!$B$30</f>
        <v>32</v>
      </c>
      <c r="G59" s="37">
        <f>'[10]Dados de entrada'!$B$22</f>
        <v>44.5</v>
      </c>
      <c r="H59" s="42">
        <f>'[10]Dados de entrada'!$B$29/('[10]Dados de entrada'!$B$20*2*G59)</f>
        <v>6.3049759229534513E-2</v>
      </c>
      <c r="I59" s="25">
        <f>'[10]fib Model Code 2010'!$K$10</f>
        <v>426.05062090397843</v>
      </c>
      <c r="J59" s="4">
        <f>'[10]Dados de entrada'!$C$12</f>
        <v>0.56999999999999995</v>
      </c>
    </row>
    <row r="60" spans="1:10">
      <c r="A60" s="89"/>
      <c r="B60" s="37">
        <f>'[10]Dados de entrada'!$B$28</f>
        <v>25</v>
      </c>
      <c r="C60" s="37">
        <f>'[10]Dados de entrada'!$B$31</f>
        <v>4</v>
      </c>
      <c r="D60" s="37">
        <f>'[10]Dados de entrada'!$B$32</f>
        <v>62</v>
      </c>
      <c r="E60" s="41">
        <f>'[10]Dados de entrada'!$B$27</f>
        <v>2.6933292113182881</v>
      </c>
      <c r="F60" s="37">
        <f>'[10]Dados de entrada'!$B$30</f>
        <v>32</v>
      </c>
      <c r="G60" s="37">
        <f>'[10]Dados de entrada'!$B$22</f>
        <v>44.5</v>
      </c>
      <c r="H60" s="42">
        <f>'[10]Dados de entrada'!$B$29/('[10]Dados de entrada'!$B$20*2*G60)</f>
        <v>6.3049759229534513E-2</v>
      </c>
      <c r="I60" s="25">
        <f>'[10]fib Model Code 2010'!$K$11</f>
        <v>500</v>
      </c>
      <c r="J60" s="4">
        <f>'[10]Dados de entrada'!$C$13</f>
        <v>0.78</v>
      </c>
    </row>
    <row r="61" spans="1:10" ht="12.6" customHeight="1">
      <c r="A61" s="85" t="s">
        <v>27</v>
      </c>
      <c r="B61" s="43">
        <f>'[11]Dados de entrada'!$B$28</f>
        <v>12</v>
      </c>
      <c r="C61" s="43">
        <f>'[11]Dados de entrada'!$B$31</f>
        <v>4</v>
      </c>
      <c r="D61" s="43">
        <f>'[11]Dados de entrada'!$B$32</f>
        <v>79.3</v>
      </c>
      <c r="E61" s="44">
        <f>'[11]Dados de entrada'!$B$27</f>
        <v>2.6933292113182881</v>
      </c>
      <c r="F61" s="43">
        <f>'[11]Dados de entrada'!$B$30</f>
        <v>32</v>
      </c>
      <c r="G61" s="43">
        <f>'[11]Dados de entrada'!$B$22</f>
        <v>38</v>
      </c>
      <c r="H61" s="45">
        <f>'[11]Dados de entrada'!$B$29/('[11]Dados de entrada'!$B$20*2*G61)</f>
        <v>1.6992481203007517E-2</v>
      </c>
      <c r="I61" s="26">
        <f>'[11]fib Model Code 2010'!$K$5</f>
        <v>214.59496874945796</v>
      </c>
      <c r="J61" s="19">
        <f>'[11]Dados de entrada'!$C$7</f>
        <v>0.21</v>
      </c>
    </row>
    <row r="62" spans="1:10" ht="12.6" customHeight="1">
      <c r="A62" s="90"/>
      <c r="B62" s="43">
        <f>'[11]Dados de entrada'!$B$28</f>
        <v>12</v>
      </c>
      <c r="C62" s="43">
        <f>'[11]Dados de entrada'!$B$31</f>
        <v>4</v>
      </c>
      <c r="D62" s="43">
        <f>'[11]Dados de entrada'!$B$32</f>
        <v>79.3</v>
      </c>
      <c r="E62" s="44">
        <f>'[11]Dados de entrada'!$B$27</f>
        <v>2.6933292113182881</v>
      </c>
      <c r="F62" s="43">
        <f>'[11]Dados de entrada'!$B$30</f>
        <v>32</v>
      </c>
      <c r="G62" s="43">
        <f>'[11]Dados de entrada'!$B$22</f>
        <v>38</v>
      </c>
      <c r="H62" s="45">
        <f>'[11]Dados de entrada'!$B$29/('[11]Dados de entrada'!$B$20*2*G62)</f>
        <v>1.6992481203007517E-2</v>
      </c>
      <c r="I62" s="26">
        <f>'[11]fib Model Code 2010'!$K$6</f>
        <v>257.51396249934959</v>
      </c>
      <c r="J62" s="19">
        <f>'[11]Dados de entrada'!$C$8</f>
        <v>0.31</v>
      </c>
    </row>
    <row r="63" spans="1:10" ht="12.6" customHeight="1">
      <c r="A63" s="90"/>
      <c r="B63" s="43">
        <f>'[11]Dados de entrada'!$B$28</f>
        <v>12</v>
      </c>
      <c r="C63" s="43">
        <f>'[11]Dados de entrada'!$B$31</f>
        <v>4</v>
      </c>
      <c r="D63" s="43">
        <f>'[11]Dados de entrada'!$B$32</f>
        <v>79.3</v>
      </c>
      <c r="E63" s="44">
        <f>'[11]Dados de entrada'!$B$27</f>
        <v>2.6933292113182881</v>
      </c>
      <c r="F63" s="43">
        <f>'[11]Dados de entrada'!$B$30</f>
        <v>32</v>
      </c>
      <c r="G63" s="43">
        <f>'[11]Dados de entrada'!$B$22</f>
        <v>38</v>
      </c>
      <c r="H63" s="45">
        <f>'[11]Dados de entrada'!$B$29/('[11]Dados de entrada'!$B$20*2*G63)</f>
        <v>1.6992481203007517E-2</v>
      </c>
      <c r="I63" s="26">
        <f>'[11]fib Model Code 2010'!$K$7</f>
        <v>300.43295624924116</v>
      </c>
      <c r="J63" s="19">
        <f>'[11]Dados de entrada'!$C$9</f>
        <v>0.38</v>
      </c>
    </row>
    <row r="64" spans="1:10">
      <c r="A64" s="90"/>
      <c r="B64" s="43">
        <f>'[11]Dados de entrada'!$B$28</f>
        <v>12</v>
      </c>
      <c r="C64" s="43">
        <f>'[11]Dados de entrada'!$B$31</f>
        <v>4</v>
      </c>
      <c r="D64" s="43">
        <f>'[11]Dados de entrada'!$B$32</f>
        <v>79.3</v>
      </c>
      <c r="E64" s="44">
        <f>'[11]Dados de entrada'!$B$27</f>
        <v>2.6933292113182881</v>
      </c>
      <c r="F64" s="43">
        <f>'[11]Dados de entrada'!$B$30</f>
        <v>32</v>
      </c>
      <c r="G64" s="43">
        <f>'[11]Dados de entrada'!$B$22</f>
        <v>38</v>
      </c>
      <c r="H64" s="45">
        <f>'[11]Dados de entrada'!$B$29/('[11]Dados de entrada'!$B$20*2*G64)</f>
        <v>1.6992481203007517E-2</v>
      </c>
      <c r="I64" s="26">
        <f>'[11]fib Model Code 2010'!$K$8</f>
        <v>386.27094374902435</v>
      </c>
      <c r="J64" s="19">
        <f>'[11]Dados de entrada'!$C$10</f>
        <v>0.52</v>
      </c>
    </row>
    <row r="65" spans="1:10">
      <c r="A65" s="86"/>
      <c r="B65" s="43">
        <f>'[11]Dados de entrada'!$B$28</f>
        <v>12</v>
      </c>
      <c r="C65" s="43">
        <f>'[11]Dados de entrada'!$B$31</f>
        <v>4</v>
      </c>
      <c r="D65" s="43">
        <f>'[11]Dados de entrada'!$B$32</f>
        <v>79.3</v>
      </c>
      <c r="E65" s="44">
        <f>'[11]Dados de entrada'!$B$27</f>
        <v>2.6933292113182881</v>
      </c>
      <c r="F65" s="43">
        <f>'[11]Dados de entrada'!$B$30</f>
        <v>32</v>
      </c>
      <c r="G65" s="43">
        <f>'[11]Dados de entrada'!$B$22</f>
        <v>38</v>
      </c>
      <c r="H65" s="45">
        <f>'[11]Dados de entrada'!$B$29/('[11]Dados de entrada'!$B$20*2*G65)</f>
        <v>1.6992481203007517E-2</v>
      </c>
      <c r="I65" s="26">
        <f>'[11]fib Model Code 2010'!$K$9</f>
        <v>500</v>
      </c>
      <c r="J65" s="19">
        <f>'[11]Dados de entrada'!$C$11</f>
        <v>0.74</v>
      </c>
    </row>
    <row r="66" spans="1:10" ht="12.6" customHeight="1">
      <c r="A66" s="87" t="s">
        <v>28</v>
      </c>
      <c r="B66" s="37">
        <f>'[12]Dados de entrada'!$B$28</f>
        <v>12</v>
      </c>
      <c r="C66" s="37">
        <f>'[12]Dados de entrada'!$B$31</f>
        <v>4</v>
      </c>
      <c r="D66" s="37">
        <f>'[12]Dados de entrada'!$B$32</f>
        <v>79.3</v>
      </c>
      <c r="E66" s="41">
        <f>'[12]Dados de entrada'!$B$27</f>
        <v>2.6933292113182881</v>
      </c>
      <c r="F66" s="37">
        <f>'[12]Dados de entrada'!$B$30</f>
        <v>32</v>
      </c>
      <c r="G66" s="37">
        <f>'[12]Dados de entrada'!$B$22</f>
        <v>38</v>
      </c>
      <c r="H66" s="42">
        <f>'[12]Dados de entrada'!$B$29/('[12]Dados de entrada'!$B$20*2*G66)</f>
        <v>1.6992481203007517E-2</v>
      </c>
      <c r="I66" s="25">
        <f>'[12]fib Model Code 2010'!$K$5</f>
        <v>214.59496874945796</v>
      </c>
      <c r="J66" s="4">
        <f>'[12]Dados de entrada'!$C$7</f>
        <v>0.17</v>
      </c>
    </row>
    <row r="67" spans="1:10">
      <c r="A67" s="88"/>
      <c r="B67" s="37">
        <f>'[12]Dados de entrada'!$B$28</f>
        <v>12</v>
      </c>
      <c r="C67" s="37">
        <f>'[12]Dados de entrada'!$B$31</f>
        <v>4</v>
      </c>
      <c r="D67" s="37">
        <f>'[12]Dados de entrada'!$B$32</f>
        <v>79.3</v>
      </c>
      <c r="E67" s="41">
        <f>'[12]Dados de entrada'!$B$27</f>
        <v>2.6933292113182881</v>
      </c>
      <c r="F67" s="37">
        <f>'[12]Dados de entrada'!$B$30</f>
        <v>32</v>
      </c>
      <c r="G67" s="37">
        <f>'[12]Dados de entrada'!$B$22</f>
        <v>38</v>
      </c>
      <c r="H67" s="42">
        <f>'[12]Dados de entrada'!$B$29/('[12]Dados de entrada'!$B$20*2*G67)</f>
        <v>1.6992481203007517E-2</v>
      </c>
      <c r="I67" s="25">
        <f>'[12]fib Model Code 2010'!$K$6</f>
        <v>300.43295624924116</v>
      </c>
      <c r="J67" s="4">
        <f>'[12]Dados de entrada'!$C$8</f>
        <v>0.36</v>
      </c>
    </row>
    <row r="68" spans="1:10">
      <c r="A68" s="88"/>
      <c r="B68" s="37">
        <f>'[12]Dados de entrada'!$B$28</f>
        <v>12</v>
      </c>
      <c r="C68" s="37">
        <f>'[12]Dados de entrada'!$B$31</f>
        <v>4</v>
      </c>
      <c r="D68" s="37">
        <f>'[12]Dados de entrada'!$B$32</f>
        <v>79.3</v>
      </c>
      <c r="E68" s="41">
        <f>'[12]Dados de entrada'!$B$27</f>
        <v>2.6933292113182881</v>
      </c>
      <c r="F68" s="37">
        <f>'[12]Dados de entrada'!$B$30</f>
        <v>32</v>
      </c>
      <c r="G68" s="37">
        <f>'[12]Dados de entrada'!$B$22</f>
        <v>38</v>
      </c>
      <c r="H68" s="42">
        <f>'[12]Dados de entrada'!$B$29/('[12]Dados de entrada'!$B$20*2*G68)</f>
        <v>1.6992481203007517E-2</v>
      </c>
      <c r="I68" s="25">
        <f>'[12]fib Model Code 2010'!$K$7</f>
        <v>386.27094374902435</v>
      </c>
      <c r="J68" s="4">
        <f>'[12]Dados de entrada'!$C$9</f>
        <v>0.56000000000000005</v>
      </c>
    </row>
    <row r="69" spans="1:10">
      <c r="A69" s="89"/>
      <c r="B69" s="37">
        <f>'[12]Dados de entrada'!$B$28</f>
        <v>12</v>
      </c>
      <c r="C69" s="37">
        <f>'[12]Dados de entrada'!$B$31</f>
        <v>4</v>
      </c>
      <c r="D69" s="37">
        <f>'[12]Dados de entrada'!$B$32</f>
        <v>79.3</v>
      </c>
      <c r="E69" s="41">
        <f>'[12]Dados de entrada'!$B$27</f>
        <v>2.6933292113182881</v>
      </c>
      <c r="F69" s="37">
        <f>'[12]Dados de entrada'!$B$30</f>
        <v>32</v>
      </c>
      <c r="G69" s="37">
        <f>'[12]Dados de entrada'!$B$22</f>
        <v>38</v>
      </c>
      <c r="H69" s="42">
        <f>'[12]Dados de entrada'!$B$29/('[12]Dados de entrada'!$B$20*2*G69)</f>
        <v>1.6992481203007517E-2</v>
      </c>
      <c r="I69" s="25">
        <f>'[12]fib Model Code 2010'!$K$8</f>
        <v>500</v>
      </c>
      <c r="J69" s="4">
        <f>'[12]Dados de entrada'!$C$10</f>
        <v>0.78</v>
      </c>
    </row>
    <row r="70" spans="1:10">
      <c r="A70" s="85" t="s">
        <v>29</v>
      </c>
      <c r="B70" s="43">
        <f>'[13]Dados de entrada'!$B$28</f>
        <v>12</v>
      </c>
      <c r="C70" s="43">
        <f>'[13]Dados de entrada'!$B$31</f>
        <v>4</v>
      </c>
      <c r="D70" s="43">
        <f>'[13]Dados de entrada'!$B$32</f>
        <v>46</v>
      </c>
      <c r="E70" s="44">
        <f>'[13]Dados de entrada'!$B$27</f>
        <v>2.6933292113182881</v>
      </c>
      <c r="F70" s="43">
        <f>'[13]Dados de entrada'!$B$30</f>
        <v>82</v>
      </c>
      <c r="G70" s="43">
        <f>'[13]Dados de entrada'!$B$22</f>
        <v>88</v>
      </c>
      <c r="H70" s="45">
        <f>'[13]Dados de entrada'!$B$29/('[13]Dados de entrada'!$B$20*2*G70)</f>
        <v>7.3376623376623373E-3</v>
      </c>
      <c r="I70" s="26">
        <f>'[13]fib Model Code 2010'!$K$6</f>
        <v>245.19477048546645</v>
      </c>
      <c r="J70" s="19">
        <f>'[13]Dados de entrada'!$C$8</f>
        <v>0.31</v>
      </c>
    </row>
    <row r="71" spans="1:10">
      <c r="A71" s="86"/>
      <c r="B71" s="43">
        <f>'[13]Dados de entrada'!$B$28</f>
        <v>12</v>
      </c>
      <c r="C71" s="43">
        <f>'[13]Dados de entrada'!$B$31</f>
        <v>4</v>
      </c>
      <c r="D71" s="43">
        <f>'[13]Dados de entrada'!$B$32</f>
        <v>46</v>
      </c>
      <c r="E71" s="44">
        <f>'[13]Dados de entrada'!$B$27</f>
        <v>2.6933292113182881</v>
      </c>
      <c r="F71" s="43">
        <f>'[13]Dados de entrada'!$B$30</f>
        <v>82</v>
      </c>
      <c r="G71" s="43">
        <f>'[13]Dados de entrada'!$B$22</f>
        <v>88</v>
      </c>
      <c r="H71" s="45">
        <f>'[13]Dados de entrada'!$B$29/('[13]Dados de entrada'!$B$20*2*G71)</f>
        <v>7.3376623376623373E-3</v>
      </c>
      <c r="I71" s="26">
        <f>'[13]fib Model Code 2010'!$K$7</f>
        <v>294.23372458255977</v>
      </c>
      <c r="J71" s="19">
        <f>'[13]Dados de entrada'!$C$9</f>
        <v>0.44</v>
      </c>
    </row>
    <row r="72" spans="1:10">
      <c r="A72" s="87" t="s">
        <v>30</v>
      </c>
      <c r="B72" s="37">
        <f>'[14]Dados de entrada'!$B$28</f>
        <v>12</v>
      </c>
      <c r="C72" s="37">
        <f>'[14]Dados de entrada'!$B$31</f>
        <v>4</v>
      </c>
      <c r="D72" s="37">
        <f>'[14]Dados de entrada'!$B$32</f>
        <v>46</v>
      </c>
      <c r="E72" s="41">
        <f>'[14]Dados de entrada'!$B$27</f>
        <v>2.6933292113182881</v>
      </c>
      <c r="F72" s="37">
        <f>'[14]Dados de entrada'!$B$30</f>
        <v>82</v>
      </c>
      <c r="G72" s="37">
        <f>'[14]Dados de entrada'!$B$22</f>
        <v>88</v>
      </c>
      <c r="H72" s="42">
        <f>'[14]Dados de entrada'!$B$29/('[14]Dados de entrada'!$B$20*2*G72)</f>
        <v>7.3376623376623373E-3</v>
      </c>
      <c r="I72" s="25">
        <f>'[14]fib Model Code 2010'!$K$5</f>
        <v>196.15581638837318</v>
      </c>
      <c r="J72" s="4">
        <f>'[14]Dados de entrada'!$C$7</f>
        <v>0.14000000000000001</v>
      </c>
    </row>
    <row r="73" spans="1:10">
      <c r="A73" s="88"/>
      <c r="B73" s="37">
        <f>'[14]Dados de entrada'!$B$28</f>
        <v>12</v>
      </c>
      <c r="C73" s="37">
        <f>'[14]Dados de entrada'!$B$31</f>
        <v>4</v>
      </c>
      <c r="D73" s="37">
        <f>'[14]Dados de entrada'!$B$32</f>
        <v>46</v>
      </c>
      <c r="E73" s="41">
        <f>'[14]Dados de entrada'!$B$27</f>
        <v>2.6933292113182881</v>
      </c>
      <c r="F73" s="37">
        <f>'[14]Dados de entrada'!$B$30</f>
        <v>82</v>
      </c>
      <c r="G73" s="37">
        <f>'[14]Dados de entrada'!$B$22</f>
        <v>88</v>
      </c>
      <c r="H73" s="42">
        <f>'[14]Dados de entrada'!$B$29/('[14]Dados de entrada'!$B$20*2*G73)</f>
        <v>7.3376623376623373E-3</v>
      </c>
      <c r="I73" s="25">
        <f>'[14]fib Model Code 2010'!$K$6</f>
        <v>245.19477048546645</v>
      </c>
      <c r="J73" s="4">
        <f>'[14]Dados de entrada'!$C$8</f>
        <v>0.31</v>
      </c>
    </row>
    <row r="74" spans="1:10">
      <c r="A74" s="89"/>
      <c r="B74" s="37">
        <f>'[14]Dados de entrada'!$B$28</f>
        <v>12</v>
      </c>
      <c r="C74" s="37">
        <f>'[14]Dados de entrada'!$B$31</f>
        <v>4</v>
      </c>
      <c r="D74" s="37">
        <f>'[14]Dados de entrada'!$B$32</f>
        <v>46</v>
      </c>
      <c r="E74" s="41">
        <f>'[14]Dados de entrada'!$B$27</f>
        <v>2.6933292113182881</v>
      </c>
      <c r="F74" s="37">
        <f>'[14]Dados de entrada'!$B$30</f>
        <v>82</v>
      </c>
      <c r="G74" s="37">
        <f>'[14]Dados de entrada'!$B$22</f>
        <v>88</v>
      </c>
      <c r="H74" s="42">
        <f>'[14]Dados de entrada'!$B$29/('[14]Dados de entrada'!$B$20*2*G74)</f>
        <v>7.3376623376623373E-3</v>
      </c>
      <c r="I74" s="25">
        <f>'[14]fib Model Code 2010'!$K$7</f>
        <v>294.23372458255977</v>
      </c>
      <c r="J74" s="4">
        <f>'[14]Dados de entrada'!$C$9</f>
        <v>0.4</v>
      </c>
    </row>
    <row r="75" spans="1:10">
      <c r="A75" s="85" t="s">
        <v>31</v>
      </c>
      <c r="B75" s="43">
        <f>'[15]Dados de entrada'!$B$28</f>
        <v>12</v>
      </c>
      <c r="C75" s="43">
        <f>'[15]Dados de entrada'!$B$31</f>
        <v>4</v>
      </c>
      <c r="D75" s="43">
        <f>'[15]Dados de entrada'!$B$32</f>
        <v>46</v>
      </c>
      <c r="E75" s="44">
        <f>'[15]Dados de entrada'!$B$27</f>
        <v>2.6933292113182881</v>
      </c>
      <c r="F75" s="43">
        <f>'[15]Dados de entrada'!$B$30</f>
        <v>82</v>
      </c>
      <c r="G75" s="43">
        <f>'[15]Dados de entrada'!$B$22</f>
        <v>88</v>
      </c>
      <c r="H75" s="45">
        <f>'[15]Dados de entrada'!$B$29/('[15]Dados de entrada'!$B$20*2*G75)</f>
        <v>7.3376623376623373E-3</v>
      </c>
      <c r="I75" s="26">
        <f>'[15]fib Model Code 2010'!$K$5</f>
        <v>196.15581638837318</v>
      </c>
      <c r="J75" s="19">
        <f>'[15]Dados de entrada'!$C$7</f>
        <v>0.25</v>
      </c>
    </row>
    <row r="76" spans="1:10">
      <c r="A76" s="90"/>
      <c r="B76" s="43">
        <f>'[15]Dados de entrada'!$B$28</f>
        <v>12</v>
      </c>
      <c r="C76" s="43">
        <f>'[15]Dados de entrada'!$B$31</f>
        <v>4</v>
      </c>
      <c r="D76" s="43">
        <f>'[15]Dados de entrada'!$B$32</f>
        <v>46</v>
      </c>
      <c r="E76" s="44">
        <f>'[15]Dados de entrada'!$B$27</f>
        <v>2.6933292113182881</v>
      </c>
      <c r="F76" s="43">
        <f>'[15]Dados de entrada'!$B$30</f>
        <v>82</v>
      </c>
      <c r="G76" s="43">
        <f>'[15]Dados de entrada'!$B$22</f>
        <v>88</v>
      </c>
      <c r="H76" s="45">
        <f>'[15]Dados de entrada'!$B$29/('[15]Dados de entrada'!$B$20*2*G76)</f>
        <v>7.3376623376623373E-3</v>
      </c>
      <c r="I76" s="26">
        <f>'[15]fib Model Code 2010'!$K$6</f>
        <v>245.19477048546645</v>
      </c>
      <c r="J76" s="19">
        <f>'[15]Dados de entrada'!$C$8</f>
        <v>0.44</v>
      </c>
    </row>
    <row r="77" spans="1:10">
      <c r="A77" s="86"/>
      <c r="B77" s="43">
        <f>'[15]Dados de entrada'!$B$28</f>
        <v>12</v>
      </c>
      <c r="C77" s="43">
        <f>'[15]Dados de entrada'!$B$31</f>
        <v>4</v>
      </c>
      <c r="D77" s="43">
        <f>'[15]Dados de entrada'!$B$32</f>
        <v>46</v>
      </c>
      <c r="E77" s="44">
        <f>'[15]Dados de entrada'!$B$27</f>
        <v>2.6933292113182881</v>
      </c>
      <c r="F77" s="43">
        <f>'[15]Dados de entrada'!$B$30</f>
        <v>82</v>
      </c>
      <c r="G77" s="43">
        <f>'[15]Dados de entrada'!$B$22</f>
        <v>88</v>
      </c>
      <c r="H77" s="45">
        <f>'[15]Dados de entrada'!$B$29/('[15]Dados de entrada'!$B$20*2*G77)</f>
        <v>7.3376623376623373E-3</v>
      </c>
      <c r="I77" s="26">
        <f>'[15]fib Model Code 2010'!$K$7</f>
        <v>294.23372458255977</v>
      </c>
      <c r="J77" s="19">
        <f>'[15]Dados de entrada'!$C$9</f>
        <v>0.56000000000000005</v>
      </c>
    </row>
    <row r="78" spans="1:10">
      <c r="A78" s="87" t="s">
        <v>32</v>
      </c>
      <c r="B78" s="37">
        <f>'[16]Dados de entrada'!$B$28</f>
        <v>25</v>
      </c>
      <c r="C78" s="37">
        <f>'[16]Dados de entrada'!$B$31</f>
        <v>4</v>
      </c>
      <c r="D78" s="37">
        <f>'[16]Dados de entrada'!$B$32</f>
        <v>62</v>
      </c>
      <c r="E78" s="41">
        <f>'[16]Dados de entrada'!$B$27</f>
        <v>2.6933292113182881</v>
      </c>
      <c r="F78" s="37">
        <f>'[16]Dados de entrada'!$B$30</f>
        <v>32</v>
      </c>
      <c r="G78" s="37">
        <f>'[16]Dados de entrada'!$B$22</f>
        <v>44.5</v>
      </c>
      <c r="H78" s="42">
        <f>'[16]Dados de entrada'!$B$29/('[16]Dados de entrada'!$B$20*2*G78)</f>
        <v>6.3049759229534513E-2</v>
      </c>
      <c r="I78" s="25">
        <f>'[16]fib Model Code 2010'!$K$6</f>
        <v>213.02531045198921</v>
      </c>
      <c r="J78" s="4">
        <f>'[16]Dados de entrada'!$C$8</f>
        <v>0.23</v>
      </c>
    </row>
    <row r="79" spans="1:10">
      <c r="A79" s="88"/>
      <c r="B79" s="37">
        <f>'[16]Dados de entrada'!$B$28</f>
        <v>25</v>
      </c>
      <c r="C79" s="37">
        <f>'[16]Dados de entrada'!$B$31</f>
        <v>4</v>
      </c>
      <c r="D79" s="37">
        <f>'[16]Dados de entrada'!$B$32</f>
        <v>62</v>
      </c>
      <c r="E79" s="41">
        <f>'[16]Dados de entrada'!$B$27</f>
        <v>2.6933292113182881</v>
      </c>
      <c r="F79" s="37">
        <f>'[16]Dados de entrada'!$B$30</f>
        <v>32</v>
      </c>
      <c r="G79" s="37">
        <f>'[16]Dados de entrada'!$B$22</f>
        <v>44.5</v>
      </c>
      <c r="H79" s="42">
        <f>'[16]Dados de entrada'!$B$29/('[16]Dados de entrada'!$B$20*2*G79)</f>
        <v>6.3049759229534513E-2</v>
      </c>
      <c r="I79" s="25">
        <f>'[16]fib Model Code 2010'!$K$7</f>
        <v>319.53796567798378</v>
      </c>
      <c r="J79" s="4">
        <f>'[16]Dados de entrada'!$C$9</f>
        <v>0.35</v>
      </c>
    </row>
    <row r="80" spans="1:10">
      <c r="A80" s="88"/>
      <c r="B80" s="37">
        <f>'[16]Dados de entrada'!$B$28</f>
        <v>25</v>
      </c>
      <c r="C80" s="37">
        <f>'[16]Dados de entrada'!$B$31</f>
        <v>4</v>
      </c>
      <c r="D80" s="37">
        <f>'[16]Dados de entrada'!$B$32</f>
        <v>62</v>
      </c>
      <c r="E80" s="41">
        <f>'[16]Dados de entrada'!$B$27</f>
        <v>2.6933292113182881</v>
      </c>
      <c r="F80" s="37">
        <f>'[16]Dados de entrada'!$B$30</f>
        <v>32</v>
      </c>
      <c r="G80" s="37">
        <f>'[16]Dados de entrada'!$B$22</f>
        <v>44.5</v>
      </c>
      <c r="H80" s="42">
        <f>'[16]Dados de entrada'!$B$29/('[16]Dados de entrada'!$B$20*2*G80)</f>
        <v>6.3049759229534513E-2</v>
      </c>
      <c r="I80" s="25">
        <f>'[16]fib Model Code 2010'!$K$8</f>
        <v>426.05062090397843</v>
      </c>
      <c r="J80" s="4">
        <f>'[16]Dados de entrada'!$C$10</f>
        <v>0.49</v>
      </c>
    </row>
    <row r="81" spans="1:10">
      <c r="A81" s="89"/>
      <c r="B81" s="37">
        <f>'[16]Dados de entrada'!$B$28</f>
        <v>25</v>
      </c>
      <c r="C81" s="37">
        <f>'[16]Dados de entrada'!$B$31</f>
        <v>4</v>
      </c>
      <c r="D81" s="37">
        <f>'[16]Dados de entrada'!$B$32</f>
        <v>62</v>
      </c>
      <c r="E81" s="41">
        <f>'[16]Dados de entrada'!$B$27</f>
        <v>2.6933292113182881</v>
      </c>
      <c r="F81" s="37">
        <f>'[16]Dados de entrada'!$B$30</f>
        <v>32</v>
      </c>
      <c r="G81" s="37">
        <f>'[16]Dados de entrada'!$B$22</f>
        <v>44.5</v>
      </c>
      <c r="H81" s="42">
        <f>'[16]Dados de entrada'!$B$29/('[16]Dados de entrada'!$B$20*2*G81)</f>
        <v>6.3049759229534513E-2</v>
      </c>
      <c r="I81" s="25">
        <f>'[16]fib Model Code 2010'!$K$9</f>
        <v>500</v>
      </c>
      <c r="J81" s="4">
        <f>'[16]Dados de entrada'!$C$11</f>
        <v>0.67</v>
      </c>
    </row>
    <row r="82" spans="1:10">
      <c r="A82" s="85" t="s">
        <v>33</v>
      </c>
      <c r="B82" s="43">
        <f>'[17]Dados de entrada'!$B$28</f>
        <v>25</v>
      </c>
      <c r="C82" s="43">
        <f>'[17]Dados de entrada'!$B$31</f>
        <v>4</v>
      </c>
      <c r="D82" s="43">
        <f>'[17]Dados de entrada'!$B$32</f>
        <v>62</v>
      </c>
      <c r="E82" s="44">
        <f>'[17]Dados de entrada'!$B$27</f>
        <v>2.6933292113182881</v>
      </c>
      <c r="F82" s="43">
        <f>'[17]Dados de entrada'!$B$30</f>
        <v>32</v>
      </c>
      <c r="G82" s="43">
        <f>'[17]Dados de entrada'!$B$22</f>
        <v>44.5</v>
      </c>
      <c r="H82" s="45">
        <f>'[17]Dados de entrada'!$B$29/('[17]Dados de entrada'!$B$20*2*G82)</f>
        <v>6.3049759229534513E-2</v>
      </c>
      <c r="I82" s="26">
        <f>'[17]fib Model Code 2010'!$K$6</f>
        <v>213.02531045198921</v>
      </c>
      <c r="J82" s="19">
        <f>'[17]Dados de entrada'!$C$8</f>
        <v>0.27</v>
      </c>
    </row>
    <row r="83" spans="1:10">
      <c r="A83" s="90"/>
      <c r="B83" s="43">
        <f>'[17]Dados de entrada'!$B$28</f>
        <v>25</v>
      </c>
      <c r="C83" s="43">
        <f>'[17]Dados de entrada'!$B$31</f>
        <v>4</v>
      </c>
      <c r="D83" s="43">
        <f>'[17]Dados de entrada'!$B$32</f>
        <v>62</v>
      </c>
      <c r="E83" s="44">
        <f>'[17]Dados de entrada'!$B$27</f>
        <v>2.6933292113182881</v>
      </c>
      <c r="F83" s="43">
        <f>'[17]Dados de entrada'!$B$30</f>
        <v>32</v>
      </c>
      <c r="G83" s="43">
        <f>'[17]Dados de entrada'!$B$22</f>
        <v>44.5</v>
      </c>
      <c r="H83" s="45">
        <f>'[17]Dados de entrada'!$B$29/('[17]Dados de entrada'!$B$20*2*G83)</f>
        <v>6.3049759229534513E-2</v>
      </c>
      <c r="I83" s="26">
        <f>'[17]fib Model Code 2010'!$K$7</f>
        <v>319.53796567798378</v>
      </c>
      <c r="J83" s="19">
        <f>'[17]Dados de entrada'!$C$9</f>
        <v>0.4</v>
      </c>
    </row>
    <row r="84" spans="1:10">
      <c r="A84" s="90"/>
      <c r="B84" s="43">
        <f>'[17]Dados de entrada'!$B$28</f>
        <v>25</v>
      </c>
      <c r="C84" s="43">
        <f>'[17]Dados de entrada'!$B$31</f>
        <v>4</v>
      </c>
      <c r="D84" s="43">
        <f>'[17]Dados de entrada'!$B$32</f>
        <v>62</v>
      </c>
      <c r="E84" s="44">
        <f>'[17]Dados de entrada'!$B$27</f>
        <v>2.6933292113182881</v>
      </c>
      <c r="F84" s="43">
        <f>'[17]Dados de entrada'!$B$30</f>
        <v>32</v>
      </c>
      <c r="G84" s="43">
        <f>'[17]Dados de entrada'!$B$22</f>
        <v>44.5</v>
      </c>
      <c r="H84" s="45">
        <f>'[17]Dados de entrada'!$B$29/('[17]Dados de entrada'!$B$20*2*G84)</f>
        <v>6.3049759229534513E-2</v>
      </c>
      <c r="I84" s="26">
        <f>'[17]fib Model Code 2010'!$K$8</f>
        <v>426.05062090397843</v>
      </c>
      <c r="J84" s="19">
        <f>'[17]Dados de entrada'!$C$10</f>
        <v>0.53</v>
      </c>
    </row>
    <row r="85" spans="1:10">
      <c r="A85" s="86"/>
      <c r="B85" s="43">
        <f>'[17]Dados de entrada'!$B$28</f>
        <v>25</v>
      </c>
      <c r="C85" s="43">
        <f>'[17]Dados de entrada'!$B$31</f>
        <v>4</v>
      </c>
      <c r="D85" s="43">
        <f>'[17]Dados de entrada'!$B$32</f>
        <v>62</v>
      </c>
      <c r="E85" s="44">
        <f>'[17]Dados de entrada'!$B$27</f>
        <v>2.6933292113182881</v>
      </c>
      <c r="F85" s="43">
        <f>'[17]Dados de entrada'!$B$30</f>
        <v>32</v>
      </c>
      <c r="G85" s="43">
        <f>'[17]Dados de entrada'!$B$22</f>
        <v>44.5</v>
      </c>
      <c r="H85" s="45">
        <f>'[17]Dados de entrada'!$B$29/('[17]Dados de entrada'!$B$20*2*G85)</f>
        <v>6.3049759229534513E-2</v>
      </c>
      <c r="I85" s="26">
        <f>'[17]fib Model Code 2010'!$K$9</f>
        <v>500</v>
      </c>
      <c r="J85" s="19">
        <f>'[17]Dados de entrada'!$C$11</f>
        <v>0.72</v>
      </c>
    </row>
    <row r="86" spans="1:10">
      <c r="A86" s="87" t="s">
        <v>34</v>
      </c>
      <c r="B86" s="37">
        <f>'[18]Dados de entrada'!$B$28</f>
        <v>25</v>
      </c>
      <c r="C86" s="37">
        <f>'[18]Dados de entrada'!$B$31</f>
        <v>4</v>
      </c>
      <c r="D86" s="37">
        <f>'[18]Dados de entrada'!$B$32</f>
        <v>28.7</v>
      </c>
      <c r="E86" s="41">
        <f>'[18]Dados de entrada'!$B$27</f>
        <v>2.6933292113182881</v>
      </c>
      <c r="F86" s="37">
        <f>'[18]Dados de entrada'!$B$30</f>
        <v>82</v>
      </c>
      <c r="G86" s="37">
        <f>'[18]Dados de entrada'!$B$22</f>
        <v>94.5</v>
      </c>
      <c r="H86" s="42">
        <f>'[18]Dados de entrada'!$B$29/('[18]Dados de entrada'!$B$20*2*G86)</f>
        <v>2.9690098261526833E-2</v>
      </c>
      <c r="I86" s="25">
        <f>'[18]fib Model Code 2010'!$K$5</f>
        <v>73.404459497833727</v>
      </c>
      <c r="J86" s="4">
        <f>'[18]Dados de entrada'!$C$7</f>
        <v>0.15</v>
      </c>
    </row>
    <row r="87" spans="1:10">
      <c r="A87" s="102"/>
      <c r="B87" s="37">
        <f>'[18]Dados de entrada'!$B$28</f>
        <v>25</v>
      </c>
      <c r="C87" s="37">
        <f>'[18]Dados de entrada'!$B$31</f>
        <v>4</v>
      </c>
      <c r="D87" s="37">
        <f>'[18]Dados de entrada'!$B$32</f>
        <v>28.7</v>
      </c>
      <c r="E87" s="41">
        <f>'[18]Dados de entrada'!$B$27</f>
        <v>2.6933292113182881</v>
      </c>
      <c r="F87" s="37">
        <f>'[18]Dados de entrada'!$B$30</f>
        <v>82</v>
      </c>
      <c r="G87" s="37">
        <f>'[18]Dados de entrada'!$B$22</f>
        <v>94.5</v>
      </c>
      <c r="H87" s="42">
        <f>'[18]Dados de entrada'!$B$29/('[18]Dados de entrada'!$B$20*2*G87)</f>
        <v>2.9690098261526833E-2</v>
      </c>
      <c r="I87" s="25">
        <f>'[18]fib Model Code 2010'!$K$6</f>
        <v>122.34076582972288</v>
      </c>
      <c r="J87" s="4">
        <f>'[18]Dados de entrada'!$C$8</f>
        <v>0.3</v>
      </c>
    </row>
    <row r="88" spans="1:10">
      <c r="A88" s="103"/>
      <c r="B88" s="37">
        <f>'[18]Dados de entrada'!$B$28</f>
        <v>25</v>
      </c>
      <c r="C88" s="37">
        <f>'[18]Dados de entrada'!$B$31</f>
        <v>4</v>
      </c>
      <c r="D88" s="37">
        <f>'[18]Dados de entrada'!$B$32</f>
        <v>28.7</v>
      </c>
      <c r="E88" s="41">
        <f>'[18]Dados de entrada'!$B$27</f>
        <v>2.6933292113182881</v>
      </c>
      <c r="F88" s="37">
        <f>'[18]Dados de entrada'!$B$30</f>
        <v>82</v>
      </c>
      <c r="G88" s="37">
        <f>'[18]Dados de entrada'!$B$22</f>
        <v>94.5</v>
      </c>
      <c r="H88" s="42">
        <f>'[18]Dados de entrada'!$B$29/('[18]Dados de entrada'!$B$20*2*G88)</f>
        <v>2.9690098261526833E-2</v>
      </c>
      <c r="I88" s="25">
        <f>'[18]fib Model Code 2010'!$K$7</f>
        <v>244.68153165944577</v>
      </c>
      <c r="J88" s="4">
        <f>'[18]Dados de entrada'!$C$9</f>
        <v>0.56999999999999995</v>
      </c>
    </row>
    <row r="89" spans="1:10">
      <c r="A89" s="85" t="s">
        <v>35</v>
      </c>
      <c r="B89" s="43">
        <f>'[19]Dados de entrada'!$B$28</f>
        <v>25</v>
      </c>
      <c r="C89" s="43">
        <f>'[19]Dados de entrada'!$B$31</f>
        <v>4</v>
      </c>
      <c r="D89" s="43">
        <f>'[19]Dados de entrada'!$B$32</f>
        <v>28.7</v>
      </c>
      <c r="E89" s="44">
        <f>'[19]Dados de entrada'!$B$27</f>
        <v>2.6933292113182881</v>
      </c>
      <c r="F89" s="43">
        <f>'[19]Dados de entrada'!$B$30</f>
        <v>82</v>
      </c>
      <c r="G89" s="43">
        <f>'[19]Dados de entrada'!$B$22</f>
        <v>94.5</v>
      </c>
      <c r="H89" s="45">
        <f>'[19]Dados de entrada'!$B$29/('[19]Dados de entrada'!$B$20*2*G89)</f>
        <v>2.9690098261526833E-2</v>
      </c>
      <c r="I89" s="26">
        <f>'[19]fib Model Code 2010'!$K$5</f>
        <v>73.404459497833727</v>
      </c>
      <c r="J89" s="19">
        <f>'[19]Dados de entrada'!$C$7</f>
        <v>0.15</v>
      </c>
    </row>
    <row r="90" spans="1:10">
      <c r="A90" s="90"/>
      <c r="B90" s="43">
        <f>'[19]Dados de entrada'!$B$28</f>
        <v>25</v>
      </c>
      <c r="C90" s="43">
        <f>'[19]Dados de entrada'!$B$31</f>
        <v>4</v>
      </c>
      <c r="D90" s="43">
        <f>'[19]Dados de entrada'!$B$32</f>
        <v>28.7</v>
      </c>
      <c r="E90" s="44">
        <f>'[19]Dados de entrada'!$B$27</f>
        <v>2.6933292113182881</v>
      </c>
      <c r="F90" s="43">
        <f>'[19]Dados de entrada'!$B$30</f>
        <v>82</v>
      </c>
      <c r="G90" s="43">
        <f>'[19]Dados de entrada'!$B$22</f>
        <v>94.5</v>
      </c>
      <c r="H90" s="45">
        <f>'[19]Dados de entrada'!$B$29/('[19]Dados de entrada'!$B$20*2*G90)</f>
        <v>2.9690098261526833E-2</v>
      </c>
      <c r="I90" s="26">
        <f>'[19]fib Model Code 2010'!$K$6</f>
        <v>122.34076582972288</v>
      </c>
      <c r="J90" s="19">
        <f>'[19]Dados de entrada'!$C$8</f>
        <v>0.26</v>
      </c>
    </row>
    <row r="91" spans="1:10">
      <c r="A91" s="86"/>
      <c r="B91" s="43">
        <f>'[19]Dados de entrada'!$B$28</f>
        <v>25</v>
      </c>
      <c r="C91" s="43">
        <f>'[19]Dados de entrada'!$B$31</f>
        <v>4</v>
      </c>
      <c r="D91" s="43">
        <f>'[19]Dados de entrada'!$B$32</f>
        <v>28.7</v>
      </c>
      <c r="E91" s="44">
        <f>'[19]Dados de entrada'!$B$27</f>
        <v>2.6933292113182881</v>
      </c>
      <c r="F91" s="43">
        <f>'[19]Dados de entrada'!$B$30</f>
        <v>82</v>
      </c>
      <c r="G91" s="43">
        <f>'[19]Dados de entrada'!$B$22</f>
        <v>94.5</v>
      </c>
      <c r="H91" s="45">
        <f>'[19]Dados de entrada'!$B$29/('[19]Dados de entrada'!$B$20*2*G91)</f>
        <v>2.9690098261526833E-2</v>
      </c>
      <c r="I91" s="26">
        <f>'[19]fib Model Code 2010'!$K$7</f>
        <v>244.68153165944577</v>
      </c>
      <c r="J91" s="19">
        <f>'[19]Dados de entrada'!$C$9</f>
        <v>0.6</v>
      </c>
    </row>
    <row r="92" spans="1:10">
      <c r="A92" s="87" t="s">
        <v>36</v>
      </c>
      <c r="B92" s="37">
        <f>'[20]Dados de entrada'!$B$28</f>
        <v>25</v>
      </c>
      <c r="C92" s="37">
        <f>'[20]Dados de entrada'!$B$31</f>
        <v>4</v>
      </c>
      <c r="D92" s="37">
        <f>'[20]Dados de entrada'!$B$32</f>
        <v>28.7</v>
      </c>
      <c r="E92" s="41">
        <f>'[20]Dados de entrada'!$B$27</f>
        <v>2.6933292113182881</v>
      </c>
      <c r="F92" s="37">
        <f>'[20]Dados de entrada'!$B$30</f>
        <v>82</v>
      </c>
      <c r="G92" s="37">
        <f>'[20]Dados de entrada'!$B$22</f>
        <v>94.5</v>
      </c>
      <c r="H92" s="42">
        <f>'[20]Dados de entrada'!$B$29/('[20]Dados de entrada'!$B$20*2*G92)</f>
        <v>2.9690098261526833E-2</v>
      </c>
      <c r="I92" s="25">
        <f>'[20]fib Model Code 2010'!$K$5</f>
        <v>73.404459497833727</v>
      </c>
      <c r="J92" s="4">
        <f>'[20]Dados de entrada'!$C$7</f>
        <v>0.16</v>
      </c>
    </row>
    <row r="93" spans="1:10">
      <c r="A93" s="88"/>
      <c r="B93" s="37">
        <f>'[20]Dados de entrada'!$B$28</f>
        <v>25</v>
      </c>
      <c r="C93" s="37">
        <f>'[20]Dados de entrada'!$B$31</f>
        <v>4</v>
      </c>
      <c r="D93" s="37">
        <f>'[20]Dados de entrada'!$B$32</f>
        <v>28.7</v>
      </c>
      <c r="E93" s="41">
        <f>'[20]Dados de entrada'!$B$27</f>
        <v>2.6933292113182881</v>
      </c>
      <c r="F93" s="37">
        <f>'[20]Dados de entrada'!$B$30</f>
        <v>82</v>
      </c>
      <c r="G93" s="37">
        <f>'[20]Dados de entrada'!$B$22</f>
        <v>94.5</v>
      </c>
      <c r="H93" s="42">
        <f>'[20]Dados de entrada'!$B$29/('[20]Dados de entrada'!$B$20*2*G93)</f>
        <v>2.9690098261526833E-2</v>
      </c>
      <c r="I93" s="25">
        <f>'[20]fib Model Code 2010'!$K$6</f>
        <v>122.34076582972288</v>
      </c>
      <c r="J93" s="4">
        <f>'[20]Dados de entrada'!$C$8</f>
        <v>0.27</v>
      </c>
    </row>
    <row r="94" spans="1:10">
      <c r="A94" s="89"/>
      <c r="B94" s="37">
        <f>'[20]Dados de entrada'!$B$28</f>
        <v>25</v>
      </c>
      <c r="C94" s="37">
        <f>'[20]Dados de entrada'!$B$31</f>
        <v>4</v>
      </c>
      <c r="D94" s="37">
        <f>'[20]Dados de entrada'!$B$32</f>
        <v>28.7</v>
      </c>
      <c r="E94" s="41">
        <f>'[20]Dados de entrada'!$B$27</f>
        <v>2.6933292113182881</v>
      </c>
      <c r="F94" s="37">
        <f>'[20]Dados de entrada'!$B$30</f>
        <v>82</v>
      </c>
      <c r="G94" s="37">
        <f>'[20]Dados de entrada'!$B$22</f>
        <v>94.5</v>
      </c>
      <c r="H94" s="42">
        <f>'[20]Dados de entrada'!$B$29/('[20]Dados de entrada'!$B$20*2*G94)</f>
        <v>2.9690098261526833E-2</v>
      </c>
      <c r="I94" s="25">
        <f>'[20]fib Model Code 2010'!$K$7</f>
        <v>244.68153165944577</v>
      </c>
      <c r="J94" s="4">
        <f>'[20]Dados de entrada'!$C$9</f>
        <v>0.59</v>
      </c>
    </row>
    <row r="95" spans="1:10" ht="13.2" customHeight="1">
      <c r="A95" s="104" t="s">
        <v>49</v>
      </c>
      <c r="B95" s="35">
        <f>'[21]Dados de entrada'!$B$28</f>
        <v>9.52</v>
      </c>
      <c r="C95" s="35">
        <f>'[21]Dados de entrada'!$B$31</f>
        <v>3</v>
      </c>
      <c r="D95" s="35">
        <f>'[21]Dados de entrada'!$B$32</f>
        <v>22.2</v>
      </c>
      <c r="E95" s="36">
        <f>'[21]Dados de entrada'!$B$27</f>
        <v>3.5641600019995088</v>
      </c>
      <c r="F95" s="35">
        <f>'[21]Dados de entrada'!$B$30</f>
        <v>20.64</v>
      </c>
      <c r="G95" s="35">
        <f>'[21]Dados de entrada'!$B$22</f>
        <v>25.4</v>
      </c>
      <c r="H95" s="34">
        <f>'[21]Dados de entrada'!$B$29/('[21]Dados de entrada'!$B$20*2*G95)</f>
        <v>3.666618444348E-2</v>
      </c>
      <c r="I95" s="27">
        <f>'[21]fib Model Code 2010'!$K$5</f>
        <v>295.47063165325955</v>
      </c>
      <c r="J95" s="19">
        <f>'[21]Dados de entrada'!$C$7</f>
        <v>0.15</v>
      </c>
    </row>
    <row r="96" spans="1:10">
      <c r="A96" s="105"/>
      <c r="B96" s="35">
        <f>'[21]Dados de entrada'!$B$28</f>
        <v>9.52</v>
      </c>
      <c r="C96" s="35">
        <f>'[21]Dados de entrada'!$B$31</f>
        <v>3</v>
      </c>
      <c r="D96" s="35">
        <f>'[21]Dados de entrada'!$B$32</f>
        <v>22.2</v>
      </c>
      <c r="E96" s="36">
        <f>'[21]Dados de entrada'!$B$27</f>
        <v>3.5641600019995088</v>
      </c>
      <c r="F96" s="35">
        <f>'[21]Dados de entrada'!$B$30</f>
        <v>20.64</v>
      </c>
      <c r="G96" s="35">
        <f>'[21]Dados de entrada'!$B$22</f>
        <v>25.4</v>
      </c>
      <c r="H96" s="34">
        <f>'[21]Dados de entrada'!$B$29/('[21]Dados de entrada'!$B$20*2*G96)</f>
        <v>3.666618444348E-2</v>
      </c>
      <c r="I96" s="27">
        <f>'[21]fib Model Code 2010'!$K$6</f>
        <v>343.86668338956935</v>
      </c>
      <c r="J96" s="19">
        <f>'[21]Dados de entrada'!$C$8</f>
        <v>0.17</v>
      </c>
    </row>
    <row r="97" spans="1:10">
      <c r="A97" s="87" t="s">
        <v>50</v>
      </c>
      <c r="B97" s="38">
        <f>'[22]Dados de entrada'!$B$28</f>
        <v>12.7</v>
      </c>
      <c r="C97" s="38">
        <f>'[22]Dados de entrada'!$B$31</f>
        <v>3</v>
      </c>
      <c r="D97" s="38">
        <f>'[22]Dados de entrada'!$B$32</f>
        <v>19.05</v>
      </c>
      <c r="E97" s="39">
        <f>'[22]Dados de entrada'!$B$27</f>
        <v>3.9766081638229425</v>
      </c>
      <c r="F97" s="38">
        <f>'[22]Dados de entrada'!$B$30</f>
        <v>19.05</v>
      </c>
      <c r="G97" s="38">
        <f>'[22]Dados de entrada'!$B$22</f>
        <v>25.4</v>
      </c>
      <c r="H97" s="40">
        <f>'[22]Dados de entrada'!$B$29/('[22]Dados de entrada'!$B$20*2*G97)</f>
        <v>6.6667355556933344E-2</v>
      </c>
      <c r="I97" s="30">
        <f>'[22]fib Model Code 2010'!$K$5</f>
        <v>303.25602523129726</v>
      </c>
      <c r="J97" s="31">
        <f>'[22]Dados de entrada'!$C$7</f>
        <v>0.15</v>
      </c>
    </row>
    <row r="98" spans="1:10">
      <c r="A98" s="88"/>
      <c r="B98" s="38">
        <f>'[22]Dados de entrada'!$B$28</f>
        <v>12.7</v>
      </c>
      <c r="C98" s="38">
        <f>'[22]Dados de entrada'!$B$31</f>
        <v>3</v>
      </c>
      <c r="D98" s="38">
        <f>'[22]Dados de entrada'!$B$32</f>
        <v>19.05</v>
      </c>
      <c r="E98" s="39">
        <f>'[22]Dados de entrada'!$B$27</f>
        <v>3.9766081638229425</v>
      </c>
      <c r="F98" s="38">
        <f>'[22]Dados de entrada'!$B$30</f>
        <v>19.05</v>
      </c>
      <c r="G98" s="38">
        <f>'[22]Dados de entrada'!$B$22</f>
        <v>25.4</v>
      </c>
      <c r="H98" s="40">
        <f>'[22]Dados de entrada'!$B$29/('[22]Dados de entrada'!$B$20*2*G98)</f>
        <v>6.6667355556933344E-2</v>
      </c>
      <c r="I98" s="30">
        <f>'[22]fib Model Code 2010'!$K$6</f>
        <v>347.81022799039772</v>
      </c>
      <c r="J98" s="31">
        <f>'[22]Dados de entrada'!$C$8</f>
        <v>0.17</v>
      </c>
    </row>
    <row r="99" spans="1:10">
      <c r="A99" s="89"/>
      <c r="B99" s="38">
        <f>'[22]Dados de entrada'!$B$28</f>
        <v>12.7</v>
      </c>
      <c r="C99" s="38">
        <f>'[22]Dados de entrada'!$B$31</f>
        <v>3</v>
      </c>
      <c r="D99" s="38">
        <f>'[22]Dados de entrada'!$B$32</f>
        <v>19.05</v>
      </c>
      <c r="E99" s="39">
        <f>'[22]Dados de entrada'!$B$27</f>
        <v>3.9766081638229425</v>
      </c>
      <c r="F99" s="38">
        <f>'[22]Dados de entrada'!$B$30</f>
        <v>19.05</v>
      </c>
      <c r="G99" s="38">
        <f>'[22]Dados de entrada'!$B$22</f>
        <v>25.4</v>
      </c>
      <c r="H99" s="40">
        <f>'[22]Dados de entrada'!$B$29/('[22]Dados de entrada'!$B$20*2*G99)</f>
        <v>6.6667355556933344E-2</v>
      </c>
      <c r="I99" s="30">
        <f>'[22]fib Model Code 2010'!$K$7</f>
        <v>411.04845126137917</v>
      </c>
      <c r="J99" s="31">
        <f>'[22]Dados de entrada'!$C$9</f>
        <v>0.2</v>
      </c>
    </row>
    <row r="100" spans="1:10">
      <c r="A100" s="104" t="s">
        <v>51</v>
      </c>
      <c r="B100" s="35">
        <f>'[23]Dados de entrada'!$B$28</f>
        <v>15.9</v>
      </c>
      <c r="C100" s="35">
        <f>'[23]Dados de entrada'!$B$31</f>
        <v>3</v>
      </c>
      <c r="D100" s="35">
        <f>'[23]Dados de entrada'!$B$32</f>
        <v>15.9</v>
      </c>
      <c r="E100" s="36">
        <f>'[23]Dados de entrada'!$B$27</f>
        <v>3.9766081638229425</v>
      </c>
      <c r="F100" s="35">
        <f>'[23]Dados de entrada'!$B$30</f>
        <v>17.46</v>
      </c>
      <c r="G100" s="35">
        <f>'[23]Dados de entrada'!$B$22</f>
        <v>25.4</v>
      </c>
      <c r="H100" s="34">
        <f>'[23]Dados de entrada'!$B$29/('[23]Dados de entrada'!$B$20*2*G100)</f>
        <v>0.10333354000041334</v>
      </c>
      <c r="I100" s="27">
        <f>'[23]fib Model Code 2010'!$K$5</f>
        <v>289.73492291565424</v>
      </c>
      <c r="J100" s="19">
        <f>'[23]Dados de entrada'!$C$7</f>
        <v>0.16</v>
      </c>
    </row>
    <row r="101" spans="1:10">
      <c r="A101" s="105"/>
      <c r="B101" s="35">
        <f>'[23]Dados de entrada'!$B$28</f>
        <v>15.9</v>
      </c>
      <c r="C101" s="35">
        <f>'[23]Dados de entrada'!$B$31</f>
        <v>3</v>
      </c>
      <c r="D101" s="35">
        <f>'[23]Dados de entrada'!$B$32</f>
        <v>15.9</v>
      </c>
      <c r="E101" s="36">
        <f>'[23]Dados de entrada'!$B$27</f>
        <v>3.9766081638229425</v>
      </c>
      <c r="F101" s="35">
        <f>'[23]Dados de entrada'!$B$30</f>
        <v>17.46</v>
      </c>
      <c r="G101" s="35">
        <f>'[23]Dados de entrada'!$B$22</f>
        <v>25.4</v>
      </c>
      <c r="H101" s="34">
        <f>'[23]Dados de entrada'!$B$29/('[23]Dados de entrada'!$B$20*2*G101)</f>
        <v>0.10333354000041334</v>
      </c>
      <c r="I101" s="27">
        <f>'[23]fib Model Code 2010'!$K$6</f>
        <v>379.98022677462848</v>
      </c>
      <c r="J101" s="19">
        <f>'[23]Dados de entrada'!$C$8</f>
        <v>0.21</v>
      </c>
    </row>
    <row r="102" spans="1:10">
      <c r="A102" s="87" t="s">
        <v>58</v>
      </c>
      <c r="B102" s="5">
        <f>'[24]Dados de entrada'!$B$28</f>
        <v>16</v>
      </c>
      <c r="C102" s="5">
        <f>'[24]Dados de entrada'!$B$31</f>
        <v>2</v>
      </c>
      <c r="D102" s="5">
        <f>'[24]Dados de entrada'!$B$32</f>
        <v>138</v>
      </c>
      <c r="E102" s="11">
        <f>'[24]Dados de entrada'!$B$27</f>
        <v>3.2689999999999997</v>
      </c>
      <c r="F102" s="5">
        <f>'[24]Dados de entrada'!$B$30</f>
        <v>40</v>
      </c>
      <c r="G102" s="12">
        <f>'[24]Dados de entrada'!$B$22</f>
        <v>48</v>
      </c>
      <c r="H102" s="52">
        <f>'[24]Dados de entrada'!$B$29/(2*'[24]Dados de entrada'!$B$20*G102)</f>
        <v>1.6666666666666666E-2</v>
      </c>
      <c r="I102" s="53">
        <f>'[24]fib Model Code 2010'!$K$5</f>
        <v>185.27396447016579</v>
      </c>
      <c r="J102" s="4">
        <f>'[24]Dados de entrada'!$C$7</f>
        <v>0.15</v>
      </c>
    </row>
    <row r="103" spans="1:10">
      <c r="A103" s="88"/>
      <c r="B103" s="5">
        <f>'[24]Dados de entrada'!$B$28</f>
        <v>16</v>
      </c>
      <c r="C103" s="5">
        <f>'[24]Dados de entrada'!$B$31</f>
        <v>2</v>
      </c>
      <c r="D103" s="5">
        <f>'[24]Dados de entrada'!$B$32</f>
        <v>138</v>
      </c>
      <c r="E103" s="11">
        <f>'[24]Dados de entrada'!$B$27</f>
        <v>3.2689999999999997</v>
      </c>
      <c r="F103" s="5">
        <f>'[24]Dados de entrada'!$B$30</f>
        <v>40</v>
      </c>
      <c r="G103" s="12">
        <f>'[24]Dados de entrada'!$B$22</f>
        <v>48</v>
      </c>
      <c r="H103" s="52">
        <f>'[24]Dados de entrada'!$B$29/(2*'[24]Dados de entrada'!$B$20*G103)</f>
        <v>1.6666666666666666E-2</v>
      </c>
      <c r="I103" s="53">
        <f>'[24]fib Model Code 2010'!$K$6</f>
        <v>211.76759699968991</v>
      </c>
      <c r="J103" s="4">
        <f>'[24]Dados de entrada'!$C$8</f>
        <v>0.2</v>
      </c>
    </row>
    <row r="104" spans="1:10">
      <c r="A104" s="88"/>
      <c r="B104" s="5">
        <f>'[24]Dados de entrada'!$B$28</f>
        <v>16</v>
      </c>
      <c r="C104" s="5">
        <f>'[24]Dados de entrada'!$B$31</f>
        <v>2</v>
      </c>
      <c r="D104" s="5">
        <f>'[24]Dados de entrada'!$B$32</f>
        <v>138</v>
      </c>
      <c r="E104" s="11">
        <f>'[24]Dados de entrada'!$B$27</f>
        <v>3.2689999999999997</v>
      </c>
      <c r="F104" s="5">
        <f>'[24]Dados de entrada'!$B$30</f>
        <v>40</v>
      </c>
      <c r="G104" s="12">
        <f>'[24]Dados de entrada'!$B$22</f>
        <v>48</v>
      </c>
      <c r="H104" s="52">
        <f>'[24]Dados de entrada'!$B$29/(2*'[24]Dados de entrada'!$B$20*G104)</f>
        <v>1.6666666666666666E-2</v>
      </c>
      <c r="I104" s="53">
        <f>'[24]fib Model Code 2010'!$K$7</f>
        <v>238.26122952921415</v>
      </c>
      <c r="J104" s="4">
        <f>'[24]Dados de entrada'!$C$9</f>
        <v>0.25</v>
      </c>
    </row>
    <row r="105" spans="1:10">
      <c r="A105" s="88"/>
      <c r="B105" s="5">
        <f>'[24]Dados de entrada'!$B$28</f>
        <v>16</v>
      </c>
      <c r="C105" s="5">
        <f>'[24]Dados de entrada'!$B$31</f>
        <v>2</v>
      </c>
      <c r="D105" s="5">
        <f>'[24]Dados de entrada'!$B$32</f>
        <v>138</v>
      </c>
      <c r="E105" s="11">
        <f>'[24]Dados de entrada'!$B$27</f>
        <v>3.2689999999999997</v>
      </c>
      <c r="F105" s="5">
        <f>'[24]Dados de entrada'!$B$30</f>
        <v>40</v>
      </c>
      <c r="G105" s="12">
        <f>'[24]Dados de entrada'!$B$22</f>
        <v>48</v>
      </c>
      <c r="H105" s="52">
        <f>'[24]Dados de entrada'!$B$29/(2*'[24]Dados de entrada'!$B$20*G105)</f>
        <v>1.6666666666666666E-2</v>
      </c>
      <c r="I105" s="53">
        <f>'[24]fib Model Code 2010'!$K$8</f>
        <v>264.70949624961241</v>
      </c>
      <c r="J105" s="4">
        <f>'[24]Dados de entrada'!$C$10</f>
        <v>0.28000000000000003</v>
      </c>
    </row>
    <row r="106" spans="1:10">
      <c r="A106" s="88"/>
      <c r="B106" s="5">
        <f>'[24]Dados de entrada'!$B$28</f>
        <v>16</v>
      </c>
      <c r="C106" s="5">
        <f>'[24]Dados de entrada'!$B$31</f>
        <v>2</v>
      </c>
      <c r="D106" s="5">
        <f>'[24]Dados de entrada'!$B$32</f>
        <v>138</v>
      </c>
      <c r="E106" s="11">
        <f>'[24]Dados de entrada'!$B$27</f>
        <v>3.2689999999999997</v>
      </c>
      <c r="F106" s="5">
        <f>'[24]Dados de entrada'!$B$30</f>
        <v>40</v>
      </c>
      <c r="G106" s="12">
        <f>'[24]Dados de entrada'!$B$22</f>
        <v>48</v>
      </c>
      <c r="H106" s="52">
        <f>'[24]Dados de entrada'!$B$29/(2*'[24]Dados de entrada'!$B$20*G106)</f>
        <v>1.6666666666666666E-2</v>
      </c>
      <c r="I106" s="53">
        <f>'[24]fib Model Code 2010'!$K$9</f>
        <v>291.15776297001077</v>
      </c>
      <c r="J106" s="4">
        <f>'[24]Dados de entrada'!$C$11</f>
        <v>0.28000000000000003</v>
      </c>
    </row>
    <row r="107" spans="1:10">
      <c r="A107" s="88"/>
      <c r="B107" s="5">
        <f>'[24]Dados de entrada'!$B$28</f>
        <v>16</v>
      </c>
      <c r="C107" s="5">
        <f>'[24]Dados de entrada'!$B$31</f>
        <v>2</v>
      </c>
      <c r="D107" s="5">
        <f>'[24]Dados de entrada'!$B$32</f>
        <v>138</v>
      </c>
      <c r="E107" s="11">
        <f>'[24]Dados de entrada'!$B$27</f>
        <v>3.2689999999999997</v>
      </c>
      <c r="F107" s="5">
        <f>'[24]Dados de entrada'!$B$30</f>
        <v>40</v>
      </c>
      <c r="G107" s="12">
        <f>'[24]Dados de entrada'!$B$22</f>
        <v>48</v>
      </c>
      <c r="H107" s="52">
        <f>'[24]Dados de entrada'!$B$29/(2*'[24]Dados de entrada'!$B$20*G107)</f>
        <v>1.6666666666666666E-2</v>
      </c>
      <c r="I107" s="53">
        <f>'[24]fib Model Code 2010'!$K$10</f>
        <v>317.65139549953489</v>
      </c>
      <c r="J107" s="4">
        <f>'[24]Dados de entrada'!$C$12</f>
        <v>0.3</v>
      </c>
    </row>
    <row r="108" spans="1:10">
      <c r="A108" s="88"/>
      <c r="B108" s="5">
        <f>'[24]Dados de entrada'!$B$28</f>
        <v>16</v>
      </c>
      <c r="C108" s="5">
        <f>'[24]Dados de entrada'!$B$31</f>
        <v>2</v>
      </c>
      <c r="D108" s="5">
        <f>'[24]Dados de entrada'!$B$32</f>
        <v>138</v>
      </c>
      <c r="E108" s="11">
        <f>'[24]Dados de entrada'!$B$27</f>
        <v>3.2689999999999997</v>
      </c>
      <c r="F108" s="5">
        <f>'[24]Dados de entrada'!$B$30</f>
        <v>40</v>
      </c>
      <c r="G108" s="12">
        <f>'[24]Dados de entrada'!$B$22</f>
        <v>48</v>
      </c>
      <c r="H108" s="52">
        <f>'[24]Dados de entrada'!$B$29/(2*'[24]Dados de entrada'!$B$20*G108)</f>
        <v>1.6666666666666666E-2</v>
      </c>
      <c r="I108" s="53">
        <f>'[24]fib Model Code 2010'!$K$11</f>
        <v>344.14502802905912</v>
      </c>
      <c r="J108" s="4">
        <f>'[24]Dados de entrada'!$C$13</f>
        <v>0.33</v>
      </c>
    </row>
    <row r="109" spans="1:10">
      <c r="A109" s="89"/>
      <c r="B109" s="5">
        <f>'[24]Dados de entrada'!$B$28</f>
        <v>16</v>
      </c>
      <c r="C109" s="5">
        <f>'[24]Dados de entrada'!$B$31</f>
        <v>2</v>
      </c>
      <c r="D109" s="5">
        <f>'[24]Dados de entrada'!$B$32</f>
        <v>138</v>
      </c>
      <c r="E109" s="11">
        <f>'[24]Dados de entrada'!$B$27</f>
        <v>3.2689999999999997</v>
      </c>
      <c r="F109" s="5">
        <f>'[24]Dados de entrada'!$B$30</f>
        <v>40</v>
      </c>
      <c r="G109" s="12">
        <f>'[24]Dados de entrada'!$B$22</f>
        <v>48</v>
      </c>
      <c r="H109" s="52">
        <f>'[24]Dados de entrada'!$B$29/(2*'[24]Dados de entrada'!$B$20*G109)</f>
        <v>1.6666666666666666E-2</v>
      </c>
      <c r="I109" s="53">
        <f>'[24]fib Model Code 2010'!$K$12</f>
        <v>370.54792894033159</v>
      </c>
      <c r="J109" s="4">
        <f>'[24]Dados de entrada'!$C$14</f>
        <v>0.33</v>
      </c>
    </row>
    <row r="110" spans="1:10">
      <c r="A110" s="85" t="s">
        <v>59</v>
      </c>
      <c r="B110" s="21">
        <f>'[25]Dados de entrada'!$B$28</f>
        <v>16</v>
      </c>
      <c r="C110" s="21">
        <f>'[25]Dados de entrada'!$B$31</f>
        <v>2</v>
      </c>
      <c r="D110" s="21">
        <f>'[25]Dados de entrada'!$B$32</f>
        <v>138</v>
      </c>
      <c r="E110" s="20">
        <f>'[25]Dados de entrada'!$B$27</f>
        <v>3.2689999999999997</v>
      </c>
      <c r="F110" s="21">
        <f>'[25]Dados de entrada'!$B$30</f>
        <v>40</v>
      </c>
      <c r="G110" s="56">
        <f>'[25]Dados de entrada'!$B$22</f>
        <v>48</v>
      </c>
      <c r="H110" s="57">
        <f>'[25]Dados de entrada'!$B$29/(2*'[25]Dados de entrada'!$B$20*G110)</f>
        <v>1.6666666666666666E-2</v>
      </c>
      <c r="I110" s="27">
        <f>'[25]fib Model Code 2010'!$K$5</f>
        <v>211.76759699968991</v>
      </c>
      <c r="J110" s="19">
        <f>'[25]Dados de entrada'!$C$7</f>
        <v>0.15</v>
      </c>
    </row>
    <row r="111" spans="1:10">
      <c r="A111" s="90"/>
      <c r="B111" s="21">
        <f>'[25]Dados de entrada'!$B$28</f>
        <v>16</v>
      </c>
      <c r="C111" s="21">
        <f>'[25]Dados de entrada'!$B$31</f>
        <v>2</v>
      </c>
      <c r="D111" s="21">
        <f>'[25]Dados de entrada'!$B$32</f>
        <v>138</v>
      </c>
      <c r="E111" s="20">
        <f>'[25]Dados de entrada'!$B$27</f>
        <v>3.2689999999999997</v>
      </c>
      <c r="F111" s="21">
        <f>'[25]Dados de entrada'!$B$30</f>
        <v>40</v>
      </c>
      <c r="G111" s="56">
        <f>'[25]Dados de entrada'!$B$22</f>
        <v>48</v>
      </c>
      <c r="H111" s="57">
        <f>'[25]Dados de entrada'!$B$29/(2*'[25]Dados de entrada'!$B$20*G111)</f>
        <v>1.6666666666666666E-2</v>
      </c>
      <c r="I111" s="27">
        <f>'[25]fib Model Code 2010'!$K$6</f>
        <v>238.26122952921415</v>
      </c>
      <c r="J111" s="19">
        <f>'[25]Dados de entrada'!$C$8</f>
        <v>0.18</v>
      </c>
    </row>
    <row r="112" spans="1:10">
      <c r="A112" s="90"/>
      <c r="B112" s="21">
        <f>'[25]Dados de entrada'!$B$28</f>
        <v>16</v>
      </c>
      <c r="C112" s="21">
        <f>'[25]Dados de entrada'!$B$31</f>
        <v>2</v>
      </c>
      <c r="D112" s="21">
        <f>'[25]Dados de entrada'!$B$32</f>
        <v>138</v>
      </c>
      <c r="E112" s="20">
        <f>'[25]Dados de entrada'!$B$27</f>
        <v>3.2689999999999997</v>
      </c>
      <c r="F112" s="21">
        <f>'[25]Dados de entrada'!$B$30</f>
        <v>40</v>
      </c>
      <c r="G112" s="56">
        <f>'[25]Dados de entrada'!$B$22</f>
        <v>48</v>
      </c>
      <c r="H112" s="57">
        <f>'[25]Dados de entrada'!$B$29/(2*'[25]Dados de entrada'!$B$20*G112)</f>
        <v>1.6666666666666666E-2</v>
      </c>
      <c r="I112" s="27">
        <f>'[25]fib Model Code 2010'!$K$7</f>
        <v>264.70949624961241</v>
      </c>
      <c r="J112" s="19">
        <f>'[25]Dados de entrada'!$C$9</f>
        <v>0.2</v>
      </c>
    </row>
    <row r="113" spans="1:10">
      <c r="A113" s="90"/>
      <c r="B113" s="21">
        <f>'[25]Dados de entrada'!$B$28</f>
        <v>16</v>
      </c>
      <c r="C113" s="21">
        <f>'[25]Dados de entrada'!$B$31</f>
        <v>2</v>
      </c>
      <c r="D113" s="21">
        <f>'[25]Dados de entrada'!$B$32</f>
        <v>138</v>
      </c>
      <c r="E113" s="20">
        <f>'[25]Dados de entrada'!$B$27</f>
        <v>3.2689999999999997</v>
      </c>
      <c r="F113" s="21">
        <f>'[25]Dados de entrada'!$B$30</f>
        <v>40</v>
      </c>
      <c r="G113" s="56">
        <f>'[25]Dados de entrada'!$B$22</f>
        <v>48</v>
      </c>
      <c r="H113" s="57">
        <f>'[25]Dados de entrada'!$B$29/(2*'[25]Dados de entrada'!$B$20*G113)</f>
        <v>1.6666666666666666E-2</v>
      </c>
      <c r="I113" s="27">
        <f>'[25]fib Model Code 2010'!$K$8</f>
        <v>291.15776297001077</v>
      </c>
      <c r="J113" s="19">
        <f>'[25]Dados de entrada'!$C$10</f>
        <v>0.25</v>
      </c>
    </row>
    <row r="114" spans="1:10">
      <c r="A114" s="90"/>
      <c r="B114" s="21">
        <f>'[25]Dados de entrada'!$B$28</f>
        <v>16</v>
      </c>
      <c r="C114" s="21">
        <f>'[25]Dados de entrada'!$B$31</f>
        <v>2</v>
      </c>
      <c r="D114" s="21">
        <f>'[25]Dados de entrada'!$B$32</f>
        <v>138</v>
      </c>
      <c r="E114" s="20">
        <f>'[25]Dados de entrada'!$B$27</f>
        <v>3.2689999999999997</v>
      </c>
      <c r="F114" s="21">
        <f>'[25]Dados de entrada'!$B$30</f>
        <v>40</v>
      </c>
      <c r="G114" s="56">
        <f>'[25]Dados de entrada'!$B$22</f>
        <v>48</v>
      </c>
      <c r="H114" s="57">
        <f>'[25]Dados de entrada'!$B$29/(2*'[25]Dados de entrada'!$B$20*G114)</f>
        <v>1.6666666666666666E-2</v>
      </c>
      <c r="I114" s="27">
        <f>'[25]fib Model Code 2010'!$K$9</f>
        <v>317.65139549953489</v>
      </c>
      <c r="J114" s="19">
        <f>'[25]Dados de entrada'!$C$11</f>
        <v>0.3</v>
      </c>
    </row>
    <row r="115" spans="1:10">
      <c r="A115" s="90"/>
      <c r="B115" s="21">
        <f>'[25]Dados de entrada'!$B$28</f>
        <v>16</v>
      </c>
      <c r="C115" s="21">
        <f>'[25]Dados de entrada'!$B$31</f>
        <v>2</v>
      </c>
      <c r="D115" s="21">
        <f>'[25]Dados de entrada'!$B$32</f>
        <v>138</v>
      </c>
      <c r="E115" s="20">
        <f>'[25]Dados de entrada'!$B$27</f>
        <v>3.2689999999999997</v>
      </c>
      <c r="F115" s="21">
        <f>'[25]Dados de entrada'!$B$30</f>
        <v>40</v>
      </c>
      <c r="G115" s="56">
        <f>'[25]Dados de entrada'!$B$22</f>
        <v>48</v>
      </c>
      <c r="H115" s="57">
        <f>'[25]Dados de entrada'!$B$29/(2*'[25]Dados de entrada'!$B$20*G115)</f>
        <v>1.6666666666666666E-2</v>
      </c>
      <c r="I115" s="27">
        <f>'[25]fib Model Code 2010'!$K$10</f>
        <v>344.14502802905912</v>
      </c>
      <c r="J115" s="19">
        <f>'[25]Dados de entrada'!$C$12</f>
        <v>0.33</v>
      </c>
    </row>
    <row r="116" spans="1:10">
      <c r="A116" s="86"/>
      <c r="B116" s="21">
        <f>'[25]Dados de entrada'!$B$28</f>
        <v>16</v>
      </c>
      <c r="C116" s="21">
        <f>'[25]Dados de entrada'!$B$31</f>
        <v>2</v>
      </c>
      <c r="D116" s="21">
        <f>'[25]Dados de entrada'!$B$32</f>
        <v>138</v>
      </c>
      <c r="E116" s="20">
        <f>'[25]Dados de entrada'!$B$27</f>
        <v>3.2689999999999997</v>
      </c>
      <c r="F116" s="21">
        <f>'[25]Dados de entrada'!$B$30</f>
        <v>40</v>
      </c>
      <c r="G116" s="56">
        <f>'[25]Dados de entrada'!$B$22</f>
        <v>48</v>
      </c>
      <c r="H116" s="57">
        <f>'[25]Dados de entrada'!$B$29/(2*'[25]Dados de entrada'!$B$20*G116)</f>
        <v>1.6666666666666666E-2</v>
      </c>
      <c r="I116" s="27">
        <f>'[25]fib Model Code 2010'!$K$11</f>
        <v>370.54792894033159</v>
      </c>
      <c r="J116" s="19">
        <f>'[25]Dados de entrada'!$C$13</f>
        <v>0.38</v>
      </c>
    </row>
    <row r="117" spans="1:10">
      <c r="A117" s="87" t="s">
        <v>60</v>
      </c>
      <c r="B117" s="5">
        <f>'[26]Dados de entrada'!$B$28</f>
        <v>16</v>
      </c>
      <c r="C117" s="5">
        <f>'[26]Dados de entrada'!$B$31</f>
        <v>2</v>
      </c>
      <c r="D117" s="5">
        <f>'[26]Dados de entrada'!$B$32</f>
        <v>168</v>
      </c>
      <c r="E117" s="11">
        <f>'[26]Dados de entrada'!$B$27</f>
        <v>3.2689999999999997</v>
      </c>
      <c r="F117" s="5">
        <f>'[26]Dados de entrada'!$B$30</f>
        <v>25</v>
      </c>
      <c r="G117" s="12">
        <f>'[26]Dados de entrada'!$B$22</f>
        <v>33</v>
      </c>
      <c r="H117" s="52">
        <f>'[26]Dados de entrada'!$B$29/(2*'[26]Dados de entrada'!$B$20*G117)</f>
        <v>2.4242424242424242E-2</v>
      </c>
      <c r="I117" s="53">
        <f>'[26]fib Model Code 2010'!$K$5</f>
        <v>211.76759699968994</v>
      </c>
      <c r="J117" s="4">
        <f>'[26]Dados de entrada'!$C$7</f>
        <v>0.15</v>
      </c>
    </row>
    <row r="118" spans="1:10">
      <c r="A118" s="88"/>
      <c r="B118" s="5">
        <f>'[26]Dados de entrada'!$B$28</f>
        <v>16</v>
      </c>
      <c r="C118" s="5">
        <f>'[26]Dados de entrada'!$B$31</f>
        <v>2</v>
      </c>
      <c r="D118" s="5">
        <f>'[26]Dados de entrada'!$B$32</f>
        <v>168</v>
      </c>
      <c r="E118" s="11">
        <f>'[26]Dados de entrada'!$B$27</f>
        <v>3.2689999999999997</v>
      </c>
      <c r="F118" s="5">
        <f>'[26]Dados de entrada'!$B$30</f>
        <v>25</v>
      </c>
      <c r="G118" s="12">
        <f>'[26]Dados de entrada'!$B$22</f>
        <v>33</v>
      </c>
      <c r="H118" s="52">
        <f>'[26]Dados de entrada'!$B$29/(2*'[26]Dados de entrada'!$B$20*G118)</f>
        <v>2.4242424242424242E-2</v>
      </c>
      <c r="I118" s="53">
        <f>'[26]fib Model Code 2010'!$K$6</f>
        <v>238.26122952921412</v>
      </c>
      <c r="J118" s="4">
        <f>'[26]Dados de entrada'!$C$8</f>
        <v>0.18</v>
      </c>
    </row>
    <row r="119" spans="1:10">
      <c r="A119" s="88"/>
      <c r="B119" s="5">
        <f>'[26]Dados de entrada'!$B$28</f>
        <v>16</v>
      </c>
      <c r="C119" s="5">
        <f>'[26]Dados de entrada'!$B$31</f>
        <v>2</v>
      </c>
      <c r="D119" s="5">
        <f>'[26]Dados de entrada'!$B$32</f>
        <v>168</v>
      </c>
      <c r="E119" s="11">
        <f>'[26]Dados de entrada'!$B$27</f>
        <v>3.2689999999999997</v>
      </c>
      <c r="F119" s="5">
        <f>'[26]Dados de entrada'!$B$30</f>
        <v>25</v>
      </c>
      <c r="G119" s="12">
        <f>'[26]Dados de entrada'!$B$22</f>
        <v>33</v>
      </c>
      <c r="H119" s="52">
        <f>'[26]Dados de entrada'!$B$29/(2*'[26]Dados de entrada'!$B$20*G119)</f>
        <v>2.4242424242424242E-2</v>
      </c>
      <c r="I119" s="53">
        <f>'[26]fib Model Code 2010'!$K$7</f>
        <v>264.70949624961241</v>
      </c>
      <c r="J119" s="4">
        <f>'[26]Dados de entrada'!$C$9</f>
        <v>0.2</v>
      </c>
    </row>
    <row r="120" spans="1:10">
      <c r="A120" s="88"/>
      <c r="B120" s="5">
        <f>'[26]Dados de entrada'!$B$28</f>
        <v>16</v>
      </c>
      <c r="C120" s="5">
        <f>'[26]Dados de entrada'!$B$31</f>
        <v>2</v>
      </c>
      <c r="D120" s="5">
        <f>'[26]Dados de entrada'!$B$32</f>
        <v>168</v>
      </c>
      <c r="E120" s="11">
        <f>'[26]Dados de entrada'!$B$27</f>
        <v>3.2689999999999997</v>
      </c>
      <c r="F120" s="5">
        <f>'[26]Dados de entrada'!$B$30</f>
        <v>25</v>
      </c>
      <c r="G120" s="12">
        <f>'[26]Dados de entrada'!$B$22</f>
        <v>33</v>
      </c>
      <c r="H120" s="52">
        <f>'[26]Dados de entrada'!$B$29/(2*'[26]Dados de entrada'!$B$20*G120)</f>
        <v>2.4242424242424242E-2</v>
      </c>
      <c r="I120" s="53">
        <f>'[26]fib Model Code 2010'!$K$8</f>
        <v>291.15776297001071</v>
      </c>
      <c r="J120" s="4">
        <f>'[26]Dados de entrada'!$C$10</f>
        <v>0.23</v>
      </c>
    </row>
    <row r="121" spans="1:10">
      <c r="A121" s="88"/>
      <c r="B121" s="5">
        <f>'[26]Dados de entrada'!$B$28</f>
        <v>16</v>
      </c>
      <c r="C121" s="5">
        <f>'[26]Dados de entrada'!$B$31</f>
        <v>2</v>
      </c>
      <c r="D121" s="5">
        <f>'[26]Dados de entrada'!$B$32</f>
        <v>168</v>
      </c>
      <c r="E121" s="11">
        <f>'[26]Dados de entrada'!$B$27</f>
        <v>3.2689999999999997</v>
      </c>
      <c r="F121" s="5">
        <f>'[26]Dados de entrada'!$B$30</f>
        <v>25</v>
      </c>
      <c r="G121" s="12">
        <f>'[26]Dados de entrada'!$B$22</f>
        <v>33</v>
      </c>
      <c r="H121" s="52">
        <f>'[26]Dados de entrada'!$B$29/(2*'[26]Dados de entrada'!$B$20*G121)</f>
        <v>2.4242424242424242E-2</v>
      </c>
      <c r="I121" s="53">
        <f>'[26]fib Model Code 2010'!$K$9</f>
        <v>317.65139549953489</v>
      </c>
      <c r="J121" s="4">
        <f>'[26]Dados de entrada'!$C$11</f>
        <v>0.25</v>
      </c>
    </row>
    <row r="122" spans="1:10">
      <c r="A122" s="88"/>
      <c r="B122" s="5">
        <f>'[26]Dados de entrada'!$B$28</f>
        <v>16</v>
      </c>
      <c r="C122" s="5">
        <f>'[26]Dados de entrada'!$B$31</f>
        <v>2</v>
      </c>
      <c r="D122" s="5">
        <f>'[26]Dados de entrada'!$B$32</f>
        <v>168</v>
      </c>
      <c r="E122" s="11">
        <f>'[26]Dados de entrada'!$B$27</f>
        <v>3.2689999999999997</v>
      </c>
      <c r="F122" s="5">
        <f>'[26]Dados de entrada'!$B$30</f>
        <v>25</v>
      </c>
      <c r="G122" s="12">
        <f>'[26]Dados de entrada'!$B$22</f>
        <v>33</v>
      </c>
      <c r="H122" s="52">
        <f>'[26]Dados de entrada'!$B$29/(2*'[26]Dados de entrada'!$B$20*G122)</f>
        <v>2.4242424242424242E-2</v>
      </c>
      <c r="I122" s="53">
        <f>'[26]fib Model Code 2010'!$K$10</f>
        <v>344.14502802905906</v>
      </c>
      <c r="J122" s="4">
        <f>'[26]Dados de entrada'!$C$12</f>
        <v>0.3</v>
      </c>
    </row>
    <row r="123" spans="1:10">
      <c r="A123" s="89"/>
      <c r="B123" s="5">
        <f>'[26]Dados de entrada'!$B$28</f>
        <v>16</v>
      </c>
      <c r="C123" s="5">
        <f>'[26]Dados de entrada'!$B$31</f>
        <v>2</v>
      </c>
      <c r="D123" s="5">
        <f>'[26]Dados de entrada'!$B$32</f>
        <v>168</v>
      </c>
      <c r="E123" s="11">
        <f>'[26]Dados de entrada'!$B$27</f>
        <v>3.2689999999999997</v>
      </c>
      <c r="F123" s="5">
        <f>'[26]Dados de entrada'!$B$30</f>
        <v>25</v>
      </c>
      <c r="G123" s="12">
        <f>'[26]Dados de entrada'!$B$22</f>
        <v>33</v>
      </c>
      <c r="H123" s="52">
        <f>'[26]Dados de entrada'!$B$29/(2*'[26]Dados de entrada'!$B$20*G123)</f>
        <v>2.4242424242424242E-2</v>
      </c>
      <c r="I123" s="53">
        <f>'[26]fib Model Code 2010'!$K$11</f>
        <v>370.54792894033153</v>
      </c>
      <c r="J123" s="4">
        <f>'[26]Dados de entrada'!$C$13</f>
        <v>0.3</v>
      </c>
    </row>
    <row r="124" spans="1:10">
      <c r="A124" s="85" t="s">
        <v>61</v>
      </c>
      <c r="B124" s="21">
        <f>'[27]Dados de entrada'!$B$28</f>
        <v>16</v>
      </c>
      <c r="C124" s="21">
        <f>'[27]Dados de entrada'!$B$31</f>
        <v>2</v>
      </c>
      <c r="D124" s="21">
        <f>'[27]Dados de entrada'!$B$32</f>
        <v>168</v>
      </c>
      <c r="E124" s="20">
        <f>'[27]Dados de entrada'!$B$27</f>
        <v>3.2689999999999997</v>
      </c>
      <c r="F124" s="21">
        <f>'[27]Dados de entrada'!$B$30</f>
        <v>25</v>
      </c>
      <c r="G124" s="56">
        <f>'[27]Dados de entrada'!$B$22</f>
        <v>33</v>
      </c>
      <c r="H124" s="57">
        <f>'[27]Dados de entrada'!$B$29/(2*'[27]Dados de entrada'!$B$20*G124)</f>
        <v>2.4242424242424242E-2</v>
      </c>
      <c r="I124" s="27">
        <f>'[27]fib Model Code 2010'!$K$5</f>
        <v>185.27396447016577</v>
      </c>
      <c r="J124" s="19">
        <f>'[27]Dados de entrada'!$C$7</f>
        <v>0.15</v>
      </c>
    </row>
    <row r="125" spans="1:10">
      <c r="A125" s="90"/>
      <c r="B125" s="21">
        <f>'[27]Dados de entrada'!$B$28</f>
        <v>16</v>
      </c>
      <c r="C125" s="21">
        <f>'[27]Dados de entrada'!$B$31</f>
        <v>2</v>
      </c>
      <c r="D125" s="21">
        <f>'[27]Dados de entrada'!$B$32</f>
        <v>168</v>
      </c>
      <c r="E125" s="20">
        <f>'[27]Dados de entrada'!$B$27</f>
        <v>3.2689999999999997</v>
      </c>
      <c r="F125" s="21">
        <f>'[27]Dados de entrada'!$B$30</f>
        <v>25</v>
      </c>
      <c r="G125" s="56">
        <f>'[27]Dados de entrada'!$B$22</f>
        <v>33</v>
      </c>
      <c r="H125" s="57">
        <f>'[27]Dados de entrada'!$B$29/(2*'[27]Dados de entrada'!$B$20*G125)</f>
        <v>2.4242424242424242E-2</v>
      </c>
      <c r="I125" s="27">
        <f>'[27]fib Model Code 2010'!$K$6</f>
        <v>211.76759699968994</v>
      </c>
      <c r="J125" s="19">
        <f>'[27]Dados de entrada'!$C$8</f>
        <v>0.18</v>
      </c>
    </row>
    <row r="126" spans="1:10">
      <c r="A126" s="90"/>
      <c r="B126" s="21">
        <f>'[27]Dados de entrada'!$B$28</f>
        <v>16</v>
      </c>
      <c r="C126" s="21">
        <f>'[27]Dados de entrada'!$B$31</f>
        <v>2</v>
      </c>
      <c r="D126" s="21">
        <f>'[27]Dados de entrada'!$B$32</f>
        <v>168</v>
      </c>
      <c r="E126" s="20">
        <f>'[27]Dados de entrada'!$B$27</f>
        <v>3.2689999999999997</v>
      </c>
      <c r="F126" s="21">
        <f>'[27]Dados de entrada'!$B$30</f>
        <v>25</v>
      </c>
      <c r="G126" s="56">
        <f>'[27]Dados de entrada'!$B$22</f>
        <v>33</v>
      </c>
      <c r="H126" s="57">
        <f>'[27]Dados de entrada'!$B$29/(2*'[27]Dados de entrada'!$B$20*G126)</f>
        <v>2.4242424242424242E-2</v>
      </c>
      <c r="I126" s="27">
        <f>'[27]fib Model Code 2010'!$K$7</f>
        <v>238.26122952921412</v>
      </c>
      <c r="J126" s="19">
        <f>'[27]Dados de entrada'!$C$9</f>
        <v>0.18</v>
      </c>
    </row>
    <row r="127" spans="1:10">
      <c r="A127" s="90"/>
      <c r="B127" s="21">
        <f>'[27]Dados de entrada'!$B$28</f>
        <v>16</v>
      </c>
      <c r="C127" s="21">
        <f>'[27]Dados de entrada'!$B$31</f>
        <v>2</v>
      </c>
      <c r="D127" s="21">
        <f>'[27]Dados de entrada'!$B$32</f>
        <v>168</v>
      </c>
      <c r="E127" s="20">
        <f>'[27]Dados de entrada'!$B$27</f>
        <v>3.2689999999999997</v>
      </c>
      <c r="F127" s="21">
        <f>'[27]Dados de entrada'!$B$30</f>
        <v>25</v>
      </c>
      <c r="G127" s="56">
        <f>'[27]Dados de entrada'!$B$22</f>
        <v>33</v>
      </c>
      <c r="H127" s="57">
        <f>'[27]Dados de entrada'!$B$29/(2*'[27]Dados de entrada'!$B$20*G127)</f>
        <v>2.4242424242424242E-2</v>
      </c>
      <c r="I127" s="27">
        <f>'[27]fib Model Code 2010'!$K$8</f>
        <v>264.70949624961241</v>
      </c>
      <c r="J127" s="19">
        <f>'[27]Dados de entrada'!$C$10</f>
        <v>0.25</v>
      </c>
    </row>
    <row r="128" spans="1:10">
      <c r="A128" s="90"/>
      <c r="B128" s="21">
        <f>'[27]Dados de entrada'!$B$28</f>
        <v>16</v>
      </c>
      <c r="C128" s="21">
        <f>'[27]Dados de entrada'!$B$31</f>
        <v>2</v>
      </c>
      <c r="D128" s="21">
        <f>'[27]Dados de entrada'!$B$32</f>
        <v>168</v>
      </c>
      <c r="E128" s="20">
        <f>'[27]Dados de entrada'!$B$27</f>
        <v>3.2689999999999997</v>
      </c>
      <c r="F128" s="21">
        <f>'[27]Dados de entrada'!$B$30</f>
        <v>25</v>
      </c>
      <c r="G128" s="56">
        <f>'[27]Dados de entrada'!$B$22</f>
        <v>33</v>
      </c>
      <c r="H128" s="57">
        <f>'[27]Dados de entrada'!$B$29/(2*'[27]Dados de entrada'!$B$20*G128)</f>
        <v>2.4242424242424242E-2</v>
      </c>
      <c r="I128" s="27">
        <f>'[27]fib Model Code 2010'!$K$9</f>
        <v>291.15776297001071</v>
      </c>
      <c r="J128" s="19">
        <f>'[27]Dados de entrada'!$C$11</f>
        <v>0.28000000000000003</v>
      </c>
    </row>
    <row r="129" spans="1:10">
      <c r="A129" s="90"/>
      <c r="B129" s="21">
        <f>'[27]Dados de entrada'!$B$28</f>
        <v>16</v>
      </c>
      <c r="C129" s="21">
        <f>'[27]Dados de entrada'!$B$31</f>
        <v>2</v>
      </c>
      <c r="D129" s="21">
        <f>'[27]Dados de entrada'!$B$32</f>
        <v>168</v>
      </c>
      <c r="E129" s="20">
        <f>'[27]Dados de entrada'!$B$27</f>
        <v>3.2689999999999997</v>
      </c>
      <c r="F129" s="21">
        <f>'[27]Dados de entrada'!$B$30</f>
        <v>25</v>
      </c>
      <c r="G129" s="56">
        <f>'[27]Dados de entrada'!$B$22</f>
        <v>33</v>
      </c>
      <c r="H129" s="57">
        <f>'[27]Dados de entrada'!$B$29/(2*'[27]Dados de entrada'!$B$20*G129)</f>
        <v>2.4242424242424242E-2</v>
      </c>
      <c r="I129" s="27">
        <f>'[27]fib Model Code 2010'!$K$10</f>
        <v>317.65139549953489</v>
      </c>
      <c r="J129" s="19">
        <f>'[27]Dados de entrada'!$C$12</f>
        <v>0.33</v>
      </c>
    </row>
    <row r="130" spans="1:10">
      <c r="A130" s="90"/>
      <c r="B130" s="21">
        <f>'[27]Dados de entrada'!$B$28</f>
        <v>16</v>
      </c>
      <c r="C130" s="21">
        <f>'[27]Dados de entrada'!$B$31</f>
        <v>2</v>
      </c>
      <c r="D130" s="21">
        <f>'[27]Dados de entrada'!$B$32</f>
        <v>168</v>
      </c>
      <c r="E130" s="20">
        <f>'[27]Dados de entrada'!$B$27</f>
        <v>3.2689999999999997</v>
      </c>
      <c r="F130" s="21">
        <f>'[27]Dados de entrada'!$B$30</f>
        <v>25</v>
      </c>
      <c r="G130" s="56">
        <f>'[27]Dados de entrada'!$B$22</f>
        <v>33</v>
      </c>
      <c r="H130" s="57">
        <f>'[27]Dados de entrada'!$B$29/(2*'[27]Dados de entrada'!$B$20*G130)</f>
        <v>2.4242424242424242E-2</v>
      </c>
      <c r="I130" s="27">
        <f>'[27]fib Model Code 2010'!$K$11</f>
        <v>344.14502802905906</v>
      </c>
      <c r="J130" s="19">
        <f>'[27]Dados de entrada'!$C$13</f>
        <v>0.38</v>
      </c>
    </row>
    <row r="131" spans="1:10">
      <c r="A131" s="86"/>
      <c r="B131" s="21">
        <f>'[27]Dados de entrada'!$B$28</f>
        <v>16</v>
      </c>
      <c r="C131" s="21">
        <f>'[27]Dados de entrada'!$B$31</f>
        <v>2</v>
      </c>
      <c r="D131" s="21">
        <f>'[27]Dados de entrada'!$B$32</f>
        <v>168</v>
      </c>
      <c r="E131" s="20">
        <f>'[27]Dados de entrada'!$B$27</f>
        <v>3.2689999999999997</v>
      </c>
      <c r="F131" s="21">
        <f>'[27]Dados de entrada'!$B$30</f>
        <v>25</v>
      </c>
      <c r="G131" s="56">
        <f>'[27]Dados de entrada'!$B$22</f>
        <v>33</v>
      </c>
      <c r="H131" s="57">
        <f>'[27]Dados de entrada'!$B$29/(2*'[27]Dados de entrada'!$B$20*G131)</f>
        <v>2.4242424242424242E-2</v>
      </c>
      <c r="I131" s="27">
        <f>'[27]fib Model Code 2010'!$K$12</f>
        <v>370.54792894033153</v>
      </c>
      <c r="J131" s="19">
        <f>'[27]Dados de entrada'!$C$14</f>
        <v>0.43</v>
      </c>
    </row>
    <row r="132" spans="1:10">
      <c r="A132" s="87" t="s">
        <v>62</v>
      </c>
      <c r="B132" s="5">
        <f>'[28]Dados de entrada'!$B$28</f>
        <v>16</v>
      </c>
      <c r="C132" s="5">
        <f>'[28]Dados de entrada'!$B$31</f>
        <v>3</v>
      </c>
      <c r="D132" s="5">
        <f>'[28]Dados de entrada'!$B$32</f>
        <v>76</v>
      </c>
      <c r="E132" s="11">
        <f>'[28]Dados de entrada'!$B$27</f>
        <v>3.2689999999999997</v>
      </c>
      <c r="F132" s="5">
        <f>'[28]Dados de entrada'!$B$30</f>
        <v>25</v>
      </c>
      <c r="G132" s="12">
        <f>'[28]Dados de entrada'!$B$22</f>
        <v>33</v>
      </c>
      <c r="H132" s="52">
        <f>'[28]Dados de entrada'!$B$29/(2*'[28]Dados de entrada'!$B$20*G132)</f>
        <v>3.6363636363636362E-2</v>
      </c>
      <c r="I132" s="53">
        <f>'[28]fib Model Code 2010'!$K$5</f>
        <v>233.30469206437246</v>
      </c>
      <c r="J132" s="4">
        <f>'[28]Dados de entrada'!$C$7</f>
        <v>0.15</v>
      </c>
    </row>
    <row r="133" spans="1:10">
      <c r="A133" s="88"/>
      <c r="B133" s="5">
        <f>'[28]Dados de entrada'!$B$28</f>
        <v>16</v>
      </c>
      <c r="C133" s="5">
        <f>'[28]Dados de entrada'!$B$31</f>
        <v>3</v>
      </c>
      <c r="D133" s="5">
        <f>'[28]Dados de entrada'!$B$32</f>
        <v>76</v>
      </c>
      <c r="E133" s="11">
        <f>'[28]Dados de entrada'!$B$27</f>
        <v>3.2689999999999997</v>
      </c>
      <c r="F133" s="5">
        <f>'[28]Dados de entrada'!$B$30</f>
        <v>25</v>
      </c>
      <c r="G133" s="12">
        <f>'[28]Dados de entrada'!$B$22</f>
        <v>33</v>
      </c>
      <c r="H133" s="52">
        <f>'[28]Dados de entrada'!$B$29/(2*'[28]Dados de entrada'!$B$20*G133)</f>
        <v>3.6363636363636362E-2</v>
      </c>
      <c r="I133" s="53">
        <f>'[28]fib Model Code 2010'!$K$6</f>
        <v>251.20389200920044</v>
      </c>
      <c r="J133" s="4">
        <f>'[28]Dados de entrada'!$C$8</f>
        <v>0.18</v>
      </c>
    </row>
    <row r="134" spans="1:10">
      <c r="A134" s="88"/>
      <c r="B134" s="5">
        <f>'[28]Dados de entrada'!$B$28</f>
        <v>16</v>
      </c>
      <c r="C134" s="5">
        <f>'[28]Dados de entrada'!$B$31</f>
        <v>3</v>
      </c>
      <c r="D134" s="5">
        <f>'[28]Dados de entrada'!$B$32</f>
        <v>76</v>
      </c>
      <c r="E134" s="11">
        <f>'[28]Dados de entrada'!$B$27</f>
        <v>3.2689999999999997</v>
      </c>
      <c r="F134" s="5">
        <f>'[28]Dados de entrada'!$B$30</f>
        <v>25</v>
      </c>
      <c r="G134" s="12">
        <f>'[28]Dados de entrada'!$B$22</f>
        <v>33</v>
      </c>
      <c r="H134" s="52">
        <f>'[28]Dados de entrada'!$B$29/(2*'[28]Dados de entrada'!$B$20*G134)</f>
        <v>3.6363636363636362E-2</v>
      </c>
      <c r="I134" s="53">
        <f>'[28]fib Model Code 2010'!$K$7</f>
        <v>269.16460123218928</v>
      </c>
      <c r="J134" s="4">
        <f>'[28]Dados de entrada'!$C$9</f>
        <v>0.18</v>
      </c>
    </row>
    <row r="135" spans="1:10">
      <c r="A135" s="88"/>
      <c r="B135" s="5">
        <f>'[28]Dados de entrada'!$B$28</f>
        <v>16</v>
      </c>
      <c r="C135" s="5">
        <f>'[28]Dados de entrada'!$B$31</f>
        <v>3</v>
      </c>
      <c r="D135" s="5">
        <f>'[28]Dados de entrada'!$B$32</f>
        <v>76</v>
      </c>
      <c r="E135" s="11">
        <f>'[28]Dados de entrada'!$B$27</f>
        <v>3.2689999999999997</v>
      </c>
      <c r="F135" s="5">
        <f>'[28]Dados de entrada'!$B$30</f>
        <v>25</v>
      </c>
      <c r="G135" s="12">
        <f>'[28]Dados de entrada'!$B$22</f>
        <v>33</v>
      </c>
      <c r="H135" s="52">
        <f>'[28]Dados de entrada'!$B$29/(2*'[28]Dados de entrada'!$B$20*G135)</f>
        <v>3.6363636363636362E-2</v>
      </c>
      <c r="I135" s="53">
        <f>'[28]fib Model Code 2010'!$K$8</f>
        <v>287.12531045517812</v>
      </c>
      <c r="J135" s="4">
        <f>'[28]Dados de entrada'!$C$10</f>
        <v>0.2</v>
      </c>
    </row>
    <row r="136" spans="1:10">
      <c r="A136" s="89"/>
      <c r="B136" s="5">
        <f>'[28]Dados de entrada'!$B$28</f>
        <v>16</v>
      </c>
      <c r="C136" s="5">
        <f>'[28]Dados de entrada'!$B$31</f>
        <v>3</v>
      </c>
      <c r="D136" s="5">
        <f>'[28]Dados de entrada'!$B$32</f>
        <v>76</v>
      </c>
      <c r="E136" s="11">
        <f>'[28]Dados de entrada'!$B$27</f>
        <v>3.2689999999999997</v>
      </c>
      <c r="F136" s="5">
        <f>'[28]Dados de entrada'!$B$30</f>
        <v>25</v>
      </c>
      <c r="G136" s="12">
        <f>'[28]Dados de entrada'!$B$22</f>
        <v>33</v>
      </c>
      <c r="H136" s="52">
        <f>'[28]Dados de entrada'!$B$29/(2*'[28]Dados de entrada'!$B$20*G136)</f>
        <v>3.6363636363636362E-2</v>
      </c>
      <c r="I136" s="53">
        <f>'[28]fib Model Code 2010'!$K$9</f>
        <v>305.08601967816708</v>
      </c>
      <c r="J136" s="4">
        <f>'[28]Dados de entrada'!$C$11</f>
        <v>0.2</v>
      </c>
    </row>
    <row r="137" spans="1:10">
      <c r="A137" s="85" t="s">
        <v>63</v>
      </c>
      <c r="B137" s="21">
        <f>'[29]Dados de entrada'!$B$28</f>
        <v>16</v>
      </c>
      <c r="C137" s="21">
        <f>'[29]Dados de entrada'!$B$31</f>
        <v>3</v>
      </c>
      <c r="D137" s="21">
        <f>'[29]Dados de entrada'!$B$32</f>
        <v>76</v>
      </c>
      <c r="E137" s="20">
        <f>'[29]Dados de entrada'!$B$27</f>
        <v>3.2689999999999997</v>
      </c>
      <c r="F137" s="21">
        <f>'[29]Dados de entrada'!$B$30</f>
        <v>25</v>
      </c>
      <c r="G137" s="56">
        <f>'[29]Dados de entrada'!$B$22</f>
        <v>33</v>
      </c>
      <c r="H137" s="57">
        <f>'[29]Dados de entrada'!$B$29/(2*'[29]Dados de entrada'!$B$20*G137)</f>
        <v>3.6363636363636362E-2</v>
      </c>
      <c r="I137" s="27">
        <f>'[29]fib Model Code 2010'!$K$5</f>
        <v>251.20389200920044</v>
      </c>
      <c r="J137" s="19">
        <f>'[29]Dados de entrada'!$C$7</f>
        <v>0.15</v>
      </c>
    </row>
    <row r="138" spans="1:10">
      <c r="A138" s="90"/>
      <c r="B138" s="21">
        <f>'[29]Dados de entrada'!$B$28</f>
        <v>16</v>
      </c>
      <c r="C138" s="21">
        <f>'[29]Dados de entrada'!$B$31</f>
        <v>3</v>
      </c>
      <c r="D138" s="21">
        <f>'[29]Dados de entrada'!$B$32</f>
        <v>76</v>
      </c>
      <c r="E138" s="20">
        <f>'[29]Dados de entrada'!$B$27</f>
        <v>3.2689999999999997</v>
      </c>
      <c r="F138" s="21">
        <f>'[29]Dados de entrada'!$B$30</f>
        <v>25</v>
      </c>
      <c r="G138" s="56">
        <f>'[29]Dados de entrada'!$B$22</f>
        <v>33</v>
      </c>
      <c r="H138" s="57">
        <f>'[29]Dados de entrada'!$B$29/(2*'[29]Dados de entrada'!$B$20*G138)</f>
        <v>3.6363636363636362E-2</v>
      </c>
      <c r="I138" s="27">
        <f>'[29]fib Model Code 2010'!$K$6</f>
        <v>269.16460123218928</v>
      </c>
      <c r="J138" s="19">
        <f>'[29]Dados de entrada'!$C$8</f>
        <v>0.18</v>
      </c>
    </row>
    <row r="139" spans="1:10">
      <c r="A139" s="90"/>
      <c r="B139" s="21">
        <f>'[29]Dados de entrada'!$B$28</f>
        <v>16</v>
      </c>
      <c r="C139" s="21">
        <f>'[29]Dados de entrada'!$B$31</f>
        <v>3</v>
      </c>
      <c r="D139" s="21">
        <f>'[29]Dados de entrada'!$B$32</f>
        <v>76</v>
      </c>
      <c r="E139" s="20">
        <f>'[29]Dados de entrada'!$B$27</f>
        <v>3.2689999999999997</v>
      </c>
      <c r="F139" s="21">
        <f>'[29]Dados de entrada'!$B$30</f>
        <v>25</v>
      </c>
      <c r="G139" s="56">
        <f>'[29]Dados de entrada'!$B$22</f>
        <v>33</v>
      </c>
      <c r="H139" s="57">
        <f>'[29]Dados de entrada'!$B$29/(2*'[29]Dados de entrada'!$B$20*G139)</f>
        <v>3.6363636363636362E-2</v>
      </c>
      <c r="I139" s="27">
        <f>'[29]fib Model Code 2010'!$K$7</f>
        <v>287.12531045517812</v>
      </c>
      <c r="J139" s="19">
        <f>'[29]Dados de entrada'!$C$9</f>
        <v>0.2</v>
      </c>
    </row>
    <row r="140" spans="1:10">
      <c r="A140" s="86"/>
      <c r="B140" s="21">
        <f>'[29]Dados de entrada'!$B$28</f>
        <v>16</v>
      </c>
      <c r="C140" s="21">
        <f>'[29]Dados de entrada'!$B$31</f>
        <v>3</v>
      </c>
      <c r="D140" s="21">
        <f>'[29]Dados de entrada'!$B$32</f>
        <v>76</v>
      </c>
      <c r="E140" s="20">
        <f>'[29]Dados de entrada'!$B$27</f>
        <v>3.2689999999999997</v>
      </c>
      <c r="F140" s="21">
        <f>'[29]Dados de entrada'!$B$30</f>
        <v>25</v>
      </c>
      <c r="G140" s="56">
        <f>'[29]Dados de entrada'!$B$22</f>
        <v>33</v>
      </c>
      <c r="H140" s="57">
        <f>'[29]Dados de entrada'!$B$29/(2*'[29]Dados de entrada'!$B$20*G140)</f>
        <v>3.6363636363636362E-2</v>
      </c>
      <c r="I140" s="27">
        <f>'[29]fib Model Code 2010'!$K$8</f>
        <v>305.08601967816708</v>
      </c>
      <c r="J140" s="19">
        <f>'[29]Dados de entrada'!$C$10</f>
        <v>0.2</v>
      </c>
    </row>
    <row r="141" spans="1:10">
      <c r="A141" s="87" t="s">
        <v>64</v>
      </c>
      <c r="B141" s="5">
        <f>'[30]Dados de entrada'!$B$28</f>
        <v>12</v>
      </c>
      <c r="C141" s="5">
        <f>'[30]Dados de entrada'!$B$31</f>
        <v>2</v>
      </c>
      <c r="D141" s="5">
        <f>'[30]Dados de entrada'!$B$32</f>
        <v>296</v>
      </c>
      <c r="E141" s="11">
        <f>'[30]Dados de entrada'!$B$27</f>
        <v>3.2689999999999997</v>
      </c>
      <c r="F141" s="5">
        <f>'[30]Dados de entrada'!$B$30</f>
        <v>25</v>
      </c>
      <c r="G141" s="12">
        <f>'[30]Dados de entrada'!$B$22</f>
        <v>31</v>
      </c>
      <c r="H141" s="52">
        <f>'[30]Dados de entrada'!$B$29/(2*'[30]Dados de entrada'!$B$20*G141)</f>
        <v>8.870967741935484E-3</v>
      </c>
      <c r="I141" s="53">
        <f>'[30]fib Model Code 2010'!$K$5</f>
        <v>176.28617352026819</v>
      </c>
      <c r="J141" s="4">
        <f>'[30]Dados de entrada'!$C$7</f>
        <v>0.2</v>
      </c>
    </row>
    <row r="142" spans="1:10">
      <c r="A142" s="88"/>
      <c r="B142" s="5">
        <f>'[30]Dados de entrada'!$B$28</f>
        <v>12</v>
      </c>
      <c r="C142" s="5">
        <f>'[30]Dados de entrada'!$B$31</f>
        <v>2</v>
      </c>
      <c r="D142" s="5">
        <f>'[30]Dados de entrada'!$B$32</f>
        <v>296</v>
      </c>
      <c r="E142" s="11">
        <f>'[30]Dados de entrada'!$B$27</f>
        <v>3.2689999999999997</v>
      </c>
      <c r="F142" s="5">
        <f>'[30]Dados de entrada'!$B$30</f>
        <v>25</v>
      </c>
      <c r="G142" s="12">
        <f>'[30]Dados de entrada'!$B$22</f>
        <v>31</v>
      </c>
      <c r="H142" s="52">
        <f>'[30]Dados de entrada'!$B$29/(2*'[30]Dados de entrada'!$B$20*G142)</f>
        <v>8.870967741935484E-3</v>
      </c>
      <c r="I142" s="53">
        <f>'[30]fib Model Code 2010'!$K$6</f>
        <v>242.34630278375195</v>
      </c>
      <c r="J142" s="4">
        <f>'[30]Dados de entrada'!$C$8</f>
        <v>0.25</v>
      </c>
    </row>
    <row r="143" spans="1:10">
      <c r="A143" s="89"/>
      <c r="B143" s="5">
        <f>'[30]Dados de entrada'!$B$28</f>
        <v>12</v>
      </c>
      <c r="C143" s="5">
        <f>'[30]Dados de entrada'!$B$31</f>
        <v>2</v>
      </c>
      <c r="D143" s="5">
        <f>'[30]Dados de entrada'!$B$32</f>
        <v>296</v>
      </c>
      <c r="E143" s="11">
        <f>'[30]Dados de entrada'!$B$27</f>
        <v>3.2689999999999997</v>
      </c>
      <c r="F143" s="5">
        <f>'[30]Dados de entrada'!$B$30</f>
        <v>25</v>
      </c>
      <c r="G143" s="12">
        <f>'[30]Dados de entrada'!$B$22</f>
        <v>31</v>
      </c>
      <c r="H143" s="52">
        <f>'[30]Dados de entrada'!$B$29/(2*'[30]Dados de entrada'!$B$20*G143)</f>
        <v>8.870967741935484E-3</v>
      </c>
      <c r="I143" s="53">
        <f>'[30]fib Model Code 2010'!$K$7</f>
        <v>308.4064320472358</v>
      </c>
      <c r="J143" s="4">
        <f>'[30]Dados de entrada'!$C$9</f>
        <v>0.33</v>
      </c>
    </row>
    <row r="144" spans="1:10">
      <c r="A144" s="85" t="s">
        <v>65</v>
      </c>
      <c r="B144" s="21">
        <f>'[31]Dados de entrada'!$B$28</f>
        <v>12</v>
      </c>
      <c r="C144" s="21">
        <f>'[31]Dados de entrada'!$B$31</f>
        <v>2</v>
      </c>
      <c r="D144" s="21">
        <f>'[31]Dados de entrada'!$B$32</f>
        <v>296</v>
      </c>
      <c r="E144" s="20">
        <f>'[31]Dados de entrada'!$B$27</f>
        <v>3.2689999999999997</v>
      </c>
      <c r="F144" s="21">
        <f>'[31]Dados de entrada'!$B$30</f>
        <v>25</v>
      </c>
      <c r="G144" s="56">
        <f>'[31]Dados de entrada'!$B$22</f>
        <v>31</v>
      </c>
      <c r="H144" s="57">
        <f>'[31]Dados de entrada'!$B$29/(2*'[31]Dados de entrada'!$B$20*G144)</f>
        <v>8.870967741935484E-3</v>
      </c>
      <c r="I144" s="27" cm="1">
        <f t="array" ref="I144:I145">'[31]fib Model Code 2010'!$K$5:$K$6</f>
        <v>242.34630278375195</v>
      </c>
      <c r="J144" s="19" cm="1">
        <f t="array" ref="J144:J145">'[31]Dados de entrada'!$C$7:$C$8</f>
        <v>0.23</v>
      </c>
    </row>
    <row r="145" spans="1:10">
      <c r="A145" s="86"/>
      <c r="B145" s="21">
        <f>'[31]Dados de entrada'!$B$28</f>
        <v>12</v>
      </c>
      <c r="C145" s="21">
        <f>'[31]Dados de entrada'!$B$31</f>
        <v>2</v>
      </c>
      <c r="D145" s="21">
        <f>'[31]Dados de entrada'!$B$32</f>
        <v>296</v>
      </c>
      <c r="E145" s="20">
        <f>'[31]Dados de entrada'!$B$27</f>
        <v>3.2689999999999997</v>
      </c>
      <c r="F145" s="21">
        <f>'[31]Dados de entrada'!$B$30</f>
        <v>25</v>
      </c>
      <c r="G145" s="56">
        <f>'[31]Dados de entrada'!$B$22</f>
        <v>31</v>
      </c>
      <c r="H145" s="57">
        <f>'[31]Dados de entrada'!$B$29/(2*'[31]Dados de entrada'!$B$20*G145)</f>
        <v>8.870967741935484E-3</v>
      </c>
      <c r="I145" s="27">
        <v>308.4064320472358</v>
      </c>
      <c r="J145" s="19">
        <v>0.28000000000000003</v>
      </c>
    </row>
    <row r="146" spans="1:10">
      <c r="A146" s="87" t="s">
        <v>66</v>
      </c>
      <c r="B146" s="5">
        <f>'[32]Dados de entrada'!$B$28</f>
        <v>12</v>
      </c>
      <c r="C146" s="5">
        <f>'[32]Dados de entrada'!$B$31</f>
        <v>3</v>
      </c>
      <c r="D146" s="5">
        <f>'[32]Dados de entrada'!$B$32</f>
        <v>142</v>
      </c>
      <c r="E146" s="11">
        <f>'[32]Dados de entrada'!$B$27</f>
        <v>3.2689999999999997</v>
      </c>
      <c r="F146" s="5">
        <f>'[32]Dados de entrada'!$B$30</f>
        <v>25</v>
      </c>
      <c r="G146" s="12">
        <f>'[32]Dados de entrada'!$B$22</f>
        <v>31</v>
      </c>
      <c r="H146" s="52">
        <f>'[32]Dados de entrada'!$B$29/(2*'[32]Dados de entrada'!$B$20*G146)</f>
        <v>1.3306451612903225E-2</v>
      </c>
      <c r="I146" s="53" cm="1">
        <f t="array" ref="I146:I148">'[32]fib Model Code 2010'!$K$5:$K$7</f>
        <v>208.77973928930371</v>
      </c>
      <c r="J146" s="4" cm="1">
        <f t="array" ref="J146:J148">'[32]Dados de entrada'!$C$7:$C$9</f>
        <v>0.18</v>
      </c>
    </row>
    <row r="147" spans="1:10">
      <c r="A147" s="88"/>
      <c r="B147" s="5">
        <f>'[32]Dados de entrada'!$B$28</f>
        <v>12</v>
      </c>
      <c r="C147" s="5">
        <f>'[32]Dados de entrada'!$B$31</f>
        <v>3</v>
      </c>
      <c r="D147" s="5">
        <f>'[32]Dados de entrada'!$B$32</f>
        <v>142</v>
      </c>
      <c r="E147" s="11">
        <f>'[32]Dados de entrada'!$B$27</f>
        <v>3.2689999999999997</v>
      </c>
      <c r="F147" s="5">
        <f>'[32]Dados de entrada'!$B$30</f>
        <v>25</v>
      </c>
      <c r="G147" s="12">
        <f>'[32]Dados de entrada'!$B$22</f>
        <v>31</v>
      </c>
      <c r="H147" s="52">
        <f>'[32]Dados de entrada'!$B$29/(2*'[32]Dados de entrada'!$B$20*G147)</f>
        <v>1.3306451612903225E-2</v>
      </c>
      <c r="I147" s="53">
        <v>253.50000168297348</v>
      </c>
      <c r="J147" s="4">
        <v>0.23</v>
      </c>
    </row>
    <row r="148" spans="1:10">
      <c r="A148" s="89"/>
      <c r="B148" s="5">
        <f>'[32]Dados de entrada'!$B$28</f>
        <v>12</v>
      </c>
      <c r="C148" s="5">
        <f>'[32]Dados de entrada'!$B$31</f>
        <v>3</v>
      </c>
      <c r="D148" s="5">
        <f>'[32]Dados de entrada'!$B$32</f>
        <v>142</v>
      </c>
      <c r="E148" s="11">
        <f>'[32]Dados de entrada'!$B$27</f>
        <v>3.2689999999999997</v>
      </c>
      <c r="F148" s="5">
        <f>'[32]Dados de entrada'!$B$30</f>
        <v>25</v>
      </c>
      <c r="G148" s="12">
        <f>'[32]Dados de entrada'!$B$22</f>
        <v>31</v>
      </c>
      <c r="H148" s="52">
        <f>'[32]Dados de entrada'!$B$29/(2*'[32]Dados de entrada'!$B$20*G148)</f>
        <v>1.3306451612903225E-2</v>
      </c>
      <c r="I148" s="53">
        <v>298.2202640766431</v>
      </c>
      <c r="J148" s="4">
        <v>0.25</v>
      </c>
    </row>
    <row r="149" spans="1:10">
      <c r="A149" s="85" t="s">
        <v>67</v>
      </c>
      <c r="B149" s="21">
        <f>'[33]Dados de entrada'!$B$28</f>
        <v>12</v>
      </c>
      <c r="C149" s="21">
        <f>'[33]Dados de entrada'!$B$31</f>
        <v>3</v>
      </c>
      <c r="D149" s="21">
        <f>'[33]Dados de entrada'!$B$32</f>
        <v>142</v>
      </c>
      <c r="E149" s="20">
        <f>'[33]Dados de entrada'!$B$27</f>
        <v>3.2689999999999997</v>
      </c>
      <c r="F149" s="21">
        <f>'[33]Dados de entrada'!$B$30</f>
        <v>25</v>
      </c>
      <c r="G149" s="56">
        <f>'[33]Dados de entrada'!$B$22</f>
        <v>31</v>
      </c>
      <c r="H149" s="57">
        <f>'[33]Dados de entrada'!$B$29/(2*'[33]Dados de entrada'!$B$20*G149)</f>
        <v>1.3306451612903225E-2</v>
      </c>
      <c r="I149" s="27" cm="1">
        <f t="array" ref="I149:I151">'[33]fib Model Code 2010'!$K$5:$K$7</f>
        <v>208.77973928930371</v>
      </c>
      <c r="J149" s="19" cm="1">
        <f t="array" ref="J149:J151">'[33]Dados de entrada'!$C$7:$C$9</f>
        <v>0.18</v>
      </c>
    </row>
    <row r="150" spans="1:10">
      <c r="A150" s="90"/>
      <c r="B150" s="21">
        <f>'[33]Dados de entrada'!$B$28</f>
        <v>12</v>
      </c>
      <c r="C150" s="21">
        <f>'[33]Dados de entrada'!$B$31</f>
        <v>3</v>
      </c>
      <c r="D150" s="21">
        <f>'[33]Dados de entrada'!$B$32</f>
        <v>142</v>
      </c>
      <c r="E150" s="20">
        <f>'[33]Dados de entrada'!$B$27</f>
        <v>3.2689999999999997</v>
      </c>
      <c r="F150" s="21">
        <f>'[33]Dados de entrada'!$B$30</f>
        <v>25</v>
      </c>
      <c r="G150" s="56">
        <f>'[33]Dados de entrada'!$B$22</f>
        <v>31</v>
      </c>
      <c r="H150" s="57">
        <f>'[33]Dados de entrada'!$B$29/(2*'[33]Dados de entrada'!$B$20*G150)</f>
        <v>1.3306451612903225E-2</v>
      </c>
      <c r="I150" s="27">
        <v>253.50000168297348</v>
      </c>
      <c r="J150" s="19">
        <v>0.23</v>
      </c>
    </row>
    <row r="151" spans="1:10">
      <c r="A151" s="86"/>
      <c r="B151" s="21">
        <f>'[33]Dados de entrada'!$B$28</f>
        <v>12</v>
      </c>
      <c r="C151" s="21">
        <f>'[33]Dados de entrada'!$B$31</f>
        <v>3</v>
      </c>
      <c r="D151" s="21">
        <f>'[33]Dados de entrada'!$B$32</f>
        <v>142</v>
      </c>
      <c r="E151" s="20">
        <f>'[33]Dados de entrada'!$B$27</f>
        <v>3.2689999999999997</v>
      </c>
      <c r="F151" s="21">
        <f>'[33]Dados de entrada'!$B$30</f>
        <v>25</v>
      </c>
      <c r="G151" s="56">
        <f>'[33]Dados de entrada'!$B$22</f>
        <v>31</v>
      </c>
      <c r="H151" s="57">
        <f>'[33]Dados de entrada'!$B$29/(2*'[33]Dados de entrada'!$B$20*G151)</f>
        <v>1.3306451612903225E-2</v>
      </c>
      <c r="I151" s="27">
        <v>298.2202640766431</v>
      </c>
      <c r="J151" s="19">
        <v>0.25</v>
      </c>
    </row>
    <row r="152" spans="1:10">
      <c r="A152" s="87" t="s">
        <v>68</v>
      </c>
      <c r="B152" s="5">
        <f>'[34]Dados de entrada'!$B$28</f>
        <v>12</v>
      </c>
      <c r="C152" s="5">
        <f>'[34]Dados de entrada'!$B$31</f>
        <v>4</v>
      </c>
      <c r="D152" s="5">
        <f>'[34]Dados de entrada'!$B$32</f>
        <v>90.67</v>
      </c>
      <c r="E152" s="11">
        <f>'[34]Dados de entrada'!$B$27</f>
        <v>3.2689999999999997</v>
      </c>
      <c r="F152" s="5">
        <f>'[34]Dados de entrada'!$B$30</f>
        <v>25</v>
      </c>
      <c r="G152" s="12">
        <f>'[34]Dados de entrada'!$B$22</f>
        <v>31</v>
      </c>
      <c r="H152" s="52">
        <f>'[34]Dados de entrada'!$B$29/(2*'[34]Dados de entrada'!$B$20*G152)</f>
        <v>1.7741935483870968E-2</v>
      </c>
      <c r="I152" s="53" cm="1">
        <f t="array" ref="I152:I154">'[34]fib Model Code 2010'!$K$5:$K$7</f>
        <v>226.45530266575949</v>
      </c>
      <c r="J152" s="4" cm="1">
        <f t="array" ref="J152:J154">'[34]Dados de entrada'!$C$7:$C$9</f>
        <v>0.15</v>
      </c>
    </row>
    <row r="153" spans="1:10">
      <c r="A153" s="88"/>
      <c r="B153" s="5">
        <f>'[34]Dados de entrada'!$B$28</f>
        <v>12</v>
      </c>
      <c r="C153" s="5">
        <f>'[34]Dados de entrada'!$B$31</f>
        <v>4</v>
      </c>
      <c r="D153" s="5">
        <f>'[34]Dados de entrada'!$B$32</f>
        <v>90.67</v>
      </c>
      <c r="E153" s="11">
        <f>'[34]Dados de entrada'!$B$27</f>
        <v>3.2689999999999997</v>
      </c>
      <c r="F153" s="5">
        <f>'[34]Dados de entrada'!$B$30</f>
        <v>25</v>
      </c>
      <c r="G153" s="12">
        <f>'[34]Dados de entrada'!$B$22</f>
        <v>31</v>
      </c>
      <c r="H153" s="52">
        <f>'[34]Dados de entrada'!$B$29/(2*'[34]Dados de entrada'!$B$20*G153)</f>
        <v>1.7741935483870968E-2</v>
      </c>
      <c r="I153" s="53">
        <v>260.41389561049635</v>
      </c>
      <c r="J153" s="4">
        <v>0.15</v>
      </c>
    </row>
    <row r="154" spans="1:10">
      <c r="A154" s="89"/>
      <c r="B154" s="5">
        <f>'[34]Dados de entrada'!$B$28</f>
        <v>12</v>
      </c>
      <c r="C154" s="5">
        <f>'[34]Dados de entrada'!$B$31</f>
        <v>4</v>
      </c>
      <c r="D154" s="5">
        <f>'[34]Dados de entrada'!$B$32</f>
        <v>90.67</v>
      </c>
      <c r="E154" s="11">
        <f>'[34]Dados de entrada'!$B$27</f>
        <v>3.2689999999999997</v>
      </c>
      <c r="F154" s="5">
        <f>'[34]Dados de entrada'!$B$30</f>
        <v>25</v>
      </c>
      <c r="G154" s="12">
        <f>'[34]Dados de entrada'!$B$22</f>
        <v>31</v>
      </c>
      <c r="H154" s="52">
        <f>'[34]Dados de entrada'!$B$29/(2*'[34]Dados de entrada'!$B$20*G154)</f>
        <v>1.7741935483870968E-2</v>
      </c>
      <c r="I154" s="53">
        <v>294.3724885552333</v>
      </c>
      <c r="J154" s="4">
        <v>0.18</v>
      </c>
    </row>
    <row r="155" spans="1:10">
      <c r="A155" s="85" t="s">
        <v>69</v>
      </c>
      <c r="B155" s="21">
        <f>'[35]Dados de entrada'!$B$28</f>
        <v>12</v>
      </c>
      <c r="C155" s="21">
        <f>'[35]Dados de entrada'!$B$31</f>
        <v>4</v>
      </c>
      <c r="D155" s="21">
        <f>'[35]Dados de entrada'!$B$32</f>
        <v>90.67</v>
      </c>
      <c r="E155" s="20">
        <f>'[35]Dados de entrada'!$B$27</f>
        <v>3.2689999999999997</v>
      </c>
      <c r="F155" s="21">
        <f>'[35]Dados de entrada'!$B$30</f>
        <v>25</v>
      </c>
      <c r="G155" s="56">
        <f>'[35]Dados de entrada'!$B$22</f>
        <v>31</v>
      </c>
      <c r="H155" s="57">
        <f>'[35]Dados de entrada'!$B$29/(2*'[35]Dados de entrada'!$B$20*G155)</f>
        <v>1.7741935483870968E-2</v>
      </c>
      <c r="I155" s="27" cm="1">
        <f t="array" ref="I155:I157">'[35]fib Model Code 2010'!$K$5:$K$7</f>
        <v>226.45530266575949</v>
      </c>
      <c r="J155" s="19" cm="1">
        <f t="array" ref="J155:J157">'[35]Dados de entrada'!$C$7:$C$9</f>
        <v>0.18</v>
      </c>
    </row>
    <row r="156" spans="1:10">
      <c r="A156" s="90"/>
      <c r="B156" s="21">
        <f>'[35]Dados de entrada'!$B$28</f>
        <v>12</v>
      </c>
      <c r="C156" s="21">
        <f>'[35]Dados de entrada'!$B$31</f>
        <v>4</v>
      </c>
      <c r="D156" s="21">
        <f>'[35]Dados de entrada'!$B$32</f>
        <v>90.67</v>
      </c>
      <c r="E156" s="20">
        <f>'[35]Dados de entrada'!$B$27</f>
        <v>3.2689999999999997</v>
      </c>
      <c r="F156" s="21">
        <f>'[35]Dados de entrada'!$B$30</f>
        <v>25</v>
      </c>
      <c r="G156" s="56">
        <f>'[35]Dados de entrada'!$B$22</f>
        <v>31</v>
      </c>
      <c r="H156" s="57">
        <f>'[35]Dados de entrada'!$B$29/(2*'[35]Dados de entrada'!$B$20*G156)</f>
        <v>1.7741935483870968E-2</v>
      </c>
      <c r="I156" s="27">
        <v>260.41389561049635</v>
      </c>
      <c r="J156" s="19">
        <v>0.2</v>
      </c>
    </row>
    <row r="157" spans="1:10">
      <c r="A157" s="86"/>
      <c r="B157" s="21">
        <f>'[35]Dados de entrada'!$B$28</f>
        <v>12</v>
      </c>
      <c r="C157" s="21">
        <f>'[35]Dados de entrada'!$B$31</f>
        <v>4</v>
      </c>
      <c r="D157" s="21">
        <f>'[35]Dados de entrada'!$B$32</f>
        <v>90.67</v>
      </c>
      <c r="E157" s="20">
        <f>'[35]Dados de entrada'!$B$27</f>
        <v>3.2689999999999997</v>
      </c>
      <c r="F157" s="21">
        <f>'[35]Dados de entrada'!$B$30</f>
        <v>25</v>
      </c>
      <c r="G157" s="56">
        <f>'[35]Dados de entrada'!$B$22</f>
        <v>31</v>
      </c>
      <c r="H157" s="57">
        <f>'[35]Dados de entrada'!$B$29/(2*'[35]Dados de entrada'!$B$20*G157)</f>
        <v>1.7741935483870968E-2</v>
      </c>
      <c r="I157" s="27">
        <v>294.3724885552333</v>
      </c>
      <c r="J157" s="19">
        <v>0.23</v>
      </c>
    </row>
    <row r="158" spans="1:10">
      <c r="A158" s="87" t="s">
        <v>72</v>
      </c>
      <c r="B158" s="64">
        <f>'[36]Dados de entrada'!$B$28</f>
        <v>10</v>
      </c>
      <c r="C158" s="64">
        <f>'[36]Dados de entrada'!$B$31</f>
        <v>1</v>
      </c>
      <c r="D158" s="64">
        <f>'[36]Dados de entrada'!$B$32</f>
        <v>45</v>
      </c>
      <c r="E158" s="29">
        <f>'[36]Dados de entrada'!$B$27</f>
        <v>2.8</v>
      </c>
      <c r="F158" s="64">
        <f>'[36]Dados de entrada'!$B$30</f>
        <v>40</v>
      </c>
      <c r="G158" s="65">
        <f>'[36]Dados de entrada'!$B$22</f>
        <v>45</v>
      </c>
      <c r="H158" s="66">
        <f>'[36]Dados de entrada'!$B$29/(2*'[36]Dados de entrada'!$B$20*G158)</f>
        <v>8.7222222222222215E-3</v>
      </c>
      <c r="I158" s="30" cm="1">
        <f t="array" ref="I158:I164">'[36]fib Model Code 2010'!$K$5:$K$11</f>
        <v>274.14363221273135</v>
      </c>
      <c r="J158" s="31" cm="1">
        <f t="array" ref="J158:J164">'[36]Dados de entrada'!$C$7:$C$13</f>
        <v>0.16</v>
      </c>
    </row>
    <row r="159" spans="1:10">
      <c r="A159" s="88"/>
      <c r="B159" s="64">
        <f>'[36]Dados de entrada'!$B$28</f>
        <v>10</v>
      </c>
      <c r="C159" s="64">
        <f>'[36]Dados de entrada'!$B$31</f>
        <v>1</v>
      </c>
      <c r="D159" s="64">
        <f>'[36]Dados de entrada'!$B$32</f>
        <v>45</v>
      </c>
      <c r="E159" s="29">
        <f>'[36]Dados de entrada'!$B$27</f>
        <v>2.8</v>
      </c>
      <c r="F159" s="64">
        <f>'[36]Dados de entrada'!$B$30</f>
        <v>40</v>
      </c>
      <c r="G159" s="65">
        <f>'[36]Dados de entrada'!$B$22</f>
        <v>45</v>
      </c>
      <c r="H159" s="66">
        <f>'[36]Dados de entrada'!$B$29/(2*'[36]Dados de entrada'!$B$20*G159)</f>
        <v>8.7222222222222215E-3</v>
      </c>
      <c r="I159" s="30">
        <v>294.20292237463855</v>
      </c>
      <c r="J159" s="31">
        <v>0.18</v>
      </c>
    </row>
    <row r="160" spans="1:10">
      <c r="A160" s="88"/>
      <c r="B160" s="64">
        <f>'[36]Dados de entrada'!$B$28</f>
        <v>10</v>
      </c>
      <c r="C160" s="64">
        <f>'[36]Dados de entrada'!$B$31</f>
        <v>1</v>
      </c>
      <c r="D160" s="64">
        <f>'[36]Dados de entrada'!$B$32</f>
        <v>45</v>
      </c>
      <c r="E160" s="29">
        <f>'[36]Dados de entrada'!$B$27</f>
        <v>2.8</v>
      </c>
      <c r="F160" s="64">
        <f>'[36]Dados de entrada'!$B$30</f>
        <v>40</v>
      </c>
      <c r="G160" s="65">
        <f>'[36]Dados de entrada'!$B$22</f>
        <v>45</v>
      </c>
      <c r="H160" s="66">
        <f>'[36]Dados de entrada'!$B$29/(2*'[36]Dados de entrada'!$B$20*G160)</f>
        <v>8.7222222222222215E-3</v>
      </c>
      <c r="I160" s="30">
        <v>316.93678455813335</v>
      </c>
      <c r="J160" s="31">
        <v>0.2</v>
      </c>
    </row>
    <row r="161" spans="1:10">
      <c r="A161" s="88"/>
      <c r="B161" s="64">
        <f>'[36]Dados de entrada'!$B$28</f>
        <v>10</v>
      </c>
      <c r="C161" s="64">
        <f>'[36]Dados de entrada'!$B$31</f>
        <v>1</v>
      </c>
      <c r="D161" s="64">
        <f>'[36]Dados de entrada'!$B$32</f>
        <v>45</v>
      </c>
      <c r="E161" s="29">
        <f>'[36]Dados de entrada'!$B$27</f>
        <v>2.8</v>
      </c>
      <c r="F161" s="64">
        <f>'[36]Dados de entrada'!$B$30</f>
        <v>40</v>
      </c>
      <c r="G161" s="65">
        <f>'[36]Dados de entrada'!$B$22</f>
        <v>45</v>
      </c>
      <c r="H161" s="66">
        <f>'[36]Dados de entrada'!$B$29/(2*'[36]Dados de entrada'!$B$20*G161)</f>
        <v>8.7222222222222215E-3</v>
      </c>
      <c r="I161" s="30">
        <v>336.9960747200405</v>
      </c>
      <c r="J161" s="31">
        <v>0.22</v>
      </c>
    </row>
    <row r="162" spans="1:10">
      <c r="A162" s="88"/>
      <c r="B162" s="64">
        <f>'[36]Dados de entrada'!$B$28</f>
        <v>10</v>
      </c>
      <c r="C162" s="64">
        <f>'[36]Dados de entrada'!$B$31</f>
        <v>1</v>
      </c>
      <c r="D162" s="64">
        <f>'[36]Dados de entrada'!$B$32</f>
        <v>45</v>
      </c>
      <c r="E162" s="29">
        <f>'[36]Dados de entrada'!$B$27</f>
        <v>2.8</v>
      </c>
      <c r="F162" s="64">
        <f>'[36]Dados de entrada'!$B$30</f>
        <v>40</v>
      </c>
      <c r="G162" s="65">
        <f>'[36]Dados de entrada'!$B$22</f>
        <v>45</v>
      </c>
      <c r="H162" s="66">
        <f>'[36]Dados de entrada'!$B$29/(2*'[36]Dados de entrada'!$B$20*G162)</f>
        <v>8.7222222222222215E-3</v>
      </c>
      <c r="I162" s="30">
        <v>359.72993690353525</v>
      </c>
      <c r="J162" s="31">
        <v>0.24</v>
      </c>
    </row>
    <row r="163" spans="1:10">
      <c r="A163" s="88"/>
      <c r="B163" s="64">
        <f>'[36]Dados de entrada'!$B$28</f>
        <v>10</v>
      </c>
      <c r="C163" s="64">
        <f>'[36]Dados de entrada'!$B$31</f>
        <v>1</v>
      </c>
      <c r="D163" s="64">
        <f>'[36]Dados de entrada'!$B$32</f>
        <v>45</v>
      </c>
      <c r="E163" s="29">
        <f>'[36]Dados de entrada'!$B$27</f>
        <v>2.8</v>
      </c>
      <c r="F163" s="64">
        <f>'[36]Dados de entrada'!$B$30</f>
        <v>40</v>
      </c>
      <c r="G163" s="65">
        <f>'[36]Dados de entrada'!$B$22</f>
        <v>45</v>
      </c>
      <c r="H163" s="66">
        <f>'[36]Dados de entrada'!$B$29/(2*'[36]Dados de entrada'!$B$20*G163)</f>
        <v>8.7222222222222215E-3</v>
      </c>
      <c r="I163" s="30">
        <v>379.78922706544245</v>
      </c>
      <c r="J163" s="31">
        <v>0.26</v>
      </c>
    </row>
    <row r="164" spans="1:10">
      <c r="A164" s="89"/>
      <c r="B164" s="64">
        <f>'[36]Dados de entrada'!$B$28</f>
        <v>10</v>
      </c>
      <c r="C164" s="64">
        <f>'[36]Dados de entrada'!$B$31</f>
        <v>1</v>
      </c>
      <c r="D164" s="64">
        <f>'[36]Dados de entrada'!$B$32</f>
        <v>45</v>
      </c>
      <c r="E164" s="29">
        <f>'[36]Dados de entrada'!$B$27</f>
        <v>2.8</v>
      </c>
      <c r="F164" s="64">
        <f>'[36]Dados de entrada'!$B$30</f>
        <v>40</v>
      </c>
      <c r="G164" s="65">
        <f>'[36]Dados de entrada'!$B$22</f>
        <v>45</v>
      </c>
      <c r="H164" s="66">
        <f>'[36]Dados de entrada'!$B$29/(2*'[36]Dados de entrada'!$B$20*G164)</f>
        <v>8.7222222222222215E-3</v>
      </c>
      <c r="I164" s="30">
        <v>403.86037525973109</v>
      </c>
      <c r="J164" s="31">
        <v>0.28000000000000003</v>
      </c>
    </row>
    <row r="165" spans="1:10">
      <c r="A165" s="85" t="s">
        <v>73</v>
      </c>
      <c r="B165" s="21">
        <f>'[37]Dados de entrada'!$B$28</f>
        <v>10</v>
      </c>
      <c r="C165" s="21">
        <f>'[37]Dados de entrada'!$B$31</f>
        <v>1</v>
      </c>
      <c r="D165" s="21">
        <f>'[37]Dados de entrada'!$B$32</f>
        <v>45</v>
      </c>
      <c r="E165" s="20">
        <f>'[37]Dados de entrada'!$B$27</f>
        <v>2.8</v>
      </c>
      <c r="F165" s="21">
        <f>'[37]Dados de entrada'!$B$30</f>
        <v>40</v>
      </c>
      <c r="G165" s="56">
        <f>'[37]Dados de entrada'!$B$22</f>
        <v>45</v>
      </c>
      <c r="H165" s="57">
        <f>'[37]Dados de entrada'!$B$29/(2*'[37]Dados de entrada'!$B$20*G165)</f>
        <v>8.7222222222222215E-3</v>
      </c>
      <c r="I165" s="27" cm="1">
        <f t="array" ref="I165:I172">'[37]fib Model Code 2010'!$K$5:$K$12</f>
        <v>251.40977002923657</v>
      </c>
      <c r="J165" s="19" cm="1">
        <f t="array" ref="J165:J172">'[37]Dados de entrada'!$C$7:$C$14</f>
        <v>0.15</v>
      </c>
    </row>
    <row r="166" spans="1:10">
      <c r="A166" s="90"/>
      <c r="B166" s="21">
        <f>'[37]Dados de entrada'!$B$28</f>
        <v>10</v>
      </c>
      <c r="C166" s="21">
        <f>'[37]Dados de entrada'!$B$31</f>
        <v>1</v>
      </c>
      <c r="D166" s="21">
        <f>'[37]Dados de entrada'!$B$32</f>
        <v>45</v>
      </c>
      <c r="E166" s="20">
        <f>'[37]Dados de entrada'!$B$27</f>
        <v>2.8</v>
      </c>
      <c r="F166" s="21">
        <f>'[37]Dados de entrada'!$B$30</f>
        <v>40</v>
      </c>
      <c r="G166" s="56">
        <f>'[37]Dados de entrada'!$B$22</f>
        <v>45</v>
      </c>
      <c r="H166" s="57">
        <f>'[37]Dados de entrada'!$B$29/(2*'[37]Dados de entrada'!$B$20*G166)</f>
        <v>8.7222222222222215E-3</v>
      </c>
      <c r="I166" s="27">
        <v>274.14363221273135</v>
      </c>
      <c r="J166" s="19">
        <v>0.17</v>
      </c>
    </row>
    <row r="167" spans="1:10">
      <c r="A167" s="90"/>
      <c r="B167" s="21">
        <f>'[37]Dados de entrada'!$B$28</f>
        <v>10</v>
      </c>
      <c r="C167" s="21">
        <f>'[37]Dados de entrada'!$B$31</f>
        <v>1</v>
      </c>
      <c r="D167" s="21">
        <f>'[37]Dados de entrada'!$B$32</f>
        <v>45</v>
      </c>
      <c r="E167" s="20">
        <f>'[37]Dados de entrada'!$B$27</f>
        <v>2.8</v>
      </c>
      <c r="F167" s="21">
        <f>'[37]Dados de entrada'!$B$30</f>
        <v>40</v>
      </c>
      <c r="G167" s="56">
        <f>'[37]Dados de entrada'!$B$22</f>
        <v>45</v>
      </c>
      <c r="H167" s="57">
        <f>'[37]Dados de entrada'!$B$29/(2*'[37]Dados de entrada'!$B$20*G167)</f>
        <v>8.7222222222222215E-3</v>
      </c>
      <c r="I167" s="27">
        <v>295.54020838543232</v>
      </c>
      <c r="J167" s="19">
        <v>0.19</v>
      </c>
    </row>
    <row r="168" spans="1:10">
      <c r="A168" s="90"/>
      <c r="B168" s="21">
        <f>'[37]Dados de entrada'!$B$28</f>
        <v>10</v>
      </c>
      <c r="C168" s="21">
        <f>'[37]Dados de entrada'!$B$31</f>
        <v>1</v>
      </c>
      <c r="D168" s="21">
        <f>'[37]Dados de entrada'!$B$32</f>
        <v>45</v>
      </c>
      <c r="E168" s="20">
        <f>'[37]Dados de entrada'!$B$27</f>
        <v>2.8</v>
      </c>
      <c r="F168" s="21">
        <f>'[37]Dados de entrada'!$B$30</f>
        <v>40</v>
      </c>
      <c r="G168" s="56">
        <f>'[37]Dados de entrada'!$B$22</f>
        <v>45</v>
      </c>
      <c r="H168" s="57">
        <f>'[37]Dados de entrada'!$B$29/(2*'[37]Dados de entrada'!$B$20*G168)</f>
        <v>8.7222222222222215E-3</v>
      </c>
      <c r="I168" s="27">
        <v>314.93085554194266</v>
      </c>
      <c r="J168" s="19">
        <v>0.2</v>
      </c>
    </row>
    <row r="169" spans="1:10">
      <c r="A169" s="90"/>
      <c r="B169" s="21">
        <f>'[37]Dados de entrada'!$B$28</f>
        <v>10</v>
      </c>
      <c r="C169" s="21">
        <f>'[37]Dados de entrada'!$B$31</f>
        <v>1</v>
      </c>
      <c r="D169" s="21">
        <f>'[37]Dados de entrada'!$B$32</f>
        <v>45</v>
      </c>
      <c r="E169" s="20">
        <f>'[37]Dados de entrada'!$B$27</f>
        <v>2.8</v>
      </c>
      <c r="F169" s="21">
        <f>'[37]Dados de entrada'!$B$30</f>
        <v>40</v>
      </c>
      <c r="G169" s="56">
        <f>'[37]Dados de entrada'!$B$22</f>
        <v>45</v>
      </c>
      <c r="H169" s="57">
        <f>'[37]Dados de entrada'!$B$29/(2*'[37]Dados de entrada'!$B$20*G169)</f>
        <v>8.7222222222222215E-3</v>
      </c>
      <c r="I169" s="27">
        <v>336.9960747200405</v>
      </c>
      <c r="J169" s="19">
        <v>0.22</v>
      </c>
    </row>
    <row r="170" spans="1:10">
      <c r="A170" s="90"/>
      <c r="B170" s="21">
        <f>'[37]Dados de entrada'!$B$28</f>
        <v>10</v>
      </c>
      <c r="C170" s="21">
        <f>'[37]Dados de entrada'!$B$31</f>
        <v>1</v>
      </c>
      <c r="D170" s="21">
        <f>'[37]Dados de entrada'!$B$32</f>
        <v>45</v>
      </c>
      <c r="E170" s="20">
        <f>'[37]Dados de entrada'!$B$27</f>
        <v>2.8</v>
      </c>
      <c r="F170" s="21">
        <f>'[37]Dados de entrada'!$B$30</f>
        <v>40</v>
      </c>
      <c r="G170" s="56">
        <f>'[37]Dados de entrada'!$B$22</f>
        <v>45</v>
      </c>
      <c r="H170" s="57">
        <f>'[37]Dados de entrada'!$B$29/(2*'[37]Dados de entrada'!$B$20*G170)</f>
        <v>8.7222222222222215E-3</v>
      </c>
      <c r="I170" s="27">
        <v>359.06129389813839</v>
      </c>
      <c r="J170" s="19">
        <v>0.24</v>
      </c>
    </row>
    <row r="171" spans="1:10">
      <c r="A171" s="90"/>
      <c r="B171" s="21">
        <f>'[37]Dados de entrada'!$B$28</f>
        <v>10</v>
      </c>
      <c r="C171" s="21">
        <f>'[37]Dados de entrada'!$B$31</f>
        <v>1</v>
      </c>
      <c r="D171" s="21">
        <f>'[37]Dados de entrada'!$B$32</f>
        <v>45</v>
      </c>
      <c r="E171" s="20">
        <f>'[37]Dados de entrada'!$B$27</f>
        <v>2.8</v>
      </c>
      <c r="F171" s="21">
        <f>'[37]Dados de entrada'!$B$30</f>
        <v>40</v>
      </c>
      <c r="G171" s="56">
        <f>'[37]Dados de entrada'!$B$22</f>
        <v>45</v>
      </c>
      <c r="H171" s="57">
        <f>'[37]Dados de entrada'!$B$29/(2*'[37]Dados de entrada'!$B$20*G171)</f>
        <v>8.7222222222222215E-3</v>
      </c>
      <c r="I171" s="27">
        <v>377.78329804925175</v>
      </c>
      <c r="J171" s="19">
        <v>0.26</v>
      </c>
    </row>
    <row r="172" spans="1:10">
      <c r="A172" s="86"/>
      <c r="B172" s="21">
        <f>'[37]Dados de entrada'!$B$28</f>
        <v>10</v>
      </c>
      <c r="C172" s="21">
        <f>'[37]Dados de entrada'!$B$31</f>
        <v>1</v>
      </c>
      <c r="D172" s="21">
        <f>'[37]Dados de entrada'!$B$32</f>
        <v>45</v>
      </c>
      <c r="E172" s="20">
        <f>'[37]Dados de entrada'!$B$27</f>
        <v>2.8</v>
      </c>
      <c r="F172" s="21">
        <f>'[37]Dados de entrada'!$B$30</f>
        <v>40</v>
      </c>
      <c r="G172" s="56">
        <f>'[37]Dados de entrada'!$B$22</f>
        <v>45</v>
      </c>
      <c r="H172" s="57">
        <f>'[37]Dados de entrada'!$B$29/(2*'[37]Dados de entrada'!$B$20*G172)</f>
        <v>8.7222222222222215E-3</v>
      </c>
      <c r="I172" s="27">
        <v>395.83665919496815</v>
      </c>
      <c r="J172" s="19">
        <v>0.28999999999999998</v>
      </c>
    </row>
    <row r="173" spans="1:10">
      <c r="A173" s="87" t="s">
        <v>74</v>
      </c>
      <c r="B173" s="5">
        <f>'[38]Dados de entrada'!$B$28</f>
        <v>20</v>
      </c>
      <c r="C173" s="5">
        <f>'[38]Dados de entrada'!$B$31</f>
        <v>1</v>
      </c>
      <c r="D173" s="5">
        <f>'[38]Dados de entrada'!$B$32</f>
        <v>40</v>
      </c>
      <c r="E173" s="29">
        <f>'[38]Dados de entrada'!$B$27</f>
        <v>2.8</v>
      </c>
      <c r="F173" s="5">
        <f>'[38]Dados de entrada'!$B$30</f>
        <v>40</v>
      </c>
      <c r="G173" s="12">
        <f>'[38]Dados de entrada'!$B$22</f>
        <v>50</v>
      </c>
      <c r="H173" s="52">
        <f>'[38]Dados de entrada'!$B$29/(2*'[38]Dados de entrada'!$B$20*G173)</f>
        <v>3.15E-2</v>
      </c>
      <c r="I173" s="53" cm="1">
        <f t="array" ref="I173:I178">'[38]fib Model Code 2010'!$K$5:$K$10</f>
        <v>201.33268539095971</v>
      </c>
      <c r="J173" s="4" cm="1">
        <f t="array" ref="J173:J178">'[38]Dados de entrada'!$C$7:$C$12</f>
        <v>0.17</v>
      </c>
    </row>
    <row r="174" spans="1:10">
      <c r="A174" s="88"/>
      <c r="B174" s="5">
        <f>'[38]Dados de entrada'!$B$28</f>
        <v>20</v>
      </c>
      <c r="C174" s="5">
        <f>'[38]Dados de entrada'!$B$31</f>
        <v>1</v>
      </c>
      <c r="D174" s="5">
        <f>'[38]Dados de entrada'!$B$32</f>
        <v>40</v>
      </c>
      <c r="E174" s="29">
        <f>'[38]Dados de entrada'!$B$27</f>
        <v>2.8</v>
      </c>
      <c r="F174" s="5">
        <f>'[38]Dados de entrada'!$B$30</f>
        <v>40</v>
      </c>
      <c r="G174" s="12">
        <f>'[38]Dados de entrada'!$B$22</f>
        <v>50</v>
      </c>
      <c r="H174" s="52">
        <f>'[38]Dados de entrada'!$B$29/(2*'[38]Dados de entrada'!$B$20*G174)</f>
        <v>3.15E-2</v>
      </c>
      <c r="I174" s="53">
        <v>235.28147905021083</v>
      </c>
      <c r="J174" s="4">
        <v>0.2</v>
      </c>
    </row>
    <row r="175" spans="1:10">
      <c r="A175" s="88"/>
      <c r="B175" s="5">
        <f>'[38]Dados de entrada'!$B$28</f>
        <v>20</v>
      </c>
      <c r="C175" s="5">
        <f>'[38]Dados de entrada'!$B$31</f>
        <v>1</v>
      </c>
      <c r="D175" s="5">
        <f>'[38]Dados de entrada'!$B$32</f>
        <v>40</v>
      </c>
      <c r="E175" s="29">
        <f>'[38]Dados de entrada'!$B$27</f>
        <v>2.8</v>
      </c>
      <c r="F175" s="5">
        <f>'[38]Dados de entrada'!$B$30</f>
        <v>40</v>
      </c>
      <c r="G175" s="12">
        <f>'[38]Dados de entrada'!$B$22</f>
        <v>50</v>
      </c>
      <c r="H175" s="52">
        <f>'[38]Dados de entrada'!$B$29/(2*'[38]Dados de entrada'!$B$20*G175)</f>
        <v>3.15E-2</v>
      </c>
      <c r="I175" s="53">
        <v>268.14100660274795</v>
      </c>
      <c r="J175" s="4">
        <v>0.24</v>
      </c>
    </row>
    <row r="176" spans="1:10">
      <c r="A176" s="88"/>
      <c r="B176" s="5">
        <f>'[38]Dados de entrada'!$B$28</f>
        <v>20</v>
      </c>
      <c r="C176" s="5">
        <f>'[38]Dados de entrada'!$B$31</f>
        <v>1</v>
      </c>
      <c r="D176" s="5">
        <f>'[38]Dados de entrada'!$B$32</f>
        <v>40</v>
      </c>
      <c r="E176" s="29">
        <f>'[38]Dados de entrada'!$B$27</f>
        <v>2.8</v>
      </c>
      <c r="F176" s="5">
        <f>'[38]Dados de entrada'!$B$30</f>
        <v>40</v>
      </c>
      <c r="G176" s="12">
        <f>'[38]Dados de entrada'!$B$22</f>
        <v>50</v>
      </c>
      <c r="H176" s="52">
        <f>'[38]Dados de entrada'!$B$29/(2*'[38]Dados de entrada'!$B$20*G176)</f>
        <v>3.15E-2</v>
      </c>
      <c r="I176" s="53">
        <v>300.81898980416611</v>
      </c>
      <c r="J176" s="4">
        <v>0.27</v>
      </c>
    </row>
    <row r="177" spans="1:10">
      <c r="A177" s="88"/>
      <c r="B177" s="5">
        <f>'[38]Dados de entrada'!$B$28</f>
        <v>20</v>
      </c>
      <c r="C177" s="5">
        <f>'[38]Dados de entrada'!$B$31</f>
        <v>1</v>
      </c>
      <c r="D177" s="5">
        <f>'[38]Dados de entrada'!$B$32</f>
        <v>40</v>
      </c>
      <c r="E177" s="29">
        <f>'[38]Dados de entrada'!$B$27</f>
        <v>2.8</v>
      </c>
      <c r="F177" s="5">
        <f>'[38]Dados de entrada'!$B$30</f>
        <v>40</v>
      </c>
      <c r="G177" s="12">
        <f>'[38]Dados de entrada'!$B$22</f>
        <v>50</v>
      </c>
      <c r="H177" s="52">
        <f>'[38]Dados de entrada'!$B$29/(2*'[38]Dados de entrada'!$B$20*G177)</f>
        <v>3.15E-2</v>
      </c>
      <c r="I177" s="53">
        <v>333.13388430334641</v>
      </c>
      <c r="J177" s="4">
        <v>0.32</v>
      </c>
    </row>
    <row r="178" spans="1:10">
      <c r="A178" s="89"/>
      <c r="B178" s="5">
        <f>'[38]Dados de entrada'!$B$28</f>
        <v>20</v>
      </c>
      <c r="C178" s="5">
        <f>'[38]Dados de entrada'!$B$31</f>
        <v>1</v>
      </c>
      <c r="D178" s="5">
        <f>'[38]Dados de entrada'!$B$32</f>
        <v>40</v>
      </c>
      <c r="E178" s="29">
        <f>'[38]Dados de entrada'!$B$27</f>
        <v>2.8</v>
      </c>
      <c r="F178" s="5">
        <f>'[38]Dados de entrada'!$B$30</f>
        <v>40</v>
      </c>
      <c r="G178" s="12">
        <f>'[38]Dados de entrada'!$B$22</f>
        <v>50</v>
      </c>
      <c r="H178" s="52">
        <f>'[38]Dados de entrada'!$B$29/(2*'[38]Dados de entrada'!$B$20*G178)</f>
        <v>3.15E-2</v>
      </c>
      <c r="I178" s="53">
        <v>366.35650055812141</v>
      </c>
      <c r="J178" s="4">
        <v>0.34</v>
      </c>
    </row>
    <row r="179" spans="1:10">
      <c r="A179" s="85" t="s">
        <v>75</v>
      </c>
      <c r="B179" s="21">
        <f>'[39]Dados de entrada'!$B$28</f>
        <v>20</v>
      </c>
      <c r="C179" s="21">
        <f>'[39]Dados de entrada'!$B$31</f>
        <v>1</v>
      </c>
      <c r="D179" s="70">
        <f>'[39]Dados de entrada'!$B$32</f>
        <v>40</v>
      </c>
      <c r="E179" s="20">
        <f>'[39]Dados de entrada'!$B$27</f>
        <v>2.8</v>
      </c>
      <c r="F179" s="21">
        <f>'[39]Dados de entrada'!$B$30</f>
        <v>40</v>
      </c>
      <c r="G179" s="56">
        <f>'[39]Dados de entrada'!$B$22</f>
        <v>50</v>
      </c>
      <c r="H179" s="57">
        <f>'[39]Dados de entrada'!$B$29/(2*'[39]Dados de entrada'!$B$20*G179)</f>
        <v>3.15E-2</v>
      </c>
      <c r="I179" s="27" cm="1">
        <f t="array" ref="I179:I185">'[39]fib Model Code 2010'!$K$5:$K$11</f>
        <v>169.74396829625545</v>
      </c>
      <c r="J179" s="19" cm="1">
        <f t="array" ref="J179:J185">'[39]Dados de entrada'!$C$7:$C$13</f>
        <v>0.16</v>
      </c>
    </row>
    <row r="180" spans="1:10">
      <c r="A180" s="90"/>
      <c r="B180" s="21">
        <f>'[39]Dados de entrada'!$B$28</f>
        <v>20</v>
      </c>
      <c r="C180" s="21">
        <f>'[39]Dados de entrada'!$B$31</f>
        <v>1</v>
      </c>
      <c r="D180" s="70">
        <f>'[39]Dados de entrada'!$B$32</f>
        <v>40</v>
      </c>
      <c r="E180" s="20">
        <f>'[39]Dados de entrada'!$B$27</f>
        <v>2.8</v>
      </c>
      <c r="F180" s="21">
        <f>'[39]Dados de entrada'!$B$30</f>
        <v>40</v>
      </c>
      <c r="G180" s="56">
        <f>'[39]Dados de entrada'!$B$22</f>
        <v>50</v>
      </c>
      <c r="H180" s="57">
        <f>'[39]Dados de entrada'!$B$29/(2*'[39]Dados de entrada'!$B$20*G180)</f>
        <v>3.15E-2</v>
      </c>
      <c r="I180" s="27">
        <v>201.87731844431667</v>
      </c>
      <c r="J180" s="19">
        <v>0.2</v>
      </c>
    </row>
    <row r="181" spans="1:10">
      <c r="A181" s="90"/>
      <c r="B181" s="21">
        <f>'[39]Dados de entrada'!$B$28</f>
        <v>20</v>
      </c>
      <c r="C181" s="21">
        <f>'[39]Dados de entrada'!$B$31</f>
        <v>1</v>
      </c>
      <c r="D181" s="70">
        <f>'[39]Dados de entrada'!$B$32</f>
        <v>40</v>
      </c>
      <c r="E181" s="20">
        <f>'[39]Dados de entrada'!$B$27</f>
        <v>2.8</v>
      </c>
      <c r="F181" s="21">
        <f>'[39]Dados de entrada'!$B$30</f>
        <v>40</v>
      </c>
      <c r="G181" s="56">
        <f>'[39]Dados de entrada'!$B$22</f>
        <v>50</v>
      </c>
      <c r="H181" s="57">
        <f>'[39]Dados de entrada'!$B$29/(2*'[39]Dados de entrada'!$B$20*G181)</f>
        <v>3.15E-2</v>
      </c>
      <c r="I181" s="27">
        <v>234.73684599685382</v>
      </c>
      <c r="J181" s="19">
        <v>0.24</v>
      </c>
    </row>
    <row r="182" spans="1:10">
      <c r="A182" s="90"/>
      <c r="B182" s="21">
        <f>'[39]Dados de entrada'!$B$28</f>
        <v>20</v>
      </c>
      <c r="C182" s="21">
        <f>'[39]Dados de entrada'!$B$31</f>
        <v>1</v>
      </c>
      <c r="D182" s="70">
        <f>'[39]Dados de entrada'!$B$32</f>
        <v>40</v>
      </c>
      <c r="E182" s="20">
        <f>'[39]Dados de entrada'!$B$27</f>
        <v>2.8</v>
      </c>
      <c r="F182" s="21">
        <f>'[39]Dados de entrada'!$B$30</f>
        <v>40</v>
      </c>
      <c r="G182" s="56">
        <f>'[39]Dados de entrada'!$B$22</f>
        <v>50</v>
      </c>
      <c r="H182" s="57">
        <f>'[39]Dados de entrada'!$B$29/(2*'[39]Dados de entrada'!$B$20*G182)</f>
        <v>3.15E-2</v>
      </c>
      <c r="I182" s="27">
        <v>267.23328484715302</v>
      </c>
      <c r="J182" s="19">
        <v>0.27</v>
      </c>
    </row>
    <row r="183" spans="1:10">
      <c r="A183" s="90"/>
      <c r="B183" s="21">
        <f>'[39]Dados de entrada'!$B$28</f>
        <v>20</v>
      </c>
      <c r="C183" s="21">
        <f>'[39]Dados de entrada'!$B$31</f>
        <v>1</v>
      </c>
      <c r="D183" s="70">
        <f>'[39]Dados de entrada'!$B$32</f>
        <v>40</v>
      </c>
      <c r="E183" s="20">
        <f>'[39]Dados de entrada'!$B$27</f>
        <v>2.8</v>
      </c>
      <c r="F183" s="21">
        <f>'[39]Dados de entrada'!$B$30</f>
        <v>40</v>
      </c>
      <c r="G183" s="56">
        <f>'[39]Dados de entrada'!$B$22</f>
        <v>50</v>
      </c>
      <c r="H183" s="57">
        <f>'[39]Dados de entrada'!$B$29/(2*'[39]Dados de entrada'!$B$20*G183)</f>
        <v>3.15E-2</v>
      </c>
      <c r="I183" s="27">
        <v>301.0005341552851</v>
      </c>
      <c r="J183" s="19">
        <v>0.28999999999999998</v>
      </c>
    </row>
    <row r="184" spans="1:10">
      <c r="A184" s="90"/>
      <c r="B184" s="21">
        <f>'[39]Dados de entrada'!$B$28</f>
        <v>20</v>
      </c>
      <c r="C184" s="21">
        <f>'[39]Dados de entrada'!$B$31</f>
        <v>1</v>
      </c>
      <c r="D184" s="70">
        <f>'[39]Dados de entrada'!$B$32</f>
        <v>40</v>
      </c>
      <c r="E184" s="20">
        <f>'[39]Dados de entrada'!$B$27</f>
        <v>2.8</v>
      </c>
      <c r="F184" s="21">
        <f>'[39]Dados de entrada'!$B$30</f>
        <v>40</v>
      </c>
      <c r="G184" s="56">
        <f>'[39]Dados de entrada'!$B$22</f>
        <v>50</v>
      </c>
      <c r="H184" s="57">
        <f>'[39]Dados de entrada'!$B$29/(2*'[39]Dados de entrada'!$B$20*G184)</f>
        <v>3.15E-2</v>
      </c>
      <c r="I184" s="27">
        <v>333.13388430334641</v>
      </c>
      <c r="J184" s="19">
        <v>0.32</v>
      </c>
    </row>
    <row r="185" spans="1:10">
      <c r="A185" s="86"/>
      <c r="B185" s="21">
        <f>'[39]Dados de entrada'!$B$28</f>
        <v>20</v>
      </c>
      <c r="C185" s="21">
        <f>'[39]Dados de entrada'!$B$31</f>
        <v>1</v>
      </c>
      <c r="D185" s="70">
        <f>'[39]Dados de entrada'!$B$32</f>
        <v>40</v>
      </c>
      <c r="E185" s="20">
        <f>'[39]Dados de entrada'!$B$27</f>
        <v>2.8</v>
      </c>
      <c r="F185" s="21">
        <f>'[39]Dados de entrada'!$B$30</f>
        <v>40</v>
      </c>
      <c r="G185" s="56">
        <f>'[39]Dados de entrada'!$B$22</f>
        <v>50</v>
      </c>
      <c r="H185" s="57">
        <f>'[39]Dados de entrada'!$B$29/(2*'[39]Dados de entrada'!$B$20*G185)</f>
        <v>3.15E-2</v>
      </c>
      <c r="I185" s="27">
        <v>348.7466984995794</v>
      </c>
      <c r="J185" s="19">
        <v>0.33</v>
      </c>
    </row>
    <row r="186" spans="1:10">
      <c r="A186" s="87" t="s">
        <v>76</v>
      </c>
      <c r="B186" s="5">
        <f>'[40]Dados de entrada'!$B$28</f>
        <v>10</v>
      </c>
      <c r="C186" s="5">
        <f>'[40]Dados de entrada'!$B$31</f>
        <v>1</v>
      </c>
      <c r="D186" s="5">
        <f>'[40]Dados de entrada'!$B$32</f>
        <v>45</v>
      </c>
      <c r="E186" s="11">
        <f>'[40]Dados de entrada'!$B$27</f>
        <v>2.8</v>
      </c>
      <c r="F186" s="5">
        <f>'[40]Dados de entrada'!$B$30</f>
        <v>40</v>
      </c>
      <c r="G186" s="12">
        <f>'[40]Dados de entrada'!$B$22</f>
        <v>45</v>
      </c>
      <c r="H186" s="52">
        <f>'[40]Dados de entrada'!$B$29/(2*'[40]Dados de entrada'!$B$20*G186)</f>
        <v>8.7222222222222215E-3</v>
      </c>
      <c r="I186" s="53" cm="1">
        <f t="array" ref="I186:I193">'[40]fib Model Code 2010'!$K$5:$K$12</f>
        <v>310.30985357473827</v>
      </c>
      <c r="J186" s="4" cm="1">
        <f t="array" ref="J186:J193">'[40]Dados de entrada'!$C$7:$C$14</f>
        <v>0.15</v>
      </c>
    </row>
    <row r="187" spans="1:10">
      <c r="A187" s="88"/>
      <c r="B187" s="5">
        <f>'[40]Dados de entrada'!$B$28</f>
        <v>10</v>
      </c>
      <c r="C187" s="5">
        <f>'[40]Dados de entrada'!$B$31</f>
        <v>1</v>
      </c>
      <c r="D187" s="5">
        <f>'[40]Dados de entrada'!$B$32</f>
        <v>45</v>
      </c>
      <c r="E187" s="11">
        <f>'[40]Dados de entrada'!$B$27</f>
        <v>2.8</v>
      </c>
      <c r="F187" s="5">
        <f>'[40]Dados de entrada'!$B$30</f>
        <v>40</v>
      </c>
      <c r="G187" s="12">
        <f>'[40]Dados de entrada'!$B$22</f>
        <v>45</v>
      </c>
      <c r="H187" s="52">
        <f>'[40]Dados de entrada'!$B$29/(2*'[40]Dados de entrada'!$B$20*G187)</f>
        <v>8.7222222222222215E-3</v>
      </c>
      <c r="I187" s="53">
        <v>330.28688277482877</v>
      </c>
      <c r="J187" s="4">
        <v>0.19</v>
      </c>
    </row>
    <row r="188" spans="1:10">
      <c r="A188" s="88"/>
      <c r="B188" s="5">
        <f>'[40]Dados de entrada'!$B$28</f>
        <v>10</v>
      </c>
      <c r="C188" s="5">
        <f>'[40]Dados de entrada'!$B$31</f>
        <v>1</v>
      </c>
      <c r="D188" s="5">
        <f>'[40]Dados de entrada'!$B$32</f>
        <v>45</v>
      </c>
      <c r="E188" s="11">
        <f>'[40]Dados de entrada'!$B$27</f>
        <v>2.8</v>
      </c>
      <c r="F188" s="5">
        <f>'[40]Dados de entrada'!$B$30</f>
        <v>40</v>
      </c>
      <c r="G188" s="12">
        <f>'[40]Dados de entrada'!$B$22</f>
        <v>45</v>
      </c>
      <c r="H188" s="52">
        <f>'[40]Dados de entrada'!$B$29/(2*'[40]Dados de entrada'!$B$20*G188)</f>
        <v>8.7222222222222215E-3</v>
      </c>
      <c r="I188" s="53">
        <v>334.28228861484689</v>
      </c>
      <c r="J188" s="4">
        <v>0.2</v>
      </c>
    </row>
    <row r="189" spans="1:10">
      <c r="A189" s="88"/>
      <c r="B189" s="5">
        <f>'[40]Dados de entrada'!$B$28</f>
        <v>10</v>
      </c>
      <c r="C189" s="5">
        <f>'[40]Dados de entrada'!$B$31</f>
        <v>1</v>
      </c>
      <c r="D189" s="5">
        <f>'[40]Dados de entrada'!$B$32</f>
        <v>45</v>
      </c>
      <c r="E189" s="11">
        <f>'[40]Dados de entrada'!$B$27</f>
        <v>2.8</v>
      </c>
      <c r="F189" s="5">
        <f>'[40]Dados de entrada'!$B$30</f>
        <v>40</v>
      </c>
      <c r="G189" s="12">
        <f>'[40]Dados de entrada'!$B$22</f>
        <v>45</v>
      </c>
      <c r="H189" s="52">
        <f>'[40]Dados de entrada'!$B$29/(2*'[40]Dados de entrada'!$B$20*G189)</f>
        <v>8.7222222222222215E-3</v>
      </c>
      <c r="I189" s="53">
        <v>351.15177993936766</v>
      </c>
      <c r="J189" s="4">
        <v>0.23</v>
      </c>
    </row>
    <row r="190" spans="1:10">
      <c r="A190" s="88"/>
      <c r="B190" s="5">
        <f>'[40]Dados de entrada'!$B$28</f>
        <v>10</v>
      </c>
      <c r="C190" s="5">
        <f>'[40]Dados de entrada'!$B$31</f>
        <v>1</v>
      </c>
      <c r="D190" s="5">
        <f>'[40]Dados de entrada'!$B$32</f>
        <v>45</v>
      </c>
      <c r="E190" s="11">
        <f>'[40]Dados de entrada'!$B$27</f>
        <v>2.8</v>
      </c>
      <c r="F190" s="5">
        <f>'[40]Dados de entrada'!$B$30</f>
        <v>40</v>
      </c>
      <c r="G190" s="12">
        <f>'[40]Dados de entrada'!$B$22</f>
        <v>45</v>
      </c>
      <c r="H190" s="52">
        <f>'[40]Dados de entrada'!$B$29/(2*'[40]Dados de entrada'!$B$20*G190)</f>
        <v>8.7222222222222215E-3</v>
      </c>
      <c r="I190" s="53">
        <v>362.69406347719769</v>
      </c>
      <c r="J190" s="4">
        <v>0.25</v>
      </c>
    </row>
    <row r="191" spans="1:10">
      <c r="A191" s="88"/>
      <c r="B191" s="5">
        <f>'[40]Dados de entrada'!$B$28</f>
        <v>10</v>
      </c>
      <c r="C191" s="5">
        <f>'[40]Dados de entrada'!$B$31</f>
        <v>1</v>
      </c>
      <c r="D191" s="5">
        <f>'[40]Dados de entrada'!$B$32</f>
        <v>45</v>
      </c>
      <c r="E191" s="11">
        <f>'[40]Dados de entrada'!$B$27</f>
        <v>2.8</v>
      </c>
      <c r="F191" s="5">
        <f>'[40]Dados de entrada'!$B$30</f>
        <v>40</v>
      </c>
      <c r="G191" s="12">
        <f>'[40]Dados de entrada'!$B$22</f>
        <v>45</v>
      </c>
      <c r="H191" s="52">
        <f>'[40]Dados de entrada'!$B$29/(2*'[40]Dados de entrada'!$B$20*G191)</f>
        <v>8.7222222222222215E-3</v>
      </c>
      <c r="I191" s="53">
        <v>375.5681489617005</v>
      </c>
      <c r="J191" s="4">
        <v>0.28000000000000003</v>
      </c>
    </row>
    <row r="192" spans="1:10">
      <c r="A192" s="88"/>
      <c r="B192" s="5">
        <f>'[40]Dados de entrada'!$B$28</f>
        <v>10</v>
      </c>
      <c r="C192" s="5">
        <f>'[40]Dados de entrada'!$B$31</f>
        <v>1</v>
      </c>
      <c r="D192" s="5">
        <f>'[40]Dados de entrada'!$B$32</f>
        <v>45</v>
      </c>
      <c r="E192" s="11">
        <f>'[40]Dados de entrada'!$B$27</f>
        <v>2.8</v>
      </c>
      <c r="F192" s="5">
        <f>'[40]Dados de entrada'!$B$30</f>
        <v>40</v>
      </c>
      <c r="G192" s="12">
        <f>'[40]Dados de entrada'!$B$22</f>
        <v>45</v>
      </c>
      <c r="H192" s="52">
        <f>'[40]Dados de entrada'!$B$29/(2*'[40]Dados de entrada'!$B$20*G192)</f>
        <v>8.7222222222222215E-3</v>
      </c>
      <c r="I192" s="53">
        <v>387.11043249953048</v>
      </c>
      <c r="J192" s="4">
        <v>0.31</v>
      </c>
    </row>
    <row r="193" spans="1:10">
      <c r="A193" s="89"/>
      <c r="B193" s="5">
        <f>'[40]Dados de entrada'!$B$28</f>
        <v>10</v>
      </c>
      <c r="C193" s="5">
        <f>'[40]Dados de entrada'!$B$31</f>
        <v>1</v>
      </c>
      <c r="D193" s="5">
        <f>'[40]Dados de entrada'!$B$32</f>
        <v>45</v>
      </c>
      <c r="E193" s="11">
        <f>'[40]Dados de entrada'!$B$27</f>
        <v>2.8</v>
      </c>
      <c r="F193" s="5">
        <f>'[40]Dados de entrada'!$B$30</f>
        <v>40</v>
      </c>
      <c r="G193" s="12">
        <f>'[40]Dados de entrada'!$B$22</f>
        <v>45</v>
      </c>
      <c r="H193" s="52">
        <f>'[40]Dados de entrada'!$B$29/(2*'[40]Dados de entrada'!$B$20*G193)</f>
        <v>8.7222222222222215E-3</v>
      </c>
      <c r="I193" s="53">
        <v>400.87238594848156</v>
      </c>
      <c r="J193" s="4">
        <v>0.36</v>
      </c>
    </row>
    <row r="194" spans="1:10" ht="13.8" customHeight="1">
      <c r="A194" s="85" t="s">
        <v>77</v>
      </c>
      <c r="B194" s="21">
        <f>'[41]Dados de entrada'!$B$28</f>
        <v>10</v>
      </c>
      <c r="C194" s="21">
        <f>'[41]Dados de entrada'!$B$31</f>
        <v>1</v>
      </c>
      <c r="D194" s="21">
        <f>'[41]Dados de entrada'!$B$32</f>
        <v>45</v>
      </c>
      <c r="E194" s="20">
        <f>'[41]Dados de entrada'!$B$27</f>
        <v>2.8</v>
      </c>
      <c r="F194" s="21">
        <f>'[41]Dados de entrada'!$B$30</f>
        <v>40</v>
      </c>
      <c r="G194" s="56">
        <f>'[41]Dados de entrada'!$B$22</f>
        <v>45</v>
      </c>
      <c r="H194" s="57">
        <f>'[41]Dados de entrada'!$B$29/(2*'[41]Dados de entrada'!$B$20*G194)</f>
        <v>8.7222222222222215E-3</v>
      </c>
      <c r="I194" s="27" cm="1">
        <f t="array" ref="I194:I201">'[41]fib Model Code 2010'!$K$5:$K$12</f>
        <v>308.9780516280656</v>
      </c>
      <c r="J194" s="19" cm="1">
        <f t="array" ref="J194:J201">'[41]Dados de entrada'!$C$7:$C$14</f>
        <v>0.16</v>
      </c>
    </row>
    <row r="195" spans="1:10">
      <c r="A195" s="90"/>
      <c r="B195" s="21">
        <f>'[41]Dados de entrada'!$B$28</f>
        <v>10</v>
      </c>
      <c r="C195" s="21">
        <f>'[41]Dados de entrada'!$B$31</f>
        <v>1</v>
      </c>
      <c r="D195" s="21">
        <f>'[41]Dados de entrada'!$B$32</f>
        <v>45</v>
      </c>
      <c r="E195" s="20">
        <f>'[41]Dados de entrada'!$B$27</f>
        <v>2.8</v>
      </c>
      <c r="F195" s="21">
        <f>'[41]Dados de entrada'!$B$30</f>
        <v>40</v>
      </c>
      <c r="G195" s="56">
        <f>'[41]Dados de entrada'!$B$22</f>
        <v>45</v>
      </c>
      <c r="H195" s="57">
        <f>'[41]Dados de entrada'!$B$29/(2*'[41]Dados de entrada'!$B$20*G195)</f>
        <v>8.7222222222222215E-3</v>
      </c>
      <c r="I195" s="27">
        <v>322.29607109479258</v>
      </c>
      <c r="J195" s="19">
        <v>0.18</v>
      </c>
    </row>
    <row r="196" spans="1:10">
      <c r="A196" s="90"/>
      <c r="B196" s="21">
        <f>'[41]Dados de entrada'!$B$28</f>
        <v>10</v>
      </c>
      <c r="C196" s="21">
        <f>'[41]Dados de entrada'!$B$31</f>
        <v>1</v>
      </c>
      <c r="D196" s="21">
        <f>'[41]Dados de entrada'!$B$32</f>
        <v>45</v>
      </c>
      <c r="E196" s="20">
        <f>'[41]Dados de entrada'!$B$27</f>
        <v>2.8</v>
      </c>
      <c r="F196" s="21">
        <f>'[41]Dados de entrada'!$B$30</f>
        <v>40</v>
      </c>
      <c r="G196" s="56">
        <f>'[41]Dados de entrada'!$B$22</f>
        <v>45</v>
      </c>
      <c r="H196" s="57">
        <f>'[41]Dados de entrada'!$B$29/(2*'[41]Dados de entrada'!$B$20*G196)</f>
        <v>8.7222222222222215E-3</v>
      </c>
      <c r="I196" s="27">
        <v>334.72622259707111</v>
      </c>
      <c r="J196" s="19">
        <v>0.2</v>
      </c>
    </row>
    <row r="197" spans="1:10">
      <c r="A197" s="90"/>
      <c r="B197" s="21">
        <f>'[41]Dados de entrada'!$B$28</f>
        <v>10</v>
      </c>
      <c r="C197" s="21">
        <f>'[41]Dados de entrada'!$B$31</f>
        <v>1</v>
      </c>
      <c r="D197" s="21">
        <f>'[41]Dados de entrada'!$B$32</f>
        <v>45</v>
      </c>
      <c r="E197" s="20">
        <f>'[41]Dados de entrada'!$B$27</f>
        <v>2.8</v>
      </c>
      <c r="F197" s="21">
        <f>'[41]Dados de entrada'!$B$30</f>
        <v>40</v>
      </c>
      <c r="G197" s="56">
        <f>'[41]Dados de entrada'!$B$22</f>
        <v>45</v>
      </c>
      <c r="H197" s="57">
        <f>'[41]Dados de entrada'!$B$29/(2*'[41]Dados de entrada'!$B$20*G197)</f>
        <v>8.7222222222222215E-3</v>
      </c>
      <c r="I197" s="27">
        <v>347.60030808157381</v>
      </c>
      <c r="J197" s="19">
        <v>0.23</v>
      </c>
    </row>
    <row r="198" spans="1:10">
      <c r="A198" s="90"/>
      <c r="B198" s="21">
        <f>'[41]Dados de entrada'!$B$28</f>
        <v>10</v>
      </c>
      <c r="C198" s="21">
        <f>'[41]Dados de entrada'!$B$31</f>
        <v>1</v>
      </c>
      <c r="D198" s="21">
        <f>'[41]Dados de entrada'!$B$32</f>
        <v>45</v>
      </c>
      <c r="E198" s="20">
        <f>'[41]Dados de entrada'!$B$27</f>
        <v>2.8</v>
      </c>
      <c r="F198" s="21">
        <f>'[41]Dados de entrada'!$B$30</f>
        <v>40</v>
      </c>
      <c r="G198" s="56">
        <f>'[41]Dados de entrada'!$B$22</f>
        <v>45</v>
      </c>
      <c r="H198" s="57">
        <f>'[41]Dados de entrada'!$B$29/(2*'[41]Dados de entrada'!$B$20*G198)</f>
        <v>8.7222222222222215E-3</v>
      </c>
      <c r="I198" s="27">
        <v>361.36226153052507</v>
      </c>
      <c r="J198" s="19">
        <v>0.24</v>
      </c>
    </row>
    <row r="199" spans="1:10">
      <c r="A199" s="90"/>
      <c r="B199" s="21">
        <f>'[41]Dados de entrada'!$B$28</f>
        <v>10</v>
      </c>
      <c r="C199" s="21">
        <f>'[41]Dados de entrada'!$B$31</f>
        <v>1</v>
      </c>
      <c r="D199" s="21">
        <f>'[41]Dados de entrada'!$B$32</f>
        <v>45</v>
      </c>
      <c r="E199" s="20">
        <f>'[41]Dados de entrada'!$B$27</f>
        <v>2.8</v>
      </c>
      <c r="F199" s="21">
        <f>'[41]Dados de entrada'!$B$30</f>
        <v>40</v>
      </c>
      <c r="G199" s="56">
        <f>'[41]Dados de entrada'!$B$22</f>
        <v>45</v>
      </c>
      <c r="H199" s="57">
        <f>'[41]Dados de entrada'!$B$29/(2*'[41]Dados de entrada'!$B$20*G199)</f>
        <v>8.7222222222222215E-3</v>
      </c>
      <c r="I199" s="27">
        <v>375.5681489617005</v>
      </c>
      <c r="J199" s="19">
        <v>0.25</v>
      </c>
    </row>
    <row r="200" spans="1:10">
      <c r="A200" s="90"/>
      <c r="B200" s="21">
        <f>'[41]Dados de entrada'!$B$28</f>
        <v>10</v>
      </c>
      <c r="C200" s="21">
        <f>'[41]Dados de entrada'!$B$31</f>
        <v>1</v>
      </c>
      <c r="D200" s="21">
        <f>'[41]Dados de entrada'!$B$32</f>
        <v>45</v>
      </c>
      <c r="E200" s="20">
        <f>'[41]Dados de entrada'!$B$27</f>
        <v>2.8</v>
      </c>
      <c r="F200" s="21">
        <f>'[41]Dados de entrada'!$B$30</f>
        <v>40</v>
      </c>
      <c r="G200" s="56">
        <f>'[41]Dados de entrada'!$B$22</f>
        <v>45</v>
      </c>
      <c r="H200" s="57">
        <f>'[41]Dados de entrada'!$B$29/(2*'[41]Dados de entrada'!$B$20*G200)</f>
        <v>8.7222222222222215E-3</v>
      </c>
      <c r="I200" s="27">
        <v>388.44223444620314</v>
      </c>
      <c r="J200" s="19">
        <v>0.27</v>
      </c>
    </row>
    <row r="201" spans="1:10">
      <c r="A201" s="86"/>
      <c r="B201" s="21">
        <f>'[41]Dados de entrada'!$B$28</f>
        <v>10</v>
      </c>
      <c r="C201" s="21">
        <f>'[41]Dados de entrada'!$B$31</f>
        <v>1</v>
      </c>
      <c r="D201" s="21">
        <f>'[41]Dados de entrada'!$B$32</f>
        <v>45</v>
      </c>
      <c r="E201" s="20">
        <f>'[41]Dados de entrada'!$B$27</f>
        <v>2.8</v>
      </c>
      <c r="F201" s="21">
        <f>'[41]Dados de entrada'!$B$30</f>
        <v>40</v>
      </c>
      <c r="G201" s="56">
        <f>'[41]Dados de entrada'!$B$22</f>
        <v>45</v>
      </c>
      <c r="H201" s="57">
        <f>'[41]Dados de entrada'!$B$29/(2*'[41]Dados de entrada'!$B$20*G201)</f>
        <v>8.7222222222222215E-3</v>
      </c>
      <c r="I201" s="27">
        <v>399.98451798403318</v>
      </c>
      <c r="J201" s="19">
        <v>0.28999999999999998</v>
      </c>
    </row>
    <row r="202" spans="1:10">
      <c r="A202" s="87" t="s">
        <v>78</v>
      </c>
      <c r="B202" s="5">
        <f>'[42]Dados de entrada'!$B$28</f>
        <v>10</v>
      </c>
      <c r="C202" s="5">
        <f>'[42]Dados de entrada'!$B$31</f>
        <v>1</v>
      </c>
      <c r="D202" s="5">
        <f>'[42]Dados de entrada'!$B$32</f>
        <v>45</v>
      </c>
      <c r="E202" s="11">
        <f>'[42]Dados de entrada'!$B$27</f>
        <v>2.8</v>
      </c>
      <c r="F202" s="5">
        <f>'[42]Dados de entrada'!$B$30</f>
        <v>40</v>
      </c>
      <c r="G202" s="12">
        <f>'[42]Dados de entrada'!$B$22</f>
        <v>45</v>
      </c>
      <c r="H202" s="52">
        <f>'[42]Dados de entrada'!$B$29/(2*'[42]Dados de entrada'!$B$20*G202)</f>
        <v>8.7222222222222215E-3</v>
      </c>
      <c r="I202" s="53" cm="1">
        <f t="array" ref="I202:I208">'[42]fib Model Code 2010'!$K$5:$K$11</f>
        <v>323.62787304146531</v>
      </c>
      <c r="J202" s="4" cm="1">
        <f t="array" ref="J202:J208">'[42]Dados de entrada'!$C$7:$C$13</f>
        <v>0.15</v>
      </c>
    </row>
    <row r="203" spans="1:10">
      <c r="A203" s="88"/>
      <c r="B203" s="5">
        <f>'[42]Dados de entrada'!$B$28</f>
        <v>10</v>
      </c>
      <c r="C203" s="5">
        <f>'[42]Dados de entrada'!$B$31</f>
        <v>1</v>
      </c>
      <c r="D203" s="5">
        <f>'[42]Dados de entrada'!$B$32</f>
        <v>45</v>
      </c>
      <c r="E203" s="11">
        <f>'[42]Dados de entrada'!$B$27</f>
        <v>2.8</v>
      </c>
      <c r="F203" s="5">
        <f>'[42]Dados de entrada'!$B$30</f>
        <v>40</v>
      </c>
      <c r="G203" s="12">
        <f>'[42]Dados de entrada'!$B$22</f>
        <v>45</v>
      </c>
      <c r="H203" s="52">
        <f>'[42]Dados de entrada'!$B$29/(2*'[42]Dados de entrada'!$B$20*G203)</f>
        <v>8.7222222222222215E-3</v>
      </c>
      <c r="I203" s="53">
        <v>336.50195852596801</v>
      </c>
      <c r="J203" s="4">
        <v>0.16</v>
      </c>
    </row>
    <row r="204" spans="1:10">
      <c r="A204" s="88"/>
      <c r="B204" s="5">
        <f>'[42]Dados de entrada'!$B$28</f>
        <v>10</v>
      </c>
      <c r="C204" s="5">
        <f>'[42]Dados de entrada'!$B$31</f>
        <v>1</v>
      </c>
      <c r="D204" s="5">
        <f>'[42]Dados de entrada'!$B$32</f>
        <v>45</v>
      </c>
      <c r="E204" s="11">
        <f>'[42]Dados de entrada'!$B$27</f>
        <v>2.8</v>
      </c>
      <c r="F204" s="5">
        <f>'[42]Dados de entrada'!$B$30</f>
        <v>40</v>
      </c>
      <c r="G204" s="12">
        <f>'[42]Dados de entrada'!$B$22</f>
        <v>45</v>
      </c>
      <c r="H204" s="52">
        <f>'[42]Dados de entrada'!$B$29/(2*'[42]Dados de entrada'!$B$20*G204)</f>
        <v>8.7222222222222215E-3</v>
      </c>
      <c r="I204" s="53">
        <v>354.70325179716156</v>
      </c>
      <c r="J204" s="4">
        <v>0.18</v>
      </c>
    </row>
    <row r="205" spans="1:10">
      <c r="A205" s="88"/>
      <c r="B205" s="5">
        <f>'[42]Dados de entrada'!$B$28</f>
        <v>10</v>
      </c>
      <c r="C205" s="5">
        <f>'[42]Dados de entrada'!$B$31</f>
        <v>1</v>
      </c>
      <c r="D205" s="5">
        <f>'[42]Dados de entrada'!$B$32</f>
        <v>45</v>
      </c>
      <c r="E205" s="11">
        <f>'[42]Dados de entrada'!$B$27</f>
        <v>2.8</v>
      </c>
      <c r="F205" s="5">
        <f>'[42]Dados de entrada'!$B$30</f>
        <v>40</v>
      </c>
      <c r="G205" s="12">
        <f>'[42]Dados de entrada'!$B$22</f>
        <v>45</v>
      </c>
      <c r="H205" s="52">
        <f>'[42]Dados de entrada'!$B$29/(2*'[42]Dados de entrada'!$B$20*G205)</f>
        <v>8.7222222222222215E-3</v>
      </c>
      <c r="I205" s="53">
        <v>365.35766737054308</v>
      </c>
      <c r="J205" s="4">
        <v>0.18</v>
      </c>
    </row>
    <row r="206" spans="1:10">
      <c r="A206" s="88"/>
      <c r="B206" s="5">
        <f>'[42]Dados de entrada'!$B$28</f>
        <v>10</v>
      </c>
      <c r="C206" s="5">
        <f>'[42]Dados de entrada'!$B$31</f>
        <v>1</v>
      </c>
      <c r="D206" s="5">
        <f>'[42]Dados de entrada'!$B$32</f>
        <v>45</v>
      </c>
      <c r="E206" s="11">
        <f>'[42]Dados de entrada'!$B$27</f>
        <v>2.8</v>
      </c>
      <c r="F206" s="5">
        <f>'[42]Dados de entrada'!$B$30</f>
        <v>40</v>
      </c>
      <c r="G206" s="12">
        <f>'[42]Dados de entrada'!$B$22</f>
        <v>45</v>
      </c>
      <c r="H206" s="52">
        <f>'[42]Dados de entrada'!$B$29/(2*'[42]Dados de entrada'!$B$20*G206)</f>
        <v>8.7222222222222215E-3</v>
      </c>
      <c r="I206" s="53">
        <v>375.5681489617005</v>
      </c>
      <c r="J206" s="4">
        <v>0.19</v>
      </c>
    </row>
    <row r="207" spans="1:10">
      <c r="A207" s="88"/>
      <c r="B207" s="5">
        <f>'[42]Dados de entrada'!$B$28</f>
        <v>10</v>
      </c>
      <c r="C207" s="5">
        <f>'[42]Dados de entrada'!$B$31</f>
        <v>1</v>
      </c>
      <c r="D207" s="5">
        <f>'[42]Dados de entrada'!$B$32</f>
        <v>45</v>
      </c>
      <c r="E207" s="11">
        <f>'[42]Dados de entrada'!$B$27</f>
        <v>2.8</v>
      </c>
      <c r="F207" s="5">
        <f>'[42]Dados de entrada'!$B$30</f>
        <v>40</v>
      </c>
      <c r="G207" s="12">
        <f>'[42]Dados de entrada'!$B$22</f>
        <v>45</v>
      </c>
      <c r="H207" s="52">
        <f>'[42]Dados de entrada'!$B$29/(2*'[42]Dados de entrada'!$B$20*G207)</f>
        <v>8.7222222222222215E-3</v>
      </c>
      <c r="I207" s="53">
        <v>386.66649851730631</v>
      </c>
      <c r="J207" s="4">
        <v>0.2</v>
      </c>
    </row>
    <row r="208" spans="1:10">
      <c r="A208" s="89"/>
      <c r="B208" s="5">
        <f>'[42]Dados de entrada'!$B$28</f>
        <v>10</v>
      </c>
      <c r="C208" s="5">
        <f>'[42]Dados de entrada'!$B$31</f>
        <v>1</v>
      </c>
      <c r="D208" s="5">
        <f>'[42]Dados de entrada'!$B$32</f>
        <v>45</v>
      </c>
      <c r="E208" s="11">
        <f>'[42]Dados de entrada'!$B$27</f>
        <v>2.8</v>
      </c>
      <c r="F208" s="5">
        <f>'[42]Dados de entrada'!$B$30</f>
        <v>40</v>
      </c>
      <c r="G208" s="12">
        <f>'[42]Dados de entrada'!$B$22</f>
        <v>45</v>
      </c>
      <c r="H208" s="52">
        <f>'[42]Dados de entrada'!$B$29/(2*'[42]Dados de entrada'!$B$20*G208)</f>
        <v>8.7222222222222215E-3</v>
      </c>
      <c r="I208" s="53">
        <v>401.31631993070596</v>
      </c>
      <c r="J208" s="4">
        <v>0.22</v>
      </c>
    </row>
    <row r="209" spans="1:10">
      <c r="A209" s="85" t="s">
        <v>79</v>
      </c>
      <c r="B209" s="21">
        <f>'[43]Dados de entrada'!$B$28</f>
        <v>20</v>
      </c>
      <c r="C209" s="21">
        <f>'[43]Dados de entrada'!$B$31</f>
        <v>1</v>
      </c>
      <c r="D209" s="21">
        <f>'[43]Dados de entrada'!$B$32</f>
        <v>40</v>
      </c>
      <c r="E209" s="20">
        <f>'[43]Dados de entrada'!$B$27</f>
        <v>2.8</v>
      </c>
      <c r="F209" s="21">
        <f>'[43]Dados de entrada'!$B$30</f>
        <v>40</v>
      </c>
      <c r="G209" s="56">
        <f>'[43]Dados de entrada'!$B$22</f>
        <v>50</v>
      </c>
      <c r="H209" s="57">
        <f>'[43]Dados de entrada'!$B$29/(2*'[43]Dados de entrada'!$B$20*G209)</f>
        <v>3.15E-2</v>
      </c>
      <c r="I209" s="27" cm="1">
        <f t="array" ref="I209:I211">'[43]fib Model Code 2010'!$K$5:$K$7</f>
        <v>224.93648942333181</v>
      </c>
      <c r="J209" s="19" cm="1">
        <f t="array" ref="J209:J211">'[43]Dados de entrada'!$C$7:$C$9</f>
        <v>0.16</v>
      </c>
    </row>
    <row r="210" spans="1:10">
      <c r="A210" s="90"/>
      <c r="B210" s="21">
        <f>'[43]Dados de entrada'!$B$28</f>
        <v>20</v>
      </c>
      <c r="C210" s="21">
        <f>'[43]Dados de entrada'!$B$31</f>
        <v>1</v>
      </c>
      <c r="D210" s="21">
        <f>'[43]Dados de entrada'!$B$32</f>
        <v>40</v>
      </c>
      <c r="E210" s="20">
        <f>'[43]Dados de entrada'!$B$27</f>
        <v>2.8</v>
      </c>
      <c r="F210" s="21">
        <f>'[43]Dados de entrada'!$B$30</f>
        <v>40</v>
      </c>
      <c r="G210" s="56">
        <f>'[43]Dados de entrada'!$B$22</f>
        <v>50</v>
      </c>
      <c r="H210" s="57">
        <f>'[43]Dados de entrada'!$B$29/(2*'[43]Dados de entrada'!$B$20*G210)</f>
        <v>3.15E-2</v>
      </c>
      <c r="I210" s="27">
        <v>259.89764030841235</v>
      </c>
      <c r="J210" s="19">
        <v>0.2</v>
      </c>
    </row>
    <row r="211" spans="1:10">
      <c r="A211" s="86"/>
      <c r="B211" s="21">
        <f>'[43]Dados de entrada'!$B$28</f>
        <v>20</v>
      </c>
      <c r="C211" s="21">
        <f>'[43]Dados de entrada'!$B$31</f>
        <v>1</v>
      </c>
      <c r="D211" s="21">
        <f>'[43]Dados de entrada'!$B$32</f>
        <v>40</v>
      </c>
      <c r="E211" s="20">
        <f>'[43]Dados de entrada'!$B$27</f>
        <v>2.8</v>
      </c>
      <c r="F211" s="21">
        <f>'[43]Dados de entrada'!$B$30</f>
        <v>40</v>
      </c>
      <c r="G211" s="56">
        <f>'[43]Dados de entrada'!$B$22</f>
        <v>50</v>
      </c>
      <c r="H211" s="57">
        <f>'[43]Dados de entrada'!$B$29/(2*'[43]Dados de entrada'!$B$20*G211)</f>
        <v>3.15E-2</v>
      </c>
      <c r="I211" s="27">
        <v>294.74027881761134</v>
      </c>
      <c r="J211" s="19">
        <v>0.23</v>
      </c>
    </row>
    <row r="212" spans="1:10">
      <c r="A212" s="87" t="s">
        <v>80</v>
      </c>
      <c r="B212" s="5">
        <f>'[44]Dados de entrada'!$B$28</f>
        <v>20</v>
      </c>
      <c r="C212" s="5">
        <f>'[44]Dados de entrada'!$B$31</f>
        <v>1</v>
      </c>
      <c r="D212" s="5">
        <f>'[44]Dados de entrada'!$B$32</f>
        <v>40</v>
      </c>
      <c r="E212" s="11">
        <f>'[44]Dados de entrada'!$B$27</f>
        <v>2.8</v>
      </c>
      <c r="F212" s="5">
        <f>'[44]Dados de entrada'!$B$30</f>
        <v>40</v>
      </c>
      <c r="G212" s="12">
        <f>'[44]Dados de entrada'!$B$22</f>
        <v>50</v>
      </c>
      <c r="H212" s="52">
        <f>'[44]Dados de entrada'!$B$29/(2*'[44]Dados de entrada'!$B$20*G212)</f>
        <v>3.15E-2</v>
      </c>
      <c r="I212" s="53" cm="1">
        <f t="array" ref="I212:I214">'[44]fib Model Code 2010'!$K$5:$K$7</f>
        <v>224.93648942333181</v>
      </c>
      <c r="J212" s="4" cm="1">
        <f t="array" ref="J212:J214">'[44]Dados de entrada'!$C$7:$C$9</f>
        <v>0.14000000000000001</v>
      </c>
    </row>
    <row r="213" spans="1:10">
      <c r="A213" s="88"/>
      <c r="B213" s="5">
        <f>'[44]Dados de entrada'!$B$28</f>
        <v>20</v>
      </c>
      <c r="C213" s="5">
        <f>'[44]Dados de entrada'!$B$31</f>
        <v>1</v>
      </c>
      <c r="D213" s="5">
        <f>'[44]Dados de entrada'!$B$32</f>
        <v>40</v>
      </c>
      <c r="E213" s="11">
        <f>'[44]Dados de entrada'!$B$27</f>
        <v>2.8</v>
      </c>
      <c r="F213" s="5">
        <f>'[44]Dados de entrada'!$B$30</f>
        <v>40</v>
      </c>
      <c r="G213" s="12">
        <f>'[44]Dados de entrada'!$B$22</f>
        <v>50</v>
      </c>
      <c r="H213" s="52">
        <f>'[44]Dados de entrada'!$B$29/(2*'[44]Dados de entrada'!$B$20*G213)</f>
        <v>3.15E-2</v>
      </c>
      <c r="I213" s="53">
        <v>259.42359080488586</v>
      </c>
      <c r="J213" s="4">
        <v>0.17</v>
      </c>
    </row>
    <row r="214" spans="1:10">
      <c r="A214" s="89"/>
      <c r="B214" s="5">
        <f>'[44]Dados de entrada'!$B$28</f>
        <v>20</v>
      </c>
      <c r="C214" s="5">
        <f>'[44]Dados de entrada'!$B$31</f>
        <v>1</v>
      </c>
      <c r="D214" s="5">
        <f>'[44]Dados de entrada'!$B$32</f>
        <v>40</v>
      </c>
      <c r="E214" s="11">
        <f>'[44]Dados de entrada'!$B$27</f>
        <v>2.8</v>
      </c>
      <c r="F214" s="5">
        <f>'[44]Dados de entrada'!$B$30</f>
        <v>40</v>
      </c>
      <c r="G214" s="12">
        <f>'[44]Dados de entrada'!$B$22</f>
        <v>50</v>
      </c>
      <c r="H214" s="52">
        <f>'[44]Dados de entrada'!$B$29/(2*'[44]Dados de entrada'!$B$20*G214)</f>
        <v>3.15E-2</v>
      </c>
      <c r="I214" s="53">
        <v>294.14771693820313</v>
      </c>
      <c r="J214" s="4">
        <v>0.21</v>
      </c>
    </row>
    <row r="215" spans="1:10">
      <c r="A215" s="85" t="s">
        <v>81</v>
      </c>
      <c r="B215" s="21">
        <f>'[45]Dados de entrada'!$B$28</f>
        <v>20</v>
      </c>
      <c r="C215" s="21">
        <f>'[45]Dados de entrada'!$B$31</f>
        <v>1</v>
      </c>
      <c r="D215" s="21">
        <f>'[45]Dados de entrada'!$B$32</f>
        <v>40</v>
      </c>
      <c r="E215" s="20">
        <f>'[45]Dados de entrada'!$B$27</f>
        <v>2.8</v>
      </c>
      <c r="F215" s="21">
        <f>'[45]Dados de entrada'!$B$30</f>
        <v>40</v>
      </c>
      <c r="G215" s="56">
        <f>'[45]Dados de entrada'!$B$22</f>
        <v>50</v>
      </c>
      <c r="H215" s="57">
        <f>'[45]Dados de entrada'!$B$29/(2*'[45]Dados de entrada'!$B$20*G215)</f>
        <v>3.15E-2</v>
      </c>
      <c r="I215" s="27" cm="1">
        <f t="array" ref="I215:I219">'[45]fib Model Code 2010'!$K$5:$K$9</f>
        <v>154.30311339788094</v>
      </c>
      <c r="J215" s="19" cm="1">
        <f t="array" ref="J215:J219">'[45]Dados de entrada'!$C$7:$C$11</f>
        <v>0.21</v>
      </c>
    </row>
    <row r="216" spans="1:10">
      <c r="A216" s="90"/>
      <c r="B216" s="21">
        <f>'[45]Dados de entrada'!$B$28</f>
        <v>20</v>
      </c>
      <c r="C216" s="21">
        <f>'[45]Dados de entrada'!$B$31</f>
        <v>1</v>
      </c>
      <c r="D216" s="21">
        <f>'[45]Dados de entrada'!$B$32</f>
        <v>40</v>
      </c>
      <c r="E216" s="20">
        <f>'[45]Dados de entrada'!$B$27</f>
        <v>2.8</v>
      </c>
      <c r="F216" s="21">
        <f>'[45]Dados de entrada'!$B$30</f>
        <v>40</v>
      </c>
      <c r="G216" s="56">
        <f>'[45]Dados de entrada'!$B$22</f>
        <v>50</v>
      </c>
      <c r="H216" s="57">
        <f>'[45]Dados de entrada'!$B$29/(2*'[45]Dados de entrada'!$B$20*G216)</f>
        <v>3.15E-2</v>
      </c>
      <c r="I216" s="27">
        <v>190.33087566589617</v>
      </c>
      <c r="J216" s="19">
        <v>0.25</v>
      </c>
    </row>
    <row r="217" spans="1:10">
      <c r="A217" s="90"/>
      <c r="B217" s="21">
        <f>'[45]Dados de entrada'!$B$28</f>
        <v>20</v>
      </c>
      <c r="C217" s="21">
        <f>'[45]Dados de entrada'!$B$31</f>
        <v>1</v>
      </c>
      <c r="D217" s="21">
        <f>'[45]Dados de entrada'!$B$32</f>
        <v>40</v>
      </c>
      <c r="E217" s="20">
        <f>'[45]Dados de entrada'!$B$27</f>
        <v>2.8</v>
      </c>
      <c r="F217" s="21">
        <f>'[45]Dados de entrada'!$B$30</f>
        <v>40</v>
      </c>
      <c r="G217" s="56">
        <f>'[45]Dados de entrada'!$B$22</f>
        <v>50</v>
      </c>
      <c r="H217" s="57">
        <f>'[45]Dados de entrada'!$B$29/(2*'[45]Dados de entrada'!$B$20*G217)</f>
        <v>3.15E-2</v>
      </c>
      <c r="I217" s="27">
        <v>224.34392754392366</v>
      </c>
      <c r="J217" s="19">
        <v>0.28999999999999998</v>
      </c>
    </row>
    <row r="218" spans="1:10">
      <c r="A218" s="90"/>
      <c r="B218" s="21">
        <f>'[45]Dados de entrada'!$B$28</f>
        <v>20</v>
      </c>
      <c r="C218" s="21">
        <f>'[45]Dados de entrada'!$B$31</f>
        <v>1</v>
      </c>
      <c r="D218" s="21">
        <f>'[45]Dados de entrada'!$B$32</f>
        <v>40</v>
      </c>
      <c r="E218" s="20">
        <f>'[45]Dados de entrada'!$B$27</f>
        <v>2.8</v>
      </c>
      <c r="F218" s="21">
        <f>'[45]Dados de entrada'!$B$30</f>
        <v>40</v>
      </c>
      <c r="G218" s="56">
        <f>'[45]Dados de entrada'!$B$22</f>
        <v>50</v>
      </c>
      <c r="H218" s="57">
        <f>'[45]Dados de entrada'!$B$29/(2*'[45]Dados de entrada'!$B$20*G218)</f>
        <v>3.15E-2</v>
      </c>
      <c r="I218" s="27">
        <v>258.47549179783277</v>
      </c>
      <c r="J218" s="19">
        <v>0.33</v>
      </c>
    </row>
    <row r="219" spans="1:10">
      <c r="A219" s="86"/>
      <c r="B219" s="21">
        <f>'[45]Dados de entrada'!$B$28</f>
        <v>20</v>
      </c>
      <c r="C219" s="21">
        <f>'[45]Dados de entrada'!$B$31</f>
        <v>1</v>
      </c>
      <c r="D219" s="21">
        <f>'[45]Dados de entrada'!$B$32</f>
        <v>40</v>
      </c>
      <c r="E219" s="20">
        <f>'[45]Dados de entrada'!$B$27</f>
        <v>2.8</v>
      </c>
      <c r="F219" s="21">
        <f>'[45]Dados de entrada'!$B$30</f>
        <v>40</v>
      </c>
      <c r="G219" s="56">
        <f>'[45]Dados de entrada'!$B$22</f>
        <v>50</v>
      </c>
      <c r="H219" s="57">
        <f>'[45]Dados de entrada'!$B$29/(2*'[45]Dados de entrada'!$B$20*G219)</f>
        <v>3.15E-2</v>
      </c>
      <c r="I219" s="27">
        <v>306.71002878165581</v>
      </c>
      <c r="J219" s="19">
        <v>0.37</v>
      </c>
    </row>
    <row r="220" spans="1:10">
      <c r="A220" s="87" t="s">
        <v>85</v>
      </c>
      <c r="B220" s="5">
        <f>'[46]Dados de entrada'!$B$28</f>
        <v>20</v>
      </c>
      <c r="C220" s="5">
        <f>'[46]Dados de entrada'!$B$31</f>
        <v>6</v>
      </c>
      <c r="D220" s="5">
        <f>'[46]Dados de entrada'!$B$32</f>
        <v>84</v>
      </c>
      <c r="E220" s="11">
        <f>'[46]Dados de entrada'!$B$27</f>
        <v>3.5088212858554391</v>
      </c>
      <c r="F220" s="5">
        <f>'[46]Dados de entrada'!$B$30</f>
        <v>50</v>
      </c>
      <c r="G220" s="12">
        <f>'[46]Dados de entrada'!$B$22</f>
        <v>64</v>
      </c>
      <c r="H220" s="52">
        <f>'[46]Dados de entrada'!$B$29/(2*'[46]Dados de entrada'!$B$20*G220)</f>
        <v>2.4531250000000001E-2</v>
      </c>
      <c r="I220" s="53" cm="1">
        <f t="array" ref="I220:I222">'[46]fib Model Code 2010'!$K$5:$K$7</f>
        <v>179.8880402629556</v>
      </c>
      <c r="J220" s="4" cm="1">
        <f t="array" ref="J220:J222">'[46]Dados de entrada'!$C$7:$C$9</f>
        <v>0.15</v>
      </c>
    </row>
    <row r="221" spans="1:10">
      <c r="A221" s="88"/>
      <c r="B221" s="5">
        <f>'[46]Dados de entrada'!$B$28</f>
        <v>20</v>
      </c>
      <c r="C221" s="5">
        <f>'[46]Dados de entrada'!$B$31</f>
        <v>6</v>
      </c>
      <c r="D221" s="5">
        <f>'[46]Dados de entrada'!$B$32</f>
        <v>84</v>
      </c>
      <c r="E221" s="11">
        <f>'[46]Dados de entrada'!$B$27</f>
        <v>3.5088212858554391</v>
      </c>
      <c r="F221" s="5">
        <f>'[46]Dados de entrada'!$B$30</f>
        <v>50</v>
      </c>
      <c r="G221" s="12">
        <f>'[46]Dados de entrada'!$B$22</f>
        <v>64</v>
      </c>
      <c r="H221" s="52">
        <f>'[46]Dados de entrada'!$B$29/(2*'[46]Dados de entrada'!$B$20*G221)</f>
        <v>2.4531250000000001E-2</v>
      </c>
      <c r="I221" s="53">
        <v>225.29667178564338</v>
      </c>
      <c r="J221" s="4">
        <v>0.23</v>
      </c>
    </row>
    <row r="222" spans="1:10">
      <c r="A222" s="89"/>
      <c r="B222" s="5">
        <f>'[46]Dados de entrada'!$B$28</f>
        <v>20</v>
      </c>
      <c r="C222" s="5">
        <f>'[46]Dados de entrada'!$B$31</f>
        <v>6</v>
      </c>
      <c r="D222" s="5">
        <f>'[46]Dados de entrada'!$B$32</f>
        <v>84</v>
      </c>
      <c r="E222" s="11">
        <f>'[46]Dados de entrada'!$B$27</f>
        <v>3.5088212858554391</v>
      </c>
      <c r="F222" s="5">
        <f>'[46]Dados de entrada'!$B$30</f>
        <v>50</v>
      </c>
      <c r="G222" s="12">
        <f>'[46]Dados de entrada'!$B$22</f>
        <v>64</v>
      </c>
      <c r="H222" s="52">
        <f>'[46]Dados de entrada'!$B$29/(2*'[46]Dados de entrada'!$B$20*G222)</f>
        <v>2.4531250000000001E-2</v>
      </c>
      <c r="I222" s="53">
        <v>270.70530330833117</v>
      </c>
      <c r="J222" s="4">
        <v>0.28000000000000003</v>
      </c>
    </row>
    <row r="223" spans="1:10">
      <c r="A223" s="85" t="s">
        <v>86</v>
      </c>
      <c r="B223" s="21">
        <f>'[47]Dados de entrada'!$B$28</f>
        <v>20</v>
      </c>
      <c r="C223" s="21">
        <f>'[47]Dados de entrada'!$B$31</f>
        <v>9</v>
      </c>
      <c r="D223" s="21">
        <f>'[47]Dados de entrada'!$B$32</f>
        <v>45</v>
      </c>
      <c r="E223" s="20">
        <f>'[47]Dados de entrada'!$B$27</f>
        <v>3.5088212858554391</v>
      </c>
      <c r="F223" s="21">
        <f>'[47]Dados de entrada'!$B$30</f>
        <v>50</v>
      </c>
      <c r="G223" s="56">
        <f>'[47]Dados de entrada'!$B$22</f>
        <v>64</v>
      </c>
      <c r="H223" s="57">
        <f>'[47]Dados de entrada'!$B$29/(2*'[47]Dados de entrada'!$B$20*G223)</f>
        <v>3.6796875E-2</v>
      </c>
      <c r="I223" s="27" cm="1">
        <f t="array" ref="I223:I225">'[47]fib Model Code 2010'!$K$5:$K$7</f>
        <v>176.83957373352104</v>
      </c>
      <c r="J223" s="19" cm="1">
        <f t="array" ref="J223:J225">'[47]Dados de entrada'!$C$7:$C$9</f>
        <v>0.18</v>
      </c>
    </row>
    <row r="224" spans="1:10">
      <c r="A224" s="90"/>
      <c r="B224" s="21">
        <f>'[47]Dados de entrada'!$B$28</f>
        <v>20</v>
      </c>
      <c r="C224" s="21">
        <f>'[47]Dados de entrada'!$B$31</f>
        <v>9</v>
      </c>
      <c r="D224" s="21">
        <f>'[47]Dados de entrada'!$B$32</f>
        <v>45</v>
      </c>
      <c r="E224" s="20">
        <f>'[47]Dados de entrada'!$B$27</f>
        <v>3.5088212858554391</v>
      </c>
      <c r="F224" s="21">
        <f>'[47]Dados de entrada'!$B$30</f>
        <v>50</v>
      </c>
      <c r="G224" s="56">
        <f>'[47]Dados de entrada'!$B$22</f>
        <v>64</v>
      </c>
      <c r="H224" s="57">
        <f>'[47]Dados de entrada'!$B$29/(2*'[47]Dados de entrada'!$B$20*G224)</f>
        <v>3.6796875E-2</v>
      </c>
      <c r="I224" s="27">
        <v>220.75275647271758</v>
      </c>
      <c r="J224" s="19">
        <v>0.26</v>
      </c>
    </row>
    <row r="225" spans="1:10">
      <c r="A225" s="86"/>
      <c r="B225" s="21">
        <f>'[47]Dados de entrada'!$B$28</f>
        <v>20</v>
      </c>
      <c r="C225" s="21">
        <f>'[47]Dados de entrada'!$B$31</f>
        <v>9</v>
      </c>
      <c r="D225" s="21">
        <f>'[47]Dados de entrada'!$B$32</f>
        <v>45</v>
      </c>
      <c r="E225" s="20">
        <f>'[47]Dados de entrada'!$B$27</f>
        <v>3.5088212858554391</v>
      </c>
      <c r="F225" s="21">
        <f>'[47]Dados de entrada'!$B$30</f>
        <v>50</v>
      </c>
      <c r="G225" s="56">
        <f>'[47]Dados de entrada'!$B$22</f>
        <v>64</v>
      </c>
      <c r="H225" s="57">
        <f>'[47]Dados de entrada'!$B$29/(2*'[47]Dados de entrada'!$B$20*G225)</f>
        <v>3.6796875E-2</v>
      </c>
      <c r="I225" s="27">
        <v>264.66593921191406</v>
      </c>
      <c r="J225" s="19">
        <v>0.34</v>
      </c>
    </row>
    <row r="226" spans="1:10">
      <c r="A226" s="87" t="s">
        <v>93</v>
      </c>
      <c r="B226" s="5">
        <f>'[48]Dados de entrada'!$B$28</f>
        <v>16</v>
      </c>
      <c r="C226" s="5">
        <f>'[48]Dados de entrada'!$B$31</f>
        <v>2</v>
      </c>
      <c r="D226" s="5">
        <f>'[48]Dados de entrada'!$B$32</f>
        <v>52</v>
      </c>
      <c r="E226" s="11">
        <f>'[48]Dados de entrada'!$B$27</f>
        <v>3.42</v>
      </c>
      <c r="F226" s="5">
        <f>'[48]Dados de entrada'!$B$30</f>
        <v>27</v>
      </c>
      <c r="G226" s="5">
        <f>'[48]Dados de entrada'!$B$22</f>
        <v>35</v>
      </c>
      <c r="H226" s="78">
        <f>'[48]Dados de entrada'!$B$29/(2*'[48]Dados de entrada'!$B$20*G226)</f>
        <v>3.8285714285714284E-2</v>
      </c>
      <c r="I226" s="53" cm="1">
        <f t="array" ref="I226:I231">'[48]fib Model Code 2010'!$K$5:$K$10</f>
        <v>234.72234542321382</v>
      </c>
      <c r="J226" s="4" cm="1">
        <f t="array" ref="J226:J231">'[48]Dados de entrada'!$C$7:$C$12</f>
        <v>0.15</v>
      </c>
    </row>
    <row r="227" spans="1:10">
      <c r="A227" s="88"/>
      <c r="B227" s="5">
        <f>'[48]Dados de entrada'!$B$28</f>
        <v>16</v>
      </c>
      <c r="C227" s="5">
        <f>'[48]Dados de entrada'!$B$31</f>
        <v>2</v>
      </c>
      <c r="D227" s="5">
        <f>'[48]Dados de entrada'!$B$32</f>
        <v>52</v>
      </c>
      <c r="E227" s="11">
        <f>'[48]Dados de entrada'!$B$27</f>
        <v>3.42</v>
      </c>
      <c r="F227" s="5">
        <f>'[48]Dados de entrada'!$B$30</f>
        <v>27</v>
      </c>
      <c r="G227" s="5">
        <f>'[48]Dados de entrada'!$B$22</f>
        <v>35</v>
      </c>
      <c r="H227" s="78">
        <f>'[48]Dados de entrada'!$B$29/(2*'[48]Dados de entrada'!$B$20*G227)</f>
        <v>3.8285714285714284E-2</v>
      </c>
      <c r="I227" s="53">
        <v>315.66108522432211</v>
      </c>
      <c r="J227" s="4">
        <v>0.19</v>
      </c>
    </row>
    <row r="228" spans="1:10">
      <c r="A228" s="88"/>
      <c r="B228" s="5">
        <f>'[48]Dados de entrada'!$B$28</f>
        <v>16</v>
      </c>
      <c r="C228" s="5">
        <f>'[48]Dados de entrada'!$B$31</f>
        <v>2</v>
      </c>
      <c r="D228" s="5">
        <f>'[48]Dados de entrada'!$B$32</f>
        <v>52</v>
      </c>
      <c r="E228" s="11">
        <f>'[48]Dados de entrada'!$B$27</f>
        <v>3.42</v>
      </c>
      <c r="F228" s="5">
        <f>'[48]Dados de entrada'!$B$30</f>
        <v>27</v>
      </c>
      <c r="G228" s="5">
        <f>'[48]Dados de entrada'!$B$22</f>
        <v>35</v>
      </c>
      <c r="H228" s="78">
        <f>'[48]Dados de entrada'!$B$29/(2*'[48]Dados de entrada'!$B$20*G228)</f>
        <v>3.8285714285714284E-2</v>
      </c>
      <c r="I228" s="53">
        <v>364.22432910498702</v>
      </c>
      <c r="J228" s="4">
        <v>0.22</v>
      </c>
    </row>
    <row r="229" spans="1:10">
      <c r="A229" s="88"/>
      <c r="B229" s="5">
        <f>'[48]Dados de entrada'!$B$28</f>
        <v>16</v>
      </c>
      <c r="C229" s="5">
        <f>'[48]Dados de entrada'!$B$31</f>
        <v>2</v>
      </c>
      <c r="D229" s="5">
        <f>'[48]Dados de entrada'!$B$32</f>
        <v>52</v>
      </c>
      <c r="E229" s="11">
        <f>'[48]Dados de entrada'!$B$27</f>
        <v>3.42</v>
      </c>
      <c r="F229" s="5">
        <f>'[48]Dados de entrada'!$B$30</f>
        <v>27</v>
      </c>
      <c r="G229" s="5">
        <f>'[48]Dados de entrada'!$B$22</f>
        <v>35</v>
      </c>
      <c r="H229" s="78">
        <f>'[48]Dados de entrada'!$B$29/(2*'[48]Dados de entrada'!$B$20*G229)</f>
        <v>3.8285714285714284E-2</v>
      </c>
      <c r="I229" s="53">
        <v>404.69369900554108</v>
      </c>
      <c r="J229" s="4">
        <v>0.22</v>
      </c>
    </row>
    <row r="230" spans="1:10">
      <c r="A230" s="88"/>
      <c r="B230" s="5">
        <f>'[48]Dados de entrada'!$B$28</f>
        <v>16</v>
      </c>
      <c r="C230" s="5">
        <f>'[48]Dados de entrada'!$B$31</f>
        <v>2</v>
      </c>
      <c r="D230" s="5">
        <f>'[48]Dados de entrada'!$B$32</f>
        <v>52</v>
      </c>
      <c r="E230" s="11">
        <f>'[48]Dados de entrada'!$B$27</f>
        <v>3.42</v>
      </c>
      <c r="F230" s="5">
        <f>'[48]Dados de entrada'!$B$30</f>
        <v>27</v>
      </c>
      <c r="G230" s="5">
        <f>'[48]Dados de entrada'!$B$22</f>
        <v>35</v>
      </c>
      <c r="H230" s="78">
        <f>'[48]Dados de entrada'!$B$29/(2*'[48]Dados de entrada'!$B$20*G230)</f>
        <v>3.8285714285714284E-2</v>
      </c>
      <c r="I230" s="53">
        <v>469.44469084642765</v>
      </c>
      <c r="J230" s="4">
        <v>0.25</v>
      </c>
    </row>
    <row r="231" spans="1:10">
      <c r="A231" s="89"/>
      <c r="B231" s="5">
        <f>'[48]Dados de entrada'!$B$28</f>
        <v>16</v>
      </c>
      <c r="C231" s="5">
        <f>'[48]Dados de entrada'!$B$31</f>
        <v>2</v>
      </c>
      <c r="D231" s="5">
        <f>'[48]Dados de entrada'!$B$32</f>
        <v>52</v>
      </c>
      <c r="E231" s="11">
        <f>'[48]Dados de entrada'!$B$27</f>
        <v>3.42</v>
      </c>
      <c r="F231" s="5">
        <f>'[48]Dados de entrada'!$B$30</f>
        <v>27</v>
      </c>
      <c r="G231" s="5">
        <f>'[48]Dados de entrada'!$B$22</f>
        <v>35</v>
      </c>
      <c r="H231" s="78">
        <f>'[48]Dados de entrada'!$B$29/(2*'[48]Dados de entrada'!$B$20*G231)</f>
        <v>3.8285714285714284E-2</v>
      </c>
      <c r="I231" s="53">
        <v>526.10180870720353</v>
      </c>
      <c r="J231" s="4">
        <v>0.28999999999999998</v>
      </c>
    </row>
    <row r="232" spans="1:10">
      <c r="A232" s="85" t="s">
        <v>94</v>
      </c>
      <c r="B232" s="21">
        <f>'[49]Dados de entrada'!$B$28</f>
        <v>20</v>
      </c>
      <c r="C232" s="21">
        <f>'[49]Dados de entrada'!$B$31</f>
        <v>2</v>
      </c>
      <c r="D232" s="21">
        <f>'[49]Dados de entrada'!$B$32</f>
        <v>44</v>
      </c>
      <c r="E232" s="20">
        <f>'[49]Dados de entrada'!$B$27</f>
        <v>3.42</v>
      </c>
      <c r="F232" s="21">
        <f>'[49]Dados de entrada'!$B$30</f>
        <v>25</v>
      </c>
      <c r="G232" s="21">
        <f>'[49]Dados de entrada'!$B$22</f>
        <v>35</v>
      </c>
      <c r="H232" s="79">
        <f>'[49]Dados de entrada'!$B$29/(2*'[49]Dados de entrada'!$B$20*G232)</f>
        <v>5.9809523809523812E-2</v>
      </c>
      <c r="I232" s="27" cm="1">
        <f t="array" ref="I232:I237">'[49]fib Model Code 2010'!$K$5:$K$10</f>
        <v>270.87013331072598</v>
      </c>
      <c r="J232" s="19" cm="1">
        <f t="array" ref="J232:J237">'[49]Dados de entrada'!$C$7:$C$12</f>
        <v>0.17</v>
      </c>
    </row>
    <row r="233" spans="1:10">
      <c r="A233" s="90"/>
      <c r="B233" s="21">
        <f>'[49]Dados de entrada'!$B$28</f>
        <v>20</v>
      </c>
      <c r="C233" s="21">
        <f>'[49]Dados de entrada'!$B$31</f>
        <v>2</v>
      </c>
      <c r="D233" s="21">
        <f>'[49]Dados de entrada'!$B$32</f>
        <v>44</v>
      </c>
      <c r="E233" s="20">
        <f>'[49]Dados de entrada'!$B$27</f>
        <v>3.42</v>
      </c>
      <c r="F233" s="21">
        <f>'[49]Dados de entrada'!$B$30</f>
        <v>25</v>
      </c>
      <c r="G233" s="21">
        <f>'[49]Dados de entrada'!$B$22</f>
        <v>35</v>
      </c>
      <c r="H233" s="79">
        <f>'[49]Dados de entrada'!$B$29/(2*'[49]Dados de entrada'!$B$20*G233)</f>
        <v>5.9809523809523812E-2</v>
      </c>
      <c r="I233" s="27">
        <v>308.0483869023941</v>
      </c>
      <c r="J233" s="19">
        <v>0.19</v>
      </c>
    </row>
    <row r="234" spans="1:10">
      <c r="A234" s="90"/>
      <c r="B234" s="21">
        <f>'[49]Dados de entrada'!$B$28</f>
        <v>20</v>
      </c>
      <c r="C234" s="21">
        <f>'[49]Dados de entrada'!$B$31</f>
        <v>2</v>
      </c>
      <c r="D234" s="21">
        <f>'[49]Dados de entrada'!$B$32</f>
        <v>44</v>
      </c>
      <c r="E234" s="20">
        <f>'[49]Dados de entrada'!$B$27</f>
        <v>3.42</v>
      </c>
      <c r="F234" s="21">
        <f>'[49]Dados de entrada'!$B$30</f>
        <v>25</v>
      </c>
      <c r="G234" s="21">
        <f>'[49]Dados de entrada'!$B$22</f>
        <v>35</v>
      </c>
      <c r="H234" s="79">
        <f>'[49]Dados de entrada'!$B$29/(2*'[49]Dados de entrada'!$B$20*G234)</f>
        <v>5.9809523809523812E-2</v>
      </c>
      <c r="I234" s="27">
        <v>355.84899866311054</v>
      </c>
      <c r="J234" s="19">
        <v>0.21</v>
      </c>
    </row>
    <row r="235" spans="1:10">
      <c r="A235" s="90"/>
      <c r="B235" s="21">
        <f>'[49]Dados de entrada'!$B$28</f>
        <v>20</v>
      </c>
      <c r="C235" s="21">
        <f>'[49]Dados de entrada'!$B$31</f>
        <v>2</v>
      </c>
      <c r="D235" s="21">
        <f>'[49]Dados de entrada'!$B$32</f>
        <v>44</v>
      </c>
      <c r="E235" s="20">
        <f>'[49]Dados de entrada'!$B$27</f>
        <v>3.42</v>
      </c>
      <c r="F235" s="21">
        <f>'[49]Dados de entrada'!$B$30</f>
        <v>25</v>
      </c>
      <c r="G235" s="21">
        <f>'[49]Dados de entrada'!$B$22</f>
        <v>35</v>
      </c>
      <c r="H235" s="79">
        <f>'[49]Dados de entrada'!$B$29/(2*'[49]Dados de entrada'!$B$20*G235)</f>
        <v>5.9809523809523812E-2</v>
      </c>
      <c r="I235" s="27">
        <v>377.09371500120665</v>
      </c>
      <c r="J235" s="19">
        <v>0.23</v>
      </c>
    </row>
    <row r="236" spans="1:10">
      <c r="A236" s="90"/>
      <c r="B236" s="21">
        <f>'[49]Dados de entrada'!$B$28</f>
        <v>20</v>
      </c>
      <c r="C236" s="21">
        <f>'[49]Dados de entrada'!$B$31</f>
        <v>2</v>
      </c>
      <c r="D236" s="21">
        <f>'[49]Dados de entrada'!$B$32</f>
        <v>44</v>
      </c>
      <c r="E236" s="20">
        <f>'[49]Dados de entrada'!$B$27</f>
        <v>3.42</v>
      </c>
      <c r="F236" s="21">
        <f>'[49]Dados de entrada'!$B$30</f>
        <v>25</v>
      </c>
      <c r="G236" s="21">
        <f>'[49]Dados de entrada'!$B$22</f>
        <v>35</v>
      </c>
      <c r="H236" s="79">
        <f>'[49]Dados de entrada'!$B$29/(2*'[49]Dados de entrada'!$B$20*G236)</f>
        <v>5.9809523809523812E-2</v>
      </c>
      <c r="I236" s="27">
        <v>424.89432676192303</v>
      </c>
      <c r="J236" s="19">
        <v>0.25</v>
      </c>
    </row>
    <row r="237" spans="1:10">
      <c r="A237" s="86"/>
      <c r="B237" s="21">
        <f>'[49]Dados de entrada'!$B$28</f>
        <v>20</v>
      </c>
      <c r="C237" s="21">
        <f>'[49]Dados de entrada'!$B$31</f>
        <v>2</v>
      </c>
      <c r="D237" s="21">
        <f>'[49]Dados de entrada'!$B$32</f>
        <v>44</v>
      </c>
      <c r="E237" s="20">
        <f>'[49]Dados de entrada'!$B$27</f>
        <v>3.42</v>
      </c>
      <c r="F237" s="21">
        <f>'[49]Dados de entrada'!$B$30</f>
        <v>25</v>
      </c>
      <c r="G237" s="21">
        <f>'[49]Dados de entrada'!$B$22</f>
        <v>35</v>
      </c>
      <c r="H237" s="79">
        <f>'[49]Dados de entrada'!$B$29/(2*'[49]Dados de entrada'!$B$20*G237)</f>
        <v>5.9809523809523812E-2</v>
      </c>
      <c r="I237" s="27">
        <v>525.80672936787971</v>
      </c>
      <c r="J237" s="19">
        <v>0.25</v>
      </c>
    </row>
    <row r="238" spans="1:10">
      <c r="A238" s="87" t="s">
        <v>95</v>
      </c>
      <c r="B238" s="5">
        <f>'[50]Dados de entrada'!$B$28</f>
        <v>20</v>
      </c>
      <c r="C238" s="5">
        <f>'[50]Dados de entrada'!$B$31</f>
        <v>3</v>
      </c>
      <c r="D238" s="5">
        <f>'[50]Dados de entrada'!$B$32</f>
        <v>12</v>
      </c>
      <c r="E238" s="11">
        <f>'[50]Dados de entrada'!$B$27</f>
        <v>3.42</v>
      </c>
      <c r="F238" s="5">
        <f>'[50]Dados de entrada'!$B$30</f>
        <v>25</v>
      </c>
      <c r="G238" s="5">
        <f>'[50]Dados de entrada'!$B$22</f>
        <v>35</v>
      </c>
      <c r="H238" s="78">
        <f>'[50]Dados de entrada'!$B$29/(2*'[50]Dados de entrada'!$B$20*G238)</f>
        <v>8.9714285714285719E-2</v>
      </c>
      <c r="I238" s="53" cm="1">
        <f t="array" ref="I238:I245">'[50]fib Model Code 2010'!$K$5:$K$12</f>
        <v>246.92191294539825</v>
      </c>
      <c r="J238" s="4" cm="1">
        <f t="array" ref="J238:J245">'[50]Dados de entrada'!$C$7:$C$14</f>
        <v>0.18</v>
      </c>
    </row>
    <row r="239" spans="1:10">
      <c r="A239" s="88"/>
      <c r="B239" s="5">
        <f>'[50]Dados de entrada'!$B$28</f>
        <v>20</v>
      </c>
      <c r="C239" s="5">
        <f>'[50]Dados de entrada'!$B$31</f>
        <v>3</v>
      </c>
      <c r="D239" s="5">
        <f>'[50]Dados de entrada'!$B$32</f>
        <v>12</v>
      </c>
      <c r="E239" s="11">
        <f>'[50]Dados de entrada'!$B$27</f>
        <v>3.42</v>
      </c>
      <c r="F239" s="5">
        <f>'[50]Dados de entrada'!$B$30</f>
        <v>25</v>
      </c>
      <c r="G239" s="5">
        <f>'[50]Dados de entrada'!$B$22</f>
        <v>35</v>
      </c>
      <c r="H239" s="78">
        <f>'[50]Dados de entrada'!$B$29/(2*'[50]Dados de entrada'!$B$20*G239)</f>
        <v>8.9714285714285719E-2</v>
      </c>
      <c r="I239" s="53">
        <v>283.23395896678039</v>
      </c>
      <c r="J239" s="4">
        <v>0.19</v>
      </c>
    </row>
    <row r="240" spans="1:10">
      <c r="A240" s="88"/>
      <c r="B240" s="5">
        <f>'[50]Dados de entrada'!$B$28</f>
        <v>20</v>
      </c>
      <c r="C240" s="5">
        <f>'[50]Dados de entrada'!$B$31</f>
        <v>3</v>
      </c>
      <c r="D240" s="5">
        <f>'[50]Dados de entrada'!$B$32</f>
        <v>12</v>
      </c>
      <c r="E240" s="11">
        <f>'[50]Dados de entrada'!$B$27</f>
        <v>3.42</v>
      </c>
      <c r="F240" s="5">
        <f>'[50]Dados de entrada'!$B$30</f>
        <v>25</v>
      </c>
      <c r="G240" s="5">
        <f>'[50]Dados de entrada'!$B$22</f>
        <v>35</v>
      </c>
      <c r="H240" s="78">
        <f>'[50]Dados de entrada'!$B$29/(2*'[50]Dados de entrada'!$B$20*G240)</f>
        <v>8.9714285714285719E-2</v>
      </c>
      <c r="I240" s="53">
        <v>315.9148003860243</v>
      </c>
      <c r="J240" s="4">
        <v>0.21</v>
      </c>
    </row>
    <row r="241" spans="1:10">
      <c r="A241" s="88"/>
      <c r="B241" s="5">
        <f>'[50]Dados de entrada'!$B$28</f>
        <v>20</v>
      </c>
      <c r="C241" s="5">
        <f>'[50]Dados de entrada'!$B$31</f>
        <v>3</v>
      </c>
      <c r="D241" s="5">
        <f>'[50]Dados de entrada'!$B$32</f>
        <v>12</v>
      </c>
      <c r="E241" s="11">
        <f>'[50]Dados de entrada'!$B$27</f>
        <v>3.42</v>
      </c>
      <c r="F241" s="5">
        <f>'[50]Dados de entrada'!$B$30</f>
        <v>25</v>
      </c>
      <c r="G241" s="5">
        <f>'[50]Dados de entrada'!$B$22</f>
        <v>35</v>
      </c>
      <c r="H241" s="78">
        <f>'[50]Dados de entrada'!$B$29/(2*'[50]Dados de entrada'!$B$20*G241)</f>
        <v>8.9714285714285719E-2</v>
      </c>
      <c r="I241" s="53">
        <v>355.85805100954457</v>
      </c>
      <c r="J241" s="4">
        <v>0.23</v>
      </c>
    </row>
    <row r="242" spans="1:10">
      <c r="A242" s="88"/>
      <c r="B242" s="5">
        <f>'[50]Dados de entrada'!$B$28</f>
        <v>20</v>
      </c>
      <c r="C242" s="5">
        <f>'[50]Dados de entrada'!$B$31</f>
        <v>3</v>
      </c>
      <c r="D242" s="5">
        <f>'[50]Dados de entrada'!$B$32</f>
        <v>12</v>
      </c>
      <c r="E242" s="11">
        <f>'[50]Dados de entrada'!$B$27</f>
        <v>3.42</v>
      </c>
      <c r="F242" s="5">
        <f>'[50]Dados de entrada'!$B$30</f>
        <v>25</v>
      </c>
      <c r="G242" s="5">
        <f>'[50]Dados de entrada'!$B$22</f>
        <v>35</v>
      </c>
      <c r="H242" s="78">
        <f>'[50]Dados de entrada'!$B$29/(2*'[50]Dados de entrada'!$B$20*G242)</f>
        <v>8.9714285714285719E-2</v>
      </c>
      <c r="I242" s="53">
        <v>395.80130163306495</v>
      </c>
      <c r="J242" s="4">
        <v>0.25</v>
      </c>
    </row>
    <row r="243" spans="1:10">
      <c r="A243" s="88"/>
      <c r="B243" s="5">
        <f>'[50]Dados de entrada'!$B$28</f>
        <v>20</v>
      </c>
      <c r="C243" s="5">
        <f>'[50]Dados de entrada'!$B$31</f>
        <v>3</v>
      </c>
      <c r="D243" s="5">
        <f>'[50]Dados de entrada'!$B$32</f>
        <v>12</v>
      </c>
      <c r="E243" s="11">
        <f>'[50]Dados de entrada'!$B$27</f>
        <v>3.42</v>
      </c>
      <c r="F243" s="5">
        <f>'[50]Dados de entrada'!$B$30</f>
        <v>25</v>
      </c>
      <c r="G243" s="5">
        <f>'[50]Dados de entrada'!$B$22</f>
        <v>35</v>
      </c>
      <c r="H243" s="78">
        <f>'[50]Dados de entrada'!$B$29/(2*'[50]Dados de entrada'!$B$20*G243)</f>
        <v>8.9714285714285719E-2</v>
      </c>
      <c r="I243" s="53">
        <v>432.11334765444701</v>
      </c>
      <c r="J243" s="4">
        <v>0.28999999999999998</v>
      </c>
    </row>
    <row r="244" spans="1:10">
      <c r="A244" s="88"/>
      <c r="B244" s="5">
        <f>'[50]Dados de entrada'!$B$28</f>
        <v>20</v>
      </c>
      <c r="C244" s="5">
        <f>'[50]Dados de entrada'!$B$31</f>
        <v>3</v>
      </c>
      <c r="D244" s="5">
        <f>'[50]Dados de entrada'!$B$32</f>
        <v>12</v>
      </c>
      <c r="E244" s="11">
        <f>'[50]Dados de entrada'!$B$27</f>
        <v>3.42</v>
      </c>
      <c r="F244" s="5">
        <f>'[50]Dados de entrada'!$B$30</f>
        <v>25</v>
      </c>
      <c r="G244" s="5">
        <f>'[50]Dados de entrada'!$B$22</f>
        <v>35</v>
      </c>
      <c r="H244" s="78">
        <f>'[50]Dados de entrada'!$B$29/(2*'[50]Dados de entrada'!$B$20*G244)</f>
        <v>8.9714285714285719E-2</v>
      </c>
      <c r="I244" s="53">
        <v>468.42539367582907</v>
      </c>
      <c r="J244" s="4">
        <v>0.31</v>
      </c>
    </row>
    <row r="245" spans="1:10">
      <c r="A245" s="89"/>
      <c r="B245" s="5">
        <f>'[50]Dados de entrada'!$B$28</f>
        <v>20</v>
      </c>
      <c r="C245" s="5">
        <f>'[50]Dados de entrada'!$B$31</f>
        <v>3</v>
      </c>
      <c r="D245" s="5">
        <f>'[50]Dados de entrada'!$B$32</f>
        <v>12</v>
      </c>
      <c r="E245" s="11">
        <f>'[50]Dados de entrada'!$B$27</f>
        <v>3.42</v>
      </c>
      <c r="F245" s="5">
        <f>'[50]Dados de entrada'!$B$30</f>
        <v>25</v>
      </c>
      <c r="G245" s="5">
        <f>'[50]Dados de entrada'!$B$22</f>
        <v>35</v>
      </c>
      <c r="H245" s="78">
        <f>'[50]Dados de entrada'!$B$29/(2*'[50]Dados de entrada'!$B$20*G245)</f>
        <v>8.9714285714285719E-2</v>
      </c>
      <c r="I245" s="53">
        <v>501.10623509507292</v>
      </c>
      <c r="J245" s="4">
        <v>0.37</v>
      </c>
    </row>
    <row r="246" spans="1:10">
      <c r="A246" s="85" t="s">
        <v>96</v>
      </c>
      <c r="B246" s="21">
        <f>'[51]Dados de entrada'!$B$28</f>
        <v>16</v>
      </c>
      <c r="C246" s="21">
        <f>'[51]Dados de entrada'!$B$31</f>
        <v>2</v>
      </c>
      <c r="D246" s="21">
        <f>'[51]Dados de entrada'!$B$32</f>
        <v>52</v>
      </c>
      <c r="E246" s="20">
        <f>'[51]Dados de entrada'!$B$27</f>
        <v>2.98</v>
      </c>
      <c r="F246" s="21">
        <f>'[51]Dados de entrada'!$B$30</f>
        <v>27</v>
      </c>
      <c r="G246" s="21">
        <f>'[51]Dados de entrada'!$B$22</f>
        <v>35</v>
      </c>
      <c r="H246" s="79">
        <f>'[51]Dados de entrada'!$B$29/(2*'[51]Dados de entrada'!$B$20*G246)</f>
        <v>3.8285714285714284E-2</v>
      </c>
      <c r="I246" s="27" cm="1">
        <f t="array" ref="I246:I248">'[51]fib Model Code 2010'!$K$5:$K$7</f>
        <v>370.74728404873275</v>
      </c>
      <c r="J246" s="19" cm="1">
        <f t="array" ref="J246:J248">'[51]Dados de entrada'!$C$7:$C$9</f>
        <v>0.16</v>
      </c>
    </row>
    <row r="247" spans="1:10">
      <c r="A247" s="90"/>
      <c r="B247" s="21">
        <f>'[51]Dados de entrada'!$B$28</f>
        <v>16</v>
      </c>
      <c r="C247" s="21">
        <f>'[51]Dados de entrada'!$B$31</f>
        <v>2</v>
      </c>
      <c r="D247" s="21">
        <f>'[51]Dados de entrada'!$B$32</f>
        <v>52</v>
      </c>
      <c r="E247" s="20">
        <f>'[51]Dados de entrada'!$B$27</f>
        <v>2.98</v>
      </c>
      <c r="F247" s="21">
        <f>'[51]Dados de entrada'!$B$30</f>
        <v>27</v>
      </c>
      <c r="G247" s="21">
        <f>'[51]Dados de entrada'!$B$22</f>
        <v>35</v>
      </c>
      <c r="H247" s="79">
        <f>'[51]Dados de entrada'!$B$29/(2*'[51]Dados de entrada'!$B$20*G247)</f>
        <v>3.8285714285714284E-2</v>
      </c>
      <c r="I247" s="27">
        <v>443.28479614522388</v>
      </c>
      <c r="J247" s="19">
        <v>0.2</v>
      </c>
    </row>
    <row r="248" spans="1:10">
      <c r="A248" s="86"/>
      <c r="B248" s="21">
        <f>'[51]Dados de entrada'!$B$28</f>
        <v>16</v>
      </c>
      <c r="C248" s="21">
        <f>'[51]Dados de entrada'!$B$31</f>
        <v>2</v>
      </c>
      <c r="D248" s="21">
        <f>'[51]Dados de entrada'!$B$32</f>
        <v>52</v>
      </c>
      <c r="E248" s="20">
        <f>'[51]Dados de entrada'!$B$27</f>
        <v>2.98</v>
      </c>
      <c r="F248" s="21">
        <f>'[51]Dados de entrada'!$B$30</f>
        <v>27</v>
      </c>
      <c r="G248" s="21">
        <f>'[51]Dados de entrada'!$B$22</f>
        <v>35</v>
      </c>
      <c r="H248" s="79">
        <f>'[51]Dados de entrada'!$B$29/(2*'[51]Dados de entrada'!$B$20*G248)</f>
        <v>3.8285714285714284E-2</v>
      </c>
      <c r="I248" s="27">
        <v>523.88203180799201</v>
      </c>
      <c r="J248" s="19">
        <v>0.26</v>
      </c>
    </row>
    <row r="249" spans="1:10">
      <c r="A249" s="87" t="s">
        <v>97</v>
      </c>
      <c r="B249" s="5">
        <f>'[52]Dados de entrada'!$B$28</f>
        <v>20</v>
      </c>
      <c r="C249" s="5">
        <f>'[52]Dados de entrada'!$B$31</f>
        <v>2</v>
      </c>
      <c r="D249" s="5">
        <f>'[52]Dados de entrada'!$B$32</f>
        <v>44</v>
      </c>
      <c r="E249" s="11">
        <f>'[52]Dados de entrada'!$B$27</f>
        <v>2.98</v>
      </c>
      <c r="F249" s="5">
        <f>'[52]Dados de entrada'!$B$30</f>
        <v>25</v>
      </c>
      <c r="G249" s="5">
        <f>'[52]Dados de entrada'!$B$22</f>
        <v>35</v>
      </c>
      <c r="H249" s="78">
        <f>'[52]Dados de entrada'!$B$29/(2*'[52]Dados de entrada'!$B$20*G249)</f>
        <v>5.9809523809523812E-2</v>
      </c>
      <c r="I249" s="53" cm="1">
        <f t="array" ref="I249:I256">'[52]fib Model Code 2010'!$K$5:$K$12</f>
        <v>264.28009430947355</v>
      </c>
      <c r="J249" s="4" cm="1">
        <f t="array" ref="J249:J256">'[52]Dados de entrada'!$C$7:$C$14</f>
        <v>0.17</v>
      </c>
    </row>
    <row r="250" spans="1:10">
      <c r="A250" s="88"/>
      <c r="B250" s="5">
        <f>'[52]Dados de entrada'!$B$28</f>
        <v>20</v>
      </c>
      <c r="C250" s="5">
        <f>'[52]Dados de entrada'!$B$31</f>
        <v>2</v>
      </c>
      <c r="D250" s="5">
        <f>'[52]Dados de entrada'!$B$32</f>
        <v>44</v>
      </c>
      <c r="E250" s="11">
        <f>'[52]Dados de entrada'!$B$27</f>
        <v>2.98</v>
      </c>
      <c r="F250" s="5">
        <f>'[52]Dados de entrada'!$B$30</f>
        <v>25</v>
      </c>
      <c r="G250" s="5">
        <f>'[52]Dados de entrada'!$B$22</f>
        <v>35</v>
      </c>
      <c r="H250" s="78">
        <f>'[52]Dados de entrada'!$B$29/(2*'[52]Dados de entrada'!$B$20*G250)</f>
        <v>5.9809523809523812E-2</v>
      </c>
      <c r="I250" s="53">
        <v>301.27930751279979</v>
      </c>
      <c r="J250" s="4">
        <v>0.19</v>
      </c>
    </row>
    <row r="251" spans="1:10">
      <c r="A251" s="88"/>
      <c r="B251" s="5">
        <f>'[52]Dados de entrada'!$B$28</f>
        <v>20</v>
      </c>
      <c r="C251" s="5">
        <f>'[52]Dados de entrada'!$B$31</f>
        <v>2</v>
      </c>
      <c r="D251" s="5">
        <f>'[52]Dados de entrada'!$B$32</f>
        <v>44</v>
      </c>
      <c r="E251" s="11">
        <f>'[52]Dados de entrada'!$B$27</f>
        <v>2.98</v>
      </c>
      <c r="F251" s="5">
        <f>'[52]Dados de entrada'!$B$30</f>
        <v>25</v>
      </c>
      <c r="G251" s="5">
        <f>'[52]Dados de entrada'!$B$22</f>
        <v>35</v>
      </c>
      <c r="H251" s="78">
        <f>'[52]Dados de entrada'!$B$29/(2*'[52]Dados de entrada'!$B$20*G251)</f>
        <v>5.9809523809523812E-2</v>
      </c>
      <c r="I251" s="53">
        <v>348.84972448850499</v>
      </c>
      <c r="J251" s="4">
        <v>0.23</v>
      </c>
    </row>
    <row r="252" spans="1:10">
      <c r="A252" s="88"/>
      <c r="B252" s="5">
        <f>'[52]Dados de entrada'!$B$28</f>
        <v>20</v>
      </c>
      <c r="C252" s="5">
        <f>'[52]Dados de entrada'!$B$31</f>
        <v>2</v>
      </c>
      <c r="D252" s="5">
        <f>'[52]Dados de entrada'!$B$32</f>
        <v>44</v>
      </c>
      <c r="E252" s="11">
        <f>'[52]Dados de entrada'!$B$27</f>
        <v>2.98</v>
      </c>
      <c r="F252" s="5">
        <f>'[52]Dados de entrada'!$B$30</f>
        <v>25</v>
      </c>
      <c r="G252" s="5">
        <f>'[52]Dados de entrada'!$B$22</f>
        <v>35</v>
      </c>
      <c r="H252" s="78">
        <f>'[52]Dados de entrada'!$B$29/(2*'[52]Dados de entrada'!$B$20*G252)</f>
        <v>5.9809523809523812E-2</v>
      </c>
      <c r="I252" s="53">
        <v>369.99213203326286</v>
      </c>
      <c r="J252" s="4">
        <v>0.25</v>
      </c>
    </row>
    <row r="253" spans="1:10">
      <c r="A253" s="88"/>
      <c r="B253" s="5">
        <f>'[52]Dados de entrada'!$B$28</f>
        <v>20</v>
      </c>
      <c r="C253" s="5">
        <f>'[52]Dados de entrada'!$B$31</f>
        <v>2</v>
      </c>
      <c r="D253" s="5">
        <f>'[52]Dados de entrada'!$B$32</f>
        <v>44</v>
      </c>
      <c r="E253" s="11">
        <f>'[52]Dados de entrada'!$B$27</f>
        <v>2.98</v>
      </c>
      <c r="F253" s="5">
        <f>'[52]Dados de entrada'!$B$30</f>
        <v>25</v>
      </c>
      <c r="G253" s="5">
        <f>'[52]Dados de entrada'!$B$22</f>
        <v>35</v>
      </c>
      <c r="H253" s="78">
        <f>'[52]Dados de entrada'!$B$29/(2*'[52]Dados de entrada'!$B$20*G253)</f>
        <v>5.9809523809523812E-2</v>
      </c>
      <c r="I253" s="53">
        <v>401.7057433503997</v>
      </c>
      <c r="J253" s="4">
        <v>0.3</v>
      </c>
    </row>
    <row r="254" spans="1:10">
      <c r="A254" s="88"/>
      <c r="B254" s="5">
        <f>'[52]Dados de entrada'!$B$28</f>
        <v>20</v>
      </c>
      <c r="C254" s="5">
        <f>'[52]Dados de entrada'!$B$31</f>
        <v>2</v>
      </c>
      <c r="D254" s="5">
        <f>'[52]Dados de entrada'!$B$32</f>
        <v>44</v>
      </c>
      <c r="E254" s="11">
        <f>'[52]Dados de entrada'!$B$27</f>
        <v>2.98</v>
      </c>
      <c r="F254" s="5">
        <f>'[52]Dados de entrada'!$B$30</f>
        <v>25</v>
      </c>
      <c r="G254" s="5">
        <f>'[52]Dados de entrada'!$B$22</f>
        <v>35</v>
      </c>
      <c r="H254" s="78">
        <f>'[52]Dados de entrada'!$B$29/(2*'[52]Dados de entrada'!$B$20*G254)</f>
        <v>5.9809523809523812E-2</v>
      </c>
      <c r="I254" s="53">
        <v>422.84815089515763</v>
      </c>
      <c r="J254" s="4">
        <v>0.32</v>
      </c>
    </row>
    <row r="255" spans="1:10">
      <c r="A255" s="88"/>
      <c r="B255" s="5">
        <f>'[52]Dados de entrada'!$B$28</f>
        <v>20</v>
      </c>
      <c r="C255" s="5">
        <f>'[52]Dados de entrada'!$B$31</f>
        <v>2</v>
      </c>
      <c r="D255" s="5">
        <f>'[52]Dados de entrada'!$B$32</f>
        <v>44</v>
      </c>
      <c r="E255" s="11">
        <f>'[52]Dados de entrada'!$B$27</f>
        <v>2.98</v>
      </c>
      <c r="F255" s="5">
        <f>'[52]Dados de entrada'!$B$30</f>
        <v>25</v>
      </c>
      <c r="G255" s="5">
        <f>'[52]Dados de entrada'!$B$22</f>
        <v>35</v>
      </c>
      <c r="H255" s="78">
        <f>'[52]Dados de entrada'!$B$29/(2*'[52]Dados de entrada'!$B$20*G255)</f>
        <v>5.9809523809523812E-2</v>
      </c>
      <c r="I255" s="53">
        <v>474.64704937981429</v>
      </c>
      <c r="J255" s="4">
        <v>0.36</v>
      </c>
    </row>
    <row r="256" spans="1:10">
      <c r="A256" s="89"/>
      <c r="B256" s="5">
        <f>'[52]Dados de entrada'!$B$28</f>
        <v>20</v>
      </c>
      <c r="C256" s="5">
        <f>'[52]Dados de entrada'!$B$31</f>
        <v>2</v>
      </c>
      <c r="D256" s="5">
        <f>'[52]Dados de entrada'!$B$32</f>
        <v>44</v>
      </c>
      <c r="E256" s="11">
        <f>'[52]Dados de entrada'!$B$27</f>
        <v>2.98</v>
      </c>
      <c r="F256" s="5">
        <f>'[52]Dados de entrada'!$B$30</f>
        <v>25</v>
      </c>
      <c r="G256" s="5">
        <f>'[52]Dados de entrada'!$B$22</f>
        <v>35</v>
      </c>
      <c r="H256" s="78">
        <f>'[52]Dados de entrada'!$B$29/(2*'[52]Dados de entrada'!$B$20*G256)</f>
        <v>5.9809523809523812E-2</v>
      </c>
      <c r="I256" s="53">
        <v>526.44594786447112</v>
      </c>
      <c r="J256" s="4">
        <v>0.47</v>
      </c>
    </row>
    <row r="257" spans="1:10">
      <c r="A257" s="85" t="s">
        <v>98</v>
      </c>
      <c r="B257" s="21">
        <f>'[53]Dados de entrada'!$B$28</f>
        <v>20</v>
      </c>
      <c r="C257" s="21">
        <f>'[53]Dados de entrada'!$B$31</f>
        <v>3</v>
      </c>
      <c r="D257" s="21">
        <f>'[53]Dados de entrada'!$B$32</f>
        <v>12</v>
      </c>
      <c r="E257" s="20">
        <f>'[53]Dados de entrada'!$B$27</f>
        <v>2.98</v>
      </c>
      <c r="F257" s="21">
        <f>'[53]Dados de entrada'!$B$30</f>
        <v>25</v>
      </c>
      <c r="G257" s="21">
        <f>'[53]Dados de entrada'!$B$22</f>
        <v>35</v>
      </c>
      <c r="H257" s="79">
        <f>'[53]Dados de entrada'!$B$29/(2*'[53]Dados de entrada'!$B$20*G257)</f>
        <v>8.9714285714285719E-2</v>
      </c>
      <c r="I257" s="27" cm="1">
        <f t="array" ref="I257:I263">'[53]fib Model Code 2010'!$K$5:$K$11</f>
        <v>303.4025683141906</v>
      </c>
      <c r="J257" s="19" cm="1">
        <f t="array" ref="J257:J263">'[53]Dados de entrada'!$C$7:$C$13</f>
        <v>0.16</v>
      </c>
    </row>
    <row r="258" spans="1:10">
      <c r="A258" s="90"/>
      <c r="B258" s="21">
        <f>'[53]Dados de entrada'!$B$28</f>
        <v>20</v>
      </c>
      <c r="C258" s="21">
        <f>'[53]Dados de entrada'!$B$31</f>
        <v>3</v>
      </c>
      <c r="D258" s="21">
        <f>'[53]Dados de entrada'!$B$32</f>
        <v>12</v>
      </c>
      <c r="E258" s="20">
        <f>'[53]Dados de entrada'!$B$27</f>
        <v>2.98</v>
      </c>
      <c r="F258" s="21">
        <f>'[53]Dados de entrada'!$B$30</f>
        <v>25</v>
      </c>
      <c r="G258" s="21">
        <f>'[53]Dados de entrada'!$B$22</f>
        <v>35</v>
      </c>
      <c r="H258" s="79">
        <f>'[53]Dados de entrada'!$B$29/(2*'[53]Dados de entrada'!$B$20*G258)</f>
        <v>8.9714285714285719E-2</v>
      </c>
      <c r="I258" s="27">
        <v>317.8503096624853</v>
      </c>
      <c r="J258" s="19">
        <v>0.18</v>
      </c>
    </row>
    <row r="259" spans="1:10">
      <c r="A259" s="90"/>
      <c r="B259" s="21">
        <f>'[53]Dados de entrada'!$B$28</f>
        <v>20</v>
      </c>
      <c r="C259" s="21">
        <f>'[53]Dados de entrada'!$B$31</f>
        <v>3</v>
      </c>
      <c r="D259" s="21">
        <f>'[53]Dados de entrada'!$B$32</f>
        <v>12</v>
      </c>
      <c r="E259" s="20">
        <f>'[53]Dados de entrada'!$B$27</f>
        <v>2.98</v>
      </c>
      <c r="F259" s="21">
        <f>'[53]Dados de entrada'!$B$30</f>
        <v>25</v>
      </c>
      <c r="G259" s="21">
        <f>'[53]Dados de entrada'!$B$22</f>
        <v>35</v>
      </c>
      <c r="H259" s="79">
        <f>'[53]Dados de entrada'!$B$29/(2*'[53]Dados de entrada'!$B$20*G259)</f>
        <v>8.9714285714285719E-2</v>
      </c>
      <c r="I259" s="27">
        <v>353.96966303322239</v>
      </c>
      <c r="J259" s="19">
        <v>0.18</v>
      </c>
    </row>
    <row r="260" spans="1:10">
      <c r="A260" s="90"/>
      <c r="B260" s="21">
        <f>'[53]Dados de entrada'!$B$28</f>
        <v>20</v>
      </c>
      <c r="C260" s="21">
        <f>'[53]Dados de entrada'!$B$31</f>
        <v>3</v>
      </c>
      <c r="D260" s="21">
        <f>'[53]Dados de entrada'!$B$32</f>
        <v>12</v>
      </c>
      <c r="E260" s="20">
        <f>'[53]Dados de entrada'!$B$27</f>
        <v>2.98</v>
      </c>
      <c r="F260" s="21">
        <f>'[53]Dados de entrada'!$B$30</f>
        <v>25</v>
      </c>
      <c r="G260" s="21">
        <f>'[53]Dados de entrada'!$B$22</f>
        <v>35</v>
      </c>
      <c r="H260" s="79">
        <f>'[53]Dados de entrada'!$B$29/(2*'[53]Dados de entrada'!$B$20*G260)</f>
        <v>8.9714285714285719E-2</v>
      </c>
      <c r="I260" s="27">
        <v>393.70095174103312</v>
      </c>
      <c r="J260" s="19">
        <v>0.2</v>
      </c>
    </row>
    <row r="261" spans="1:10">
      <c r="A261" s="90"/>
      <c r="B261" s="21">
        <f>'[53]Dados de entrada'!$B$28</f>
        <v>20</v>
      </c>
      <c r="C261" s="21">
        <f>'[53]Dados de entrada'!$B$31</f>
        <v>3</v>
      </c>
      <c r="D261" s="21">
        <f>'[53]Dados de entrada'!$B$32</f>
        <v>12</v>
      </c>
      <c r="E261" s="20">
        <f>'[53]Dados de entrada'!$B$27</f>
        <v>2.98</v>
      </c>
      <c r="F261" s="21">
        <f>'[53]Dados de entrada'!$B$30</f>
        <v>25</v>
      </c>
      <c r="G261" s="21">
        <f>'[53]Dados de entrada'!$B$22</f>
        <v>35</v>
      </c>
      <c r="H261" s="79">
        <f>'[53]Dados de entrada'!$B$29/(2*'[53]Dados de entrada'!$B$20*G261)</f>
        <v>8.9714285714285719E-2</v>
      </c>
      <c r="I261" s="27">
        <v>429.82030511177004</v>
      </c>
      <c r="J261" s="19">
        <v>0.2</v>
      </c>
    </row>
    <row r="262" spans="1:10">
      <c r="A262" s="90"/>
      <c r="B262" s="21">
        <f>'[53]Dados de entrada'!$B$28</f>
        <v>20</v>
      </c>
      <c r="C262" s="21">
        <f>'[53]Dados de entrada'!$B$31</f>
        <v>3</v>
      </c>
      <c r="D262" s="21">
        <f>'[53]Dados de entrada'!$B$32</f>
        <v>12</v>
      </c>
      <c r="E262" s="20">
        <f>'[53]Dados de entrada'!$B$27</f>
        <v>2.98</v>
      </c>
      <c r="F262" s="21">
        <f>'[53]Dados de entrada'!$B$30</f>
        <v>25</v>
      </c>
      <c r="G262" s="21">
        <f>'[53]Dados de entrada'!$B$22</f>
        <v>35</v>
      </c>
      <c r="H262" s="79">
        <f>'[53]Dados de entrada'!$B$29/(2*'[53]Dados de entrada'!$B$20*G262)</f>
        <v>8.9714285714285719E-2</v>
      </c>
      <c r="I262" s="27">
        <v>462.32772314543331</v>
      </c>
      <c r="J262" s="19">
        <v>0.2</v>
      </c>
    </row>
    <row r="263" spans="1:10">
      <c r="A263" s="86"/>
      <c r="B263" s="21">
        <f>'[53]Dados de entrada'!$B$28</f>
        <v>20</v>
      </c>
      <c r="C263" s="21">
        <f>'[53]Dados de entrada'!$B$31</f>
        <v>3</v>
      </c>
      <c r="D263" s="21">
        <f>'[53]Dados de entrada'!$B$32</f>
        <v>12</v>
      </c>
      <c r="E263" s="20">
        <f>'[53]Dados de entrada'!$B$27</f>
        <v>2.98</v>
      </c>
      <c r="F263" s="21">
        <f>'[53]Dados de entrada'!$B$30</f>
        <v>25</v>
      </c>
      <c r="G263" s="21">
        <f>'[53]Dados de entrada'!$B$22</f>
        <v>35</v>
      </c>
      <c r="H263" s="79">
        <f>'[53]Dados de entrada'!$B$29/(2*'[53]Dados de entrada'!$B$20*G263)</f>
        <v>8.9714285714285719E-2</v>
      </c>
      <c r="I263" s="27">
        <v>502.05901185324399</v>
      </c>
      <c r="J263" s="19">
        <v>0.22</v>
      </c>
    </row>
    <row r="264" spans="1:10" ht="15" customHeight="1">
      <c r="A264" s="87" t="s">
        <v>99</v>
      </c>
      <c r="B264" s="5">
        <f>'[54]Dados de entrada'!$B$28</f>
        <v>28</v>
      </c>
      <c r="C264" s="5">
        <f>'[54]Dados de entrada'!$B$31</f>
        <v>4</v>
      </c>
      <c r="D264" s="5">
        <f>'[54]Dados de entrada'!$B$32</f>
        <v>16</v>
      </c>
      <c r="E264" s="11">
        <f>'[54]Dados de entrada'!$B$27</f>
        <v>5.3084743571011064</v>
      </c>
      <c r="F264" s="5">
        <f>'[54]Dados de entrada'!$B$30</f>
        <v>30</v>
      </c>
      <c r="G264" s="5">
        <f>'[54]Dados de entrada'!$B$22</f>
        <v>44</v>
      </c>
      <c r="H264" s="78">
        <f>'[54]Dados de entrada'!$B$29/(2*'[54]Dados de entrada'!$B$20*G264)</f>
        <v>0.13994318181818183</v>
      </c>
      <c r="I264" s="53" cm="1">
        <f t="array" ref="I264:I271">'[54]fib Model Code 2010'!$K$5:$K$12</f>
        <v>111.43533786909821</v>
      </c>
      <c r="J264" s="4" cm="1">
        <f t="array" ref="J264:J271">'[54]Dados de entrada'!$C$7:$C$14</f>
        <v>0.2</v>
      </c>
    </row>
    <row r="265" spans="1:10">
      <c r="A265" s="88"/>
      <c r="B265" s="5">
        <f>'[54]Dados de entrada'!$B$28</f>
        <v>28</v>
      </c>
      <c r="C265" s="5">
        <f>'[54]Dados de entrada'!$B$31</f>
        <v>4</v>
      </c>
      <c r="D265" s="5">
        <f>'[54]Dados de entrada'!$B$32</f>
        <v>16</v>
      </c>
      <c r="E265" s="11">
        <f>'[54]Dados de entrada'!$B$27</f>
        <v>5.3084743571011064</v>
      </c>
      <c r="F265" s="5">
        <f>'[54]Dados de entrada'!$B$30</f>
        <v>30</v>
      </c>
      <c r="G265" s="5">
        <f>'[54]Dados de entrada'!$B$22</f>
        <v>44</v>
      </c>
      <c r="H265" s="78">
        <f>'[54]Dados de entrada'!$B$29/(2*'[54]Dados de entrada'!$B$20*G265)</f>
        <v>0.13994318181818183</v>
      </c>
      <c r="I265" s="53">
        <v>151.17196997745879</v>
      </c>
      <c r="J265" s="4">
        <v>0.22</v>
      </c>
    </row>
    <row r="266" spans="1:10">
      <c r="A266" s="88"/>
      <c r="B266" s="5">
        <f>'[54]Dados de entrada'!$B$28</f>
        <v>28</v>
      </c>
      <c r="C266" s="5">
        <f>'[54]Dados de entrada'!$B$31</f>
        <v>4</v>
      </c>
      <c r="D266" s="5">
        <f>'[54]Dados de entrada'!$B$32</f>
        <v>16</v>
      </c>
      <c r="E266" s="11">
        <f>'[54]Dados de entrada'!$B$27</f>
        <v>5.3084743571011064</v>
      </c>
      <c r="F266" s="5">
        <f>'[54]Dados de entrada'!$B$30</f>
        <v>30</v>
      </c>
      <c r="G266" s="5">
        <f>'[54]Dados de entrada'!$B$22</f>
        <v>44</v>
      </c>
      <c r="H266" s="78">
        <f>'[54]Dados de entrada'!$B$29/(2*'[54]Dados de entrada'!$B$20*G266)</f>
        <v>0.13994318181818183</v>
      </c>
      <c r="I266" s="53">
        <v>201.70659994135215</v>
      </c>
      <c r="J266" s="4">
        <v>0.25</v>
      </c>
    </row>
    <row r="267" spans="1:10">
      <c r="A267" s="88"/>
      <c r="B267" s="5">
        <f>'[54]Dados de entrada'!$B$28</f>
        <v>28</v>
      </c>
      <c r="C267" s="5">
        <f>'[54]Dados de entrada'!$B$31</f>
        <v>4</v>
      </c>
      <c r="D267" s="5">
        <f>'[54]Dados de entrada'!$B$32</f>
        <v>16</v>
      </c>
      <c r="E267" s="11">
        <f>'[54]Dados de entrada'!$B$27</f>
        <v>5.3084743571011064</v>
      </c>
      <c r="F267" s="5">
        <f>'[54]Dados de entrada'!$B$30</f>
        <v>30</v>
      </c>
      <c r="G267" s="5">
        <f>'[54]Dados de entrada'!$B$22</f>
        <v>44</v>
      </c>
      <c r="H267" s="78">
        <f>'[54]Dados de entrada'!$B$29/(2*'[54]Dados de entrada'!$B$20*G267)</f>
        <v>0.13994318181818183</v>
      </c>
      <c r="I267" s="53">
        <v>230.64523419418001</v>
      </c>
      <c r="J267" s="4">
        <v>0.28999999999999998</v>
      </c>
    </row>
    <row r="268" spans="1:10">
      <c r="A268" s="88"/>
      <c r="B268" s="5">
        <f>'[54]Dados de entrada'!$B$28</f>
        <v>28</v>
      </c>
      <c r="C268" s="5">
        <f>'[54]Dados de entrada'!$B$31</f>
        <v>4</v>
      </c>
      <c r="D268" s="5">
        <f>'[54]Dados de entrada'!$B$32</f>
        <v>16</v>
      </c>
      <c r="E268" s="11">
        <f>'[54]Dados de entrada'!$B$27</f>
        <v>5.3084743571011064</v>
      </c>
      <c r="F268" s="5">
        <f>'[54]Dados de entrada'!$B$30</f>
        <v>30</v>
      </c>
      <c r="G268" s="5">
        <f>'[54]Dados de entrada'!$B$22</f>
        <v>44</v>
      </c>
      <c r="H268" s="78">
        <f>'[54]Dados de entrada'!$B$29/(2*'[54]Dados de entrada'!$B$20*G268)</f>
        <v>0.13994318181818183</v>
      </c>
      <c r="I268" s="53">
        <v>263.90306758922088</v>
      </c>
      <c r="J268" s="4">
        <v>0.31</v>
      </c>
    </row>
    <row r="269" spans="1:10">
      <c r="A269" s="88"/>
      <c r="B269" s="5">
        <f>'[54]Dados de entrada'!$B$28</f>
        <v>28</v>
      </c>
      <c r="C269" s="5">
        <f>'[54]Dados de entrada'!$B$31</f>
        <v>4</v>
      </c>
      <c r="D269" s="5">
        <f>'[54]Dados de entrada'!$B$32</f>
        <v>16</v>
      </c>
      <c r="E269" s="11">
        <f>'[54]Dados de entrada'!$B$27</f>
        <v>5.3084743571011064</v>
      </c>
      <c r="F269" s="5">
        <f>'[54]Dados de entrada'!$B$30</f>
        <v>30</v>
      </c>
      <c r="G269" s="5">
        <f>'[54]Dados de entrada'!$B$22</f>
        <v>44</v>
      </c>
      <c r="H269" s="78">
        <f>'[54]Dados de entrada'!$B$29/(2*'[54]Dados de entrada'!$B$20*G269)</f>
        <v>0.13994318181818183</v>
      </c>
      <c r="I269" s="53">
        <v>315.73345729577818</v>
      </c>
      <c r="J269" s="4">
        <v>0.33</v>
      </c>
    </row>
    <row r="270" spans="1:10">
      <c r="A270" s="88"/>
      <c r="B270" s="5">
        <f>'[54]Dados de entrada'!$B$28</f>
        <v>28</v>
      </c>
      <c r="C270" s="5">
        <f>'[54]Dados de entrada'!$B$31</f>
        <v>4</v>
      </c>
      <c r="D270" s="5">
        <f>'[54]Dados de entrada'!$B$32</f>
        <v>16</v>
      </c>
      <c r="E270" s="11">
        <f>'[54]Dados de entrada'!$B$27</f>
        <v>5.3084743571011064</v>
      </c>
      <c r="F270" s="5">
        <f>'[54]Dados de entrada'!$B$30</f>
        <v>30</v>
      </c>
      <c r="G270" s="5">
        <f>'[54]Dados de entrada'!$B$22</f>
        <v>44</v>
      </c>
      <c r="H270" s="78">
        <f>'[54]Dados de entrada'!$B$29/(2*'[54]Dados de entrada'!$B$20*G270)</f>
        <v>0.13994318181818183</v>
      </c>
      <c r="I270" s="53">
        <v>342.08057206327823</v>
      </c>
      <c r="J270" s="4">
        <v>0.34</v>
      </c>
    </row>
    <row r="271" spans="1:10">
      <c r="A271" s="89"/>
      <c r="B271" s="5">
        <f>'[54]Dados de entrada'!$B$28</f>
        <v>28</v>
      </c>
      <c r="C271" s="5">
        <f>'[54]Dados de entrada'!$B$31</f>
        <v>4</v>
      </c>
      <c r="D271" s="5">
        <f>'[54]Dados de entrada'!$B$32</f>
        <v>16</v>
      </c>
      <c r="E271" s="11">
        <f>'[54]Dados de entrada'!$B$27</f>
        <v>5.3084743571011064</v>
      </c>
      <c r="F271" s="5">
        <f>'[54]Dados de entrada'!$B$30</f>
        <v>30</v>
      </c>
      <c r="G271" s="5">
        <f>'[54]Dados de entrada'!$B$22</f>
        <v>44</v>
      </c>
      <c r="H271" s="78">
        <f>'[54]Dados de entrada'!$B$29/(2*'[54]Dados de entrada'!$B$20*G271)</f>
        <v>0.13994318181818183</v>
      </c>
      <c r="I271" s="53">
        <v>380.5214444289748</v>
      </c>
      <c r="J271" s="4">
        <v>0.37</v>
      </c>
    </row>
    <row r="272" spans="1:10" ht="14.4" customHeight="1">
      <c r="A272" s="87" t="s">
        <v>103</v>
      </c>
      <c r="B272" s="5">
        <f>'[55]Dados de entrada'!$B$28</f>
        <v>15.9</v>
      </c>
      <c r="C272" s="5">
        <f>'[55]Dados de entrada'!$B$31</f>
        <v>2</v>
      </c>
      <c r="D272" s="5">
        <f>'[55]Dados de entrada'!$B$32</f>
        <v>46</v>
      </c>
      <c r="E272" s="11">
        <f>'[55]Dados de entrada'!$B$27</f>
        <v>2.8258773978663156</v>
      </c>
      <c r="F272" s="5">
        <f>'[55]Dados de entrada'!$B$30</f>
        <v>30</v>
      </c>
      <c r="G272" s="5">
        <f>'[55]Dados de entrada'!$B$22</f>
        <v>38</v>
      </c>
      <c r="H272" s="78">
        <f>'[55]Dados de entrada'!$B$29/(2*'[55]Dados de entrada'!$B$20*G272)</f>
        <v>3.4842105263157896E-2</v>
      </c>
      <c r="I272" s="53" cm="1">
        <f t="array" ref="I272:I273">'[55]fib Model Code 2010'!$K$5:$K$6</f>
        <v>361.66957450902817</v>
      </c>
      <c r="J272" s="4" cm="1">
        <f t="array" ref="J272:J273">'[55]Dados de entrada'!$C$7:$C$8</f>
        <v>0.2</v>
      </c>
    </row>
    <row r="273" spans="1:10">
      <c r="A273" s="89"/>
      <c r="B273" s="5">
        <f>'[55]Dados de entrada'!$B$28</f>
        <v>15.9</v>
      </c>
      <c r="C273" s="5">
        <f>'[55]Dados de entrada'!$B$31</f>
        <v>2</v>
      </c>
      <c r="D273" s="5">
        <f>'[55]Dados de entrada'!$B$32</f>
        <v>46</v>
      </c>
      <c r="E273" s="11">
        <f>'[55]Dados de entrada'!$B$27</f>
        <v>2.8258773978663156</v>
      </c>
      <c r="F273" s="5">
        <f>'[55]Dados de entrada'!$B$30</f>
        <v>30</v>
      </c>
      <c r="G273" s="5">
        <f>'[55]Dados de entrada'!$B$22</f>
        <v>38</v>
      </c>
      <c r="H273" s="78">
        <f>'[55]Dados de entrada'!$B$29/(2*'[55]Dados de entrada'!$B$20*G273)</f>
        <v>3.4842105263157896E-2</v>
      </c>
      <c r="I273" s="53">
        <v>392.3</v>
      </c>
      <c r="J273" s="4">
        <v>0.35</v>
      </c>
    </row>
    <row r="274" spans="1:10" ht="15" customHeight="1">
      <c r="A274" s="87" t="s">
        <v>104</v>
      </c>
      <c r="B274" s="5">
        <f>'[56]Dados de entrada'!$B$28</f>
        <v>15.9</v>
      </c>
      <c r="C274" s="5">
        <f>'[56]Dados de entrada'!$B$31</f>
        <v>2</v>
      </c>
      <c r="D274" s="5">
        <f>'[56]Dados de entrada'!$B$32</f>
        <v>46</v>
      </c>
      <c r="E274" s="11">
        <f>'[56]Dados de entrada'!$B$27</f>
        <v>2.8258773978663156</v>
      </c>
      <c r="F274" s="5">
        <f>'[56]Dados de entrada'!$B$33</f>
        <v>30</v>
      </c>
      <c r="G274" s="5">
        <f>'[56]Dados de entrada'!$B$22</f>
        <v>38</v>
      </c>
      <c r="H274" s="78">
        <f>'[56]Dados de entrada'!$B$29/(2*'[56]Dados de entrada'!$B$20*G274)</f>
        <v>3.4842105263157896E-2</v>
      </c>
      <c r="I274" s="53" cm="1">
        <f t="array" ref="I274:I275">'[56]fib Model Code 2010'!$K$5:$K$6</f>
        <v>363.0041485847072</v>
      </c>
      <c r="J274" s="4" cm="1">
        <f t="array" ref="J274:J275">'[56]Dados de entrada'!$C$7:$C$8</f>
        <v>0.2</v>
      </c>
    </row>
    <row r="275" spans="1:10">
      <c r="A275" s="89"/>
      <c r="B275" s="5">
        <f>'[56]Dados de entrada'!$B$28</f>
        <v>15.9</v>
      </c>
      <c r="C275" s="5">
        <f>'[56]Dados de entrada'!$B$31</f>
        <v>2</v>
      </c>
      <c r="D275" s="5">
        <f>'[56]Dados de entrada'!$B$32</f>
        <v>46</v>
      </c>
      <c r="E275" s="11">
        <f>'[56]Dados de entrada'!$B$27</f>
        <v>2.8258773978663156</v>
      </c>
      <c r="F275" s="5">
        <f>'[56]Dados de entrada'!$B$33</f>
        <v>30</v>
      </c>
      <c r="G275" s="5">
        <f>'[56]Dados de entrada'!$B$22</f>
        <v>38</v>
      </c>
      <c r="H275" s="78">
        <f>'[56]Dados de entrada'!$B$29/(2*'[56]Dados de entrada'!$B$20*G275)</f>
        <v>3.4842105263157896E-2</v>
      </c>
      <c r="I275" s="53">
        <v>392.3</v>
      </c>
      <c r="J275" s="4">
        <v>0.25</v>
      </c>
    </row>
    <row r="276" spans="1:10">
      <c r="A276" s="87" t="s">
        <v>105</v>
      </c>
      <c r="B276" s="5">
        <f>'[57]Dados de entrada'!$B$28</f>
        <v>15.9</v>
      </c>
      <c r="C276" s="5">
        <f>'[57]Dados de entrada'!$B$31</f>
        <v>2</v>
      </c>
      <c r="D276" s="5">
        <f>'[57]Dados de entrada'!$B$32</f>
        <v>46</v>
      </c>
      <c r="E276" s="11">
        <f>'[57]Dados de entrada'!$B$27</f>
        <v>2.8258773978663156</v>
      </c>
      <c r="F276" s="5">
        <f>'[57]Dados de entrada'!$B$30</f>
        <v>30</v>
      </c>
      <c r="G276" s="5">
        <f>'[57]Dados de entrada'!$B$22</f>
        <v>38</v>
      </c>
      <c r="H276" s="78">
        <f>'[57]Dados de entrada'!$B$29/(2*'[57]Dados de entrada'!$B$20*G276)</f>
        <v>3.4842105263157896E-2</v>
      </c>
      <c r="I276" s="53" cm="1">
        <f t="array" ref="I276:I277">'[57]fib Model Code 2010'!$K$5:$K$6</f>
        <v>363.0041485847072</v>
      </c>
      <c r="J276" s="4" cm="1">
        <f t="array" ref="J276:J277">'[57]Dados de entrada'!$C$7:$C$8</f>
        <v>0.2</v>
      </c>
    </row>
    <row r="277" spans="1:10">
      <c r="A277" s="89"/>
      <c r="B277" s="5">
        <f>'[57]Dados de entrada'!$B$28</f>
        <v>15.9</v>
      </c>
      <c r="C277" s="5">
        <f>'[57]Dados de entrada'!$B$31</f>
        <v>2</v>
      </c>
      <c r="D277" s="5">
        <f>'[57]Dados de entrada'!$B$32</f>
        <v>46</v>
      </c>
      <c r="E277" s="11">
        <f>'[57]Dados de entrada'!$B$27</f>
        <v>2.8258773978663156</v>
      </c>
      <c r="F277" s="5">
        <f>'[57]Dados de entrada'!$B$30</f>
        <v>30</v>
      </c>
      <c r="G277" s="5">
        <f>'[57]Dados de entrada'!$B$22</f>
        <v>38</v>
      </c>
      <c r="H277" s="78">
        <f>'[57]Dados de entrada'!$B$29/(2*'[57]Dados de entrada'!$B$20*G277)</f>
        <v>3.4842105263157896E-2</v>
      </c>
      <c r="I277" s="53">
        <v>392.3</v>
      </c>
      <c r="J277" s="4">
        <v>0.25</v>
      </c>
    </row>
    <row r="278" spans="1:10">
      <c r="A278" s="87" t="s">
        <v>106</v>
      </c>
      <c r="B278" s="5">
        <f>'[58]Dados de entrada'!$B$28</f>
        <v>15.9</v>
      </c>
      <c r="C278" s="5">
        <f>'[58]Dados de entrada'!$B$31</f>
        <v>2</v>
      </c>
      <c r="D278" s="5">
        <f>'[58]Dados de entrada'!$B$32</f>
        <v>46</v>
      </c>
      <c r="E278" s="11">
        <f>'[58]Dados de entrada'!$B$27</f>
        <v>2.8258773978663156</v>
      </c>
      <c r="F278" s="5">
        <f>'[58]Dados de entrada'!$B$30</f>
        <v>30</v>
      </c>
      <c r="G278" s="5">
        <f>'[58]Dados de entrada'!$B$22</f>
        <v>38</v>
      </c>
      <c r="H278" s="78">
        <f>'[58]Dados de entrada'!$B$29/(2*'[58]Dados de entrada'!$B$20*G278)</f>
        <v>3.4842105263157896E-2</v>
      </c>
      <c r="I278" s="53" cm="1">
        <f t="array" ref="I278:I279">'[58]fib Model Code 2010'!$K$5:$K$6</f>
        <v>364.33872266038628</v>
      </c>
      <c r="J278" s="4" cm="1">
        <f t="array" ref="J278:J279">'[58]Dados de entrada'!$C$7:$C$8</f>
        <v>0.2</v>
      </c>
    </row>
    <row r="279" spans="1:10">
      <c r="A279" s="89"/>
      <c r="B279" s="5">
        <f>'[58]Dados de entrada'!$B$28</f>
        <v>15.9</v>
      </c>
      <c r="C279" s="5">
        <f>'[58]Dados de entrada'!$B$31</f>
        <v>2</v>
      </c>
      <c r="D279" s="5">
        <f>'[58]Dados de entrada'!$B$32</f>
        <v>46</v>
      </c>
      <c r="E279" s="11">
        <f>'[58]Dados de entrada'!$B$27</f>
        <v>2.8258773978663156</v>
      </c>
      <c r="F279" s="5">
        <f>'[58]Dados de entrada'!$B$30</f>
        <v>30</v>
      </c>
      <c r="G279" s="5">
        <f>'[58]Dados de entrada'!$B$22</f>
        <v>38</v>
      </c>
      <c r="H279" s="78">
        <f>'[58]Dados de entrada'!$B$29/(2*'[58]Dados de entrada'!$B$20*G279)</f>
        <v>3.4842105263157896E-2</v>
      </c>
      <c r="I279" s="53">
        <v>392.3</v>
      </c>
      <c r="J279" s="4">
        <v>0.3</v>
      </c>
    </row>
    <row r="280" spans="1:10">
      <c r="A280" s="87" t="s">
        <v>109</v>
      </c>
      <c r="B280" s="5">
        <f>'[59]Dados de entrada'!$B$28</f>
        <v>12.7</v>
      </c>
      <c r="C280" s="5">
        <f>'[59]Dados de entrada'!$B$31</f>
        <v>2</v>
      </c>
      <c r="D280" s="5">
        <f>'[59]Dados de entrada'!$B$32</f>
        <v>52</v>
      </c>
      <c r="E280" s="11">
        <f>'[59]Dados de entrada'!$B$27</f>
        <v>2.9208758709847928</v>
      </c>
      <c r="F280" s="5">
        <f>'[59]Dados de entrada'!$B$30</f>
        <v>30</v>
      </c>
      <c r="G280" s="5">
        <f>'[59]Dados de entrada'!$B$22</f>
        <v>36.5</v>
      </c>
      <c r="H280" s="78">
        <f>'[59]Dados de entrada'!$B$29/(2*'[59]Dados de entrada'!$B$20*G280)</f>
        <v>2.3141552511415527E-2</v>
      </c>
      <c r="I280" s="53" cm="1">
        <f t="array" ref="I280:I281">'[59]fib Model Code 2010'!$K$5:$K$6</f>
        <v>317.10269794078823</v>
      </c>
      <c r="J280" s="4" cm="1">
        <f t="array" ref="J280:J281">'[59]Dados de entrada'!$C$7:$C$8</f>
        <v>0.15</v>
      </c>
    </row>
    <row r="281" spans="1:10">
      <c r="A281" s="89"/>
      <c r="B281" s="5">
        <f>'[59]Dados de entrada'!$B$28</f>
        <v>12.7</v>
      </c>
      <c r="C281" s="5">
        <f>'[59]Dados de entrada'!$B$31</f>
        <v>2</v>
      </c>
      <c r="D281" s="5">
        <f>'[59]Dados de entrada'!$B$32</f>
        <v>52</v>
      </c>
      <c r="E281" s="11">
        <f>'[59]Dados de entrada'!$B$27</f>
        <v>2.9208758709847928</v>
      </c>
      <c r="F281" s="5">
        <f>'[59]Dados de entrada'!$B$30</f>
        <v>30</v>
      </c>
      <c r="G281" s="5">
        <f>'[59]Dados de entrada'!$B$22</f>
        <v>36.5</v>
      </c>
      <c r="H281" s="78">
        <f>'[59]Dados de entrada'!$B$29/(2*'[59]Dados de entrada'!$B$20*G281)</f>
        <v>2.3141552511415527E-2</v>
      </c>
      <c r="I281" s="53">
        <v>392.3</v>
      </c>
      <c r="J281" s="4">
        <v>0.2</v>
      </c>
    </row>
    <row r="282" spans="1:10">
      <c r="A282" s="87" t="s">
        <v>110</v>
      </c>
      <c r="B282" s="5">
        <f>'[60]Dados de entrada'!$B$28</f>
        <v>12.7</v>
      </c>
      <c r="C282" s="5">
        <f>'[60]Dados de entrada'!$B$31</f>
        <v>2</v>
      </c>
      <c r="D282" s="5">
        <f>'[60]Dados de entrada'!$B$32</f>
        <v>52</v>
      </c>
      <c r="E282" s="11">
        <f>'[60]Dados de entrada'!$B$27</f>
        <v>2.9208758709847928</v>
      </c>
      <c r="F282" s="5">
        <f>'[60]Dados de entrada'!$B$30</f>
        <v>30</v>
      </c>
      <c r="G282" s="5">
        <f>'[60]Dados de entrada'!$B$22</f>
        <v>36.5</v>
      </c>
      <c r="H282" s="78">
        <f>'[60]Dados de entrada'!$B$29/(2*'[60]Dados de entrada'!$B$20*G282)</f>
        <v>2.3141552511415527E-2</v>
      </c>
      <c r="I282" s="53" cm="1">
        <f t="array" ref="I282:I283">'[60]fib Model Code 2010'!$K$5:$K$6</f>
        <v>319.13540754297276</v>
      </c>
      <c r="J282" s="4" cm="1">
        <f t="array" ref="J282:J283">'[60]Dados de entrada'!$C$7:$C$8</f>
        <v>0.15</v>
      </c>
    </row>
    <row r="283" spans="1:10">
      <c r="A283" s="89"/>
      <c r="B283" s="5">
        <f>'[60]Dados de entrada'!$B$28</f>
        <v>12.7</v>
      </c>
      <c r="C283" s="5">
        <f>'[60]Dados de entrada'!$B$31</f>
        <v>2</v>
      </c>
      <c r="D283" s="5">
        <f>'[60]Dados de entrada'!$B$32</f>
        <v>52</v>
      </c>
      <c r="E283" s="11">
        <f>'[60]Dados de entrada'!$B$27</f>
        <v>2.9208758709847928</v>
      </c>
      <c r="F283" s="5">
        <f>'[60]Dados de entrada'!$B$30</f>
        <v>30</v>
      </c>
      <c r="G283" s="5">
        <f>'[60]Dados de entrada'!$B$22</f>
        <v>36.5</v>
      </c>
      <c r="H283" s="78">
        <f>'[60]Dados de entrada'!$B$29/(2*'[60]Dados de entrada'!$B$20*G283)</f>
        <v>2.3141552511415527E-2</v>
      </c>
      <c r="I283" s="53">
        <v>392.3</v>
      </c>
      <c r="J283" s="4">
        <v>0.2</v>
      </c>
    </row>
    <row r="284" spans="1:10" ht="13.2" customHeight="1">
      <c r="A284" s="87" t="s">
        <v>111</v>
      </c>
      <c r="B284" s="5">
        <f>'[61]Dados de entrada'!$B$28</f>
        <v>15.9</v>
      </c>
      <c r="C284" s="5">
        <f>'[61]Dados de entrada'!$B$31</f>
        <v>2</v>
      </c>
      <c r="D284" s="5">
        <f>'[61]Dados de entrada'!$B$32</f>
        <v>46</v>
      </c>
      <c r="E284" s="11">
        <f>'[61]Dados de entrada'!$B$27</f>
        <v>2.9208758709847928</v>
      </c>
      <c r="F284" s="5">
        <f>'[61]Dados de entrada'!$B$30</f>
        <v>30</v>
      </c>
      <c r="G284" s="5">
        <f>'[61]Dados de entrada'!$B$22</f>
        <v>38</v>
      </c>
      <c r="H284" s="78">
        <f>'[61]Dados de entrada'!$B$29/(2*'[61]Dados de entrada'!$B$20*G284)</f>
        <v>3.4842105263157896E-2</v>
      </c>
      <c r="I284" s="53" cm="1">
        <f t="array" ref="I284:I286">'[61]fib Model Code 2010'!$K$5:$K$7</f>
        <v>260.02902224680844</v>
      </c>
      <c r="J284" s="4" cm="1">
        <f t="array" ref="J284:J286">'[61]Dados de entrada'!$C$7:$C$9</f>
        <v>0.15</v>
      </c>
    </row>
    <row r="285" spans="1:10">
      <c r="A285" s="88"/>
      <c r="B285" s="5">
        <f>'[61]Dados de entrada'!$B$28</f>
        <v>15.9</v>
      </c>
      <c r="C285" s="5">
        <f>'[61]Dados de entrada'!$B$31</f>
        <v>2</v>
      </c>
      <c r="D285" s="5">
        <f>'[61]Dados de entrada'!$B$32</f>
        <v>46</v>
      </c>
      <c r="E285" s="11">
        <f>'[61]Dados de entrada'!$B$27</f>
        <v>2.9208758709847928</v>
      </c>
      <c r="F285" s="5">
        <f>'[61]Dados de entrada'!$B$30</f>
        <v>30</v>
      </c>
      <c r="G285" s="5">
        <f>'[61]Dados de entrada'!$B$22</f>
        <v>38</v>
      </c>
      <c r="H285" s="78">
        <f>'[61]Dados de entrada'!$B$29/(2*'[61]Dados de entrada'!$B$20*G285)</f>
        <v>3.4842105263157896E-2</v>
      </c>
      <c r="I285" s="53">
        <v>365.37411331090004</v>
      </c>
      <c r="J285" s="4">
        <v>0.25</v>
      </c>
    </row>
    <row r="286" spans="1:10">
      <c r="A286" s="89"/>
      <c r="B286" s="5">
        <f>'[61]Dados de entrada'!$B$28</f>
        <v>15.9</v>
      </c>
      <c r="C286" s="5">
        <f>'[61]Dados de entrada'!$B$31</f>
        <v>2</v>
      </c>
      <c r="D286" s="5">
        <f>'[61]Dados de entrada'!$B$32</f>
        <v>46</v>
      </c>
      <c r="E286" s="11">
        <f>'[61]Dados de entrada'!$B$27</f>
        <v>2.9208758709847928</v>
      </c>
      <c r="F286" s="5">
        <f>'[61]Dados de entrada'!$B$30</f>
        <v>30</v>
      </c>
      <c r="G286" s="5">
        <f>'[61]Dados de entrada'!$B$22</f>
        <v>38</v>
      </c>
      <c r="H286" s="78">
        <f>'[61]Dados de entrada'!$B$29/(2*'[61]Dados de entrada'!$B$20*G286)</f>
        <v>3.4842105263157896E-2</v>
      </c>
      <c r="I286" s="53">
        <v>392.3</v>
      </c>
      <c r="J286" s="4">
        <v>0.3</v>
      </c>
    </row>
    <row r="287" spans="1:10" ht="13.2" customHeight="1">
      <c r="A287" s="87" t="s">
        <v>112</v>
      </c>
      <c r="B287" s="5">
        <f>'[62]Dados de entrada'!$B$28</f>
        <v>15.9</v>
      </c>
      <c r="C287" s="5">
        <f>'[62]Dados de entrada'!$B$31</f>
        <v>2</v>
      </c>
      <c r="D287" s="5">
        <f>'[62]Dados de entrada'!$B$32</f>
        <v>46</v>
      </c>
      <c r="E287" s="11">
        <f>'[62]Dados de entrada'!$B$27</f>
        <v>2.9208758709847928</v>
      </c>
      <c r="F287" s="5">
        <f>'[62]Dados de entrada'!$B$30</f>
        <v>30</v>
      </c>
      <c r="G287" s="5">
        <f>'[62]Dados de entrada'!$B$22</f>
        <v>38</v>
      </c>
      <c r="H287" s="78">
        <f>'[62]Dados de entrada'!$B$29/(2*'[62]Dados de entrada'!$B$20*G287)</f>
        <v>3.4842105263157896E-2</v>
      </c>
      <c r="I287" s="53" cm="1">
        <f t="array" ref="I287:I288">'[62]fib Model Code 2010'!$K$5:$K$6</f>
        <v>261.36250441217675</v>
      </c>
      <c r="J287" s="4" cm="1">
        <f t="array" ref="J287:J288">'[62]Dados de entrada'!$C$7:$C$8</f>
        <v>0.15</v>
      </c>
    </row>
    <row r="288" spans="1:10">
      <c r="A288" s="88"/>
      <c r="B288" s="5">
        <f>'[62]Dados de entrada'!$B$28</f>
        <v>15.9</v>
      </c>
      <c r="C288" s="5">
        <f>'[62]Dados de entrada'!$B$31</f>
        <v>2</v>
      </c>
      <c r="D288" s="5">
        <f>'[62]Dados de entrada'!$B$32</f>
        <v>46</v>
      </c>
      <c r="E288" s="11">
        <f>'[62]Dados de entrada'!$B$27</f>
        <v>2.9208758709847928</v>
      </c>
      <c r="F288" s="5">
        <f>'[62]Dados de entrada'!$B$30</f>
        <v>30</v>
      </c>
      <c r="G288" s="5">
        <f>'[62]Dados de entrada'!$B$22</f>
        <v>38</v>
      </c>
      <c r="H288" s="78">
        <f>'[62]Dados de entrada'!$B$29/(2*'[62]Dados de entrada'!$B$20*G288)</f>
        <v>3.4842105263157896E-2</v>
      </c>
      <c r="I288" s="53">
        <v>366.70759547626835</v>
      </c>
      <c r="J288" s="4">
        <v>0.25</v>
      </c>
    </row>
    <row r="289" spans="1:10" ht="13.2" customHeight="1">
      <c r="A289" s="87" t="s">
        <v>114</v>
      </c>
      <c r="B289" s="5">
        <f>'[63]Dados de entrada'!$B$28</f>
        <v>19.100000000000001</v>
      </c>
      <c r="C289" s="5">
        <f>'[63]Dados de entrada'!$B$31</f>
        <v>2</v>
      </c>
      <c r="D289" s="5">
        <f>'[63]Dados de entrada'!$B$32</f>
        <v>40</v>
      </c>
      <c r="E289" s="11">
        <f>'[63]Dados de entrada'!$B$27</f>
        <v>2.9208758709847928</v>
      </c>
      <c r="F289" s="5">
        <f>'[63]Dados de entrada'!$B$30</f>
        <v>30</v>
      </c>
      <c r="G289" s="5">
        <f>'[63]Dados de entrada'!$B$22</f>
        <v>39.5</v>
      </c>
      <c r="H289" s="78">
        <f>'[63]Dados de entrada'!$B$29/(2*'[63]Dados de entrada'!$B$20*G289)</f>
        <v>4.8354430379746835E-2</v>
      </c>
      <c r="I289" s="53" cm="1">
        <f t="array" ref="I289:I292">'[63]fib Model Code 2010'!$K$5:$K$8</f>
        <v>187.02573904138569</v>
      </c>
      <c r="J289" s="4" cm="1">
        <f t="array" ref="J289:J292">'[63]Dados de entrada'!$C$7:$C$10</f>
        <v>0.15</v>
      </c>
    </row>
    <row r="290" spans="1:10">
      <c r="A290" s="88"/>
      <c r="B290" s="5">
        <f>'[63]Dados de entrada'!$B$28</f>
        <v>19.100000000000001</v>
      </c>
      <c r="C290" s="5">
        <f>'[63]Dados de entrada'!$B$31</f>
        <v>2</v>
      </c>
      <c r="D290" s="5">
        <f>'[63]Dados de entrada'!$B$32</f>
        <v>40</v>
      </c>
      <c r="E290" s="11">
        <f>'[63]Dados de entrada'!$B$27</f>
        <v>2.9208758709847928</v>
      </c>
      <c r="F290" s="5">
        <f>'[63]Dados de entrada'!$B$30</f>
        <v>30</v>
      </c>
      <c r="G290" s="5">
        <f>'[63]Dados de entrada'!$B$22</f>
        <v>39.5</v>
      </c>
      <c r="H290" s="78">
        <f>'[63]Dados de entrada'!$B$29/(2*'[63]Dados de entrada'!$B$20*G290)</f>
        <v>4.8354430379746835E-2</v>
      </c>
      <c r="I290" s="53">
        <v>261.07653927096982</v>
      </c>
      <c r="J290" s="4">
        <v>0.2</v>
      </c>
    </row>
    <row r="291" spans="1:10">
      <c r="A291" s="88"/>
      <c r="B291" s="5">
        <f>'[63]Dados de entrada'!$B$28</f>
        <v>19.100000000000001</v>
      </c>
      <c r="C291" s="5">
        <f>'[63]Dados de entrada'!$B$31</f>
        <v>2</v>
      </c>
      <c r="D291" s="5">
        <f>'[63]Dados de entrada'!$B$32</f>
        <v>40</v>
      </c>
      <c r="E291" s="11">
        <f>'[63]Dados de entrada'!$B$27</f>
        <v>2.9208758709847928</v>
      </c>
      <c r="F291" s="5">
        <f>'[63]Dados de entrada'!$B$30</f>
        <v>30</v>
      </c>
      <c r="G291" s="5">
        <f>'[63]Dados de entrada'!$B$22</f>
        <v>39.5</v>
      </c>
      <c r="H291" s="78">
        <f>'[63]Dados de entrada'!$B$29/(2*'[63]Dados de entrada'!$B$20*G291)</f>
        <v>4.8354430379746835E-2</v>
      </c>
      <c r="I291" s="53">
        <v>336.07670873426662</v>
      </c>
      <c r="J291" s="4">
        <v>0.3</v>
      </c>
    </row>
    <row r="292" spans="1:10">
      <c r="A292" s="89"/>
      <c r="B292" s="5">
        <f>'[63]Dados de entrada'!$B$28</f>
        <v>19.100000000000001</v>
      </c>
      <c r="C292" s="5">
        <f>'[63]Dados de entrada'!$B$31</f>
        <v>2</v>
      </c>
      <c r="D292" s="5">
        <f>'[63]Dados de entrada'!$B$32</f>
        <v>40</v>
      </c>
      <c r="E292" s="11">
        <f>'[63]Dados de entrada'!$B$27</f>
        <v>2.9208758709847928</v>
      </c>
      <c r="F292" s="5">
        <f>'[63]Dados de entrada'!$B$30</f>
        <v>30</v>
      </c>
      <c r="G292" s="5">
        <f>'[63]Dados de entrada'!$B$22</f>
        <v>39.5</v>
      </c>
      <c r="H292" s="78">
        <f>'[63]Dados de entrada'!$B$29/(2*'[63]Dados de entrada'!$B$20*G292)</f>
        <v>4.8354430379746835E-2</v>
      </c>
      <c r="I292" s="53">
        <v>392.3</v>
      </c>
      <c r="J292" s="4">
        <v>0.33</v>
      </c>
    </row>
    <row r="293" spans="1:10">
      <c r="A293" s="87" t="s">
        <v>113</v>
      </c>
      <c r="B293" s="5">
        <f>'[64]Dados de entrada'!$B$28</f>
        <v>19.100000000000001</v>
      </c>
      <c r="C293" s="5">
        <f>'[64]Dados de entrada'!$B$31</f>
        <v>2</v>
      </c>
      <c r="D293" s="5">
        <f>'[64]Dados de entrada'!$B$32</f>
        <v>40</v>
      </c>
      <c r="E293" s="11">
        <f>'[64]Dados de entrada'!$B$27</f>
        <v>2.9208758709847928</v>
      </c>
      <c r="F293" s="5">
        <f>'[64]Dados de entrada'!$B$33</f>
        <v>30</v>
      </c>
      <c r="G293" s="5">
        <f>'[64]Dados de entrada'!$B$22</f>
        <v>39.5</v>
      </c>
      <c r="H293" s="78">
        <f>'[64]Dados de entrada'!$B$29/(2*'[64]Dados de entrada'!$B$20*G293)</f>
        <v>4.8354430379746835E-2</v>
      </c>
      <c r="I293" s="53" cm="1">
        <f t="array" ref="I293:I295">'[64]fib Model Code 2010'!$K$5:$K$7</f>
        <v>186.07636980767307</v>
      </c>
      <c r="J293" s="4" cm="1">
        <f t="array" ref="J293:J295">'[64]Dados de entrada'!$C$7:$C$9</f>
        <v>0.15</v>
      </c>
    </row>
    <row r="294" spans="1:10">
      <c r="A294" s="88"/>
      <c r="B294" s="5">
        <f>'[64]Dados de entrada'!$B$28</f>
        <v>19.100000000000001</v>
      </c>
      <c r="C294" s="5">
        <f>'[64]Dados de entrada'!$B$31</f>
        <v>2</v>
      </c>
      <c r="D294" s="5">
        <f>'[64]Dados de entrada'!$B$32</f>
        <v>40</v>
      </c>
      <c r="E294" s="11">
        <f>'[64]Dados de entrada'!$B$27</f>
        <v>2.9208758709847928</v>
      </c>
      <c r="F294" s="5">
        <f>'[64]Dados de entrada'!$B$33</f>
        <v>30</v>
      </c>
      <c r="G294" s="5">
        <f>'[64]Dados de entrada'!$B$22</f>
        <v>39.5</v>
      </c>
      <c r="H294" s="78">
        <f>'[64]Dados de entrada'!$B$29/(2*'[64]Dados de entrada'!$B$20*G294)</f>
        <v>4.8354430379746835E-2</v>
      </c>
      <c r="I294" s="53">
        <v>259.17780080354459</v>
      </c>
      <c r="J294" s="4">
        <v>0.25</v>
      </c>
    </row>
    <row r="295" spans="1:10">
      <c r="A295" s="89"/>
      <c r="B295" s="5">
        <f>'[64]Dados de entrada'!$B$28</f>
        <v>19.100000000000001</v>
      </c>
      <c r="C295" s="5">
        <f>'[64]Dados de entrada'!$B$31</f>
        <v>2</v>
      </c>
      <c r="D295" s="5">
        <f>'[64]Dados de entrada'!$B$32</f>
        <v>40</v>
      </c>
      <c r="E295" s="11">
        <f>'[64]Dados de entrada'!$B$27</f>
        <v>2.9208758709847928</v>
      </c>
      <c r="F295" s="5">
        <f>'[64]Dados de entrada'!$B$33</f>
        <v>30</v>
      </c>
      <c r="G295" s="5">
        <f>'[64]Dados de entrada'!$B$22</f>
        <v>39.5</v>
      </c>
      <c r="H295" s="78">
        <f>'[64]Dados de entrada'!$B$29/(2*'[64]Dados de entrada'!$B$20*G295)</f>
        <v>4.8354430379746835E-2</v>
      </c>
      <c r="I295" s="53">
        <v>333.22860103312883</v>
      </c>
      <c r="J295" s="4">
        <v>0.28000000000000003</v>
      </c>
    </row>
    <row r="296" spans="1:10">
      <c r="A296" s="87" t="s">
        <v>115</v>
      </c>
      <c r="B296" s="5">
        <f>'[65]Dados de entrada'!$B$28</f>
        <v>15.9</v>
      </c>
      <c r="C296" s="5">
        <f>'[65]Dados de entrada'!$B$31</f>
        <v>2</v>
      </c>
      <c r="D296" s="5">
        <f>'[65]Dados de entrada'!$B$32</f>
        <v>46</v>
      </c>
      <c r="E296" s="11">
        <f>'[65]Dados de entrada'!$B$27</f>
        <v>3.3538794827423906</v>
      </c>
      <c r="F296" s="5">
        <f>'[65]Dados de entrada'!$B$30</f>
        <v>30</v>
      </c>
      <c r="G296" s="5">
        <f>'[65]Dados de entrada'!$B$22</f>
        <v>38</v>
      </c>
      <c r="H296" s="78">
        <f>'[65]Dados de entrada'!$B$29/(2*'[65]Dados de entrada'!$B$20*G296)</f>
        <v>3.4842105263157896E-2</v>
      </c>
      <c r="I296" s="53" cm="1">
        <f t="array" ref="I296:I297">'[65]fib Model Code 2010'!$K$5:$K$6</f>
        <v>365.47269151625068</v>
      </c>
      <c r="J296" s="4" cm="1">
        <f t="array" ref="J296:J297">'[65]Dados de entrada'!$C$7:$C$8</f>
        <v>0.2</v>
      </c>
    </row>
    <row r="297" spans="1:10">
      <c r="A297" s="89"/>
      <c r="B297" s="5">
        <f>'[65]Dados de entrada'!$B$28</f>
        <v>15.9</v>
      </c>
      <c r="C297" s="5">
        <f>'[65]Dados de entrada'!$B$31</f>
        <v>2</v>
      </c>
      <c r="D297" s="5">
        <f>'[65]Dados de entrada'!$B$32</f>
        <v>46</v>
      </c>
      <c r="E297" s="11">
        <f>'[65]Dados de entrada'!$B$27</f>
        <v>3.3538794827423906</v>
      </c>
      <c r="F297" s="5">
        <f>'[65]Dados de entrada'!$B$30</f>
        <v>30</v>
      </c>
      <c r="G297" s="5">
        <f>'[65]Dados de entrada'!$B$22</f>
        <v>38</v>
      </c>
      <c r="H297" s="78">
        <f>'[65]Dados de entrada'!$B$29/(2*'[65]Dados de entrada'!$B$20*G297)</f>
        <v>3.4842105263157896E-2</v>
      </c>
      <c r="I297" s="53">
        <v>392.3</v>
      </c>
      <c r="J297" s="4">
        <v>0.22</v>
      </c>
    </row>
    <row r="298" spans="1:10">
      <c r="A298" s="87" t="s">
        <v>116</v>
      </c>
      <c r="B298" s="5">
        <f>'[66]Dados de entrada'!$B$28</f>
        <v>15.9</v>
      </c>
      <c r="C298" s="5">
        <f>'[66]Dados de entrada'!$B$31</f>
        <v>2</v>
      </c>
      <c r="D298" s="5">
        <f>'[66]Dados de entrada'!$B$32</f>
        <v>46</v>
      </c>
      <c r="E298" s="11">
        <f>'[66]Dados de entrada'!$B$27</f>
        <v>3.3538794827423906</v>
      </c>
      <c r="F298" s="5">
        <f>'[66]Dados de entrada'!$B$30</f>
        <v>30</v>
      </c>
      <c r="G298" s="5">
        <f>'[66]Dados de entrada'!$B$22</f>
        <v>38</v>
      </c>
      <c r="H298" s="78">
        <f>'[66]Dados de entrada'!$B$29/(2*'[66]Dados de entrada'!$B$20*G298)</f>
        <v>3.4842105263157896E-2</v>
      </c>
      <c r="I298" s="53" cm="1">
        <f t="array" ref="I298:I299">'[66]fib Model Code 2010'!$K$5:$K$6</f>
        <v>365.47269151625068</v>
      </c>
      <c r="J298" s="4" cm="1">
        <f t="array" ref="J298:J299">'[66]Dados de entrada'!$C$7:$C$8</f>
        <v>0.17</v>
      </c>
    </row>
    <row r="299" spans="1:10">
      <c r="A299" s="89"/>
      <c r="B299" s="5">
        <f>'[66]Dados de entrada'!$B$28</f>
        <v>15.9</v>
      </c>
      <c r="C299" s="5">
        <f>'[66]Dados de entrada'!$B$31</f>
        <v>2</v>
      </c>
      <c r="D299" s="5">
        <f>'[66]Dados de entrada'!$B$32</f>
        <v>46</v>
      </c>
      <c r="E299" s="11">
        <f>'[66]Dados de entrada'!$B$27</f>
        <v>3.3538794827423906</v>
      </c>
      <c r="F299" s="5">
        <f>'[66]Dados de entrada'!$B$30</f>
        <v>30</v>
      </c>
      <c r="G299" s="5">
        <f>'[66]Dados de entrada'!$B$22</f>
        <v>38</v>
      </c>
      <c r="H299" s="78">
        <f>'[66]Dados de entrada'!$B$29/(2*'[66]Dados de entrada'!$B$20*G299)</f>
        <v>3.4842105263157896E-2</v>
      </c>
      <c r="I299" s="53">
        <v>392.3</v>
      </c>
      <c r="J299" s="4">
        <v>0.21</v>
      </c>
    </row>
    <row r="300" spans="1:10" ht="13.2" customHeight="1">
      <c r="A300" s="87" t="s">
        <v>117</v>
      </c>
      <c r="B300" s="5">
        <f>'[67]Dados de entrada'!$B$28</f>
        <v>19.100000000000001</v>
      </c>
      <c r="C300" s="5">
        <f>'[67]Dados de entrada'!$B$31</f>
        <v>2</v>
      </c>
      <c r="D300" s="5">
        <f>'[67]Dados de entrada'!$B$32</f>
        <v>40</v>
      </c>
      <c r="E300" s="11">
        <f>'[67]Dados de entrada'!$B$27</f>
        <v>3.3538794827423906</v>
      </c>
      <c r="F300" s="5">
        <f>'[67]Dados de entrada'!$B$30</f>
        <v>30</v>
      </c>
      <c r="G300" s="5">
        <f>'[67]Dados de entrada'!$B$22</f>
        <v>39.5</v>
      </c>
      <c r="H300" s="78">
        <f>'[67]Dados de entrada'!$B$29/(2*'[67]Dados de entrada'!$B$20*G300)</f>
        <v>4.8354430379746835E-2</v>
      </c>
      <c r="I300" s="53" cm="1">
        <f t="array" ref="I300:I305">'[67]fib Model Code 2010'!$K$5:$K$10</f>
        <v>221.31013180149799</v>
      </c>
      <c r="J300" s="4" cm="1">
        <f t="array" ref="J300:J305">'[67]Dados de entrada'!$C$7:$C$12</f>
        <v>0.17</v>
      </c>
    </row>
    <row r="301" spans="1:10">
      <c r="A301" s="88"/>
      <c r="B301" s="5">
        <f>'[67]Dados de entrada'!$B$28</f>
        <v>19.100000000000001</v>
      </c>
      <c r="C301" s="5">
        <f>'[67]Dados de entrada'!$B$31</f>
        <v>2</v>
      </c>
      <c r="D301" s="5">
        <f>'[67]Dados de entrada'!$B$32</f>
        <v>40</v>
      </c>
      <c r="E301" s="11">
        <f>'[67]Dados de entrada'!$B$27</f>
        <v>3.3538794827423906</v>
      </c>
      <c r="F301" s="5">
        <f>'[67]Dados de entrada'!$B$30</f>
        <v>30</v>
      </c>
      <c r="G301" s="5">
        <f>'[67]Dados de entrada'!$B$22</f>
        <v>39.5</v>
      </c>
      <c r="H301" s="78">
        <f>'[67]Dados de entrada'!$B$29/(2*'[67]Dados de entrada'!$B$20*G301)</f>
        <v>4.8354430379746835E-2</v>
      </c>
      <c r="I301" s="53">
        <v>259.14092356243782</v>
      </c>
      <c r="J301" s="4">
        <v>0.18</v>
      </c>
    </row>
    <row r="302" spans="1:10">
      <c r="A302" s="88"/>
      <c r="B302" s="5">
        <f>'[67]Dados de entrada'!$B$28</f>
        <v>19.100000000000001</v>
      </c>
      <c r="C302" s="5">
        <f>'[67]Dados de entrada'!$B$31</f>
        <v>2</v>
      </c>
      <c r="D302" s="5">
        <f>'[67]Dados de entrada'!$B$32</f>
        <v>40</v>
      </c>
      <c r="E302" s="11">
        <f>'[67]Dados de entrada'!$B$27</f>
        <v>3.3538794827423906</v>
      </c>
      <c r="F302" s="5">
        <f>'[67]Dados de entrada'!$B$30</f>
        <v>30</v>
      </c>
      <c r="G302" s="5">
        <f>'[67]Dados de entrada'!$B$22</f>
        <v>39.5</v>
      </c>
      <c r="H302" s="78">
        <f>'[67]Dados de entrada'!$B$29/(2*'[67]Dados de entrada'!$B$20*G302)</f>
        <v>4.8354430379746835E-2</v>
      </c>
      <c r="I302" s="53">
        <v>296.0259455293542</v>
      </c>
      <c r="J302" s="4">
        <v>0.2</v>
      </c>
    </row>
    <row r="303" spans="1:10">
      <c r="A303" s="88"/>
      <c r="B303" s="5">
        <f>'[67]Dados de entrada'!$B$28</f>
        <v>19.100000000000001</v>
      </c>
      <c r="C303" s="5">
        <f>'[67]Dados de entrada'!$B$31</f>
        <v>2</v>
      </c>
      <c r="D303" s="5">
        <f>'[67]Dados de entrada'!$B$32</f>
        <v>40</v>
      </c>
      <c r="E303" s="11">
        <f>'[67]Dados de entrada'!$B$27</f>
        <v>3.3538794827423906</v>
      </c>
      <c r="F303" s="5">
        <f>'[67]Dados de entrada'!$B$30</f>
        <v>30</v>
      </c>
      <c r="G303" s="5">
        <f>'[67]Dados de entrada'!$B$22</f>
        <v>39.5</v>
      </c>
      <c r="H303" s="78">
        <f>'[67]Dados de entrada'!$B$29/(2*'[67]Dados de entrada'!$B$20*G303)</f>
        <v>4.8354430379746835E-2</v>
      </c>
      <c r="I303" s="53">
        <v>333.85673729029395</v>
      </c>
      <c r="J303" s="4">
        <v>0.2</v>
      </c>
    </row>
    <row r="304" spans="1:10">
      <c r="A304" s="88"/>
      <c r="B304" s="5">
        <f>'[67]Dados de entrada'!$B$28</f>
        <v>19.100000000000001</v>
      </c>
      <c r="C304" s="5">
        <f>'[67]Dados de entrada'!$B$31</f>
        <v>2</v>
      </c>
      <c r="D304" s="5">
        <f>'[67]Dados de entrada'!$B$32</f>
        <v>40</v>
      </c>
      <c r="E304" s="11">
        <f>'[67]Dados de entrada'!$B$27</f>
        <v>3.3538794827423906</v>
      </c>
      <c r="F304" s="5">
        <f>'[67]Dados de entrada'!$B$30</f>
        <v>30</v>
      </c>
      <c r="G304" s="5">
        <f>'[67]Dados de entrada'!$B$22</f>
        <v>39.5</v>
      </c>
      <c r="H304" s="78">
        <f>'[67]Dados de entrada'!$B$29/(2*'[67]Dados de entrada'!$B$20*G304)</f>
        <v>4.8354430379746835E-2</v>
      </c>
      <c r="I304" s="53">
        <v>369.79598946318686</v>
      </c>
      <c r="J304" s="4">
        <v>0.25</v>
      </c>
    </row>
    <row r="305" spans="1:77">
      <c r="A305" s="89"/>
      <c r="B305" s="5">
        <f>'[67]Dados de entrada'!$B$28</f>
        <v>19.100000000000001</v>
      </c>
      <c r="C305" s="5">
        <f>'[67]Dados de entrada'!$B$31</f>
        <v>2</v>
      </c>
      <c r="D305" s="5">
        <f>'[67]Dados de entrada'!$B$32</f>
        <v>40</v>
      </c>
      <c r="E305" s="11">
        <f>'[67]Dados de entrada'!$B$27</f>
        <v>3.3538794827423906</v>
      </c>
      <c r="F305" s="5">
        <f>'[67]Dados de entrada'!$B$30</f>
        <v>30</v>
      </c>
      <c r="G305" s="5">
        <f>'[67]Dados de entrada'!$B$22</f>
        <v>39.5</v>
      </c>
      <c r="H305" s="78">
        <f>'[67]Dados de entrada'!$B$29/(2*'[67]Dados de entrada'!$B$20*G305)</f>
        <v>4.8354430379746835E-2</v>
      </c>
      <c r="I305" s="53">
        <v>392.3</v>
      </c>
      <c r="J305" s="4">
        <v>0.27</v>
      </c>
    </row>
    <row r="306" spans="1:77" ht="13.2" customHeight="1">
      <c r="A306" s="87" t="s">
        <v>118</v>
      </c>
      <c r="B306" s="5">
        <f>'[68]Dados de entrada'!$B$28</f>
        <v>19.100000000000001</v>
      </c>
      <c r="C306" s="5">
        <f>'[68]Dados de entrada'!$B$31</f>
        <v>2</v>
      </c>
      <c r="D306" s="5">
        <f>'[68]Dados de entrada'!$B$32</f>
        <v>40</v>
      </c>
      <c r="E306" s="11">
        <f>'[68]Dados de entrada'!$B$27</f>
        <v>3.3538794827423906</v>
      </c>
      <c r="F306" s="5">
        <f>'[68]Dados de entrada'!$B$30</f>
        <v>30</v>
      </c>
      <c r="G306" s="5">
        <f>'[68]Dados de entrada'!$B$22</f>
        <v>39.5</v>
      </c>
      <c r="H306" s="78">
        <f>'[68]Dados de entrada'!$B$29/(2*'[68]Dados de entrada'!$B$20*G306)</f>
        <v>4.8354430379746835E-2</v>
      </c>
      <c r="I306" s="53" cm="1">
        <f t="array" ref="I306:I309">'[68]fib Model Code 2010'!$K$5:$K$8</f>
        <v>296.0259455293542</v>
      </c>
      <c r="J306" s="4" cm="1">
        <f t="array" ref="J306:J309">'[68]Dados de entrada'!$C$7:$C$10</f>
        <v>0.18</v>
      </c>
    </row>
    <row r="307" spans="1:77">
      <c r="A307" s="88"/>
      <c r="B307" s="5">
        <f>'[68]Dados de entrada'!$B$28</f>
        <v>19.100000000000001</v>
      </c>
      <c r="C307" s="5">
        <f>'[68]Dados de entrada'!$B$31</f>
        <v>2</v>
      </c>
      <c r="D307" s="5">
        <f>'[68]Dados de entrada'!$B$32</f>
        <v>40</v>
      </c>
      <c r="E307" s="11">
        <f>'[68]Dados de entrada'!$B$27</f>
        <v>3.3538794827423906</v>
      </c>
      <c r="F307" s="5">
        <f>'[68]Dados de entrada'!$B$30</f>
        <v>30</v>
      </c>
      <c r="G307" s="5">
        <f>'[68]Dados de entrada'!$B$22</f>
        <v>39.5</v>
      </c>
      <c r="H307" s="78">
        <f>'[68]Dados de entrada'!$B$29/(2*'[68]Dados de entrada'!$B$20*G307)</f>
        <v>4.8354430379746835E-2</v>
      </c>
      <c r="I307" s="53">
        <v>331.965197702247</v>
      </c>
      <c r="J307" s="4">
        <v>0.19</v>
      </c>
    </row>
    <row r="308" spans="1:77">
      <c r="A308" s="88"/>
      <c r="B308" s="5">
        <f>'[68]Dados de entrada'!$B$28</f>
        <v>19.100000000000001</v>
      </c>
      <c r="C308" s="5">
        <f>'[68]Dados de entrada'!$B$31</f>
        <v>2</v>
      </c>
      <c r="D308" s="5">
        <f>'[68]Dados de entrada'!$B$32</f>
        <v>40</v>
      </c>
      <c r="E308" s="11">
        <f>'[68]Dados de entrada'!$B$27</f>
        <v>3.3538794827423906</v>
      </c>
      <c r="F308" s="5">
        <f>'[68]Dados de entrada'!$B$30</f>
        <v>30</v>
      </c>
      <c r="G308" s="5">
        <f>'[68]Dados de entrada'!$B$22</f>
        <v>39.5</v>
      </c>
      <c r="H308" s="78">
        <f>'[68]Dados de entrada'!$B$29/(2*'[68]Dados de entrada'!$B$20*G308)</f>
        <v>4.8354430379746835E-2</v>
      </c>
      <c r="I308" s="53">
        <v>369.79598946318686</v>
      </c>
      <c r="J308" s="4">
        <v>0.21</v>
      </c>
    </row>
    <row r="309" spans="1:77">
      <c r="A309" s="89"/>
      <c r="B309" s="5">
        <f>'[68]Dados de entrada'!$B$28</f>
        <v>19.100000000000001</v>
      </c>
      <c r="C309" s="5">
        <f>'[68]Dados de entrada'!$B$31</f>
        <v>2</v>
      </c>
      <c r="D309" s="5">
        <f>'[68]Dados de entrada'!$B$32</f>
        <v>40</v>
      </c>
      <c r="E309" s="11">
        <f>'[68]Dados de entrada'!$B$27</f>
        <v>3.3538794827423906</v>
      </c>
      <c r="F309" s="5">
        <f>'[68]Dados de entrada'!$B$30</f>
        <v>30</v>
      </c>
      <c r="G309" s="5">
        <f>'[68]Dados de entrada'!$B$22</f>
        <v>39.5</v>
      </c>
      <c r="H309" s="78">
        <f>'[68]Dados de entrada'!$B$29/(2*'[68]Dados de entrada'!$B$20*G309)</f>
        <v>4.8354430379746835E-2</v>
      </c>
      <c r="I309" s="53">
        <v>392.3</v>
      </c>
      <c r="J309" s="4">
        <v>0.26</v>
      </c>
    </row>
    <row r="310" spans="1:77">
      <c r="I310" s="2"/>
    </row>
    <row r="311" spans="1:77">
      <c r="A311" s="10" t="s">
        <v>122</v>
      </c>
      <c r="B311" s="124">
        <f>MIN(B3:B309)</f>
        <v>9.52</v>
      </c>
      <c r="C311" s="124">
        <f t="shared" ref="C311:J311" si="0">MIN(C3:C309)</f>
        <v>1</v>
      </c>
      <c r="D311" s="124">
        <f t="shared" si="0"/>
        <v>12</v>
      </c>
      <c r="E311" s="18">
        <f t="shared" si="0"/>
        <v>2.6933292113182881</v>
      </c>
      <c r="F311" s="124">
        <f t="shared" si="0"/>
        <v>17.46</v>
      </c>
      <c r="G311" s="124">
        <f t="shared" si="0"/>
        <v>25.4</v>
      </c>
      <c r="H311" s="125">
        <f t="shared" si="0"/>
        <v>7.3376623376623373E-3</v>
      </c>
      <c r="I311" s="128">
        <f t="shared" si="0"/>
        <v>73.404459497833727</v>
      </c>
      <c r="J311" s="124">
        <f t="shared" si="0"/>
        <v>0.14000000000000001</v>
      </c>
    </row>
    <row r="312" spans="1:77">
      <c r="E312" s="126"/>
      <c r="H312" s="127"/>
      <c r="I312" s="129"/>
    </row>
    <row r="313" spans="1:77">
      <c r="A313" s="10" t="s">
        <v>123</v>
      </c>
      <c r="B313" s="124">
        <f>MAX(B3:B309)</f>
        <v>28</v>
      </c>
      <c r="C313" s="124">
        <f t="shared" ref="C313:J313" si="1">MAX(C3:C309)</f>
        <v>9</v>
      </c>
      <c r="D313" s="124">
        <f t="shared" si="1"/>
        <v>296</v>
      </c>
      <c r="E313" s="18">
        <f t="shared" si="1"/>
        <v>5.3084743571011064</v>
      </c>
      <c r="F313" s="124">
        <f t="shared" si="1"/>
        <v>82</v>
      </c>
      <c r="G313" s="124">
        <f t="shared" si="1"/>
        <v>94.5</v>
      </c>
      <c r="H313" s="125">
        <f t="shared" si="1"/>
        <v>0.13994318181818183</v>
      </c>
      <c r="I313" s="128">
        <f t="shared" si="1"/>
        <v>628</v>
      </c>
      <c r="J313" s="124">
        <f t="shared" si="1"/>
        <v>0.79</v>
      </c>
    </row>
    <row r="314" spans="1:77" s="1" customFormat="1">
      <c r="A314" s="63"/>
      <c r="B314"/>
      <c r="C314"/>
      <c r="D314"/>
      <c r="E314"/>
      <c r="F314"/>
      <c r="I314" s="2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</row>
  </sheetData>
  <mergeCells count="70">
    <mergeCell ref="A296:A297"/>
    <mergeCell ref="A298:A299"/>
    <mergeCell ref="A300:A305"/>
    <mergeCell ref="A306:A309"/>
    <mergeCell ref="A280:A281"/>
    <mergeCell ref="A282:A283"/>
    <mergeCell ref="A284:A286"/>
    <mergeCell ref="A287:A288"/>
    <mergeCell ref="A289:A292"/>
    <mergeCell ref="A293:A295"/>
    <mergeCell ref="A276:A277"/>
    <mergeCell ref="A278:A279"/>
    <mergeCell ref="A220:A222"/>
    <mergeCell ref="A223:A225"/>
    <mergeCell ref="A226:A231"/>
    <mergeCell ref="A232:A237"/>
    <mergeCell ref="A238:A245"/>
    <mergeCell ref="A246:A248"/>
    <mergeCell ref="A249:A256"/>
    <mergeCell ref="A257:A263"/>
    <mergeCell ref="A264:A271"/>
    <mergeCell ref="A272:A273"/>
    <mergeCell ref="A274:A275"/>
    <mergeCell ref="A215:A219"/>
    <mergeCell ref="A152:A154"/>
    <mergeCell ref="A155:A157"/>
    <mergeCell ref="A158:A164"/>
    <mergeCell ref="A165:A172"/>
    <mergeCell ref="A173:A178"/>
    <mergeCell ref="A179:A185"/>
    <mergeCell ref="A186:A193"/>
    <mergeCell ref="A194:A201"/>
    <mergeCell ref="A202:A208"/>
    <mergeCell ref="A209:A211"/>
    <mergeCell ref="A212:A214"/>
    <mergeCell ref="A149:A151"/>
    <mergeCell ref="A97:A99"/>
    <mergeCell ref="A100:A101"/>
    <mergeCell ref="A102:A109"/>
    <mergeCell ref="A110:A116"/>
    <mergeCell ref="A117:A123"/>
    <mergeCell ref="A124:A131"/>
    <mergeCell ref="A132:A136"/>
    <mergeCell ref="A137:A140"/>
    <mergeCell ref="A141:A143"/>
    <mergeCell ref="A144:A145"/>
    <mergeCell ref="A146:A148"/>
    <mergeCell ref="A95:A96"/>
    <mergeCell ref="A54:A60"/>
    <mergeCell ref="A61:A65"/>
    <mergeCell ref="A66:A69"/>
    <mergeCell ref="A70:A71"/>
    <mergeCell ref="A72:A74"/>
    <mergeCell ref="A75:A77"/>
    <mergeCell ref="A78:A81"/>
    <mergeCell ref="A82:A85"/>
    <mergeCell ref="A86:A88"/>
    <mergeCell ref="A89:A91"/>
    <mergeCell ref="A92:A94"/>
    <mergeCell ref="B1:I1"/>
    <mergeCell ref="A49:A53"/>
    <mergeCell ref="A3:A8"/>
    <mergeCell ref="A9:A14"/>
    <mergeCell ref="A15:A17"/>
    <mergeCell ref="A1:A2"/>
    <mergeCell ref="A18:A24"/>
    <mergeCell ref="A25:A27"/>
    <mergeCell ref="A28:A37"/>
    <mergeCell ref="A38:A43"/>
    <mergeCell ref="A44:A48"/>
  </mergeCells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8637-5E9E-48D1-9B1E-05B421253A77}">
  <dimension ref="A1:P167"/>
  <sheetViews>
    <sheetView tabSelected="1" topLeftCell="D318" zoomScaleNormal="100" workbookViewId="0">
      <selection activeCell="X329" sqref="X329"/>
    </sheetView>
  </sheetViews>
  <sheetFormatPr defaultRowHeight="13.2"/>
  <sheetData>
    <row r="1" spans="1:14">
      <c r="C1" s="59">
        <v>0.4</v>
      </c>
      <c r="E1" s="59">
        <v>-0.4</v>
      </c>
      <c r="G1" s="59">
        <v>0.2</v>
      </c>
      <c r="I1" s="59">
        <v>-0.2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4">
      <c r="A3">
        <v>0.8</v>
      </c>
      <c r="B3">
        <v>0.8</v>
      </c>
      <c r="C3">
        <f>0.8+0.32</f>
        <v>1.1200000000000001</v>
      </c>
      <c r="D3">
        <v>0.8</v>
      </c>
      <c r="E3">
        <v>0.8</v>
      </c>
      <c r="F3">
        <f>0.8+0.32</f>
        <v>1.1200000000000001</v>
      </c>
      <c r="G3">
        <f>0.8+0.16</f>
        <v>0.96000000000000008</v>
      </c>
      <c r="H3">
        <v>0.8</v>
      </c>
      <c r="I3">
        <v>0.8</v>
      </c>
      <c r="J3">
        <f>0.8+0.16</f>
        <v>0.96000000000000008</v>
      </c>
    </row>
    <row r="6" spans="1:14" ht="15.6">
      <c r="E6" s="2" t="s">
        <v>24</v>
      </c>
      <c r="N6" s="2" t="s">
        <v>25</v>
      </c>
    </row>
    <row r="32" spans="5:5" ht="15.6">
      <c r="E32" s="2" t="s">
        <v>26</v>
      </c>
    </row>
    <row r="167" spans="6:16">
      <c r="F167" s="2" t="s">
        <v>124</v>
      </c>
      <c r="P167" s="2" t="s">
        <v>125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gerais</vt:lpstr>
      <vt:lpstr>Sem outliers</vt:lpstr>
      <vt:lpstr>Machine learning</vt:lpstr>
      <vt:lpstr>Gráficos finais</vt:lpstr>
    </vt:vector>
  </TitlesOfParts>
  <Company>Caso Engenharia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Antônio Silva Oliveira</dc:creator>
  <cp:lastModifiedBy>Daniel Lima Araujo</cp:lastModifiedBy>
  <cp:lastPrinted>2006-10-16T14:46:18Z</cp:lastPrinted>
  <dcterms:created xsi:type="dcterms:W3CDTF">2006-10-08T16:24:13Z</dcterms:created>
  <dcterms:modified xsi:type="dcterms:W3CDTF">2025-09-03T12:27:44Z</dcterms:modified>
</cp:coreProperties>
</file>