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49c76fb860dcad5/Meus documentos/UFG/Artigos/Artigos em elaboracao/Artigo sobre fissuração no concreto/Análises e relatórios/"/>
    </mc:Choice>
  </mc:AlternateContent>
  <xr:revisionPtr revIDLastSave="944" documentId="13_ncr:1_{AC6BEF92-F62B-405C-A093-FDEF41770DB5}" xr6:coauthVersionLast="47" xr6:coauthVersionMax="47" xr10:uidLastSave="{B9D8A8D4-D4B1-40CD-8CB8-D0C790186916}"/>
  <bookViews>
    <workbookView xWindow="-108" yWindow="-108" windowWidth="23256" windowHeight="12456" firstSheet="2" activeTab="4" xr2:uid="{8E10BD23-366B-40CE-B2AD-A424DFB88603}"/>
  </bookViews>
  <sheets>
    <sheet name="Dataset com TS variável MC2010" sheetId="1" r:id="rId1"/>
    <sheet name="Dataset sem TS MC2010" sheetId="3" r:id="rId2"/>
    <sheet name="Dataset com TS variável MC2020" sheetId="6" r:id="rId3"/>
    <sheet name="Dataset sem TS MC2020" sheetId="5" r:id="rId4"/>
    <sheet name="Modelos normativos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4" i="4" l="1"/>
  <c r="X5" i="4"/>
  <c r="X6" i="4"/>
  <c r="X7" i="4"/>
  <c r="X8" i="4"/>
  <c r="X9" i="4"/>
  <c r="X10" i="4"/>
  <c r="X11" i="4"/>
  <c r="X12" i="4"/>
  <c r="X13" i="4"/>
  <c r="X14" i="4"/>
  <c r="X15" i="4"/>
  <c r="X16" i="4"/>
  <c r="X17" i="4"/>
  <c r="X18" i="4"/>
  <c r="X19" i="4"/>
  <c r="X20" i="4"/>
  <c r="X21" i="4"/>
  <c r="X22" i="4"/>
  <c r="X23" i="4"/>
  <c r="X24" i="4"/>
  <c r="X25" i="4"/>
  <c r="X26" i="4"/>
  <c r="X27" i="4"/>
  <c r="X28" i="4"/>
  <c r="X29" i="4"/>
  <c r="X30" i="4"/>
  <c r="X31" i="4"/>
  <c r="X32" i="4"/>
  <c r="X33" i="4"/>
  <c r="X34" i="4"/>
  <c r="X35" i="4"/>
  <c r="X36" i="4"/>
  <c r="X37" i="4"/>
  <c r="X38" i="4"/>
  <c r="X39" i="4"/>
  <c r="X40" i="4"/>
  <c r="X41" i="4"/>
  <c r="X42" i="4"/>
  <c r="X43" i="4"/>
  <c r="X44" i="4"/>
  <c r="X45" i="4"/>
  <c r="X46" i="4"/>
  <c r="X47" i="4"/>
  <c r="X48" i="4"/>
  <c r="X49" i="4"/>
  <c r="X50" i="4"/>
  <c r="X51" i="4"/>
  <c r="X52" i="4"/>
  <c r="X53" i="4"/>
  <c r="X54" i="4"/>
  <c r="X55" i="4"/>
  <c r="X56" i="4"/>
  <c r="X57" i="4"/>
  <c r="X58" i="4"/>
  <c r="X59" i="4"/>
  <c r="X60" i="4"/>
  <c r="X61" i="4"/>
  <c r="X62" i="4"/>
  <c r="X63" i="4"/>
  <c r="X64" i="4"/>
  <c r="X65" i="4"/>
  <c r="X66" i="4"/>
  <c r="X67" i="4"/>
  <c r="X68" i="4"/>
  <c r="X69" i="4"/>
  <c r="X70" i="4"/>
  <c r="X71" i="4"/>
  <c r="X72" i="4"/>
  <c r="X73" i="4"/>
  <c r="X74" i="4"/>
  <c r="X75" i="4"/>
  <c r="X76" i="4"/>
  <c r="X77" i="4"/>
  <c r="X78" i="4"/>
  <c r="X79" i="4"/>
  <c r="X80" i="4"/>
  <c r="X81" i="4"/>
  <c r="X82" i="4"/>
  <c r="X83" i="4"/>
  <c r="X84" i="4"/>
  <c r="X85" i="4"/>
  <c r="X86" i="4"/>
  <c r="X87" i="4"/>
  <c r="X88" i="4"/>
  <c r="X89" i="4"/>
  <c r="X90" i="4"/>
  <c r="X91" i="4"/>
  <c r="X92" i="4"/>
  <c r="X93" i="4"/>
  <c r="X94" i="4"/>
  <c r="X95" i="4"/>
  <c r="X96" i="4"/>
  <c r="X97" i="4"/>
  <c r="X98" i="4"/>
  <c r="X99" i="4"/>
  <c r="X100" i="4"/>
  <c r="X101" i="4"/>
  <c r="X102" i="4"/>
  <c r="X103" i="4"/>
  <c r="X104" i="4"/>
  <c r="X105" i="4"/>
  <c r="X106" i="4"/>
  <c r="X107" i="4"/>
  <c r="X108" i="4"/>
  <c r="X109" i="4"/>
  <c r="X110" i="4"/>
  <c r="X111" i="4"/>
  <c r="X112" i="4"/>
  <c r="X113" i="4"/>
  <c r="X114" i="4"/>
  <c r="X115" i="4"/>
  <c r="X116" i="4"/>
  <c r="X117" i="4"/>
  <c r="X118" i="4"/>
  <c r="X119" i="4"/>
  <c r="X120" i="4"/>
  <c r="X121" i="4"/>
  <c r="X122" i="4"/>
  <c r="X123" i="4"/>
  <c r="X124" i="4"/>
  <c r="X125" i="4"/>
  <c r="X126" i="4"/>
  <c r="X127" i="4"/>
  <c r="X128" i="4"/>
  <c r="X129" i="4"/>
  <c r="X130" i="4"/>
  <c r="X131" i="4"/>
  <c r="X132" i="4"/>
  <c r="X133" i="4"/>
  <c r="X134" i="4"/>
  <c r="X135" i="4"/>
  <c r="X136" i="4"/>
  <c r="X137" i="4"/>
  <c r="X138" i="4"/>
  <c r="X139" i="4"/>
  <c r="X140" i="4"/>
  <c r="X141" i="4"/>
  <c r="X142" i="4"/>
  <c r="X143" i="4"/>
  <c r="X144" i="4"/>
  <c r="X145" i="4"/>
  <c r="X146" i="4"/>
  <c r="X147" i="4"/>
  <c r="X148" i="4"/>
  <c r="X149" i="4"/>
  <c r="X150" i="4"/>
  <c r="X151" i="4"/>
  <c r="X152" i="4"/>
  <c r="X153" i="4"/>
  <c r="X154" i="4"/>
  <c r="X155" i="4"/>
  <c r="X156" i="4"/>
  <c r="X157" i="4"/>
  <c r="X158" i="4"/>
  <c r="X159" i="4"/>
  <c r="X160" i="4"/>
  <c r="X161" i="4"/>
  <c r="X162" i="4"/>
  <c r="X163" i="4"/>
  <c r="X164" i="4"/>
  <c r="X165" i="4"/>
  <c r="X166" i="4"/>
  <c r="X167" i="4"/>
  <c r="X168" i="4"/>
  <c r="X169" i="4"/>
  <c r="X170" i="4"/>
  <c r="X171" i="4"/>
  <c r="X172" i="4"/>
  <c r="X173" i="4"/>
  <c r="X174" i="4"/>
  <c r="X175" i="4"/>
  <c r="X176" i="4"/>
  <c r="X177" i="4"/>
  <c r="X178" i="4"/>
  <c r="X179" i="4"/>
  <c r="X180" i="4"/>
  <c r="X181" i="4"/>
  <c r="X182" i="4"/>
  <c r="X183" i="4"/>
  <c r="X184" i="4"/>
  <c r="X185" i="4"/>
  <c r="X186" i="4"/>
  <c r="X187" i="4"/>
  <c r="X188" i="4"/>
  <c r="X189" i="4"/>
  <c r="X190" i="4"/>
  <c r="X191" i="4"/>
  <c r="X192" i="4"/>
  <c r="X193" i="4"/>
  <c r="X194" i="4"/>
  <c r="X195" i="4"/>
  <c r="X196" i="4"/>
  <c r="X197" i="4"/>
  <c r="X198" i="4"/>
  <c r="X199" i="4"/>
  <c r="X200" i="4"/>
  <c r="X201" i="4"/>
  <c r="X202" i="4"/>
  <c r="X203" i="4"/>
  <c r="X204" i="4"/>
  <c r="X205" i="4"/>
  <c r="X206" i="4"/>
  <c r="X207" i="4"/>
  <c r="X208" i="4"/>
  <c r="X209" i="4"/>
  <c r="X210" i="4"/>
  <c r="X211" i="4"/>
  <c r="X212" i="4"/>
  <c r="X213" i="4"/>
  <c r="X214" i="4"/>
  <c r="X215" i="4"/>
  <c r="X216" i="4"/>
  <c r="X217" i="4"/>
  <c r="X218" i="4"/>
  <c r="X219" i="4"/>
  <c r="X220" i="4"/>
  <c r="X221" i="4"/>
  <c r="X222" i="4"/>
  <c r="X223" i="4"/>
  <c r="X224" i="4"/>
  <c r="X225" i="4"/>
  <c r="X226" i="4"/>
  <c r="X227" i="4"/>
  <c r="X228" i="4"/>
  <c r="X229" i="4"/>
  <c r="X230" i="4"/>
  <c r="X231" i="4"/>
  <c r="X232" i="4"/>
  <c r="X233" i="4"/>
  <c r="X234" i="4"/>
  <c r="X235" i="4"/>
  <c r="X236" i="4"/>
  <c r="X237" i="4"/>
  <c r="X238" i="4"/>
  <c r="X239" i="4"/>
  <c r="X240" i="4"/>
  <c r="X241" i="4"/>
  <c r="X242" i="4"/>
  <c r="X243" i="4"/>
  <c r="X244" i="4"/>
  <c r="X245" i="4"/>
  <c r="X246" i="4"/>
  <c r="X247" i="4"/>
  <c r="X248" i="4"/>
  <c r="X249" i="4"/>
  <c r="X250" i="4"/>
  <c r="X251" i="4"/>
  <c r="X252" i="4"/>
  <c r="X253" i="4"/>
  <c r="X254" i="4"/>
  <c r="X255" i="4"/>
  <c r="X256" i="4"/>
  <c r="X257" i="4"/>
  <c r="X258" i="4"/>
  <c r="X259" i="4"/>
  <c r="X260" i="4"/>
  <c r="X261" i="4"/>
  <c r="X262" i="4"/>
  <c r="X263" i="4"/>
  <c r="X264" i="4"/>
  <c r="X265" i="4"/>
  <c r="X266" i="4"/>
  <c r="X267" i="4"/>
  <c r="X268" i="4"/>
  <c r="X269" i="4"/>
  <c r="X270" i="4"/>
  <c r="X271" i="4"/>
  <c r="X272" i="4"/>
  <c r="X273" i="4"/>
  <c r="X274" i="4"/>
  <c r="X275" i="4"/>
  <c r="X276" i="4"/>
  <c r="X277" i="4"/>
  <c r="X278" i="4"/>
  <c r="X279" i="4"/>
  <c r="X280" i="4"/>
  <c r="X281" i="4"/>
  <c r="X282" i="4"/>
  <c r="X283" i="4"/>
  <c r="X284" i="4"/>
  <c r="X285" i="4"/>
  <c r="X286" i="4"/>
  <c r="X287" i="4"/>
  <c r="X288" i="4"/>
  <c r="X289" i="4"/>
  <c r="X290" i="4"/>
  <c r="X291" i="4"/>
  <c r="X292" i="4"/>
  <c r="X293" i="4"/>
  <c r="X294" i="4"/>
  <c r="X295" i="4"/>
  <c r="X296" i="4"/>
  <c r="X297" i="4"/>
  <c r="X298" i="4"/>
  <c r="X299" i="4"/>
  <c r="X300" i="4"/>
  <c r="X301" i="4"/>
  <c r="X302" i="4"/>
  <c r="X303" i="4"/>
  <c r="X304" i="4"/>
  <c r="X305" i="4"/>
  <c r="X306" i="4"/>
  <c r="X307" i="4"/>
  <c r="X308" i="4"/>
  <c r="X309" i="4"/>
  <c r="X310" i="4"/>
  <c r="X311" i="4"/>
  <c r="X312" i="4"/>
  <c r="X313" i="4"/>
  <c r="X314" i="4"/>
  <c r="X315" i="4"/>
  <c r="X316" i="4"/>
  <c r="X317" i="4"/>
  <c r="X318" i="4"/>
  <c r="X319" i="4"/>
  <c r="X320" i="4"/>
  <c r="X321" i="4"/>
  <c r="X322" i="4"/>
  <c r="X323" i="4"/>
  <c r="X324" i="4"/>
  <c r="X325" i="4"/>
  <c r="X326" i="4"/>
  <c r="X327" i="4"/>
  <c r="X328" i="4"/>
  <c r="X329" i="4"/>
  <c r="X330" i="4"/>
  <c r="X331" i="4"/>
  <c r="X332" i="4"/>
  <c r="X333" i="4"/>
  <c r="X334" i="4"/>
  <c r="X335" i="4"/>
  <c r="X336" i="4"/>
  <c r="X337" i="4"/>
  <c r="X338" i="4"/>
  <c r="X339" i="4"/>
  <c r="X340" i="4"/>
  <c r="X341" i="4"/>
  <c r="X342" i="4"/>
  <c r="X343" i="4"/>
  <c r="X3" i="4"/>
  <c r="W4" i="4"/>
  <c r="W5" i="4"/>
  <c r="W6" i="4"/>
  <c r="W7" i="4"/>
  <c r="W8" i="4"/>
  <c r="W9" i="4"/>
  <c r="W10" i="4"/>
  <c r="W11" i="4"/>
  <c r="W12" i="4"/>
  <c r="W13" i="4"/>
  <c r="W14" i="4"/>
  <c r="W15" i="4"/>
  <c r="W16" i="4"/>
  <c r="W17" i="4"/>
  <c r="W18" i="4"/>
  <c r="W19" i="4"/>
  <c r="W20" i="4"/>
  <c r="W21" i="4"/>
  <c r="W22" i="4"/>
  <c r="W23" i="4"/>
  <c r="W24" i="4"/>
  <c r="W25" i="4"/>
  <c r="W26" i="4"/>
  <c r="W27" i="4"/>
  <c r="W28" i="4"/>
  <c r="W29" i="4"/>
  <c r="W30" i="4"/>
  <c r="W31" i="4"/>
  <c r="W32" i="4"/>
  <c r="W33" i="4"/>
  <c r="W34" i="4"/>
  <c r="W35" i="4"/>
  <c r="W36" i="4"/>
  <c r="W37" i="4"/>
  <c r="W38" i="4"/>
  <c r="W39" i="4"/>
  <c r="W40" i="4"/>
  <c r="W41" i="4"/>
  <c r="W42" i="4"/>
  <c r="W43" i="4"/>
  <c r="W44" i="4"/>
  <c r="W45" i="4"/>
  <c r="W46" i="4"/>
  <c r="W47" i="4"/>
  <c r="W48" i="4"/>
  <c r="W49" i="4"/>
  <c r="W50" i="4"/>
  <c r="W51" i="4"/>
  <c r="W52" i="4"/>
  <c r="W53" i="4"/>
  <c r="W54" i="4"/>
  <c r="W55" i="4"/>
  <c r="W56" i="4"/>
  <c r="W57" i="4"/>
  <c r="W58" i="4"/>
  <c r="W59" i="4"/>
  <c r="W60" i="4"/>
  <c r="W61" i="4"/>
  <c r="W62" i="4"/>
  <c r="W63" i="4"/>
  <c r="W64" i="4"/>
  <c r="W65" i="4"/>
  <c r="W66" i="4"/>
  <c r="W67" i="4"/>
  <c r="W68" i="4"/>
  <c r="W69" i="4"/>
  <c r="W70" i="4"/>
  <c r="W71" i="4"/>
  <c r="W72" i="4"/>
  <c r="W73" i="4"/>
  <c r="W74" i="4"/>
  <c r="W75" i="4"/>
  <c r="W76" i="4"/>
  <c r="W77" i="4"/>
  <c r="W78" i="4"/>
  <c r="W79" i="4"/>
  <c r="W80" i="4"/>
  <c r="W81" i="4"/>
  <c r="W82" i="4"/>
  <c r="W83" i="4"/>
  <c r="W84" i="4"/>
  <c r="W85" i="4"/>
  <c r="W86" i="4"/>
  <c r="W87" i="4"/>
  <c r="W88" i="4"/>
  <c r="W89" i="4"/>
  <c r="W90" i="4"/>
  <c r="W91" i="4"/>
  <c r="W92" i="4"/>
  <c r="W93" i="4"/>
  <c r="W94" i="4"/>
  <c r="W95" i="4"/>
  <c r="W96" i="4"/>
  <c r="W97" i="4"/>
  <c r="W98" i="4"/>
  <c r="W99" i="4"/>
  <c r="W100" i="4"/>
  <c r="W101" i="4"/>
  <c r="W102" i="4"/>
  <c r="W103" i="4"/>
  <c r="W104" i="4"/>
  <c r="W105" i="4"/>
  <c r="W106" i="4"/>
  <c r="W107" i="4"/>
  <c r="W108" i="4"/>
  <c r="W109" i="4"/>
  <c r="W110" i="4"/>
  <c r="W111" i="4"/>
  <c r="W112" i="4"/>
  <c r="W113" i="4"/>
  <c r="W114" i="4"/>
  <c r="W115" i="4"/>
  <c r="W116" i="4"/>
  <c r="W117" i="4"/>
  <c r="W118" i="4"/>
  <c r="W119" i="4"/>
  <c r="W120" i="4"/>
  <c r="W121" i="4"/>
  <c r="W122" i="4"/>
  <c r="W123" i="4"/>
  <c r="W124" i="4"/>
  <c r="W125" i="4"/>
  <c r="W126" i="4"/>
  <c r="W127" i="4"/>
  <c r="W128" i="4"/>
  <c r="W129" i="4"/>
  <c r="W130" i="4"/>
  <c r="W131" i="4"/>
  <c r="W132" i="4"/>
  <c r="W133" i="4"/>
  <c r="W134" i="4"/>
  <c r="W135" i="4"/>
  <c r="W136" i="4"/>
  <c r="W137" i="4"/>
  <c r="W138" i="4"/>
  <c r="W139" i="4"/>
  <c r="W140" i="4"/>
  <c r="W141" i="4"/>
  <c r="W142" i="4"/>
  <c r="W143" i="4"/>
  <c r="W144" i="4"/>
  <c r="W145" i="4"/>
  <c r="W146" i="4"/>
  <c r="W147" i="4"/>
  <c r="W148" i="4"/>
  <c r="W149" i="4"/>
  <c r="W150" i="4"/>
  <c r="W151" i="4"/>
  <c r="W152" i="4"/>
  <c r="W153" i="4"/>
  <c r="W154" i="4"/>
  <c r="W155" i="4"/>
  <c r="W156" i="4"/>
  <c r="W157" i="4"/>
  <c r="W158" i="4"/>
  <c r="W159" i="4"/>
  <c r="W160" i="4"/>
  <c r="W161" i="4"/>
  <c r="W162" i="4"/>
  <c r="W163" i="4"/>
  <c r="W164" i="4"/>
  <c r="W165" i="4"/>
  <c r="W166" i="4"/>
  <c r="W167" i="4"/>
  <c r="W168" i="4"/>
  <c r="W169" i="4"/>
  <c r="W170" i="4"/>
  <c r="W171" i="4"/>
  <c r="W172" i="4"/>
  <c r="W173" i="4"/>
  <c r="W174" i="4"/>
  <c r="W175" i="4"/>
  <c r="W176" i="4"/>
  <c r="W177" i="4"/>
  <c r="W178" i="4"/>
  <c r="W179" i="4"/>
  <c r="W180" i="4"/>
  <c r="W181" i="4"/>
  <c r="W182" i="4"/>
  <c r="W183" i="4"/>
  <c r="W184" i="4"/>
  <c r="W185" i="4"/>
  <c r="W186" i="4"/>
  <c r="W187" i="4"/>
  <c r="W188" i="4"/>
  <c r="W189" i="4"/>
  <c r="W190" i="4"/>
  <c r="W191" i="4"/>
  <c r="W192" i="4"/>
  <c r="W193" i="4"/>
  <c r="W194" i="4"/>
  <c r="W195" i="4"/>
  <c r="W196" i="4"/>
  <c r="W197" i="4"/>
  <c r="W198" i="4"/>
  <c r="W199" i="4"/>
  <c r="W200" i="4"/>
  <c r="W201" i="4"/>
  <c r="W202" i="4"/>
  <c r="W203" i="4"/>
  <c r="W204" i="4"/>
  <c r="W205" i="4"/>
  <c r="W206" i="4"/>
  <c r="W207" i="4"/>
  <c r="W208" i="4"/>
  <c r="W209" i="4"/>
  <c r="W210" i="4"/>
  <c r="W211" i="4"/>
  <c r="W212" i="4"/>
  <c r="W213" i="4"/>
  <c r="W214" i="4"/>
  <c r="W215" i="4"/>
  <c r="W216" i="4"/>
  <c r="W217" i="4"/>
  <c r="W218" i="4"/>
  <c r="W219" i="4"/>
  <c r="W220" i="4"/>
  <c r="W221" i="4"/>
  <c r="W222" i="4"/>
  <c r="W223" i="4"/>
  <c r="W224" i="4"/>
  <c r="W225" i="4"/>
  <c r="W226" i="4"/>
  <c r="W227" i="4"/>
  <c r="W228" i="4"/>
  <c r="W229" i="4"/>
  <c r="W230" i="4"/>
  <c r="W231" i="4"/>
  <c r="W232" i="4"/>
  <c r="W233" i="4"/>
  <c r="W234" i="4"/>
  <c r="W235" i="4"/>
  <c r="W236" i="4"/>
  <c r="W237" i="4"/>
  <c r="W238" i="4"/>
  <c r="W239" i="4"/>
  <c r="W240" i="4"/>
  <c r="W241" i="4"/>
  <c r="W242" i="4"/>
  <c r="W243" i="4"/>
  <c r="W244" i="4"/>
  <c r="W245" i="4"/>
  <c r="W246" i="4"/>
  <c r="W247" i="4"/>
  <c r="W248" i="4"/>
  <c r="W249" i="4"/>
  <c r="W250" i="4"/>
  <c r="W251" i="4"/>
  <c r="W252" i="4"/>
  <c r="W253" i="4"/>
  <c r="W254" i="4"/>
  <c r="W255" i="4"/>
  <c r="W256" i="4"/>
  <c r="W257" i="4"/>
  <c r="W258" i="4"/>
  <c r="W259" i="4"/>
  <c r="W260" i="4"/>
  <c r="W261" i="4"/>
  <c r="W262" i="4"/>
  <c r="W263" i="4"/>
  <c r="W264" i="4"/>
  <c r="W265" i="4"/>
  <c r="W266" i="4"/>
  <c r="W267" i="4"/>
  <c r="W268" i="4"/>
  <c r="W269" i="4"/>
  <c r="W270" i="4"/>
  <c r="W271" i="4"/>
  <c r="W272" i="4"/>
  <c r="W273" i="4"/>
  <c r="W274" i="4"/>
  <c r="W275" i="4"/>
  <c r="W276" i="4"/>
  <c r="W277" i="4"/>
  <c r="W278" i="4"/>
  <c r="W279" i="4"/>
  <c r="W280" i="4"/>
  <c r="W281" i="4"/>
  <c r="W282" i="4"/>
  <c r="W283" i="4"/>
  <c r="W284" i="4"/>
  <c r="W285" i="4"/>
  <c r="W286" i="4"/>
  <c r="W287" i="4"/>
  <c r="W288" i="4"/>
  <c r="W289" i="4"/>
  <c r="W290" i="4"/>
  <c r="W291" i="4"/>
  <c r="W292" i="4"/>
  <c r="W293" i="4"/>
  <c r="W294" i="4"/>
  <c r="W295" i="4"/>
  <c r="W296" i="4"/>
  <c r="W297" i="4"/>
  <c r="W298" i="4"/>
  <c r="W299" i="4"/>
  <c r="W300" i="4"/>
  <c r="W301" i="4"/>
  <c r="W302" i="4"/>
  <c r="W303" i="4"/>
  <c r="W304" i="4"/>
  <c r="W305" i="4"/>
  <c r="W306" i="4"/>
  <c r="W307" i="4"/>
  <c r="W308" i="4"/>
  <c r="W309" i="4"/>
  <c r="W310" i="4"/>
  <c r="W311" i="4"/>
  <c r="W312" i="4"/>
  <c r="W313" i="4"/>
  <c r="W314" i="4"/>
  <c r="W315" i="4"/>
  <c r="W316" i="4"/>
  <c r="W317" i="4"/>
  <c r="W318" i="4"/>
  <c r="W319" i="4"/>
  <c r="W320" i="4"/>
  <c r="W321" i="4"/>
  <c r="W322" i="4"/>
  <c r="W323" i="4"/>
  <c r="W324" i="4"/>
  <c r="W325" i="4"/>
  <c r="W326" i="4"/>
  <c r="W327" i="4"/>
  <c r="W328" i="4"/>
  <c r="W329" i="4"/>
  <c r="W330" i="4"/>
  <c r="W331" i="4"/>
  <c r="W332" i="4"/>
  <c r="W333" i="4"/>
  <c r="W334" i="4"/>
  <c r="W335" i="4"/>
  <c r="W336" i="4"/>
  <c r="W337" i="4"/>
  <c r="W338" i="4"/>
  <c r="W339" i="4"/>
  <c r="W340" i="4"/>
  <c r="W341" i="4"/>
  <c r="W342" i="4"/>
  <c r="W343" i="4"/>
  <c r="W3" i="4"/>
  <c r="AF11" i="6" l="1"/>
  <c r="AF12" i="6"/>
  <c r="AF13" i="6"/>
  <c r="AF14" i="6"/>
  <c r="AF15" i="6"/>
  <c r="AF16" i="6"/>
  <c r="AF17" i="6"/>
  <c r="AF18" i="6"/>
  <c r="AF19" i="6"/>
  <c r="AF20" i="6"/>
  <c r="AF21" i="6"/>
  <c r="AF22" i="6"/>
  <c r="AF23" i="6"/>
  <c r="AF24" i="6"/>
  <c r="AF25" i="6"/>
  <c r="AF26" i="6"/>
  <c r="AF27" i="6"/>
  <c r="AF28" i="6"/>
  <c r="AF29" i="6"/>
  <c r="AF30" i="6"/>
  <c r="AF31" i="6"/>
  <c r="AF32" i="6"/>
  <c r="AF33" i="6"/>
  <c r="AF34" i="6"/>
  <c r="AF35" i="6"/>
  <c r="AF36" i="6"/>
  <c r="AF37" i="6"/>
  <c r="AF38" i="6"/>
  <c r="AF39" i="6"/>
  <c r="AF40" i="6"/>
  <c r="AF41" i="6"/>
  <c r="AF42" i="6"/>
  <c r="AF43" i="6"/>
  <c r="AF44" i="6"/>
  <c r="AF45" i="6"/>
  <c r="AF46" i="6"/>
  <c r="AF47" i="6"/>
  <c r="AF48" i="6"/>
  <c r="AF49" i="6"/>
  <c r="AF50" i="6"/>
  <c r="AF51" i="6"/>
  <c r="AF52" i="6"/>
  <c r="AF53" i="6"/>
  <c r="AF54" i="6"/>
  <c r="AF55" i="6"/>
  <c r="AF56" i="6"/>
  <c r="AF57" i="6"/>
  <c r="AF58" i="6"/>
  <c r="AF59" i="6"/>
  <c r="AF60" i="6"/>
  <c r="AF61" i="6"/>
  <c r="AF62" i="6"/>
  <c r="AF63" i="6"/>
  <c r="AF64" i="6"/>
  <c r="AF65" i="6"/>
  <c r="AF66" i="6"/>
  <c r="AF67" i="6"/>
  <c r="AF68" i="6"/>
  <c r="AF69" i="6"/>
  <c r="AF70" i="6"/>
  <c r="AF71" i="6"/>
  <c r="AF72" i="6"/>
  <c r="AF73" i="6"/>
  <c r="AF74" i="6"/>
  <c r="AF75" i="6"/>
  <c r="AF76" i="6"/>
  <c r="AF77" i="6"/>
  <c r="AF78" i="6"/>
  <c r="AF79" i="6"/>
  <c r="AF80" i="6"/>
  <c r="AF81" i="6"/>
  <c r="AF82" i="6"/>
  <c r="AF83" i="6"/>
  <c r="AF84" i="6"/>
  <c r="AF85" i="6"/>
  <c r="AF86" i="6"/>
  <c r="AF87" i="6"/>
  <c r="AF88" i="6"/>
  <c r="AF89" i="6"/>
  <c r="AF90" i="6"/>
  <c r="AF91" i="6"/>
  <c r="AF92" i="6"/>
  <c r="AF93" i="6"/>
  <c r="AF94" i="6"/>
  <c r="AF95" i="6"/>
  <c r="AF96" i="6"/>
  <c r="AF97" i="6"/>
  <c r="AF98" i="6"/>
  <c r="AF99" i="6"/>
  <c r="AF100" i="6"/>
  <c r="AF101" i="6"/>
  <c r="AF102" i="6"/>
  <c r="AF103" i="6"/>
  <c r="AF104" i="6"/>
  <c r="AF105" i="6"/>
  <c r="AF106" i="6"/>
  <c r="AF107" i="6"/>
  <c r="AF108" i="6"/>
  <c r="AF109" i="6"/>
  <c r="AF110" i="6"/>
  <c r="AF111" i="6"/>
  <c r="AF112" i="6"/>
  <c r="AF113" i="6"/>
  <c r="AF114" i="6"/>
  <c r="AF115" i="6"/>
  <c r="AF116" i="6"/>
  <c r="AF117" i="6"/>
  <c r="AF118" i="6"/>
  <c r="AF119" i="6"/>
  <c r="AF120" i="6"/>
  <c r="AF121" i="6"/>
  <c r="AF122" i="6"/>
  <c r="AF123" i="6"/>
  <c r="AF124" i="6"/>
  <c r="AF125" i="6"/>
  <c r="AF126" i="6"/>
  <c r="AF127" i="6"/>
  <c r="AF128" i="6"/>
  <c r="AF129" i="6"/>
  <c r="AF130" i="6"/>
  <c r="AF131" i="6"/>
  <c r="AF132" i="6"/>
  <c r="AF133" i="6"/>
  <c r="AF134" i="6"/>
  <c r="AF135" i="6"/>
  <c r="AF136" i="6"/>
  <c r="AF137" i="6"/>
  <c r="AF138" i="6"/>
  <c r="AF139" i="6"/>
  <c r="AF140" i="6"/>
  <c r="AF141" i="6"/>
  <c r="AF142" i="6"/>
  <c r="AF143" i="6"/>
  <c r="AF144" i="6"/>
  <c r="AF145" i="6"/>
  <c r="AF146" i="6"/>
  <c r="AF147" i="6"/>
  <c r="AF148" i="6"/>
  <c r="AF149" i="6"/>
  <c r="AF150" i="6"/>
  <c r="AF151" i="6"/>
  <c r="AF152" i="6"/>
  <c r="AF153" i="6"/>
  <c r="AF154" i="6"/>
  <c r="AF155" i="6"/>
  <c r="AF156" i="6"/>
  <c r="AF157" i="6"/>
  <c r="AF158" i="6"/>
  <c r="AF159" i="6"/>
  <c r="AF160" i="6"/>
  <c r="AF161" i="6"/>
  <c r="AF162" i="6"/>
  <c r="AF163" i="6"/>
  <c r="AF164" i="6"/>
  <c r="AF165" i="6"/>
  <c r="AF166" i="6"/>
  <c r="AF167" i="6"/>
  <c r="AF168" i="6"/>
  <c r="AF169" i="6"/>
  <c r="AF170" i="6"/>
  <c r="AF171" i="6"/>
  <c r="AF172" i="6"/>
  <c r="AF173" i="6"/>
  <c r="AF174" i="6"/>
  <c r="AF175" i="6"/>
  <c r="AF176" i="6"/>
  <c r="AF177" i="6"/>
  <c r="AF178" i="6"/>
  <c r="AF179" i="6"/>
  <c r="AF180" i="6"/>
  <c r="AF181" i="6"/>
  <c r="AF182" i="6"/>
  <c r="AF183" i="6"/>
  <c r="AF184" i="6"/>
  <c r="AF185" i="6"/>
  <c r="AF186" i="6"/>
  <c r="AF187" i="6"/>
  <c r="AF188" i="6"/>
  <c r="AF189" i="6"/>
  <c r="AF190" i="6"/>
  <c r="AF191" i="6"/>
  <c r="AF192" i="6"/>
  <c r="AF193" i="6"/>
  <c r="AF194" i="6"/>
  <c r="AF195" i="6"/>
  <c r="AF196" i="6"/>
  <c r="AF197" i="6"/>
  <c r="AF198" i="6"/>
  <c r="AF199" i="6"/>
  <c r="AF200" i="6"/>
  <c r="AF201" i="6"/>
  <c r="AF202" i="6"/>
  <c r="AF203" i="6"/>
  <c r="AF204" i="6"/>
  <c r="AF205" i="6"/>
  <c r="AF206" i="6"/>
  <c r="AF207" i="6"/>
  <c r="AF208" i="6"/>
  <c r="AF209" i="6"/>
  <c r="AF210" i="6"/>
  <c r="AF211" i="6"/>
  <c r="AF212" i="6"/>
  <c r="AF213" i="6"/>
  <c r="AF214" i="6"/>
  <c r="AF215" i="6"/>
  <c r="AF216" i="6"/>
  <c r="AF217" i="6"/>
  <c r="AF218" i="6"/>
  <c r="AF219" i="6"/>
  <c r="AF220" i="6"/>
  <c r="AF221" i="6"/>
  <c r="AF222" i="6"/>
  <c r="AF223" i="6"/>
  <c r="AF224" i="6"/>
  <c r="AF225" i="6"/>
  <c r="AF226" i="6"/>
  <c r="AF227" i="6"/>
  <c r="AF228" i="6"/>
  <c r="AF229" i="6"/>
  <c r="AF230" i="6"/>
  <c r="AF231" i="6"/>
  <c r="AF232" i="6"/>
  <c r="AF233" i="6"/>
  <c r="AF234" i="6"/>
  <c r="AF235" i="6"/>
  <c r="AF236" i="6"/>
  <c r="AF237" i="6"/>
  <c r="AF238" i="6"/>
  <c r="AF239" i="6"/>
  <c r="AF240" i="6"/>
  <c r="AF241" i="6"/>
  <c r="AF242" i="6"/>
  <c r="AF243" i="6"/>
  <c r="AF244" i="6"/>
  <c r="AF245" i="6"/>
  <c r="AF246" i="6"/>
  <c r="AF247" i="6"/>
  <c r="AF248" i="6"/>
  <c r="AF249" i="6"/>
  <c r="AF250" i="6"/>
  <c r="AF251" i="6"/>
  <c r="AF252" i="6"/>
  <c r="AF253" i="6"/>
  <c r="AF254" i="6"/>
  <c r="AF255" i="6"/>
  <c r="AF256" i="6"/>
  <c r="AF257" i="6"/>
  <c r="AF258" i="6"/>
  <c r="AF259" i="6"/>
  <c r="AF260" i="6"/>
  <c r="AF261" i="6"/>
  <c r="AF262" i="6"/>
  <c r="AF263" i="6"/>
  <c r="AF264" i="6"/>
  <c r="AF265" i="6"/>
  <c r="AF266" i="6"/>
  <c r="AF267" i="6"/>
  <c r="AF268" i="6"/>
  <c r="AF269" i="6"/>
  <c r="AF270" i="6"/>
  <c r="AF271" i="6"/>
  <c r="AF272" i="6"/>
  <c r="AF273" i="6"/>
  <c r="AF274" i="6"/>
  <c r="AF275" i="6"/>
  <c r="AF276" i="6"/>
  <c r="AF277" i="6"/>
  <c r="AF278" i="6"/>
  <c r="AF279" i="6"/>
  <c r="AF280" i="6"/>
  <c r="AF281" i="6"/>
  <c r="AF282" i="6"/>
  <c r="AF283" i="6"/>
  <c r="AF284" i="6"/>
  <c r="AF285" i="6"/>
  <c r="AF286" i="6"/>
  <c r="AF287" i="6"/>
  <c r="AF288" i="6"/>
  <c r="AF289" i="6"/>
  <c r="AF290" i="6"/>
  <c r="AF291" i="6"/>
  <c r="AF292" i="6"/>
  <c r="AF293" i="6"/>
  <c r="AF294" i="6"/>
  <c r="AF295" i="6"/>
  <c r="AF296" i="6"/>
  <c r="AF297" i="6"/>
  <c r="AF298" i="6"/>
  <c r="AF299" i="6"/>
  <c r="AF300" i="6"/>
  <c r="AF301" i="6"/>
  <c r="AF302" i="6"/>
  <c r="AF303" i="6"/>
  <c r="AF304" i="6"/>
  <c r="AF305" i="6"/>
  <c r="AF306" i="6"/>
  <c r="AF307" i="6"/>
  <c r="AF308" i="6"/>
  <c r="AF309" i="6"/>
  <c r="AF310" i="6"/>
  <c r="AF311" i="6"/>
  <c r="AF312" i="6"/>
  <c r="AF313" i="6"/>
  <c r="AF314" i="6"/>
  <c r="AF315" i="6"/>
  <c r="AF316" i="6"/>
  <c r="AF317" i="6"/>
  <c r="AF318" i="6"/>
  <c r="AF319" i="6"/>
  <c r="AF320" i="6"/>
  <c r="AF321" i="6"/>
  <c r="AF322" i="6"/>
  <c r="AF323" i="6"/>
  <c r="AF324" i="6"/>
  <c r="AF325" i="6"/>
  <c r="AF326" i="6"/>
  <c r="AF327" i="6"/>
  <c r="AF328" i="6"/>
  <c r="AF329" i="6"/>
  <c r="AF330" i="6"/>
  <c r="AF331" i="6"/>
  <c r="AF332" i="6"/>
  <c r="AF333" i="6"/>
  <c r="AF334" i="6"/>
  <c r="AF335" i="6"/>
  <c r="AF336" i="6"/>
  <c r="AF337" i="6"/>
  <c r="AF338" i="6"/>
  <c r="AF339" i="6"/>
  <c r="AF340" i="6"/>
  <c r="AF341" i="6"/>
  <c r="AF342" i="6"/>
  <c r="AF343" i="6"/>
  <c r="AF344" i="6"/>
  <c r="AF345" i="6"/>
  <c r="AF346" i="6"/>
  <c r="AF347" i="6"/>
  <c r="AF348" i="6"/>
  <c r="AF349" i="6"/>
  <c r="AF350" i="6"/>
  <c r="AF351" i="6"/>
  <c r="AO12" i="6"/>
  <c r="AP12" i="6" s="1"/>
  <c r="AO13" i="6"/>
  <c r="AO14" i="6"/>
  <c r="AO15" i="6"/>
  <c r="AQ15" i="6" s="1"/>
  <c r="AO16" i="6"/>
  <c r="AQ16" i="6" s="1"/>
  <c r="AO17" i="6"/>
  <c r="AO18" i="6"/>
  <c r="AP18" i="6" s="1"/>
  <c r="AO19" i="6"/>
  <c r="AQ19" i="6" s="1"/>
  <c r="AO20" i="6"/>
  <c r="AP20" i="6" s="1"/>
  <c r="AO21" i="6"/>
  <c r="AO22" i="6"/>
  <c r="AQ22" i="6" s="1"/>
  <c r="AO23" i="6"/>
  <c r="AQ23" i="6" s="1"/>
  <c r="AO24" i="6"/>
  <c r="AQ24" i="6" s="1"/>
  <c r="AO25" i="6"/>
  <c r="AP25" i="6" s="1"/>
  <c r="AO26" i="6"/>
  <c r="AQ26" i="6" s="1"/>
  <c r="AO27" i="6"/>
  <c r="AP27" i="6" s="1"/>
  <c r="AO28" i="6"/>
  <c r="AO29" i="6"/>
  <c r="AQ29" i="6" s="1"/>
  <c r="AO30" i="6"/>
  <c r="AP30" i="6" s="1"/>
  <c r="AO31" i="6"/>
  <c r="AO32" i="6"/>
  <c r="AQ32" i="6" s="1"/>
  <c r="AO33" i="6"/>
  <c r="AQ33" i="6" s="1"/>
  <c r="AO34" i="6"/>
  <c r="AP34" i="6" s="1"/>
  <c r="AO35" i="6"/>
  <c r="AQ35" i="6" s="1"/>
  <c r="AO36" i="6"/>
  <c r="AO37" i="6"/>
  <c r="AQ37" i="6" s="1"/>
  <c r="AO38" i="6"/>
  <c r="AQ38" i="6" s="1"/>
  <c r="AO39" i="6"/>
  <c r="AO40" i="6"/>
  <c r="AQ40" i="6" s="1"/>
  <c r="AO41" i="6"/>
  <c r="AP41" i="6" s="1"/>
  <c r="AO42" i="6"/>
  <c r="AP42" i="6" s="1"/>
  <c r="AO43" i="6"/>
  <c r="AQ43" i="6" s="1"/>
  <c r="AO44" i="6"/>
  <c r="AQ44" i="6" s="1"/>
  <c r="AO45" i="6"/>
  <c r="AO46" i="6"/>
  <c r="AP46" i="6" s="1"/>
  <c r="AO47" i="6"/>
  <c r="AO48" i="6"/>
  <c r="AQ48" i="6" s="1"/>
  <c r="AO49" i="6"/>
  <c r="AP49" i="6" s="1"/>
  <c r="AO50" i="6"/>
  <c r="AP50" i="6" s="1"/>
  <c r="AO51" i="6"/>
  <c r="AP51" i="6" s="1"/>
  <c r="AO52" i="6"/>
  <c r="AQ52" i="6" s="1"/>
  <c r="AO53" i="6"/>
  <c r="AQ53" i="6" s="1"/>
  <c r="AO54" i="6"/>
  <c r="AP54" i="6" s="1"/>
  <c r="AO55" i="6"/>
  <c r="AQ55" i="6" s="1"/>
  <c r="AO56" i="6"/>
  <c r="AP56" i="6" s="1"/>
  <c r="AO57" i="6"/>
  <c r="AP57" i="6" s="1"/>
  <c r="AO58" i="6"/>
  <c r="AP58" i="6" s="1"/>
  <c r="AO59" i="6"/>
  <c r="AQ59" i="6" s="1"/>
  <c r="AO60" i="6"/>
  <c r="AQ60" i="6" s="1"/>
  <c r="AO61" i="6"/>
  <c r="AQ61" i="6" s="1"/>
  <c r="AO62" i="6"/>
  <c r="AQ62" i="6" s="1"/>
  <c r="AO63" i="6"/>
  <c r="AQ63" i="6" s="1"/>
  <c r="AO64" i="6"/>
  <c r="AP64" i="6" s="1"/>
  <c r="AO65" i="6"/>
  <c r="AP65" i="6" s="1"/>
  <c r="AO66" i="6"/>
  <c r="AP66" i="6" s="1"/>
  <c r="AO67" i="6"/>
  <c r="AQ67" i="6" s="1"/>
  <c r="AO68" i="6"/>
  <c r="AO69" i="6"/>
  <c r="AQ69" i="6" s="1"/>
  <c r="AO70" i="6"/>
  <c r="AP70" i="6" s="1"/>
  <c r="AO71" i="6"/>
  <c r="AQ71" i="6" s="1"/>
  <c r="AO72" i="6"/>
  <c r="AQ72" i="6" s="1"/>
  <c r="AO73" i="6"/>
  <c r="AP73" i="6" s="1"/>
  <c r="AO74" i="6"/>
  <c r="AP74" i="6" s="1"/>
  <c r="AO75" i="6"/>
  <c r="AQ75" i="6" s="1"/>
  <c r="AO76" i="6"/>
  <c r="AQ76" i="6" s="1"/>
  <c r="AO77" i="6"/>
  <c r="AQ77" i="6" s="1"/>
  <c r="AO78" i="6"/>
  <c r="AP78" i="6" s="1"/>
  <c r="AO79" i="6"/>
  <c r="AO80" i="6"/>
  <c r="AP80" i="6" s="1"/>
  <c r="AO81" i="6"/>
  <c r="AP81" i="6" s="1"/>
  <c r="AO82" i="6"/>
  <c r="AQ82" i="6" s="1"/>
  <c r="AO83" i="6"/>
  <c r="AQ83" i="6" s="1"/>
  <c r="AO84" i="6"/>
  <c r="AQ84" i="6" s="1"/>
  <c r="AO85" i="6"/>
  <c r="AQ85" i="6" s="1"/>
  <c r="AO86" i="6"/>
  <c r="AQ86" i="6" s="1"/>
  <c r="AO87" i="6"/>
  <c r="AO88" i="6"/>
  <c r="AQ88" i="6" s="1"/>
  <c r="AO89" i="6"/>
  <c r="AP89" i="6" s="1"/>
  <c r="AO90" i="6"/>
  <c r="AP90" i="6" s="1"/>
  <c r="AO91" i="6"/>
  <c r="AP91" i="6" s="1"/>
  <c r="AO92" i="6"/>
  <c r="AO93" i="6"/>
  <c r="AQ93" i="6" s="1"/>
  <c r="AO94" i="6"/>
  <c r="AQ94" i="6" s="1"/>
  <c r="AO95" i="6"/>
  <c r="AO96" i="6"/>
  <c r="AP96" i="6" s="1"/>
  <c r="AO97" i="6"/>
  <c r="AP97" i="6" s="1"/>
  <c r="AO98" i="6"/>
  <c r="AP98" i="6" s="1"/>
  <c r="AO99" i="6"/>
  <c r="AQ99" i="6" s="1"/>
  <c r="AO100" i="6"/>
  <c r="AQ100" i="6" s="1"/>
  <c r="AO101" i="6"/>
  <c r="AQ101" i="6" s="1"/>
  <c r="AO102" i="6"/>
  <c r="AQ102" i="6" s="1"/>
  <c r="AO103" i="6"/>
  <c r="AQ103" i="6" s="1"/>
  <c r="AO104" i="6"/>
  <c r="AQ104" i="6" s="1"/>
  <c r="AO105" i="6"/>
  <c r="AP105" i="6" s="1"/>
  <c r="AO106" i="6"/>
  <c r="AP106" i="6" s="1"/>
  <c r="AO107" i="6"/>
  <c r="AP107" i="6" s="1"/>
  <c r="AO108" i="6"/>
  <c r="AQ108" i="6" s="1"/>
  <c r="AO109" i="6"/>
  <c r="AQ109" i="6" s="1"/>
  <c r="AO110" i="6"/>
  <c r="AQ110" i="6" s="1"/>
  <c r="AO111" i="6"/>
  <c r="AQ111" i="6" s="1"/>
  <c r="AO112" i="6"/>
  <c r="AQ112" i="6" s="1"/>
  <c r="AO113" i="6"/>
  <c r="AP113" i="6" s="1"/>
  <c r="AO114" i="6"/>
  <c r="AP114" i="6" s="1"/>
  <c r="AO115" i="6"/>
  <c r="AQ115" i="6" s="1"/>
  <c r="AO116" i="6"/>
  <c r="AQ116" i="6" s="1"/>
  <c r="AO117" i="6"/>
  <c r="AQ117" i="6" s="1"/>
  <c r="AO118" i="6"/>
  <c r="AQ118" i="6" s="1"/>
  <c r="AO119" i="6"/>
  <c r="AO120" i="6"/>
  <c r="AQ120" i="6" s="1"/>
  <c r="AO121" i="6"/>
  <c r="AP121" i="6" s="1"/>
  <c r="AO122" i="6"/>
  <c r="AQ122" i="6" s="1"/>
  <c r="AO123" i="6"/>
  <c r="AP123" i="6" s="1"/>
  <c r="AO124" i="6"/>
  <c r="AQ124" i="6" s="1"/>
  <c r="AO125" i="6"/>
  <c r="AQ125" i="6" s="1"/>
  <c r="AO126" i="6"/>
  <c r="AP126" i="6" s="1"/>
  <c r="AO127" i="6"/>
  <c r="AQ127" i="6" s="1"/>
  <c r="AO128" i="6"/>
  <c r="AQ128" i="6" s="1"/>
  <c r="AO129" i="6"/>
  <c r="AP129" i="6" s="1"/>
  <c r="AO130" i="6"/>
  <c r="AQ130" i="6" s="1"/>
  <c r="AO131" i="6"/>
  <c r="AP131" i="6" s="1"/>
  <c r="AO132" i="6"/>
  <c r="AQ132" i="6" s="1"/>
  <c r="AO133" i="6"/>
  <c r="AQ133" i="6" s="1"/>
  <c r="AO134" i="6"/>
  <c r="AP134" i="6" s="1"/>
  <c r="AO135" i="6"/>
  <c r="AO136" i="6"/>
  <c r="AP136" i="6" s="1"/>
  <c r="AO137" i="6"/>
  <c r="AP137" i="6" s="1"/>
  <c r="AO138" i="6"/>
  <c r="AP138" i="6" s="1"/>
  <c r="AO139" i="6"/>
  <c r="AQ139" i="6" s="1"/>
  <c r="AO140" i="6"/>
  <c r="AQ140" i="6" s="1"/>
  <c r="AO141" i="6"/>
  <c r="AQ141" i="6" s="1"/>
  <c r="AO142" i="6"/>
  <c r="AQ142" i="6" s="1"/>
  <c r="AO143" i="6"/>
  <c r="AQ143" i="6" s="1"/>
  <c r="AO144" i="6"/>
  <c r="AP144" i="6" s="1"/>
  <c r="AO145" i="6"/>
  <c r="AP145" i="6" s="1"/>
  <c r="AO146" i="6"/>
  <c r="AQ146" i="6" s="1"/>
  <c r="AO147" i="6"/>
  <c r="AP147" i="6" s="1"/>
  <c r="AO148" i="6"/>
  <c r="AO149" i="6"/>
  <c r="AO150" i="6"/>
  <c r="AP150" i="6" s="1"/>
  <c r="AO151" i="6"/>
  <c r="AQ151" i="6" s="1"/>
  <c r="AO152" i="6"/>
  <c r="AQ152" i="6" s="1"/>
  <c r="AO153" i="6"/>
  <c r="AQ153" i="6" s="1"/>
  <c r="AO154" i="6"/>
  <c r="AQ154" i="6" s="1"/>
  <c r="AO155" i="6"/>
  <c r="AQ155" i="6" s="1"/>
  <c r="AO156" i="6"/>
  <c r="AQ156" i="6" s="1"/>
  <c r="AO157" i="6"/>
  <c r="AQ157" i="6" s="1"/>
  <c r="AO158" i="6"/>
  <c r="AP158" i="6" s="1"/>
  <c r="AO159" i="6"/>
  <c r="AQ159" i="6" s="1"/>
  <c r="AO160" i="6"/>
  <c r="AQ160" i="6" s="1"/>
  <c r="AO161" i="6"/>
  <c r="AP161" i="6" s="1"/>
  <c r="AO162" i="6"/>
  <c r="AQ162" i="6" s="1"/>
  <c r="AO163" i="6"/>
  <c r="AP163" i="6" s="1"/>
  <c r="AO164" i="6"/>
  <c r="AQ164" i="6" s="1"/>
  <c r="AO165" i="6"/>
  <c r="AQ165" i="6" s="1"/>
  <c r="AO166" i="6"/>
  <c r="AQ166" i="6" s="1"/>
  <c r="AO167" i="6"/>
  <c r="AO168" i="6"/>
  <c r="AO169" i="6"/>
  <c r="AQ169" i="6" s="1"/>
  <c r="AO170" i="6"/>
  <c r="AQ170" i="6" s="1"/>
  <c r="AO171" i="6"/>
  <c r="AP171" i="6" s="1"/>
  <c r="AO172" i="6"/>
  <c r="AO173" i="6"/>
  <c r="AQ173" i="6" s="1"/>
  <c r="AO174" i="6"/>
  <c r="AP174" i="6" s="1"/>
  <c r="AO175" i="6"/>
  <c r="AQ175" i="6" s="1"/>
  <c r="AO176" i="6"/>
  <c r="AP176" i="6" s="1"/>
  <c r="AO177" i="6"/>
  <c r="AP177" i="6" s="1"/>
  <c r="AO178" i="6"/>
  <c r="AP178" i="6" s="1"/>
  <c r="AO179" i="6"/>
  <c r="AQ179" i="6" s="1"/>
  <c r="AO180" i="6"/>
  <c r="AQ180" i="6" s="1"/>
  <c r="AO181" i="6"/>
  <c r="AQ181" i="6" s="1"/>
  <c r="AO182" i="6"/>
  <c r="AQ182" i="6" s="1"/>
  <c r="AO183" i="6"/>
  <c r="AO184" i="6"/>
  <c r="AQ184" i="6" s="1"/>
  <c r="AO185" i="6"/>
  <c r="AP185" i="6" s="1"/>
  <c r="AO186" i="6"/>
  <c r="AQ186" i="6" s="1"/>
  <c r="AO187" i="6"/>
  <c r="AP187" i="6" s="1"/>
  <c r="AO188" i="6"/>
  <c r="AO189" i="6"/>
  <c r="AQ189" i="6" s="1"/>
  <c r="AO190" i="6"/>
  <c r="AQ190" i="6" s="1"/>
  <c r="AO191" i="6"/>
  <c r="AQ191" i="6" s="1"/>
  <c r="AO192" i="6"/>
  <c r="AQ192" i="6" s="1"/>
  <c r="AO193" i="6"/>
  <c r="AP193" i="6" s="1"/>
  <c r="AO194" i="6"/>
  <c r="AQ194" i="6" s="1"/>
  <c r="AO195" i="6"/>
  <c r="AP195" i="6" s="1"/>
  <c r="AO196" i="6"/>
  <c r="AO197" i="6"/>
  <c r="AQ197" i="6" s="1"/>
  <c r="AO198" i="6"/>
  <c r="AQ198" i="6" s="1"/>
  <c r="AO199" i="6"/>
  <c r="AQ199" i="6" s="1"/>
  <c r="AO200" i="6"/>
  <c r="AQ200" i="6" s="1"/>
  <c r="AO201" i="6"/>
  <c r="AP201" i="6" s="1"/>
  <c r="AO202" i="6"/>
  <c r="AP202" i="6" s="1"/>
  <c r="AO203" i="6"/>
  <c r="AQ203" i="6" s="1"/>
  <c r="AO204" i="6"/>
  <c r="AQ204" i="6" s="1"/>
  <c r="AO205" i="6"/>
  <c r="AP205" i="6" s="1"/>
  <c r="AO206" i="6"/>
  <c r="AQ206" i="6" s="1"/>
  <c r="AO207" i="6"/>
  <c r="AQ207" i="6" s="1"/>
  <c r="AO208" i="6"/>
  <c r="AP208" i="6" s="1"/>
  <c r="AO209" i="6"/>
  <c r="AQ209" i="6" s="1"/>
  <c r="AO210" i="6"/>
  <c r="AP210" i="6" s="1"/>
  <c r="AO211" i="6"/>
  <c r="AP211" i="6" s="1"/>
  <c r="AO212" i="6"/>
  <c r="AQ212" i="6" s="1"/>
  <c r="AO213" i="6"/>
  <c r="AP213" i="6" s="1"/>
  <c r="AO214" i="6"/>
  <c r="AQ214" i="6" s="1"/>
  <c r="AO215" i="6"/>
  <c r="AQ215" i="6" s="1"/>
  <c r="AO216" i="6"/>
  <c r="AP216" i="6" s="1"/>
  <c r="AO217" i="6"/>
  <c r="AQ217" i="6" s="1"/>
  <c r="AO218" i="6"/>
  <c r="AP218" i="6" s="1"/>
  <c r="AO219" i="6"/>
  <c r="AP219" i="6" s="1"/>
  <c r="AO220" i="6"/>
  <c r="AQ220" i="6" s="1"/>
  <c r="AO221" i="6"/>
  <c r="AQ221" i="6" s="1"/>
  <c r="AO222" i="6"/>
  <c r="AQ222" i="6" s="1"/>
  <c r="AO223" i="6"/>
  <c r="AQ223" i="6" s="1"/>
  <c r="AO224" i="6"/>
  <c r="AQ224" i="6" s="1"/>
  <c r="AO225" i="6"/>
  <c r="AQ225" i="6" s="1"/>
  <c r="AO226" i="6"/>
  <c r="AQ226" i="6" s="1"/>
  <c r="AO227" i="6"/>
  <c r="AP227" i="6" s="1"/>
  <c r="AO228" i="6"/>
  <c r="AQ228" i="6" s="1"/>
  <c r="AO229" i="6"/>
  <c r="AQ229" i="6" s="1"/>
  <c r="AO230" i="6"/>
  <c r="AP230" i="6" s="1"/>
  <c r="AO231" i="6"/>
  <c r="AQ231" i="6" s="1"/>
  <c r="AO232" i="6"/>
  <c r="AQ232" i="6" s="1"/>
  <c r="AO233" i="6"/>
  <c r="AQ233" i="6" s="1"/>
  <c r="AO234" i="6"/>
  <c r="AQ234" i="6" s="1"/>
  <c r="AO235" i="6"/>
  <c r="AP235" i="6" s="1"/>
  <c r="AO236" i="6"/>
  <c r="AQ236" i="6" s="1"/>
  <c r="AO237" i="6"/>
  <c r="AQ237" i="6" s="1"/>
  <c r="AO238" i="6"/>
  <c r="AP238" i="6" s="1"/>
  <c r="AO239" i="6"/>
  <c r="AQ239" i="6" s="1"/>
  <c r="AO240" i="6"/>
  <c r="AP240" i="6" s="1"/>
  <c r="AO241" i="6"/>
  <c r="AP241" i="6" s="1"/>
  <c r="AO242" i="6"/>
  <c r="AQ242" i="6" s="1"/>
  <c r="AO243" i="6"/>
  <c r="AP243" i="6" s="1"/>
  <c r="AO244" i="6"/>
  <c r="AQ244" i="6" s="1"/>
  <c r="AO245" i="6"/>
  <c r="AQ245" i="6" s="1"/>
  <c r="AO246" i="6"/>
  <c r="AQ246" i="6" s="1"/>
  <c r="AO247" i="6"/>
  <c r="AQ247" i="6" s="1"/>
  <c r="AO248" i="6"/>
  <c r="AQ248" i="6" s="1"/>
  <c r="AO249" i="6"/>
  <c r="AQ249" i="6" s="1"/>
  <c r="AO250" i="6"/>
  <c r="AQ250" i="6" s="1"/>
  <c r="AO251" i="6"/>
  <c r="AP251" i="6" s="1"/>
  <c r="AO252" i="6"/>
  <c r="AQ252" i="6" s="1"/>
  <c r="AO253" i="6"/>
  <c r="AQ253" i="6" s="1"/>
  <c r="AO254" i="6"/>
  <c r="AP254" i="6" s="1"/>
  <c r="AO255" i="6"/>
  <c r="AQ255" i="6" s="1"/>
  <c r="AO256" i="6"/>
  <c r="AQ256" i="6" s="1"/>
  <c r="AO257" i="6"/>
  <c r="AP257" i="6" s="1"/>
  <c r="AO258" i="6"/>
  <c r="AQ258" i="6" s="1"/>
  <c r="AO259" i="6"/>
  <c r="AP259" i="6" s="1"/>
  <c r="AO260" i="6"/>
  <c r="AQ260" i="6" s="1"/>
  <c r="AO261" i="6"/>
  <c r="AQ261" i="6" s="1"/>
  <c r="AO262" i="6"/>
  <c r="AQ262" i="6" s="1"/>
  <c r="AO263" i="6"/>
  <c r="AQ263" i="6" s="1"/>
  <c r="AO264" i="6"/>
  <c r="AQ264" i="6" s="1"/>
  <c r="AO265" i="6"/>
  <c r="AQ265" i="6" s="1"/>
  <c r="AO266" i="6"/>
  <c r="AP266" i="6" s="1"/>
  <c r="AO267" i="6"/>
  <c r="AQ267" i="6" s="1"/>
  <c r="AO268" i="6"/>
  <c r="AQ268" i="6" s="1"/>
  <c r="AO269" i="6"/>
  <c r="AQ269" i="6" s="1"/>
  <c r="AO270" i="6"/>
  <c r="AQ270" i="6" s="1"/>
  <c r="AO271" i="6"/>
  <c r="AQ271" i="6" s="1"/>
  <c r="AO272" i="6"/>
  <c r="AP272" i="6" s="1"/>
  <c r="AO273" i="6"/>
  <c r="AQ273" i="6" s="1"/>
  <c r="AO274" i="6"/>
  <c r="AP274" i="6" s="1"/>
  <c r="AO275" i="6"/>
  <c r="AP275" i="6" s="1"/>
  <c r="AO276" i="6"/>
  <c r="AQ276" i="6" s="1"/>
  <c r="AO277" i="6"/>
  <c r="AP277" i="6" s="1"/>
  <c r="AO278" i="6"/>
  <c r="AP278" i="6" s="1"/>
  <c r="AO279" i="6"/>
  <c r="AO280" i="6"/>
  <c r="AQ280" i="6" s="1"/>
  <c r="AO281" i="6"/>
  <c r="AQ281" i="6" s="1"/>
  <c r="AO282" i="6"/>
  <c r="AP282" i="6" s="1"/>
  <c r="AO283" i="6"/>
  <c r="AP283" i="6" s="1"/>
  <c r="AO284" i="6"/>
  <c r="AQ284" i="6" s="1"/>
  <c r="AO285" i="6"/>
  <c r="AQ285" i="6" s="1"/>
  <c r="AO286" i="6"/>
  <c r="AQ286" i="6" s="1"/>
  <c r="AO287" i="6"/>
  <c r="AO288" i="6"/>
  <c r="AQ288" i="6" s="1"/>
  <c r="AO289" i="6"/>
  <c r="AP289" i="6" s="1"/>
  <c r="AO290" i="6"/>
  <c r="AP290" i="6" s="1"/>
  <c r="AO291" i="6"/>
  <c r="AP291" i="6" s="1"/>
  <c r="AO292" i="6"/>
  <c r="AQ292" i="6" s="1"/>
  <c r="AO293" i="6"/>
  <c r="AQ293" i="6" s="1"/>
  <c r="AO294" i="6"/>
  <c r="AP294" i="6" s="1"/>
  <c r="AO295" i="6"/>
  <c r="AQ295" i="6" s="1"/>
  <c r="AO296" i="6"/>
  <c r="AP296" i="6" s="1"/>
  <c r="AO297" i="6"/>
  <c r="AP297" i="6" s="1"/>
  <c r="AO298" i="6"/>
  <c r="AP298" i="6" s="1"/>
  <c r="AO299" i="6"/>
  <c r="AP299" i="6" s="1"/>
  <c r="AO300" i="6"/>
  <c r="AQ300" i="6" s="1"/>
  <c r="AO301" i="6"/>
  <c r="AQ301" i="6" s="1"/>
  <c r="AO302" i="6"/>
  <c r="AP302" i="6" s="1"/>
  <c r="AO303" i="6"/>
  <c r="AQ303" i="6" s="1"/>
  <c r="AO304" i="6"/>
  <c r="AQ304" i="6" s="1"/>
  <c r="AO305" i="6"/>
  <c r="AQ305" i="6" s="1"/>
  <c r="AO306" i="6"/>
  <c r="AP306" i="6" s="1"/>
  <c r="AO307" i="6"/>
  <c r="AP307" i="6" s="1"/>
  <c r="AO308" i="6"/>
  <c r="AQ308" i="6" s="1"/>
  <c r="AO309" i="6"/>
  <c r="AQ309" i="6" s="1"/>
  <c r="AO310" i="6"/>
  <c r="AP310" i="6" s="1"/>
  <c r="AO311" i="6"/>
  <c r="AQ311" i="6" s="1"/>
  <c r="AO312" i="6"/>
  <c r="AQ312" i="6" s="1"/>
  <c r="AO313" i="6"/>
  <c r="AQ313" i="6" s="1"/>
  <c r="AO314" i="6"/>
  <c r="AP314" i="6" s="1"/>
  <c r="AO315" i="6"/>
  <c r="AP315" i="6" s="1"/>
  <c r="AO316" i="6"/>
  <c r="AQ316" i="6" s="1"/>
  <c r="AO317" i="6"/>
  <c r="AP317" i="6" s="1"/>
  <c r="AO318" i="6"/>
  <c r="AQ318" i="6" s="1"/>
  <c r="AO319" i="6"/>
  <c r="AQ319" i="6" s="1"/>
  <c r="AO320" i="6"/>
  <c r="AQ320" i="6" s="1"/>
  <c r="AO321" i="6"/>
  <c r="AQ321" i="6" s="1"/>
  <c r="AO322" i="6"/>
  <c r="AQ322" i="6" s="1"/>
  <c r="AO323" i="6"/>
  <c r="AP323" i="6" s="1"/>
  <c r="AO324" i="6"/>
  <c r="AQ324" i="6" s="1"/>
  <c r="AO325" i="6"/>
  <c r="AQ325" i="6" s="1"/>
  <c r="AO326" i="6"/>
  <c r="AP326" i="6" s="1"/>
  <c r="AO327" i="6"/>
  <c r="AQ327" i="6" s="1"/>
  <c r="AO328" i="6"/>
  <c r="AP328" i="6" s="1"/>
  <c r="AO329" i="6"/>
  <c r="AP329" i="6" s="1"/>
  <c r="AO330" i="6"/>
  <c r="AP330" i="6" s="1"/>
  <c r="AO331" i="6"/>
  <c r="AP331" i="6" s="1"/>
  <c r="AO332" i="6"/>
  <c r="AQ332" i="6" s="1"/>
  <c r="AO333" i="6"/>
  <c r="AQ333" i="6" s="1"/>
  <c r="AO334" i="6"/>
  <c r="AQ334" i="6" s="1"/>
  <c r="AO335" i="6"/>
  <c r="AQ335" i="6" s="1"/>
  <c r="AO336" i="6"/>
  <c r="AQ336" i="6" s="1"/>
  <c r="AO337" i="6"/>
  <c r="AP337" i="6" s="1"/>
  <c r="AO338" i="6"/>
  <c r="AP338" i="6" s="1"/>
  <c r="AO339" i="6"/>
  <c r="AP339" i="6" s="1"/>
  <c r="AO340" i="6"/>
  <c r="AQ340" i="6" s="1"/>
  <c r="AO341" i="6"/>
  <c r="AQ341" i="6" s="1"/>
  <c r="AO342" i="6"/>
  <c r="AQ342" i="6" s="1"/>
  <c r="AO343" i="6"/>
  <c r="AQ343" i="6" s="1"/>
  <c r="AO344" i="6"/>
  <c r="AQ344" i="6" s="1"/>
  <c r="AO345" i="6"/>
  <c r="AQ345" i="6" s="1"/>
  <c r="AO346" i="6"/>
  <c r="AP346" i="6" s="1"/>
  <c r="AO347" i="6"/>
  <c r="AP347" i="6" s="1"/>
  <c r="AO348" i="6"/>
  <c r="AQ348" i="6" s="1"/>
  <c r="AO349" i="6"/>
  <c r="AQ349" i="6" s="1"/>
  <c r="AO350" i="6"/>
  <c r="AQ350" i="6" s="1"/>
  <c r="AO351" i="6"/>
  <c r="AQ351" i="6" s="1"/>
  <c r="AO11" i="6"/>
  <c r="AQ11" i="6" s="1"/>
  <c r="AQ17" i="6"/>
  <c r="AQ31" i="6"/>
  <c r="AQ39" i="6"/>
  <c r="AQ47" i="6"/>
  <c r="AQ87" i="6"/>
  <c r="AQ95" i="6"/>
  <c r="AQ119" i="6"/>
  <c r="AQ135" i="6"/>
  <c r="AQ183" i="6"/>
  <c r="AQ287" i="6"/>
  <c r="AQ168" i="6"/>
  <c r="AQ196" i="6"/>
  <c r="AQ279" i="6"/>
  <c r="AQ188" i="6"/>
  <c r="AQ172" i="6"/>
  <c r="AQ167" i="6"/>
  <c r="AQ149" i="6"/>
  <c r="AQ148" i="6"/>
  <c r="AQ134" i="6"/>
  <c r="AP120" i="6"/>
  <c r="AP102" i="6"/>
  <c r="AQ92" i="6"/>
  <c r="AQ79" i="6"/>
  <c r="AQ70" i="6"/>
  <c r="AQ68" i="6"/>
  <c r="AQ54" i="6"/>
  <c r="AQ45" i="6"/>
  <c r="AQ36" i="6"/>
  <c r="AQ28" i="6"/>
  <c r="AQ21" i="6"/>
  <c r="AQ14" i="6"/>
  <c r="AP14" i="6"/>
  <c r="AQ13" i="6"/>
  <c r="AF354" i="6" l="1"/>
  <c r="AF353" i="6"/>
  <c r="AQ42" i="6"/>
  <c r="AQ158" i="6"/>
  <c r="AQ12" i="6"/>
  <c r="AQ78" i="6"/>
  <c r="AP22" i="6"/>
  <c r="AQ46" i="6"/>
  <c r="AQ30" i="6"/>
  <c r="AP190" i="6"/>
  <c r="AP229" i="6"/>
  <c r="AQ238" i="6"/>
  <c r="AP94" i="6"/>
  <c r="AP253" i="6"/>
  <c r="AQ205" i="6"/>
  <c r="AQ213" i="6"/>
  <c r="AP285" i="6"/>
  <c r="AQ96" i="6"/>
  <c r="AP152" i="6"/>
  <c r="AQ176" i="6"/>
  <c r="AP112" i="6"/>
  <c r="AQ240" i="6"/>
  <c r="AQ272" i="6"/>
  <c r="AP24" i="6"/>
  <c r="AQ216" i="6"/>
  <c r="AP16" i="6"/>
  <c r="AQ56" i="6"/>
  <c r="AQ80" i="6"/>
  <c r="AP200" i="6"/>
  <c r="AP269" i="6"/>
  <c r="AP26" i="6"/>
  <c r="AP130" i="6"/>
  <c r="AP154" i="6"/>
  <c r="AQ114" i="6"/>
  <c r="AQ208" i="6"/>
  <c r="AP264" i="6"/>
  <c r="AQ136" i="6"/>
  <c r="AP48" i="6"/>
  <c r="AP32" i="6"/>
  <c r="AQ90" i="6"/>
  <c r="AP160" i="6"/>
  <c r="AP232" i="6"/>
  <c r="AP88" i="6"/>
  <c r="AP72" i="6"/>
  <c r="AQ144" i="6"/>
  <c r="AP184" i="6"/>
  <c r="AQ296" i="6"/>
  <c r="AQ230" i="6"/>
  <c r="AP118" i="6"/>
  <c r="AQ174" i="6"/>
  <c r="AP198" i="6"/>
  <c r="AP221" i="6"/>
  <c r="AP245" i="6"/>
  <c r="AQ310" i="6"/>
  <c r="AP182" i="6"/>
  <c r="AQ126" i="6"/>
  <c r="AQ254" i="6"/>
  <c r="AP38" i="6"/>
  <c r="AP86" i="6"/>
  <c r="AP142" i="6"/>
  <c r="AP237" i="6"/>
  <c r="AP261" i="6"/>
  <c r="AQ277" i="6"/>
  <c r="AQ326" i="6"/>
  <c r="AP214" i="6"/>
  <c r="AP62" i="6"/>
  <c r="AP110" i="6"/>
  <c r="AP166" i="6"/>
  <c r="AP189" i="6"/>
  <c r="AP222" i="6"/>
  <c r="AP246" i="6"/>
  <c r="AQ278" i="6"/>
  <c r="AQ150" i="6"/>
  <c r="AP262" i="6"/>
  <c r="AP270" i="6"/>
  <c r="AP206" i="6"/>
  <c r="AP286" i="6"/>
  <c r="AP304" i="6"/>
  <c r="AP301" i="6"/>
  <c r="AP333" i="6"/>
  <c r="AQ302" i="6"/>
  <c r="AP334" i="6"/>
  <c r="AP349" i="6"/>
  <c r="AP342" i="6"/>
  <c r="AQ294" i="6"/>
  <c r="AP318" i="6"/>
  <c r="AP325" i="6"/>
  <c r="AP341" i="6"/>
  <c r="AP293" i="6"/>
  <c r="AP309" i="6"/>
  <c r="AQ317" i="6"/>
  <c r="AP258" i="6"/>
  <c r="AQ106" i="6"/>
  <c r="AP82" i="6"/>
  <c r="AP170" i="6"/>
  <c r="AP226" i="6"/>
  <c r="AQ290" i="6"/>
  <c r="AQ50" i="6"/>
  <c r="AP217" i="6"/>
  <c r="AQ297" i="6"/>
  <c r="AP153" i="6"/>
  <c r="AQ161" i="6"/>
  <c r="AP336" i="6"/>
  <c r="AP179" i="6"/>
  <c r="AP169" i="6"/>
  <c r="AQ177" i="6"/>
  <c r="AP305" i="6"/>
  <c r="AQ201" i="6"/>
  <c r="AP209" i="6"/>
  <c r="AQ289" i="6"/>
  <c r="AQ337" i="6"/>
  <c r="AP33" i="6"/>
  <c r="AQ145" i="6"/>
  <c r="AP249" i="6"/>
  <c r="AQ329" i="6"/>
  <c r="AQ193" i="6"/>
  <c r="AP233" i="6"/>
  <c r="AQ241" i="6"/>
  <c r="AP17" i="6"/>
  <c r="AQ185" i="6"/>
  <c r="AP225" i="6"/>
  <c r="AQ299" i="6"/>
  <c r="AQ51" i="6"/>
  <c r="AQ73" i="6"/>
  <c r="AQ81" i="6"/>
  <c r="AQ89" i="6"/>
  <c r="AQ105" i="6"/>
  <c r="AQ113" i="6"/>
  <c r="AQ129" i="6"/>
  <c r="AQ137" i="6"/>
  <c r="AP281" i="6"/>
  <c r="AP321" i="6"/>
  <c r="AQ65" i="6"/>
  <c r="AQ97" i="6"/>
  <c r="AQ121" i="6"/>
  <c r="AP203" i="6"/>
  <c r="AQ41" i="6"/>
  <c r="AQ49" i="6"/>
  <c r="AP265" i="6"/>
  <c r="AP273" i="6"/>
  <c r="AQ25" i="6"/>
  <c r="AQ57" i="6"/>
  <c r="AQ257" i="6"/>
  <c r="AP313" i="6"/>
  <c r="AP345" i="6"/>
  <c r="AP75" i="6"/>
  <c r="AP146" i="6"/>
  <c r="AQ235" i="6"/>
  <c r="AP267" i="6"/>
  <c r="AP122" i="6"/>
  <c r="AQ18" i="6"/>
  <c r="AP322" i="6"/>
  <c r="AP139" i="6"/>
  <c r="AQ58" i="6"/>
  <c r="AQ66" i="6"/>
  <c r="AP115" i="6"/>
  <c r="AP194" i="6"/>
  <c r="AQ331" i="6"/>
  <c r="AQ328" i="6"/>
  <c r="AQ27" i="6"/>
  <c r="AP67" i="6"/>
  <c r="AQ91" i="6"/>
  <c r="AQ131" i="6"/>
  <c r="AP155" i="6"/>
  <c r="AQ218" i="6"/>
  <c r="AQ227" i="6"/>
  <c r="AP250" i="6"/>
  <c r="AQ259" i="6"/>
  <c r="AQ282" i="6"/>
  <c r="AQ291" i="6"/>
  <c r="AQ314" i="6"/>
  <c r="AQ323" i="6"/>
  <c r="AQ346" i="6"/>
  <c r="AQ171" i="6"/>
  <c r="AQ195" i="6"/>
  <c r="AP19" i="6"/>
  <c r="AQ34" i="6"/>
  <c r="AP83" i="6"/>
  <c r="AQ98" i="6"/>
  <c r="AQ107" i="6"/>
  <c r="AP128" i="6"/>
  <c r="AQ147" i="6"/>
  <c r="AP162" i="6"/>
  <c r="AP186" i="6"/>
  <c r="AQ210" i="6"/>
  <c r="AQ219" i="6"/>
  <c r="AP224" i="6"/>
  <c r="AP242" i="6"/>
  <c r="AQ251" i="6"/>
  <c r="AP256" i="6"/>
  <c r="AQ274" i="6"/>
  <c r="AQ283" i="6"/>
  <c r="AP288" i="6"/>
  <c r="AQ306" i="6"/>
  <c r="AQ315" i="6"/>
  <c r="AP320" i="6"/>
  <c r="AQ338" i="6"/>
  <c r="AQ347" i="6"/>
  <c r="AP43" i="6"/>
  <c r="AP40" i="6"/>
  <c r="AP59" i="6"/>
  <c r="AQ64" i="6"/>
  <c r="AQ74" i="6"/>
  <c r="AP104" i="6"/>
  <c r="AQ123" i="6"/>
  <c r="AQ138" i="6"/>
  <c r="AP168" i="6"/>
  <c r="AQ187" i="6"/>
  <c r="AP192" i="6"/>
  <c r="AP35" i="6"/>
  <c r="AP99" i="6"/>
  <c r="AQ163" i="6"/>
  <c r="AQ178" i="6"/>
  <c r="AQ202" i="6"/>
  <c r="AQ211" i="6"/>
  <c r="AP234" i="6"/>
  <c r="AQ243" i="6"/>
  <c r="AP248" i="6"/>
  <c r="AQ266" i="6"/>
  <c r="AQ275" i="6"/>
  <c r="AP280" i="6"/>
  <c r="AQ298" i="6"/>
  <c r="AQ307" i="6"/>
  <c r="AP312" i="6"/>
  <c r="AQ330" i="6"/>
  <c r="AQ339" i="6"/>
  <c r="AP344" i="6"/>
  <c r="AP11" i="6"/>
  <c r="AP350" i="6"/>
  <c r="AP28" i="6"/>
  <c r="AP36" i="6"/>
  <c r="AP44" i="6"/>
  <c r="AP52" i="6"/>
  <c r="AP60" i="6"/>
  <c r="AP68" i="6"/>
  <c r="AP76" i="6"/>
  <c r="AP84" i="6"/>
  <c r="AP92" i="6"/>
  <c r="AP100" i="6"/>
  <c r="AP108" i="6"/>
  <c r="AP116" i="6"/>
  <c r="AP124" i="6"/>
  <c r="AP132" i="6"/>
  <c r="AP140" i="6"/>
  <c r="AP148" i="6"/>
  <c r="AP156" i="6"/>
  <c r="AP164" i="6"/>
  <c r="AP172" i="6"/>
  <c r="AP180" i="6"/>
  <c r="AP188" i="6"/>
  <c r="AP196" i="6"/>
  <c r="AP204" i="6"/>
  <c r="AP212" i="6"/>
  <c r="AP220" i="6"/>
  <c r="AP228" i="6"/>
  <c r="AP236" i="6"/>
  <c r="AP244" i="6"/>
  <c r="AP252" i="6"/>
  <c r="AP260" i="6"/>
  <c r="AP268" i="6"/>
  <c r="AP276" i="6"/>
  <c r="AP284" i="6"/>
  <c r="AP292" i="6"/>
  <c r="AP300" i="6"/>
  <c r="AP308" i="6"/>
  <c r="AP316" i="6"/>
  <c r="AP324" i="6"/>
  <c r="AP332" i="6"/>
  <c r="AP340" i="6"/>
  <c r="AP348" i="6"/>
  <c r="AP15" i="6"/>
  <c r="AQ20" i="6"/>
  <c r="AP23" i="6"/>
  <c r="AP31" i="6"/>
  <c r="AP39" i="6"/>
  <c r="AP47" i="6"/>
  <c r="AP55" i="6"/>
  <c r="AP63" i="6"/>
  <c r="AP71" i="6"/>
  <c r="AP79" i="6"/>
  <c r="AP87" i="6"/>
  <c r="AP95" i="6"/>
  <c r="AP103" i="6"/>
  <c r="AP111" i="6"/>
  <c r="AP119" i="6"/>
  <c r="AP127" i="6"/>
  <c r="AP135" i="6"/>
  <c r="AP143" i="6"/>
  <c r="AP151" i="6"/>
  <c r="AP159" i="6"/>
  <c r="AP167" i="6"/>
  <c r="AP175" i="6"/>
  <c r="AP183" i="6"/>
  <c r="AP191" i="6"/>
  <c r="AP199" i="6"/>
  <c r="AP207" i="6"/>
  <c r="AP215" i="6"/>
  <c r="AP223" i="6"/>
  <c r="AP231" i="6"/>
  <c r="AP239" i="6"/>
  <c r="AP247" i="6"/>
  <c r="AP255" i="6"/>
  <c r="AP263" i="6"/>
  <c r="AP271" i="6"/>
  <c r="AP279" i="6"/>
  <c r="AP287" i="6"/>
  <c r="AP295" i="6"/>
  <c r="AP303" i="6"/>
  <c r="AP311" i="6"/>
  <c r="AP319" i="6"/>
  <c r="AP327" i="6"/>
  <c r="AP335" i="6"/>
  <c r="AP343" i="6"/>
  <c r="AP351" i="6"/>
  <c r="AP13" i="6"/>
  <c r="AP21" i="6"/>
  <c r="AP29" i="6"/>
  <c r="AP37" i="6"/>
  <c r="AP45" i="6"/>
  <c r="AP53" i="6"/>
  <c r="AP61" i="6"/>
  <c r="AP69" i="6"/>
  <c r="AP77" i="6"/>
  <c r="AP85" i="6"/>
  <c r="AP93" i="6"/>
  <c r="AP101" i="6"/>
  <c r="AP109" i="6"/>
  <c r="AP117" i="6"/>
  <c r="AP125" i="6"/>
  <c r="AP133" i="6"/>
  <c r="AP141" i="6"/>
  <c r="AP149" i="6"/>
  <c r="AP157" i="6"/>
  <c r="AP165" i="6"/>
  <c r="AP173" i="6"/>
  <c r="AP181" i="6"/>
  <c r="AP197" i="6"/>
  <c r="AB37" i="6"/>
  <c r="AB101" i="6"/>
  <c r="AB165" i="6"/>
  <c r="AB229" i="6"/>
  <c r="AB293" i="6"/>
  <c r="AD293" i="6" s="1"/>
  <c r="R4" i="5"/>
  <c r="AB12" i="6" s="1"/>
  <c r="R5" i="5"/>
  <c r="AB13" i="6" s="1"/>
  <c r="R6" i="5"/>
  <c r="AB14" i="6" s="1"/>
  <c r="R7" i="5"/>
  <c r="AB15" i="6" s="1"/>
  <c r="R8" i="5"/>
  <c r="AB16" i="6" s="1"/>
  <c r="AD16" i="6" s="1"/>
  <c r="R9" i="5"/>
  <c r="AB17" i="6" s="1"/>
  <c r="R10" i="5"/>
  <c r="AB18" i="6" s="1"/>
  <c r="AD18" i="6" s="1"/>
  <c r="R11" i="5"/>
  <c r="AB19" i="6" s="1"/>
  <c r="AD19" i="6" s="1"/>
  <c r="R12" i="5"/>
  <c r="AB20" i="6" s="1"/>
  <c r="R13" i="5"/>
  <c r="AB21" i="6" s="1"/>
  <c r="R14" i="5"/>
  <c r="AB22" i="6" s="1"/>
  <c r="R15" i="5"/>
  <c r="AB23" i="6" s="1"/>
  <c r="R16" i="5"/>
  <c r="AB24" i="6" s="1"/>
  <c r="R17" i="5"/>
  <c r="AB25" i="6" s="1"/>
  <c r="R18" i="5"/>
  <c r="AB26" i="6" s="1"/>
  <c r="AD26" i="6" s="1"/>
  <c r="R19" i="5"/>
  <c r="AB27" i="6" s="1"/>
  <c r="AD27" i="6" s="1"/>
  <c r="R20" i="5"/>
  <c r="AB28" i="6" s="1"/>
  <c r="R21" i="5"/>
  <c r="AB29" i="6" s="1"/>
  <c r="R22" i="5"/>
  <c r="AB30" i="6" s="1"/>
  <c r="R23" i="5"/>
  <c r="AB31" i="6" s="1"/>
  <c r="R24" i="5"/>
  <c r="AB32" i="6" s="1"/>
  <c r="R25" i="5"/>
  <c r="AB33" i="6" s="1"/>
  <c r="R26" i="5"/>
  <c r="AB34" i="6" s="1"/>
  <c r="AD34" i="6" s="1"/>
  <c r="R27" i="5"/>
  <c r="AB35" i="6" s="1"/>
  <c r="R28" i="5"/>
  <c r="AB36" i="6" s="1"/>
  <c r="R29" i="5"/>
  <c r="R30" i="5"/>
  <c r="AB38" i="6" s="1"/>
  <c r="R31" i="5"/>
  <c r="AB39" i="6" s="1"/>
  <c r="R32" i="5"/>
  <c r="AB40" i="6" s="1"/>
  <c r="R33" i="5"/>
  <c r="AB41" i="6" s="1"/>
  <c r="R34" i="5"/>
  <c r="AB42" i="6" s="1"/>
  <c r="AD42" i="6" s="1"/>
  <c r="R35" i="5"/>
  <c r="AB43" i="6" s="1"/>
  <c r="AD43" i="6" s="1"/>
  <c r="R36" i="5"/>
  <c r="AB44" i="6" s="1"/>
  <c r="R37" i="5"/>
  <c r="AB45" i="6" s="1"/>
  <c r="R38" i="5"/>
  <c r="AB46" i="6" s="1"/>
  <c r="R39" i="5"/>
  <c r="AB47" i="6" s="1"/>
  <c r="R40" i="5"/>
  <c r="AB48" i="6" s="1"/>
  <c r="R41" i="5"/>
  <c r="AB49" i="6" s="1"/>
  <c r="R42" i="5"/>
  <c r="AB50" i="6" s="1"/>
  <c r="AD50" i="6" s="1"/>
  <c r="R43" i="5"/>
  <c r="AB51" i="6" s="1"/>
  <c r="R44" i="5"/>
  <c r="AB52" i="6" s="1"/>
  <c r="R45" i="5"/>
  <c r="AB53" i="6" s="1"/>
  <c r="R46" i="5"/>
  <c r="AB54" i="6" s="1"/>
  <c r="R47" i="5"/>
  <c r="AB55" i="6" s="1"/>
  <c r="R48" i="5"/>
  <c r="AB56" i="6" s="1"/>
  <c r="R49" i="5"/>
  <c r="AB57" i="6" s="1"/>
  <c r="R50" i="5"/>
  <c r="AB58" i="6" s="1"/>
  <c r="AD58" i="6" s="1"/>
  <c r="R51" i="5"/>
  <c r="AB59" i="6" s="1"/>
  <c r="AD59" i="6" s="1"/>
  <c r="R52" i="5"/>
  <c r="AB60" i="6" s="1"/>
  <c r="R53" i="5"/>
  <c r="AB61" i="6" s="1"/>
  <c r="R54" i="5"/>
  <c r="AB62" i="6" s="1"/>
  <c r="R55" i="5"/>
  <c r="AB63" i="6" s="1"/>
  <c r="R56" i="5"/>
  <c r="AB64" i="6" s="1"/>
  <c r="R57" i="5"/>
  <c r="AB65" i="6" s="1"/>
  <c r="R58" i="5"/>
  <c r="AB66" i="6" s="1"/>
  <c r="AD66" i="6" s="1"/>
  <c r="R59" i="5"/>
  <c r="AB67" i="6" s="1"/>
  <c r="R60" i="5"/>
  <c r="AB68" i="6" s="1"/>
  <c r="R61" i="5"/>
  <c r="AB69" i="6" s="1"/>
  <c r="R62" i="5"/>
  <c r="AB70" i="6" s="1"/>
  <c r="R63" i="5"/>
  <c r="AB71" i="6" s="1"/>
  <c r="R64" i="5"/>
  <c r="AB72" i="6" s="1"/>
  <c r="R65" i="5"/>
  <c r="AB73" i="6" s="1"/>
  <c r="R66" i="5"/>
  <c r="AB74" i="6" s="1"/>
  <c r="AD74" i="6" s="1"/>
  <c r="R67" i="5"/>
  <c r="AB75" i="6" s="1"/>
  <c r="AD75" i="6" s="1"/>
  <c r="R68" i="5"/>
  <c r="AB76" i="6" s="1"/>
  <c r="R69" i="5"/>
  <c r="AB77" i="6" s="1"/>
  <c r="R70" i="5"/>
  <c r="AB78" i="6" s="1"/>
  <c r="R71" i="5"/>
  <c r="AB79" i="6" s="1"/>
  <c r="R72" i="5"/>
  <c r="AB80" i="6" s="1"/>
  <c r="R73" i="5"/>
  <c r="AB81" i="6" s="1"/>
  <c r="R74" i="5"/>
  <c r="AB82" i="6" s="1"/>
  <c r="AD82" i="6" s="1"/>
  <c r="R75" i="5"/>
  <c r="AB83" i="6" s="1"/>
  <c r="R76" i="5"/>
  <c r="AB84" i="6" s="1"/>
  <c r="R77" i="5"/>
  <c r="AB85" i="6" s="1"/>
  <c r="R78" i="5"/>
  <c r="AB86" i="6" s="1"/>
  <c r="AD86" i="6" s="1"/>
  <c r="R79" i="5"/>
  <c r="AB87" i="6" s="1"/>
  <c r="R80" i="5"/>
  <c r="AB88" i="6" s="1"/>
  <c r="R81" i="5"/>
  <c r="AB89" i="6" s="1"/>
  <c r="R82" i="5"/>
  <c r="AB90" i="6" s="1"/>
  <c r="AD90" i="6" s="1"/>
  <c r="R83" i="5"/>
  <c r="AB91" i="6" s="1"/>
  <c r="AD91" i="6" s="1"/>
  <c r="R84" i="5"/>
  <c r="AB92" i="6" s="1"/>
  <c r="R85" i="5"/>
  <c r="AB93" i="6" s="1"/>
  <c r="R86" i="5"/>
  <c r="AB94" i="6" s="1"/>
  <c r="R87" i="5"/>
  <c r="AB95" i="6" s="1"/>
  <c r="R88" i="5"/>
  <c r="AB96" i="6" s="1"/>
  <c r="R89" i="5"/>
  <c r="AB97" i="6" s="1"/>
  <c r="R90" i="5"/>
  <c r="AB98" i="6" s="1"/>
  <c r="AD98" i="6" s="1"/>
  <c r="R91" i="5"/>
  <c r="AB99" i="6" s="1"/>
  <c r="R92" i="5"/>
  <c r="AB100" i="6" s="1"/>
  <c r="R93" i="5"/>
  <c r="R94" i="5"/>
  <c r="AB102" i="6" s="1"/>
  <c r="AD102" i="6" s="1"/>
  <c r="R95" i="5"/>
  <c r="AB103" i="6" s="1"/>
  <c r="R96" i="5"/>
  <c r="AB104" i="6" s="1"/>
  <c r="R97" i="5"/>
  <c r="AB105" i="6" s="1"/>
  <c r="R98" i="5"/>
  <c r="AB106" i="6" s="1"/>
  <c r="AD106" i="6" s="1"/>
  <c r="R99" i="5"/>
  <c r="AB107" i="6" s="1"/>
  <c r="AD107" i="6" s="1"/>
  <c r="R100" i="5"/>
  <c r="AB108" i="6" s="1"/>
  <c r="R101" i="5"/>
  <c r="AB109" i="6" s="1"/>
  <c r="R102" i="5"/>
  <c r="AB110" i="6" s="1"/>
  <c r="R103" i="5"/>
  <c r="AB111" i="6" s="1"/>
  <c r="R104" i="5"/>
  <c r="AB112" i="6" s="1"/>
  <c r="R105" i="5"/>
  <c r="AB113" i="6" s="1"/>
  <c r="R106" i="5"/>
  <c r="AB114" i="6" s="1"/>
  <c r="AD114" i="6" s="1"/>
  <c r="R107" i="5"/>
  <c r="AB115" i="6" s="1"/>
  <c r="R108" i="5"/>
  <c r="AB116" i="6" s="1"/>
  <c r="R109" i="5"/>
  <c r="AB117" i="6" s="1"/>
  <c r="R110" i="5"/>
  <c r="AB118" i="6" s="1"/>
  <c r="AD118" i="6" s="1"/>
  <c r="R111" i="5"/>
  <c r="AB119" i="6" s="1"/>
  <c r="R112" i="5"/>
  <c r="AB120" i="6" s="1"/>
  <c r="R113" i="5"/>
  <c r="AB121" i="6" s="1"/>
  <c r="R114" i="5"/>
  <c r="AB122" i="6" s="1"/>
  <c r="AD122" i="6" s="1"/>
  <c r="R115" i="5"/>
  <c r="AB123" i="6" s="1"/>
  <c r="AD123" i="6" s="1"/>
  <c r="R116" i="5"/>
  <c r="AB124" i="6" s="1"/>
  <c r="R117" i="5"/>
  <c r="AB125" i="6" s="1"/>
  <c r="R118" i="5"/>
  <c r="AB126" i="6" s="1"/>
  <c r="R119" i="5"/>
  <c r="AB127" i="6" s="1"/>
  <c r="R120" i="5"/>
  <c r="AB128" i="6" s="1"/>
  <c r="R121" i="5"/>
  <c r="AB129" i="6" s="1"/>
  <c r="AC129" i="6" s="1"/>
  <c r="AE129" i="6" s="1"/>
  <c r="R122" i="5"/>
  <c r="AB130" i="6" s="1"/>
  <c r="R123" i="5"/>
  <c r="AB131" i="6" s="1"/>
  <c r="R124" i="5"/>
  <c r="AB132" i="6" s="1"/>
  <c r="AC132" i="6" s="1"/>
  <c r="AE132" i="6" s="1"/>
  <c r="R125" i="5"/>
  <c r="AB133" i="6" s="1"/>
  <c r="R126" i="5"/>
  <c r="AB134" i="6" s="1"/>
  <c r="R127" i="5"/>
  <c r="AB135" i="6" s="1"/>
  <c r="R128" i="5"/>
  <c r="AB136" i="6" s="1"/>
  <c r="R129" i="5"/>
  <c r="AB137" i="6" s="1"/>
  <c r="AC137" i="6" s="1"/>
  <c r="AE137" i="6" s="1"/>
  <c r="R130" i="5"/>
  <c r="AB138" i="6" s="1"/>
  <c r="R131" i="5"/>
  <c r="AB139" i="6" s="1"/>
  <c r="R132" i="5"/>
  <c r="AB140" i="6" s="1"/>
  <c r="AC140" i="6" s="1"/>
  <c r="AE140" i="6" s="1"/>
  <c r="R133" i="5"/>
  <c r="AB141" i="6" s="1"/>
  <c r="R134" i="5"/>
  <c r="AB142" i="6" s="1"/>
  <c r="R135" i="5"/>
  <c r="AB143" i="6" s="1"/>
  <c r="R136" i="5"/>
  <c r="AB144" i="6" s="1"/>
  <c r="R137" i="5"/>
  <c r="AB145" i="6" s="1"/>
  <c r="R138" i="5"/>
  <c r="AB146" i="6" s="1"/>
  <c r="AD146" i="6" s="1"/>
  <c r="R139" i="5"/>
  <c r="AB147" i="6" s="1"/>
  <c r="R140" i="5"/>
  <c r="AB148" i="6" s="1"/>
  <c r="R141" i="5"/>
  <c r="AB149" i="6" s="1"/>
  <c r="R142" i="5"/>
  <c r="AB150" i="6" s="1"/>
  <c r="AD150" i="6" s="1"/>
  <c r="R143" i="5"/>
  <c r="AB151" i="6" s="1"/>
  <c r="R144" i="5"/>
  <c r="AB152" i="6" s="1"/>
  <c r="R145" i="5"/>
  <c r="AB153" i="6" s="1"/>
  <c r="R146" i="5"/>
  <c r="AB154" i="6" s="1"/>
  <c r="AD154" i="6" s="1"/>
  <c r="R147" i="5"/>
  <c r="AB155" i="6" s="1"/>
  <c r="AD155" i="6" s="1"/>
  <c r="R148" i="5"/>
  <c r="AB156" i="6" s="1"/>
  <c r="R149" i="5"/>
  <c r="AB157" i="6" s="1"/>
  <c r="R150" i="5"/>
  <c r="AB158" i="6" s="1"/>
  <c r="R151" i="5"/>
  <c r="AB159" i="6" s="1"/>
  <c r="R152" i="5"/>
  <c r="AB160" i="6" s="1"/>
  <c r="R153" i="5"/>
  <c r="AB161" i="6" s="1"/>
  <c r="R154" i="5"/>
  <c r="AB162" i="6" s="1"/>
  <c r="AD162" i="6" s="1"/>
  <c r="R155" i="5"/>
  <c r="AB163" i="6" s="1"/>
  <c r="R156" i="5"/>
  <c r="AB164" i="6" s="1"/>
  <c r="AC164" i="6" s="1"/>
  <c r="AE164" i="6" s="1"/>
  <c r="R157" i="5"/>
  <c r="R158" i="5"/>
  <c r="AB166" i="6" s="1"/>
  <c r="AD166" i="6" s="1"/>
  <c r="R159" i="5"/>
  <c r="AB167" i="6" s="1"/>
  <c r="R160" i="5"/>
  <c r="AB168" i="6" s="1"/>
  <c r="R161" i="5"/>
  <c r="AB169" i="6" s="1"/>
  <c r="R162" i="5"/>
  <c r="AB170" i="6" s="1"/>
  <c r="AD170" i="6" s="1"/>
  <c r="R163" i="5"/>
  <c r="AB171" i="6" s="1"/>
  <c r="AD171" i="6" s="1"/>
  <c r="R164" i="5"/>
  <c r="AB172" i="6" s="1"/>
  <c r="R165" i="5"/>
  <c r="AB173" i="6" s="1"/>
  <c r="R166" i="5"/>
  <c r="AB174" i="6" s="1"/>
  <c r="R167" i="5"/>
  <c r="AB175" i="6" s="1"/>
  <c r="R168" i="5"/>
  <c r="AB176" i="6" s="1"/>
  <c r="R169" i="5"/>
  <c r="AB177" i="6" s="1"/>
  <c r="R170" i="5"/>
  <c r="AB178" i="6" s="1"/>
  <c r="AD178" i="6" s="1"/>
  <c r="R171" i="5"/>
  <c r="AB179" i="6" s="1"/>
  <c r="R172" i="5"/>
  <c r="AB180" i="6" s="1"/>
  <c r="R173" i="5"/>
  <c r="AB181" i="6" s="1"/>
  <c r="R174" i="5"/>
  <c r="AB182" i="6" s="1"/>
  <c r="AD182" i="6" s="1"/>
  <c r="R175" i="5"/>
  <c r="AB183" i="6" s="1"/>
  <c r="R176" i="5"/>
  <c r="AB184" i="6" s="1"/>
  <c r="R177" i="5"/>
  <c r="AB185" i="6" s="1"/>
  <c r="R178" i="5"/>
  <c r="AB186" i="6" s="1"/>
  <c r="AD186" i="6" s="1"/>
  <c r="R179" i="5"/>
  <c r="AB187" i="6" s="1"/>
  <c r="AD187" i="6" s="1"/>
  <c r="R180" i="5"/>
  <c r="AB188" i="6" s="1"/>
  <c r="R181" i="5"/>
  <c r="AB189" i="6" s="1"/>
  <c r="R182" i="5"/>
  <c r="AB190" i="6" s="1"/>
  <c r="R183" i="5"/>
  <c r="AB191" i="6" s="1"/>
  <c r="R184" i="5"/>
  <c r="AB192" i="6" s="1"/>
  <c r="R185" i="5"/>
  <c r="AB193" i="6" s="1"/>
  <c r="R186" i="5"/>
  <c r="AB194" i="6" s="1"/>
  <c r="AD194" i="6" s="1"/>
  <c r="R187" i="5"/>
  <c r="AB195" i="6" s="1"/>
  <c r="R188" i="5"/>
  <c r="AB196" i="6" s="1"/>
  <c r="R189" i="5"/>
  <c r="AB197" i="6" s="1"/>
  <c r="R190" i="5"/>
  <c r="AB198" i="6" s="1"/>
  <c r="AD198" i="6" s="1"/>
  <c r="R191" i="5"/>
  <c r="AB199" i="6" s="1"/>
  <c r="R192" i="5"/>
  <c r="AB200" i="6" s="1"/>
  <c r="R193" i="5"/>
  <c r="AB201" i="6" s="1"/>
  <c r="R194" i="5"/>
  <c r="AB202" i="6" s="1"/>
  <c r="AD202" i="6" s="1"/>
  <c r="R195" i="5"/>
  <c r="AB203" i="6" s="1"/>
  <c r="AD203" i="6" s="1"/>
  <c r="R196" i="5"/>
  <c r="AB204" i="6" s="1"/>
  <c r="R197" i="5"/>
  <c r="AB205" i="6" s="1"/>
  <c r="R198" i="5"/>
  <c r="AB206" i="6" s="1"/>
  <c r="R199" i="5"/>
  <c r="AB207" i="6" s="1"/>
  <c r="R200" i="5"/>
  <c r="AB208" i="6" s="1"/>
  <c r="R201" i="5"/>
  <c r="AB209" i="6" s="1"/>
  <c r="R202" i="5"/>
  <c r="AB210" i="6" s="1"/>
  <c r="AD210" i="6" s="1"/>
  <c r="R203" i="5"/>
  <c r="AB211" i="6" s="1"/>
  <c r="R204" i="5"/>
  <c r="AB212" i="6" s="1"/>
  <c r="R205" i="5"/>
  <c r="AB213" i="6" s="1"/>
  <c r="R206" i="5"/>
  <c r="AB214" i="6" s="1"/>
  <c r="AD214" i="6" s="1"/>
  <c r="R207" i="5"/>
  <c r="AB215" i="6" s="1"/>
  <c r="R208" i="5"/>
  <c r="AB216" i="6" s="1"/>
  <c r="R209" i="5"/>
  <c r="AB217" i="6" s="1"/>
  <c r="R210" i="5"/>
  <c r="AB218" i="6" s="1"/>
  <c r="AD218" i="6" s="1"/>
  <c r="R211" i="5"/>
  <c r="AB219" i="6" s="1"/>
  <c r="AD219" i="6" s="1"/>
  <c r="R212" i="5"/>
  <c r="AB220" i="6" s="1"/>
  <c r="R213" i="5"/>
  <c r="AB221" i="6" s="1"/>
  <c r="R214" i="5"/>
  <c r="AB222" i="6" s="1"/>
  <c r="R215" i="5"/>
  <c r="AB223" i="6" s="1"/>
  <c r="R216" i="5"/>
  <c r="AB224" i="6" s="1"/>
  <c r="R217" i="5"/>
  <c r="AB225" i="6" s="1"/>
  <c r="R218" i="5"/>
  <c r="AB226" i="6" s="1"/>
  <c r="AD226" i="6" s="1"/>
  <c r="R219" i="5"/>
  <c r="AB227" i="6" s="1"/>
  <c r="R220" i="5"/>
  <c r="AB228" i="6" s="1"/>
  <c r="R221" i="5"/>
  <c r="R222" i="5"/>
  <c r="AB230" i="6" s="1"/>
  <c r="AD230" i="6" s="1"/>
  <c r="R223" i="5"/>
  <c r="AB231" i="6" s="1"/>
  <c r="R224" i="5"/>
  <c r="AB232" i="6" s="1"/>
  <c r="R225" i="5"/>
  <c r="AB233" i="6" s="1"/>
  <c r="R226" i="5"/>
  <c r="AB234" i="6" s="1"/>
  <c r="AD234" i="6" s="1"/>
  <c r="R227" i="5"/>
  <c r="AB235" i="6" s="1"/>
  <c r="AD235" i="6" s="1"/>
  <c r="R228" i="5"/>
  <c r="AB236" i="6" s="1"/>
  <c r="R229" i="5"/>
  <c r="AB237" i="6" s="1"/>
  <c r="R230" i="5"/>
  <c r="AB238" i="6" s="1"/>
  <c r="R231" i="5"/>
  <c r="AB239" i="6" s="1"/>
  <c r="R232" i="5"/>
  <c r="AB240" i="6" s="1"/>
  <c r="R233" i="5"/>
  <c r="AB241" i="6" s="1"/>
  <c r="R234" i="5"/>
  <c r="AB242" i="6" s="1"/>
  <c r="AD242" i="6" s="1"/>
  <c r="R235" i="5"/>
  <c r="AB243" i="6" s="1"/>
  <c r="R236" i="5"/>
  <c r="AB244" i="6" s="1"/>
  <c r="R237" i="5"/>
  <c r="AB245" i="6" s="1"/>
  <c r="R238" i="5"/>
  <c r="AB246" i="6" s="1"/>
  <c r="AD246" i="6" s="1"/>
  <c r="R239" i="5"/>
  <c r="AB247" i="6" s="1"/>
  <c r="R240" i="5"/>
  <c r="AB248" i="6" s="1"/>
  <c r="R241" i="5"/>
  <c r="AB249" i="6" s="1"/>
  <c r="R242" i="5"/>
  <c r="AB250" i="6" s="1"/>
  <c r="AD250" i="6" s="1"/>
  <c r="R243" i="5"/>
  <c r="AB251" i="6" s="1"/>
  <c r="AD251" i="6" s="1"/>
  <c r="R244" i="5"/>
  <c r="AB252" i="6" s="1"/>
  <c r="R245" i="5"/>
  <c r="AB253" i="6" s="1"/>
  <c r="R246" i="5"/>
  <c r="AB254" i="6" s="1"/>
  <c r="R247" i="5"/>
  <c r="AB255" i="6" s="1"/>
  <c r="R248" i="5"/>
  <c r="AB256" i="6" s="1"/>
  <c r="R249" i="5"/>
  <c r="AB257" i="6" s="1"/>
  <c r="R250" i="5"/>
  <c r="AB258" i="6" s="1"/>
  <c r="AD258" i="6" s="1"/>
  <c r="R251" i="5"/>
  <c r="AB259" i="6" s="1"/>
  <c r="R252" i="5"/>
  <c r="AB260" i="6" s="1"/>
  <c r="R253" i="5"/>
  <c r="AB261" i="6" s="1"/>
  <c r="R254" i="5"/>
  <c r="AB262" i="6" s="1"/>
  <c r="AD262" i="6" s="1"/>
  <c r="R255" i="5"/>
  <c r="AB263" i="6" s="1"/>
  <c r="AD263" i="6" s="1"/>
  <c r="R256" i="5"/>
  <c r="AB264" i="6" s="1"/>
  <c r="AD264" i="6" s="1"/>
  <c r="R257" i="5"/>
  <c r="AB265" i="6" s="1"/>
  <c r="R258" i="5"/>
  <c r="AB266" i="6" s="1"/>
  <c r="R259" i="5"/>
  <c r="AB267" i="6" s="1"/>
  <c r="R260" i="5"/>
  <c r="AB268" i="6" s="1"/>
  <c r="R261" i="5"/>
  <c r="AB269" i="6" s="1"/>
  <c r="R262" i="5"/>
  <c r="AB270" i="6" s="1"/>
  <c r="R263" i="5"/>
  <c r="AB271" i="6" s="1"/>
  <c r="R264" i="5"/>
  <c r="AB272" i="6" s="1"/>
  <c r="R265" i="5"/>
  <c r="AB273" i="6" s="1"/>
  <c r="R266" i="5"/>
  <c r="AB274" i="6" s="1"/>
  <c r="R267" i="5"/>
  <c r="AB275" i="6" s="1"/>
  <c r="R268" i="5"/>
  <c r="AB276" i="6" s="1"/>
  <c r="R269" i="5"/>
  <c r="AB277" i="6" s="1"/>
  <c r="R270" i="5"/>
  <c r="AB278" i="6" s="1"/>
  <c r="R271" i="5"/>
  <c r="AB279" i="6" s="1"/>
  <c r="R272" i="5"/>
  <c r="AB280" i="6" s="1"/>
  <c r="R273" i="5"/>
  <c r="AB281" i="6" s="1"/>
  <c r="R274" i="5"/>
  <c r="AB282" i="6" s="1"/>
  <c r="AD282" i="6" s="1"/>
  <c r="R275" i="5"/>
  <c r="AB283" i="6" s="1"/>
  <c r="R276" i="5"/>
  <c r="AB284" i="6" s="1"/>
  <c r="R277" i="5"/>
  <c r="AB285" i="6" s="1"/>
  <c r="R278" i="5"/>
  <c r="AB286" i="6" s="1"/>
  <c r="R279" i="5"/>
  <c r="AB287" i="6" s="1"/>
  <c r="AD287" i="6" s="1"/>
  <c r="R280" i="5"/>
  <c r="AB288" i="6" s="1"/>
  <c r="AD288" i="6" s="1"/>
  <c r="R281" i="5"/>
  <c r="AB289" i="6" s="1"/>
  <c r="R282" i="5"/>
  <c r="AB290" i="6" s="1"/>
  <c r="R283" i="5"/>
  <c r="AB291" i="6" s="1"/>
  <c r="R284" i="5"/>
  <c r="AB292" i="6" s="1"/>
  <c r="R285" i="5"/>
  <c r="R286" i="5"/>
  <c r="AB294" i="6" s="1"/>
  <c r="R287" i="5"/>
  <c r="AB295" i="6" s="1"/>
  <c r="R288" i="5"/>
  <c r="AB296" i="6" s="1"/>
  <c r="R289" i="5"/>
  <c r="AB297" i="6" s="1"/>
  <c r="R290" i="5"/>
  <c r="AB298" i="6" s="1"/>
  <c r="AD298" i="6" s="1"/>
  <c r="R291" i="5"/>
  <c r="AB299" i="6" s="1"/>
  <c r="AD299" i="6" s="1"/>
  <c r="R292" i="5"/>
  <c r="AB300" i="6" s="1"/>
  <c r="R293" i="5"/>
  <c r="AB301" i="6" s="1"/>
  <c r="AD301" i="6" s="1"/>
  <c r="R294" i="5"/>
  <c r="AB302" i="6" s="1"/>
  <c r="R295" i="5"/>
  <c r="AB303" i="6" s="1"/>
  <c r="R296" i="5"/>
  <c r="AB304" i="6" s="1"/>
  <c r="R297" i="5"/>
  <c r="AB305" i="6" s="1"/>
  <c r="R298" i="5"/>
  <c r="AB306" i="6" s="1"/>
  <c r="R299" i="5"/>
  <c r="AB307" i="6" s="1"/>
  <c r="R300" i="5"/>
  <c r="AB308" i="6" s="1"/>
  <c r="R301" i="5"/>
  <c r="AB309" i="6" s="1"/>
  <c r="AD309" i="6" s="1"/>
  <c r="R302" i="5"/>
  <c r="AB310" i="6" s="1"/>
  <c r="R303" i="5"/>
  <c r="AB311" i="6" s="1"/>
  <c r="R304" i="5"/>
  <c r="AB312" i="6" s="1"/>
  <c r="R305" i="5"/>
  <c r="AB313" i="6" s="1"/>
  <c r="R306" i="5"/>
  <c r="AB314" i="6" s="1"/>
  <c r="AD314" i="6" s="1"/>
  <c r="R307" i="5"/>
  <c r="AB315" i="6" s="1"/>
  <c r="R308" i="5"/>
  <c r="AB316" i="6" s="1"/>
  <c r="R309" i="5"/>
  <c r="AB317" i="6" s="1"/>
  <c r="R310" i="5"/>
  <c r="AB318" i="6" s="1"/>
  <c r="R311" i="5"/>
  <c r="AB319" i="6" s="1"/>
  <c r="AD319" i="6" s="1"/>
  <c r="R312" i="5"/>
  <c r="AB320" i="6" s="1"/>
  <c r="AD320" i="6" s="1"/>
  <c r="R313" i="5"/>
  <c r="AB321" i="6" s="1"/>
  <c r="R314" i="5"/>
  <c r="AB322" i="6" s="1"/>
  <c r="R315" i="5"/>
  <c r="AB323" i="6" s="1"/>
  <c r="R316" i="5"/>
  <c r="AB324" i="6" s="1"/>
  <c r="R317" i="5"/>
  <c r="AB325" i="6" s="1"/>
  <c r="AD325" i="6" s="1"/>
  <c r="R318" i="5"/>
  <c r="AB326" i="6" s="1"/>
  <c r="R319" i="5"/>
  <c r="AB327" i="6" s="1"/>
  <c r="R320" i="5"/>
  <c r="AB328" i="6" s="1"/>
  <c r="R321" i="5"/>
  <c r="AB329" i="6" s="1"/>
  <c r="R322" i="5"/>
  <c r="AB330" i="6" s="1"/>
  <c r="AD330" i="6" s="1"/>
  <c r="R323" i="5"/>
  <c r="AB331" i="6" s="1"/>
  <c r="AD331" i="6" s="1"/>
  <c r="R324" i="5"/>
  <c r="AB332" i="6" s="1"/>
  <c r="R325" i="5"/>
  <c r="AB333" i="6" s="1"/>
  <c r="AD333" i="6" s="1"/>
  <c r="R326" i="5"/>
  <c r="AB334" i="6" s="1"/>
  <c r="R327" i="5"/>
  <c r="AB335" i="6" s="1"/>
  <c r="R328" i="5"/>
  <c r="AB336" i="6" s="1"/>
  <c r="R329" i="5"/>
  <c r="AB337" i="6" s="1"/>
  <c r="R330" i="5"/>
  <c r="AB338" i="6" s="1"/>
  <c r="R331" i="5"/>
  <c r="AB339" i="6" s="1"/>
  <c r="R332" i="5"/>
  <c r="AB340" i="6" s="1"/>
  <c r="R333" i="5"/>
  <c r="AB341" i="6" s="1"/>
  <c r="AD341" i="6" s="1"/>
  <c r="R334" i="5"/>
  <c r="AB342" i="6" s="1"/>
  <c r="R335" i="5"/>
  <c r="AB343" i="6" s="1"/>
  <c r="R336" i="5"/>
  <c r="AB344" i="6" s="1"/>
  <c r="R337" i="5"/>
  <c r="AB345" i="6" s="1"/>
  <c r="R338" i="5"/>
  <c r="AB346" i="6" s="1"/>
  <c r="AD346" i="6" s="1"/>
  <c r="R339" i="5"/>
  <c r="AB347" i="6" s="1"/>
  <c r="R340" i="5"/>
  <c r="AB348" i="6" s="1"/>
  <c r="R341" i="5"/>
  <c r="AB349" i="6" s="1"/>
  <c r="R342" i="5"/>
  <c r="AB350" i="6" s="1"/>
  <c r="R343" i="5"/>
  <c r="AB351" i="6" s="1"/>
  <c r="AD351" i="6" s="1"/>
  <c r="R3" i="5"/>
  <c r="AB11" i="6" s="1"/>
  <c r="AD11" i="6" s="1"/>
  <c r="AF355" i="6" l="1"/>
  <c r="AP353" i="6"/>
  <c r="AP354" i="6"/>
  <c r="AC141" i="6"/>
  <c r="AE141" i="6" s="1"/>
  <c r="AC133" i="6"/>
  <c r="AE133" i="6" s="1"/>
  <c r="AD323" i="6"/>
  <c r="AD350" i="6"/>
  <c r="AD318" i="6"/>
  <c r="AD286" i="6"/>
  <c r="AD254" i="6"/>
  <c r="AD238" i="6"/>
  <c r="AD222" i="6"/>
  <c r="AD206" i="6"/>
  <c r="AD190" i="6"/>
  <c r="AD174" i="6"/>
  <c r="AD158" i="6"/>
  <c r="AD142" i="6"/>
  <c r="AD134" i="6"/>
  <c r="AC134" i="6"/>
  <c r="AE134" i="6" s="1"/>
  <c r="AD126" i="6"/>
  <c r="AD110" i="6"/>
  <c r="AD94" i="6"/>
  <c r="AD78" i="6"/>
  <c r="AD70" i="6"/>
  <c r="AD62" i="6"/>
  <c r="AD54" i="6"/>
  <c r="AD46" i="6"/>
  <c r="AD38" i="6"/>
  <c r="AD30" i="6"/>
  <c r="AD22" i="6"/>
  <c r="AD14" i="6"/>
  <c r="AD227" i="6"/>
  <c r="AD211" i="6"/>
  <c r="AD195" i="6"/>
  <c r="AD139" i="6"/>
  <c r="AC139" i="6"/>
  <c r="AE139" i="6" s="1"/>
  <c r="AD131" i="6"/>
  <c r="AC131" i="6"/>
  <c r="AE131" i="6" s="1"/>
  <c r="AD115" i="6"/>
  <c r="AD99" i="6"/>
  <c r="AD83" i="6"/>
  <c r="AD67" i="6"/>
  <c r="AD51" i="6"/>
  <c r="AD35" i="6"/>
  <c r="AD307" i="6"/>
  <c r="AD291" i="6"/>
  <c r="AD275" i="6"/>
  <c r="AD259" i="6"/>
  <c r="AD243" i="6"/>
  <c r="AD179" i="6"/>
  <c r="AD163" i="6"/>
  <c r="AD147" i="6"/>
  <c r="AD338" i="6"/>
  <c r="AD322" i="6"/>
  <c r="AD306" i="6"/>
  <c r="AD290" i="6"/>
  <c r="AD274" i="6"/>
  <c r="AD266" i="6"/>
  <c r="AD138" i="6"/>
  <c r="AC138" i="6"/>
  <c r="AE138" i="6" s="1"/>
  <c r="AD130" i="6"/>
  <c r="AC130" i="6"/>
  <c r="AE130" i="6" s="1"/>
  <c r="AD339" i="6"/>
  <c r="AD296" i="6"/>
  <c r="AD232" i="6"/>
  <c r="AD200" i="6"/>
  <c r="AC176" i="6"/>
  <c r="AE176" i="6" s="1"/>
  <c r="AC160" i="6"/>
  <c r="AE160" i="6" s="1"/>
  <c r="AD152" i="6"/>
  <c r="AC152" i="6"/>
  <c r="AE152" i="6" s="1"/>
  <c r="AD136" i="6"/>
  <c r="AC136" i="6"/>
  <c r="AE136" i="6" s="1"/>
  <c r="AD104" i="6"/>
  <c r="AD88" i="6"/>
  <c r="AD72" i="6"/>
  <c r="AD56" i="6"/>
  <c r="AD40" i="6"/>
  <c r="AD24" i="6"/>
  <c r="AD328" i="6"/>
  <c r="AD248" i="6"/>
  <c r="AD216" i="6"/>
  <c r="AD184" i="6"/>
  <c r="AD168" i="6"/>
  <c r="AC168" i="6"/>
  <c r="AE168" i="6" s="1"/>
  <c r="AD120" i="6"/>
  <c r="AD343" i="6"/>
  <c r="AD327" i="6"/>
  <c r="AD311" i="6"/>
  <c r="AD295" i="6"/>
  <c r="AD279" i="6"/>
  <c r="AC175" i="6"/>
  <c r="AE175" i="6" s="1"/>
  <c r="AC167" i="6"/>
  <c r="AE167" i="6" s="1"/>
  <c r="AC159" i="6"/>
  <c r="AE159" i="6" s="1"/>
  <c r="AC151" i="6"/>
  <c r="AE151" i="6" s="1"/>
  <c r="AC143" i="6"/>
  <c r="AE143" i="6" s="1"/>
  <c r="AC135" i="6"/>
  <c r="AE135" i="6" s="1"/>
  <c r="AC157" i="6"/>
  <c r="AE157" i="6" s="1"/>
  <c r="AD205" i="6"/>
  <c r="AD141" i="6"/>
  <c r="AD77" i="6"/>
  <c r="AD189" i="6"/>
  <c r="AD125" i="6"/>
  <c r="AD61" i="6"/>
  <c r="AC173" i="6"/>
  <c r="AE173" i="6" s="1"/>
  <c r="AC149" i="6"/>
  <c r="AE149" i="6" s="1"/>
  <c r="AD173" i="6"/>
  <c r="AD109" i="6"/>
  <c r="AD45" i="6"/>
  <c r="AD221" i="6"/>
  <c r="AD157" i="6"/>
  <c r="AD93" i="6"/>
  <c r="AD29" i="6"/>
  <c r="AD332" i="6"/>
  <c r="AD348" i="6"/>
  <c r="AD321" i="6"/>
  <c r="AD297" i="6"/>
  <c r="AD265" i="6"/>
  <c r="AD233" i="6"/>
  <c r="AD201" i="6"/>
  <c r="AD169" i="6"/>
  <c r="AD137" i="6"/>
  <c r="AD105" i="6"/>
  <c r="AD73" i="6"/>
  <c r="AD65" i="6"/>
  <c r="AD57" i="6"/>
  <c r="AD25" i="6"/>
  <c r="AD17" i="6"/>
  <c r="AD340" i="6"/>
  <c r="AD329" i="6"/>
  <c r="AD289" i="6"/>
  <c r="AD257" i="6"/>
  <c r="AD225" i="6"/>
  <c r="AD193" i="6"/>
  <c r="AD161" i="6"/>
  <c r="AD129" i="6"/>
  <c r="AD97" i="6"/>
  <c r="AD49" i="6"/>
  <c r="AD345" i="6"/>
  <c r="AD313" i="6"/>
  <c r="AD281" i="6"/>
  <c r="AD249" i="6"/>
  <c r="AD217" i="6"/>
  <c r="AD185" i="6"/>
  <c r="AD145" i="6"/>
  <c r="AD113" i="6"/>
  <c r="AD81" i="6"/>
  <c r="AD41" i="6"/>
  <c r="AD342" i="6"/>
  <c r="AD326" i="6"/>
  <c r="AD310" i="6"/>
  <c r="AD294" i="6"/>
  <c r="AD278" i="6"/>
  <c r="AD270" i="6"/>
  <c r="AD337" i="6"/>
  <c r="AD305" i="6"/>
  <c r="AD273" i="6"/>
  <c r="AD241" i="6"/>
  <c r="AD209" i="6"/>
  <c r="AD177" i="6"/>
  <c r="AD153" i="6"/>
  <c r="AD121" i="6"/>
  <c r="AD89" i="6"/>
  <c r="AD33" i="6"/>
  <c r="AD334" i="6"/>
  <c r="AD302" i="6"/>
  <c r="AD324" i="6"/>
  <c r="AD316" i="6"/>
  <c r="AD308" i="6"/>
  <c r="AD300" i="6"/>
  <c r="AD292" i="6"/>
  <c r="AD284" i="6"/>
  <c r="AD276" i="6"/>
  <c r="AD268" i="6"/>
  <c r="AD260" i="6"/>
  <c r="AD252" i="6"/>
  <c r="AD244" i="6"/>
  <c r="AD236" i="6"/>
  <c r="AD228" i="6"/>
  <c r="AD220" i="6"/>
  <c r="AD212" i="6"/>
  <c r="AD204" i="6"/>
  <c r="AD196" i="6"/>
  <c r="AD188" i="6"/>
  <c r="AD180" i="6"/>
  <c r="AD172" i="6"/>
  <c r="AC172" i="6"/>
  <c r="AE172" i="6" s="1"/>
  <c r="AD164" i="6"/>
  <c r="AD156" i="6"/>
  <c r="AC156" i="6"/>
  <c r="AE156" i="6" s="1"/>
  <c r="AD148" i="6"/>
  <c r="AC148" i="6"/>
  <c r="AE148" i="6" s="1"/>
  <c r="AD140" i="6"/>
  <c r="AD132" i="6"/>
  <c r="AD124" i="6"/>
  <c r="AD116" i="6"/>
  <c r="AD108" i="6"/>
  <c r="AD100" i="6"/>
  <c r="AD92" i="6"/>
  <c r="AD84" i="6"/>
  <c r="AD76" i="6"/>
  <c r="AD68" i="6"/>
  <c r="AD60" i="6"/>
  <c r="AD52" i="6"/>
  <c r="AD44" i="6"/>
  <c r="AD36" i="6"/>
  <c r="AD28" i="6"/>
  <c r="AD20" i="6"/>
  <c r="AD12" i="6"/>
  <c r="AD336" i="6"/>
  <c r="AD304" i="6"/>
  <c r="AD272" i="6"/>
  <c r="AD256" i="6"/>
  <c r="AD240" i="6"/>
  <c r="AD224" i="6"/>
  <c r="AD208" i="6"/>
  <c r="AD192" i="6"/>
  <c r="AD176" i="6"/>
  <c r="AD160" i="6"/>
  <c r="AD144" i="6"/>
  <c r="AD128" i="6"/>
  <c r="AD112" i="6"/>
  <c r="AD96" i="6"/>
  <c r="AD80" i="6"/>
  <c r="AD64" i="6"/>
  <c r="AD48" i="6"/>
  <c r="AD32" i="6"/>
  <c r="AC165" i="6"/>
  <c r="AE165" i="6" s="1"/>
  <c r="AC150" i="6"/>
  <c r="AE150" i="6" s="1"/>
  <c r="AD335" i="6"/>
  <c r="AD303" i="6"/>
  <c r="AD271" i="6"/>
  <c r="AD255" i="6"/>
  <c r="AD239" i="6"/>
  <c r="AD223" i="6"/>
  <c r="AD207" i="6"/>
  <c r="AD191" i="6"/>
  <c r="AD175" i="6"/>
  <c r="AD159" i="6"/>
  <c r="AD143" i="6"/>
  <c r="AD127" i="6"/>
  <c r="AD111" i="6"/>
  <c r="AD95" i="6"/>
  <c r="AD79" i="6"/>
  <c r="AD63" i="6"/>
  <c r="AD47" i="6"/>
  <c r="AD31" i="6"/>
  <c r="AD349" i="6"/>
  <c r="AD317" i="6"/>
  <c r="AD285" i="6"/>
  <c r="AD269" i="6"/>
  <c r="AD253" i="6"/>
  <c r="AD237" i="6"/>
  <c r="AD347" i="6"/>
  <c r="AD315" i="6"/>
  <c r="AD283" i="6"/>
  <c r="AD267" i="6"/>
  <c r="AC144" i="6"/>
  <c r="AE144" i="6" s="1"/>
  <c r="AD15" i="6"/>
  <c r="AD344" i="6"/>
  <c r="AD312" i="6"/>
  <c r="AD280" i="6"/>
  <c r="AD247" i="6"/>
  <c r="AD231" i="6"/>
  <c r="AD215" i="6"/>
  <c r="AD199" i="6"/>
  <c r="AD183" i="6"/>
  <c r="AD167" i="6"/>
  <c r="AD151" i="6"/>
  <c r="AD135" i="6"/>
  <c r="AD119" i="6"/>
  <c r="AD103" i="6"/>
  <c r="AD87" i="6"/>
  <c r="AD71" i="6"/>
  <c r="AD55" i="6"/>
  <c r="AD39" i="6"/>
  <c r="AD23" i="6"/>
  <c r="AD13" i="6"/>
  <c r="AD277" i="6"/>
  <c r="AD261" i="6"/>
  <c r="AD245" i="6"/>
  <c r="AD229" i="6"/>
  <c r="AD213" i="6"/>
  <c r="AD197" i="6"/>
  <c r="AD181" i="6"/>
  <c r="AD165" i="6"/>
  <c r="AD149" i="6"/>
  <c r="AD133" i="6"/>
  <c r="AD117" i="6"/>
  <c r="AD101" i="6"/>
  <c r="AD85" i="6"/>
  <c r="AD69" i="6"/>
  <c r="AD53" i="6"/>
  <c r="AD37" i="6"/>
  <c r="AD21" i="6"/>
  <c r="AC158" i="6"/>
  <c r="AE158" i="6" s="1"/>
  <c r="AC145" i="6"/>
  <c r="AE145" i="6" s="1"/>
  <c r="AC169" i="6"/>
  <c r="AE169" i="6" s="1"/>
  <c r="AC153" i="6"/>
  <c r="AE153" i="6" s="1"/>
  <c r="AC177" i="6"/>
  <c r="AE177" i="6" s="1"/>
  <c r="AC161" i="6"/>
  <c r="AE161" i="6" s="1"/>
  <c r="AC162" i="6"/>
  <c r="AE162" i="6" s="1"/>
  <c r="AC146" i="6"/>
  <c r="AE146" i="6" s="1"/>
  <c r="AC154" i="6"/>
  <c r="AE154" i="6" s="1"/>
  <c r="AC147" i="6"/>
  <c r="AE147" i="6" s="1"/>
  <c r="AC170" i="6"/>
  <c r="AE170" i="6" s="1"/>
  <c r="AC155" i="6"/>
  <c r="AE155" i="6" s="1"/>
  <c r="AC142" i="6"/>
  <c r="AE142" i="6" s="1"/>
  <c r="AC166" i="6"/>
  <c r="AE166" i="6" s="1"/>
  <c r="AC174" i="6"/>
  <c r="AE174" i="6" s="1"/>
  <c r="AC171" i="6"/>
  <c r="AE171" i="6" s="1"/>
  <c r="AC163" i="6"/>
  <c r="AE163" i="6" s="1"/>
  <c r="AC324" i="6"/>
  <c r="AE324" i="6" s="1"/>
  <c r="AC284" i="6"/>
  <c r="AE284" i="6" s="1"/>
  <c r="AC244" i="6"/>
  <c r="AE244" i="6" s="1"/>
  <c r="AC212" i="6"/>
  <c r="AE212" i="6" s="1"/>
  <c r="AC188" i="6"/>
  <c r="AE188" i="6" s="1"/>
  <c r="AC100" i="6"/>
  <c r="AE100" i="6" s="1"/>
  <c r="AC44" i="6"/>
  <c r="AE44" i="6" s="1"/>
  <c r="AC307" i="6"/>
  <c r="AE307" i="6" s="1"/>
  <c r="AC259" i="6"/>
  <c r="AE259" i="6" s="1"/>
  <c r="AC211" i="6"/>
  <c r="AE211" i="6" s="1"/>
  <c r="AC115" i="6"/>
  <c r="AE115" i="6" s="1"/>
  <c r="AC67" i="6"/>
  <c r="AE67" i="6" s="1"/>
  <c r="AC19" i="6"/>
  <c r="AE19" i="6" s="1"/>
  <c r="AC346" i="6"/>
  <c r="AE346" i="6" s="1"/>
  <c r="AC338" i="6"/>
  <c r="AE338" i="6" s="1"/>
  <c r="AC330" i="6"/>
  <c r="AE330" i="6" s="1"/>
  <c r="AC322" i="6"/>
  <c r="AE322" i="6" s="1"/>
  <c r="AC314" i="6"/>
  <c r="AE314" i="6" s="1"/>
  <c r="AC306" i="6"/>
  <c r="AE306" i="6" s="1"/>
  <c r="AC298" i="6"/>
  <c r="AE298" i="6" s="1"/>
  <c r="AC290" i="6"/>
  <c r="AE290" i="6" s="1"/>
  <c r="AC282" i="6"/>
  <c r="AE282" i="6" s="1"/>
  <c r="AC274" i="6"/>
  <c r="AE274" i="6" s="1"/>
  <c r="AC266" i="6"/>
  <c r="AE266" i="6" s="1"/>
  <c r="AC258" i="6"/>
  <c r="AE258" i="6" s="1"/>
  <c r="AC250" i="6"/>
  <c r="AE250" i="6" s="1"/>
  <c r="AC242" i="6"/>
  <c r="AE242" i="6" s="1"/>
  <c r="AC234" i="6"/>
  <c r="AE234" i="6" s="1"/>
  <c r="AC226" i="6"/>
  <c r="AE226" i="6" s="1"/>
  <c r="AC218" i="6"/>
  <c r="AE218" i="6" s="1"/>
  <c r="AC210" i="6"/>
  <c r="AE210" i="6" s="1"/>
  <c r="AC202" i="6"/>
  <c r="AE202" i="6" s="1"/>
  <c r="AC194" i="6"/>
  <c r="AE194" i="6" s="1"/>
  <c r="AC186" i="6"/>
  <c r="AE186" i="6" s="1"/>
  <c r="AC178" i="6"/>
  <c r="AE178" i="6" s="1"/>
  <c r="AC122" i="6"/>
  <c r="AE122" i="6" s="1"/>
  <c r="AC114" i="6"/>
  <c r="AE114" i="6" s="1"/>
  <c r="AC106" i="6"/>
  <c r="AE106" i="6" s="1"/>
  <c r="AC98" i="6"/>
  <c r="AE98" i="6" s="1"/>
  <c r="AC90" i="6"/>
  <c r="AE90" i="6" s="1"/>
  <c r="AC82" i="6"/>
  <c r="AE82" i="6" s="1"/>
  <c r="AC74" i="6"/>
  <c r="AE74" i="6" s="1"/>
  <c r="AC66" i="6"/>
  <c r="AE66" i="6" s="1"/>
  <c r="AC58" i="6"/>
  <c r="AE58" i="6" s="1"/>
  <c r="AC50" i="6"/>
  <c r="AE50" i="6" s="1"/>
  <c r="AC42" i="6"/>
  <c r="AE42" i="6" s="1"/>
  <c r="AC34" i="6"/>
  <c r="AE34" i="6" s="1"/>
  <c r="AC26" i="6"/>
  <c r="AE26" i="6" s="1"/>
  <c r="AC18" i="6"/>
  <c r="AE18" i="6" s="1"/>
  <c r="AC348" i="6"/>
  <c r="AE348" i="6" s="1"/>
  <c r="AC308" i="6"/>
  <c r="AE308" i="6" s="1"/>
  <c r="AC260" i="6"/>
  <c r="AE260" i="6" s="1"/>
  <c r="AC196" i="6"/>
  <c r="AE196" i="6" s="1"/>
  <c r="AC84" i="6"/>
  <c r="AE84" i="6" s="1"/>
  <c r="AC52" i="6"/>
  <c r="AE52" i="6" s="1"/>
  <c r="AC347" i="6"/>
  <c r="AE347" i="6" s="1"/>
  <c r="AC291" i="6"/>
  <c r="AE291" i="6" s="1"/>
  <c r="AC251" i="6"/>
  <c r="AE251" i="6" s="1"/>
  <c r="AC203" i="6"/>
  <c r="AE203" i="6" s="1"/>
  <c r="AC107" i="6"/>
  <c r="AE107" i="6" s="1"/>
  <c r="AC59" i="6"/>
  <c r="AE59" i="6" s="1"/>
  <c r="AC345" i="6"/>
  <c r="AE345" i="6" s="1"/>
  <c r="AC337" i="6"/>
  <c r="AE337" i="6" s="1"/>
  <c r="AC329" i="6"/>
  <c r="AE329" i="6" s="1"/>
  <c r="AC321" i="6"/>
  <c r="AE321" i="6" s="1"/>
  <c r="AC313" i="6"/>
  <c r="AE313" i="6" s="1"/>
  <c r="AC305" i="6"/>
  <c r="AE305" i="6" s="1"/>
  <c r="AC297" i="6"/>
  <c r="AE297" i="6" s="1"/>
  <c r="AC289" i="6"/>
  <c r="AE289" i="6" s="1"/>
  <c r="AC281" i="6"/>
  <c r="AE281" i="6" s="1"/>
  <c r="AC273" i="6"/>
  <c r="AE273" i="6" s="1"/>
  <c r="AC265" i="6"/>
  <c r="AE265" i="6" s="1"/>
  <c r="AC257" i="6"/>
  <c r="AE257" i="6" s="1"/>
  <c r="AC249" i="6"/>
  <c r="AE249" i="6" s="1"/>
  <c r="AC241" i="6"/>
  <c r="AE241" i="6" s="1"/>
  <c r="AC233" i="6"/>
  <c r="AE233" i="6" s="1"/>
  <c r="AC225" i="6"/>
  <c r="AE225" i="6" s="1"/>
  <c r="AC217" i="6"/>
  <c r="AE217" i="6" s="1"/>
  <c r="AC209" i="6"/>
  <c r="AE209" i="6" s="1"/>
  <c r="AC201" i="6"/>
  <c r="AE201" i="6" s="1"/>
  <c r="AC193" i="6"/>
  <c r="AE193" i="6" s="1"/>
  <c r="AC185" i="6"/>
  <c r="AE185" i="6" s="1"/>
  <c r="AC121" i="6"/>
  <c r="AE121" i="6" s="1"/>
  <c r="AC113" i="6"/>
  <c r="AE113" i="6" s="1"/>
  <c r="AC105" i="6"/>
  <c r="AE105" i="6" s="1"/>
  <c r="AC97" i="6"/>
  <c r="AE97" i="6" s="1"/>
  <c r="AC89" i="6"/>
  <c r="AE89" i="6" s="1"/>
  <c r="AC81" i="6"/>
  <c r="AE81" i="6" s="1"/>
  <c r="AC73" i="6"/>
  <c r="AE73" i="6" s="1"/>
  <c r="AC65" i="6"/>
  <c r="AE65" i="6" s="1"/>
  <c r="AC57" i="6"/>
  <c r="AE57" i="6" s="1"/>
  <c r="AC49" i="6"/>
  <c r="AE49" i="6" s="1"/>
  <c r="AC41" i="6"/>
  <c r="AE41" i="6" s="1"/>
  <c r="AC33" i="6"/>
  <c r="AE33" i="6" s="1"/>
  <c r="AC25" i="6"/>
  <c r="AE25" i="6" s="1"/>
  <c r="AC17" i="6"/>
  <c r="AE17" i="6" s="1"/>
  <c r="AC316" i="6"/>
  <c r="AE316" i="6" s="1"/>
  <c r="AC268" i="6"/>
  <c r="AE268" i="6" s="1"/>
  <c r="AC108" i="6"/>
  <c r="AE108" i="6" s="1"/>
  <c r="AC60" i="6"/>
  <c r="AE60" i="6" s="1"/>
  <c r="AC20" i="6"/>
  <c r="AE20" i="6" s="1"/>
  <c r="AC315" i="6"/>
  <c r="AE315" i="6" s="1"/>
  <c r="AC267" i="6"/>
  <c r="AE267" i="6" s="1"/>
  <c r="AC219" i="6"/>
  <c r="AE219" i="6" s="1"/>
  <c r="AC123" i="6"/>
  <c r="AE123" i="6" s="1"/>
  <c r="AC75" i="6"/>
  <c r="AE75" i="6" s="1"/>
  <c r="AC27" i="6"/>
  <c r="AE27" i="6" s="1"/>
  <c r="AC11" i="6"/>
  <c r="AE11" i="6" s="1"/>
  <c r="AC344" i="6"/>
  <c r="AE344" i="6" s="1"/>
  <c r="AC336" i="6"/>
  <c r="AE336" i="6" s="1"/>
  <c r="AC328" i="6"/>
  <c r="AE328" i="6" s="1"/>
  <c r="AC320" i="6"/>
  <c r="AE320" i="6" s="1"/>
  <c r="AC312" i="6"/>
  <c r="AE312" i="6" s="1"/>
  <c r="AC304" i="6"/>
  <c r="AE304" i="6" s="1"/>
  <c r="AC296" i="6"/>
  <c r="AE296" i="6" s="1"/>
  <c r="AC288" i="6"/>
  <c r="AE288" i="6" s="1"/>
  <c r="AC280" i="6"/>
  <c r="AE280" i="6" s="1"/>
  <c r="AC272" i="6"/>
  <c r="AE272" i="6" s="1"/>
  <c r="AC264" i="6"/>
  <c r="AE264" i="6" s="1"/>
  <c r="AC256" i="6"/>
  <c r="AE256" i="6" s="1"/>
  <c r="AC248" i="6"/>
  <c r="AE248" i="6" s="1"/>
  <c r="AC240" i="6"/>
  <c r="AE240" i="6" s="1"/>
  <c r="AC232" i="6"/>
  <c r="AE232" i="6" s="1"/>
  <c r="AC224" i="6"/>
  <c r="AE224" i="6" s="1"/>
  <c r="AC216" i="6"/>
  <c r="AE216" i="6" s="1"/>
  <c r="AC208" i="6"/>
  <c r="AE208" i="6" s="1"/>
  <c r="AC200" i="6"/>
  <c r="AE200" i="6" s="1"/>
  <c r="AC192" i="6"/>
  <c r="AE192" i="6" s="1"/>
  <c r="AC184" i="6"/>
  <c r="AE184" i="6" s="1"/>
  <c r="AC128" i="6"/>
  <c r="AE128" i="6" s="1"/>
  <c r="AC120" i="6"/>
  <c r="AE120" i="6" s="1"/>
  <c r="AC112" i="6"/>
  <c r="AE112" i="6" s="1"/>
  <c r="AC104" i="6"/>
  <c r="AE104" i="6" s="1"/>
  <c r="AC96" i="6"/>
  <c r="AE96" i="6" s="1"/>
  <c r="AC88" i="6"/>
  <c r="AE88" i="6" s="1"/>
  <c r="AC80" i="6"/>
  <c r="AE80" i="6" s="1"/>
  <c r="AC72" i="6"/>
  <c r="AE72" i="6" s="1"/>
  <c r="AC64" i="6"/>
  <c r="AE64" i="6" s="1"/>
  <c r="AC56" i="6"/>
  <c r="AE56" i="6" s="1"/>
  <c r="AC48" i="6"/>
  <c r="AE48" i="6" s="1"/>
  <c r="AC40" i="6"/>
  <c r="AE40" i="6" s="1"/>
  <c r="AC32" i="6"/>
  <c r="AE32" i="6" s="1"/>
  <c r="AC24" i="6"/>
  <c r="AE24" i="6" s="1"/>
  <c r="AC16" i="6"/>
  <c r="AE16" i="6" s="1"/>
  <c r="AC300" i="6"/>
  <c r="AE300" i="6" s="1"/>
  <c r="AC236" i="6"/>
  <c r="AE236" i="6" s="1"/>
  <c r="AC124" i="6"/>
  <c r="AE124" i="6" s="1"/>
  <c r="AC76" i="6"/>
  <c r="AE76" i="6" s="1"/>
  <c r="AC28" i="6"/>
  <c r="AE28" i="6" s="1"/>
  <c r="AC323" i="6"/>
  <c r="AE323" i="6" s="1"/>
  <c r="AC283" i="6"/>
  <c r="AE283" i="6" s="1"/>
  <c r="AC235" i="6"/>
  <c r="AE235" i="6" s="1"/>
  <c r="AC195" i="6"/>
  <c r="AE195" i="6" s="1"/>
  <c r="AC91" i="6"/>
  <c r="AE91" i="6" s="1"/>
  <c r="AC51" i="6"/>
  <c r="AE51" i="6" s="1"/>
  <c r="AC351" i="6"/>
  <c r="AE351" i="6" s="1"/>
  <c r="AC343" i="6"/>
  <c r="AE343" i="6" s="1"/>
  <c r="AC335" i="6"/>
  <c r="AE335" i="6" s="1"/>
  <c r="AC327" i="6"/>
  <c r="AE327" i="6" s="1"/>
  <c r="AC319" i="6"/>
  <c r="AE319" i="6" s="1"/>
  <c r="AC311" i="6"/>
  <c r="AE311" i="6" s="1"/>
  <c r="AC303" i="6"/>
  <c r="AE303" i="6" s="1"/>
  <c r="AC295" i="6"/>
  <c r="AE295" i="6" s="1"/>
  <c r="AC287" i="6"/>
  <c r="AE287" i="6" s="1"/>
  <c r="AC279" i="6"/>
  <c r="AE279" i="6" s="1"/>
  <c r="AC271" i="6"/>
  <c r="AE271" i="6" s="1"/>
  <c r="AC263" i="6"/>
  <c r="AE263" i="6" s="1"/>
  <c r="AC255" i="6"/>
  <c r="AE255" i="6" s="1"/>
  <c r="AC247" i="6"/>
  <c r="AE247" i="6" s="1"/>
  <c r="AC239" i="6"/>
  <c r="AE239" i="6" s="1"/>
  <c r="AC231" i="6"/>
  <c r="AE231" i="6" s="1"/>
  <c r="AC223" i="6"/>
  <c r="AE223" i="6" s="1"/>
  <c r="AC215" i="6"/>
  <c r="AE215" i="6" s="1"/>
  <c r="AC207" i="6"/>
  <c r="AE207" i="6" s="1"/>
  <c r="AC199" i="6"/>
  <c r="AE199" i="6" s="1"/>
  <c r="AC191" i="6"/>
  <c r="AE191" i="6" s="1"/>
  <c r="AC183" i="6"/>
  <c r="AE183" i="6" s="1"/>
  <c r="AC127" i="6"/>
  <c r="AE127" i="6" s="1"/>
  <c r="AC119" i="6"/>
  <c r="AE119" i="6" s="1"/>
  <c r="AC111" i="6"/>
  <c r="AE111" i="6" s="1"/>
  <c r="AC103" i="6"/>
  <c r="AE103" i="6" s="1"/>
  <c r="AC95" i="6"/>
  <c r="AE95" i="6" s="1"/>
  <c r="AC87" i="6"/>
  <c r="AE87" i="6" s="1"/>
  <c r="AC79" i="6"/>
  <c r="AE79" i="6" s="1"/>
  <c r="AC71" i="6"/>
  <c r="AE71" i="6" s="1"/>
  <c r="AC63" i="6"/>
  <c r="AE63" i="6" s="1"/>
  <c r="AC55" i="6"/>
  <c r="AE55" i="6" s="1"/>
  <c r="AC47" i="6"/>
  <c r="AE47" i="6" s="1"/>
  <c r="AC39" i="6"/>
  <c r="AE39" i="6" s="1"/>
  <c r="AC31" i="6"/>
  <c r="AE31" i="6" s="1"/>
  <c r="AC23" i="6"/>
  <c r="AE23" i="6" s="1"/>
  <c r="AC15" i="6"/>
  <c r="AE15" i="6" s="1"/>
  <c r="AC340" i="6"/>
  <c r="AE340" i="6" s="1"/>
  <c r="AC292" i="6"/>
  <c r="AE292" i="6" s="1"/>
  <c r="AC252" i="6"/>
  <c r="AE252" i="6" s="1"/>
  <c r="AC220" i="6"/>
  <c r="AE220" i="6" s="1"/>
  <c r="AC116" i="6"/>
  <c r="AE116" i="6" s="1"/>
  <c r="AC68" i="6"/>
  <c r="AE68" i="6" s="1"/>
  <c r="AC12" i="6"/>
  <c r="AE12" i="6" s="1"/>
  <c r="AC339" i="6"/>
  <c r="AE339" i="6" s="1"/>
  <c r="AC299" i="6"/>
  <c r="AE299" i="6" s="1"/>
  <c r="AC243" i="6"/>
  <c r="AE243" i="6" s="1"/>
  <c r="AC187" i="6"/>
  <c r="AE187" i="6" s="1"/>
  <c r="AC99" i="6"/>
  <c r="AE99" i="6" s="1"/>
  <c r="AC43" i="6"/>
  <c r="AE43" i="6" s="1"/>
  <c r="AC342" i="6"/>
  <c r="AE342" i="6" s="1"/>
  <c r="AC334" i="6"/>
  <c r="AE334" i="6" s="1"/>
  <c r="AC326" i="6"/>
  <c r="AE326" i="6" s="1"/>
  <c r="AC318" i="6"/>
  <c r="AE318" i="6" s="1"/>
  <c r="AC310" i="6"/>
  <c r="AE310" i="6" s="1"/>
  <c r="AC302" i="6"/>
  <c r="AE302" i="6" s="1"/>
  <c r="AC294" i="6"/>
  <c r="AE294" i="6" s="1"/>
  <c r="AC286" i="6"/>
  <c r="AE286" i="6" s="1"/>
  <c r="AC278" i="6"/>
  <c r="AE278" i="6" s="1"/>
  <c r="AC270" i="6"/>
  <c r="AE270" i="6" s="1"/>
  <c r="AC262" i="6"/>
  <c r="AE262" i="6" s="1"/>
  <c r="AC254" i="6"/>
  <c r="AE254" i="6" s="1"/>
  <c r="AC246" i="6"/>
  <c r="AE246" i="6" s="1"/>
  <c r="AC238" i="6"/>
  <c r="AE238" i="6" s="1"/>
  <c r="AC230" i="6"/>
  <c r="AE230" i="6" s="1"/>
  <c r="AC222" i="6"/>
  <c r="AE222" i="6" s="1"/>
  <c r="AC214" i="6"/>
  <c r="AE214" i="6" s="1"/>
  <c r="AC206" i="6"/>
  <c r="AE206" i="6" s="1"/>
  <c r="AC198" i="6"/>
  <c r="AE198" i="6" s="1"/>
  <c r="AC190" i="6"/>
  <c r="AE190" i="6" s="1"/>
  <c r="AC182" i="6"/>
  <c r="AE182" i="6" s="1"/>
  <c r="AC126" i="6"/>
  <c r="AE126" i="6" s="1"/>
  <c r="AC118" i="6"/>
  <c r="AE118" i="6" s="1"/>
  <c r="AC110" i="6"/>
  <c r="AE110" i="6" s="1"/>
  <c r="AC102" i="6"/>
  <c r="AE102" i="6" s="1"/>
  <c r="AC94" i="6"/>
  <c r="AE94" i="6" s="1"/>
  <c r="AC86" i="6"/>
  <c r="AE86" i="6" s="1"/>
  <c r="AC78" i="6"/>
  <c r="AE78" i="6" s="1"/>
  <c r="AC70" i="6"/>
  <c r="AE70" i="6" s="1"/>
  <c r="AC62" i="6"/>
  <c r="AE62" i="6" s="1"/>
  <c r="AC54" i="6"/>
  <c r="AE54" i="6" s="1"/>
  <c r="AC46" i="6"/>
  <c r="AE46" i="6" s="1"/>
  <c r="AC38" i="6"/>
  <c r="AE38" i="6" s="1"/>
  <c r="AC30" i="6"/>
  <c r="AE30" i="6" s="1"/>
  <c r="AC22" i="6"/>
  <c r="AE22" i="6" s="1"/>
  <c r="AC14" i="6"/>
  <c r="AE14" i="6" s="1"/>
  <c r="AC332" i="6"/>
  <c r="AE332" i="6" s="1"/>
  <c r="AC276" i="6"/>
  <c r="AE276" i="6" s="1"/>
  <c r="AC228" i="6"/>
  <c r="AE228" i="6" s="1"/>
  <c r="AC204" i="6"/>
  <c r="AE204" i="6" s="1"/>
  <c r="AC180" i="6"/>
  <c r="AE180" i="6" s="1"/>
  <c r="AC92" i="6"/>
  <c r="AE92" i="6" s="1"/>
  <c r="AC36" i="6"/>
  <c r="AE36" i="6" s="1"/>
  <c r="AC331" i="6"/>
  <c r="AE331" i="6" s="1"/>
  <c r="AC275" i="6"/>
  <c r="AE275" i="6" s="1"/>
  <c r="AC227" i="6"/>
  <c r="AE227" i="6" s="1"/>
  <c r="AC179" i="6"/>
  <c r="AE179" i="6" s="1"/>
  <c r="AC83" i="6"/>
  <c r="AE83" i="6" s="1"/>
  <c r="AC35" i="6"/>
  <c r="AE35" i="6" s="1"/>
  <c r="AC350" i="6"/>
  <c r="AE350" i="6" s="1"/>
  <c r="AC349" i="6"/>
  <c r="AE349" i="6" s="1"/>
  <c r="AC341" i="6"/>
  <c r="AE341" i="6" s="1"/>
  <c r="AC333" i="6"/>
  <c r="AE333" i="6" s="1"/>
  <c r="AC325" i="6"/>
  <c r="AE325" i="6" s="1"/>
  <c r="AC317" i="6"/>
  <c r="AE317" i="6" s="1"/>
  <c r="AC309" i="6"/>
  <c r="AE309" i="6" s="1"/>
  <c r="AC301" i="6"/>
  <c r="AE301" i="6" s="1"/>
  <c r="AC293" i="6"/>
  <c r="AE293" i="6" s="1"/>
  <c r="AC285" i="6"/>
  <c r="AE285" i="6" s="1"/>
  <c r="AC277" i="6"/>
  <c r="AE277" i="6" s="1"/>
  <c r="AC269" i="6"/>
  <c r="AE269" i="6" s="1"/>
  <c r="AC261" i="6"/>
  <c r="AE261" i="6" s="1"/>
  <c r="AC253" i="6"/>
  <c r="AE253" i="6" s="1"/>
  <c r="AC245" i="6"/>
  <c r="AE245" i="6" s="1"/>
  <c r="AC237" i="6"/>
  <c r="AE237" i="6" s="1"/>
  <c r="AC229" i="6"/>
  <c r="AE229" i="6" s="1"/>
  <c r="AC221" i="6"/>
  <c r="AE221" i="6" s="1"/>
  <c r="AC213" i="6"/>
  <c r="AE213" i="6" s="1"/>
  <c r="AC205" i="6"/>
  <c r="AE205" i="6" s="1"/>
  <c r="AC197" i="6"/>
  <c r="AE197" i="6" s="1"/>
  <c r="AC189" i="6"/>
  <c r="AE189" i="6" s="1"/>
  <c r="AC181" i="6"/>
  <c r="AE181" i="6" s="1"/>
  <c r="AC125" i="6"/>
  <c r="AE125" i="6" s="1"/>
  <c r="AC117" i="6"/>
  <c r="AE117" i="6" s="1"/>
  <c r="AC109" i="6"/>
  <c r="AE109" i="6" s="1"/>
  <c r="AC101" i="6"/>
  <c r="AE101" i="6" s="1"/>
  <c r="AC93" i="6"/>
  <c r="AE93" i="6" s="1"/>
  <c r="AC85" i="6"/>
  <c r="AE85" i="6" s="1"/>
  <c r="AC77" i="6"/>
  <c r="AE77" i="6" s="1"/>
  <c r="AC69" i="6"/>
  <c r="AE69" i="6" s="1"/>
  <c r="AC61" i="6"/>
  <c r="AE61" i="6" s="1"/>
  <c r="AC53" i="6"/>
  <c r="AE53" i="6" s="1"/>
  <c r="AC45" i="6"/>
  <c r="AE45" i="6" s="1"/>
  <c r="AC37" i="6"/>
  <c r="AE37" i="6" s="1"/>
  <c r="AC29" i="6"/>
  <c r="AE29" i="6" s="1"/>
  <c r="AC21" i="6"/>
  <c r="AE21" i="6" s="1"/>
  <c r="AC13" i="6"/>
  <c r="AE13" i="6" s="1"/>
  <c r="R351" i="6"/>
  <c r="V351" i="6" s="1"/>
  <c r="W351" i="6" s="1"/>
  <c r="R350" i="6"/>
  <c r="V350" i="6" s="1"/>
  <c r="W350" i="6" s="1"/>
  <c r="R349" i="6"/>
  <c r="Y349" i="6" s="1"/>
  <c r="Z349" i="6" s="1"/>
  <c r="R348" i="6"/>
  <c r="V348" i="6" s="1"/>
  <c r="W348" i="6" s="1"/>
  <c r="R347" i="6"/>
  <c r="Y347" i="6" s="1"/>
  <c r="Z347" i="6" s="1"/>
  <c r="R346" i="6"/>
  <c r="R345" i="6"/>
  <c r="V345" i="6" s="1"/>
  <c r="W345" i="6" s="1"/>
  <c r="R344" i="6"/>
  <c r="Y344" i="6" s="1"/>
  <c r="Z344" i="6" s="1"/>
  <c r="R343" i="6"/>
  <c r="Y343" i="6" s="1"/>
  <c r="Z343" i="6" s="1"/>
  <c r="R342" i="6"/>
  <c r="V342" i="6" s="1"/>
  <c r="W342" i="6" s="1"/>
  <c r="R341" i="6"/>
  <c r="Y341" i="6" s="1"/>
  <c r="Z341" i="6" s="1"/>
  <c r="R340" i="6"/>
  <c r="V340" i="6" s="1"/>
  <c r="W340" i="6" s="1"/>
  <c r="R339" i="6"/>
  <c r="Y339" i="6" s="1"/>
  <c r="Z339" i="6" s="1"/>
  <c r="R338" i="6"/>
  <c r="R337" i="6"/>
  <c r="Y337" i="6" s="1"/>
  <c r="Z337" i="6" s="1"/>
  <c r="R336" i="6"/>
  <c r="Y336" i="6" s="1"/>
  <c r="Z336" i="6" s="1"/>
  <c r="R335" i="6"/>
  <c r="Y335" i="6" s="1"/>
  <c r="Z335" i="6" s="1"/>
  <c r="R334" i="6"/>
  <c r="V334" i="6" s="1"/>
  <c r="W334" i="6" s="1"/>
  <c r="R333" i="6"/>
  <c r="Y333" i="6" s="1"/>
  <c r="Z333" i="6" s="1"/>
  <c r="R332" i="6"/>
  <c r="V332" i="6" s="1"/>
  <c r="W332" i="6" s="1"/>
  <c r="R331" i="6"/>
  <c r="Y331" i="6" s="1"/>
  <c r="Z331" i="6" s="1"/>
  <c r="R330" i="6"/>
  <c r="R329" i="6"/>
  <c r="Y329" i="6" s="1"/>
  <c r="Z329" i="6" s="1"/>
  <c r="R328" i="6"/>
  <c r="Y328" i="6" s="1"/>
  <c r="Z328" i="6" s="1"/>
  <c r="R327" i="6"/>
  <c r="Y327" i="6" s="1"/>
  <c r="Z327" i="6" s="1"/>
  <c r="R326" i="6"/>
  <c r="V326" i="6" s="1"/>
  <c r="W326" i="6" s="1"/>
  <c r="R325" i="6"/>
  <c r="Y325" i="6" s="1"/>
  <c r="Z325" i="6" s="1"/>
  <c r="R324" i="6"/>
  <c r="V324" i="6" s="1"/>
  <c r="W324" i="6" s="1"/>
  <c r="R323" i="6"/>
  <c r="Y323" i="6" s="1"/>
  <c r="Z323" i="6" s="1"/>
  <c r="R322" i="6"/>
  <c r="R321" i="6"/>
  <c r="V321" i="6" s="1"/>
  <c r="W321" i="6" s="1"/>
  <c r="R320" i="6"/>
  <c r="Y320" i="6" s="1"/>
  <c r="Z320" i="6" s="1"/>
  <c r="R319" i="6"/>
  <c r="Y319" i="6" s="1"/>
  <c r="Z319" i="6" s="1"/>
  <c r="R318" i="6"/>
  <c r="V318" i="6" s="1"/>
  <c r="W318" i="6" s="1"/>
  <c r="R317" i="6"/>
  <c r="Y317" i="6" s="1"/>
  <c r="Z317" i="6" s="1"/>
  <c r="R316" i="6"/>
  <c r="V316" i="6" s="1"/>
  <c r="W316" i="6" s="1"/>
  <c r="R315" i="6"/>
  <c r="Y315" i="6" s="1"/>
  <c r="Z315" i="6" s="1"/>
  <c r="R314" i="6"/>
  <c r="R313" i="6"/>
  <c r="Y313" i="6" s="1"/>
  <c r="Z313" i="6" s="1"/>
  <c r="R312" i="6"/>
  <c r="Y312" i="6" s="1"/>
  <c r="Z312" i="6" s="1"/>
  <c r="R311" i="6"/>
  <c r="V311" i="6" s="1"/>
  <c r="W311" i="6" s="1"/>
  <c r="R310" i="6"/>
  <c r="V310" i="6" s="1"/>
  <c r="W310" i="6" s="1"/>
  <c r="R309" i="6"/>
  <c r="R308" i="6"/>
  <c r="V308" i="6" s="1"/>
  <c r="W308" i="6" s="1"/>
  <c r="R307" i="6"/>
  <c r="V307" i="6" s="1"/>
  <c r="W307" i="6" s="1"/>
  <c r="R306" i="6"/>
  <c r="R305" i="6"/>
  <c r="Y305" i="6" s="1"/>
  <c r="Z305" i="6" s="1"/>
  <c r="R304" i="6"/>
  <c r="Y304" i="6" s="1"/>
  <c r="Z304" i="6" s="1"/>
  <c r="R303" i="6"/>
  <c r="Y303" i="6" s="1"/>
  <c r="Z303" i="6" s="1"/>
  <c r="R302" i="6"/>
  <c r="V302" i="6" s="1"/>
  <c r="W302" i="6" s="1"/>
  <c r="R301" i="6"/>
  <c r="Y301" i="6" s="1"/>
  <c r="Z301" i="6" s="1"/>
  <c r="R300" i="6"/>
  <c r="V300" i="6" s="1"/>
  <c r="W300" i="6" s="1"/>
  <c r="R299" i="6"/>
  <c r="Y299" i="6" s="1"/>
  <c r="Z299" i="6" s="1"/>
  <c r="R298" i="6"/>
  <c r="R297" i="6"/>
  <c r="V297" i="6" s="1"/>
  <c r="W297" i="6" s="1"/>
  <c r="R296" i="6"/>
  <c r="Y296" i="6" s="1"/>
  <c r="Z296" i="6" s="1"/>
  <c r="R295" i="6"/>
  <c r="Y295" i="6" s="1"/>
  <c r="Z295" i="6" s="1"/>
  <c r="R294" i="6"/>
  <c r="V294" i="6" s="1"/>
  <c r="W294" i="6" s="1"/>
  <c r="R293" i="6"/>
  <c r="Y293" i="6" s="1"/>
  <c r="Z293" i="6" s="1"/>
  <c r="R292" i="6"/>
  <c r="R291" i="6"/>
  <c r="Y291" i="6" s="1"/>
  <c r="Z291" i="6" s="1"/>
  <c r="R290" i="6"/>
  <c r="R289" i="6"/>
  <c r="Y289" i="6" s="1"/>
  <c r="Z289" i="6" s="1"/>
  <c r="R288" i="6"/>
  <c r="Y288" i="6" s="1"/>
  <c r="Z288" i="6" s="1"/>
  <c r="R287" i="6"/>
  <c r="V287" i="6" s="1"/>
  <c r="W287" i="6" s="1"/>
  <c r="R286" i="6"/>
  <c r="V286" i="6" s="1"/>
  <c r="W286" i="6" s="1"/>
  <c r="R285" i="6"/>
  <c r="Y285" i="6" s="1"/>
  <c r="Z285" i="6" s="1"/>
  <c r="R284" i="6"/>
  <c r="R283" i="6"/>
  <c r="Y283" i="6" s="1"/>
  <c r="Z283" i="6" s="1"/>
  <c r="R282" i="6"/>
  <c r="R281" i="6"/>
  <c r="Y281" i="6" s="1"/>
  <c r="Z281" i="6" s="1"/>
  <c r="R280" i="6"/>
  <c r="Y280" i="6" s="1"/>
  <c r="Z280" i="6" s="1"/>
  <c r="R279" i="6"/>
  <c r="Y279" i="6" s="1"/>
  <c r="Z279" i="6" s="1"/>
  <c r="R278" i="6"/>
  <c r="V278" i="6" s="1"/>
  <c r="W278" i="6" s="1"/>
  <c r="R277" i="6"/>
  <c r="Y277" i="6" s="1"/>
  <c r="Z277" i="6" s="1"/>
  <c r="R276" i="6"/>
  <c r="R275" i="6"/>
  <c r="V275" i="6" s="1"/>
  <c r="W275" i="6" s="1"/>
  <c r="R274" i="6"/>
  <c r="R273" i="6"/>
  <c r="Y273" i="6" s="1"/>
  <c r="Z273" i="6" s="1"/>
  <c r="R272" i="6"/>
  <c r="Y272" i="6" s="1"/>
  <c r="Z272" i="6" s="1"/>
  <c r="R271" i="6"/>
  <c r="Y271" i="6" s="1"/>
  <c r="Z271" i="6" s="1"/>
  <c r="R270" i="6"/>
  <c r="R269" i="6"/>
  <c r="V269" i="6" s="1"/>
  <c r="W269" i="6" s="1"/>
  <c r="R268" i="6"/>
  <c r="R267" i="6"/>
  <c r="Y267" i="6" s="1"/>
  <c r="Z267" i="6" s="1"/>
  <c r="R266" i="6"/>
  <c r="R265" i="6"/>
  <c r="Y265" i="6" s="1"/>
  <c r="Z265" i="6" s="1"/>
  <c r="R264" i="6"/>
  <c r="Y264" i="6" s="1"/>
  <c r="Z264" i="6" s="1"/>
  <c r="R263" i="6"/>
  <c r="V263" i="6" s="1"/>
  <c r="W263" i="6" s="1"/>
  <c r="R262" i="6"/>
  <c r="V262" i="6" s="1"/>
  <c r="W262" i="6" s="1"/>
  <c r="R261" i="6"/>
  <c r="Y261" i="6" s="1"/>
  <c r="Z261" i="6" s="1"/>
  <c r="R260" i="6"/>
  <c r="R259" i="6"/>
  <c r="V259" i="6" s="1"/>
  <c r="W259" i="6" s="1"/>
  <c r="R258" i="6"/>
  <c r="R257" i="6"/>
  <c r="Y257" i="6" s="1"/>
  <c r="Z257" i="6" s="1"/>
  <c r="R256" i="6"/>
  <c r="Y256" i="6" s="1"/>
  <c r="Z256" i="6" s="1"/>
  <c r="R255" i="6"/>
  <c r="Y255" i="6" s="1"/>
  <c r="Z255" i="6" s="1"/>
  <c r="R254" i="6"/>
  <c r="V254" i="6" s="1"/>
  <c r="W254" i="6" s="1"/>
  <c r="R253" i="6"/>
  <c r="Y253" i="6" s="1"/>
  <c r="Z253" i="6" s="1"/>
  <c r="R252" i="6"/>
  <c r="R251" i="6"/>
  <c r="Y251" i="6" s="1"/>
  <c r="Z251" i="6" s="1"/>
  <c r="R250" i="6"/>
  <c r="R249" i="6"/>
  <c r="V249" i="6" s="1"/>
  <c r="W249" i="6" s="1"/>
  <c r="R248" i="6"/>
  <c r="Y248" i="6" s="1"/>
  <c r="Z248" i="6" s="1"/>
  <c r="R247" i="6"/>
  <c r="Y247" i="6" s="1"/>
  <c r="Z247" i="6" s="1"/>
  <c r="R246" i="6"/>
  <c r="V246" i="6" s="1"/>
  <c r="W246" i="6" s="1"/>
  <c r="R245" i="6"/>
  <c r="Y245" i="6" s="1"/>
  <c r="Z245" i="6" s="1"/>
  <c r="R244" i="6"/>
  <c r="R243" i="6"/>
  <c r="V243" i="6" s="1"/>
  <c r="W243" i="6" s="1"/>
  <c r="R242" i="6"/>
  <c r="R241" i="6"/>
  <c r="Y241" i="6" s="1"/>
  <c r="Z241" i="6" s="1"/>
  <c r="R240" i="6"/>
  <c r="Y240" i="6" s="1"/>
  <c r="Z240" i="6" s="1"/>
  <c r="R239" i="6"/>
  <c r="Y239" i="6" s="1"/>
  <c r="Z239" i="6" s="1"/>
  <c r="R238" i="6"/>
  <c r="R237" i="6"/>
  <c r="V237" i="6" s="1"/>
  <c r="W237" i="6" s="1"/>
  <c r="R236" i="6"/>
  <c r="R235" i="6"/>
  <c r="Y235" i="6" s="1"/>
  <c r="Z235" i="6" s="1"/>
  <c r="R234" i="6"/>
  <c r="R233" i="6"/>
  <c r="Y233" i="6" s="1"/>
  <c r="Z233" i="6" s="1"/>
  <c r="R232" i="6"/>
  <c r="Y232" i="6" s="1"/>
  <c r="Z232" i="6" s="1"/>
  <c r="R231" i="6"/>
  <c r="Y231" i="6" s="1"/>
  <c r="Z231" i="6" s="1"/>
  <c r="R230" i="6"/>
  <c r="V230" i="6" s="1"/>
  <c r="W230" i="6" s="1"/>
  <c r="R229" i="6"/>
  <c r="Y229" i="6" s="1"/>
  <c r="Z229" i="6" s="1"/>
  <c r="R228" i="6"/>
  <c r="R227" i="6"/>
  <c r="V227" i="6" s="1"/>
  <c r="W227" i="6" s="1"/>
  <c r="R226" i="6"/>
  <c r="R225" i="6"/>
  <c r="Y225" i="6" s="1"/>
  <c r="Z225" i="6" s="1"/>
  <c r="R224" i="6"/>
  <c r="Y224" i="6" s="1"/>
  <c r="Z224" i="6" s="1"/>
  <c r="R223" i="6"/>
  <c r="Y223" i="6" s="1"/>
  <c r="Z223" i="6" s="1"/>
  <c r="R222" i="6"/>
  <c r="V222" i="6" s="1"/>
  <c r="W222" i="6" s="1"/>
  <c r="R221" i="6"/>
  <c r="Y221" i="6" s="1"/>
  <c r="Z221" i="6" s="1"/>
  <c r="R220" i="6"/>
  <c r="R219" i="6"/>
  <c r="V219" i="6" s="1"/>
  <c r="W219" i="6" s="1"/>
  <c r="R218" i="6"/>
  <c r="R217" i="6"/>
  <c r="Y217" i="6" s="1"/>
  <c r="Z217" i="6" s="1"/>
  <c r="R216" i="6"/>
  <c r="Y216" i="6" s="1"/>
  <c r="Z216" i="6" s="1"/>
  <c r="R215" i="6"/>
  <c r="Y215" i="6" s="1"/>
  <c r="Z215" i="6" s="1"/>
  <c r="R214" i="6"/>
  <c r="V214" i="6" s="1"/>
  <c r="W214" i="6" s="1"/>
  <c r="R213" i="6"/>
  <c r="Y213" i="6" s="1"/>
  <c r="Z213" i="6" s="1"/>
  <c r="R212" i="6"/>
  <c r="R211" i="6"/>
  <c r="Y211" i="6" s="1"/>
  <c r="Z211" i="6" s="1"/>
  <c r="R210" i="6"/>
  <c r="R209" i="6"/>
  <c r="Y209" i="6" s="1"/>
  <c r="Z209" i="6" s="1"/>
  <c r="R208" i="6"/>
  <c r="Y208" i="6" s="1"/>
  <c r="Z208" i="6" s="1"/>
  <c r="R207" i="6"/>
  <c r="Y207" i="6" s="1"/>
  <c r="Z207" i="6" s="1"/>
  <c r="R206" i="6"/>
  <c r="R205" i="6"/>
  <c r="Y205" i="6" s="1"/>
  <c r="Z205" i="6" s="1"/>
  <c r="R204" i="6"/>
  <c r="R203" i="6"/>
  <c r="Y203" i="6" s="1"/>
  <c r="Z203" i="6" s="1"/>
  <c r="R202" i="6"/>
  <c r="R201" i="6"/>
  <c r="Y201" i="6" s="1"/>
  <c r="Z201" i="6" s="1"/>
  <c r="R200" i="6"/>
  <c r="Y200" i="6" s="1"/>
  <c r="Z200" i="6" s="1"/>
  <c r="R199" i="6"/>
  <c r="Y199" i="6" s="1"/>
  <c r="Z199" i="6" s="1"/>
  <c r="R198" i="6"/>
  <c r="V198" i="6" s="1"/>
  <c r="W198" i="6" s="1"/>
  <c r="R197" i="6"/>
  <c r="Y197" i="6" s="1"/>
  <c r="Z197" i="6" s="1"/>
  <c r="R196" i="6"/>
  <c r="R195" i="6"/>
  <c r="Y195" i="6" s="1"/>
  <c r="Z195" i="6" s="1"/>
  <c r="R194" i="6"/>
  <c r="R193" i="6"/>
  <c r="Y193" i="6" s="1"/>
  <c r="Z193" i="6" s="1"/>
  <c r="R192" i="6"/>
  <c r="Y192" i="6" s="1"/>
  <c r="Z192" i="6" s="1"/>
  <c r="R191" i="6"/>
  <c r="V191" i="6" s="1"/>
  <c r="W191" i="6" s="1"/>
  <c r="R190" i="6"/>
  <c r="V190" i="6" s="1"/>
  <c r="W190" i="6" s="1"/>
  <c r="R189" i="6"/>
  <c r="Y189" i="6" s="1"/>
  <c r="Z189" i="6" s="1"/>
  <c r="R188" i="6"/>
  <c r="R187" i="6"/>
  <c r="Y187" i="6" s="1"/>
  <c r="Z187" i="6" s="1"/>
  <c r="R186" i="6"/>
  <c r="R185" i="6"/>
  <c r="R184" i="6"/>
  <c r="Y184" i="6" s="1"/>
  <c r="Z184" i="6" s="1"/>
  <c r="R183" i="6"/>
  <c r="R182" i="6"/>
  <c r="Y182" i="6" s="1"/>
  <c r="Z182" i="6" s="1"/>
  <c r="R181" i="6"/>
  <c r="Y181" i="6" s="1"/>
  <c r="Z181" i="6" s="1"/>
  <c r="R180" i="6"/>
  <c r="V180" i="6" s="1"/>
  <c r="W180" i="6" s="1"/>
  <c r="R179" i="6"/>
  <c r="V179" i="6" s="1"/>
  <c r="W179" i="6" s="1"/>
  <c r="R178" i="6"/>
  <c r="Y178" i="6" s="1"/>
  <c r="Z178" i="6" s="1"/>
  <c r="R177" i="6"/>
  <c r="Y177" i="6" s="1"/>
  <c r="Z177" i="6" s="1"/>
  <c r="R176" i="6"/>
  <c r="V176" i="6" s="1"/>
  <c r="W176" i="6" s="1"/>
  <c r="R175" i="6"/>
  <c r="R174" i="6"/>
  <c r="Y174" i="6" s="1"/>
  <c r="Z174" i="6" s="1"/>
  <c r="R173" i="6"/>
  <c r="Y173" i="6" s="1"/>
  <c r="Z173" i="6" s="1"/>
  <c r="R172" i="6"/>
  <c r="V172" i="6" s="1"/>
  <c r="W172" i="6" s="1"/>
  <c r="R171" i="6"/>
  <c r="V171" i="6" s="1"/>
  <c r="W171" i="6" s="1"/>
  <c r="R170" i="6"/>
  <c r="Y170" i="6" s="1"/>
  <c r="Z170" i="6" s="1"/>
  <c r="R169" i="6"/>
  <c r="V169" i="6" s="1"/>
  <c r="W169" i="6" s="1"/>
  <c r="R168" i="6"/>
  <c r="Y168" i="6" s="1"/>
  <c r="Z168" i="6" s="1"/>
  <c r="R167" i="6"/>
  <c r="R166" i="6"/>
  <c r="Y166" i="6" s="1"/>
  <c r="Z166" i="6" s="1"/>
  <c r="R165" i="6"/>
  <c r="Y165" i="6" s="1"/>
  <c r="Z165" i="6" s="1"/>
  <c r="R164" i="6"/>
  <c r="V164" i="6" s="1"/>
  <c r="W164" i="6" s="1"/>
  <c r="R163" i="6"/>
  <c r="V163" i="6" s="1"/>
  <c r="W163" i="6" s="1"/>
  <c r="R162" i="6"/>
  <c r="Y162" i="6" s="1"/>
  <c r="Z162" i="6" s="1"/>
  <c r="R161" i="6"/>
  <c r="Y161" i="6" s="1"/>
  <c r="Z161" i="6" s="1"/>
  <c r="R160" i="6"/>
  <c r="Y160" i="6" s="1"/>
  <c r="Z160" i="6" s="1"/>
  <c r="R159" i="6"/>
  <c r="R158" i="6"/>
  <c r="Y158" i="6" s="1"/>
  <c r="Z158" i="6" s="1"/>
  <c r="R157" i="6"/>
  <c r="Y157" i="6" s="1"/>
  <c r="Z157" i="6" s="1"/>
  <c r="R156" i="6"/>
  <c r="V156" i="6" s="1"/>
  <c r="W156" i="6" s="1"/>
  <c r="R155" i="6"/>
  <c r="V155" i="6" s="1"/>
  <c r="W155" i="6" s="1"/>
  <c r="R154" i="6"/>
  <c r="Y154" i="6" s="1"/>
  <c r="Z154" i="6" s="1"/>
  <c r="R153" i="6"/>
  <c r="Y153" i="6" s="1"/>
  <c r="Z153" i="6" s="1"/>
  <c r="R152" i="6"/>
  <c r="Y152" i="6" s="1"/>
  <c r="Z152" i="6" s="1"/>
  <c r="R151" i="6"/>
  <c r="R150" i="6"/>
  <c r="Y150" i="6" s="1"/>
  <c r="Z150" i="6" s="1"/>
  <c r="R149" i="6"/>
  <c r="Y149" i="6" s="1"/>
  <c r="Z149" i="6" s="1"/>
  <c r="R148" i="6"/>
  <c r="V148" i="6" s="1"/>
  <c r="W148" i="6" s="1"/>
  <c r="R147" i="6"/>
  <c r="V147" i="6" s="1"/>
  <c r="W147" i="6" s="1"/>
  <c r="R146" i="6"/>
  <c r="Y146" i="6" s="1"/>
  <c r="Z146" i="6" s="1"/>
  <c r="R145" i="6"/>
  <c r="Y145" i="6" s="1"/>
  <c r="Z145" i="6" s="1"/>
  <c r="R144" i="6"/>
  <c r="Y144" i="6" s="1"/>
  <c r="Z144" i="6" s="1"/>
  <c r="R143" i="6"/>
  <c r="R142" i="6"/>
  <c r="Y142" i="6" s="1"/>
  <c r="Z142" i="6" s="1"/>
  <c r="R141" i="6"/>
  <c r="Y141" i="6" s="1"/>
  <c r="Z141" i="6" s="1"/>
  <c r="R140" i="6"/>
  <c r="Y140" i="6" s="1"/>
  <c r="Z140" i="6" s="1"/>
  <c r="R139" i="6"/>
  <c r="V139" i="6" s="1"/>
  <c r="W139" i="6" s="1"/>
  <c r="R138" i="6"/>
  <c r="Y138" i="6" s="1"/>
  <c r="Z138" i="6" s="1"/>
  <c r="R137" i="6"/>
  <c r="Y137" i="6" s="1"/>
  <c r="Z137" i="6" s="1"/>
  <c r="R136" i="6"/>
  <c r="Y136" i="6" s="1"/>
  <c r="Z136" i="6" s="1"/>
  <c r="R135" i="6"/>
  <c r="R134" i="6"/>
  <c r="Y134" i="6" s="1"/>
  <c r="Z134" i="6" s="1"/>
  <c r="R133" i="6"/>
  <c r="Y133" i="6" s="1"/>
  <c r="Z133" i="6" s="1"/>
  <c r="R132" i="6"/>
  <c r="Y132" i="6" s="1"/>
  <c r="Z132" i="6" s="1"/>
  <c r="R131" i="6"/>
  <c r="V131" i="6" s="1"/>
  <c r="W131" i="6" s="1"/>
  <c r="R130" i="6"/>
  <c r="Y130" i="6" s="1"/>
  <c r="Z130" i="6" s="1"/>
  <c r="R129" i="6"/>
  <c r="V129" i="6" s="1"/>
  <c r="W129" i="6" s="1"/>
  <c r="R128" i="6"/>
  <c r="Y128" i="6" s="1"/>
  <c r="Z128" i="6" s="1"/>
  <c r="R127" i="6"/>
  <c r="R126" i="6"/>
  <c r="Y126" i="6" s="1"/>
  <c r="Z126" i="6" s="1"/>
  <c r="R125" i="6"/>
  <c r="Y125" i="6" s="1"/>
  <c r="Z125" i="6" s="1"/>
  <c r="R124" i="6"/>
  <c r="V124" i="6" s="1"/>
  <c r="W124" i="6" s="1"/>
  <c r="R123" i="6"/>
  <c r="V123" i="6" s="1"/>
  <c r="W123" i="6" s="1"/>
  <c r="R122" i="6"/>
  <c r="Y122" i="6" s="1"/>
  <c r="Z122" i="6" s="1"/>
  <c r="R121" i="6"/>
  <c r="V121" i="6" s="1"/>
  <c r="W121" i="6" s="1"/>
  <c r="R120" i="6"/>
  <c r="V120" i="6" s="1"/>
  <c r="W120" i="6" s="1"/>
  <c r="R119" i="6"/>
  <c r="R118" i="6"/>
  <c r="Y118" i="6" s="1"/>
  <c r="Z118" i="6" s="1"/>
  <c r="R117" i="6"/>
  <c r="Y117" i="6" s="1"/>
  <c r="Z117" i="6" s="1"/>
  <c r="R116" i="6"/>
  <c r="V116" i="6" s="1"/>
  <c r="W116" i="6" s="1"/>
  <c r="R115" i="6"/>
  <c r="V115" i="6" s="1"/>
  <c r="W115" i="6" s="1"/>
  <c r="R114" i="6"/>
  <c r="Y114" i="6" s="1"/>
  <c r="Z114" i="6" s="1"/>
  <c r="R113" i="6"/>
  <c r="Y113" i="6" s="1"/>
  <c r="Z113" i="6" s="1"/>
  <c r="R112" i="6"/>
  <c r="V112" i="6" s="1"/>
  <c r="W112" i="6" s="1"/>
  <c r="R111" i="6"/>
  <c r="R110" i="6"/>
  <c r="Y110" i="6" s="1"/>
  <c r="Z110" i="6" s="1"/>
  <c r="R109" i="6"/>
  <c r="Y109" i="6" s="1"/>
  <c r="Z109" i="6" s="1"/>
  <c r="R108" i="6"/>
  <c r="V108" i="6" s="1"/>
  <c r="W108" i="6" s="1"/>
  <c r="R107" i="6"/>
  <c r="V107" i="6" s="1"/>
  <c r="W107" i="6" s="1"/>
  <c r="R106" i="6"/>
  <c r="Y106" i="6" s="1"/>
  <c r="Z106" i="6" s="1"/>
  <c r="R105" i="6"/>
  <c r="Y105" i="6" s="1"/>
  <c r="Z105" i="6" s="1"/>
  <c r="R104" i="6"/>
  <c r="Y104" i="6" s="1"/>
  <c r="Z104" i="6" s="1"/>
  <c r="R103" i="6"/>
  <c r="R102" i="6"/>
  <c r="Y102" i="6" s="1"/>
  <c r="Z102" i="6" s="1"/>
  <c r="R101" i="6"/>
  <c r="Y101" i="6" s="1"/>
  <c r="Z101" i="6" s="1"/>
  <c r="R100" i="6"/>
  <c r="V100" i="6" s="1"/>
  <c r="W100" i="6" s="1"/>
  <c r="R99" i="6"/>
  <c r="V99" i="6" s="1"/>
  <c r="W99" i="6" s="1"/>
  <c r="R98" i="6"/>
  <c r="Y98" i="6" s="1"/>
  <c r="Z98" i="6" s="1"/>
  <c r="R97" i="6"/>
  <c r="V97" i="6" s="1"/>
  <c r="W97" i="6" s="1"/>
  <c r="R96" i="6"/>
  <c r="V96" i="6" s="1"/>
  <c r="W96" i="6" s="1"/>
  <c r="R95" i="6"/>
  <c r="R94" i="6"/>
  <c r="Y94" i="6" s="1"/>
  <c r="Z94" i="6" s="1"/>
  <c r="R93" i="6"/>
  <c r="Y93" i="6" s="1"/>
  <c r="Z93" i="6" s="1"/>
  <c r="R92" i="6"/>
  <c r="Y92" i="6" s="1"/>
  <c r="Z92" i="6" s="1"/>
  <c r="R91" i="6"/>
  <c r="V91" i="6" s="1"/>
  <c r="W91" i="6" s="1"/>
  <c r="R90" i="6"/>
  <c r="Y90" i="6" s="1"/>
  <c r="Z90" i="6" s="1"/>
  <c r="R89" i="6"/>
  <c r="Y89" i="6" s="1"/>
  <c r="Z89" i="6" s="1"/>
  <c r="R88" i="6"/>
  <c r="Y88" i="6" s="1"/>
  <c r="Z88" i="6" s="1"/>
  <c r="R87" i="6"/>
  <c r="R86" i="6"/>
  <c r="Y86" i="6" s="1"/>
  <c r="Z86" i="6" s="1"/>
  <c r="R85" i="6"/>
  <c r="Y85" i="6" s="1"/>
  <c r="Z85" i="6" s="1"/>
  <c r="R84" i="6"/>
  <c r="Y84" i="6" s="1"/>
  <c r="Z84" i="6" s="1"/>
  <c r="R83" i="6"/>
  <c r="V83" i="6" s="1"/>
  <c r="W83" i="6" s="1"/>
  <c r="R82" i="6"/>
  <c r="Y82" i="6" s="1"/>
  <c r="Z82" i="6" s="1"/>
  <c r="R81" i="6"/>
  <c r="V81" i="6" s="1"/>
  <c r="W81" i="6" s="1"/>
  <c r="R80" i="6"/>
  <c r="V80" i="6" s="1"/>
  <c r="W80" i="6" s="1"/>
  <c r="R79" i="6"/>
  <c r="R78" i="6"/>
  <c r="Y78" i="6" s="1"/>
  <c r="Z78" i="6" s="1"/>
  <c r="R77" i="6"/>
  <c r="Y77" i="6" s="1"/>
  <c r="Z77" i="6" s="1"/>
  <c r="R76" i="6"/>
  <c r="V76" i="6" s="1"/>
  <c r="W76" i="6" s="1"/>
  <c r="R75" i="6"/>
  <c r="V75" i="6" s="1"/>
  <c r="W75" i="6" s="1"/>
  <c r="R74" i="6"/>
  <c r="Y74" i="6" s="1"/>
  <c r="Z74" i="6" s="1"/>
  <c r="R73" i="6"/>
  <c r="V73" i="6" s="1"/>
  <c r="W73" i="6" s="1"/>
  <c r="R72" i="6"/>
  <c r="Y72" i="6" s="1"/>
  <c r="Z72" i="6" s="1"/>
  <c r="R71" i="6"/>
  <c r="R70" i="6"/>
  <c r="Y70" i="6" s="1"/>
  <c r="Z70" i="6" s="1"/>
  <c r="R69" i="6"/>
  <c r="Y69" i="6" s="1"/>
  <c r="Z69" i="6" s="1"/>
  <c r="R68" i="6"/>
  <c r="V68" i="6" s="1"/>
  <c r="W68" i="6" s="1"/>
  <c r="R67" i="6"/>
  <c r="Y67" i="6" s="1"/>
  <c r="Z67" i="6" s="1"/>
  <c r="R66" i="6"/>
  <c r="Y66" i="6" s="1"/>
  <c r="Z66" i="6" s="1"/>
  <c r="R65" i="6"/>
  <c r="V65" i="6" s="1"/>
  <c r="W65" i="6" s="1"/>
  <c r="R64" i="6"/>
  <c r="V64" i="6" s="1"/>
  <c r="W64" i="6" s="1"/>
  <c r="R63" i="6"/>
  <c r="V63" i="6" s="1"/>
  <c r="W63" i="6" s="1"/>
  <c r="R62" i="6"/>
  <c r="Y62" i="6" s="1"/>
  <c r="Z62" i="6" s="1"/>
  <c r="R61" i="6"/>
  <c r="Y61" i="6" s="1"/>
  <c r="Z61" i="6" s="1"/>
  <c r="R60" i="6"/>
  <c r="Y60" i="6" s="1"/>
  <c r="Z60" i="6" s="1"/>
  <c r="R59" i="6"/>
  <c r="Y59" i="6" s="1"/>
  <c r="Z59" i="6" s="1"/>
  <c r="R58" i="6"/>
  <c r="Y58" i="6" s="1"/>
  <c r="Z58" i="6" s="1"/>
  <c r="R57" i="6"/>
  <c r="V57" i="6" s="1"/>
  <c r="W57" i="6" s="1"/>
  <c r="R56" i="6"/>
  <c r="Y56" i="6" s="1"/>
  <c r="Z56" i="6" s="1"/>
  <c r="R55" i="6"/>
  <c r="V55" i="6" s="1"/>
  <c r="W55" i="6" s="1"/>
  <c r="R54" i="6"/>
  <c r="V54" i="6" s="1"/>
  <c r="W54" i="6" s="1"/>
  <c r="R53" i="6"/>
  <c r="Y53" i="6" s="1"/>
  <c r="Z53" i="6" s="1"/>
  <c r="R52" i="6"/>
  <c r="Y52" i="6" s="1"/>
  <c r="Z52" i="6" s="1"/>
  <c r="R51" i="6"/>
  <c r="Y51" i="6" s="1"/>
  <c r="Z51" i="6" s="1"/>
  <c r="R50" i="6"/>
  <c r="Y50" i="6" s="1"/>
  <c r="Z50" i="6" s="1"/>
  <c r="R49" i="6"/>
  <c r="Y49" i="6" s="1"/>
  <c r="Z49" i="6" s="1"/>
  <c r="R48" i="6"/>
  <c r="V48" i="6" s="1"/>
  <c r="W48" i="6" s="1"/>
  <c r="R47" i="6"/>
  <c r="V47" i="6" s="1"/>
  <c r="W47" i="6" s="1"/>
  <c r="R46" i="6"/>
  <c r="V46" i="6" s="1"/>
  <c r="W46" i="6" s="1"/>
  <c r="R45" i="6"/>
  <c r="Y45" i="6" s="1"/>
  <c r="Z45" i="6" s="1"/>
  <c r="R44" i="6"/>
  <c r="Y44" i="6" s="1"/>
  <c r="Z44" i="6" s="1"/>
  <c r="R43" i="6"/>
  <c r="Y43" i="6" s="1"/>
  <c r="Z43" i="6" s="1"/>
  <c r="R42" i="6"/>
  <c r="Y42" i="6" s="1"/>
  <c r="Z42" i="6" s="1"/>
  <c r="R41" i="6"/>
  <c r="Y41" i="6" s="1"/>
  <c r="Z41" i="6" s="1"/>
  <c r="R40" i="6"/>
  <c r="V40" i="6" s="1"/>
  <c r="W40" i="6" s="1"/>
  <c r="R39" i="6"/>
  <c r="V39" i="6" s="1"/>
  <c r="W39" i="6" s="1"/>
  <c r="R38" i="6"/>
  <c r="V38" i="6" s="1"/>
  <c r="W38" i="6" s="1"/>
  <c r="R37" i="6"/>
  <c r="Y37" i="6" s="1"/>
  <c r="Z37" i="6" s="1"/>
  <c r="R36" i="6"/>
  <c r="Y36" i="6" s="1"/>
  <c r="Z36" i="6" s="1"/>
  <c r="R35" i="6"/>
  <c r="Y35" i="6" s="1"/>
  <c r="Z35" i="6" s="1"/>
  <c r="R34" i="6"/>
  <c r="Y34" i="6" s="1"/>
  <c r="Z34" i="6" s="1"/>
  <c r="R33" i="6"/>
  <c r="V33" i="6" s="1"/>
  <c r="W33" i="6" s="1"/>
  <c r="R32" i="6"/>
  <c r="Y32" i="6" s="1"/>
  <c r="Z32" i="6" s="1"/>
  <c r="R31" i="6"/>
  <c r="V31" i="6" s="1"/>
  <c r="W31" i="6" s="1"/>
  <c r="R30" i="6"/>
  <c r="V30" i="6" s="1"/>
  <c r="W30" i="6" s="1"/>
  <c r="R29" i="6"/>
  <c r="Y29" i="6" s="1"/>
  <c r="Z29" i="6" s="1"/>
  <c r="R28" i="6"/>
  <c r="Y28" i="6" s="1"/>
  <c r="Z28" i="6" s="1"/>
  <c r="R27" i="6"/>
  <c r="Y27" i="6" s="1"/>
  <c r="Z27" i="6" s="1"/>
  <c r="R26" i="6"/>
  <c r="Y26" i="6" s="1"/>
  <c r="Z26" i="6" s="1"/>
  <c r="R25" i="6"/>
  <c r="V25" i="6" s="1"/>
  <c r="W25" i="6" s="1"/>
  <c r="R24" i="6"/>
  <c r="V24" i="6" s="1"/>
  <c r="W24" i="6" s="1"/>
  <c r="R23" i="6"/>
  <c r="V23" i="6" s="1"/>
  <c r="W23" i="6" s="1"/>
  <c r="R22" i="6"/>
  <c r="V22" i="6" s="1"/>
  <c r="W22" i="6" s="1"/>
  <c r="R21" i="6"/>
  <c r="Y21" i="6" s="1"/>
  <c r="Z21" i="6" s="1"/>
  <c r="R20" i="6"/>
  <c r="Y20" i="6" s="1"/>
  <c r="Z20" i="6" s="1"/>
  <c r="R19" i="6"/>
  <c r="Y19" i="6" s="1"/>
  <c r="Z19" i="6" s="1"/>
  <c r="R18" i="6"/>
  <c r="Y18" i="6" s="1"/>
  <c r="Z18" i="6" s="1"/>
  <c r="R17" i="6"/>
  <c r="Y17" i="6" s="1"/>
  <c r="Z17" i="6" s="1"/>
  <c r="R16" i="6"/>
  <c r="Y16" i="6" s="1"/>
  <c r="Z16" i="6" s="1"/>
  <c r="R15" i="6"/>
  <c r="V15" i="6" s="1"/>
  <c r="W15" i="6" s="1"/>
  <c r="R14" i="6"/>
  <c r="V14" i="6" s="1"/>
  <c r="W14" i="6" s="1"/>
  <c r="R13" i="6"/>
  <c r="V13" i="6" s="1"/>
  <c r="W13" i="6" s="1"/>
  <c r="R12" i="6"/>
  <c r="Y12" i="6" s="1"/>
  <c r="Z12" i="6" s="1"/>
  <c r="R11" i="6"/>
  <c r="Y11" i="6" s="1"/>
  <c r="Z11" i="6" s="1"/>
  <c r="V62" i="6" l="1"/>
  <c r="W62" i="6" s="1"/>
  <c r="AP355" i="6"/>
  <c r="V199" i="6"/>
  <c r="W199" i="6" s="1"/>
  <c r="AC354" i="6"/>
  <c r="AC353" i="6"/>
  <c r="V150" i="6"/>
  <c r="W150" i="6" s="1"/>
  <c r="Y345" i="6"/>
  <c r="Z345" i="6" s="1"/>
  <c r="V329" i="6"/>
  <c r="W329" i="6" s="1"/>
  <c r="V153" i="6"/>
  <c r="W153" i="6" s="1"/>
  <c r="V247" i="6"/>
  <c r="W247" i="6" s="1"/>
  <c r="Y262" i="6"/>
  <c r="Z262" i="6" s="1"/>
  <c r="Y307" i="6"/>
  <c r="Z307" i="6" s="1"/>
  <c r="V235" i="6"/>
  <c r="W235" i="6" s="1"/>
  <c r="V248" i="6"/>
  <c r="W248" i="6" s="1"/>
  <c r="V193" i="6"/>
  <c r="W193" i="6" s="1"/>
  <c r="V288" i="6"/>
  <c r="W288" i="6" s="1"/>
  <c r="V303" i="6"/>
  <c r="W303" i="6" s="1"/>
  <c r="V339" i="6"/>
  <c r="W339" i="6" s="1"/>
  <c r="Y96" i="6"/>
  <c r="Z96" i="6" s="1"/>
  <c r="V157" i="6"/>
  <c r="W157" i="6" s="1"/>
  <c r="V200" i="6"/>
  <c r="W200" i="6" s="1"/>
  <c r="Y237" i="6"/>
  <c r="Z237" i="6" s="1"/>
  <c r="Y75" i="6"/>
  <c r="Z75" i="6" s="1"/>
  <c r="V152" i="6"/>
  <c r="W152" i="6" s="1"/>
  <c r="V312" i="6"/>
  <c r="W312" i="6" s="1"/>
  <c r="V160" i="6"/>
  <c r="W160" i="6" s="1"/>
  <c r="Y219" i="6"/>
  <c r="Z219" i="6" s="1"/>
  <c r="V98" i="6"/>
  <c r="W98" i="6" s="1"/>
  <c r="Y76" i="6"/>
  <c r="Z76" i="6" s="1"/>
  <c r="V117" i="6"/>
  <c r="W117" i="6" s="1"/>
  <c r="V137" i="6"/>
  <c r="W137" i="6" s="1"/>
  <c r="V118" i="6"/>
  <c r="W118" i="6" s="1"/>
  <c r="Y139" i="6"/>
  <c r="Z139" i="6" s="1"/>
  <c r="V168" i="6"/>
  <c r="W168" i="6" s="1"/>
  <c r="V223" i="6"/>
  <c r="W223" i="6" s="1"/>
  <c r="V289" i="6"/>
  <c r="W289" i="6" s="1"/>
  <c r="V335" i="6"/>
  <c r="W335" i="6" s="1"/>
  <c r="V347" i="6"/>
  <c r="W347" i="6" s="1"/>
  <c r="V105" i="6"/>
  <c r="W105" i="6" s="1"/>
  <c r="Y124" i="6"/>
  <c r="Z124" i="6" s="1"/>
  <c r="V161" i="6"/>
  <c r="W161" i="6" s="1"/>
  <c r="Y269" i="6"/>
  <c r="Z269" i="6" s="1"/>
  <c r="V88" i="6"/>
  <c r="W88" i="6" s="1"/>
  <c r="V140" i="6"/>
  <c r="W140" i="6" s="1"/>
  <c r="Y147" i="6"/>
  <c r="Z147" i="6" s="1"/>
  <c r="Y163" i="6"/>
  <c r="Z163" i="6" s="1"/>
  <c r="Y169" i="6"/>
  <c r="Z169" i="6" s="1"/>
  <c r="Y176" i="6"/>
  <c r="Z176" i="6" s="1"/>
  <c r="V203" i="6"/>
  <c r="W203" i="6" s="1"/>
  <c r="V232" i="6"/>
  <c r="W232" i="6" s="1"/>
  <c r="Y259" i="6"/>
  <c r="Z259" i="6" s="1"/>
  <c r="V265" i="6"/>
  <c r="W265" i="6" s="1"/>
  <c r="Y297" i="6"/>
  <c r="Z297" i="6" s="1"/>
  <c r="Y310" i="6"/>
  <c r="Z310" i="6" s="1"/>
  <c r="V323" i="6"/>
  <c r="W323" i="6" s="1"/>
  <c r="V343" i="6"/>
  <c r="W343" i="6" s="1"/>
  <c r="Y112" i="6"/>
  <c r="Z112" i="6" s="1"/>
  <c r="V50" i="6"/>
  <c r="W50" i="6" s="1"/>
  <c r="Y275" i="6"/>
  <c r="Z275" i="6" s="1"/>
  <c r="Y287" i="6"/>
  <c r="Z287" i="6" s="1"/>
  <c r="Y311" i="6"/>
  <c r="Z311" i="6" s="1"/>
  <c r="Y15" i="6"/>
  <c r="Z15" i="6" s="1"/>
  <c r="Y80" i="6"/>
  <c r="Z80" i="6" s="1"/>
  <c r="Y91" i="6"/>
  <c r="Z91" i="6" s="1"/>
  <c r="V102" i="6"/>
  <c r="W102" i="6" s="1"/>
  <c r="V132" i="6"/>
  <c r="W132" i="6" s="1"/>
  <c r="Y171" i="6"/>
  <c r="Z171" i="6" s="1"/>
  <c r="Y191" i="6"/>
  <c r="Z191" i="6" s="1"/>
  <c r="V209" i="6"/>
  <c r="W209" i="6" s="1"/>
  <c r="V239" i="6"/>
  <c r="W239" i="6" s="1"/>
  <c r="V264" i="6"/>
  <c r="W264" i="6" s="1"/>
  <c r="V283" i="6"/>
  <c r="W283" i="6" s="1"/>
  <c r="V320" i="6"/>
  <c r="W320" i="6" s="1"/>
  <c r="Y97" i="6"/>
  <c r="Z97" i="6" s="1"/>
  <c r="Y198" i="6"/>
  <c r="Z198" i="6" s="1"/>
  <c r="Y81" i="6"/>
  <c r="Z81" i="6" s="1"/>
  <c r="Y121" i="6"/>
  <c r="Z121" i="6" s="1"/>
  <c r="Y321" i="6"/>
  <c r="Z321" i="6" s="1"/>
  <c r="Y326" i="6"/>
  <c r="Z326" i="6" s="1"/>
  <c r="V26" i="6"/>
  <c r="W26" i="6" s="1"/>
  <c r="V82" i="6"/>
  <c r="W82" i="6" s="1"/>
  <c r="V94" i="6"/>
  <c r="W94" i="6" s="1"/>
  <c r="V122" i="6"/>
  <c r="W122" i="6" s="1"/>
  <c r="V134" i="6"/>
  <c r="W134" i="6" s="1"/>
  <c r="V158" i="6"/>
  <c r="W158" i="6" s="1"/>
  <c r="V211" i="6"/>
  <c r="W211" i="6" s="1"/>
  <c r="V224" i="6"/>
  <c r="W224" i="6" s="1"/>
  <c r="V327" i="6"/>
  <c r="W327" i="6" s="1"/>
  <c r="V333" i="6"/>
  <c r="W333" i="6" s="1"/>
  <c r="V344" i="6"/>
  <c r="W344" i="6" s="1"/>
  <c r="Y243" i="6"/>
  <c r="Z243" i="6" s="1"/>
  <c r="Y30" i="6"/>
  <c r="Z30" i="6" s="1"/>
  <c r="V58" i="6"/>
  <c r="W58" i="6" s="1"/>
  <c r="Y63" i="6"/>
  <c r="Z63" i="6" s="1"/>
  <c r="V70" i="6"/>
  <c r="W70" i="6" s="1"/>
  <c r="Y179" i="6"/>
  <c r="Z179" i="6" s="1"/>
  <c r="V197" i="6"/>
  <c r="W197" i="6" s="1"/>
  <c r="V201" i="6"/>
  <c r="W201" i="6" s="1"/>
  <c r="V205" i="6"/>
  <c r="W205" i="6" s="1"/>
  <c r="Y249" i="6"/>
  <c r="Z249" i="6" s="1"/>
  <c r="Y294" i="6"/>
  <c r="Z294" i="6" s="1"/>
  <c r="V299" i="6"/>
  <c r="W299" i="6" s="1"/>
  <c r="V313" i="6"/>
  <c r="W313" i="6" s="1"/>
  <c r="V337" i="6"/>
  <c r="W337" i="6" s="1"/>
  <c r="Y342" i="6"/>
  <c r="Z342" i="6" s="1"/>
  <c r="V19" i="6"/>
  <c r="W19" i="6" s="1"/>
  <c r="V328" i="6"/>
  <c r="W328" i="6" s="1"/>
  <c r="Y54" i="6"/>
  <c r="Z54" i="6" s="1"/>
  <c r="Y123" i="6"/>
  <c r="Z123" i="6" s="1"/>
  <c r="Y129" i="6"/>
  <c r="Z129" i="6" s="1"/>
  <c r="V142" i="6"/>
  <c r="W142" i="6" s="1"/>
  <c r="V225" i="6"/>
  <c r="W225" i="6" s="1"/>
  <c r="V231" i="6"/>
  <c r="W231" i="6" s="1"/>
  <c r="V251" i="6"/>
  <c r="W251" i="6" s="1"/>
  <c r="Y263" i="6"/>
  <c r="Z263" i="6" s="1"/>
  <c r="V267" i="6"/>
  <c r="W267" i="6" s="1"/>
  <c r="V296" i="6"/>
  <c r="W296" i="6" s="1"/>
  <c r="Y73" i="6"/>
  <c r="Z73" i="6" s="1"/>
  <c r="Y172" i="6"/>
  <c r="Z172" i="6" s="1"/>
  <c r="V177" i="6"/>
  <c r="W177" i="6" s="1"/>
  <c r="V34" i="6"/>
  <c r="W34" i="6" s="1"/>
  <c r="Y22" i="6"/>
  <c r="Z22" i="6" s="1"/>
  <c r="V84" i="6"/>
  <c r="W84" i="6" s="1"/>
  <c r="Y14" i="6"/>
  <c r="Z14" i="6" s="1"/>
  <c r="Y23" i="6"/>
  <c r="Z23" i="6" s="1"/>
  <c r="V27" i="6"/>
  <c r="W27" i="6" s="1"/>
  <c r="Y31" i="6"/>
  <c r="Z31" i="6" s="1"/>
  <c r="V35" i="6"/>
  <c r="W35" i="6" s="1"/>
  <c r="Y39" i="6"/>
  <c r="Z39" i="6" s="1"/>
  <c r="V43" i="6"/>
  <c r="W43" i="6" s="1"/>
  <c r="Y47" i="6"/>
  <c r="Z47" i="6" s="1"/>
  <c r="V51" i="6"/>
  <c r="W51" i="6" s="1"/>
  <c r="Y55" i="6"/>
  <c r="Z55" i="6" s="1"/>
  <c r="V59" i="6"/>
  <c r="W59" i="6" s="1"/>
  <c r="Y65" i="6"/>
  <c r="Z65" i="6" s="1"/>
  <c r="V90" i="6"/>
  <c r="W90" i="6" s="1"/>
  <c r="Y120" i="6"/>
  <c r="Z120" i="6" s="1"/>
  <c r="V126" i="6"/>
  <c r="W126" i="6" s="1"/>
  <c r="V144" i="6"/>
  <c r="W144" i="6" s="1"/>
  <c r="Y156" i="6"/>
  <c r="Z156" i="6" s="1"/>
  <c r="V166" i="6"/>
  <c r="W166" i="6" s="1"/>
  <c r="V182" i="6"/>
  <c r="W182" i="6" s="1"/>
  <c r="Y190" i="6"/>
  <c r="Z190" i="6" s="1"/>
  <c r="V207" i="6"/>
  <c r="W207" i="6" s="1"/>
  <c r="V217" i="6"/>
  <c r="W217" i="6" s="1"/>
  <c r="Y227" i="6"/>
  <c r="Z227" i="6" s="1"/>
  <c r="V241" i="6"/>
  <c r="W241" i="6" s="1"/>
  <c r="V256" i="6"/>
  <c r="W256" i="6" s="1"/>
  <c r="V272" i="6"/>
  <c r="W272" i="6" s="1"/>
  <c r="V279" i="6"/>
  <c r="W279" i="6" s="1"/>
  <c r="V293" i="6"/>
  <c r="W293" i="6" s="1"/>
  <c r="Y334" i="6"/>
  <c r="Z334" i="6" s="1"/>
  <c r="Y99" i="6"/>
  <c r="Z99" i="6" s="1"/>
  <c r="Y108" i="6"/>
  <c r="Z108" i="6" s="1"/>
  <c r="V114" i="6"/>
  <c r="W114" i="6" s="1"/>
  <c r="V304" i="6"/>
  <c r="W304" i="6" s="1"/>
  <c r="Y318" i="6"/>
  <c r="Z318" i="6" s="1"/>
  <c r="V331" i="6"/>
  <c r="W331" i="6" s="1"/>
  <c r="V89" i="6"/>
  <c r="W89" i="6" s="1"/>
  <c r="Y100" i="6"/>
  <c r="Z100" i="6" s="1"/>
  <c r="Y115" i="6"/>
  <c r="Z115" i="6" s="1"/>
  <c r="V136" i="6"/>
  <c r="W136" i="6" s="1"/>
  <c r="V145" i="6"/>
  <c r="W145" i="6" s="1"/>
  <c r="Y148" i="6"/>
  <c r="Z148" i="6" s="1"/>
  <c r="V154" i="6"/>
  <c r="W154" i="6" s="1"/>
  <c r="V173" i="6"/>
  <c r="W173" i="6" s="1"/>
  <c r="V187" i="6"/>
  <c r="W187" i="6" s="1"/>
  <c r="V195" i="6"/>
  <c r="W195" i="6" s="1"/>
  <c r="V208" i="6"/>
  <c r="W208" i="6" s="1"/>
  <c r="V215" i="6"/>
  <c r="W215" i="6" s="1"/>
  <c r="V229" i="6"/>
  <c r="W229" i="6" s="1"/>
  <c r="V257" i="6"/>
  <c r="W257" i="6" s="1"/>
  <c r="V280" i="6"/>
  <c r="W280" i="6" s="1"/>
  <c r="V291" i="6"/>
  <c r="W291" i="6" s="1"/>
  <c r="V301" i="6"/>
  <c r="W301" i="6" s="1"/>
  <c r="V305" i="6"/>
  <c r="W305" i="6" s="1"/>
  <c r="V315" i="6"/>
  <c r="W315" i="6" s="1"/>
  <c r="V319" i="6"/>
  <c r="W319" i="6" s="1"/>
  <c r="Y57" i="6"/>
  <c r="Z57" i="6" s="1"/>
  <c r="V273" i="6"/>
  <c r="W273" i="6" s="1"/>
  <c r="V295" i="6"/>
  <c r="W295" i="6" s="1"/>
  <c r="V11" i="6"/>
  <c r="W11" i="6" s="1"/>
  <c r="V77" i="6"/>
  <c r="W77" i="6" s="1"/>
  <c r="V86" i="6"/>
  <c r="W86" i="6" s="1"/>
  <c r="Y25" i="6"/>
  <c r="Z25" i="6" s="1"/>
  <c r="Y33" i="6"/>
  <c r="Z33" i="6" s="1"/>
  <c r="Y64" i="6"/>
  <c r="Z64" i="6" s="1"/>
  <c r="Y83" i="6"/>
  <c r="Z83" i="6" s="1"/>
  <c r="V92" i="6"/>
  <c r="W92" i="6" s="1"/>
  <c r="V104" i="6"/>
  <c r="W104" i="6" s="1"/>
  <c r="V110" i="6"/>
  <c r="W110" i="6" s="1"/>
  <c r="V113" i="6"/>
  <c r="W113" i="6" s="1"/>
  <c r="V17" i="6"/>
  <c r="W17" i="6" s="1"/>
  <c r="V74" i="6"/>
  <c r="W74" i="6" s="1"/>
  <c r="V78" i="6"/>
  <c r="W78" i="6" s="1"/>
  <c r="V101" i="6"/>
  <c r="W101" i="6" s="1"/>
  <c r="Y116" i="6"/>
  <c r="Z116" i="6" s="1"/>
  <c r="V128" i="6"/>
  <c r="W128" i="6" s="1"/>
  <c r="Y164" i="6"/>
  <c r="Z164" i="6" s="1"/>
  <c r="V170" i="6"/>
  <c r="W170" i="6" s="1"/>
  <c r="V174" i="6"/>
  <c r="W174" i="6" s="1"/>
  <c r="Y180" i="6"/>
  <c r="Z180" i="6" s="1"/>
  <c r="V184" i="6"/>
  <c r="W184" i="6" s="1"/>
  <c r="Y230" i="6"/>
  <c r="Z230" i="6" s="1"/>
  <c r="V233" i="6"/>
  <c r="W233" i="6" s="1"/>
  <c r="V240" i="6"/>
  <c r="W240" i="6" s="1"/>
  <c r="V255" i="6"/>
  <c r="W255" i="6" s="1"/>
  <c r="V261" i="6"/>
  <c r="W261" i="6" s="1"/>
  <c r="V271" i="6"/>
  <c r="W271" i="6" s="1"/>
  <c r="V281" i="6"/>
  <c r="W281" i="6" s="1"/>
  <c r="V336" i="6"/>
  <c r="W336" i="6" s="1"/>
  <c r="Y350" i="6"/>
  <c r="Z350" i="6" s="1"/>
  <c r="V41" i="6"/>
  <c r="W41" i="6" s="1"/>
  <c r="V49" i="6"/>
  <c r="W49" i="6" s="1"/>
  <c r="Y68" i="6"/>
  <c r="Z68" i="6" s="1"/>
  <c r="V72" i="6"/>
  <c r="W72" i="6" s="1"/>
  <c r="Y38" i="6"/>
  <c r="Z38" i="6" s="1"/>
  <c r="V42" i="6"/>
  <c r="W42" i="6" s="1"/>
  <c r="Y46" i="6"/>
  <c r="Z46" i="6" s="1"/>
  <c r="Y107" i="6"/>
  <c r="Z107" i="6" s="1"/>
  <c r="V125" i="6"/>
  <c r="W125" i="6" s="1"/>
  <c r="Y131" i="6"/>
  <c r="Z131" i="6" s="1"/>
  <c r="Y155" i="6"/>
  <c r="Z155" i="6" s="1"/>
  <c r="V216" i="6"/>
  <c r="W216" i="6" s="1"/>
  <c r="V32" i="6"/>
  <c r="W32" i="6" s="1"/>
  <c r="V56" i="6"/>
  <c r="W56" i="6" s="1"/>
  <c r="V69" i="6"/>
  <c r="W69" i="6" s="1"/>
  <c r="Y79" i="6"/>
  <c r="Z79" i="6" s="1"/>
  <c r="V79" i="6"/>
  <c r="W79" i="6" s="1"/>
  <c r="Y103" i="6"/>
  <c r="Z103" i="6" s="1"/>
  <c r="V103" i="6"/>
  <c r="W103" i="6" s="1"/>
  <c r="V245" i="6"/>
  <c r="W245" i="6" s="1"/>
  <c r="V21" i="6"/>
  <c r="W21" i="6" s="1"/>
  <c r="V29" i="6"/>
  <c r="W29" i="6" s="1"/>
  <c r="V37" i="6"/>
  <c r="W37" i="6" s="1"/>
  <c r="V45" i="6"/>
  <c r="W45" i="6" s="1"/>
  <c r="V53" i="6"/>
  <c r="W53" i="6" s="1"/>
  <c r="V61" i="6"/>
  <c r="W61" i="6" s="1"/>
  <c r="V93" i="6"/>
  <c r="W93" i="6" s="1"/>
  <c r="Y111" i="6"/>
  <c r="Z111" i="6" s="1"/>
  <c r="V111" i="6"/>
  <c r="W111" i="6" s="1"/>
  <c r="V138" i="6"/>
  <c r="W138" i="6" s="1"/>
  <c r="Y143" i="6"/>
  <c r="Z143" i="6" s="1"/>
  <c r="V143" i="6"/>
  <c r="W143" i="6" s="1"/>
  <c r="V213" i="6"/>
  <c r="W213" i="6" s="1"/>
  <c r="V220" i="6"/>
  <c r="W220" i="6" s="1"/>
  <c r="Y220" i="6"/>
  <c r="Z220" i="6" s="1"/>
  <c r="V277" i="6"/>
  <c r="W277" i="6" s="1"/>
  <c r="V284" i="6"/>
  <c r="W284" i="6" s="1"/>
  <c r="Y284" i="6"/>
  <c r="Z284" i="6" s="1"/>
  <c r="V16" i="6"/>
  <c r="W16" i="6" s="1"/>
  <c r="V67" i="6"/>
  <c r="W67" i="6" s="1"/>
  <c r="Y40" i="6"/>
  <c r="Z40" i="6" s="1"/>
  <c r="Y48" i="6"/>
  <c r="Z48" i="6" s="1"/>
  <c r="Y119" i="6"/>
  <c r="Z119" i="6" s="1"/>
  <c r="V119" i="6"/>
  <c r="W119" i="6" s="1"/>
  <c r="Y151" i="6"/>
  <c r="Z151" i="6" s="1"/>
  <c r="V151" i="6"/>
  <c r="W151" i="6" s="1"/>
  <c r="V196" i="6"/>
  <c r="W196" i="6" s="1"/>
  <c r="Y196" i="6"/>
  <c r="Z196" i="6" s="1"/>
  <c r="V133" i="6"/>
  <c r="W133" i="6" s="1"/>
  <c r="V178" i="6"/>
  <c r="W178" i="6" s="1"/>
  <c r="V252" i="6"/>
  <c r="W252" i="6" s="1"/>
  <c r="Y252" i="6"/>
  <c r="Z252" i="6" s="1"/>
  <c r="Y24" i="6"/>
  <c r="Z24" i="6" s="1"/>
  <c r="Y13" i="6"/>
  <c r="Z13" i="6" s="1"/>
  <c r="V106" i="6"/>
  <c r="W106" i="6" s="1"/>
  <c r="V109" i="6"/>
  <c r="W109" i="6" s="1"/>
  <c r="Y127" i="6"/>
  <c r="Z127" i="6" s="1"/>
  <c r="V127" i="6"/>
  <c r="W127" i="6" s="1"/>
  <c r="V141" i="6"/>
  <c r="W141" i="6" s="1"/>
  <c r="Y159" i="6"/>
  <c r="Z159" i="6" s="1"/>
  <c r="V159" i="6"/>
  <c r="W159" i="6" s="1"/>
  <c r="Y185" i="6"/>
  <c r="Z185" i="6" s="1"/>
  <c r="V185" i="6"/>
  <c r="W185" i="6" s="1"/>
  <c r="V189" i="6"/>
  <c r="W189" i="6" s="1"/>
  <c r="V238" i="6"/>
  <c r="W238" i="6" s="1"/>
  <c r="Y238" i="6"/>
  <c r="Z238" i="6" s="1"/>
  <c r="Y250" i="6"/>
  <c r="Z250" i="6" s="1"/>
  <c r="V250" i="6"/>
  <c r="W250" i="6" s="1"/>
  <c r="Y309" i="6"/>
  <c r="Z309" i="6" s="1"/>
  <c r="V309" i="6"/>
  <c r="W309" i="6" s="1"/>
  <c r="V181" i="6"/>
  <c r="W181" i="6" s="1"/>
  <c r="Y314" i="6"/>
  <c r="Z314" i="6" s="1"/>
  <c r="V314" i="6"/>
  <c r="W314" i="6" s="1"/>
  <c r="V18" i="6"/>
  <c r="W18" i="6" s="1"/>
  <c r="V12" i="6"/>
  <c r="W12" i="6" s="1"/>
  <c r="V20" i="6"/>
  <c r="W20" i="6" s="1"/>
  <c r="V28" i="6"/>
  <c r="W28" i="6" s="1"/>
  <c r="V36" i="6"/>
  <c r="W36" i="6" s="1"/>
  <c r="V44" i="6"/>
  <c r="W44" i="6" s="1"/>
  <c r="V52" i="6"/>
  <c r="W52" i="6" s="1"/>
  <c r="V60" i="6"/>
  <c r="W60" i="6" s="1"/>
  <c r="Y87" i="6"/>
  <c r="Z87" i="6" s="1"/>
  <c r="V87" i="6"/>
  <c r="W87" i="6" s="1"/>
  <c r="V146" i="6"/>
  <c r="W146" i="6" s="1"/>
  <c r="V149" i="6"/>
  <c r="W149" i="6" s="1"/>
  <c r="Y167" i="6"/>
  <c r="Z167" i="6" s="1"/>
  <c r="V167" i="6"/>
  <c r="W167" i="6" s="1"/>
  <c r="V206" i="6"/>
  <c r="W206" i="6" s="1"/>
  <c r="Y206" i="6"/>
  <c r="Z206" i="6" s="1"/>
  <c r="Y218" i="6"/>
  <c r="Z218" i="6" s="1"/>
  <c r="V218" i="6"/>
  <c r="W218" i="6" s="1"/>
  <c r="V270" i="6"/>
  <c r="W270" i="6" s="1"/>
  <c r="Y270" i="6"/>
  <c r="Z270" i="6" s="1"/>
  <c r="Y282" i="6"/>
  <c r="Z282" i="6" s="1"/>
  <c r="V282" i="6"/>
  <c r="W282" i="6" s="1"/>
  <c r="Y175" i="6"/>
  <c r="Z175" i="6" s="1"/>
  <c r="V175" i="6"/>
  <c r="W175" i="6" s="1"/>
  <c r="Y95" i="6"/>
  <c r="Z95" i="6" s="1"/>
  <c r="V95" i="6"/>
  <c r="W95" i="6" s="1"/>
  <c r="V66" i="6"/>
  <c r="W66" i="6" s="1"/>
  <c r="Y71" i="6"/>
  <c r="Z71" i="6" s="1"/>
  <c r="V71" i="6"/>
  <c r="W71" i="6" s="1"/>
  <c r="V85" i="6"/>
  <c r="W85" i="6" s="1"/>
  <c r="V130" i="6"/>
  <c r="W130" i="6" s="1"/>
  <c r="Y135" i="6"/>
  <c r="Z135" i="6" s="1"/>
  <c r="V135" i="6"/>
  <c r="W135" i="6" s="1"/>
  <c r="V162" i="6"/>
  <c r="W162" i="6" s="1"/>
  <c r="V165" i="6"/>
  <c r="W165" i="6" s="1"/>
  <c r="Y183" i="6"/>
  <c r="Z183" i="6" s="1"/>
  <c r="V183" i="6"/>
  <c r="W183" i="6" s="1"/>
  <c r="Y194" i="6"/>
  <c r="Z194" i="6" s="1"/>
  <c r="V194" i="6"/>
  <c r="W194" i="6" s="1"/>
  <c r="V228" i="6"/>
  <c r="W228" i="6" s="1"/>
  <c r="Y228" i="6"/>
  <c r="Z228" i="6" s="1"/>
  <c r="V260" i="6"/>
  <c r="W260" i="6" s="1"/>
  <c r="Y260" i="6"/>
  <c r="Z260" i="6" s="1"/>
  <c r="V292" i="6"/>
  <c r="W292" i="6" s="1"/>
  <c r="Y292" i="6"/>
  <c r="Z292" i="6" s="1"/>
  <c r="Y330" i="6"/>
  <c r="Z330" i="6" s="1"/>
  <c r="V330" i="6"/>
  <c r="W330" i="6" s="1"/>
  <c r="V192" i="6"/>
  <c r="W192" i="6" s="1"/>
  <c r="V221" i="6"/>
  <c r="W221" i="6" s="1"/>
  <c r="Y226" i="6"/>
  <c r="Z226" i="6" s="1"/>
  <c r="V226" i="6"/>
  <c r="W226" i="6" s="1"/>
  <c r="V253" i="6"/>
  <c r="W253" i="6" s="1"/>
  <c r="Y258" i="6"/>
  <c r="Z258" i="6" s="1"/>
  <c r="V258" i="6"/>
  <c r="W258" i="6" s="1"/>
  <c r="V285" i="6"/>
  <c r="W285" i="6" s="1"/>
  <c r="Y290" i="6"/>
  <c r="Z290" i="6" s="1"/>
  <c r="V290" i="6"/>
  <c r="W290" i="6" s="1"/>
  <c r="Y306" i="6"/>
  <c r="Z306" i="6" s="1"/>
  <c r="V306" i="6"/>
  <c r="W306" i="6" s="1"/>
  <c r="V349" i="6"/>
  <c r="W349" i="6" s="1"/>
  <c r="V204" i="6"/>
  <c r="W204" i="6" s="1"/>
  <c r="Y204" i="6"/>
  <c r="Z204" i="6" s="1"/>
  <c r="Y214" i="6"/>
  <c r="Z214" i="6" s="1"/>
  <c r="V236" i="6"/>
  <c r="W236" i="6" s="1"/>
  <c r="Y236" i="6"/>
  <c r="Z236" i="6" s="1"/>
  <c r="Y246" i="6"/>
  <c r="Z246" i="6" s="1"/>
  <c r="V268" i="6"/>
  <c r="W268" i="6" s="1"/>
  <c r="Y268" i="6"/>
  <c r="Z268" i="6" s="1"/>
  <c r="Y278" i="6"/>
  <c r="Z278" i="6" s="1"/>
  <c r="Y298" i="6"/>
  <c r="Z298" i="6" s="1"/>
  <c r="V298" i="6"/>
  <c r="W298" i="6" s="1"/>
  <c r="V325" i="6"/>
  <c r="W325" i="6" s="1"/>
  <c r="Y346" i="6"/>
  <c r="Z346" i="6" s="1"/>
  <c r="V346" i="6"/>
  <c r="W346" i="6" s="1"/>
  <c r="V188" i="6"/>
  <c r="W188" i="6" s="1"/>
  <c r="Y188" i="6"/>
  <c r="Z188" i="6" s="1"/>
  <c r="Y202" i="6"/>
  <c r="Z202" i="6" s="1"/>
  <c r="V202" i="6"/>
  <c r="W202" i="6" s="1"/>
  <c r="Y234" i="6"/>
  <c r="Z234" i="6" s="1"/>
  <c r="V234" i="6"/>
  <c r="W234" i="6" s="1"/>
  <c r="Y266" i="6"/>
  <c r="Z266" i="6" s="1"/>
  <c r="V266" i="6"/>
  <c r="W266" i="6" s="1"/>
  <c r="Y322" i="6"/>
  <c r="Z322" i="6" s="1"/>
  <c r="V322" i="6"/>
  <c r="W322" i="6" s="1"/>
  <c r="Y186" i="6"/>
  <c r="Z186" i="6" s="1"/>
  <c r="V186" i="6"/>
  <c r="W186" i="6" s="1"/>
  <c r="V212" i="6"/>
  <c r="W212" i="6" s="1"/>
  <c r="Y212" i="6"/>
  <c r="Z212" i="6" s="1"/>
  <c r="Y222" i="6"/>
  <c r="Z222" i="6" s="1"/>
  <c r="V244" i="6"/>
  <c r="W244" i="6" s="1"/>
  <c r="Y244" i="6"/>
  <c r="Z244" i="6" s="1"/>
  <c r="Y254" i="6"/>
  <c r="Z254" i="6" s="1"/>
  <c r="V276" i="6"/>
  <c r="W276" i="6" s="1"/>
  <c r="Y276" i="6"/>
  <c r="Z276" i="6" s="1"/>
  <c r="Y286" i="6"/>
  <c r="Z286" i="6" s="1"/>
  <c r="V341" i="6"/>
  <c r="W341" i="6" s="1"/>
  <c r="Y210" i="6"/>
  <c r="Z210" i="6" s="1"/>
  <c r="V210" i="6"/>
  <c r="W210" i="6" s="1"/>
  <c r="Y242" i="6"/>
  <c r="Z242" i="6" s="1"/>
  <c r="V242" i="6"/>
  <c r="W242" i="6" s="1"/>
  <c r="Y274" i="6"/>
  <c r="Z274" i="6" s="1"/>
  <c r="V274" i="6"/>
  <c r="W274" i="6" s="1"/>
  <c r="Y302" i="6"/>
  <c r="Z302" i="6" s="1"/>
  <c r="V317" i="6"/>
  <c r="W317" i="6" s="1"/>
  <c r="Y338" i="6"/>
  <c r="Z338" i="6" s="1"/>
  <c r="V338" i="6"/>
  <c r="W338" i="6" s="1"/>
  <c r="Y351" i="6"/>
  <c r="Z351" i="6" s="1"/>
  <c r="Y300" i="6"/>
  <c r="Z300" i="6" s="1"/>
  <c r="Y308" i="6"/>
  <c r="Z308" i="6" s="1"/>
  <c r="Y316" i="6"/>
  <c r="Z316" i="6" s="1"/>
  <c r="Y324" i="6"/>
  <c r="Z324" i="6" s="1"/>
  <c r="Y332" i="6"/>
  <c r="Z332" i="6" s="1"/>
  <c r="Y340" i="6"/>
  <c r="Z340" i="6" s="1"/>
  <c r="Y348" i="6"/>
  <c r="Z348" i="6" s="1"/>
  <c r="AC355" i="6" l="1"/>
  <c r="Z354" i="6"/>
  <c r="W354" i="6"/>
  <c r="Z353" i="6"/>
  <c r="W353" i="6"/>
  <c r="W355" i="6" l="1"/>
  <c r="Z355" i="6"/>
  <c r="L12" i="1" l="1"/>
  <c r="L13" i="1"/>
  <c r="L14" i="1"/>
  <c r="L15" i="1"/>
  <c r="L16" i="1"/>
  <c r="L17" i="1"/>
  <c r="L18" i="1"/>
  <c r="L19" i="1"/>
  <c r="L20" i="1"/>
  <c r="L21" i="1"/>
  <c r="L22" i="1"/>
  <c r="L23" i="1"/>
  <c r="L24" i="1"/>
  <c r="P24" i="1" s="1"/>
  <c r="Q24" i="1" s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S44" i="1" s="1"/>
  <c r="T44" i="1" s="1"/>
  <c r="L45" i="1"/>
  <c r="L46" i="1"/>
  <c r="P46" i="1" s="1"/>
  <c r="Q46" i="1" s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P61" i="1" s="1"/>
  <c r="Q61" i="1" s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P78" i="1" s="1"/>
  <c r="Q78" i="1" s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P93" i="1" s="1"/>
  <c r="Q93" i="1" s="1"/>
  <c r="L94" i="1"/>
  <c r="L95" i="1"/>
  <c r="L96" i="1"/>
  <c r="L97" i="1"/>
  <c r="L98" i="1"/>
  <c r="L99" i="1"/>
  <c r="L100" i="1"/>
  <c r="S100" i="1" s="1"/>
  <c r="T100" i="1" s="1"/>
  <c r="L101" i="1"/>
  <c r="L102" i="1"/>
  <c r="L103" i="1"/>
  <c r="L104" i="1"/>
  <c r="L105" i="1"/>
  <c r="L106" i="1"/>
  <c r="L107" i="1"/>
  <c r="L108" i="1"/>
  <c r="L109" i="1"/>
  <c r="L110" i="1"/>
  <c r="P110" i="1" s="1"/>
  <c r="Q110" i="1" s="1"/>
  <c r="L111" i="1"/>
  <c r="P111" i="1" s="1"/>
  <c r="Q111" i="1" s="1"/>
  <c r="L112" i="1"/>
  <c r="L113" i="1"/>
  <c r="L114" i="1"/>
  <c r="L115" i="1"/>
  <c r="L116" i="1"/>
  <c r="S116" i="1" s="1"/>
  <c r="T116" i="1" s="1"/>
  <c r="L117" i="1"/>
  <c r="L118" i="1"/>
  <c r="L119" i="1"/>
  <c r="L120" i="1"/>
  <c r="L121" i="1"/>
  <c r="L122" i="1"/>
  <c r="L123" i="1"/>
  <c r="L124" i="1"/>
  <c r="L125" i="1"/>
  <c r="P125" i="1" s="1"/>
  <c r="Q125" i="1" s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P140" i="1" s="1"/>
  <c r="Q140" i="1" s="1"/>
  <c r="L141" i="1"/>
  <c r="L142" i="1"/>
  <c r="L143" i="1"/>
  <c r="L144" i="1"/>
  <c r="L145" i="1"/>
  <c r="L146" i="1"/>
  <c r="L147" i="1"/>
  <c r="L148" i="1"/>
  <c r="P148" i="1" s="1"/>
  <c r="Q148" i="1" s="1"/>
  <c r="L149" i="1"/>
  <c r="P149" i="1" s="1"/>
  <c r="Q149" i="1" s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P164" i="1" s="1"/>
  <c r="Q164" i="1" s="1"/>
  <c r="L165" i="1"/>
  <c r="P165" i="1" s="1"/>
  <c r="Q165" i="1" s="1"/>
  <c r="L166" i="1"/>
  <c r="L167" i="1"/>
  <c r="L168" i="1"/>
  <c r="L169" i="1"/>
  <c r="L170" i="1"/>
  <c r="L171" i="1"/>
  <c r="L172" i="1"/>
  <c r="P172" i="1" s="1"/>
  <c r="Q172" i="1" s="1"/>
  <c r="L173" i="1"/>
  <c r="L174" i="1"/>
  <c r="S174" i="1" s="1"/>
  <c r="T174" i="1" s="1"/>
  <c r="L175" i="1"/>
  <c r="L176" i="1"/>
  <c r="L177" i="1"/>
  <c r="L178" i="1"/>
  <c r="L179" i="1"/>
  <c r="L180" i="1"/>
  <c r="P180" i="1" s="1"/>
  <c r="Q180" i="1" s="1"/>
  <c r="L181" i="1"/>
  <c r="L182" i="1"/>
  <c r="L183" i="1"/>
  <c r="L184" i="1"/>
  <c r="L185" i="1"/>
  <c r="L186" i="1"/>
  <c r="L187" i="1"/>
  <c r="L188" i="1"/>
  <c r="S188" i="1" s="1"/>
  <c r="T188" i="1" s="1"/>
  <c r="L189" i="1"/>
  <c r="L190" i="1"/>
  <c r="S190" i="1" s="1"/>
  <c r="T190" i="1" s="1"/>
  <c r="L191" i="1"/>
  <c r="L192" i="1"/>
  <c r="P192" i="1" s="1"/>
  <c r="Q192" i="1" s="1"/>
  <c r="L193" i="1"/>
  <c r="L194" i="1"/>
  <c r="L195" i="1"/>
  <c r="L196" i="1"/>
  <c r="L197" i="1"/>
  <c r="L198" i="1"/>
  <c r="L199" i="1"/>
  <c r="L200" i="1"/>
  <c r="L201" i="1"/>
  <c r="L202" i="1"/>
  <c r="L203" i="1"/>
  <c r="L204" i="1"/>
  <c r="P204" i="1" s="1"/>
  <c r="Q204" i="1" s="1"/>
  <c r="L205" i="1"/>
  <c r="P205" i="1" s="1"/>
  <c r="Q205" i="1" s="1"/>
  <c r="L206" i="1"/>
  <c r="L207" i="1"/>
  <c r="L208" i="1"/>
  <c r="L209" i="1"/>
  <c r="L210" i="1"/>
  <c r="L211" i="1"/>
  <c r="L212" i="1"/>
  <c r="P212" i="1" s="1"/>
  <c r="Q212" i="1" s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P228" i="1" s="1"/>
  <c r="Q228" i="1" s="1"/>
  <c r="L229" i="1"/>
  <c r="P229" i="1" s="1"/>
  <c r="Q229" i="1" s="1"/>
  <c r="L230" i="1"/>
  <c r="L231" i="1"/>
  <c r="L232" i="1"/>
  <c r="L233" i="1"/>
  <c r="L234" i="1"/>
  <c r="L235" i="1"/>
  <c r="L236" i="1"/>
  <c r="P236" i="1" s="1"/>
  <c r="Q236" i="1" s="1"/>
  <c r="L237" i="1"/>
  <c r="L238" i="1"/>
  <c r="S238" i="1" s="1"/>
  <c r="T238" i="1" s="1"/>
  <c r="L239" i="1"/>
  <c r="L240" i="1"/>
  <c r="L241" i="1"/>
  <c r="L242" i="1"/>
  <c r="L243" i="1"/>
  <c r="L244" i="1"/>
  <c r="P244" i="1" s="1"/>
  <c r="Q244" i="1" s="1"/>
  <c r="L245" i="1"/>
  <c r="L246" i="1"/>
  <c r="L247" i="1"/>
  <c r="L248" i="1"/>
  <c r="L249" i="1"/>
  <c r="L250" i="1"/>
  <c r="L251" i="1"/>
  <c r="L252" i="1"/>
  <c r="P252" i="1" s="1"/>
  <c r="Q252" i="1" s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P268" i="1" s="1"/>
  <c r="Q268" i="1" s="1"/>
  <c r="L269" i="1"/>
  <c r="P269" i="1" s="1"/>
  <c r="Q269" i="1" s="1"/>
  <c r="L270" i="1"/>
  <c r="L271" i="1"/>
  <c r="L272" i="1"/>
  <c r="L273" i="1"/>
  <c r="L274" i="1"/>
  <c r="L275" i="1"/>
  <c r="L276" i="1"/>
  <c r="P276" i="1" s="1"/>
  <c r="Q276" i="1" s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P292" i="1" s="1"/>
  <c r="Q292" i="1" s="1"/>
  <c r="L293" i="1"/>
  <c r="P293" i="1" s="1"/>
  <c r="Q293" i="1" s="1"/>
  <c r="L294" i="1"/>
  <c r="S294" i="1" s="1"/>
  <c r="T294" i="1" s="1"/>
  <c r="L295" i="1"/>
  <c r="L296" i="1"/>
  <c r="L297" i="1"/>
  <c r="L298" i="1"/>
  <c r="L299" i="1"/>
  <c r="L300" i="1"/>
  <c r="P300" i="1" s="1"/>
  <c r="Q300" i="1" s="1"/>
  <c r="L301" i="1"/>
  <c r="L302" i="1"/>
  <c r="S302" i="1" s="1"/>
  <c r="T302" i="1" s="1"/>
  <c r="L303" i="1"/>
  <c r="L304" i="1"/>
  <c r="L305" i="1"/>
  <c r="L306" i="1"/>
  <c r="L307" i="1"/>
  <c r="L308" i="1"/>
  <c r="P308" i="1" s="1"/>
  <c r="Q308" i="1" s="1"/>
  <c r="L309" i="1"/>
  <c r="L310" i="1"/>
  <c r="L311" i="1"/>
  <c r="L312" i="1"/>
  <c r="L313" i="1"/>
  <c r="L314" i="1"/>
  <c r="L315" i="1"/>
  <c r="L316" i="1"/>
  <c r="S316" i="1" s="1"/>
  <c r="T316" i="1" s="1"/>
  <c r="L317" i="1"/>
  <c r="L318" i="1"/>
  <c r="L319" i="1"/>
  <c r="L320" i="1"/>
  <c r="L321" i="1"/>
  <c r="L322" i="1"/>
  <c r="L323" i="1"/>
  <c r="L324" i="1"/>
  <c r="P324" i="1" s="1"/>
  <c r="Q324" i="1" s="1"/>
  <c r="L325" i="1"/>
  <c r="L326" i="1"/>
  <c r="L327" i="1"/>
  <c r="L328" i="1"/>
  <c r="L329" i="1"/>
  <c r="L330" i="1"/>
  <c r="L331" i="1"/>
  <c r="L332" i="1"/>
  <c r="P332" i="1" s="1"/>
  <c r="Q332" i="1" s="1"/>
  <c r="L333" i="1"/>
  <c r="P333" i="1" s="1"/>
  <c r="Q333" i="1" s="1"/>
  <c r="L334" i="1"/>
  <c r="L335" i="1"/>
  <c r="L336" i="1"/>
  <c r="L337" i="1"/>
  <c r="L338" i="1"/>
  <c r="L339" i="1"/>
  <c r="L340" i="1"/>
  <c r="P340" i="1" s="1"/>
  <c r="Q340" i="1" s="1"/>
  <c r="L341" i="1"/>
  <c r="L342" i="1"/>
  <c r="L343" i="1"/>
  <c r="L344" i="1"/>
  <c r="L345" i="1"/>
  <c r="L346" i="1"/>
  <c r="L347" i="1"/>
  <c r="L348" i="1"/>
  <c r="L349" i="1"/>
  <c r="L350" i="1"/>
  <c r="L351" i="1"/>
  <c r="L11" i="1"/>
  <c r="P347" i="1" l="1"/>
  <c r="Q347" i="1" s="1"/>
  <c r="P339" i="1"/>
  <c r="Q339" i="1" s="1"/>
  <c r="P331" i="1"/>
  <c r="Q331" i="1" s="1"/>
  <c r="P315" i="1"/>
  <c r="Q315" i="1" s="1"/>
  <c r="P307" i="1"/>
  <c r="Q307" i="1" s="1"/>
  <c r="P291" i="1"/>
  <c r="Q291" i="1" s="1"/>
  <c r="P283" i="1"/>
  <c r="Q283" i="1" s="1"/>
  <c r="P275" i="1"/>
  <c r="Q275" i="1" s="1"/>
  <c r="P267" i="1"/>
  <c r="Q267" i="1" s="1"/>
  <c r="P251" i="1"/>
  <c r="Q251" i="1" s="1"/>
  <c r="P243" i="1"/>
  <c r="Q243" i="1" s="1"/>
  <c r="P227" i="1"/>
  <c r="Q227" i="1" s="1"/>
  <c r="P219" i="1"/>
  <c r="Q219" i="1" s="1"/>
  <c r="P211" i="1"/>
  <c r="Q211" i="1" s="1"/>
  <c r="P203" i="1"/>
  <c r="Q203" i="1" s="1"/>
  <c r="P187" i="1"/>
  <c r="Q187" i="1" s="1"/>
  <c r="P179" i="1"/>
  <c r="Q179" i="1" s="1"/>
  <c r="P163" i="1"/>
  <c r="Q163" i="1" s="1"/>
  <c r="P155" i="1"/>
  <c r="Q155" i="1" s="1"/>
  <c r="S147" i="1"/>
  <c r="T147" i="1" s="1"/>
  <c r="P139" i="1"/>
  <c r="Q139" i="1" s="1"/>
  <c r="P123" i="1"/>
  <c r="Q123" i="1" s="1"/>
  <c r="P107" i="1"/>
  <c r="Q107" i="1" s="1"/>
  <c r="P91" i="1"/>
  <c r="Q91" i="1" s="1"/>
  <c r="P75" i="1"/>
  <c r="Q75" i="1" s="1"/>
  <c r="S43" i="1"/>
  <c r="T43" i="1" s="1"/>
  <c r="P35" i="1"/>
  <c r="Q35" i="1" s="1"/>
  <c r="P59" i="1"/>
  <c r="Q59" i="1" s="1"/>
  <c r="P346" i="1"/>
  <c r="Q346" i="1" s="1"/>
  <c r="P338" i="1"/>
  <c r="Q338" i="1" s="1"/>
  <c r="P330" i="1"/>
  <c r="Q330" i="1" s="1"/>
  <c r="P322" i="1"/>
  <c r="Q322" i="1" s="1"/>
  <c r="P314" i="1"/>
  <c r="Q314" i="1" s="1"/>
  <c r="P306" i="1"/>
  <c r="Q306" i="1" s="1"/>
  <c r="P290" i="1"/>
  <c r="Q290" i="1" s="1"/>
  <c r="P282" i="1"/>
  <c r="Q282" i="1" s="1"/>
  <c r="P274" i="1"/>
  <c r="Q274" i="1" s="1"/>
  <c r="P266" i="1"/>
  <c r="Q266" i="1" s="1"/>
  <c r="P258" i="1"/>
  <c r="Q258" i="1" s="1"/>
  <c r="P250" i="1"/>
  <c r="Q250" i="1" s="1"/>
  <c r="P242" i="1"/>
  <c r="Q242" i="1" s="1"/>
  <c r="P226" i="1"/>
  <c r="Q226" i="1" s="1"/>
  <c r="P218" i="1"/>
  <c r="Q218" i="1" s="1"/>
  <c r="P210" i="1"/>
  <c r="Q210" i="1" s="1"/>
  <c r="P202" i="1"/>
  <c r="Q202" i="1" s="1"/>
  <c r="P194" i="1"/>
  <c r="Q194" i="1" s="1"/>
  <c r="P186" i="1"/>
  <c r="Q186" i="1" s="1"/>
  <c r="P178" i="1"/>
  <c r="Q178" i="1" s="1"/>
  <c r="P162" i="1"/>
  <c r="Q162" i="1" s="1"/>
  <c r="P154" i="1"/>
  <c r="Q154" i="1" s="1"/>
  <c r="P138" i="1"/>
  <c r="Q138" i="1" s="1"/>
  <c r="P130" i="1"/>
  <c r="Q130" i="1" s="1"/>
  <c r="S66" i="1"/>
  <c r="T66" i="1" s="1"/>
  <c r="S50" i="1"/>
  <c r="T50" i="1" s="1"/>
  <c r="P25" i="1"/>
  <c r="Q25" i="1" s="1"/>
  <c r="P317" i="1"/>
  <c r="Q317" i="1" s="1"/>
  <c r="S253" i="1"/>
  <c r="T253" i="1" s="1"/>
  <c r="P43" i="1"/>
  <c r="Q43" i="1" s="1"/>
  <c r="S189" i="1"/>
  <c r="T189" i="1" s="1"/>
  <c r="P261" i="1"/>
  <c r="Q261" i="1" s="1"/>
  <c r="P189" i="1"/>
  <c r="Q189" i="1" s="1"/>
  <c r="P325" i="1"/>
  <c r="Q325" i="1" s="1"/>
  <c r="P141" i="1"/>
  <c r="Q141" i="1" s="1"/>
  <c r="P253" i="1"/>
  <c r="Q253" i="1" s="1"/>
  <c r="S344" i="1"/>
  <c r="T344" i="1" s="1"/>
  <c r="S328" i="1"/>
  <c r="T328" i="1" s="1"/>
  <c r="P328" i="1"/>
  <c r="Q328" i="1" s="1"/>
  <c r="S304" i="1"/>
  <c r="T304" i="1" s="1"/>
  <c r="P304" i="1"/>
  <c r="Q304" i="1" s="1"/>
  <c r="S264" i="1"/>
  <c r="T264" i="1" s="1"/>
  <c r="P264" i="1"/>
  <c r="Q264" i="1" s="1"/>
  <c r="S232" i="1"/>
  <c r="T232" i="1" s="1"/>
  <c r="S184" i="1"/>
  <c r="T184" i="1" s="1"/>
  <c r="P184" i="1"/>
  <c r="Q184" i="1" s="1"/>
  <c r="S144" i="1"/>
  <c r="T144" i="1" s="1"/>
  <c r="P144" i="1"/>
  <c r="Q144" i="1" s="1"/>
  <c r="P104" i="1"/>
  <c r="Q104" i="1" s="1"/>
  <c r="S64" i="1"/>
  <c r="T64" i="1" s="1"/>
  <c r="P64" i="1"/>
  <c r="Q64" i="1" s="1"/>
  <c r="S32" i="1"/>
  <c r="T32" i="1" s="1"/>
  <c r="P32" i="1"/>
  <c r="Q32" i="1" s="1"/>
  <c r="S319" i="1"/>
  <c r="T319" i="1" s="1"/>
  <c r="P319" i="1"/>
  <c r="Q319" i="1" s="1"/>
  <c r="S295" i="1"/>
  <c r="T295" i="1" s="1"/>
  <c r="P295" i="1"/>
  <c r="Q295" i="1" s="1"/>
  <c r="S255" i="1"/>
  <c r="T255" i="1" s="1"/>
  <c r="P255" i="1"/>
  <c r="Q255" i="1" s="1"/>
  <c r="S231" i="1"/>
  <c r="T231" i="1" s="1"/>
  <c r="P231" i="1"/>
  <c r="Q231" i="1" s="1"/>
  <c r="S183" i="1"/>
  <c r="T183" i="1" s="1"/>
  <c r="P183" i="1"/>
  <c r="Q183" i="1" s="1"/>
  <c r="S143" i="1"/>
  <c r="T143" i="1" s="1"/>
  <c r="P143" i="1"/>
  <c r="Q143" i="1" s="1"/>
  <c r="S103" i="1"/>
  <c r="T103" i="1" s="1"/>
  <c r="P103" i="1"/>
  <c r="Q103" i="1" s="1"/>
  <c r="S87" i="1"/>
  <c r="T87" i="1" s="1"/>
  <c r="P87" i="1"/>
  <c r="Q87" i="1" s="1"/>
  <c r="S47" i="1"/>
  <c r="T47" i="1" s="1"/>
  <c r="P47" i="1"/>
  <c r="Q47" i="1" s="1"/>
  <c r="S15" i="1"/>
  <c r="T15" i="1" s="1"/>
  <c r="P15" i="1"/>
  <c r="Q15" i="1" s="1"/>
  <c r="S256" i="1"/>
  <c r="T256" i="1" s="1"/>
  <c r="P208" i="1"/>
  <c r="Q208" i="1" s="1"/>
  <c r="S208" i="1"/>
  <c r="T208" i="1" s="1"/>
  <c r="S168" i="1"/>
  <c r="T168" i="1" s="1"/>
  <c r="S136" i="1"/>
  <c r="T136" i="1" s="1"/>
  <c r="P136" i="1"/>
  <c r="Q136" i="1" s="1"/>
  <c r="S96" i="1"/>
  <c r="T96" i="1" s="1"/>
  <c r="S56" i="1"/>
  <c r="T56" i="1" s="1"/>
  <c r="P56" i="1"/>
  <c r="Q56" i="1" s="1"/>
  <c r="S335" i="1"/>
  <c r="T335" i="1" s="1"/>
  <c r="P335" i="1"/>
  <c r="Q335" i="1" s="1"/>
  <c r="S287" i="1"/>
  <c r="T287" i="1" s="1"/>
  <c r="P287" i="1"/>
  <c r="Q287" i="1" s="1"/>
  <c r="S247" i="1"/>
  <c r="T247" i="1" s="1"/>
  <c r="P247" i="1"/>
  <c r="Q247" i="1" s="1"/>
  <c r="S207" i="1"/>
  <c r="T207" i="1" s="1"/>
  <c r="P207" i="1"/>
  <c r="Q207" i="1" s="1"/>
  <c r="S175" i="1"/>
  <c r="T175" i="1" s="1"/>
  <c r="P175" i="1"/>
  <c r="Q175" i="1" s="1"/>
  <c r="S127" i="1"/>
  <c r="T127" i="1" s="1"/>
  <c r="P127" i="1"/>
  <c r="Q127" i="1" s="1"/>
  <c r="S79" i="1"/>
  <c r="T79" i="1" s="1"/>
  <c r="S39" i="1"/>
  <c r="T39" i="1" s="1"/>
  <c r="P39" i="1"/>
  <c r="Q39" i="1" s="1"/>
  <c r="S296" i="1"/>
  <c r="T296" i="1" s="1"/>
  <c r="S104" i="1"/>
  <c r="T104" i="1" s="1"/>
  <c r="S11" i="1"/>
  <c r="T11" i="1" s="1"/>
  <c r="P11" i="1"/>
  <c r="Q11" i="1" s="1"/>
  <c r="S312" i="1"/>
  <c r="T312" i="1" s="1"/>
  <c r="P312" i="1"/>
  <c r="Q312" i="1" s="1"/>
  <c r="P272" i="1"/>
  <c r="Q272" i="1" s="1"/>
  <c r="S272" i="1"/>
  <c r="T272" i="1" s="1"/>
  <c r="S224" i="1"/>
  <c r="T224" i="1" s="1"/>
  <c r="P224" i="1"/>
  <c r="Q224" i="1" s="1"/>
  <c r="S176" i="1"/>
  <c r="T176" i="1" s="1"/>
  <c r="P176" i="1"/>
  <c r="Q176" i="1" s="1"/>
  <c r="S128" i="1"/>
  <c r="T128" i="1" s="1"/>
  <c r="S88" i="1"/>
  <c r="T88" i="1" s="1"/>
  <c r="P88" i="1"/>
  <c r="Q88" i="1" s="1"/>
  <c r="S40" i="1"/>
  <c r="T40" i="1" s="1"/>
  <c r="P40" i="1"/>
  <c r="Q40" i="1" s="1"/>
  <c r="S311" i="1"/>
  <c r="T311" i="1" s="1"/>
  <c r="P311" i="1"/>
  <c r="Q311" i="1" s="1"/>
  <c r="S271" i="1"/>
  <c r="T271" i="1" s="1"/>
  <c r="P271" i="1"/>
  <c r="Q271" i="1" s="1"/>
  <c r="S215" i="1"/>
  <c r="T215" i="1" s="1"/>
  <c r="P215" i="1"/>
  <c r="Q215" i="1" s="1"/>
  <c r="S167" i="1"/>
  <c r="T167" i="1" s="1"/>
  <c r="P167" i="1"/>
  <c r="Q167" i="1" s="1"/>
  <c r="S111" i="1"/>
  <c r="T111" i="1" s="1"/>
  <c r="S55" i="1"/>
  <c r="T55" i="1" s="1"/>
  <c r="P55" i="1"/>
  <c r="Q55" i="1" s="1"/>
  <c r="P296" i="1"/>
  <c r="Q296" i="1" s="1"/>
  <c r="S348" i="1"/>
  <c r="T348" i="1" s="1"/>
  <c r="P348" i="1"/>
  <c r="Q348" i="1" s="1"/>
  <c r="P232" i="1"/>
  <c r="Q232" i="1" s="1"/>
  <c r="P344" i="1"/>
  <c r="Q344" i="1" s="1"/>
  <c r="P128" i="1"/>
  <c r="Q128" i="1" s="1"/>
  <c r="P79" i="1"/>
  <c r="Q79" i="1" s="1"/>
  <c r="P336" i="1"/>
  <c r="Q336" i="1" s="1"/>
  <c r="S336" i="1"/>
  <c r="T336" i="1" s="1"/>
  <c r="S288" i="1"/>
  <c r="T288" i="1" s="1"/>
  <c r="P288" i="1"/>
  <c r="Q288" i="1" s="1"/>
  <c r="S248" i="1"/>
  <c r="T248" i="1" s="1"/>
  <c r="P248" i="1"/>
  <c r="Q248" i="1" s="1"/>
  <c r="S200" i="1"/>
  <c r="T200" i="1" s="1"/>
  <c r="P200" i="1"/>
  <c r="Q200" i="1" s="1"/>
  <c r="S160" i="1"/>
  <c r="T160" i="1" s="1"/>
  <c r="P160" i="1"/>
  <c r="Q160" i="1" s="1"/>
  <c r="S120" i="1"/>
  <c r="T120" i="1" s="1"/>
  <c r="P120" i="1"/>
  <c r="Q120" i="1" s="1"/>
  <c r="S80" i="1"/>
  <c r="T80" i="1" s="1"/>
  <c r="P80" i="1"/>
  <c r="Q80" i="1" s="1"/>
  <c r="S48" i="1"/>
  <c r="T48" i="1" s="1"/>
  <c r="P48" i="1"/>
  <c r="Q48" i="1" s="1"/>
  <c r="S16" i="1"/>
  <c r="T16" i="1" s="1"/>
  <c r="P16" i="1"/>
  <c r="Q16" i="1" s="1"/>
  <c r="S343" i="1"/>
  <c r="T343" i="1" s="1"/>
  <c r="P343" i="1"/>
  <c r="Q343" i="1" s="1"/>
  <c r="S279" i="1"/>
  <c r="T279" i="1" s="1"/>
  <c r="P279" i="1"/>
  <c r="Q279" i="1" s="1"/>
  <c r="S239" i="1"/>
  <c r="T239" i="1" s="1"/>
  <c r="P239" i="1"/>
  <c r="Q239" i="1" s="1"/>
  <c r="S199" i="1"/>
  <c r="T199" i="1" s="1"/>
  <c r="P199" i="1"/>
  <c r="Q199" i="1" s="1"/>
  <c r="P159" i="1"/>
  <c r="Q159" i="1" s="1"/>
  <c r="S159" i="1"/>
  <c r="T159" i="1" s="1"/>
  <c r="S119" i="1"/>
  <c r="T119" i="1" s="1"/>
  <c r="P119" i="1"/>
  <c r="Q119" i="1" s="1"/>
  <c r="S71" i="1"/>
  <c r="T71" i="1" s="1"/>
  <c r="P71" i="1"/>
  <c r="Q71" i="1" s="1"/>
  <c r="S23" i="1"/>
  <c r="T23" i="1" s="1"/>
  <c r="P23" i="1"/>
  <c r="Q23" i="1" s="1"/>
  <c r="P96" i="1"/>
  <c r="Q96" i="1" s="1"/>
  <c r="P168" i="1"/>
  <c r="Q168" i="1" s="1"/>
  <c r="P256" i="1"/>
  <c r="Q256" i="1" s="1"/>
  <c r="S320" i="1"/>
  <c r="T320" i="1" s="1"/>
  <c r="S280" i="1"/>
  <c r="T280" i="1" s="1"/>
  <c r="S240" i="1"/>
  <c r="T240" i="1" s="1"/>
  <c r="P240" i="1"/>
  <c r="Q240" i="1" s="1"/>
  <c r="S216" i="1"/>
  <c r="T216" i="1" s="1"/>
  <c r="P216" i="1"/>
  <c r="Q216" i="1" s="1"/>
  <c r="S192" i="1"/>
  <c r="T192" i="1" s="1"/>
  <c r="S152" i="1"/>
  <c r="T152" i="1" s="1"/>
  <c r="P152" i="1"/>
  <c r="Q152" i="1" s="1"/>
  <c r="S112" i="1"/>
  <c r="T112" i="1" s="1"/>
  <c r="S72" i="1"/>
  <c r="T72" i="1" s="1"/>
  <c r="P72" i="1"/>
  <c r="Q72" i="1" s="1"/>
  <c r="S24" i="1"/>
  <c r="T24" i="1" s="1"/>
  <c r="S351" i="1"/>
  <c r="T351" i="1" s="1"/>
  <c r="P351" i="1"/>
  <c r="Q351" i="1" s="1"/>
  <c r="S327" i="1"/>
  <c r="T327" i="1" s="1"/>
  <c r="P327" i="1"/>
  <c r="Q327" i="1" s="1"/>
  <c r="S303" i="1"/>
  <c r="T303" i="1" s="1"/>
  <c r="P303" i="1"/>
  <c r="Q303" i="1" s="1"/>
  <c r="S263" i="1"/>
  <c r="T263" i="1" s="1"/>
  <c r="P263" i="1"/>
  <c r="Q263" i="1" s="1"/>
  <c r="S223" i="1"/>
  <c r="T223" i="1" s="1"/>
  <c r="P223" i="1"/>
  <c r="Q223" i="1" s="1"/>
  <c r="S191" i="1"/>
  <c r="T191" i="1" s="1"/>
  <c r="P191" i="1"/>
  <c r="Q191" i="1" s="1"/>
  <c r="S151" i="1"/>
  <c r="T151" i="1" s="1"/>
  <c r="P151" i="1"/>
  <c r="Q151" i="1" s="1"/>
  <c r="S135" i="1"/>
  <c r="T135" i="1" s="1"/>
  <c r="P135" i="1"/>
  <c r="Q135" i="1" s="1"/>
  <c r="S95" i="1"/>
  <c r="T95" i="1" s="1"/>
  <c r="P95" i="1"/>
  <c r="Q95" i="1" s="1"/>
  <c r="S63" i="1"/>
  <c r="T63" i="1" s="1"/>
  <c r="P63" i="1"/>
  <c r="Q63" i="1" s="1"/>
  <c r="S31" i="1"/>
  <c r="T31" i="1" s="1"/>
  <c r="P31" i="1"/>
  <c r="Q31" i="1" s="1"/>
  <c r="P320" i="1"/>
  <c r="Q320" i="1" s="1"/>
  <c r="S345" i="1"/>
  <c r="T345" i="1" s="1"/>
  <c r="P345" i="1"/>
  <c r="Q345" i="1" s="1"/>
  <c r="S337" i="1"/>
  <c r="T337" i="1" s="1"/>
  <c r="P337" i="1"/>
  <c r="Q337" i="1" s="1"/>
  <c r="S329" i="1"/>
  <c r="T329" i="1" s="1"/>
  <c r="P329" i="1"/>
  <c r="Q329" i="1" s="1"/>
  <c r="S321" i="1"/>
  <c r="T321" i="1" s="1"/>
  <c r="P321" i="1"/>
  <c r="Q321" i="1" s="1"/>
  <c r="S313" i="1"/>
  <c r="T313" i="1" s="1"/>
  <c r="P313" i="1"/>
  <c r="Q313" i="1" s="1"/>
  <c r="S305" i="1"/>
  <c r="T305" i="1" s="1"/>
  <c r="P305" i="1"/>
  <c r="Q305" i="1" s="1"/>
  <c r="S297" i="1"/>
  <c r="T297" i="1" s="1"/>
  <c r="P297" i="1"/>
  <c r="Q297" i="1" s="1"/>
  <c r="S289" i="1"/>
  <c r="T289" i="1" s="1"/>
  <c r="P289" i="1"/>
  <c r="Q289" i="1" s="1"/>
  <c r="S281" i="1"/>
  <c r="T281" i="1" s="1"/>
  <c r="P281" i="1"/>
  <c r="Q281" i="1" s="1"/>
  <c r="S273" i="1"/>
  <c r="T273" i="1" s="1"/>
  <c r="P273" i="1"/>
  <c r="Q273" i="1" s="1"/>
  <c r="S265" i="1"/>
  <c r="T265" i="1" s="1"/>
  <c r="P265" i="1"/>
  <c r="Q265" i="1" s="1"/>
  <c r="S257" i="1"/>
  <c r="T257" i="1" s="1"/>
  <c r="P257" i="1"/>
  <c r="Q257" i="1" s="1"/>
  <c r="S249" i="1"/>
  <c r="T249" i="1" s="1"/>
  <c r="P249" i="1"/>
  <c r="Q249" i="1" s="1"/>
  <c r="S241" i="1"/>
  <c r="T241" i="1" s="1"/>
  <c r="P241" i="1"/>
  <c r="Q241" i="1" s="1"/>
  <c r="S233" i="1"/>
  <c r="T233" i="1" s="1"/>
  <c r="P233" i="1"/>
  <c r="Q233" i="1" s="1"/>
  <c r="S225" i="1"/>
  <c r="T225" i="1" s="1"/>
  <c r="P225" i="1"/>
  <c r="Q225" i="1" s="1"/>
  <c r="S217" i="1"/>
  <c r="T217" i="1" s="1"/>
  <c r="P217" i="1"/>
  <c r="Q217" i="1" s="1"/>
  <c r="S209" i="1"/>
  <c r="T209" i="1" s="1"/>
  <c r="P209" i="1"/>
  <c r="Q209" i="1" s="1"/>
  <c r="S201" i="1"/>
  <c r="T201" i="1" s="1"/>
  <c r="P201" i="1"/>
  <c r="Q201" i="1" s="1"/>
  <c r="S193" i="1"/>
  <c r="T193" i="1" s="1"/>
  <c r="P193" i="1"/>
  <c r="Q193" i="1" s="1"/>
  <c r="S185" i="1"/>
  <c r="T185" i="1" s="1"/>
  <c r="P185" i="1"/>
  <c r="Q185" i="1" s="1"/>
  <c r="S177" i="1"/>
  <c r="T177" i="1" s="1"/>
  <c r="P177" i="1"/>
  <c r="Q177" i="1" s="1"/>
  <c r="S169" i="1"/>
  <c r="T169" i="1" s="1"/>
  <c r="P169" i="1"/>
  <c r="Q169" i="1" s="1"/>
  <c r="S161" i="1"/>
  <c r="T161" i="1" s="1"/>
  <c r="P161" i="1"/>
  <c r="Q161" i="1" s="1"/>
  <c r="S153" i="1"/>
  <c r="T153" i="1" s="1"/>
  <c r="P153" i="1"/>
  <c r="Q153" i="1" s="1"/>
  <c r="S145" i="1"/>
  <c r="T145" i="1" s="1"/>
  <c r="P145" i="1"/>
  <c r="Q145" i="1" s="1"/>
  <c r="S137" i="1"/>
  <c r="T137" i="1" s="1"/>
  <c r="P137" i="1"/>
  <c r="Q137" i="1" s="1"/>
  <c r="S129" i="1"/>
  <c r="T129" i="1" s="1"/>
  <c r="P129" i="1"/>
  <c r="Q129" i="1" s="1"/>
  <c r="S121" i="1"/>
  <c r="T121" i="1" s="1"/>
  <c r="P121" i="1"/>
  <c r="Q121" i="1" s="1"/>
  <c r="S113" i="1"/>
  <c r="T113" i="1" s="1"/>
  <c r="P113" i="1"/>
  <c r="Q113" i="1" s="1"/>
  <c r="S105" i="1"/>
  <c r="T105" i="1" s="1"/>
  <c r="P105" i="1"/>
  <c r="Q105" i="1" s="1"/>
  <c r="S97" i="1"/>
  <c r="T97" i="1" s="1"/>
  <c r="P97" i="1"/>
  <c r="Q97" i="1" s="1"/>
  <c r="S89" i="1"/>
  <c r="T89" i="1" s="1"/>
  <c r="P89" i="1"/>
  <c r="Q89" i="1" s="1"/>
  <c r="S81" i="1"/>
  <c r="T81" i="1" s="1"/>
  <c r="P81" i="1"/>
  <c r="Q81" i="1" s="1"/>
  <c r="S73" i="1"/>
  <c r="T73" i="1" s="1"/>
  <c r="P73" i="1"/>
  <c r="Q73" i="1" s="1"/>
  <c r="P65" i="1"/>
  <c r="Q65" i="1" s="1"/>
  <c r="S65" i="1"/>
  <c r="T65" i="1" s="1"/>
  <c r="S57" i="1"/>
  <c r="T57" i="1" s="1"/>
  <c r="P57" i="1"/>
  <c r="Q57" i="1" s="1"/>
  <c r="S49" i="1"/>
  <c r="T49" i="1" s="1"/>
  <c r="P49" i="1"/>
  <c r="Q49" i="1" s="1"/>
  <c r="S41" i="1"/>
  <c r="T41" i="1" s="1"/>
  <c r="P41" i="1"/>
  <c r="Q41" i="1" s="1"/>
  <c r="S33" i="1"/>
  <c r="T33" i="1" s="1"/>
  <c r="P33" i="1"/>
  <c r="Q33" i="1" s="1"/>
  <c r="S25" i="1"/>
  <c r="T25" i="1" s="1"/>
  <c r="S17" i="1"/>
  <c r="T17" i="1" s="1"/>
  <c r="P17" i="1"/>
  <c r="Q17" i="1" s="1"/>
  <c r="P280" i="1"/>
  <c r="Q280" i="1" s="1"/>
  <c r="P112" i="1"/>
  <c r="Q112" i="1" s="1"/>
  <c r="P350" i="1"/>
  <c r="Q350" i="1" s="1"/>
  <c r="S350" i="1"/>
  <c r="T350" i="1" s="1"/>
  <c r="P342" i="1"/>
  <c r="Q342" i="1" s="1"/>
  <c r="S342" i="1"/>
  <c r="T342" i="1" s="1"/>
  <c r="P334" i="1"/>
  <c r="Q334" i="1" s="1"/>
  <c r="S334" i="1"/>
  <c r="T334" i="1" s="1"/>
  <c r="S326" i="1"/>
  <c r="T326" i="1" s="1"/>
  <c r="P326" i="1"/>
  <c r="Q326" i="1" s="1"/>
  <c r="P318" i="1"/>
  <c r="Q318" i="1" s="1"/>
  <c r="P310" i="1"/>
  <c r="Q310" i="1" s="1"/>
  <c r="S310" i="1"/>
  <c r="T310" i="1" s="1"/>
  <c r="P302" i="1"/>
  <c r="Q302" i="1" s="1"/>
  <c r="P294" i="1"/>
  <c r="Q294" i="1" s="1"/>
  <c r="P286" i="1"/>
  <c r="Q286" i="1" s="1"/>
  <c r="S286" i="1"/>
  <c r="T286" i="1" s="1"/>
  <c r="P278" i="1"/>
  <c r="Q278" i="1" s="1"/>
  <c r="S278" i="1"/>
  <c r="T278" i="1" s="1"/>
  <c r="P270" i="1"/>
  <c r="Q270" i="1" s="1"/>
  <c r="S270" i="1"/>
  <c r="T270" i="1" s="1"/>
  <c r="S262" i="1"/>
  <c r="T262" i="1" s="1"/>
  <c r="P262" i="1"/>
  <c r="Q262" i="1" s="1"/>
  <c r="P254" i="1"/>
  <c r="Q254" i="1" s="1"/>
  <c r="P246" i="1"/>
  <c r="Q246" i="1" s="1"/>
  <c r="S246" i="1"/>
  <c r="T246" i="1" s="1"/>
  <c r="P238" i="1"/>
  <c r="Q238" i="1" s="1"/>
  <c r="P230" i="1"/>
  <c r="Q230" i="1" s="1"/>
  <c r="P222" i="1"/>
  <c r="Q222" i="1" s="1"/>
  <c r="S222" i="1"/>
  <c r="T222" i="1" s="1"/>
  <c r="P214" i="1"/>
  <c r="Q214" i="1" s="1"/>
  <c r="S214" i="1"/>
  <c r="T214" i="1" s="1"/>
  <c r="P206" i="1"/>
  <c r="Q206" i="1" s="1"/>
  <c r="S206" i="1"/>
  <c r="T206" i="1" s="1"/>
  <c r="S198" i="1"/>
  <c r="T198" i="1" s="1"/>
  <c r="P198" i="1"/>
  <c r="Q198" i="1" s="1"/>
  <c r="P190" i="1"/>
  <c r="Q190" i="1" s="1"/>
  <c r="P182" i="1"/>
  <c r="Q182" i="1" s="1"/>
  <c r="S182" i="1"/>
  <c r="T182" i="1" s="1"/>
  <c r="P174" i="1"/>
  <c r="Q174" i="1" s="1"/>
  <c r="P166" i="1"/>
  <c r="Q166" i="1" s="1"/>
  <c r="S158" i="1"/>
  <c r="T158" i="1" s="1"/>
  <c r="P158" i="1"/>
  <c r="Q158" i="1" s="1"/>
  <c r="S150" i="1"/>
  <c r="T150" i="1" s="1"/>
  <c r="P150" i="1"/>
  <c r="Q150" i="1" s="1"/>
  <c r="S142" i="1"/>
  <c r="T142" i="1" s="1"/>
  <c r="P142" i="1"/>
  <c r="Q142" i="1" s="1"/>
  <c r="S134" i="1"/>
  <c r="T134" i="1" s="1"/>
  <c r="P134" i="1"/>
  <c r="Q134" i="1" s="1"/>
  <c r="S126" i="1"/>
  <c r="T126" i="1" s="1"/>
  <c r="P126" i="1"/>
  <c r="Q126" i="1" s="1"/>
  <c r="S118" i="1"/>
  <c r="T118" i="1" s="1"/>
  <c r="S110" i="1"/>
  <c r="T110" i="1" s="1"/>
  <c r="S102" i="1"/>
  <c r="T102" i="1" s="1"/>
  <c r="S94" i="1"/>
  <c r="T94" i="1" s="1"/>
  <c r="P94" i="1"/>
  <c r="Q94" i="1" s="1"/>
  <c r="S86" i="1"/>
  <c r="T86" i="1" s="1"/>
  <c r="S78" i="1"/>
  <c r="T78" i="1" s="1"/>
  <c r="S70" i="1"/>
  <c r="T70" i="1" s="1"/>
  <c r="S62" i="1"/>
  <c r="T62" i="1" s="1"/>
  <c r="P62" i="1"/>
  <c r="Q62" i="1" s="1"/>
  <c r="S54" i="1"/>
  <c r="T54" i="1" s="1"/>
  <c r="S46" i="1"/>
  <c r="T46" i="1" s="1"/>
  <c r="S38" i="1"/>
  <c r="T38" i="1" s="1"/>
  <c r="S30" i="1"/>
  <c r="T30" i="1" s="1"/>
  <c r="P30" i="1"/>
  <c r="Q30" i="1" s="1"/>
  <c r="S22" i="1"/>
  <c r="T22" i="1" s="1"/>
  <c r="P22" i="1"/>
  <c r="Q22" i="1" s="1"/>
  <c r="S14" i="1"/>
  <c r="T14" i="1" s="1"/>
  <c r="P341" i="1"/>
  <c r="Q341" i="1" s="1"/>
  <c r="P316" i="1"/>
  <c r="Q316" i="1" s="1"/>
  <c r="P277" i="1"/>
  <c r="Q277" i="1" s="1"/>
  <c r="P213" i="1"/>
  <c r="Q213" i="1" s="1"/>
  <c r="P188" i="1"/>
  <c r="Q188" i="1" s="1"/>
  <c r="P38" i="1"/>
  <c r="Q38" i="1" s="1"/>
  <c r="S341" i="1"/>
  <c r="T341" i="1" s="1"/>
  <c r="S230" i="1"/>
  <c r="T230" i="1" s="1"/>
  <c r="S349" i="1"/>
  <c r="T349" i="1" s="1"/>
  <c r="S333" i="1"/>
  <c r="T333" i="1" s="1"/>
  <c r="S309" i="1"/>
  <c r="T309" i="1" s="1"/>
  <c r="S301" i="1"/>
  <c r="T301" i="1" s="1"/>
  <c r="S293" i="1"/>
  <c r="T293" i="1" s="1"/>
  <c r="S285" i="1"/>
  <c r="T285" i="1" s="1"/>
  <c r="S269" i="1"/>
  <c r="T269" i="1" s="1"/>
  <c r="S245" i="1"/>
  <c r="T245" i="1" s="1"/>
  <c r="S237" i="1"/>
  <c r="T237" i="1" s="1"/>
  <c r="S229" i="1"/>
  <c r="T229" i="1" s="1"/>
  <c r="S221" i="1"/>
  <c r="T221" i="1" s="1"/>
  <c r="S205" i="1"/>
  <c r="T205" i="1" s="1"/>
  <c r="S181" i="1"/>
  <c r="T181" i="1" s="1"/>
  <c r="S173" i="1"/>
  <c r="T173" i="1" s="1"/>
  <c r="S165" i="1"/>
  <c r="T165" i="1" s="1"/>
  <c r="S157" i="1"/>
  <c r="T157" i="1" s="1"/>
  <c r="S149" i="1"/>
  <c r="T149" i="1" s="1"/>
  <c r="S125" i="1"/>
  <c r="T125" i="1" s="1"/>
  <c r="S117" i="1"/>
  <c r="T117" i="1" s="1"/>
  <c r="P117" i="1"/>
  <c r="Q117" i="1" s="1"/>
  <c r="S109" i="1"/>
  <c r="T109" i="1" s="1"/>
  <c r="P109" i="1"/>
  <c r="Q109" i="1" s="1"/>
  <c r="S101" i="1"/>
  <c r="T101" i="1" s="1"/>
  <c r="S93" i="1"/>
  <c r="T93" i="1" s="1"/>
  <c r="S85" i="1"/>
  <c r="T85" i="1" s="1"/>
  <c r="P85" i="1"/>
  <c r="Q85" i="1" s="1"/>
  <c r="S77" i="1"/>
  <c r="T77" i="1" s="1"/>
  <c r="P77" i="1"/>
  <c r="Q77" i="1" s="1"/>
  <c r="S69" i="1"/>
  <c r="T69" i="1" s="1"/>
  <c r="S61" i="1"/>
  <c r="T61" i="1" s="1"/>
  <c r="S53" i="1"/>
  <c r="T53" i="1" s="1"/>
  <c r="P53" i="1"/>
  <c r="Q53" i="1" s="1"/>
  <c r="S45" i="1"/>
  <c r="T45" i="1" s="1"/>
  <c r="P45" i="1"/>
  <c r="Q45" i="1" s="1"/>
  <c r="S37" i="1"/>
  <c r="T37" i="1" s="1"/>
  <c r="S29" i="1"/>
  <c r="T29" i="1" s="1"/>
  <c r="S21" i="1"/>
  <c r="T21" i="1" s="1"/>
  <c r="P21" i="1"/>
  <c r="Q21" i="1" s="1"/>
  <c r="S13" i="1"/>
  <c r="T13" i="1" s="1"/>
  <c r="P13" i="1"/>
  <c r="Q13" i="1" s="1"/>
  <c r="P301" i="1"/>
  <c r="Q301" i="1" s="1"/>
  <c r="P237" i="1"/>
  <c r="Q237" i="1" s="1"/>
  <c r="P173" i="1"/>
  <c r="Q173" i="1" s="1"/>
  <c r="P70" i="1"/>
  <c r="Q70" i="1" s="1"/>
  <c r="P54" i="1"/>
  <c r="Q54" i="1" s="1"/>
  <c r="P37" i="1"/>
  <c r="Q37" i="1" s="1"/>
  <c r="S277" i="1"/>
  <c r="T277" i="1" s="1"/>
  <c r="S166" i="1"/>
  <c r="T166" i="1" s="1"/>
  <c r="S276" i="1"/>
  <c r="T276" i="1" s="1"/>
  <c r="S196" i="1"/>
  <c r="T196" i="1" s="1"/>
  <c r="P84" i="1"/>
  <c r="Q84" i="1" s="1"/>
  <c r="S84" i="1"/>
  <c r="T84" i="1" s="1"/>
  <c r="P197" i="1"/>
  <c r="Q197" i="1" s="1"/>
  <c r="P147" i="1"/>
  <c r="Q147" i="1" s="1"/>
  <c r="P133" i="1"/>
  <c r="Q133" i="1" s="1"/>
  <c r="P102" i="1"/>
  <c r="Q102" i="1" s="1"/>
  <c r="P86" i="1"/>
  <c r="Q86" i="1" s="1"/>
  <c r="P69" i="1"/>
  <c r="Q69" i="1" s="1"/>
  <c r="P14" i="1"/>
  <c r="Q14" i="1" s="1"/>
  <c r="S325" i="1"/>
  <c r="T325" i="1" s="1"/>
  <c r="S213" i="1"/>
  <c r="T213" i="1" s="1"/>
  <c r="S146" i="1"/>
  <c r="T146" i="1" s="1"/>
  <c r="S300" i="1"/>
  <c r="T300" i="1" s="1"/>
  <c r="S284" i="1"/>
  <c r="T284" i="1" s="1"/>
  <c r="S260" i="1"/>
  <c r="T260" i="1" s="1"/>
  <c r="S244" i="1"/>
  <c r="T244" i="1" s="1"/>
  <c r="S228" i="1"/>
  <c r="T228" i="1" s="1"/>
  <c r="S220" i="1"/>
  <c r="T220" i="1" s="1"/>
  <c r="S212" i="1"/>
  <c r="T212" i="1" s="1"/>
  <c r="S204" i="1"/>
  <c r="T204" i="1" s="1"/>
  <c r="S180" i="1"/>
  <c r="T180" i="1" s="1"/>
  <c r="S164" i="1"/>
  <c r="T164" i="1" s="1"/>
  <c r="S148" i="1"/>
  <c r="T148" i="1" s="1"/>
  <c r="S132" i="1"/>
  <c r="T132" i="1" s="1"/>
  <c r="P116" i="1"/>
  <c r="Q116" i="1" s="1"/>
  <c r="P100" i="1"/>
  <c r="Q100" i="1" s="1"/>
  <c r="S76" i="1"/>
  <c r="T76" i="1" s="1"/>
  <c r="P76" i="1"/>
  <c r="Q76" i="1" s="1"/>
  <c r="S60" i="1"/>
  <c r="T60" i="1" s="1"/>
  <c r="P60" i="1"/>
  <c r="Q60" i="1" s="1"/>
  <c r="P44" i="1"/>
  <c r="Q44" i="1" s="1"/>
  <c r="P28" i="1"/>
  <c r="Q28" i="1" s="1"/>
  <c r="S28" i="1"/>
  <c r="T28" i="1" s="1"/>
  <c r="S12" i="1"/>
  <c r="T12" i="1" s="1"/>
  <c r="P12" i="1"/>
  <c r="Q12" i="1" s="1"/>
  <c r="S347" i="1"/>
  <c r="T347" i="1" s="1"/>
  <c r="S339" i="1"/>
  <c r="T339" i="1" s="1"/>
  <c r="S331" i="1"/>
  <c r="T331" i="1" s="1"/>
  <c r="S323" i="1"/>
  <c r="T323" i="1" s="1"/>
  <c r="S315" i="1"/>
  <c r="T315" i="1" s="1"/>
  <c r="S307" i="1"/>
  <c r="T307" i="1" s="1"/>
  <c r="S299" i="1"/>
  <c r="T299" i="1" s="1"/>
  <c r="S291" i="1"/>
  <c r="T291" i="1" s="1"/>
  <c r="S283" i="1"/>
  <c r="T283" i="1" s="1"/>
  <c r="S275" i="1"/>
  <c r="T275" i="1" s="1"/>
  <c r="S267" i="1"/>
  <c r="T267" i="1" s="1"/>
  <c r="S259" i="1"/>
  <c r="T259" i="1" s="1"/>
  <c r="S251" i="1"/>
  <c r="T251" i="1" s="1"/>
  <c r="S243" i="1"/>
  <c r="T243" i="1" s="1"/>
  <c r="S235" i="1"/>
  <c r="T235" i="1" s="1"/>
  <c r="S227" i="1"/>
  <c r="T227" i="1" s="1"/>
  <c r="S219" i="1"/>
  <c r="T219" i="1" s="1"/>
  <c r="S211" i="1"/>
  <c r="T211" i="1" s="1"/>
  <c r="S203" i="1"/>
  <c r="T203" i="1" s="1"/>
  <c r="S195" i="1"/>
  <c r="T195" i="1" s="1"/>
  <c r="S187" i="1"/>
  <c r="T187" i="1" s="1"/>
  <c r="S179" i="1"/>
  <c r="T179" i="1" s="1"/>
  <c r="S171" i="1"/>
  <c r="T171" i="1" s="1"/>
  <c r="S163" i="1"/>
  <c r="T163" i="1" s="1"/>
  <c r="S155" i="1"/>
  <c r="T155" i="1" s="1"/>
  <c r="S139" i="1"/>
  <c r="T139" i="1" s="1"/>
  <c r="S131" i="1"/>
  <c r="T131" i="1" s="1"/>
  <c r="S123" i="1"/>
  <c r="T123" i="1" s="1"/>
  <c r="S115" i="1"/>
  <c r="T115" i="1" s="1"/>
  <c r="P115" i="1"/>
  <c r="Q115" i="1" s="1"/>
  <c r="S107" i="1"/>
  <c r="T107" i="1" s="1"/>
  <c r="S99" i="1"/>
  <c r="T99" i="1" s="1"/>
  <c r="S91" i="1"/>
  <c r="T91" i="1" s="1"/>
  <c r="S83" i="1"/>
  <c r="T83" i="1" s="1"/>
  <c r="P83" i="1"/>
  <c r="Q83" i="1" s="1"/>
  <c r="S75" i="1"/>
  <c r="T75" i="1" s="1"/>
  <c r="S67" i="1"/>
  <c r="T67" i="1" s="1"/>
  <c r="S59" i="1"/>
  <c r="T59" i="1" s="1"/>
  <c r="S51" i="1"/>
  <c r="T51" i="1" s="1"/>
  <c r="P51" i="1"/>
  <c r="Q51" i="1" s="1"/>
  <c r="S35" i="1"/>
  <c r="T35" i="1" s="1"/>
  <c r="S27" i="1"/>
  <c r="T27" i="1" s="1"/>
  <c r="S19" i="1"/>
  <c r="T19" i="1" s="1"/>
  <c r="P19" i="1"/>
  <c r="Q19" i="1" s="1"/>
  <c r="P349" i="1"/>
  <c r="Q349" i="1" s="1"/>
  <c r="P299" i="1"/>
  <c r="Q299" i="1" s="1"/>
  <c r="P285" i="1"/>
  <c r="Q285" i="1" s="1"/>
  <c r="P260" i="1"/>
  <c r="Q260" i="1" s="1"/>
  <c r="P235" i="1"/>
  <c r="Q235" i="1" s="1"/>
  <c r="P221" i="1"/>
  <c r="Q221" i="1" s="1"/>
  <c r="P196" i="1"/>
  <c r="Q196" i="1" s="1"/>
  <c r="P171" i="1"/>
  <c r="Q171" i="1" s="1"/>
  <c r="P157" i="1"/>
  <c r="Q157" i="1" s="1"/>
  <c r="P146" i="1"/>
  <c r="Q146" i="1" s="1"/>
  <c r="P132" i="1"/>
  <c r="Q132" i="1" s="1"/>
  <c r="P118" i="1"/>
  <c r="Q118" i="1" s="1"/>
  <c r="P101" i="1"/>
  <c r="Q101" i="1" s="1"/>
  <c r="P67" i="1"/>
  <c r="Q67" i="1" s="1"/>
  <c r="P29" i="1"/>
  <c r="Q29" i="1" s="1"/>
  <c r="S318" i="1"/>
  <c r="T318" i="1" s="1"/>
  <c r="S261" i="1"/>
  <c r="T261" i="1" s="1"/>
  <c r="S141" i="1"/>
  <c r="T141" i="1" s="1"/>
  <c r="S340" i="1"/>
  <c r="T340" i="1" s="1"/>
  <c r="S332" i="1"/>
  <c r="T332" i="1" s="1"/>
  <c r="S324" i="1"/>
  <c r="T324" i="1" s="1"/>
  <c r="S308" i="1"/>
  <c r="T308" i="1" s="1"/>
  <c r="S292" i="1"/>
  <c r="T292" i="1" s="1"/>
  <c r="S268" i="1"/>
  <c r="T268" i="1" s="1"/>
  <c r="S252" i="1"/>
  <c r="T252" i="1" s="1"/>
  <c r="S236" i="1"/>
  <c r="T236" i="1" s="1"/>
  <c r="S172" i="1"/>
  <c r="T172" i="1" s="1"/>
  <c r="S156" i="1"/>
  <c r="T156" i="1" s="1"/>
  <c r="S140" i="1"/>
  <c r="T140" i="1" s="1"/>
  <c r="S124" i="1"/>
  <c r="T124" i="1" s="1"/>
  <c r="P124" i="1"/>
  <c r="Q124" i="1" s="1"/>
  <c r="S108" i="1"/>
  <c r="T108" i="1" s="1"/>
  <c r="P108" i="1"/>
  <c r="Q108" i="1" s="1"/>
  <c r="S92" i="1"/>
  <c r="T92" i="1" s="1"/>
  <c r="P92" i="1"/>
  <c r="Q92" i="1" s="1"/>
  <c r="P68" i="1"/>
  <c r="Q68" i="1" s="1"/>
  <c r="S68" i="1"/>
  <c r="T68" i="1" s="1"/>
  <c r="S52" i="1"/>
  <c r="T52" i="1" s="1"/>
  <c r="P52" i="1"/>
  <c r="Q52" i="1" s="1"/>
  <c r="S36" i="1"/>
  <c r="T36" i="1" s="1"/>
  <c r="P36" i="1"/>
  <c r="Q36" i="1" s="1"/>
  <c r="P20" i="1"/>
  <c r="Q20" i="1" s="1"/>
  <c r="S20" i="1"/>
  <c r="T20" i="1" s="1"/>
  <c r="S346" i="1"/>
  <c r="T346" i="1" s="1"/>
  <c r="S338" i="1"/>
  <c r="T338" i="1" s="1"/>
  <c r="S330" i="1"/>
  <c r="T330" i="1" s="1"/>
  <c r="S322" i="1"/>
  <c r="T322" i="1" s="1"/>
  <c r="S314" i="1"/>
  <c r="T314" i="1" s="1"/>
  <c r="S306" i="1"/>
  <c r="T306" i="1" s="1"/>
  <c r="S298" i="1"/>
  <c r="T298" i="1" s="1"/>
  <c r="S290" i="1"/>
  <c r="T290" i="1" s="1"/>
  <c r="S282" i="1"/>
  <c r="T282" i="1" s="1"/>
  <c r="S274" i="1"/>
  <c r="T274" i="1" s="1"/>
  <c r="S266" i="1"/>
  <c r="T266" i="1" s="1"/>
  <c r="S258" i="1"/>
  <c r="T258" i="1" s="1"/>
  <c r="S250" i="1"/>
  <c r="T250" i="1" s="1"/>
  <c r="S242" i="1"/>
  <c r="T242" i="1" s="1"/>
  <c r="S234" i="1"/>
  <c r="T234" i="1" s="1"/>
  <c r="S226" i="1"/>
  <c r="T226" i="1" s="1"/>
  <c r="S218" i="1"/>
  <c r="T218" i="1" s="1"/>
  <c r="S210" i="1"/>
  <c r="T210" i="1" s="1"/>
  <c r="S202" i="1"/>
  <c r="T202" i="1" s="1"/>
  <c r="S194" i="1"/>
  <c r="T194" i="1" s="1"/>
  <c r="S186" i="1"/>
  <c r="T186" i="1" s="1"/>
  <c r="S178" i="1"/>
  <c r="T178" i="1" s="1"/>
  <c r="S170" i="1"/>
  <c r="T170" i="1" s="1"/>
  <c r="S162" i="1"/>
  <c r="T162" i="1" s="1"/>
  <c r="S154" i="1"/>
  <c r="T154" i="1" s="1"/>
  <c r="S138" i="1"/>
  <c r="T138" i="1" s="1"/>
  <c r="S130" i="1"/>
  <c r="T130" i="1" s="1"/>
  <c r="S122" i="1"/>
  <c r="T122" i="1" s="1"/>
  <c r="P122" i="1"/>
  <c r="Q122" i="1" s="1"/>
  <c r="P114" i="1"/>
  <c r="Q114" i="1" s="1"/>
  <c r="S114" i="1"/>
  <c r="T114" i="1" s="1"/>
  <c r="P106" i="1"/>
  <c r="Q106" i="1" s="1"/>
  <c r="S106" i="1"/>
  <c r="T106" i="1" s="1"/>
  <c r="P98" i="1"/>
  <c r="Q98" i="1" s="1"/>
  <c r="S98" i="1"/>
  <c r="T98" i="1" s="1"/>
  <c r="P90" i="1"/>
  <c r="Q90" i="1" s="1"/>
  <c r="S90" i="1"/>
  <c r="T90" i="1" s="1"/>
  <c r="P82" i="1"/>
  <c r="Q82" i="1" s="1"/>
  <c r="S82" i="1"/>
  <c r="T82" i="1" s="1"/>
  <c r="S74" i="1"/>
  <c r="T74" i="1" s="1"/>
  <c r="P74" i="1"/>
  <c r="Q74" i="1" s="1"/>
  <c r="P66" i="1"/>
  <c r="Q66" i="1" s="1"/>
  <c r="P58" i="1"/>
  <c r="Q58" i="1" s="1"/>
  <c r="S58" i="1"/>
  <c r="T58" i="1" s="1"/>
  <c r="P50" i="1"/>
  <c r="Q50" i="1" s="1"/>
  <c r="P42" i="1"/>
  <c r="Q42" i="1" s="1"/>
  <c r="S42" i="1"/>
  <c r="T42" i="1" s="1"/>
  <c r="S34" i="1"/>
  <c r="T34" i="1" s="1"/>
  <c r="P34" i="1"/>
  <c r="Q34" i="1" s="1"/>
  <c r="P26" i="1"/>
  <c r="Q26" i="1" s="1"/>
  <c r="S26" i="1"/>
  <c r="T26" i="1" s="1"/>
  <c r="P18" i="1"/>
  <c r="Q18" i="1" s="1"/>
  <c r="S18" i="1"/>
  <c r="T18" i="1" s="1"/>
  <c r="P323" i="1"/>
  <c r="Q323" i="1" s="1"/>
  <c r="P309" i="1"/>
  <c r="Q309" i="1" s="1"/>
  <c r="P298" i="1"/>
  <c r="Q298" i="1" s="1"/>
  <c r="P284" i="1"/>
  <c r="Q284" i="1" s="1"/>
  <c r="P259" i="1"/>
  <c r="Q259" i="1" s="1"/>
  <c r="P245" i="1"/>
  <c r="Q245" i="1" s="1"/>
  <c r="P234" i="1"/>
  <c r="Q234" i="1" s="1"/>
  <c r="P220" i="1"/>
  <c r="Q220" i="1" s="1"/>
  <c r="P195" i="1"/>
  <c r="Q195" i="1" s="1"/>
  <c r="P181" i="1"/>
  <c r="Q181" i="1" s="1"/>
  <c r="P170" i="1"/>
  <c r="Q170" i="1" s="1"/>
  <c r="P156" i="1"/>
  <c r="Q156" i="1" s="1"/>
  <c r="P131" i="1"/>
  <c r="Q131" i="1" s="1"/>
  <c r="P99" i="1"/>
  <c r="Q99" i="1" s="1"/>
  <c r="P27" i="1"/>
  <c r="Q27" i="1" s="1"/>
  <c r="S317" i="1"/>
  <c r="T317" i="1" s="1"/>
  <c r="S254" i="1"/>
  <c r="T254" i="1" s="1"/>
  <c r="S197" i="1"/>
  <c r="T197" i="1" s="1"/>
  <c r="S133" i="1"/>
  <c r="T133" i="1" s="1"/>
  <c r="T354" i="1" l="1"/>
  <c r="Q354" i="1"/>
  <c r="T353" i="1"/>
  <c r="Q353" i="1"/>
  <c r="Q355" i="1" l="1"/>
  <c r="T355" i="1"/>
</calcChain>
</file>

<file path=xl/sharedStrings.xml><?xml version="1.0" encoding="utf-8"?>
<sst xmlns="http://schemas.openxmlformats.org/spreadsheetml/2006/main" count="589" uniqueCount="146">
  <si>
    <t>Autor</t>
  </si>
  <si>
    <t>Inputs</t>
  </si>
  <si>
    <t>Output</t>
  </si>
  <si>
    <t>Número de barras em uma camada</t>
  </si>
  <si>
    <t>Espaçamento entre as barras (mm)</t>
  </si>
  <si>
    <t>Viga S200-1.76-20 - Sokolov et al  (2021)</t>
  </si>
  <si>
    <t>Viga S600-0.37-10 - Sokolov et al  (2021)</t>
  </si>
  <si>
    <t>Viga V1 - Oliveira (2007)</t>
  </si>
  <si>
    <t>Viga V2 - Oliveira (2007)</t>
  </si>
  <si>
    <t>Viga T1F000 - Silva Neto (2017)</t>
  </si>
  <si>
    <t>Viga 12-20-00 - Caldentey et al (2013)</t>
  </si>
  <si>
    <t>Viga 25-20-00 - Caldentey et al (2013)</t>
  </si>
  <si>
    <t>Viga 12-20-10 - Caldentey et al (2013)</t>
  </si>
  <si>
    <t>Viga 12-20-30 - Caldentey et al (2013)</t>
  </si>
  <si>
    <t>Viga 12-70-00 - Caldentey et al (2013)</t>
  </si>
  <si>
    <t>Viga 12-70-10 - Caldentey et al (2013)</t>
  </si>
  <si>
    <t>Viga 12-70-30 - Caldentey et al (2013)</t>
  </si>
  <si>
    <t>Viga 25-20-10 - Caldentey et al (2013)</t>
  </si>
  <si>
    <t>Viga 25-20-30 - Caldentey et al (2013)</t>
  </si>
  <si>
    <t>Viga 25-70-00 - Caldentey et al (2013)</t>
  </si>
  <si>
    <t>Viga 25-70-10 - Caldentey et al (2013)</t>
  </si>
  <si>
    <t>Viga 25-70-30 - Caldentey et al (2013)</t>
  </si>
  <si>
    <t>Viga RS1 - Harajlí e Naamam (1985)</t>
  </si>
  <si>
    <t>Viga RS2 - Harajlí e Naamam (1985)</t>
  </si>
  <si>
    <t>Viga RS3 - Harajlí e Naamam (1985)</t>
  </si>
  <si>
    <t>Viga B1-a - Gilbert e Nejadi (2004)</t>
  </si>
  <si>
    <t>Viga B1-b - Gilbert e Nejadi (2004)</t>
  </si>
  <si>
    <t>Viga B2-a - Gilbert e Nejadi (2004)</t>
  </si>
  <si>
    <t>Viga B2-b - Gilbert e Nejadi (2004)</t>
  </si>
  <si>
    <t>Viga B3-a - Gilbert e Nejadi (2004)</t>
  </si>
  <si>
    <t>Viga B3-b - Gilbert e Nejadi (2004)</t>
  </si>
  <si>
    <t>Laje S1-a - Gilbert e Nejadi (2004)</t>
  </si>
  <si>
    <t>Laje S1-b - Gilbert e Nejadi (2004)</t>
  </si>
  <si>
    <t>Laje S2-a - Gilbert e Nejadi (2004)</t>
  </si>
  <si>
    <t>Laje S2-b - Gilbert e Nejadi (2004)</t>
  </si>
  <si>
    <t>Laje S3-a - Gilbert e Nejadi (2004)</t>
  </si>
  <si>
    <t>Laje S3-b - Gilbert e Nejadi (2004)</t>
  </si>
  <si>
    <t>Viga 250-10-1 - Cornelissen (2022)</t>
  </si>
  <si>
    <t>Viga 250-10-2 - Cornelissen (2022)</t>
  </si>
  <si>
    <t>Viga 250-20-2 - Cornelissen (2022)</t>
  </si>
  <si>
    <t>Viga 250-20-3 - Cornelissen (2022)</t>
  </si>
  <si>
    <t>Viga 350-10-1 - Cornelissen (2022)</t>
  </si>
  <si>
    <t>Viga 350-10-2 - Cornelissen (2022)</t>
  </si>
  <si>
    <t>Viga 350-10-3 - Cornelissen (2022)</t>
  </si>
  <si>
    <t>Viga 350-20-1 - Cornelissen (2022)</t>
  </si>
  <si>
    <t>Viga 350-20-2 - Cornelissen (2022)</t>
  </si>
  <si>
    <t>Viga 350-20-3 - Cornelissen (2022)</t>
  </si>
  <si>
    <t>Viga G2 - Makhlouf e Malhas (1996)</t>
  </si>
  <si>
    <t>Viga G3 - Makhlouf e Malhas (1996)</t>
  </si>
  <si>
    <t>Viga C1 - Kumar et al. (2007)</t>
  </si>
  <si>
    <t>Viga C2 - Kumar et al. (2007)</t>
  </si>
  <si>
    <t>Viga C3 - Kumar et al. (2007)</t>
  </si>
  <si>
    <t>Viga CS1 - Kumar et al. (2007)</t>
  </si>
  <si>
    <t>Viga CS2 - Kumar et al. (2007)</t>
  </si>
  <si>
    <t>Viga CS3 - Kumar et al. (2007)</t>
  </si>
  <si>
    <t>Viga B6 - Maghsoudi e Sharifi (2008)</t>
  </si>
  <si>
    <t>Viga F29-2D16-10A - Hong et al (2013)</t>
  </si>
  <si>
    <t>Viga F29-2D16-10B - Hong et al (2013)</t>
  </si>
  <si>
    <t>Viga F29-2D16-10C - Hong et al (2013)</t>
  </si>
  <si>
    <t>Viga F29-2D16-10D - Hong et al (2013)</t>
  </si>
  <si>
    <t>Viga F30-2D13-10 - Hong et al (2013)</t>
  </si>
  <si>
    <t>Viga F30-2D13-20 - Hong et al (2013)</t>
  </si>
  <si>
    <t>Viga F30-2D16-10 - Hong et al (2013)</t>
  </si>
  <si>
    <t>Viga F30-2D16-20 - Hong et al (2013)</t>
  </si>
  <si>
    <t>Viga F30-2D19-10 - Hong et al (2013)</t>
  </si>
  <si>
    <t>Viga F30-2D19-20 - Hong et al (2013)</t>
  </si>
  <si>
    <t>Viga F37-2D16-10 - Hong et al (2013)</t>
  </si>
  <si>
    <t>Viga F37-2D16-20 - Hong et al (2013)</t>
  </si>
  <si>
    <t>Viga F37-2D19-10 - Hong et al (2013)</t>
  </si>
  <si>
    <t>Viga F37-2D19-20 - Hong et al (2013)</t>
  </si>
  <si>
    <t>Viga 15-6-6-1 - Clark (1956)</t>
  </si>
  <si>
    <t>Viga 15-6-6-2 - Clark (1956)</t>
  </si>
  <si>
    <t>Viga 15-6-6-3 - Clark (1956)</t>
  </si>
  <si>
    <t>Viga 15-6-7-1 - Clark (1956)</t>
  </si>
  <si>
    <t>Viga 15-6-7-2 - Clark (1956)</t>
  </si>
  <si>
    <t>Viga 15-6-7-3 - Clark (1956)</t>
  </si>
  <si>
    <t>Viga 15-6-7-4 - Clark (1956)</t>
  </si>
  <si>
    <t>Viga 15-6-7-5 - Clark (1956)</t>
  </si>
  <si>
    <t>Viga 15-6-9-1 - Clark (1956)</t>
  </si>
  <si>
    <t>Viga 15-6-9-2 - Clark (1956)</t>
  </si>
  <si>
    <t>Viga 15-6-9-3 - Clark (1956)</t>
  </si>
  <si>
    <t>Viga 15-6-9-4 - Clark (1956)</t>
  </si>
  <si>
    <t>Viga 15-6-9-5 - Clark (1956)</t>
  </si>
  <si>
    <t>Viga 15-6-10-1 - Clark (1956)</t>
  </si>
  <si>
    <t>Viga 15-6-10-2 - Clark (1956)</t>
  </si>
  <si>
    <t>Viga 23-6-9-1 - Clark (1956)</t>
  </si>
  <si>
    <t>Viga 23-6-9-2 - Clark (1956)</t>
  </si>
  <si>
    <t>Viga 23-6-11-2 - Clark (1956)</t>
  </si>
  <si>
    <t>Viga 23-6-11-3 - Clark (1956)</t>
  </si>
  <si>
    <t>Tensão na armadura menos tension stiffening (MPa)</t>
  </si>
  <si>
    <t>Resistência à tração do concreto (MPa)</t>
  </si>
  <si>
    <t>Cobrimento (mm)</t>
  </si>
  <si>
    <t>Distância ao centro de gravidade da armadura  (mm)</t>
  </si>
  <si>
    <t>Taxa de armadura</t>
  </si>
  <si>
    <t>w (mm)</t>
  </si>
  <si>
    <t>Diâmetro da armadura (mm)</t>
  </si>
  <si>
    <t>Diâmetro da armadura f (mm)</t>
  </si>
  <si>
    <t>Resistência à tração do concreto fctm (MPa)</t>
  </si>
  <si>
    <t>Cobrimento c (mm)</t>
  </si>
  <si>
    <t>Distância ao centro de gravidade da armadura d' (mm)</t>
  </si>
  <si>
    <t>Taxa de armadura r</t>
  </si>
  <si>
    <t>Tensão na armadura (MPa)</t>
  </si>
  <si>
    <t>wexp (mm)</t>
  </si>
  <si>
    <t>Modelos normativos - wmax (mm)</t>
  </si>
  <si>
    <t>NBR 6118 - wk1 - fissuração estabilizada</t>
  </si>
  <si>
    <t>NBR 6118 - wk2 - fissuração não estabilizada</t>
  </si>
  <si>
    <t>wk/wexp</t>
  </si>
  <si>
    <t>CoV</t>
  </si>
  <si>
    <t>Deformação na armadura menos tension stiffening (MPa)</t>
  </si>
  <si>
    <t>A1</t>
  </si>
  <si>
    <t>A2</t>
  </si>
  <si>
    <t>A3</t>
  </si>
  <si>
    <t>A4</t>
  </si>
  <si>
    <t>A5</t>
  </si>
  <si>
    <t>A6</t>
  </si>
  <si>
    <t>média</t>
  </si>
  <si>
    <t>DevioPad</t>
  </si>
  <si>
    <t>Altura da viga - h (mm)</t>
  </si>
  <si>
    <r>
      <t>Área de aço tracionada - A</t>
    </r>
    <r>
      <rPr>
        <vertAlign val="subscript"/>
        <sz val="10"/>
        <rFont val="Arial"/>
        <family val="2"/>
      </rPr>
      <t>s</t>
    </r>
    <r>
      <rPr>
        <sz val="10"/>
        <rFont val="Arial"/>
        <family val="2"/>
      </rPr>
      <t xml:space="preserve"> (mm</t>
    </r>
    <r>
      <rPr>
        <vertAlign val="superscript"/>
        <sz val="10"/>
        <rFont val="Arial"/>
        <family val="2"/>
      </rPr>
      <t>2</t>
    </r>
    <r>
      <rPr>
        <sz val="10"/>
        <rFont val="Arial"/>
        <family val="2"/>
      </rPr>
      <t>)</t>
    </r>
  </si>
  <si>
    <r>
      <t>Área de concreto efetiva - A</t>
    </r>
    <r>
      <rPr>
        <vertAlign val="subscript"/>
        <sz val="10"/>
        <rFont val="Arial"/>
        <family val="2"/>
      </rPr>
      <t>ce</t>
    </r>
    <r>
      <rPr>
        <sz val="10"/>
        <rFont val="Arial"/>
        <family val="2"/>
      </rPr>
      <t xml:space="preserve"> (mm</t>
    </r>
    <r>
      <rPr>
        <vertAlign val="superscript"/>
        <sz val="10"/>
        <rFont val="Arial"/>
        <family val="2"/>
      </rPr>
      <t>2</t>
    </r>
    <r>
      <rPr>
        <sz val="10"/>
        <rFont val="Arial"/>
        <family val="2"/>
      </rPr>
      <t>)</t>
    </r>
  </si>
  <si>
    <r>
      <t>Linha neutra no Estádio II - X</t>
    </r>
    <r>
      <rPr>
        <vertAlign val="subscript"/>
        <sz val="10"/>
        <rFont val="Arial"/>
        <family val="2"/>
      </rPr>
      <t>II</t>
    </r>
    <r>
      <rPr>
        <sz val="10"/>
        <rFont val="Arial"/>
        <family val="2"/>
      </rPr>
      <t xml:space="preserve"> (mm)</t>
    </r>
  </si>
  <si>
    <t>Opção 3 de equação</t>
  </si>
  <si>
    <t>Opção 4 de equação</t>
  </si>
  <si>
    <t>Deformação na armadura</t>
  </si>
  <si>
    <t>Deformação na armadura menos tension stiffening</t>
  </si>
  <si>
    <t>Largura da viga - b (mm)</t>
  </si>
  <si>
    <r>
      <t>Momento fletor - M</t>
    </r>
    <r>
      <rPr>
        <vertAlign val="subscript"/>
        <sz val="11"/>
        <color theme="1"/>
        <rFont val="Aptos Narrow"/>
        <family val="2"/>
        <scheme val="minor"/>
      </rPr>
      <t>s</t>
    </r>
    <r>
      <rPr>
        <sz val="11"/>
        <color theme="1"/>
        <rFont val="Aptos Narrow"/>
        <family val="2"/>
        <scheme val="minor"/>
      </rPr>
      <t xml:space="preserve"> (kNm)</t>
    </r>
  </si>
  <si>
    <r>
      <t>Momento fletor  - M</t>
    </r>
    <r>
      <rPr>
        <vertAlign val="subscript"/>
        <sz val="11"/>
        <color theme="1"/>
        <rFont val="Aptos Narrow"/>
        <family val="2"/>
        <scheme val="minor"/>
      </rPr>
      <t>s</t>
    </r>
    <r>
      <rPr>
        <sz val="11"/>
        <color theme="1"/>
        <rFont val="Aptos Narrow"/>
        <family val="2"/>
        <scheme val="minor"/>
      </rPr>
      <t xml:space="preserve"> (kNm)</t>
    </r>
  </si>
  <si>
    <t>Equações (13) e (15) do artigo Flexural cracking behavior and parametric analysis of steel-UHPC composite decks without longitudinal ribs (sem Tension stiffening). w=A1*(A2+A3*ft/(ro*Sigmas))*eps*(A4*c+A5*fi/ro)*(h-xii)/(h-xii-dl)</t>
  </si>
  <si>
    <t>resíduo</t>
  </si>
  <si>
    <r>
      <t>Resistência do aço - f</t>
    </r>
    <r>
      <rPr>
        <vertAlign val="subscript"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 xml:space="preserve"> (MPa)</t>
    </r>
  </si>
  <si>
    <t>A7</t>
  </si>
  <si>
    <t>Equações (13) e (15) do artigo Flexural cracking behavior and parametric analysis of steel-UHPC composite decks without longitudinal ribs (sem Tension stiffening) + proposta de correção por fy. w=A1*(A2+A3*ft/(ro*Sigmas))*(A4*c+A5*fi/ro)*(Sigmas**A6/200000)*(h-xii)/(h-xii-dl)+(Sigmas-fy/A7)*(A4*c+A5*fi/ro)/200000</t>
  </si>
  <si>
    <t>Erro</t>
  </si>
  <si>
    <r>
      <t>w</t>
    </r>
    <r>
      <rPr>
        <vertAlign val="subscript"/>
        <sz val="11"/>
        <color theme="1"/>
        <rFont val="Aptos Narrow"/>
        <family val="2"/>
        <scheme val="minor"/>
      </rPr>
      <t>pred</t>
    </r>
    <r>
      <rPr>
        <sz val="11"/>
        <color theme="1"/>
        <rFont val="Aptos Narrow"/>
        <family val="2"/>
        <scheme val="minor"/>
      </rPr>
      <t>*Erro/w</t>
    </r>
    <r>
      <rPr>
        <vertAlign val="subscript"/>
        <sz val="11"/>
        <color theme="1"/>
        <rFont val="Aptos Narrow"/>
        <family val="2"/>
        <scheme val="minor"/>
      </rPr>
      <t>obs</t>
    </r>
  </si>
  <si>
    <t>tensão na armadura no instante da fissuração do concreto (Sigmasr)  MPa</t>
  </si>
  <si>
    <t>fib Model Code 2010 - wmax</t>
  </si>
  <si>
    <t>fib Model Code 2020 - wmax</t>
  </si>
  <si>
    <t>Altura efetiva - d (mm)</t>
  </si>
  <si>
    <t>Linha neutra no Estádio I - Xg (mm)</t>
  </si>
  <si>
    <t>Eurocode 2 - wmax</t>
  </si>
  <si>
    <r>
      <t xml:space="preserve">Tensão na armadura </t>
    </r>
    <r>
      <rPr>
        <sz val="11"/>
        <color theme="1"/>
        <rFont val="Symbol"/>
        <family val="1"/>
        <charset val="2"/>
      </rPr>
      <t xml:space="preserve"> s</t>
    </r>
    <r>
      <rPr>
        <vertAlign val="subscript"/>
        <sz val="13.2"/>
        <color theme="1"/>
        <rFont val="Aptos Narrow"/>
        <family val="2"/>
      </rPr>
      <t xml:space="preserve">s </t>
    </r>
    <r>
      <rPr>
        <sz val="11"/>
        <color theme="1"/>
        <rFont val="Aptos Narrow"/>
        <family val="2"/>
        <scheme val="minor"/>
      </rPr>
      <t>(MPa)</t>
    </r>
  </si>
  <si>
    <r>
      <t xml:space="preserve">tensão na armadura no instante da fissuração do concreto </t>
    </r>
    <r>
      <rPr>
        <sz val="11"/>
        <color theme="1"/>
        <rFont val="Symbol"/>
        <family val="1"/>
        <charset val="2"/>
      </rPr>
      <t xml:space="preserve"> s</t>
    </r>
    <r>
      <rPr>
        <vertAlign val="subscript"/>
        <sz val="11"/>
        <color theme="1"/>
        <rFont val="Aptos Narrow"/>
        <family val="2"/>
        <scheme val="minor"/>
      </rPr>
      <t>sr</t>
    </r>
    <r>
      <rPr>
        <sz val="11"/>
        <color theme="1"/>
        <rFont val="Aptos Narrow"/>
        <family val="2"/>
        <scheme val="minor"/>
      </rPr>
      <t xml:space="preserve"> ( MPa)</t>
    </r>
  </si>
  <si>
    <t>Altura efetiva da fib 2020 - hc,ef (mm)</t>
  </si>
  <si>
    <r>
      <t>k</t>
    </r>
    <r>
      <rPr>
        <vertAlign val="subscript"/>
        <sz val="11"/>
        <color theme="1"/>
        <rFont val="Aptos Narrow"/>
        <family val="2"/>
        <scheme val="minor"/>
      </rPr>
      <t>1/r</t>
    </r>
  </si>
  <si>
    <r>
      <t>k</t>
    </r>
    <r>
      <rPr>
        <vertAlign val="subscript"/>
        <sz val="11"/>
        <color theme="1"/>
        <rFont val="Aptos Narrow"/>
        <family val="2"/>
        <scheme val="minor"/>
      </rPr>
      <t>fl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</si>
</sst>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"/>
    <numFmt numFmtId="165" formatCode="0.0"/>
    <numFmt numFmtId="166" formatCode="0.0000"/>
    <numFmt numFmtId="167" formatCode="0.000000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vertAlign val="subscript"/>
      <sz val="10"/>
      <name val="Arial"/>
      <family val="2"/>
    </font>
    <font>
      <vertAlign val="superscript"/>
      <sz val="10"/>
      <name val="Arial"/>
      <family val="2"/>
    </font>
    <font>
      <vertAlign val="subscript"/>
      <sz val="11"/>
      <color theme="1"/>
      <name val="Aptos Narrow"/>
      <family val="2"/>
      <scheme val="minor"/>
    </font>
    <font>
      <sz val="11"/>
      <color theme="1"/>
      <name val="Symbol"/>
      <family val="1"/>
      <charset val="2"/>
    </font>
    <font>
      <vertAlign val="subscript"/>
      <sz val="13.2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4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9" fontId="0" fillId="0" borderId="0" xfId="1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1" fontId="2" fillId="0" borderId="0" xfId="0" applyNumberFormat="1" applyFont="1" applyAlignment="1">
      <alignment horizontal="center" vertical="center" wrapText="1"/>
    </xf>
    <xf numFmtId="2" fontId="2" fillId="0" borderId="0" xfId="0" applyNumberFormat="1" applyFont="1" applyAlignment="1">
      <alignment horizontal="center" vertical="center" wrapText="1"/>
    </xf>
    <xf numFmtId="167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0" fillId="0" borderId="0" xfId="0" applyAlignment="1">
      <alignment horizontal="left" wrapText="1"/>
    </xf>
    <xf numFmtId="0" fontId="0" fillId="0" borderId="0" xfId="0" applyAlignment="1">
      <alignment horizontal="right"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 wrapText="1"/>
    </xf>
    <xf numFmtId="2" fontId="0" fillId="0" borderId="0" xfId="0" applyNumberFormat="1" applyAlignment="1">
      <alignment horizontal="left"/>
    </xf>
    <xf numFmtId="1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 wrapText="1"/>
    </xf>
    <xf numFmtId="0" fontId="0" fillId="0" borderId="0" xfId="0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0" xfId="0" applyNumberFormat="1" applyFill="1" applyAlignment="1">
      <alignment horizontal="center"/>
    </xf>
    <xf numFmtId="2" fontId="0" fillId="0" borderId="0" xfId="0" applyNumberFormat="1" applyFill="1" applyAlignment="1">
      <alignment horizontal="center" vertical="center"/>
    </xf>
    <xf numFmtId="165" fontId="0" fillId="0" borderId="0" xfId="0" applyNumberFormat="1" applyFill="1" applyAlignment="1">
      <alignment horizontal="center" vertical="center"/>
    </xf>
    <xf numFmtId="1" fontId="0" fillId="0" borderId="0" xfId="0" applyNumberFormat="1" applyFill="1" applyAlignment="1">
      <alignment horizontal="center" vertical="center"/>
    </xf>
    <xf numFmtId="2" fontId="0" fillId="0" borderId="0" xfId="0" applyNumberFormat="1" applyFill="1" applyAlignment="1">
      <alignment horizontal="center"/>
    </xf>
    <xf numFmtId="166" fontId="0" fillId="0" borderId="0" xfId="0" applyNumberFormat="1" applyFill="1" applyAlignment="1">
      <alignment horizontal="center"/>
    </xf>
    <xf numFmtId="1" fontId="0" fillId="0" borderId="0" xfId="0" applyNumberFormat="1" applyFill="1" applyAlignment="1">
      <alignment horizontal="center" wrapText="1"/>
    </xf>
    <xf numFmtId="1" fontId="2" fillId="0" borderId="0" xfId="0" applyNumberFormat="1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165" fontId="2" fillId="0" borderId="0" xfId="0" applyNumberFormat="1" applyFont="1" applyFill="1" applyAlignment="1">
      <alignment horizontal="center" vertical="center" wrapText="1"/>
    </xf>
    <xf numFmtId="2" fontId="0" fillId="0" borderId="0" xfId="0" applyNumberFormat="1" applyFill="1" applyAlignment="1">
      <alignment horizontal="center" wrapText="1"/>
    </xf>
    <xf numFmtId="0" fontId="0" fillId="0" borderId="0" xfId="0" applyFill="1" applyAlignment="1">
      <alignment horizontal="center" vertical="center"/>
    </xf>
    <xf numFmtId="166" fontId="0" fillId="0" borderId="0" xfId="0" applyNumberFormat="1" applyFill="1" applyAlignment="1">
      <alignment horizontal="center" vertical="center"/>
    </xf>
    <xf numFmtId="165" fontId="0" fillId="0" borderId="0" xfId="0" applyNumberFormat="1" applyFill="1" applyAlignment="1">
      <alignment horizontal="center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'Dataset sem TS MC2020'!$R$3:$R$343</c:f>
              <c:numCache>
                <c:formatCode>0.000000</c:formatCode>
                <c:ptCount val="341"/>
                <c:pt idx="0">
                  <c:v>1.1590550246936679E-3</c:v>
                </c:pt>
                <c:pt idx="1">
                  <c:v>1.5212597199104388E-3</c:v>
                </c:pt>
                <c:pt idx="2">
                  <c:v>1.5714111392481456E-3</c:v>
                </c:pt>
                <c:pt idx="3">
                  <c:v>1.8165958560102682E-3</c:v>
                </c:pt>
                <c:pt idx="4">
                  <c:v>2.2958205296816883E-3</c:v>
                </c:pt>
                <c:pt idx="5">
                  <c:v>2.5000000000000001E-3</c:v>
                </c:pt>
                <c:pt idx="6">
                  <c:v>1.6145985781890581E-3</c:v>
                </c:pt>
                <c:pt idx="7">
                  <c:v>1.8391046662039176E-3</c:v>
                </c:pt>
                <c:pt idx="8">
                  <c:v>2.5000000000000001E-3</c:v>
                </c:pt>
                <c:pt idx="9">
                  <c:v>1.4252401609235823E-3</c:v>
                </c:pt>
                <c:pt idx="10">
                  <c:v>1.6249982307223209E-3</c:v>
                </c:pt>
                <c:pt idx="11">
                  <c:v>1.8382231366872665E-3</c:v>
                </c:pt>
                <c:pt idx="12">
                  <c:v>2.0536925153465794E-3</c:v>
                </c:pt>
                <c:pt idx="13">
                  <c:v>2.1928498223973865E-3</c:v>
                </c:pt>
                <c:pt idx="14">
                  <c:v>2.4913646907483091E-3</c:v>
                </c:pt>
                <c:pt idx="15">
                  <c:v>2.5138094176919883E-3</c:v>
                </c:pt>
                <c:pt idx="16">
                  <c:v>2.6933672332414157E-3</c:v>
                </c:pt>
                <c:pt idx="17">
                  <c:v>3.14E-3</c:v>
                </c:pt>
                <c:pt idx="18">
                  <c:v>3.14E-3</c:v>
                </c:pt>
                <c:pt idx="19">
                  <c:v>1.6073593822129681E-3</c:v>
                </c:pt>
                <c:pt idx="20">
                  <c:v>1.7859548691255204E-3</c:v>
                </c:pt>
                <c:pt idx="21">
                  <c:v>1.8529281767177273E-3</c:v>
                </c:pt>
                <c:pt idx="22">
                  <c:v>1.9645503560380721E-3</c:v>
                </c:pt>
                <c:pt idx="23">
                  <c:v>2.1208214070865547E-3</c:v>
                </c:pt>
                <c:pt idx="24">
                  <c:v>2.4556879450475903E-3</c:v>
                </c:pt>
                <c:pt idx="25">
                  <c:v>6.8124993174223727E-4</c:v>
                </c:pt>
                <c:pt idx="26">
                  <c:v>9.8070045118937464E-4</c:v>
                </c:pt>
                <c:pt idx="27">
                  <c:v>1.1865726833092819E-3</c:v>
                </c:pt>
                <c:pt idx="28">
                  <c:v>1.5271976491804003E-3</c:v>
                </c:pt>
                <c:pt idx="29">
                  <c:v>2.0250341377612661E-3</c:v>
                </c:pt>
                <c:pt idx="30">
                  <c:v>1.5021647812462058E-3</c:v>
                </c:pt>
                <c:pt idx="31">
                  <c:v>1.9313547187451217E-3</c:v>
                </c:pt>
                <c:pt idx="32">
                  <c:v>2.5000000000000001E-3</c:v>
                </c:pt>
                <c:pt idx="33">
                  <c:v>2.5000000000000001E-3</c:v>
                </c:pt>
                <c:pt idx="34">
                  <c:v>2.5000000000000001E-3</c:v>
                </c:pt>
                <c:pt idx="35">
                  <c:v>5.3256327612997306E-4</c:v>
                </c:pt>
                <c:pt idx="36">
                  <c:v>9.5861389703395133E-4</c:v>
                </c:pt>
                <c:pt idx="37">
                  <c:v>1.3846645179379296E-3</c:v>
                </c:pt>
                <c:pt idx="38">
                  <c:v>1.8107151388419081E-3</c:v>
                </c:pt>
                <c:pt idx="39">
                  <c:v>2.1302531045198922E-3</c:v>
                </c:pt>
                <c:pt idx="40">
                  <c:v>2.5000000000000001E-3</c:v>
                </c:pt>
                <c:pt idx="41">
                  <c:v>1.0623556356304483E-3</c:v>
                </c:pt>
                <c:pt idx="42">
                  <c:v>1.2748267627565378E-3</c:v>
                </c:pt>
                <c:pt idx="43">
                  <c:v>1.4872978898826273E-3</c:v>
                </c:pt>
                <c:pt idx="44">
                  <c:v>1.9122401441348069E-3</c:v>
                </c:pt>
                <c:pt idx="45">
                  <c:v>2.5000000000000001E-3</c:v>
                </c:pt>
                <c:pt idx="46">
                  <c:v>1.0623556356304483E-3</c:v>
                </c:pt>
                <c:pt idx="47">
                  <c:v>1.4872978898826273E-3</c:v>
                </c:pt>
                <c:pt idx="48">
                  <c:v>1.9122401441348069E-3</c:v>
                </c:pt>
                <c:pt idx="49">
                  <c:v>2.5000000000000001E-3</c:v>
                </c:pt>
                <c:pt idx="50">
                  <c:v>1.2259738524273323E-3</c:v>
                </c:pt>
                <c:pt idx="51">
                  <c:v>1.4711686229127989E-3</c:v>
                </c:pt>
                <c:pt idx="52">
                  <c:v>9.6972907455207178E-4</c:v>
                </c:pt>
                <c:pt idx="53">
                  <c:v>1.2121613431900896E-3</c:v>
                </c:pt>
                <c:pt idx="54">
                  <c:v>1.4545936118281076E-3</c:v>
                </c:pt>
                <c:pt idx="55">
                  <c:v>9.6972907455207178E-4</c:v>
                </c:pt>
                <c:pt idx="56">
                  <c:v>1.2121613431900896E-3</c:v>
                </c:pt>
                <c:pt idx="57">
                  <c:v>1.4545936118281076E-3</c:v>
                </c:pt>
                <c:pt idx="58">
                  <c:v>1.0541877463429463E-3</c:v>
                </c:pt>
                <c:pt idx="59">
                  <c:v>1.5812816195144193E-3</c:v>
                </c:pt>
                <c:pt idx="60">
                  <c:v>2.1083754926858925E-3</c:v>
                </c:pt>
                <c:pt idx="61">
                  <c:v>2.5000000000000001E-3</c:v>
                </c:pt>
                <c:pt idx="62">
                  <c:v>1.0541877463429463E-3</c:v>
                </c:pt>
                <c:pt idx="63">
                  <c:v>1.5812816195144193E-3</c:v>
                </c:pt>
                <c:pt idx="64">
                  <c:v>2.1083754926858925E-3</c:v>
                </c:pt>
                <c:pt idx="65">
                  <c:v>2.5000000000000001E-3</c:v>
                </c:pt>
                <c:pt idx="66">
                  <c:v>6.1170382914861447E-4</c:v>
                </c:pt>
                <c:pt idx="67">
                  <c:v>1.2234076582972289E-3</c:v>
                </c:pt>
                <c:pt idx="68">
                  <c:v>6.0453356856479971E-4</c:v>
                </c:pt>
                <c:pt idx="69">
                  <c:v>1.2090671371295994E-3</c:v>
                </c:pt>
                <c:pt idx="70">
                  <c:v>6.0453356856479971E-4</c:v>
                </c:pt>
                <c:pt idx="71">
                  <c:v>1.2090671371295994E-3</c:v>
                </c:pt>
                <c:pt idx="72">
                  <c:v>1.4773531582662977E-3</c:v>
                </c:pt>
                <c:pt idx="73">
                  <c:v>1.7193334169478467E-3</c:v>
                </c:pt>
                <c:pt idx="74">
                  <c:v>1.5162801261564864E-3</c:v>
                </c:pt>
                <c:pt idx="75">
                  <c:v>1.7390511399519885E-3</c:v>
                </c:pt>
                <c:pt idx="76">
                  <c:v>2.0552422563068959E-3</c:v>
                </c:pt>
                <c:pt idx="77">
                  <c:v>1.4486746145782711E-3</c:v>
                </c:pt>
                <c:pt idx="78">
                  <c:v>1.8999011338731425E-3</c:v>
                </c:pt>
                <c:pt idx="79">
                  <c:v>9.2636982235082895E-4</c:v>
                </c:pt>
                <c:pt idx="80">
                  <c:v>1.0588379849984495E-3</c:v>
                </c:pt>
                <c:pt idx="81">
                  <c:v>1.1913061476460708E-3</c:v>
                </c:pt>
                <c:pt idx="82">
                  <c:v>1.323547481248062E-3</c:v>
                </c:pt>
                <c:pt idx="83">
                  <c:v>1.4557888148500539E-3</c:v>
                </c:pt>
                <c:pt idx="84">
                  <c:v>1.5882569774976745E-3</c:v>
                </c:pt>
                <c:pt idx="85">
                  <c:v>1.7207251401452955E-3</c:v>
                </c:pt>
                <c:pt idx="86">
                  <c:v>1.8527396447016579E-3</c:v>
                </c:pt>
                <c:pt idx="87">
                  <c:v>1.0588379849984495E-3</c:v>
                </c:pt>
                <c:pt idx="88">
                  <c:v>1.1913061476460708E-3</c:v>
                </c:pt>
                <c:pt idx="89">
                  <c:v>1.323547481248062E-3</c:v>
                </c:pt>
                <c:pt idx="90">
                  <c:v>1.4557888148500539E-3</c:v>
                </c:pt>
                <c:pt idx="91">
                  <c:v>1.5882569774976745E-3</c:v>
                </c:pt>
                <c:pt idx="92">
                  <c:v>1.7207251401452955E-3</c:v>
                </c:pt>
                <c:pt idx="93">
                  <c:v>1.8527396447016579E-3</c:v>
                </c:pt>
                <c:pt idx="94">
                  <c:v>1.0588379849984497E-3</c:v>
                </c:pt>
                <c:pt idx="95">
                  <c:v>1.1913061476460705E-3</c:v>
                </c:pt>
                <c:pt idx="96">
                  <c:v>1.323547481248062E-3</c:v>
                </c:pt>
                <c:pt idx="97">
                  <c:v>1.4557888148500535E-3</c:v>
                </c:pt>
                <c:pt idx="98">
                  <c:v>1.5882569774976745E-3</c:v>
                </c:pt>
                <c:pt idx="99">
                  <c:v>1.7207251401452953E-3</c:v>
                </c:pt>
                <c:pt idx="100">
                  <c:v>1.8527396447016577E-3</c:v>
                </c:pt>
                <c:pt idx="101">
                  <c:v>9.2636982235082884E-4</c:v>
                </c:pt>
                <c:pt idx="102">
                  <c:v>1.0588379849984497E-3</c:v>
                </c:pt>
                <c:pt idx="103">
                  <c:v>1.1913061476460705E-3</c:v>
                </c:pt>
                <c:pt idx="104">
                  <c:v>1.323547481248062E-3</c:v>
                </c:pt>
                <c:pt idx="105">
                  <c:v>1.4557888148500535E-3</c:v>
                </c:pt>
                <c:pt idx="106">
                  <c:v>1.5882569774976745E-3</c:v>
                </c:pt>
                <c:pt idx="107">
                  <c:v>1.7207251401452953E-3</c:v>
                </c:pt>
                <c:pt idx="108">
                  <c:v>1.8527396447016577E-3</c:v>
                </c:pt>
                <c:pt idx="109">
                  <c:v>1.1665234603218623E-3</c:v>
                </c:pt>
                <c:pt idx="110">
                  <c:v>1.2560194600460023E-3</c:v>
                </c:pt>
                <c:pt idx="111">
                  <c:v>1.3458230061609464E-3</c:v>
                </c:pt>
                <c:pt idx="112">
                  <c:v>1.4356265522758906E-3</c:v>
                </c:pt>
                <c:pt idx="113">
                  <c:v>1.5254300983908353E-3</c:v>
                </c:pt>
                <c:pt idx="114">
                  <c:v>1.2560194600460023E-3</c:v>
                </c:pt>
                <c:pt idx="115">
                  <c:v>1.3458230061609464E-3</c:v>
                </c:pt>
                <c:pt idx="116">
                  <c:v>1.4356265522758906E-3</c:v>
                </c:pt>
                <c:pt idx="117">
                  <c:v>1.5254300983908353E-3</c:v>
                </c:pt>
                <c:pt idx="118">
                  <c:v>8.8143086760134092E-4</c:v>
                </c:pt>
                <c:pt idx="119">
                  <c:v>1.2117315139187597E-3</c:v>
                </c:pt>
                <c:pt idx="120">
                  <c:v>1.542032160236179E-3</c:v>
                </c:pt>
                <c:pt idx="121">
                  <c:v>1.2117315139187597E-3</c:v>
                </c:pt>
                <c:pt idx="122">
                  <c:v>1.542032160236179E-3</c:v>
                </c:pt>
                <c:pt idx="123">
                  <c:v>1.0438986964465184E-3</c:v>
                </c:pt>
                <c:pt idx="124">
                  <c:v>1.2675000084148673E-3</c:v>
                </c:pt>
                <c:pt idx="125">
                  <c:v>1.4911013203832155E-3</c:v>
                </c:pt>
                <c:pt idx="126">
                  <c:v>1.0438986964465184E-3</c:v>
                </c:pt>
                <c:pt idx="127">
                  <c:v>1.2675000084148673E-3</c:v>
                </c:pt>
                <c:pt idx="128">
                  <c:v>1.4911013203832155E-3</c:v>
                </c:pt>
                <c:pt idx="129">
                  <c:v>1.1322765133287974E-3</c:v>
                </c:pt>
                <c:pt idx="130">
                  <c:v>1.3020694780524818E-3</c:v>
                </c:pt>
                <c:pt idx="131">
                  <c:v>1.4718624427761664E-3</c:v>
                </c:pt>
                <c:pt idx="132">
                  <c:v>1.1322765133287974E-3</c:v>
                </c:pt>
                <c:pt idx="133">
                  <c:v>1.3020694780524818E-3</c:v>
                </c:pt>
                <c:pt idx="134">
                  <c:v>1.4718624427761664E-3</c:v>
                </c:pt>
                <c:pt idx="135">
                  <c:v>1.3707181610636567E-3</c:v>
                </c:pt>
                <c:pt idx="136">
                  <c:v>1.4710146118731928E-3</c:v>
                </c:pt>
                <c:pt idx="137">
                  <c:v>1.5846839227906667E-3</c:v>
                </c:pt>
                <c:pt idx="138">
                  <c:v>1.6849803736002024E-3</c:v>
                </c:pt>
                <c:pt idx="139">
                  <c:v>1.7986496845176763E-3</c:v>
                </c:pt>
                <c:pt idx="140">
                  <c:v>1.8989461353272122E-3</c:v>
                </c:pt>
                <c:pt idx="141">
                  <c:v>2.0193018762986554E-3</c:v>
                </c:pt>
                <c:pt idx="142">
                  <c:v>1.2570488501461828E-3</c:v>
                </c:pt>
                <c:pt idx="143">
                  <c:v>1.3707181610636567E-3</c:v>
                </c:pt>
                <c:pt idx="144">
                  <c:v>1.4777010419271617E-3</c:v>
                </c:pt>
                <c:pt idx="145">
                  <c:v>1.5746542777097133E-3</c:v>
                </c:pt>
                <c:pt idx="146">
                  <c:v>1.6849803736002024E-3</c:v>
                </c:pt>
                <c:pt idx="147">
                  <c:v>1.795306469490692E-3</c:v>
                </c:pt>
                <c:pt idx="148">
                  <c:v>1.8889164902462588E-3</c:v>
                </c:pt>
                <c:pt idx="149">
                  <c:v>1.9791832959748408E-3</c:v>
                </c:pt>
                <c:pt idx="150">
                  <c:v>1.0066634269547986E-3</c:v>
                </c:pt>
                <c:pt idx="151">
                  <c:v>1.1764073952510541E-3</c:v>
                </c:pt>
                <c:pt idx="152">
                  <c:v>1.3407050330137397E-3</c:v>
                </c:pt>
                <c:pt idx="153">
                  <c:v>1.5040949490208305E-3</c:v>
                </c:pt>
                <c:pt idx="154">
                  <c:v>1.6656694215167319E-3</c:v>
                </c:pt>
                <c:pt idx="155">
                  <c:v>1.831782502790607E-3</c:v>
                </c:pt>
                <c:pt idx="156">
                  <c:v>8.4871984148127719E-4</c:v>
                </c:pt>
                <c:pt idx="157">
                  <c:v>1.0093865922215833E-3</c:v>
                </c:pt>
                <c:pt idx="158">
                  <c:v>1.1736842299842692E-3</c:v>
                </c:pt>
                <c:pt idx="159">
                  <c:v>1.3361664242357652E-3</c:v>
                </c:pt>
                <c:pt idx="160">
                  <c:v>1.5050026707764256E-3</c:v>
                </c:pt>
                <c:pt idx="161">
                  <c:v>1.6656694215167319E-3</c:v>
                </c:pt>
                <c:pt idx="162">
                  <c:v>1.743733492497897E-3</c:v>
                </c:pt>
                <c:pt idx="163">
                  <c:v>1.5515492678736913E-3</c:v>
                </c:pt>
                <c:pt idx="164">
                  <c:v>1.6514344138741437E-3</c:v>
                </c:pt>
                <c:pt idx="165">
                  <c:v>1.6714114430742345E-3</c:v>
                </c:pt>
                <c:pt idx="166">
                  <c:v>1.7557588996968384E-3</c:v>
                </c:pt>
                <c:pt idx="167">
                  <c:v>1.8134703173859883E-3</c:v>
                </c:pt>
                <c:pt idx="168">
                  <c:v>1.8778407448085026E-3</c:v>
                </c:pt>
                <c:pt idx="169">
                  <c:v>1.9355521624976524E-3</c:v>
                </c:pt>
                <c:pt idx="170">
                  <c:v>2.0043619297424077E-3</c:v>
                </c:pt>
                <c:pt idx="171">
                  <c:v>1.5448902581403281E-3</c:v>
                </c:pt>
                <c:pt idx="172">
                  <c:v>1.611480355473963E-3</c:v>
                </c:pt>
                <c:pt idx="173">
                  <c:v>1.6736311129853555E-3</c:v>
                </c:pt>
                <c:pt idx="174">
                  <c:v>1.7380015404078691E-3</c:v>
                </c:pt>
                <c:pt idx="175">
                  <c:v>1.8068113076526253E-3</c:v>
                </c:pt>
                <c:pt idx="176">
                  <c:v>1.8778407448085026E-3</c:v>
                </c:pt>
                <c:pt idx="177">
                  <c:v>1.9422111722310158E-3</c:v>
                </c:pt>
                <c:pt idx="178">
                  <c:v>1.999922589920166E-3</c:v>
                </c:pt>
                <c:pt idx="179">
                  <c:v>1.6181393652073266E-3</c:v>
                </c:pt>
                <c:pt idx="180">
                  <c:v>1.68250979262984E-3</c:v>
                </c:pt>
                <c:pt idx="181">
                  <c:v>1.7735162589858078E-3</c:v>
                </c:pt>
                <c:pt idx="182">
                  <c:v>1.8267883368527154E-3</c:v>
                </c:pt>
                <c:pt idx="183">
                  <c:v>1.8778407448085026E-3</c:v>
                </c:pt>
                <c:pt idx="184">
                  <c:v>1.9333324925865315E-3</c:v>
                </c:pt>
                <c:pt idx="185">
                  <c:v>2.0065815996535299E-3</c:v>
                </c:pt>
                <c:pt idx="186">
                  <c:v>1.1246824471166591E-3</c:v>
                </c:pt>
                <c:pt idx="187">
                  <c:v>1.2994882015420618E-3</c:v>
                </c:pt>
                <c:pt idx="188">
                  <c:v>1.4737013940880567E-3</c:v>
                </c:pt>
                <c:pt idx="189">
                  <c:v>1.1246824471166591E-3</c:v>
                </c:pt>
                <c:pt idx="190">
                  <c:v>1.2971179540244293E-3</c:v>
                </c:pt>
                <c:pt idx="191">
                  <c:v>1.4707385846910157E-3</c:v>
                </c:pt>
                <c:pt idx="192">
                  <c:v>7.7151556698940472E-4</c:v>
                </c:pt>
                <c:pt idx="193">
                  <c:v>9.5165437832948083E-4</c:v>
                </c:pt>
                <c:pt idx="194">
                  <c:v>1.1217196377196182E-3</c:v>
                </c:pt>
                <c:pt idx="195">
                  <c:v>1.2923774589891639E-3</c:v>
                </c:pt>
                <c:pt idx="196">
                  <c:v>1.533550143908279E-3</c:v>
                </c:pt>
                <c:pt idx="197">
                  <c:v>8.9944020131477805E-4</c:v>
                </c:pt>
                <c:pt idx="198">
                  <c:v>1.126483358928217E-3</c:v>
                </c:pt>
                <c:pt idx="199">
                  <c:v>1.3535265165416559E-3</c:v>
                </c:pt>
                <c:pt idx="200">
                  <c:v>8.8419786866760516E-4</c:v>
                </c:pt>
                <c:pt idx="201">
                  <c:v>1.103763782363588E-3</c:v>
                </c:pt>
                <c:pt idx="202">
                  <c:v>1.3233296960595703E-3</c:v>
                </c:pt>
                <c:pt idx="203">
                  <c:v>1.1736117271160691E-3</c:v>
                </c:pt>
                <c:pt idx="204">
                  <c:v>1.5783054261216106E-3</c:v>
                </c:pt>
                <c:pt idx="205">
                  <c:v>1.8211216455249351E-3</c:v>
                </c:pt>
                <c:pt idx="206">
                  <c:v>2.0234684950277055E-3</c:v>
                </c:pt>
                <c:pt idx="207">
                  <c:v>2.3472234542321383E-3</c:v>
                </c:pt>
                <c:pt idx="208">
                  <c:v>2.6305090435360177E-3</c:v>
                </c:pt>
                <c:pt idx="209">
                  <c:v>1.3543506665536298E-3</c:v>
                </c:pt>
                <c:pt idx="210">
                  <c:v>1.5402419345119705E-3</c:v>
                </c:pt>
                <c:pt idx="211">
                  <c:v>1.7792449933155528E-3</c:v>
                </c:pt>
                <c:pt idx="212">
                  <c:v>1.8854685750060332E-3</c:v>
                </c:pt>
                <c:pt idx="213">
                  <c:v>2.1244716338096152E-3</c:v>
                </c:pt>
                <c:pt idx="214">
                  <c:v>2.6290336468393987E-3</c:v>
                </c:pt>
                <c:pt idx="215">
                  <c:v>1.2346095647269913E-3</c:v>
                </c:pt>
                <c:pt idx="216">
                  <c:v>1.4161697948339019E-3</c:v>
                </c:pt>
                <c:pt idx="217">
                  <c:v>1.5795740019301215E-3</c:v>
                </c:pt>
                <c:pt idx="218">
                  <c:v>1.7792902550477227E-3</c:v>
                </c:pt>
                <c:pt idx="219">
                  <c:v>1.9790065081653247E-3</c:v>
                </c:pt>
                <c:pt idx="220">
                  <c:v>2.1605667382722351E-3</c:v>
                </c:pt>
                <c:pt idx="221">
                  <c:v>2.3421269683791455E-3</c:v>
                </c:pt>
                <c:pt idx="222">
                  <c:v>2.5055311754753648E-3</c:v>
                </c:pt>
                <c:pt idx="223">
                  <c:v>1.8537364202436638E-3</c:v>
                </c:pt>
                <c:pt idx="224">
                  <c:v>2.2164239807261196E-3</c:v>
                </c:pt>
                <c:pt idx="225">
                  <c:v>2.61941015903996E-3</c:v>
                </c:pt>
                <c:pt idx="226">
                  <c:v>1.3214004715473677E-3</c:v>
                </c:pt>
                <c:pt idx="227">
                  <c:v>1.5063965375639989E-3</c:v>
                </c:pt>
                <c:pt idx="228">
                  <c:v>1.7442486224425249E-3</c:v>
                </c:pt>
                <c:pt idx="229">
                  <c:v>1.8499606601663143E-3</c:v>
                </c:pt>
                <c:pt idx="230">
                  <c:v>2.0085287167519983E-3</c:v>
                </c:pt>
                <c:pt idx="231">
                  <c:v>2.1142407544757881E-3</c:v>
                </c:pt>
                <c:pt idx="232">
                  <c:v>2.3732352468990715E-3</c:v>
                </c:pt>
                <c:pt idx="233">
                  <c:v>2.6322297393223558E-3</c:v>
                </c:pt>
                <c:pt idx="234">
                  <c:v>1.517012841570953E-3</c:v>
                </c:pt>
                <c:pt idx="235">
                  <c:v>1.5892515483124266E-3</c:v>
                </c:pt>
                <c:pt idx="236">
                  <c:v>1.769848315166112E-3</c:v>
                </c:pt>
                <c:pt idx="237">
                  <c:v>1.9685047587051658E-3</c:v>
                </c:pt>
                <c:pt idx="238">
                  <c:v>2.1491015255588504E-3</c:v>
                </c:pt>
                <c:pt idx="239">
                  <c:v>2.3116386157271667E-3</c:v>
                </c:pt>
                <c:pt idx="240">
                  <c:v>2.51029505926622E-3</c:v>
                </c:pt>
                <c:pt idx="241">
                  <c:v>7.558598498872939E-4</c:v>
                </c:pt>
                <c:pt idx="242">
                  <c:v>1.0085329997067609E-3</c:v>
                </c:pt>
                <c:pt idx="243">
                  <c:v>1.1532261709709E-3</c:v>
                </c:pt>
                <c:pt idx="244">
                  <c:v>1.3195153379461043E-3</c:v>
                </c:pt>
                <c:pt idx="245">
                  <c:v>1.5786672864788909E-3</c:v>
                </c:pt>
                <c:pt idx="246">
                  <c:v>1.7104028603163912E-3</c:v>
                </c:pt>
                <c:pt idx="247">
                  <c:v>1.9026072221448741E-3</c:v>
                </c:pt>
                <c:pt idx="248">
                  <c:v>1.8083478725451408E-3</c:v>
                </c:pt>
                <c:pt idx="249">
                  <c:v>1.9615000000000001E-3</c:v>
                </c:pt>
                <c:pt idx="250">
                  <c:v>1.8150207429235359E-3</c:v>
                </c:pt>
                <c:pt idx="251">
                  <c:v>1.9615000000000001E-3</c:v>
                </c:pt>
                <c:pt idx="252">
                  <c:v>1.8150207429235359E-3</c:v>
                </c:pt>
                <c:pt idx="253">
                  <c:v>1.9615000000000001E-3</c:v>
                </c:pt>
                <c:pt idx="254">
                  <c:v>1.8216936133019315E-3</c:v>
                </c:pt>
                <c:pt idx="255">
                  <c:v>1.9615000000000001E-3</c:v>
                </c:pt>
                <c:pt idx="256">
                  <c:v>1.5855134897039412E-3</c:v>
                </c:pt>
                <c:pt idx="257">
                  <c:v>1.9615000000000001E-3</c:v>
                </c:pt>
                <c:pt idx="258">
                  <c:v>1.5956770377148638E-3</c:v>
                </c:pt>
                <c:pt idx="259">
                  <c:v>1.9615000000000001E-3</c:v>
                </c:pt>
                <c:pt idx="260">
                  <c:v>1.3001451112340421E-3</c:v>
                </c:pt>
                <c:pt idx="261">
                  <c:v>1.8268705665545001E-3</c:v>
                </c:pt>
                <c:pt idx="262">
                  <c:v>1.9615000000000001E-3</c:v>
                </c:pt>
                <c:pt idx="263">
                  <c:v>1.3068125220608838E-3</c:v>
                </c:pt>
                <c:pt idx="264">
                  <c:v>1.8335379773813418E-3</c:v>
                </c:pt>
                <c:pt idx="265">
                  <c:v>9.3512869520692851E-4</c:v>
                </c:pt>
                <c:pt idx="266">
                  <c:v>1.3053826963548491E-3</c:v>
                </c:pt>
                <c:pt idx="267">
                  <c:v>1.6803835436713331E-3</c:v>
                </c:pt>
                <c:pt idx="268">
                  <c:v>1.9615000000000001E-3</c:v>
                </c:pt>
                <c:pt idx="269">
                  <c:v>9.3038184903836542E-4</c:v>
                </c:pt>
                <c:pt idx="270">
                  <c:v>1.2958890040177229E-3</c:v>
                </c:pt>
                <c:pt idx="271">
                  <c:v>1.6661430051656441E-3</c:v>
                </c:pt>
                <c:pt idx="272">
                  <c:v>1.8273634575812533E-3</c:v>
                </c:pt>
                <c:pt idx="273">
                  <c:v>1.9615000000000001E-3</c:v>
                </c:pt>
                <c:pt idx="274">
                  <c:v>1.8273634575812533E-3</c:v>
                </c:pt>
                <c:pt idx="275">
                  <c:v>1.9615000000000001E-3</c:v>
                </c:pt>
                <c:pt idx="276">
                  <c:v>1.1065506590074898E-3</c:v>
                </c:pt>
                <c:pt idx="277">
                  <c:v>1.2957046178121892E-3</c:v>
                </c:pt>
                <c:pt idx="278">
                  <c:v>1.4801297276467709E-3</c:v>
                </c:pt>
                <c:pt idx="279">
                  <c:v>1.6692836864514698E-3</c:v>
                </c:pt>
                <c:pt idx="280">
                  <c:v>1.8489799473159342E-3</c:v>
                </c:pt>
                <c:pt idx="281">
                  <c:v>1.9615000000000001E-3</c:v>
                </c:pt>
                <c:pt idx="282">
                  <c:v>1.4801297276467709E-3</c:v>
                </c:pt>
                <c:pt idx="283">
                  <c:v>1.6598259885112351E-3</c:v>
                </c:pt>
                <c:pt idx="284">
                  <c:v>1.8489799473159342E-3</c:v>
                </c:pt>
                <c:pt idx="285">
                  <c:v>1.9615000000000001E-3</c:v>
                </c:pt>
                <c:pt idx="286">
                  <c:v>1.0151124656869179E-3</c:v>
                </c:pt>
                <c:pt idx="287">
                  <c:v>1.2225010339455356E-3</c:v>
                </c:pt>
                <c:pt idx="288">
                  <c:v>1.379E-3</c:v>
                </c:pt>
                <c:pt idx="289">
                  <c:v>1.379E-3</c:v>
                </c:pt>
                <c:pt idx="290">
                  <c:v>1.248729421730305E-3</c:v>
                </c:pt>
                <c:pt idx="291">
                  <c:v>1.379E-3</c:v>
                </c:pt>
                <c:pt idx="292">
                  <c:v>1.3564471878018721E-3</c:v>
                </c:pt>
                <c:pt idx="293">
                  <c:v>9.7556762990015319E-4</c:v>
                </c:pt>
                <c:pt idx="294">
                  <c:v>1.1347351823194601E-3</c:v>
                </c:pt>
                <c:pt idx="295">
                  <c:v>1.3045646760491511E-3</c:v>
                </c:pt>
                <c:pt idx="296">
                  <c:v>1.379E-3</c:v>
                </c:pt>
                <c:pt idx="297">
                  <c:v>1.2981607588308233E-3</c:v>
                </c:pt>
                <c:pt idx="298">
                  <c:v>1.379E-3</c:v>
                </c:pt>
                <c:pt idx="299">
                  <c:v>9.7105963453005006E-4</c:v>
                </c:pt>
                <c:pt idx="300">
                  <c:v>1.1294916904369828E-3</c:v>
                </c:pt>
                <c:pt idx="301">
                  <c:v>1.2985364199453366E-3</c:v>
                </c:pt>
                <c:pt idx="302">
                  <c:v>1.379E-3</c:v>
                </c:pt>
                <c:pt idx="303">
                  <c:v>9.7177298016251331E-4</c:v>
                </c:pt>
                <c:pt idx="304">
                  <c:v>1.1303214211101833E-3</c:v>
                </c:pt>
                <c:pt idx="305">
                  <c:v>1.2994903317864056E-3</c:v>
                </c:pt>
                <c:pt idx="306">
                  <c:v>1.379E-3</c:v>
                </c:pt>
                <c:pt idx="307">
                  <c:v>1.1705790914494322E-3</c:v>
                </c:pt>
                <c:pt idx="308">
                  <c:v>1.3742364237570315E-3</c:v>
                </c:pt>
                <c:pt idx="309">
                  <c:v>8.9747800161302108E-4</c:v>
                </c:pt>
                <c:pt idx="310">
                  <c:v>1.063712713257438E-3</c:v>
                </c:pt>
                <c:pt idx="311">
                  <c:v>1.2261585995652301E-3</c:v>
                </c:pt>
                <c:pt idx="312">
                  <c:v>1.379E-3</c:v>
                </c:pt>
                <c:pt idx="313">
                  <c:v>1.0647374579413236E-3</c:v>
                </c:pt>
                <c:pt idx="314">
                  <c:v>8.9747800161302108E-4</c:v>
                </c:pt>
                <c:pt idx="315">
                  <c:v>1.063712713257438E-3</c:v>
                </c:pt>
                <c:pt idx="316">
                  <c:v>1.2261585995652301E-3</c:v>
                </c:pt>
                <c:pt idx="317">
                  <c:v>1.379E-3</c:v>
                </c:pt>
                <c:pt idx="318">
                  <c:v>1.0671405707243667E-3</c:v>
                </c:pt>
                <c:pt idx="319">
                  <c:v>1.2301099455055142E-3</c:v>
                </c:pt>
                <c:pt idx="320">
                  <c:v>1.379E-3</c:v>
                </c:pt>
                <c:pt idx="321">
                  <c:v>8.5401649577340972E-4</c:v>
                </c:pt>
                <c:pt idx="322">
                  <c:v>1.0512100042395446E-3</c:v>
                </c:pt>
                <c:pt idx="323">
                  <c:v>1.2256786102430391E-3</c:v>
                </c:pt>
                <c:pt idx="324">
                  <c:v>1.3502990431026782E-3</c:v>
                </c:pt>
                <c:pt idx="325">
                  <c:v>1.379E-3</c:v>
                </c:pt>
                <c:pt idx="326">
                  <c:v>8.5163864209600911E-4</c:v>
                </c:pt>
                <c:pt idx="327">
                  <c:v>1.048283101086418E-3</c:v>
                </c:pt>
                <c:pt idx="328">
                  <c:v>1.2222659309738429E-3</c:v>
                </c:pt>
                <c:pt idx="329">
                  <c:v>1.3465393808934324E-3</c:v>
                </c:pt>
                <c:pt idx="330">
                  <c:v>1.379E-3</c:v>
                </c:pt>
                <c:pt idx="331">
                  <c:v>9.1615152738756724E-4</c:v>
                </c:pt>
                <c:pt idx="332">
                  <c:v>1.0994516614875949E-3</c:v>
                </c:pt>
                <c:pt idx="333">
                  <c:v>1.240854622079045E-3</c:v>
                </c:pt>
                <c:pt idx="334">
                  <c:v>1.379E-3</c:v>
                </c:pt>
                <c:pt idx="335">
                  <c:v>1.0994516614875949E-3</c:v>
                </c:pt>
                <c:pt idx="336">
                  <c:v>1.240854622079045E-3</c:v>
                </c:pt>
                <c:pt idx="337">
                  <c:v>1.379E-3</c:v>
                </c:pt>
                <c:pt idx="338">
                  <c:v>9.2043240356728061E-4</c:v>
                </c:pt>
                <c:pt idx="339">
                  <c:v>7.1896438493478456E-4</c:v>
                </c:pt>
                <c:pt idx="340">
                  <c:v>9.1821495147258799E-4</c:v>
                </c:pt>
              </c:numCache>
            </c:numRef>
          </c:xVal>
          <c:yVal>
            <c:numRef>
              <c:f>'Dataset com TS variável MC2020'!$AD$11:$AD$351</c:f>
              <c:numCache>
                <c:formatCode>0.00</c:formatCode>
                <c:ptCount val="341"/>
                <c:pt idx="0">
                  <c:v>2.2697733317076862E-2</c:v>
                </c:pt>
                <c:pt idx="1">
                  <c:v>5.72641352646093E-2</c:v>
                </c:pt>
                <c:pt idx="2">
                  <c:v>6.1742560149652237E-2</c:v>
                </c:pt>
                <c:pt idx="3">
                  <c:v>0.10252597069875119</c:v>
                </c:pt>
                <c:pt idx="4">
                  <c:v>0.16087536404471736</c:v>
                </c:pt>
                <c:pt idx="5">
                  <c:v>0.16982079695789687</c:v>
                </c:pt>
                <c:pt idx="6">
                  <c:v>-6.8048354476669404E-3</c:v>
                </c:pt>
                <c:pt idx="7">
                  <c:v>1.4262130711186316E-2</c:v>
                </c:pt>
                <c:pt idx="8">
                  <c:v>5.5154025214071145E-2</c:v>
                </c:pt>
                <c:pt idx="9">
                  <c:v>-2.1826395101207458E-2</c:v>
                </c:pt>
                <c:pt idx="10">
                  <c:v>-3.2437865677696687E-2</c:v>
                </c:pt>
                <c:pt idx="11">
                  <c:v>-1.0680870795672648E-3</c:v>
                </c:pt>
                <c:pt idx="12">
                  <c:v>-9.3681002856681184E-3</c:v>
                </c:pt>
                <c:pt idx="13">
                  <c:v>-4.8895192147941469E-2</c:v>
                </c:pt>
                <c:pt idx="14">
                  <c:v>-2.497750211056049E-2</c:v>
                </c:pt>
                <c:pt idx="15">
                  <c:v>-8.1675420152862555E-2</c:v>
                </c:pt>
                <c:pt idx="16">
                  <c:v>-9.5258764491279901E-2</c:v>
                </c:pt>
                <c:pt idx="17">
                  <c:v>-4.9549878634436439E-2</c:v>
                </c:pt>
                <c:pt idx="18">
                  <c:v>-0.10954987863443644</c:v>
                </c:pt>
                <c:pt idx="19">
                  <c:v>-8.0762474023132858E-2</c:v>
                </c:pt>
                <c:pt idx="20">
                  <c:v>-0.11452122887427765</c:v>
                </c:pt>
                <c:pt idx="21">
                  <c:v>-0.10468076194345696</c:v>
                </c:pt>
                <c:pt idx="22">
                  <c:v>-8.8279983725422478E-2</c:v>
                </c:pt>
                <c:pt idx="23">
                  <c:v>-0.14531889422017424</c:v>
                </c:pt>
                <c:pt idx="24">
                  <c:v>-0.15611655956607062</c:v>
                </c:pt>
                <c:pt idx="25">
                  <c:v>-0.12148049558880963</c:v>
                </c:pt>
                <c:pt idx="26">
                  <c:v>-0.10250027698044288</c:v>
                </c:pt>
                <c:pt idx="27">
                  <c:v>-0.13570137668719065</c:v>
                </c:pt>
                <c:pt idx="28">
                  <c:v>-0.27136137802017346</c:v>
                </c:pt>
                <c:pt idx="29">
                  <c:v>-0.36655676458376363</c:v>
                </c:pt>
                <c:pt idx="30">
                  <c:v>-0.15115881491903435</c:v>
                </c:pt>
                <c:pt idx="31">
                  <c:v>-0.12642988260872301</c:v>
                </c:pt>
                <c:pt idx="32">
                  <c:v>-0.13092097466349112</c:v>
                </c:pt>
                <c:pt idx="33">
                  <c:v>-0.28092097466349103</c:v>
                </c:pt>
                <c:pt idx="34">
                  <c:v>-0.3609209746634911</c:v>
                </c:pt>
                <c:pt idx="35">
                  <c:v>-0.13944481410533471</c:v>
                </c:pt>
                <c:pt idx="36">
                  <c:v>-0.11107724744952882</c:v>
                </c:pt>
                <c:pt idx="37">
                  <c:v>-0.14270968079372295</c:v>
                </c:pt>
                <c:pt idx="38">
                  <c:v>-0.17434211413791695</c:v>
                </c:pt>
                <c:pt idx="39">
                  <c:v>-0.21556643914606244</c:v>
                </c:pt>
                <c:pt idx="40">
                  <c:v>-0.35755535535551641</c:v>
                </c:pt>
                <c:pt idx="41">
                  <c:v>-9.8660282986456752E-2</c:v>
                </c:pt>
                <c:pt idx="42">
                  <c:v>-0.15394810510366078</c:v>
                </c:pt>
                <c:pt idx="43">
                  <c:v>-0.17923592722086482</c:v>
                </c:pt>
                <c:pt idx="44">
                  <c:v>-0.22981157145527276</c:v>
                </c:pt>
                <c:pt idx="45">
                  <c:v>-0.32612406820117007</c:v>
                </c:pt>
                <c:pt idx="46">
                  <c:v>-5.8660282986456772E-2</c:v>
                </c:pt>
                <c:pt idx="47">
                  <c:v>-0.1592359272208648</c:v>
                </c:pt>
                <c:pt idx="48">
                  <c:v>-0.26981157145527279</c:v>
                </c:pt>
                <c:pt idx="49">
                  <c:v>-0.36612406820117011</c:v>
                </c:pt>
                <c:pt idx="50">
                  <c:v>-9.4395887384873173E-2</c:v>
                </c:pt>
                <c:pt idx="51">
                  <c:v>-0.1274316293999197</c:v>
                </c:pt>
                <c:pt idx="52">
                  <c:v>-2.7242214697228373E-2</c:v>
                </c:pt>
                <c:pt idx="53">
                  <c:v>-0.10263918184248072</c:v>
                </c:pt>
                <c:pt idx="54">
                  <c:v>-9.8036148987733163E-2</c:v>
                </c:pt>
                <c:pt idx="55">
                  <c:v>-0.13724221469722836</c:v>
                </c:pt>
                <c:pt idx="56">
                  <c:v>-0.23263918184248072</c:v>
                </c:pt>
                <c:pt idx="57">
                  <c:v>-0.25803614898773319</c:v>
                </c:pt>
                <c:pt idx="58">
                  <c:v>-8.4207428410760454E-2</c:v>
                </c:pt>
                <c:pt idx="59">
                  <c:v>-0.11578838342227613</c:v>
                </c:pt>
                <c:pt idx="60">
                  <c:v>-0.16736933843379187</c:v>
                </c:pt>
                <c:pt idx="61">
                  <c:v>-0.281675034831947</c:v>
                </c:pt>
                <c:pt idx="62">
                  <c:v>-0.12420742841076046</c:v>
                </c:pt>
                <c:pt idx="63">
                  <c:v>-0.16578838342227617</c:v>
                </c:pt>
                <c:pt idx="64">
                  <c:v>-0.20736933843379191</c:v>
                </c:pt>
                <c:pt idx="65">
                  <c:v>-0.33167503483194694</c:v>
                </c:pt>
                <c:pt idx="66">
                  <c:v>-0.1718061964608289</c:v>
                </c:pt>
                <c:pt idx="67">
                  <c:v>-0.20061287026925201</c:v>
                </c:pt>
                <c:pt idx="68">
                  <c:v>-0.13617192539390516</c:v>
                </c:pt>
                <c:pt idx="69">
                  <c:v>-0.2445358242749639</c:v>
                </c:pt>
                <c:pt idx="70">
                  <c:v>-0.14617192539390517</c:v>
                </c:pt>
                <c:pt idx="71">
                  <c:v>-0.23453582427496389</c:v>
                </c:pt>
                <c:pt idx="72">
                  <c:v>-2.3998120811565021E-2</c:v>
                </c:pt>
                <c:pt idx="73">
                  <c:v>-1.6213798194587736E-2</c:v>
                </c:pt>
                <c:pt idx="74">
                  <c:v>-2.0414567502839875E-2</c:v>
                </c:pt>
                <c:pt idx="75">
                  <c:v>-1.6989153352812952E-2</c:v>
                </c:pt>
                <c:pt idx="76">
                  <c:v>-1.3740178430193956E-2</c:v>
                </c:pt>
                <c:pt idx="77">
                  <c:v>-4.6410290596932871E-2</c:v>
                </c:pt>
                <c:pt idx="78">
                  <c:v>-5.5908133898464246E-2</c:v>
                </c:pt>
                <c:pt idx="79">
                  <c:v>-7.3249637707773763E-2</c:v>
                </c:pt>
                <c:pt idx="80">
                  <c:v>-7.5957230430423017E-2</c:v>
                </c:pt>
                <c:pt idx="81">
                  <c:v>-7.8664823153072105E-2</c:v>
                </c:pt>
                <c:pt idx="82">
                  <c:v>-6.1453396025168749E-2</c:v>
                </c:pt>
                <c:pt idx="83">
                  <c:v>-1.4241968897265256E-2</c:v>
                </c:pt>
                <c:pt idx="84">
                  <c:v>1.3050438380085461E-2</c:v>
                </c:pt>
                <c:pt idx="85">
                  <c:v>3.0342845657436446E-2</c:v>
                </c:pt>
                <c:pt idx="86">
                  <c:v>7.7473292635892421E-2</c:v>
                </c:pt>
                <c:pt idx="87">
                  <c:v>-2.5957230430423001E-2</c:v>
                </c:pt>
                <c:pt idx="88">
                  <c:v>-8.6648231530720987E-3</c:v>
                </c:pt>
                <c:pt idx="89">
                  <c:v>1.8546603974831266E-2</c:v>
                </c:pt>
                <c:pt idx="90">
                  <c:v>1.5758031102734771E-2</c:v>
                </c:pt>
                <c:pt idx="91">
                  <c:v>1.3050438380085461E-2</c:v>
                </c:pt>
                <c:pt idx="92">
                  <c:v>3.0342845657436446E-2</c:v>
                </c:pt>
                <c:pt idx="93">
                  <c:v>2.7473292635892432E-2</c:v>
                </c:pt>
                <c:pt idx="94">
                  <c:v>-2.2727459978966469E-2</c:v>
                </c:pt>
                <c:pt idx="95">
                  <c:v>-1.8605977605129331E-2</c:v>
                </c:pt>
                <c:pt idx="96">
                  <c:v>-4.5429224271378299E-3</c:v>
                </c:pt>
                <c:pt idx="97">
                  <c:v>-4.7986724914622636E-4</c:v>
                </c:pt>
                <c:pt idx="98">
                  <c:v>1.3641615124690976E-2</c:v>
                </c:pt>
                <c:pt idx="99">
                  <c:v>-2.2369025014719601E-3</c:v>
                </c:pt>
                <c:pt idx="100">
                  <c:v>3.1767725480674136E-2</c:v>
                </c:pt>
                <c:pt idx="101">
                  <c:v>-5.6848942352803661E-2</c:v>
                </c:pt>
                <c:pt idx="102">
                  <c:v>-5.2727459978966468E-2</c:v>
                </c:pt>
                <c:pt idx="103">
                  <c:v>-1.8605977605129331E-2</c:v>
                </c:pt>
                <c:pt idx="104">
                  <c:v>-5.4542922427137819E-2</c:v>
                </c:pt>
                <c:pt idx="105">
                  <c:v>-5.0479867249146243E-2</c:v>
                </c:pt>
                <c:pt idx="106">
                  <c:v>-6.635838487530904E-2</c:v>
                </c:pt>
                <c:pt idx="107">
                  <c:v>-8.2236902501471976E-2</c:v>
                </c:pt>
                <c:pt idx="108">
                  <c:v>-9.8232274519325868E-2</c:v>
                </c:pt>
                <c:pt idx="109">
                  <c:v>1.4521796881274696E-3</c:v>
                </c:pt>
                <c:pt idx="110">
                  <c:v>-1.0423175019867198E-2</c:v>
                </c:pt>
                <c:pt idx="111">
                  <c:v>7.7637542765778556E-3</c:v>
                </c:pt>
                <c:pt idx="112">
                  <c:v>5.9506835730228913E-3</c:v>
                </c:pt>
                <c:pt idx="113">
                  <c:v>2.4137612869468084E-2</c:v>
                </c:pt>
                <c:pt idx="114">
                  <c:v>1.9576824980132801E-2</c:v>
                </c:pt>
                <c:pt idx="115">
                  <c:v>7.7637542765778556E-3</c:v>
                </c:pt>
                <c:pt idx="116">
                  <c:v>5.9506835730228913E-3</c:v>
                </c:pt>
                <c:pt idx="117">
                  <c:v>2.4137612869468084E-2</c:v>
                </c:pt>
                <c:pt idx="118">
                  <c:v>-0.16365198304242998</c:v>
                </c:pt>
                <c:pt idx="119">
                  <c:v>-0.11604989007136984</c:v>
                </c:pt>
                <c:pt idx="120">
                  <c:v>-9.8447797100309598E-2</c:v>
                </c:pt>
                <c:pt idx="121">
                  <c:v>-9.6049890071369853E-2</c:v>
                </c:pt>
                <c:pt idx="122">
                  <c:v>-4.8447797100309609E-2</c:v>
                </c:pt>
                <c:pt idx="123">
                  <c:v>-9.450884178010327E-2</c:v>
                </c:pt>
                <c:pt idx="124">
                  <c:v>-7.754702702336308E-2</c:v>
                </c:pt>
                <c:pt idx="125">
                  <c:v>-3.0585212266623057E-2</c:v>
                </c:pt>
                <c:pt idx="126">
                  <c:v>-9.450884178010327E-2</c:v>
                </c:pt>
                <c:pt idx="127">
                  <c:v>-7.754702702336308E-2</c:v>
                </c:pt>
                <c:pt idx="128">
                  <c:v>-3.0585212266623057E-2</c:v>
                </c:pt>
                <c:pt idx="129">
                  <c:v>-3.2902296652516955E-2</c:v>
                </c:pt>
                <c:pt idx="130">
                  <c:v>1.7225187493648042E-2</c:v>
                </c:pt>
                <c:pt idx="131">
                  <c:v>3.7352671639813179E-2</c:v>
                </c:pt>
                <c:pt idx="132">
                  <c:v>-6.2902296652516954E-2</c:v>
                </c:pt>
                <c:pt idx="133">
                  <c:v>-3.2774812506351975E-2</c:v>
                </c:pt>
                <c:pt idx="134">
                  <c:v>-1.2647328360186838E-2</c:v>
                </c:pt>
                <c:pt idx="135">
                  <c:v>1.563401025151373E-3</c:v>
                </c:pt>
                <c:pt idx="136">
                  <c:v>1.7655713434602094E-2</c:v>
                </c:pt>
                <c:pt idx="137">
                  <c:v>3.8560334165312737E-2</c:v>
                </c:pt>
                <c:pt idx="138">
                  <c:v>5.4652646574763292E-2</c:v>
                </c:pt>
                <c:pt idx="139">
                  <c:v>7.5557267305473907E-2</c:v>
                </c:pt>
                <c:pt idx="140">
                  <c:v>9.1649579714924434E-2</c:v>
                </c:pt>
                <c:pt idx="141">
                  <c:v>0.11496035460626525</c:v>
                </c:pt>
                <c:pt idx="142">
                  <c:v>-2.9341219705559238E-2</c:v>
                </c:pt>
                <c:pt idx="143">
                  <c:v>-8.4365989748486359E-3</c:v>
                </c:pt>
                <c:pt idx="144">
                  <c:v>1.0061867595231977E-2</c:v>
                </c:pt>
                <c:pt idx="145">
                  <c:v>3.4951102924367677E-2</c:v>
                </c:pt>
                <c:pt idx="146">
                  <c:v>5.4652646574763292E-2</c:v>
                </c:pt>
                <c:pt idx="147">
                  <c:v>7.4354190225158989E-2</c:v>
                </c:pt>
                <c:pt idx="148">
                  <c:v>8.8040348473979457E-2</c:v>
                </c:pt>
                <c:pt idx="149">
                  <c:v>9.0523429642484998E-2</c:v>
                </c:pt>
                <c:pt idx="150">
                  <c:v>4.0160488098032354E-2</c:v>
                </c:pt>
                <c:pt idx="151">
                  <c:v>6.5556738887621369E-2</c:v>
                </c:pt>
                <c:pt idx="152">
                  <c:v>7.9175569865779671E-2</c:v>
                </c:pt>
                <c:pt idx="153">
                  <c:v>0.10249816420869945</c:v>
                </c:pt>
                <c:pt idx="154">
                  <c:v>0.10522828528114264</c:v>
                </c:pt>
                <c:pt idx="155">
                  <c:v>0.13943958952977775</c:v>
                </c:pt>
                <c:pt idx="156">
                  <c:v>-1.3846864334569886E-3</c:v>
                </c:pt>
                <c:pt idx="157">
                  <c:v>1.1049198003747679E-2</c:v>
                </c:pt>
                <c:pt idx="158">
                  <c:v>2.4668028981906009E-2</c:v>
                </c:pt>
                <c:pt idx="159">
                  <c:v>4.7694386689587476E-2</c:v>
                </c:pt>
                <c:pt idx="160">
                  <c:v>8.279440084393791E-2</c:v>
                </c:pt>
                <c:pt idx="161">
                  <c:v>0.10522828528114264</c:v>
                </c:pt>
                <c:pt idx="162">
                  <c:v>0.12070463591164865</c:v>
                </c:pt>
                <c:pt idx="163">
                  <c:v>5.9058912689384208E-2</c:v>
                </c:pt>
                <c:pt idx="164">
                  <c:v>5.2215410878619001E-2</c:v>
                </c:pt>
                <c:pt idx="165">
                  <c:v>4.8846710516465969E-2</c:v>
                </c:pt>
                <c:pt idx="166">
                  <c:v>4.6845531209597363E-2</c:v>
                </c:pt>
                <c:pt idx="167">
                  <c:v>4.6002619052266214E-2</c:v>
                </c:pt>
                <c:pt idx="168">
                  <c:v>3.7370140107550853E-2</c:v>
                </c:pt>
                <c:pt idx="169">
                  <c:v>2.6527227950219778E-2</c:v>
                </c:pt>
                <c:pt idx="170">
                  <c:v>-6.3162885275219738E-4</c:v>
                </c:pt>
                <c:pt idx="171">
                  <c:v>4.6848479476768651E-2</c:v>
                </c:pt>
                <c:pt idx="172">
                  <c:v>4.8952811602925139E-2</c:v>
                </c:pt>
                <c:pt idx="173">
                  <c:v>4.9583521587337837E-2</c:v>
                </c:pt>
                <c:pt idx="174">
                  <c:v>4.0951042642622254E-2</c:v>
                </c:pt>
                <c:pt idx="175">
                  <c:v>5.379218583965073E-2</c:v>
                </c:pt>
                <c:pt idx="176">
                  <c:v>6.737014010755088E-2</c:v>
                </c:pt>
                <c:pt idx="177">
                  <c:v>6.8737661162835362E-2</c:v>
                </c:pt>
                <c:pt idx="178">
                  <c:v>6.7894749005504351E-2</c:v>
                </c:pt>
                <c:pt idx="179">
                  <c:v>8.1163244815540825E-2</c:v>
                </c:pt>
                <c:pt idx="180">
                  <c:v>9.2530765870825343E-2</c:v>
                </c:pt>
                <c:pt idx="181">
                  <c:v>0.10274001977657254</c:v>
                </c:pt>
                <c:pt idx="182">
                  <c:v>0.12042348547749754</c:v>
                </c:pt>
                <c:pt idx="183">
                  <c:v>0.12737014010755088</c:v>
                </c:pt>
                <c:pt idx="184">
                  <c:v>0.13579041687934795</c:v>
                </c:pt>
                <c:pt idx="185">
                  <c:v>0.14010518221811999</c:v>
                </c:pt>
                <c:pt idx="186">
                  <c:v>6.1041400453089784E-2</c:v>
                </c:pt>
                <c:pt idx="187">
                  <c:v>7.1749943542550876E-2</c:v>
                </c:pt>
                <c:pt idx="188">
                  <c:v>9.2286593265607147E-2</c:v>
                </c:pt>
                <c:pt idx="189">
                  <c:v>8.1041400453089774E-2</c:v>
                </c:pt>
                <c:pt idx="190">
                  <c:v>0.10106237007693106</c:v>
                </c:pt>
                <c:pt idx="191">
                  <c:v>0.11142712643358235</c:v>
                </c:pt>
                <c:pt idx="192">
                  <c:v>-9.1407045924262256E-2</c:v>
                </c:pt>
                <c:pt idx="193">
                  <c:v>-7.9151462537156492E-2</c:v>
                </c:pt>
                <c:pt idx="194">
                  <c:v>-6.9818066378935006E-2</c:v>
                </c:pt>
                <c:pt idx="195">
                  <c:v>-6.0312776854308636E-2</c:v>
                </c:pt>
                <c:pt idx="196">
                  <c:v>-3.0352176727492686E-2</c:v>
                </c:pt>
                <c:pt idx="197">
                  <c:v>-1.6085037612609154E-2</c:v>
                </c:pt>
                <c:pt idx="198">
                  <c:v>-2.0249427157508493E-2</c:v>
                </c:pt>
                <c:pt idx="199">
                  <c:v>5.5861832975920844E-3</c:v>
                </c:pt>
                <c:pt idx="200">
                  <c:v>-3.926150812380963E-2</c:v>
                </c:pt>
                <c:pt idx="201">
                  <c:v>-6.326606031736301E-2</c:v>
                </c:pt>
                <c:pt idx="202">
                  <c:v>-8.7270612510916556E-2</c:v>
                </c:pt>
                <c:pt idx="203">
                  <c:v>1.2567232720173294E-2</c:v>
                </c:pt>
                <c:pt idx="204">
                  <c:v>5.7522018918416767E-2</c:v>
                </c:pt>
                <c:pt idx="205">
                  <c:v>7.8494890637362841E-2</c:v>
                </c:pt>
                <c:pt idx="206">
                  <c:v>0.12097228373648447</c:v>
                </c:pt>
                <c:pt idx="207">
                  <c:v>0.15893611269507929</c:v>
                </c:pt>
                <c:pt idx="208">
                  <c:v>0.17840446303384982</c:v>
                </c:pt>
                <c:pt idx="209">
                  <c:v>3.1905867566179469E-2</c:v>
                </c:pt>
                <c:pt idx="210">
                  <c:v>4.6589304836322426E-2</c:v>
                </c:pt>
                <c:pt idx="211">
                  <c:v>7.1182295612220753E-2</c:v>
                </c:pt>
                <c:pt idx="212">
                  <c:v>7.1001402623730975E-2</c:v>
                </c:pt>
                <c:pt idx="213">
                  <c:v>9.5594393399629329E-2</c:v>
                </c:pt>
                <c:pt idx="214">
                  <c:v>0.18973515170430333</c:v>
                </c:pt>
                <c:pt idx="215">
                  <c:v>-2.9607884396697648E-2</c:v>
                </c:pt>
                <c:pt idx="216">
                  <c:v>-1.3680433898517946E-2</c:v>
                </c:pt>
                <c:pt idx="217">
                  <c:v>-1.0345728450156189E-2</c:v>
                </c:pt>
                <c:pt idx="218">
                  <c:v>-1.8255329021586164E-3</c:v>
                </c:pt>
                <c:pt idx="219">
                  <c:v>6.6946626458390668E-3</c:v>
                </c:pt>
                <c:pt idx="220">
                  <c:v>-7.377886855981175E-3</c:v>
                </c:pt>
                <c:pt idx="221">
                  <c:v>-1.45043635780151E-3</c:v>
                </c:pt>
                <c:pt idx="222">
                  <c:v>-3.8115730909439871E-2</c:v>
                </c:pt>
                <c:pt idx="223">
                  <c:v>0.15498643455900171</c:v>
                </c:pt>
                <c:pt idx="224">
                  <c:v>0.19084940116132815</c:v>
                </c:pt>
                <c:pt idx="225">
                  <c:v>0.21514158627502433</c:v>
                </c:pt>
                <c:pt idx="226">
                  <c:v>3.1319217011829048E-2</c:v>
                </c:pt>
                <c:pt idx="227">
                  <c:v>4.5669621103139879E-2</c:v>
                </c:pt>
                <c:pt idx="228">
                  <c:v>4.9834426363396717E-2</c:v>
                </c:pt>
                <c:pt idx="229">
                  <c:v>4.946322870128872E-2</c:v>
                </c:pt>
                <c:pt idx="230">
                  <c:v>2.8906432208126609E-2</c:v>
                </c:pt>
                <c:pt idx="231">
                  <c:v>2.8535234546018584E-2</c:v>
                </c:pt>
                <c:pt idx="232">
                  <c:v>3.6625800273853815E-2</c:v>
                </c:pt>
                <c:pt idx="233">
                  <c:v>-2.528363399831085E-2</c:v>
                </c:pt>
                <c:pt idx="234">
                  <c:v>3.2828264060670798E-2</c:v>
                </c:pt>
                <c:pt idx="235">
                  <c:v>2.3079031059152766E-2</c:v>
                </c:pt>
                <c:pt idx="236">
                  <c:v>4.8705948555357981E-2</c:v>
                </c:pt>
                <c:pt idx="237">
                  <c:v>5.689555780118366E-2</c:v>
                </c:pt>
                <c:pt idx="238">
                  <c:v>8.252247529738882E-2</c:v>
                </c:pt>
                <c:pt idx="239">
                  <c:v>0.10558670104397339</c:v>
                </c:pt>
                <c:pt idx="240">
                  <c:v>0.11377631028979904</c:v>
                </c:pt>
                <c:pt idx="241">
                  <c:v>-0.13705696590881389</c:v>
                </c:pt>
                <c:pt idx="242">
                  <c:v>-0.13062721509517783</c:v>
                </c:pt>
                <c:pt idx="243">
                  <c:v>-0.14976573386001871</c:v>
                </c:pt>
                <c:pt idx="244">
                  <c:v>-0.14579059870916425</c:v>
                </c:pt>
                <c:pt idx="245">
                  <c:v>-0.12842675172081958</c:v>
                </c:pt>
                <c:pt idx="246">
                  <c:v>-0.11943346283507764</c:v>
                </c:pt>
                <c:pt idx="247">
                  <c:v>-0.12172194298538863</c:v>
                </c:pt>
                <c:pt idx="248">
                  <c:v>0.12183291288201697</c:v>
                </c:pt>
                <c:pt idx="249">
                  <c:v>5.4258892990813323E-3</c:v>
                </c:pt>
                <c:pt idx="250">
                  <c:v>0.12329656592413113</c:v>
                </c:pt>
                <c:pt idx="251">
                  <c:v>0.10542588929908131</c:v>
                </c:pt>
                <c:pt idx="252">
                  <c:v>0.12329656592413113</c:v>
                </c:pt>
                <c:pt idx="253">
                  <c:v>0.10542588929908131</c:v>
                </c:pt>
                <c:pt idx="254">
                  <c:v>0.12476021896624528</c:v>
                </c:pt>
                <c:pt idx="255">
                  <c:v>5.5425889299081321E-2</c:v>
                </c:pt>
                <c:pt idx="256">
                  <c:v>0.10026049182946475</c:v>
                </c:pt>
                <c:pt idx="257">
                  <c:v>0.13463611384387142</c:v>
                </c:pt>
                <c:pt idx="258">
                  <c:v>0.10254130686354565</c:v>
                </c:pt>
                <c:pt idx="259">
                  <c:v>0.13463611384387142</c:v>
                </c:pt>
                <c:pt idx="260">
                  <c:v>5.7703773373146694E-2</c:v>
                </c:pt>
                <c:pt idx="261">
                  <c:v>7.3158359447096311E-2</c:v>
                </c:pt>
                <c:pt idx="262">
                  <c:v>5.2668202487364646E-2</c:v>
                </c:pt>
                <c:pt idx="263">
                  <c:v>5.9165223829779068E-2</c:v>
                </c:pt>
                <c:pt idx="264">
                  <c:v>7.4619809903728629E-2</c:v>
                </c:pt>
                <c:pt idx="265">
                  <c:v>-7.4151993140166017E-3</c:v>
                </c:pt>
                <c:pt idx="266">
                  <c:v>2.3265944741464123E-2</c:v>
                </c:pt>
                <c:pt idx="267">
                  <c:v>4.9814624386819717E-3</c:v>
                </c:pt>
                <c:pt idx="268">
                  <c:v>3.6238862059214894E-2</c:v>
                </c:pt>
                <c:pt idx="269">
                  <c:v>-8.4495729557535204E-3</c:v>
                </c:pt>
                <c:pt idx="270">
                  <c:v>-2.8802802542009703E-2</c:v>
                </c:pt>
                <c:pt idx="271">
                  <c:v>2.1878341513471122E-2</c:v>
                </c:pt>
                <c:pt idx="272">
                  <c:v>0.11093919916291389</c:v>
                </c:pt>
                <c:pt idx="273">
                  <c:v>0.12025887326163445</c:v>
                </c:pt>
                <c:pt idx="274">
                  <c:v>0.14093919916291389</c:v>
                </c:pt>
                <c:pt idx="275">
                  <c:v>0.13025887326163446</c:v>
                </c:pt>
                <c:pt idx="276">
                  <c:v>2.3976588773128027E-4</c:v>
                </c:pt>
                <c:pt idx="277">
                  <c:v>3.1306213975340225E-2</c:v>
                </c:pt>
                <c:pt idx="278">
                  <c:v>5.1346000860758967E-2</c:v>
                </c:pt>
                <c:pt idx="279">
                  <c:v>9.2412448948367865E-2</c:v>
                </c:pt>
                <c:pt idx="280">
                  <c:v>8.1425574631596498E-2</c:v>
                </c:pt>
                <c:pt idx="281">
                  <c:v>8.585434647208523E-2</c:v>
                </c:pt>
                <c:pt idx="282">
                  <c:v>7.1346000860758985E-2</c:v>
                </c:pt>
                <c:pt idx="283">
                  <c:v>0.10035912654398743</c:v>
                </c:pt>
                <c:pt idx="284">
                  <c:v>0.12142557463159651</c:v>
                </c:pt>
                <c:pt idx="285">
                  <c:v>9.5854346472085239E-2</c:v>
                </c:pt>
                <c:pt idx="286">
                  <c:v>-2.0848437685819676E-2</c:v>
                </c:pt>
                <c:pt idx="287">
                  <c:v>-3.8201892420793554E-2</c:v>
                </c:pt>
                <c:pt idx="288">
                  <c:v>-4.602007885309134E-2</c:v>
                </c:pt>
                <c:pt idx="289">
                  <c:v>6.5140606128658241E-2</c:v>
                </c:pt>
                <c:pt idx="290">
                  <c:v>6.1157719842858976E-2</c:v>
                </c:pt>
                <c:pt idx="291">
                  <c:v>5.1002060217716971E-2</c:v>
                </c:pt>
                <c:pt idx="292">
                  <c:v>-5.2739716731292158E-2</c:v>
                </c:pt>
                <c:pt idx="293">
                  <c:v>2.3915354249492288E-2</c:v>
                </c:pt>
                <c:pt idx="294">
                  <c:v>1.9814932244442751E-2</c:v>
                </c:pt>
                <c:pt idx="295">
                  <c:v>2.8119266660107639E-2</c:v>
                </c:pt>
                <c:pt idx="296">
                  <c:v>-5.0921562892549121E-3</c:v>
                </c:pt>
                <c:pt idx="297">
                  <c:v>6.6475441961979548E-2</c:v>
                </c:pt>
                <c:pt idx="298">
                  <c:v>5.4638405020446756E-2</c:v>
                </c:pt>
                <c:pt idx="299">
                  <c:v>1.3618955759809426E-2</c:v>
                </c:pt>
                <c:pt idx="300">
                  <c:v>1.9223404930400118E-2</c:v>
                </c:pt>
                <c:pt idx="301">
                  <c:v>1.7212841126771822E-2</c:v>
                </c:pt>
                <c:pt idx="302">
                  <c:v>5.2954282000780006E-3</c:v>
                </c:pt>
                <c:pt idx="303">
                  <c:v>-3.4636979624591918E-2</c:v>
                </c:pt>
                <c:pt idx="304">
                  <c:v>-4.8986158857447282E-2</c:v>
                </c:pt>
                <c:pt idx="305">
                  <c:v>-6.094724483317332E-2</c:v>
                </c:pt>
                <c:pt idx="306">
                  <c:v>-9.3068892237618106E-2</c:v>
                </c:pt>
                <c:pt idx="307">
                  <c:v>-3.0258973873166312E-2</c:v>
                </c:pt>
                <c:pt idx="308">
                  <c:v>-3.3317795835522468E-2</c:v>
                </c:pt>
                <c:pt idx="309">
                  <c:v>-1.1723179082872792E-2</c:v>
                </c:pt>
                <c:pt idx="310">
                  <c:v>-5.7807678114407401E-3</c:v>
                </c:pt>
                <c:pt idx="311">
                  <c:v>-2.0657556796907395E-2</c:v>
                </c:pt>
                <c:pt idx="312">
                  <c:v>-2.7610978140826636E-2</c:v>
                </c:pt>
                <c:pt idx="313">
                  <c:v>2.5733921547321764E-2</c:v>
                </c:pt>
                <c:pt idx="314">
                  <c:v>8.2768209171272256E-3</c:v>
                </c:pt>
                <c:pt idx="315">
                  <c:v>3.4219232188559268E-2</c:v>
                </c:pt>
                <c:pt idx="316">
                  <c:v>9.3424432030926041E-3</c:v>
                </c:pt>
                <c:pt idx="317">
                  <c:v>2.3890218591733348E-3</c:v>
                </c:pt>
                <c:pt idx="318">
                  <c:v>2.915070338749437E-2</c:v>
                </c:pt>
                <c:pt idx="319">
                  <c:v>3.4502533867511259E-2</c:v>
                </c:pt>
                <c:pt idx="320">
                  <c:v>2.68002338109391E-2</c:v>
                </c:pt>
                <c:pt idx="321">
                  <c:v>3.5983432455117093E-2</c:v>
                </c:pt>
                <c:pt idx="322">
                  <c:v>4.2637671995830989E-2</c:v>
                </c:pt>
                <c:pt idx="323">
                  <c:v>6.1610567946350947E-2</c:v>
                </c:pt>
                <c:pt idx="324">
                  <c:v>6.3734065053865308E-2</c:v>
                </c:pt>
                <c:pt idx="325">
                  <c:v>3.3435400919139657E-2</c:v>
                </c:pt>
                <c:pt idx="326">
                  <c:v>5.817561262520643E-3</c:v>
                </c:pt>
                <c:pt idx="327">
                  <c:v>2.2123650238331016E-2</c:v>
                </c:pt>
                <c:pt idx="328">
                  <c:v>3.0788517064512577E-2</c:v>
                </c:pt>
                <c:pt idx="329">
                  <c:v>2.6919933689281139E-3</c:v>
                </c:pt>
                <c:pt idx="330">
                  <c:v>-4.636268577260344E-2</c:v>
                </c:pt>
                <c:pt idx="331">
                  <c:v>-3.1731643778668106E-2</c:v>
                </c:pt>
                <c:pt idx="332">
                  <c:v>-3.6185958946844121E-2</c:v>
                </c:pt>
                <c:pt idx="333">
                  <c:v>-5.8765002076579864E-2</c:v>
                </c:pt>
                <c:pt idx="334">
                  <c:v>-8.1975757820643813E-2</c:v>
                </c:pt>
                <c:pt idx="335">
                  <c:v>2.3814041053155877E-2</c:v>
                </c:pt>
                <c:pt idx="336">
                  <c:v>2.1234997923420151E-2</c:v>
                </c:pt>
                <c:pt idx="337">
                  <c:v>1.8024242179356192E-2</c:v>
                </c:pt>
                <c:pt idx="338">
                  <c:v>-2.3465781046206835E-2</c:v>
                </c:pt>
                <c:pt idx="339">
                  <c:v>-8.126339607836422E-2</c:v>
                </c:pt>
                <c:pt idx="340">
                  <c:v>-0.10561991467793996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637-4A45-88AD-D4AB28872B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3412480"/>
        <c:axId val="1213412960"/>
      </c:scatterChart>
      <c:valAx>
        <c:axId val="1213412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Deformação sem TS MC2020</a:t>
                </a:r>
              </a:p>
            </c:rich>
          </c:tx>
          <c:layout>
            <c:manualLayout>
              <c:xMode val="edge"/>
              <c:yMode val="edge"/>
              <c:x val="0.39742016622922133"/>
              <c:y val="0.8740507436570428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00000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13412960"/>
        <c:crosses val="autoZero"/>
        <c:crossBetween val="midCat"/>
        <c:majorUnit val="8.0000000000000026E-4"/>
      </c:valAx>
      <c:valAx>
        <c:axId val="1213412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Resíduo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13412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'Dataset sem TS MC2020'!$R$3:$R$343</c:f>
              <c:numCache>
                <c:formatCode>0.000000</c:formatCode>
                <c:ptCount val="341"/>
                <c:pt idx="0">
                  <c:v>1.1590550246936679E-3</c:v>
                </c:pt>
                <c:pt idx="1">
                  <c:v>1.5212597199104388E-3</c:v>
                </c:pt>
                <c:pt idx="2">
                  <c:v>1.5714111392481456E-3</c:v>
                </c:pt>
                <c:pt idx="3">
                  <c:v>1.8165958560102682E-3</c:v>
                </c:pt>
                <c:pt idx="4">
                  <c:v>2.2958205296816883E-3</c:v>
                </c:pt>
                <c:pt idx="5">
                  <c:v>2.5000000000000001E-3</c:v>
                </c:pt>
                <c:pt idx="6">
                  <c:v>1.6145985781890581E-3</c:v>
                </c:pt>
                <c:pt idx="7">
                  <c:v>1.8391046662039176E-3</c:v>
                </c:pt>
                <c:pt idx="8">
                  <c:v>2.5000000000000001E-3</c:v>
                </c:pt>
                <c:pt idx="9">
                  <c:v>1.4252401609235823E-3</c:v>
                </c:pt>
                <c:pt idx="10">
                  <c:v>1.6249982307223209E-3</c:v>
                </c:pt>
                <c:pt idx="11">
                  <c:v>1.8382231366872665E-3</c:v>
                </c:pt>
                <c:pt idx="12">
                  <c:v>2.0536925153465794E-3</c:v>
                </c:pt>
                <c:pt idx="13">
                  <c:v>2.1928498223973865E-3</c:v>
                </c:pt>
                <c:pt idx="14">
                  <c:v>2.4913646907483091E-3</c:v>
                </c:pt>
                <c:pt idx="15">
                  <c:v>2.5138094176919883E-3</c:v>
                </c:pt>
                <c:pt idx="16">
                  <c:v>2.6933672332414157E-3</c:v>
                </c:pt>
                <c:pt idx="17">
                  <c:v>3.14E-3</c:v>
                </c:pt>
                <c:pt idx="18">
                  <c:v>3.14E-3</c:v>
                </c:pt>
                <c:pt idx="19">
                  <c:v>1.6073593822129681E-3</c:v>
                </c:pt>
                <c:pt idx="20">
                  <c:v>1.7859548691255204E-3</c:v>
                </c:pt>
                <c:pt idx="21">
                  <c:v>1.8529281767177273E-3</c:v>
                </c:pt>
                <c:pt idx="22">
                  <c:v>1.9645503560380721E-3</c:v>
                </c:pt>
                <c:pt idx="23">
                  <c:v>2.1208214070865547E-3</c:v>
                </c:pt>
                <c:pt idx="24">
                  <c:v>2.4556879450475903E-3</c:v>
                </c:pt>
                <c:pt idx="25">
                  <c:v>6.8124993174223727E-4</c:v>
                </c:pt>
                <c:pt idx="26">
                  <c:v>9.8070045118937464E-4</c:v>
                </c:pt>
                <c:pt idx="27">
                  <c:v>1.1865726833092819E-3</c:v>
                </c:pt>
                <c:pt idx="28">
                  <c:v>1.5271976491804003E-3</c:v>
                </c:pt>
                <c:pt idx="29">
                  <c:v>2.0250341377612661E-3</c:v>
                </c:pt>
                <c:pt idx="30">
                  <c:v>1.5021647812462058E-3</c:v>
                </c:pt>
                <c:pt idx="31">
                  <c:v>1.9313547187451217E-3</c:v>
                </c:pt>
                <c:pt idx="32">
                  <c:v>2.5000000000000001E-3</c:v>
                </c:pt>
                <c:pt idx="33">
                  <c:v>2.5000000000000001E-3</c:v>
                </c:pt>
                <c:pt idx="34">
                  <c:v>2.5000000000000001E-3</c:v>
                </c:pt>
                <c:pt idx="35">
                  <c:v>5.3256327612997306E-4</c:v>
                </c:pt>
                <c:pt idx="36">
                  <c:v>9.5861389703395133E-4</c:v>
                </c:pt>
                <c:pt idx="37">
                  <c:v>1.3846645179379296E-3</c:v>
                </c:pt>
                <c:pt idx="38">
                  <c:v>1.8107151388419081E-3</c:v>
                </c:pt>
                <c:pt idx="39">
                  <c:v>2.1302531045198922E-3</c:v>
                </c:pt>
                <c:pt idx="40">
                  <c:v>2.5000000000000001E-3</c:v>
                </c:pt>
                <c:pt idx="41">
                  <c:v>1.0623556356304483E-3</c:v>
                </c:pt>
                <c:pt idx="42">
                  <c:v>1.2748267627565378E-3</c:v>
                </c:pt>
                <c:pt idx="43">
                  <c:v>1.4872978898826273E-3</c:v>
                </c:pt>
                <c:pt idx="44">
                  <c:v>1.9122401441348069E-3</c:v>
                </c:pt>
                <c:pt idx="45">
                  <c:v>2.5000000000000001E-3</c:v>
                </c:pt>
                <c:pt idx="46">
                  <c:v>1.0623556356304483E-3</c:v>
                </c:pt>
                <c:pt idx="47">
                  <c:v>1.4872978898826273E-3</c:v>
                </c:pt>
                <c:pt idx="48">
                  <c:v>1.9122401441348069E-3</c:v>
                </c:pt>
                <c:pt idx="49">
                  <c:v>2.5000000000000001E-3</c:v>
                </c:pt>
                <c:pt idx="50">
                  <c:v>1.2259738524273323E-3</c:v>
                </c:pt>
                <c:pt idx="51">
                  <c:v>1.4711686229127989E-3</c:v>
                </c:pt>
                <c:pt idx="52">
                  <c:v>9.6972907455207178E-4</c:v>
                </c:pt>
                <c:pt idx="53">
                  <c:v>1.2121613431900896E-3</c:v>
                </c:pt>
                <c:pt idx="54">
                  <c:v>1.4545936118281076E-3</c:v>
                </c:pt>
                <c:pt idx="55">
                  <c:v>9.6972907455207178E-4</c:v>
                </c:pt>
                <c:pt idx="56">
                  <c:v>1.2121613431900896E-3</c:v>
                </c:pt>
                <c:pt idx="57">
                  <c:v>1.4545936118281076E-3</c:v>
                </c:pt>
                <c:pt idx="58">
                  <c:v>1.0541877463429463E-3</c:v>
                </c:pt>
                <c:pt idx="59">
                  <c:v>1.5812816195144193E-3</c:v>
                </c:pt>
                <c:pt idx="60">
                  <c:v>2.1083754926858925E-3</c:v>
                </c:pt>
                <c:pt idx="61">
                  <c:v>2.5000000000000001E-3</c:v>
                </c:pt>
                <c:pt idx="62">
                  <c:v>1.0541877463429463E-3</c:v>
                </c:pt>
                <c:pt idx="63">
                  <c:v>1.5812816195144193E-3</c:v>
                </c:pt>
                <c:pt idx="64">
                  <c:v>2.1083754926858925E-3</c:v>
                </c:pt>
                <c:pt idx="65">
                  <c:v>2.5000000000000001E-3</c:v>
                </c:pt>
                <c:pt idx="66">
                  <c:v>6.1170382914861447E-4</c:v>
                </c:pt>
                <c:pt idx="67">
                  <c:v>1.2234076582972289E-3</c:v>
                </c:pt>
                <c:pt idx="68">
                  <c:v>6.0453356856479971E-4</c:v>
                </c:pt>
                <c:pt idx="69">
                  <c:v>1.2090671371295994E-3</c:v>
                </c:pt>
                <c:pt idx="70">
                  <c:v>6.0453356856479971E-4</c:v>
                </c:pt>
                <c:pt idx="71">
                  <c:v>1.2090671371295994E-3</c:v>
                </c:pt>
                <c:pt idx="72">
                  <c:v>1.4773531582662977E-3</c:v>
                </c:pt>
                <c:pt idx="73">
                  <c:v>1.7193334169478467E-3</c:v>
                </c:pt>
                <c:pt idx="74">
                  <c:v>1.5162801261564864E-3</c:v>
                </c:pt>
                <c:pt idx="75">
                  <c:v>1.7390511399519885E-3</c:v>
                </c:pt>
                <c:pt idx="76">
                  <c:v>2.0552422563068959E-3</c:v>
                </c:pt>
                <c:pt idx="77">
                  <c:v>1.4486746145782711E-3</c:v>
                </c:pt>
                <c:pt idx="78">
                  <c:v>1.8999011338731425E-3</c:v>
                </c:pt>
                <c:pt idx="79">
                  <c:v>9.2636982235082895E-4</c:v>
                </c:pt>
                <c:pt idx="80">
                  <c:v>1.0588379849984495E-3</c:v>
                </c:pt>
                <c:pt idx="81">
                  <c:v>1.1913061476460708E-3</c:v>
                </c:pt>
                <c:pt idx="82">
                  <c:v>1.323547481248062E-3</c:v>
                </c:pt>
                <c:pt idx="83">
                  <c:v>1.4557888148500539E-3</c:v>
                </c:pt>
                <c:pt idx="84">
                  <c:v>1.5882569774976745E-3</c:v>
                </c:pt>
                <c:pt idx="85">
                  <c:v>1.7207251401452955E-3</c:v>
                </c:pt>
                <c:pt idx="86">
                  <c:v>1.8527396447016579E-3</c:v>
                </c:pt>
                <c:pt idx="87">
                  <c:v>1.0588379849984495E-3</c:v>
                </c:pt>
                <c:pt idx="88">
                  <c:v>1.1913061476460708E-3</c:v>
                </c:pt>
                <c:pt idx="89">
                  <c:v>1.323547481248062E-3</c:v>
                </c:pt>
                <c:pt idx="90">
                  <c:v>1.4557888148500539E-3</c:v>
                </c:pt>
                <c:pt idx="91">
                  <c:v>1.5882569774976745E-3</c:v>
                </c:pt>
                <c:pt idx="92">
                  <c:v>1.7207251401452955E-3</c:v>
                </c:pt>
                <c:pt idx="93">
                  <c:v>1.8527396447016579E-3</c:v>
                </c:pt>
                <c:pt idx="94">
                  <c:v>1.0588379849984497E-3</c:v>
                </c:pt>
                <c:pt idx="95">
                  <c:v>1.1913061476460705E-3</c:v>
                </c:pt>
                <c:pt idx="96">
                  <c:v>1.323547481248062E-3</c:v>
                </c:pt>
                <c:pt idx="97">
                  <c:v>1.4557888148500535E-3</c:v>
                </c:pt>
                <c:pt idx="98">
                  <c:v>1.5882569774976745E-3</c:v>
                </c:pt>
                <c:pt idx="99">
                  <c:v>1.7207251401452953E-3</c:v>
                </c:pt>
                <c:pt idx="100">
                  <c:v>1.8527396447016577E-3</c:v>
                </c:pt>
                <c:pt idx="101">
                  <c:v>9.2636982235082884E-4</c:v>
                </c:pt>
                <c:pt idx="102">
                  <c:v>1.0588379849984497E-3</c:v>
                </c:pt>
                <c:pt idx="103">
                  <c:v>1.1913061476460705E-3</c:v>
                </c:pt>
                <c:pt idx="104">
                  <c:v>1.323547481248062E-3</c:v>
                </c:pt>
                <c:pt idx="105">
                  <c:v>1.4557888148500535E-3</c:v>
                </c:pt>
                <c:pt idx="106">
                  <c:v>1.5882569774976745E-3</c:v>
                </c:pt>
                <c:pt idx="107">
                  <c:v>1.7207251401452953E-3</c:v>
                </c:pt>
                <c:pt idx="108">
                  <c:v>1.8527396447016577E-3</c:v>
                </c:pt>
                <c:pt idx="109">
                  <c:v>1.1665234603218623E-3</c:v>
                </c:pt>
                <c:pt idx="110">
                  <c:v>1.2560194600460023E-3</c:v>
                </c:pt>
                <c:pt idx="111">
                  <c:v>1.3458230061609464E-3</c:v>
                </c:pt>
                <c:pt idx="112">
                  <c:v>1.4356265522758906E-3</c:v>
                </c:pt>
                <c:pt idx="113">
                  <c:v>1.5254300983908353E-3</c:v>
                </c:pt>
                <c:pt idx="114">
                  <c:v>1.2560194600460023E-3</c:v>
                </c:pt>
                <c:pt idx="115">
                  <c:v>1.3458230061609464E-3</c:v>
                </c:pt>
                <c:pt idx="116">
                  <c:v>1.4356265522758906E-3</c:v>
                </c:pt>
                <c:pt idx="117">
                  <c:v>1.5254300983908353E-3</c:v>
                </c:pt>
                <c:pt idx="118">
                  <c:v>8.8143086760134092E-4</c:v>
                </c:pt>
                <c:pt idx="119">
                  <c:v>1.2117315139187597E-3</c:v>
                </c:pt>
                <c:pt idx="120">
                  <c:v>1.542032160236179E-3</c:v>
                </c:pt>
                <c:pt idx="121">
                  <c:v>1.2117315139187597E-3</c:v>
                </c:pt>
                <c:pt idx="122">
                  <c:v>1.542032160236179E-3</c:v>
                </c:pt>
                <c:pt idx="123">
                  <c:v>1.0438986964465184E-3</c:v>
                </c:pt>
                <c:pt idx="124">
                  <c:v>1.2675000084148673E-3</c:v>
                </c:pt>
                <c:pt idx="125">
                  <c:v>1.4911013203832155E-3</c:v>
                </c:pt>
                <c:pt idx="126">
                  <c:v>1.0438986964465184E-3</c:v>
                </c:pt>
                <c:pt idx="127">
                  <c:v>1.2675000084148673E-3</c:v>
                </c:pt>
                <c:pt idx="128">
                  <c:v>1.4911013203832155E-3</c:v>
                </c:pt>
                <c:pt idx="129">
                  <c:v>1.1322765133287974E-3</c:v>
                </c:pt>
                <c:pt idx="130">
                  <c:v>1.3020694780524818E-3</c:v>
                </c:pt>
                <c:pt idx="131">
                  <c:v>1.4718624427761664E-3</c:v>
                </c:pt>
                <c:pt idx="132">
                  <c:v>1.1322765133287974E-3</c:v>
                </c:pt>
                <c:pt idx="133">
                  <c:v>1.3020694780524818E-3</c:v>
                </c:pt>
                <c:pt idx="134">
                  <c:v>1.4718624427761664E-3</c:v>
                </c:pt>
                <c:pt idx="135">
                  <c:v>1.3707181610636567E-3</c:v>
                </c:pt>
                <c:pt idx="136">
                  <c:v>1.4710146118731928E-3</c:v>
                </c:pt>
                <c:pt idx="137">
                  <c:v>1.5846839227906667E-3</c:v>
                </c:pt>
                <c:pt idx="138">
                  <c:v>1.6849803736002024E-3</c:v>
                </c:pt>
                <c:pt idx="139">
                  <c:v>1.7986496845176763E-3</c:v>
                </c:pt>
                <c:pt idx="140">
                  <c:v>1.8989461353272122E-3</c:v>
                </c:pt>
                <c:pt idx="141">
                  <c:v>2.0193018762986554E-3</c:v>
                </c:pt>
                <c:pt idx="142">
                  <c:v>1.2570488501461828E-3</c:v>
                </c:pt>
                <c:pt idx="143">
                  <c:v>1.3707181610636567E-3</c:v>
                </c:pt>
                <c:pt idx="144">
                  <c:v>1.4777010419271617E-3</c:v>
                </c:pt>
                <c:pt idx="145">
                  <c:v>1.5746542777097133E-3</c:v>
                </c:pt>
                <c:pt idx="146">
                  <c:v>1.6849803736002024E-3</c:v>
                </c:pt>
                <c:pt idx="147">
                  <c:v>1.795306469490692E-3</c:v>
                </c:pt>
                <c:pt idx="148">
                  <c:v>1.8889164902462588E-3</c:v>
                </c:pt>
                <c:pt idx="149">
                  <c:v>1.9791832959748408E-3</c:v>
                </c:pt>
                <c:pt idx="150">
                  <c:v>1.0066634269547986E-3</c:v>
                </c:pt>
                <c:pt idx="151">
                  <c:v>1.1764073952510541E-3</c:v>
                </c:pt>
                <c:pt idx="152">
                  <c:v>1.3407050330137397E-3</c:v>
                </c:pt>
                <c:pt idx="153">
                  <c:v>1.5040949490208305E-3</c:v>
                </c:pt>
                <c:pt idx="154">
                  <c:v>1.6656694215167319E-3</c:v>
                </c:pt>
                <c:pt idx="155">
                  <c:v>1.831782502790607E-3</c:v>
                </c:pt>
                <c:pt idx="156">
                  <c:v>8.4871984148127719E-4</c:v>
                </c:pt>
                <c:pt idx="157">
                  <c:v>1.0093865922215833E-3</c:v>
                </c:pt>
                <c:pt idx="158">
                  <c:v>1.1736842299842692E-3</c:v>
                </c:pt>
                <c:pt idx="159">
                  <c:v>1.3361664242357652E-3</c:v>
                </c:pt>
                <c:pt idx="160">
                  <c:v>1.5050026707764256E-3</c:v>
                </c:pt>
                <c:pt idx="161">
                  <c:v>1.6656694215167319E-3</c:v>
                </c:pt>
                <c:pt idx="162">
                  <c:v>1.743733492497897E-3</c:v>
                </c:pt>
                <c:pt idx="163">
                  <c:v>1.5515492678736913E-3</c:v>
                </c:pt>
                <c:pt idx="164">
                  <c:v>1.6514344138741437E-3</c:v>
                </c:pt>
                <c:pt idx="165">
                  <c:v>1.6714114430742345E-3</c:v>
                </c:pt>
                <c:pt idx="166">
                  <c:v>1.7557588996968384E-3</c:v>
                </c:pt>
                <c:pt idx="167">
                  <c:v>1.8134703173859883E-3</c:v>
                </c:pt>
                <c:pt idx="168">
                  <c:v>1.8778407448085026E-3</c:v>
                </c:pt>
                <c:pt idx="169">
                  <c:v>1.9355521624976524E-3</c:v>
                </c:pt>
                <c:pt idx="170">
                  <c:v>2.0043619297424077E-3</c:v>
                </c:pt>
                <c:pt idx="171">
                  <c:v>1.5448902581403281E-3</c:v>
                </c:pt>
                <c:pt idx="172">
                  <c:v>1.611480355473963E-3</c:v>
                </c:pt>
                <c:pt idx="173">
                  <c:v>1.6736311129853555E-3</c:v>
                </c:pt>
                <c:pt idx="174">
                  <c:v>1.7380015404078691E-3</c:v>
                </c:pt>
                <c:pt idx="175">
                  <c:v>1.8068113076526253E-3</c:v>
                </c:pt>
                <c:pt idx="176">
                  <c:v>1.8778407448085026E-3</c:v>
                </c:pt>
                <c:pt idx="177">
                  <c:v>1.9422111722310158E-3</c:v>
                </c:pt>
                <c:pt idx="178">
                  <c:v>1.999922589920166E-3</c:v>
                </c:pt>
                <c:pt idx="179">
                  <c:v>1.6181393652073266E-3</c:v>
                </c:pt>
                <c:pt idx="180">
                  <c:v>1.68250979262984E-3</c:v>
                </c:pt>
                <c:pt idx="181">
                  <c:v>1.7735162589858078E-3</c:v>
                </c:pt>
                <c:pt idx="182">
                  <c:v>1.8267883368527154E-3</c:v>
                </c:pt>
                <c:pt idx="183">
                  <c:v>1.8778407448085026E-3</c:v>
                </c:pt>
                <c:pt idx="184">
                  <c:v>1.9333324925865315E-3</c:v>
                </c:pt>
                <c:pt idx="185">
                  <c:v>2.0065815996535299E-3</c:v>
                </c:pt>
                <c:pt idx="186">
                  <c:v>1.1246824471166591E-3</c:v>
                </c:pt>
                <c:pt idx="187">
                  <c:v>1.2994882015420618E-3</c:v>
                </c:pt>
                <c:pt idx="188">
                  <c:v>1.4737013940880567E-3</c:v>
                </c:pt>
                <c:pt idx="189">
                  <c:v>1.1246824471166591E-3</c:v>
                </c:pt>
                <c:pt idx="190">
                  <c:v>1.2971179540244293E-3</c:v>
                </c:pt>
                <c:pt idx="191">
                  <c:v>1.4707385846910157E-3</c:v>
                </c:pt>
                <c:pt idx="192">
                  <c:v>7.7151556698940472E-4</c:v>
                </c:pt>
                <c:pt idx="193">
                  <c:v>9.5165437832948083E-4</c:v>
                </c:pt>
                <c:pt idx="194">
                  <c:v>1.1217196377196182E-3</c:v>
                </c:pt>
                <c:pt idx="195">
                  <c:v>1.2923774589891639E-3</c:v>
                </c:pt>
                <c:pt idx="196">
                  <c:v>1.533550143908279E-3</c:v>
                </c:pt>
                <c:pt idx="197">
                  <c:v>8.9944020131477805E-4</c:v>
                </c:pt>
                <c:pt idx="198">
                  <c:v>1.126483358928217E-3</c:v>
                </c:pt>
                <c:pt idx="199">
                  <c:v>1.3535265165416559E-3</c:v>
                </c:pt>
                <c:pt idx="200">
                  <c:v>8.8419786866760516E-4</c:v>
                </c:pt>
                <c:pt idx="201">
                  <c:v>1.103763782363588E-3</c:v>
                </c:pt>
                <c:pt idx="202">
                  <c:v>1.3233296960595703E-3</c:v>
                </c:pt>
                <c:pt idx="203">
                  <c:v>1.1736117271160691E-3</c:v>
                </c:pt>
                <c:pt idx="204">
                  <c:v>1.5783054261216106E-3</c:v>
                </c:pt>
                <c:pt idx="205">
                  <c:v>1.8211216455249351E-3</c:v>
                </c:pt>
                <c:pt idx="206">
                  <c:v>2.0234684950277055E-3</c:v>
                </c:pt>
                <c:pt idx="207">
                  <c:v>2.3472234542321383E-3</c:v>
                </c:pt>
                <c:pt idx="208">
                  <c:v>2.6305090435360177E-3</c:v>
                </c:pt>
                <c:pt idx="209">
                  <c:v>1.3543506665536298E-3</c:v>
                </c:pt>
                <c:pt idx="210">
                  <c:v>1.5402419345119705E-3</c:v>
                </c:pt>
                <c:pt idx="211">
                  <c:v>1.7792449933155528E-3</c:v>
                </c:pt>
                <c:pt idx="212">
                  <c:v>1.8854685750060332E-3</c:v>
                </c:pt>
                <c:pt idx="213">
                  <c:v>2.1244716338096152E-3</c:v>
                </c:pt>
                <c:pt idx="214">
                  <c:v>2.6290336468393987E-3</c:v>
                </c:pt>
                <c:pt idx="215">
                  <c:v>1.2346095647269913E-3</c:v>
                </c:pt>
                <c:pt idx="216">
                  <c:v>1.4161697948339019E-3</c:v>
                </c:pt>
                <c:pt idx="217">
                  <c:v>1.5795740019301215E-3</c:v>
                </c:pt>
                <c:pt idx="218">
                  <c:v>1.7792902550477227E-3</c:v>
                </c:pt>
                <c:pt idx="219">
                  <c:v>1.9790065081653247E-3</c:v>
                </c:pt>
                <c:pt idx="220">
                  <c:v>2.1605667382722351E-3</c:v>
                </c:pt>
                <c:pt idx="221">
                  <c:v>2.3421269683791455E-3</c:v>
                </c:pt>
                <c:pt idx="222">
                  <c:v>2.5055311754753648E-3</c:v>
                </c:pt>
                <c:pt idx="223">
                  <c:v>1.8537364202436638E-3</c:v>
                </c:pt>
                <c:pt idx="224">
                  <c:v>2.2164239807261196E-3</c:v>
                </c:pt>
                <c:pt idx="225">
                  <c:v>2.61941015903996E-3</c:v>
                </c:pt>
                <c:pt idx="226">
                  <c:v>1.3214004715473677E-3</c:v>
                </c:pt>
                <c:pt idx="227">
                  <c:v>1.5063965375639989E-3</c:v>
                </c:pt>
                <c:pt idx="228">
                  <c:v>1.7442486224425249E-3</c:v>
                </c:pt>
                <c:pt idx="229">
                  <c:v>1.8499606601663143E-3</c:v>
                </c:pt>
                <c:pt idx="230">
                  <c:v>2.0085287167519983E-3</c:v>
                </c:pt>
                <c:pt idx="231">
                  <c:v>2.1142407544757881E-3</c:v>
                </c:pt>
                <c:pt idx="232">
                  <c:v>2.3732352468990715E-3</c:v>
                </c:pt>
                <c:pt idx="233">
                  <c:v>2.6322297393223558E-3</c:v>
                </c:pt>
                <c:pt idx="234">
                  <c:v>1.517012841570953E-3</c:v>
                </c:pt>
                <c:pt idx="235">
                  <c:v>1.5892515483124266E-3</c:v>
                </c:pt>
                <c:pt idx="236">
                  <c:v>1.769848315166112E-3</c:v>
                </c:pt>
                <c:pt idx="237">
                  <c:v>1.9685047587051658E-3</c:v>
                </c:pt>
                <c:pt idx="238">
                  <c:v>2.1491015255588504E-3</c:v>
                </c:pt>
                <c:pt idx="239">
                  <c:v>2.3116386157271667E-3</c:v>
                </c:pt>
                <c:pt idx="240">
                  <c:v>2.51029505926622E-3</c:v>
                </c:pt>
                <c:pt idx="241">
                  <c:v>7.558598498872939E-4</c:v>
                </c:pt>
                <c:pt idx="242">
                  <c:v>1.0085329997067609E-3</c:v>
                </c:pt>
                <c:pt idx="243">
                  <c:v>1.1532261709709E-3</c:v>
                </c:pt>
                <c:pt idx="244">
                  <c:v>1.3195153379461043E-3</c:v>
                </c:pt>
                <c:pt idx="245">
                  <c:v>1.5786672864788909E-3</c:v>
                </c:pt>
                <c:pt idx="246">
                  <c:v>1.7104028603163912E-3</c:v>
                </c:pt>
                <c:pt idx="247">
                  <c:v>1.9026072221448741E-3</c:v>
                </c:pt>
                <c:pt idx="248">
                  <c:v>1.8083478725451408E-3</c:v>
                </c:pt>
                <c:pt idx="249">
                  <c:v>1.9615000000000001E-3</c:v>
                </c:pt>
                <c:pt idx="250">
                  <c:v>1.8150207429235359E-3</c:v>
                </c:pt>
                <c:pt idx="251">
                  <c:v>1.9615000000000001E-3</c:v>
                </c:pt>
                <c:pt idx="252">
                  <c:v>1.8150207429235359E-3</c:v>
                </c:pt>
                <c:pt idx="253">
                  <c:v>1.9615000000000001E-3</c:v>
                </c:pt>
                <c:pt idx="254">
                  <c:v>1.8216936133019315E-3</c:v>
                </c:pt>
                <c:pt idx="255">
                  <c:v>1.9615000000000001E-3</c:v>
                </c:pt>
                <c:pt idx="256">
                  <c:v>1.5855134897039412E-3</c:v>
                </c:pt>
                <c:pt idx="257">
                  <c:v>1.9615000000000001E-3</c:v>
                </c:pt>
                <c:pt idx="258">
                  <c:v>1.5956770377148638E-3</c:v>
                </c:pt>
                <c:pt idx="259">
                  <c:v>1.9615000000000001E-3</c:v>
                </c:pt>
                <c:pt idx="260">
                  <c:v>1.3001451112340421E-3</c:v>
                </c:pt>
                <c:pt idx="261">
                  <c:v>1.8268705665545001E-3</c:v>
                </c:pt>
                <c:pt idx="262">
                  <c:v>1.9615000000000001E-3</c:v>
                </c:pt>
                <c:pt idx="263">
                  <c:v>1.3068125220608838E-3</c:v>
                </c:pt>
                <c:pt idx="264">
                  <c:v>1.8335379773813418E-3</c:v>
                </c:pt>
                <c:pt idx="265">
                  <c:v>9.3512869520692851E-4</c:v>
                </c:pt>
                <c:pt idx="266">
                  <c:v>1.3053826963548491E-3</c:v>
                </c:pt>
                <c:pt idx="267">
                  <c:v>1.6803835436713331E-3</c:v>
                </c:pt>
                <c:pt idx="268">
                  <c:v>1.9615000000000001E-3</c:v>
                </c:pt>
                <c:pt idx="269">
                  <c:v>9.3038184903836542E-4</c:v>
                </c:pt>
                <c:pt idx="270">
                  <c:v>1.2958890040177229E-3</c:v>
                </c:pt>
                <c:pt idx="271">
                  <c:v>1.6661430051656441E-3</c:v>
                </c:pt>
                <c:pt idx="272">
                  <c:v>1.8273634575812533E-3</c:v>
                </c:pt>
                <c:pt idx="273">
                  <c:v>1.9615000000000001E-3</c:v>
                </c:pt>
                <c:pt idx="274">
                  <c:v>1.8273634575812533E-3</c:v>
                </c:pt>
                <c:pt idx="275">
                  <c:v>1.9615000000000001E-3</c:v>
                </c:pt>
                <c:pt idx="276">
                  <c:v>1.1065506590074898E-3</c:v>
                </c:pt>
                <c:pt idx="277">
                  <c:v>1.2957046178121892E-3</c:v>
                </c:pt>
                <c:pt idx="278">
                  <c:v>1.4801297276467709E-3</c:v>
                </c:pt>
                <c:pt idx="279">
                  <c:v>1.6692836864514698E-3</c:v>
                </c:pt>
                <c:pt idx="280">
                  <c:v>1.8489799473159342E-3</c:v>
                </c:pt>
                <c:pt idx="281">
                  <c:v>1.9615000000000001E-3</c:v>
                </c:pt>
                <c:pt idx="282">
                  <c:v>1.4801297276467709E-3</c:v>
                </c:pt>
                <c:pt idx="283">
                  <c:v>1.6598259885112351E-3</c:v>
                </c:pt>
                <c:pt idx="284">
                  <c:v>1.8489799473159342E-3</c:v>
                </c:pt>
                <c:pt idx="285">
                  <c:v>1.9615000000000001E-3</c:v>
                </c:pt>
                <c:pt idx="286">
                  <c:v>1.0151124656869179E-3</c:v>
                </c:pt>
                <c:pt idx="287">
                  <c:v>1.2225010339455356E-3</c:v>
                </c:pt>
                <c:pt idx="288">
                  <c:v>1.379E-3</c:v>
                </c:pt>
                <c:pt idx="289">
                  <c:v>1.379E-3</c:v>
                </c:pt>
                <c:pt idx="290">
                  <c:v>1.248729421730305E-3</c:v>
                </c:pt>
                <c:pt idx="291">
                  <c:v>1.379E-3</c:v>
                </c:pt>
                <c:pt idx="292">
                  <c:v>1.3564471878018721E-3</c:v>
                </c:pt>
                <c:pt idx="293">
                  <c:v>9.7556762990015319E-4</c:v>
                </c:pt>
                <c:pt idx="294">
                  <c:v>1.1347351823194601E-3</c:v>
                </c:pt>
                <c:pt idx="295">
                  <c:v>1.3045646760491511E-3</c:v>
                </c:pt>
                <c:pt idx="296">
                  <c:v>1.379E-3</c:v>
                </c:pt>
                <c:pt idx="297">
                  <c:v>1.2981607588308233E-3</c:v>
                </c:pt>
                <c:pt idx="298">
                  <c:v>1.379E-3</c:v>
                </c:pt>
                <c:pt idx="299">
                  <c:v>9.7105963453005006E-4</c:v>
                </c:pt>
                <c:pt idx="300">
                  <c:v>1.1294916904369828E-3</c:v>
                </c:pt>
                <c:pt idx="301">
                  <c:v>1.2985364199453366E-3</c:v>
                </c:pt>
                <c:pt idx="302">
                  <c:v>1.379E-3</c:v>
                </c:pt>
                <c:pt idx="303">
                  <c:v>9.7177298016251331E-4</c:v>
                </c:pt>
                <c:pt idx="304">
                  <c:v>1.1303214211101833E-3</c:v>
                </c:pt>
                <c:pt idx="305">
                  <c:v>1.2994903317864056E-3</c:v>
                </c:pt>
                <c:pt idx="306">
                  <c:v>1.379E-3</c:v>
                </c:pt>
                <c:pt idx="307">
                  <c:v>1.1705790914494322E-3</c:v>
                </c:pt>
                <c:pt idx="308">
                  <c:v>1.3742364237570315E-3</c:v>
                </c:pt>
                <c:pt idx="309">
                  <c:v>8.9747800161302108E-4</c:v>
                </c:pt>
                <c:pt idx="310">
                  <c:v>1.063712713257438E-3</c:v>
                </c:pt>
                <c:pt idx="311">
                  <c:v>1.2261585995652301E-3</c:v>
                </c:pt>
                <c:pt idx="312">
                  <c:v>1.379E-3</c:v>
                </c:pt>
                <c:pt idx="313">
                  <c:v>1.0647374579413236E-3</c:v>
                </c:pt>
                <c:pt idx="314">
                  <c:v>8.9747800161302108E-4</c:v>
                </c:pt>
                <c:pt idx="315">
                  <c:v>1.063712713257438E-3</c:v>
                </c:pt>
                <c:pt idx="316">
                  <c:v>1.2261585995652301E-3</c:v>
                </c:pt>
                <c:pt idx="317">
                  <c:v>1.379E-3</c:v>
                </c:pt>
                <c:pt idx="318">
                  <c:v>1.0671405707243667E-3</c:v>
                </c:pt>
                <c:pt idx="319">
                  <c:v>1.2301099455055142E-3</c:v>
                </c:pt>
                <c:pt idx="320">
                  <c:v>1.379E-3</c:v>
                </c:pt>
                <c:pt idx="321">
                  <c:v>8.5401649577340972E-4</c:v>
                </c:pt>
                <c:pt idx="322">
                  <c:v>1.0512100042395446E-3</c:v>
                </c:pt>
                <c:pt idx="323">
                  <c:v>1.2256786102430391E-3</c:v>
                </c:pt>
                <c:pt idx="324">
                  <c:v>1.3502990431026782E-3</c:v>
                </c:pt>
                <c:pt idx="325">
                  <c:v>1.379E-3</c:v>
                </c:pt>
                <c:pt idx="326">
                  <c:v>8.5163864209600911E-4</c:v>
                </c:pt>
                <c:pt idx="327">
                  <c:v>1.048283101086418E-3</c:v>
                </c:pt>
                <c:pt idx="328">
                  <c:v>1.2222659309738429E-3</c:v>
                </c:pt>
                <c:pt idx="329">
                  <c:v>1.3465393808934324E-3</c:v>
                </c:pt>
                <c:pt idx="330">
                  <c:v>1.379E-3</c:v>
                </c:pt>
                <c:pt idx="331">
                  <c:v>9.1615152738756724E-4</c:v>
                </c:pt>
                <c:pt idx="332">
                  <c:v>1.0994516614875949E-3</c:v>
                </c:pt>
                <c:pt idx="333">
                  <c:v>1.240854622079045E-3</c:v>
                </c:pt>
                <c:pt idx="334">
                  <c:v>1.379E-3</c:v>
                </c:pt>
                <c:pt idx="335">
                  <c:v>1.0994516614875949E-3</c:v>
                </c:pt>
                <c:pt idx="336">
                  <c:v>1.240854622079045E-3</c:v>
                </c:pt>
                <c:pt idx="337">
                  <c:v>1.379E-3</c:v>
                </c:pt>
                <c:pt idx="338">
                  <c:v>9.2043240356728061E-4</c:v>
                </c:pt>
                <c:pt idx="339">
                  <c:v>7.1896438493478456E-4</c:v>
                </c:pt>
                <c:pt idx="340">
                  <c:v>9.1821495147258799E-4</c:v>
                </c:pt>
              </c:numCache>
            </c:numRef>
          </c:xVal>
          <c:yVal>
            <c:numRef>
              <c:f>'Dataset com TS variável MC2020'!$AQ$11:$AQ$351</c:f>
              <c:numCache>
                <c:formatCode>0.00</c:formatCode>
                <c:ptCount val="341"/>
                <c:pt idx="0">
                  <c:v>3.7309262613594019E-2</c:v>
                </c:pt>
                <c:pt idx="1">
                  <c:v>7.4202526793117812E-2</c:v>
                </c:pt>
                <c:pt idx="2">
                  <c:v>7.8486208267481927E-2</c:v>
                </c:pt>
                <c:pt idx="3">
                  <c:v>0.11687098192123041</c:v>
                </c:pt>
                <c:pt idx="4">
                  <c:v>0.16490294805877892</c:v>
                </c:pt>
                <c:pt idx="5">
                  <c:v>0.16764368831311915</c:v>
                </c:pt>
                <c:pt idx="6">
                  <c:v>1.4113895564155099E-4</c:v>
                </c:pt>
                <c:pt idx="7">
                  <c:v>2.0929384845146198E-2</c:v>
                </c:pt>
                <c:pt idx="8">
                  <c:v>5.4656489937453312E-2</c:v>
                </c:pt>
                <c:pt idx="9">
                  <c:v>-1.8481015110417276E-2</c:v>
                </c:pt>
                <c:pt idx="10">
                  <c:v>-2.9594914553417923E-2</c:v>
                </c:pt>
                <c:pt idx="11">
                  <c:v>3.7278789542832813E-4</c:v>
                </c:pt>
                <c:pt idx="12">
                  <c:v>-1.0103448743911003E-2</c:v>
                </c:pt>
                <c:pt idx="13">
                  <c:v>-5.1387344386178507E-2</c:v>
                </c:pt>
                <c:pt idx="14">
                  <c:v>-3.2042619725462629E-2</c:v>
                </c:pt>
                <c:pt idx="15">
                  <c:v>-8.9124711033184478E-2</c:v>
                </c:pt>
                <c:pt idx="16">
                  <c:v>-0.10596606105811296</c:v>
                </c:pt>
                <c:pt idx="17">
                  <c:v>-6.9637416709089406E-2</c:v>
                </c:pt>
                <c:pt idx="18">
                  <c:v>-0.1296374167090894</c:v>
                </c:pt>
                <c:pt idx="19">
                  <c:v>-7.808286491868946E-2</c:v>
                </c:pt>
                <c:pt idx="20">
                  <c:v>-0.11279199965328776</c:v>
                </c:pt>
                <c:pt idx="21">
                  <c:v>-0.10345615369465161</c:v>
                </c:pt>
                <c:pt idx="22">
                  <c:v>-8.8059249663167249E-2</c:v>
                </c:pt>
                <c:pt idx="23">
                  <c:v>-0.14681788655931413</c:v>
                </c:pt>
                <c:pt idx="24">
                  <c:v>-0.16237672043653584</c:v>
                </c:pt>
                <c:pt idx="25">
                  <c:v>-0.1168854572093365</c:v>
                </c:pt>
                <c:pt idx="26">
                  <c:v>-9.6130786199156007E-2</c:v>
                </c:pt>
                <c:pt idx="27">
                  <c:v>-0.12973604359807903</c:v>
                </c:pt>
                <c:pt idx="28">
                  <c:v>-0.26805621153459536</c:v>
                </c:pt>
                <c:pt idx="29">
                  <c:v>-0.37032674905342877</c:v>
                </c:pt>
                <c:pt idx="30">
                  <c:v>-0.13674664570472467</c:v>
                </c:pt>
                <c:pt idx="31">
                  <c:v>-0.11333837150325643</c:v>
                </c:pt>
                <c:pt idx="32">
                  <c:v>-0.1263833022038916</c:v>
                </c:pt>
                <c:pt idx="33">
                  <c:v>-0.27638330220389151</c:v>
                </c:pt>
                <c:pt idx="34">
                  <c:v>-0.35638330220389158</c:v>
                </c:pt>
                <c:pt idx="35">
                  <c:v>-0.133297611304972</c:v>
                </c:pt>
                <c:pt idx="36">
                  <c:v>-9.5939489566435832E-2</c:v>
                </c:pt>
                <c:pt idx="37">
                  <c:v>-0.12679470658762854</c:v>
                </c:pt>
                <c:pt idx="38">
                  <c:v>-0.16240166013772028</c:v>
                </c:pt>
                <c:pt idx="39">
                  <c:v>-0.20880829874900453</c:v>
                </c:pt>
                <c:pt idx="40">
                  <c:v>-0.35861853028031893</c:v>
                </c:pt>
                <c:pt idx="41">
                  <c:v>-8.9759132900572025E-2</c:v>
                </c:pt>
                <c:pt idx="42">
                  <c:v>-0.14156862202499346</c:v>
                </c:pt>
                <c:pt idx="43">
                  <c:v>-0.16533495887269167</c:v>
                </c:pt>
                <c:pt idx="44">
                  <c:v>-0.21719935617040292</c:v>
                </c:pt>
                <c:pt idx="45">
                  <c:v>-0.32207285381326201</c:v>
                </c:pt>
                <c:pt idx="46">
                  <c:v>-4.9759132900572045E-2</c:v>
                </c:pt>
                <c:pt idx="47">
                  <c:v>-0.14533495887269166</c:v>
                </c:pt>
                <c:pt idx="48">
                  <c:v>-0.25719935617040296</c:v>
                </c:pt>
                <c:pt idx="49">
                  <c:v>-0.36207285381326204</c:v>
                </c:pt>
                <c:pt idx="50">
                  <c:v>-8.7509369270830389E-2</c:v>
                </c:pt>
                <c:pt idx="51">
                  <c:v>-0.11934102063615265</c:v>
                </c:pt>
                <c:pt idx="52">
                  <c:v>-2.7706074927044466E-2</c:v>
                </c:pt>
                <c:pt idx="53">
                  <c:v>-9.6069863155677282E-2</c:v>
                </c:pt>
                <c:pt idx="54">
                  <c:v>-8.9926281260346796E-2</c:v>
                </c:pt>
                <c:pt idx="55">
                  <c:v>-0.13770607492704445</c:v>
                </c:pt>
                <c:pt idx="56">
                  <c:v>-0.22606986315567729</c:v>
                </c:pt>
                <c:pt idx="57">
                  <c:v>-0.24992628126034683</c:v>
                </c:pt>
                <c:pt idx="58">
                  <c:v>-6.9820947968490144E-2</c:v>
                </c:pt>
                <c:pt idx="59">
                  <c:v>-0.10298997609348148</c:v>
                </c:pt>
                <c:pt idx="60">
                  <c:v>-0.16162969017645595</c:v>
                </c:pt>
                <c:pt idx="61">
                  <c:v>-0.28363508366299112</c:v>
                </c:pt>
                <c:pt idx="62">
                  <c:v>-0.10982094796849015</c:v>
                </c:pt>
                <c:pt idx="63">
                  <c:v>-0.15298997609348153</c:v>
                </c:pt>
                <c:pt idx="64">
                  <c:v>-0.20162969017645599</c:v>
                </c:pt>
                <c:pt idx="65">
                  <c:v>-0.33363508366299105</c:v>
                </c:pt>
                <c:pt idx="66">
                  <c:v>-0.16357886755308715</c:v>
                </c:pt>
                <c:pt idx="67">
                  <c:v>-0.18369733964532314</c:v>
                </c:pt>
                <c:pt idx="68">
                  <c:v>-0.12846989953892857</c:v>
                </c:pt>
                <c:pt idx="69">
                  <c:v>-0.22811664453398361</c:v>
                </c:pt>
                <c:pt idx="70">
                  <c:v>-0.13846989953892858</c:v>
                </c:pt>
                <c:pt idx="71">
                  <c:v>-0.21811664453398361</c:v>
                </c:pt>
                <c:pt idx="72">
                  <c:v>-1.7896850495174782E-2</c:v>
                </c:pt>
                <c:pt idx="73">
                  <c:v>-1.1607965441950779E-2</c:v>
                </c:pt>
                <c:pt idx="74">
                  <c:v>-1.4777635089381708E-2</c:v>
                </c:pt>
                <c:pt idx="75">
                  <c:v>-1.3013661677901828E-2</c:v>
                </c:pt>
                <c:pt idx="76">
                  <c:v>-1.3048455262088782E-2</c:v>
                </c:pt>
                <c:pt idx="77">
                  <c:v>-4.3095256223749365E-2</c:v>
                </c:pt>
                <c:pt idx="78">
                  <c:v>-5.6372480402604258E-2</c:v>
                </c:pt>
                <c:pt idx="79">
                  <c:v>-7.5383263069279074E-2</c:v>
                </c:pt>
                <c:pt idx="80">
                  <c:v>-7.124138438359523E-2</c:v>
                </c:pt>
                <c:pt idx="81">
                  <c:v>-6.9051291446603519E-2</c:v>
                </c:pt>
                <c:pt idx="82">
                  <c:v>-4.8548899863977896E-2</c:v>
                </c:pt>
                <c:pt idx="83">
                  <c:v>6.1035680379178947E-4</c:v>
                </c:pt>
                <c:pt idx="84">
                  <c:v>2.8699584108349108E-2</c:v>
                </c:pt>
                <c:pt idx="85">
                  <c:v>4.5783056537699096E-2</c:v>
                </c:pt>
                <c:pt idx="86">
                  <c:v>9.1822973518821016E-2</c:v>
                </c:pt>
                <c:pt idx="87">
                  <c:v>-2.1241384383595213E-2</c:v>
                </c:pt>
                <c:pt idx="88">
                  <c:v>9.4870855339648785E-4</c:v>
                </c:pt>
                <c:pt idx="89">
                  <c:v>3.145110013602212E-2</c:v>
                </c:pt>
                <c:pt idx="90">
                  <c:v>3.0610356803791816E-2</c:v>
                </c:pt>
                <c:pt idx="91">
                  <c:v>2.8699584108349108E-2</c:v>
                </c:pt>
                <c:pt idx="92">
                  <c:v>4.5783056537699096E-2</c:v>
                </c:pt>
                <c:pt idx="93">
                  <c:v>4.1822973518821027E-2</c:v>
                </c:pt>
                <c:pt idx="94">
                  <c:v>-1.3259309636124511E-2</c:v>
                </c:pt>
                <c:pt idx="95">
                  <c:v>-6.1135837259077008E-3</c:v>
                </c:pt>
                <c:pt idx="96">
                  <c:v>9.919202645504499E-3</c:v>
                </c:pt>
                <c:pt idx="97">
                  <c:v>1.5064901482055304E-2</c:v>
                </c:pt>
                <c:pt idx="98">
                  <c:v>2.9504417599980459E-2</c:v>
                </c:pt>
                <c:pt idx="99">
                  <c:v>1.3272948375740834E-2</c:v>
                </c:pt>
                <c:pt idx="100">
                  <c:v>4.633468166019844E-2</c:v>
                </c:pt>
                <c:pt idx="101">
                  <c:v>-5.1677728422742514E-2</c:v>
                </c:pt>
                <c:pt idx="102">
                  <c:v>-4.325930963612451E-2</c:v>
                </c:pt>
                <c:pt idx="103">
                  <c:v>-6.1135837259077008E-3</c:v>
                </c:pt>
                <c:pt idx="104">
                  <c:v>-4.008079735449549E-2</c:v>
                </c:pt>
                <c:pt idx="105">
                  <c:v>-3.4935098517944713E-2</c:v>
                </c:pt>
                <c:pt idx="106">
                  <c:v>-5.0495582400019556E-2</c:v>
                </c:pt>
                <c:pt idx="107">
                  <c:v>-6.6727051624259182E-2</c:v>
                </c:pt>
                <c:pt idx="108">
                  <c:v>-8.3665318339801564E-2</c:v>
                </c:pt>
                <c:pt idx="109">
                  <c:v>1.3221605761795013E-2</c:v>
                </c:pt>
                <c:pt idx="110">
                  <c:v>1.9539899754262291E-3</c:v>
                </c:pt>
                <c:pt idx="111">
                  <c:v>2.0441375288831692E-2</c:v>
                </c:pt>
                <c:pt idx="112">
                  <c:v>1.8649401192339959E-2</c:v>
                </c:pt>
                <c:pt idx="113">
                  <c:v>3.6603692911252789E-2</c:v>
                </c:pt>
                <c:pt idx="114">
                  <c:v>3.1953989975426228E-2</c:v>
                </c:pt>
                <c:pt idx="115">
                  <c:v>2.0441375288831692E-2</c:v>
                </c:pt>
                <c:pt idx="116">
                  <c:v>1.8649401192339959E-2</c:v>
                </c:pt>
                <c:pt idx="117">
                  <c:v>3.6603692911252789E-2</c:v>
                </c:pt>
                <c:pt idx="118">
                  <c:v>-0.16950443204327012</c:v>
                </c:pt>
                <c:pt idx="119">
                  <c:v>-0.10807653411007984</c:v>
                </c:pt>
                <c:pt idx="120">
                  <c:v>-8.5183530346791464E-2</c:v>
                </c:pt>
                <c:pt idx="121">
                  <c:v>-8.8076534110079846E-2</c:v>
                </c:pt>
                <c:pt idx="122">
                  <c:v>-3.5183530346791475E-2</c:v>
                </c:pt>
                <c:pt idx="123">
                  <c:v>-9.2139337443510314E-2</c:v>
                </c:pt>
                <c:pt idx="124">
                  <c:v>-6.8063342639849866E-2</c:v>
                </c:pt>
                <c:pt idx="125">
                  <c:v>-1.7602526452812267E-2</c:v>
                </c:pt>
                <c:pt idx="126">
                  <c:v>-9.2139337443510314E-2</c:v>
                </c:pt>
                <c:pt idx="127">
                  <c:v>-6.8063342639849866E-2</c:v>
                </c:pt>
                <c:pt idx="128">
                  <c:v>-1.7602526452812267E-2</c:v>
                </c:pt>
                <c:pt idx="129">
                  <c:v>-2.6468387608700877E-2</c:v>
                </c:pt>
                <c:pt idx="130">
                  <c:v>2.7872075570275545E-2</c:v>
                </c:pt>
                <c:pt idx="131">
                  <c:v>5.0286113781625591E-2</c:v>
                </c:pt>
                <c:pt idx="132">
                  <c:v>-5.6468387608700876E-2</c:v>
                </c:pt>
                <c:pt idx="133">
                  <c:v>-2.2127924429724471E-2</c:v>
                </c:pt>
                <c:pt idx="134">
                  <c:v>2.8611378162557433E-4</c:v>
                </c:pt>
                <c:pt idx="135">
                  <c:v>6.6567372072313946E-3</c:v>
                </c:pt>
                <c:pt idx="136">
                  <c:v>2.4859728445667251E-2</c:v>
                </c:pt>
                <c:pt idx="137">
                  <c:v>4.7272206962895802E-2</c:v>
                </c:pt>
                <c:pt idx="138">
                  <c:v>6.3998428828016291E-2</c:v>
                </c:pt>
                <c:pt idx="139">
                  <c:v>8.4913834647164566E-2</c:v>
                </c:pt>
                <c:pt idx="140">
                  <c:v>0.10044925555195822</c:v>
                </c:pt>
                <c:pt idx="141">
                  <c:v>0.1224554062484785</c:v>
                </c:pt>
                <c:pt idx="142">
                  <c:v>-2.7645624567916444E-2</c:v>
                </c:pt>
                <c:pt idx="143">
                  <c:v>-3.3432627927686143E-3</c:v>
                </c:pt>
                <c:pt idx="144">
                  <c:v>1.7379545317588618E-2</c:v>
                </c:pt>
                <c:pt idx="145">
                  <c:v>4.3564961396961754E-2</c:v>
                </c:pt>
                <c:pt idx="146">
                  <c:v>6.3998428828016291E-2</c:v>
                </c:pt>
                <c:pt idx="147">
                  <c:v>8.3720477264139392E-2</c:v>
                </c:pt>
                <c:pt idx="148">
                  <c:v>9.6918201730684272E-2</c:v>
                </c:pt>
                <c:pt idx="149">
                  <c:v>9.8526702838580948E-2</c:v>
                </c:pt>
                <c:pt idx="150">
                  <c:v>5.3091148061313737E-2</c:v>
                </c:pt>
                <c:pt idx="151">
                  <c:v>8.0046244682146162E-2</c:v>
                </c:pt>
                <c:pt idx="152">
                  <c:v>9.3385303366977701E-2</c:v>
                </c:pt>
                <c:pt idx="153">
                  <c:v>0.11499686091981448</c:v>
                </c:pt>
                <c:pt idx="154">
                  <c:v>0.11484705512344168</c:v>
                </c:pt>
                <c:pt idx="155">
                  <c:v>0.14503613131199566</c:v>
                </c:pt>
                <c:pt idx="156">
                  <c:v>7.9744828640525844E-3</c:v>
                </c:pt>
                <c:pt idx="157">
                  <c:v>2.4021991417595451E-2</c:v>
                </c:pt>
                <c:pt idx="158">
                  <c:v>3.9148401278385092E-2</c:v>
                </c:pt>
                <c:pt idx="159">
                  <c:v>6.193244448156543E-2</c:v>
                </c:pt>
                <c:pt idx="160">
                  <c:v>9.5280044262122054E-2</c:v>
                </c:pt>
                <c:pt idx="161">
                  <c:v>0.11484705512344168</c:v>
                </c:pt>
                <c:pt idx="162">
                  <c:v>0.12855831983960614</c:v>
                </c:pt>
                <c:pt idx="163">
                  <c:v>6.7185674987747912E-2</c:v>
                </c:pt>
                <c:pt idx="164">
                  <c:v>6.129402824805491E-2</c:v>
                </c:pt>
                <c:pt idx="165">
                  <c:v>5.8047277838686628E-2</c:v>
                </c:pt>
                <c:pt idx="166">
                  <c:v>5.6325866018011456E-2</c:v>
                </c:pt>
                <c:pt idx="167">
                  <c:v>5.5466123738925233E-2</c:v>
                </c:pt>
                <c:pt idx="168">
                  <c:v>4.6627346031431538E-2</c:v>
                </c:pt>
                <c:pt idx="169">
                  <c:v>3.5439880651216393E-2</c:v>
                </c:pt>
                <c:pt idx="170">
                  <c:v>7.6832222031384401E-3</c:v>
                </c:pt>
                <c:pt idx="171">
                  <c:v>5.489062111837914E-2</c:v>
                </c:pt>
                <c:pt idx="172">
                  <c:v>5.7720490951445214E-2</c:v>
                </c:pt>
                <c:pt idx="173">
                  <c:v>5.8796287518489032E-2</c:v>
                </c:pt>
                <c:pt idx="174">
                  <c:v>5.0403216832244996E-2</c:v>
                </c:pt>
                <c:pt idx="175">
                  <c:v>6.3265915482536128E-2</c:v>
                </c:pt>
                <c:pt idx="176">
                  <c:v>7.6627346031431565E-2</c:v>
                </c:pt>
                <c:pt idx="177">
                  <c:v>7.7601194856554478E-2</c:v>
                </c:pt>
                <c:pt idx="178">
                  <c:v>7.6254104987486138E-2</c:v>
                </c:pt>
                <c:pt idx="179">
                  <c:v>8.9989064961358861E-2</c:v>
                </c:pt>
                <c:pt idx="180">
                  <c:v>0.10178965063982706</c:v>
                </c:pt>
                <c:pt idx="181">
                  <c:v>0.112232635994298</c:v>
                </c:pt>
                <c:pt idx="182">
                  <c:v>0.12986019396344467</c:v>
                </c:pt>
                <c:pt idx="183">
                  <c:v>0.13662734603143156</c:v>
                </c:pt>
                <c:pt idx="184">
                  <c:v>0.1447190186846658</c:v>
                </c:pt>
                <c:pt idx="185">
                  <c:v>0.14839747949112678</c:v>
                </c:pt>
                <c:pt idx="186">
                  <c:v>7.2916789302325757E-2</c:v>
                </c:pt>
                <c:pt idx="187">
                  <c:v>8.4163544929392098E-2</c:v>
                </c:pt>
                <c:pt idx="188">
                  <c:v>0.10372101604044229</c:v>
                </c:pt>
                <c:pt idx="189">
                  <c:v>9.2916789302325747E-2</c:v>
                </c:pt>
                <c:pt idx="190">
                  <c:v>0.11347954252300582</c:v>
                </c:pt>
                <c:pt idx="191">
                  <c:v>0.12288932298033547</c:v>
                </c:pt>
                <c:pt idx="192">
                  <c:v>-8.6977020301587132E-2</c:v>
                </c:pt>
                <c:pt idx="193">
                  <c:v>-6.9670238702670806E-2</c:v>
                </c:pt>
                <c:pt idx="194">
                  <c:v>-5.7966850369668477E-2</c:v>
                </c:pt>
                <c:pt idx="195">
                  <c:v>-4.7889300430067339E-2</c:v>
                </c:pt>
                <c:pt idx="196">
                  <c:v>-1.9554909630861761E-2</c:v>
                </c:pt>
                <c:pt idx="197">
                  <c:v>-5.4355924512882459E-3</c:v>
                </c:pt>
                <c:pt idx="198">
                  <c:v>-3.9076863039905485E-3</c:v>
                </c:pt>
                <c:pt idx="199">
                  <c:v>2.3507966116625811E-2</c:v>
                </c:pt>
                <c:pt idx="200">
                  <c:v>-2.7618114732662569E-2</c:v>
                </c:pt>
                <c:pt idx="201">
                  <c:v>-5.0178173764117567E-2</c:v>
                </c:pt>
                <c:pt idx="202">
                  <c:v>-7.5314992035525496E-2</c:v>
                </c:pt>
                <c:pt idx="203">
                  <c:v>2.3423925821931257E-2</c:v>
                </c:pt>
                <c:pt idx="204">
                  <c:v>6.7502303142735365E-2</c:v>
                </c:pt>
                <c:pt idx="205">
                  <c:v>8.5615217404576199E-2</c:v>
                </c:pt>
                <c:pt idx="206">
                  <c:v>0.12467421566798778</c:v>
                </c:pt>
                <c:pt idx="207">
                  <c:v>0.15554539938563194</c:v>
                </c:pt>
                <c:pt idx="208">
                  <c:v>0.16742612018575764</c:v>
                </c:pt>
                <c:pt idx="209">
                  <c:v>4.3090934249485791E-2</c:v>
                </c:pt>
                <c:pt idx="210">
                  <c:v>5.6254396017290959E-2</c:v>
                </c:pt>
                <c:pt idx="211">
                  <c:v>7.7723092790959486E-2</c:v>
                </c:pt>
                <c:pt idx="212">
                  <c:v>7.5790119764535341E-2</c:v>
                </c:pt>
                <c:pt idx="213">
                  <c:v>9.5733642700108201E-2</c:v>
                </c:pt>
                <c:pt idx="214">
                  <c:v>0.17736796480148681</c:v>
                </c:pt>
                <c:pt idx="215">
                  <c:v>-2.220916989692015E-2</c:v>
                </c:pt>
                <c:pt idx="216">
                  <c:v>-7.7849038102633661E-3</c:v>
                </c:pt>
                <c:pt idx="217">
                  <c:v>-6.3222582063305333E-3</c:v>
                </c:pt>
                <c:pt idx="218">
                  <c:v>-6.5830306576045161E-4</c:v>
                </c:pt>
                <c:pt idx="219">
                  <c:v>4.4660350408149974E-3</c:v>
                </c:pt>
                <c:pt idx="220">
                  <c:v>-1.3102516018501653E-2</c:v>
                </c:pt>
                <c:pt idx="221">
                  <c:v>-1.1017051951874579E-2</c:v>
                </c:pt>
                <c:pt idx="222">
                  <c:v>-5.1407571815661579E-2</c:v>
                </c:pt>
                <c:pt idx="223">
                  <c:v>0.16186001999814456</c:v>
                </c:pt>
                <c:pt idx="224">
                  <c:v>0.19048393551449777</c:v>
                </c:pt>
                <c:pt idx="225">
                  <c:v>0.20416352440107244</c:v>
                </c:pt>
                <c:pt idx="226">
                  <c:v>4.3166371191751124E-2</c:v>
                </c:pt>
                <c:pt idx="227">
                  <c:v>5.6016519307740847E-2</c:v>
                </c:pt>
                <c:pt idx="228">
                  <c:v>5.7095145728700697E-2</c:v>
                </c:pt>
                <c:pt idx="229">
                  <c:v>5.4992964496381191E-2</c:v>
                </c:pt>
                <c:pt idx="230">
                  <c:v>3.1474798404234838E-2</c:v>
                </c:pt>
                <c:pt idx="231">
                  <c:v>2.8906002896468275E-2</c:v>
                </c:pt>
                <c:pt idx="232">
                  <c:v>3.0936232327375635E-2</c:v>
                </c:pt>
                <c:pt idx="233">
                  <c:v>-3.7886027003530387E-2</c:v>
                </c:pt>
                <c:pt idx="234">
                  <c:v>3.7729208766454608E-2</c:v>
                </c:pt>
                <c:pt idx="235">
                  <c:v>2.706625693029574E-2</c:v>
                </c:pt>
                <c:pt idx="236">
                  <c:v>5.0069991549919701E-2</c:v>
                </c:pt>
                <c:pt idx="237">
                  <c:v>5.4875106880490798E-2</c:v>
                </c:pt>
                <c:pt idx="238">
                  <c:v>7.7026685064479572E-2</c:v>
                </c:pt>
                <c:pt idx="239">
                  <c:v>9.6673435869284341E-2</c:v>
                </c:pt>
                <c:pt idx="240">
                  <c:v>0.10034999886857679</c:v>
                </c:pt>
                <c:pt idx="241">
                  <c:v>-0.12817645726661731</c:v>
                </c:pt>
                <c:pt idx="242">
                  <c:v>-0.12145543733265057</c:v>
                </c:pt>
                <c:pt idx="243">
                  <c:v>-0.14130922323569778</c:v>
                </c:pt>
                <c:pt idx="244">
                  <c:v>-0.13877293995673393</c:v>
                </c:pt>
                <c:pt idx="245">
                  <c:v>-0.12472421605972672</c:v>
                </c:pt>
                <c:pt idx="246">
                  <c:v>-0.11783698783765367</c:v>
                </c:pt>
                <c:pt idx="247">
                  <c:v>-0.12363210166278357</c:v>
                </c:pt>
                <c:pt idx="248">
                  <c:v>0.13359897702706119</c:v>
                </c:pt>
                <c:pt idx="249">
                  <c:v>1.4334419842590207E-2</c:v>
                </c:pt>
                <c:pt idx="250">
                  <c:v>0.13494891386154362</c:v>
                </c:pt>
                <c:pt idx="251">
                  <c:v>0.11433441984259018</c:v>
                </c:pt>
                <c:pt idx="252">
                  <c:v>0.13494891386154362</c:v>
                </c:pt>
                <c:pt idx="253">
                  <c:v>0.11433441984259018</c:v>
                </c:pt>
                <c:pt idx="254">
                  <c:v>0.13629783315685606</c:v>
                </c:pt>
                <c:pt idx="255">
                  <c:v>6.4334419842590196E-2</c:v>
                </c:pt>
                <c:pt idx="256">
                  <c:v>0.1150059217220846</c:v>
                </c:pt>
                <c:pt idx="257">
                  <c:v>0.14468909988261097</c:v>
                </c:pt>
                <c:pt idx="258">
                  <c:v>0.11721137965156583</c:v>
                </c:pt>
                <c:pt idx="259">
                  <c:v>0.14468909988261097</c:v>
                </c:pt>
                <c:pt idx="260">
                  <c:v>7.4423848466795867E-2</c:v>
                </c:pt>
                <c:pt idx="261">
                  <c:v>8.4550498317741529E-2</c:v>
                </c:pt>
                <c:pt idx="262">
                  <c:v>6.1556684369187376E-2</c:v>
                </c:pt>
                <c:pt idx="263">
                  <c:v>7.587190994216686E-2</c:v>
                </c:pt>
                <c:pt idx="264">
                  <c:v>8.5897345049753937E-2</c:v>
                </c:pt>
                <c:pt idx="265">
                  <c:v>9.1560580452139939E-3</c:v>
                </c:pt>
                <c:pt idx="266">
                  <c:v>4.06792556603989E-2</c:v>
                </c:pt>
                <c:pt idx="267">
                  <c:v>1.8314092274055782E-2</c:v>
                </c:pt>
                <c:pt idx="268">
                  <c:v>4.4192395567313913E-2</c:v>
                </c:pt>
                <c:pt idx="269">
                  <c:v>8.0687740997563429E-3</c:v>
                </c:pt>
                <c:pt idx="270">
                  <c:v>-1.1342042989058304E-2</c:v>
                </c:pt>
                <c:pt idx="271">
                  <c:v>3.5435878897294215E-2</c:v>
                </c:pt>
                <c:pt idx="272">
                  <c:v>0.1220700681018454</c:v>
                </c:pt>
                <c:pt idx="273">
                  <c:v>0.12905469188937865</c:v>
                </c:pt>
                <c:pt idx="274">
                  <c:v>0.1520700681018454</c:v>
                </c:pt>
                <c:pt idx="275">
                  <c:v>0.13905469188937866</c:v>
                </c:pt>
                <c:pt idx="276">
                  <c:v>1.6828123086453206E-2</c:v>
                </c:pt>
                <c:pt idx="277">
                  <c:v>4.7945569686318579E-2</c:v>
                </c:pt>
                <c:pt idx="278">
                  <c:v>6.6785930444537067E-2</c:v>
                </c:pt>
                <c:pt idx="279">
                  <c:v>0.10556895517735093</c:v>
                </c:pt>
                <c:pt idx="280">
                  <c:v>9.1576659304624053E-2</c:v>
                </c:pt>
                <c:pt idx="281">
                  <c:v>9.3759237923014827E-2</c:v>
                </c:pt>
                <c:pt idx="282">
                  <c:v>8.6785930444537085E-2</c:v>
                </c:pt>
                <c:pt idx="283">
                  <c:v>0.11365238593524662</c:v>
                </c:pt>
                <c:pt idx="284">
                  <c:v>0.13157665930462406</c:v>
                </c:pt>
                <c:pt idx="285">
                  <c:v>0.10375923792301484</c:v>
                </c:pt>
                <c:pt idx="286">
                  <c:v>-7.871730458328674E-4</c:v>
                </c:pt>
                <c:pt idx="287">
                  <c:v>-1.7409964494713853E-2</c:v>
                </c:pt>
                <c:pt idx="288">
                  <c:v>-2.572996732929056E-2</c:v>
                </c:pt>
                <c:pt idx="289">
                  <c:v>8.5513575578920892E-2</c:v>
                </c:pt>
                <c:pt idx="290">
                  <c:v>8.2779264339827324E-2</c:v>
                </c:pt>
                <c:pt idx="291">
                  <c:v>7.1841553429913663E-2</c:v>
                </c:pt>
                <c:pt idx="292">
                  <c:v>-4.0568441613696465E-2</c:v>
                </c:pt>
                <c:pt idx="293">
                  <c:v>4.6542860961993143E-2</c:v>
                </c:pt>
                <c:pt idx="294">
                  <c:v>4.2546131042501462E-2</c:v>
                </c:pt>
                <c:pt idx="295">
                  <c:v>4.9838091672923274E-2</c:v>
                </c:pt>
                <c:pt idx="296">
                  <c:v>1.5870712335672055E-2</c:v>
                </c:pt>
                <c:pt idx="297">
                  <c:v>8.7496995895016499E-2</c:v>
                </c:pt>
                <c:pt idx="298">
                  <c:v>7.4962678980617536E-2</c:v>
                </c:pt>
                <c:pt idx="299">
                  <c:v>3.5001020311493158E-2</c:v>
                </c:pt>
                <c:pt idx="300">
                  <c:v>4.1014356671025848E-2</c:v>
                </c:pt>
                <c:pt idx="301">
                  <c:v>3.8280033527378549E-2</c:v>
                </c:pt>
                <c:pt idx="302">
                  <c:v>2.5660705101841319E-2</c:v>
                </c:pt>
                <c:pt idx="303">
                  <c:v>-1.3041211379450218E-2</c:v>
                </c:pt>
                <c:pt idx="304">
                  <c:v>-2.7033327115040889E-2</c:v>
                </c:pt>
                <c:pt idx="305">
                  <c:v>-3.9766999391791236E-2</c:v>
                </c:pt>
                <c:pt idx="306">
                  <c:v>-7.2601616808159131E-2</c:v>
                </c:pt>
                <c:pt idx="307">
                  <c:v>-1.5273136838696411E-2</c:v>
                </c:pt>
                <c:pt idx="308">
                  <c:v>-1.949774081899891E-2</c:v>
                </c:pt>
                <c:pt idx="309">
                  <c:v>9.652690550452564E-3</c:v>
                </c:pt>
                <c:pt idx="310">
                  <c:v>1.5676665907051468E-2</c:v>
                </c:pt>
                <c:pt idx="311">
                  <c:v>-2.0017316304513089E-4</c:v>
                </c:pt>
                <c:pt idx="312">
                  <c:v>-8.8980409246865455E-3</c:v>
                </c:pt>
                <c:pt idx="313">
                  <c:v>4.7324550875494753E-2</c:v>
                </c:pt>
                <c:pt idx="314">
                  <c:v>2.9652690550452582E-2</c:v>
                </c:pt>
                <c:pt idx="315">
                  <c:v>5.5676665907051476E-2</c:v>
                </c:pt>
                <c:pt idx="316">
                  <c:v>2.9799826836954868E-2</c:v>
                </c:pt>
                <c:pt idx="317">
                  <c:v>2.1101959075313426E-2</c:v>
                </c:pt>
                <c:pt idx="318">
                  <c:v>5.1036726143124045E-2</c:v>
                </c:pt>
                <c:pt idx="319">
                  <c:v>5.52535376371589E-2</c:v>
                </c:pt>
                <c:pt idx="320">
                  <c:v>4.5752416553656083E-2</c:v>
                </c:pt>
                <c:pt idx="321">
                  <c:v>7.0748327512597436E-2</c:v>
                </c:pt>
                <c:pt idx="322">
                  <c:v>8.0835605930238835E-2</c:v>
                </c:pt>
                <c:pt idx="323">
                  <c:v>0.10049169172459249</c:v>
                </c:pt>
                <c:pt idx="324">
                  <c:v>0.10201122308667787</c:v>
                </c:pt>
                <c:pt idx="325">
                  <c:v>7.1459665129982641E-2</c:v>
                </c:pt>
                <c:pt idx="326">
                  <c:v>3.882229957393879E-2</c:v>
                </c:pt>
                <c:pt idx="327">
                  <c:v>5.8981526665419948E-2</c:v>
                </c:pt>
                <c:pt idx="328">
                  <c:v>6.8645570153119673E-2</c:v>
                </c:pt>
                <c:pt idx="329">
                  <c:v>4.0148341231246443E-2</c:v>
                </c:pt>
                <c:pt idx="330">
                  <c:v>-9.1456181317132734E-3</c:v>
                </c:pt>
                <c:pt idx="331">
                  <c:v>-1.1808052548277409E-2</c:v>
                </c:pt>
                <c:pt idx="332">
                  <c:v>-1.6230553871522058E-2</c:v>
                </c:pt>
                <c:pt idx="333">
                  <c:v>-3.9581080938376922E-2</c:v>
                </c:pt>
                <c:pt idx="334">
                  <c:v>-6.4104192008954952E-2</c:v>
                </c:pt>
                <c:pt idx="335">
                  <c:v>4.376944612847794E-2</c:v>
                </c:pt>
                <c:pt idx="336">
                  <c:v>4.0418919061623093E-2</c:v>
                </c:pt>
                <c:pt idx="337">
                  <c:v>3.5895807991045053E-2</c:v>
                </c:pt>
                <c:pt idx="338">
                  <c:v>-5.1604076534077503E-3</c:v>
                </c:pt>
                <c:pt idx="339">
                  <c:v>-6.4039436263449573E-2</c:v>
                </c:pt>
                <c:pt idx="340">
                  <c:v>-8.753720798611031E-2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48-4D06-A674-0D43C6490A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3412480"/>
        <c:axId val="1213412960"/>
      </c:scatterChart>
      <c:valAx>
        <c:axId val="1213412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Deformação sem TS MC2020</a:t>
                </a:r>
              </a:p>
            </c:rich>
          </c:tx>
          <c:layout>
            <c:manualLayout>
              <c:xMode val="edge"/>
              <c:yMode val="edge"/>
              <c:x val="0.39742016622922133"/>
              <c:y val="0.8740507436570428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00000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13412960"/>
        <c:crosses val="autoZero"/>
        <c:crossBetween val="midCat"/>
        <c:majorUnit val="8.0000000000000026E-4"/>
      </c:valAx>
      <c:valAx>
        <c:axId val="1213412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Resíduo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13412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0.27234088607181361"/>
                  <c:y val="-0.3961100174978127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'Dataset sem TS MC2020'!$P$3:$P$343</c:f>
              <c:numCache>
                <c:formatCode>0</c:formatCode>
                <c:ptCount val="341"/>
                <c:pt idx="0">
                  <c:v>231.81100493873356</c:v>
                </c:pt>
                <c:pt idx="1">
                  <c:v>304.25194398208777</c:v>
                </c:pt>
                <c:pt idx="2">
                  <c:v>314.28222784962912</c:v>
                </c:pt>
                <c:pt idx="3">
                  <c:v>363.31917120205361</c:v>
                </c:pt>
                <c:pt idx="4">
                  <c:v>459.16410593633765</c:v>
                </c:pt>
                <c:pt idx="5">
                  <c:v>500</c:v>
                </c:pt>
                <c:pt idx="6">
                  <c:v>322.91971563781163</c:v>
                </c:pt>
                <c:pt idx="7">
                  <c:v>367.82093324078352</c:v>
                </c:pt>
                <c:pt idx="8">
                  <c:v>500</c:v>
                </c:pt>
                <c:pt idx="9">
                  <c:v>285.04803218471648</c:v>
                </c:pt>
                <c:pt idx="10">
                  <c:v>324.99964614446418</c:v>
                </c:pt>
                <c:pt idx="11">
                  <c:v>367.6446273374533</c:v>
                </c:pt>
                <c:pt idx="12">
                  <c:v>410.73850306931587</c:v>
                </c:pt>
                <c:pt idx="13">
                  <c:v>438.56996447947728</c:v>
                </c:pt>
                <c:pt idx="14">
                  <c:v>498.27293814966185</c:v>
                </c:pt>
                <c:pt idx="15">
                  <c:v>502.76188353839768</c:v>
                </c:pt>
                <c:pt idx="16">
                  <c:v>538.67344664828317</c:v>
                </c:pt>
                <c:pt idx="17">
                  <c:v>628</c:v>
                </c:pt>
                <c:pt idx="18">
                  <c:v>628</c:v>
                </c:pt>
                <c:pt idx="19">
                  <c:v>321.47187644259361</c:v>
                </c:pt>
                <c:pt idx="20">
                  <c:v>357.19097382510409</c:v>
                </c:pt>
                <c:pt idx="21">
                  <c:v>370.58563534354545</c:v>
                </c:pt>
                <c:pt idx="22">
                  <c:v>392.91007120761441</c:v>
                </c:pt>
                <c:pt idx="23">
                  <c:v>424.16428141731097</c:v>
                </c:pt>
                <c:pt idx="24">
                  <c:v>491.13758900951802</c:v>
                </c:pt>
                <c:pt idx="25">
                  <c:v>136.24998634844746</c:v>
                </c:pt>
                <c:pt idx="26">
                  <c:v>196.14009023787494</c:v>
                </c:pt>
                <c:pt idx="27">
                  <c:v>237.31453666185638</c:v>
                </c:pt>
                <c:pt idx="28">
                  <c:v>305.43952983608006</c:v>
                </c:pt>
                <c:pt idx="29">
                  <c:v>405.00682755225324</c:v>
                </c:pt>
                <c:pt idx="30">
                  <c:v>300.43295624924116</c:v>
                </c:pt>
                <c:pt idx="31">
                  <c:v>386.27094374902435</c:v>
                </c:pt>
                <c:pt idx="32">
                  <c:v>500</c:v>
                </c:pt>
                <c:pt idx="33">
                  <c:v>500</c:v>
                </c:pt>
                <c:pt idx="34">
                  <c:v>500</c:v>
                </c:pt>
                <c:pt idx="35">
                  <c:v>106.51265522599461</c:v>
                </c:pt>
                <c:pt idx="36">
                  <c:v>191.72277940679027</c:v>
                </c:pt>
                <c:pt idx="37">
                  <c:v>276.93290358758594</c:v>
                </c:pt>
                <c:pt idx="38">
                  <c:v>362.14302776838161</c:v>
                </c:pt>
                <c:pt idx="39">
                  <c:v>426.05062090397843</c:v>
                </c:pt>
                <c:pt idx="40">
                  <c:v>500</c:v>
                </c:pt>
                <c:pt idx="41">
                  <c:v>212.47112712608967</c:v>
                </c:pt>
                <c:pt idx="42">
                  <c:v>254.96535255130757</c:v>
                </c:pt>
                <c:pt idx="43">
                  <c:v>297.45957797652545</c:v>
                </c:pt>
                <c:pt idx="44">
                  <c:v>382.44802882696138</c:v>
                </c:pt>
                <c:pt idx="45">
                  <c:v>500</c:v>
                </c:pt>
                <c:pt idx="46">
                  <c:v>212.47112712608967</c:v>
                </c:pt>
                <c:pt idx="47">
                  <c:v>297.45957797652545</c:v>
                </c:pt>
                <c:pt idx="48">
                  <c:v>382.44802882696138</c:v>
                </c:pt>
                <c:pt idx="49">
                  <c:v>500</c:v>
                </c:pt>
                <c:pt idx="50">
                  <c:v>245.19477048546645</c:v>
                </c:pt>
                <c:pt idx="51">
                  <c:v>294.23372458255977</c:v>
                </c:pt>
                <c:pt idx="52">
                  <c:v>193.94581491041436</c:v>
                </c:pt>
                <c:pt idx="53">
                  <c:v>242.43226863801794</c:v>
                </c:pt>
                <c:pt idx="54">
                  <c:v>290.91872236562153</c:v>
                </c:pt>
                <c:pt idx="55">
                  <c:v>193.94581491041436</c:v>
                </c:pt>
                <c:pt idx="56">
                  <c:v>242.43226863801794</c:v>
                </c:pt>
                <c:pt idx="57">
                  <c:v>290.91872236562153</c:v>
                </c:pt>
                <c:pt idx="58">
                  <c:v>210.83754926858927</c:v>
                </c:pt>
                <c:pt idx="59">
                  <c:v>316.25632390288388</c:v>
                </c:pt>
                <c:pt idx="60">
                  <c:v>421.67509853717854</c:v>
                </c:pt>
                <c:pt idx="61">
                  <c:v>500</c:v>
                </c:pt>
                <c:pt idx="62">
                  <c:v>210.83754926858927</c:v>
                </c:pt>
                <c:pt idx="63">
                  <c:v>316.25632390288388</c:v>
                </c:pt>
                <c:pt idx="64">
                  <c:v>421.67509853717854</c:v>
                </c:pt>
                <c:pt idx="65">
                  <c:v>500</c:v>
                </c:pt>
                <c:pt idx="66">
                  <c:v>122.34076582972288</c:v>
                </c:pt>
                <c:pt idx="67">
                  <c:v>244.68153165944577</c:v>
                </c:pt>
                <c:pt idx="68">
                  <c:v>120.90671371295994</c:v>
                </c:pt>
                <c:pt idx="69">
                  <c:v>241.81342742591988</c:v>
                </c:pt>
                <c:pt idx="70">
                  <c:v>120.90671371295994</c:v>
                </c:pt>
                <c:pt idx="71">
                  <c:v>241.81342742591988</c:v>
                </c:pt>
                <c:pt idx="72">
                  <c:v>295.47063165325955</c:v>
                </c:pt>
                <c:pt idx="73">
                  <c:v>343.86668338956935</c:v>
                </c:pt>
                <c:pt idx="74">
                  <c:v>303.25602523129726</c:v>
                </c:pt>
                <c:pt idx="75">
                  <c:v>347.81022799039772</c:v>
                </c:pt>
                <c:pt idx="76">
                  <c:v>411.04845126137917</c:v>
                </c:pt>
                <c:pt idx="77">
                  <c:v>289.73492291565424</c:v>
                </c:pt>
                <c:pt idx="78">
                  <c:v>379.98022677462848</c:v>
                </c:pt>
                <c:pt idx="79">
                  <c:v>185.27396447016579</c:v>
                </c:pt>
                <c:pt idx="80">
                  <c:v>211.76759699968991</c:v>
                </c:pt>
                <c:pt idx="81">
                  <c:v>238.26122952921415</c:v>
                </c:pt>
                <c:pt idx="82">
                  <c:v>264.70949624961241</c:v>
                </c:pt>
                <c:pt idx="83">
                  <c:v>291.15776297001077</c:v>
                </c:pt>
                <c:pt idx="84">
                  <c:v>317.65139549953489</c:v>
                </c:pt>
                <c:pt idx="85">
                  <c:v>344.14502802905912</c:v>
                </c:pt>
                <c:pt idx="86">
                  <c:v>370.54792894033159</c:v>
                </c:pt>
                <c:pt idx="87">
                  <c:v>211.76759699968991</c:v>
                </c:pt>
                <c:pt idx="88">
                  <c:v>238.26122952921415</c:v>
                </c:pt>
                <c:pt idx="89">
                  <c:v>264.70949624961241</c:v>
                </c:pt>
                <c:pt idx="90">
                  <c:v>291.15776297001077</c:v>
                </c:pt>
                <c:pt idx="91">
                  <c:v>317.65139549953489</c:v>
                </c:pt>
                <c:pt idx="92">
                  <c:v>344.14502802905912</c:v>
                </c:pt>
                <c:pt idx="93">
                  <c:v>370.54792894033159</c:v>
                </c:pt>
                <c:pt idx="94">
                  <c:v>211.76759699968994</c:v>
                </c:pt>
                <c:pt idx="95">
                  <c:v>238.26122952921412</c:v>
                </c:pt>
                <c:pt idx="96">
                  <c:v>264.70949624961241</c:v>
                </c:pt>
                <c:pt idx="97">
                  <c:v>291.15776297001071</c:v>
                </c:pt>
                <c:pt idx="98">
                  <c:v>317.65139549953489</c:v>
                </c:pt>
                <c:pt idx="99">
                  <c:v>344.14502802905906</c:v>
                </c:pt>
                <c:pt idx="100">
                  <c:v>370.54792894033153</c:v>
                </c:pt>
                <c:pt idx="101">
                  <c:v>185.27396447016577</c:v>
                </c:pt>
                <c:pt idx="102">
                  <c:v>211.76759699968994</c:v>
                </c:pt>
                <c:pt idx="103">
                  <c:v>238.26122952921412</c:v>
                </c:pt>
                <c:pt idx="104">
                  <c:v>264.70949624961241</c:v>
                </c:pt>
                <c:pt idx="105">
                  <c:v>291.15776297001071</c:v>
                </c:pt>
                <c:pt idx="106">
                  <c:v>317.65139549953489</c:v>
                </c:pt>
                <c:pt idx="107">
                  <c:v>344.14502802905906</c:v>
                </c:pt>
                <c:pt idx="108">
                  <c:v>370.54792894033153</c:v>
                </c:pt>
                <c:pt idx="109">
                  <c:v>233.30469206437246</c:v>
                </c:pt>
                <c:pt idx="110">
                  <c:v>251.20389200920044</c:v>
                </c:pt>
                <c:pt idx="111">
                  <c:v>269.16460123218928</c:v>
                </c:pt>
                <c:pt idx="112">
                  <c:v>287.12531045517812</c:v>
                </c:pt>
                <c:pt idx="113">
                  <c:v>305.08601967816708</c:v>
                </c:pt>
                <c:pt idx="114">
                  <c:v>251.20389200920044</c:v>
                </c:pt>
                <c:pt idx="115">
                  <c:v>269.16460123218928</c:v>
                </c:pt>
                <c:pt idx="116">
                  <c:v>287.12531045517812</c:v>
                </c:pt>
                <c:pt idx="117">
                  <c:v>305.08601967816708</c:v>
                </c:pt>
                <c:pt idx="118">
                  <c:v>176.28617352026819</c:v>
                </c:pt>
                <c:pt idx="119">
                  <c:v>242.34630278375195</c:v>
                </c:pt>
                <c:pt idx="120">
                  <c:v>308.4064320472358</c:v>
                </c:pt>
                <c:pt idx="121">
                  <c:v>242.34630278375195</c:v>
                </c:pt>
                <c:pt idx="122">
                  <c:v>308.4064320472358</c:v>
                </c:pt>
                <c:pt idx="123">
                  <c:v>208.77973928930371</c:v>
                </c:pt>
                <c:pt idx="124">
                  <c:v>253.50000168297348</c:v>
                </c:pt>
                <c:pt idx="125">
                  <c:v>298.2202640766431</c:v>
                </c:pt>
                <c:pt idx="126">
                  <c:v>208.77973928930371</c:v>
                </c:pt>
                <c:pt idx="127">
                  <c:v>253.50000168297348</c:v>
                </c:pt>
                <c:pt idx="128">
                  <c:v>298.2202640766431</c:v>
                </c:pt>
                <c:pt idx="129">
                  <c:v>226.45530266575949</c:v>
                </c:pt>
                <c:pt idx="130">
                  <c:v>260.41389561049635</c:v>
                </c:pt>
                <c:pt idx="131">
                  <c:v>294.3724885552333</c:v>
                </c:pt>
                <c:pt idx="132">
                  <c:v>226.45530266575949</c:v>
                </c:pt>
                <c:pt idx="133">
                  <c:v>260.41389561049635</c:v>
                </c:pt>
                <c:pt idx="134">
                  <c:v>294.3724885552333</c:v>
                </c:pt>
                <c:pt idx="135">
                  <c:v>274.14363221273135</c:v>
                </c:pt>
                <c:pt idx="136">
                  <c:v>294.20292237463855</c:v>
                </c:pt>
                <c:pt idx="137">
                  <c:v>316.93678455813335</c:v>
                </c:pt>
                <c:pt idx="138">
                  <c:v>336.9960747200405</c:v>
                </c:pt>
                <c:pt idx="139">
                  <c:v>359.72993690353525</c:v>
                </c:pt>
                <c:pt idx="140">
                  <c:v>379.78922706544245</c:v>
                </c:pt>
                <c:pt idx="141">
                  <c:v>403.86037525973109</c:v>
                </c:pt>
                <c:pt idx="142">
                  <c:v>251.40977002923657</c:v>
                </c:pt>
                <c:pt idx="143">
                  <c:v>274.14363221273135</c:v>
                </c:pt>
                <c:pt idx="144">
                  <c:v>295.54020838543232</c:v>
                </c:pt>
                <c:pt idx="145">
                  <c:v>314.93085554194266</c:v>
                </c:pt>
                <c:pt idx="146">
                  <c:v>336.9960747200405</c:v>
                </c:pt>
                <c:pt idx="147">
                  <c:v>359.06129389813839</c:v>
                </c:pt>
                <c:pt idx="148">
                  <c:v>377.78329804925175</c:v>
                </c:pt>
                <c:pt idx="149">
                  <c:v>395.83665919496815</c:v>
                </c:pt>
                <c:pt idx="150">
                  <c:v>201.33268539095971</c:v>
                </c:pt>
                <c:pt idx="151">
                  <c:v>235.28147905021083</c:v>
                </c:pt>
                <c:pt idx="152">
                  <c:v>268.14100660274795</c:v>
                </c:pt>
                <c:pt idx="153">
                  <c:v>300.81898980416611</c:v>
                </c:pt>
                <c:pt idx="154">
                  <c:v>333.13388430334641</c:v>
                </c:pt>
                <c:pt idx="155">
                  <c:v>366.35650055812141</c:v>
                </c:pt>
                <c:pt idx="156">
                  <c:v>169.74396829625545</c:v>
                </c:pt>
                <c:pt idx="157">
                  <c:v>201.87731844431667</c:v>
                </c:pt>
                <c:pt idx="158">
                  <c:v>234.73684599685382</c:v>
                </c:pt>
                <c:pt idx="159">
                  <c:v>267.23328484715302</c:v>
                </c:pt>
                <c:pt idx="160">
                  <c:v>301.0005341552851</c:v>
                </c:pt>
                <c:pt idx="161">
                  <c:v>333.13388430334641</c:v>
                </c:pt>
                <c:pt idx="162">
                  <c:v>348.7466984995794</c:v>
                </c:pt>
                <c:pt idx="163">
                  <c:v>310.30985357473827</c:v>
                </c:pt>
                <c:pt idx="164">
                  <c:v>330.28688277482877</c:v>
                </c:pt>
                <c:pt idx="165">
                  <c:v>334.28228861484689</c:v>
                </c:pt>
                <c:pt idx="166">
                  <c:v>351.15177993936766</c:v>
                </c:pt>
                <c:pt idx="167">
                  <c:v>362.69406347719769</c:v>
                </c:pt>
                <c:pt idx="168">
                  <c:v>375.5681489617005</c:v>
                </c:pt>
                <c:pt idx="169">
                  <c:v>387.11043249953048</c:v>
                </c:pt>
                <c:pt idx="170">
                  <c:v>400.87238594848156</c:v>
                </c:pt>
                <c:pt idx="171">
                  <c:v>308.9780516280656</c:v>
                </c:pt>
                <c:pt idx="172">
                  <c:v>322.29607109479258</c:v>
                </c:pt>
                <c:pt idx="173">
                  <c:v>334.72622259707111</c:v>
                </c:pt>
                <c:pt idx="174">
                  <c:v>347.60030808157381</c:v>
                </c:pt>
                <c:pt idx="175">
                  <c:v>361.36226153052507</c:v>
                </c:pt>
                <c:pt idx="176">
                  <c:v>375.5681489617005</c:v>
                </c:pt>
                <c:pt idx="177">
                  <c:v>388.44223444620314</c:v>
                </c:pt>
                <c:pt idx="178">
                  <c:v>399.98451798403318</c:v>
                </c:pt>
                <c:pt idx="179">
                  <c:v>323.62787304146531</c:v>
                </c:pt>
                <c:pt idx="180">
                  <c:v>336.50195852596801</c:v>
                </c:pt>
                <c:pt idx="181">
                  <c:v>354.70325179716156</c:v>
                </c:pt>
                <c:pt idx="182">
                  <c:v>365.35766737054308</c:v>
                </c:pt>
                <c:pt idx="183">
                  <c:v>375.5681489617005</c:v>
                </c:pt>
                <c:pt idx="184">
                  <c:v>386.66649851730631</c:v>
                </c:pt>
                <c:pt idx="185">
                  <c:v>401.31631993070596</c:v>
                </c:pt>
                <c:pt idx="186">
                  <c:v>224.93648942333181</c:v>
                </c:pt>
                <c:pt idx="187">
                  <c:v>259.89764030841235</c:v>
                </c:pt>
                <c:pt idx="188">
                  <c:v>294.74027881761134</c:v>
                </c:pt>
                <c:pt idx="189">
                  <c:v>224.93648942333181</c:v>
                </c:pt>
                <c:pt idx="190">
                  <c:v>259.42359080488586</c:v>
                </c:pt>
                <c:pt idx="191">
                  <c:v>294.14771693820313</c:v>
                </c:pt>
                <c:pt idx="192">
                  <c:v>154.30311339788094</c:v>
                </c:pt>
                <c:pt idx="193">
                  <c:v>190.33087566589617</c:v>
                </c:pt>
                <c:pt idx="194">
                  <c:v>224.34392754392366</c:v>
                </c:pt>
                <c:pt idx="195">
                  <c:v>258.47549179783277</c:v>
                </c:pt>
                <c:pt idx="196">
                  <c:v>306.71002878165581</c:v>
                </c:pt>
                <c:pt idx="197">
                  <c:v>179.8880402629556</c:v>
                </c:pt>
                <c:pt idx="198">
                  <c:v>225.29667178564338</c:v>
                </c:pt>
                <c:pt idx="199">
                  <c:v>270.70530330833117</c:v>
                </c:pt>
                <c:pt idx="200">
                  <c:v>176.83957373352104</c:v>
                </c:pt>
                <c:pt idx="201">
                  <c:v>220.75275647271758</c:v>
                </c:pt>
                <c:pt idx="202">
                  <c:v>264.66593921191406</c:v>
                </c:pt>
                <c:pt idx="203">
                  <c:v>234.72234542321382</c:v>
                </c:pt>
                <c:pt idx="204">
                  <c:v>315.66108522432211</c:v>
                </c:pt>
                <c:pt idx="205">
                  <c:v>364.22432910498702</c:v>
                </c:pt>
                <c:pt idx="206">
                  <c:v>404.69369900554108</c:v>
                </c:pt>
                <c:pt idx="207">
                  <c:v>469.44469084642765</c:v>
                </c:pt>
                <c:pt idx="208">
                  <c:v>526.10180870720353</c:v>
                </c:pt>
                <c:pt idx="209">
                  <c:v>270.87013331072598</c:v>
                </c:pt>
                <c:pt idx="210">
                  <c:v>308.0483869023941</c:v>
                </c:pt>
                <c:pt idx="211">
                  <c:v>355.84899866311054</c:v>
                </c:pt>
                <c:pt idx="212">
                  <c:v>377.09371500120665</c:v>
                </c:pt>
                <c:pt idx="213">
                  <c:v>424.89432676192303</c:v>
                </c:pt>
                <c:pt idx="214">
                  <c:v>525.80672936787971</c:v>
                </c:pt>
                <c:pt idx="215">
                  <c:v>246.92191294539825</c:v>
                </c:pt>
                <c:pt idx="216">
                  <c:v>283.23395896678039</c:v>
                </c:pt>
                <c:pt idx="217">
                  <c:v>315.9148003860243</c:v>
                </c:pt>
                <c:pt idx="218">
                  <c:v>355.85805100954457</c:v>
                </c:pt>
                <c:pt idx="219">
                  <c:v>395.80130163306495</c:v>
                </c:pt>
                <c:pt idx="220">
                  <c:v>432.11334765444701</c:v>
                </c:pt>
                <c:pt idx="221">
                  <c:v>468.42539367582907</c:v>
                </c:pt>
                <c:pt idx="222">
                  <c:v>501.10623509507292</c:v>
                </c:pt>
                <c:pt idx="223">
                  <c:v>370.74728404873275</c:v>
                </c:pt>
                <c:pt idx="224">
                  <c:v>443.28479614522388</c:v>
                </c:pt>
                <c:pt idx="225">
                  <c:v>523.88203180799201</c:v>
                </c:pt>
                <c:pt idx="226">
                  <c:v>264.28009430947355</c:v>
                </c:pt>
                <c:pt idx="227">
                  <c:v>301.27930751279979</c:v>
                </c:pt>
                <c:pt idx="228">
                  <c:v>348.84972448850499</c:v>
                </c:pt>
                <c:pt idx="229">
                  <c:v>369.99213203326286</c:v>
                </c:pt>
                <c:pt idx="230">
                  <c:v>401.7057433503997</c:v>
                </c:pt>
                <c:pt idx="231">
                  <c:v>422.84815089515763</c:v>
                </c:pt>
                <c:pt idx="232">
                  <c:v>474.64704937981429</c:v>
                </c:pt>
                <c:pt idx="233">
                  <c:v>526.44594786447112</c:v>
                </c:pt>
                <c:pt idx="234">
                  <c:v>303.4025683141906</c:v>
                </c:pt>
                <c:pt idx="235">
                  <c:v>317.8503096624853</c:v>
                </c:pt>
                <c:pt idx="236">
                  <c:v>353.96966303322239</c:v>
                </c:pt>
                <c:pt idx="237">
                  <c:v>393.70095174103312</c:v>
                </c:pt>
                <c:pt idx="238">
                  <c:v>429.82030511177004</c:v>
                </c:pt>
                <c:pt idx="239">
                  <c:v>462.32772314543331</c:v>
                </c:pt>
                <c:pt idx="240">
                  <c:v>502.05901185324399</c:v>
                </c:pt>
                <c:pt idx="241">
                  <c:v>151.17196997745879</c:v>
                </c:pt>
                <c:pt idx="242">
                  <c:v>201.70659994135215</c:v>
                </c:pt>
                <c:pt idx="243">
                  <c:v>230.64523419418001</c:v>
                </c:pt>
                <c:pt idx="244">
                  <c:v>263.90306758922088</c:v>
                </c:pt>
                <c:pt idx="245">
                  <c:v>315.73345729577818</c:v>
                </c:pt>
                <c:pt idx="246">
                  <c:v>342.08057206327823</c:v>
                </c:pt>
                <c:pt idx="247">
                  <c:v>380.5214444289748</c:v>
                </c:pt>
                <c:pt idx="248">
                  <c:v>361.66957450902817</c:v>
                </c:pt>
                <c:pt idx="249">
                  <c:v>392.3</c:v>
                </c:pt>
                <c:pt idx="250">
                  <c:v>363.0041485847072</c:v>
                </c:pt>
                <c:pt idx="251">
                  <c:v>392.3</c:v>
                </c:pt>
                <c:pt idx="252">
                  <c:v>363.0041485847072</c:v>
                </c:pt>
                <c:pt idx="253">
                  <c:v>392.3</c:v>
                </c:pt>
                <c:pt idx="254">
                  <c:v>364.33872266038628</c:v>
                </c:pt>
                <c:pt idx="255">
                  <c:v>392.3</c:v>
                </c:pt>
                <c:pt idx="256">
                  <c:v>317.10269794078823</c:v>
                </c:pt>
                <c:pt idx="257">
                  <c:v>392.3</c:v>
                </c:pt>
                <c:pt idx="258">
                  <c:v>319.13540754297276</c:v>
                </c:pt>
                <c:pt idx="259">
                  <c:v>392.3</c:v>
                </c:pt>
                <c:pt idx="260">
                  <c:v>260.02902224680844</c:v>
                </c:pt>
                <c:pt idx="261">
                  <c:v>365.37411331090004</c:v>
                </c:pt>
                <c:pt idx="262">
                  <c:v>392.3</c:v>
                </c:pt>
                <c:pt idx="263">
                  <c:v>261.36250441217675</c:v>
                </c:pt>
                <c:pt idx="264">
                  <c:v>366.70759547626835</c:v>
                </c:pt>
                <c:pt idx="265">
                  <c:v>187.02573904138569</c:v>
                </c:pt>
                <c:pt idx="266">
                  <c:v>261.07653927096982</c:v>
                </c:pt>
                <c:pt idx="267">
                  <c:v>336.07670873426662</c:v>
                </c:pt>
                <c:pt idx="268">
                  <c:v>392.3</c:v>
                </c:pt>
                <c:pt idx="269">
                  <c:v>186.07636980767307</c:v>
                </c:pt>
                <c:pt idx="270">
                  <c:v>259.17780080354459</c:v>
                </c:pt>
                <c:pt idx="271">
                  <c:v>333.22860103312883</c:v>
                </c:pt>
                <c:pt idx="272">
                  <c:v>365.47269151625068</c:v>
                </c:pt>
                <c:pt idx="273">
                  <c:v>392.3</c:v>
                </c:pt>
                <c:pt idx="274">
                  <c:v>365.47269151625068</c:v>
                </c:pt>
                <c:pt idx="275">
                  <c:v>392.3</c:v>
                </c:pt>
                <c:pt idx="276">
                  <c:v>221.31013180149799</c:v>
                </c:pt>
                <c:pt idx="277">
                  <c:v>259.14092356243782</c:v>
                </c:pt>
                <c:pt idx="278">
                  <c:v>296.0259455293542</c:v>
                </c:pt>
                <c:pt idx="279">
                  <c:v>333.85673729029395</c:v>
                </c:pt>
                <c:pt idx="280">
                  <c:v>369.79598946318686</c:v>
                </c:pt>
                <c:pt idx="281">
                  <c:v>392.3</c:v>
                </c:pt>
                <c:pt idx="282">
                  <c:v>296.0259455293542</c:v>
                </c:pt>
                <c:pt idx="283">
                  <c:v>331.965197702247</c:v>
                </c:pt>
                <c:pt idx="284">
                  <c:v>369.79598946318686</c:v>
                </c:pt>
                <c:pt idx="285">
                  <c:v>392.3</c:v>
                </c:pt>
                <c:pt idx="286">
                  <c:v>203.02249313738358</c:v>
                </c:pt>
                <c:pt idx="287">
                  <c:v>244.50020678910712</c:v>
                </c:pt>
                <c:pt idx="288">
                  <c:v>275.8</c:v>
                </c:pt>
                <c:pt idx="289">
                  <c:v>275.8</c:v>
                </c:pt>
                <c:pt idx="290">
                  <c:v>249.74588434606099</c:v>
                </c:pt>
                <c:pt idx="291">
                  <c:v>275.8</c:v>
                </c:pt>
                <c:pt idx="292">
                  <c:v>271.28943756037444</c:v>
                </c:pt>
                <c:pt idx="293">
                  <c:v>195.11352598003063</c:v>
                </c:pt>
                <c:pt idx="294">
                  <c:v>226.947036463892</c:v>
                </c:pt>
                <c:pt idx="295">
                  <c:v>260.91293520983021</c:v>
                </c:pt>
                <c:pt idx="296">
                  <c:v>275.8</c:v>
                </c:pt>
                <c:pt idx="297">
                  <c:v>259.63215176616467</c:v>
                </c:pt>
                <c:pt idx="298">
                  <c:v>275.8</c:v>
                </c:pt>
                <c:pt idx="299">
                  <c:v>194.21192690601001</c:v>
                </c:pt>
                <c:pt idx="300">
                  <c:v>225.89833808739655</c:v>
                </c:pt>
                <c:pt idx="301">
                  <c:v>259.70728398906732</c:v>
                </c:pt>
                <c:pt idx="302">
                  <c:v>275.8</c:v>
                </c:pt>
                <c:pt idx="303">
                  <c:v>194.35459603250266</c:v>
                </c:pt>
                <c:pt idx="304">
                  <c:v>226.06428422203666</c:v>
                </c:pt>
                <c:pt idx="305">
                  <c:v>259.8980663572811</c:v>
                </c:pt>
                <c:pt idx="306">
                  <c:v>275.8</c:v>
                </c:pt>
                <c:pt idx="307">
                  <c:v>234.11581828988642</c:v>
                </c:pt>
                <c:pt idx="308">
                  <c:v>274.84728475140628</c:v>
                </c:pt>
                <c:pt idx="309">
                  <c:v>179.49560032260422</c:v>
                </c:pt>
                <c:pt idx="310">
                  <c:v>212.74254265148761</c:v>
                </c:pt>
                <c:pt idx="311">
                  <c:v>245.23171991304602</c:v>
                </c:pt>
                <c:pt idx="312">
                  <c:v>275.8</c:v>
                </c:pt>
                <c:pt idx="313">
                  <c:v>212.94749158826474</c:v>
                </c:pt>
                <c:pt idx="314">
                  <c:v>179.49560032260422</c:v>
                </c:pt>
                <c:pt idx="315">
                  <c:v>212.74254265148761</c:v>
                </c:pt>
                <c:pt idx="316">
                  <c:v>245.23171991304602</c:v>
                </c:pt>
                <c:pt idx="317">
                  <c:v>275.8</c:v>
                </c:pt>
                <c:pt idx="318">
                  <c:v>213.42811414487335</c:v>
                </c:pt>
                <c:pt idx="319">
                  <c:v>246.02198910110286</c:v>
                </c:pt>
                <c:pt idx="320">
                  <c:v>275.8</c:v>
                </c:pt>
                <c:pt idx="321">
                  <c:v>170.80329915468195</c:v>
                </c:pt>
                <c:pt idx="322">
                  <c:v>210.24200084790894</c:v>
                </c:pt>
                <c:pt idx="323">
                  <c:v>245.13572204860782</c:v>
                </c:pt>
                <c:pt idx="324">
                  <c:v>270.05980862053565</c:v>
                </c:pt>
                <c:pt idx="325">
                  <c:v>275.8</c:v>
                </c:pt>
                <c:pt idx="326">
                  <c:v>170.32772841920183</c:v>
                </c:pt>
                <c:pt idx="327">
                  <c:v>209.6566202172836</c:v>
                </c:pt>
                <c:pt idx="328">
                  <c:v>244.45318619476859</c:v>
                </c:pt>
                <c:pt idx="329">
                  <c:v>269.30787617868646</c:v>
                </c:pt>
                <c:pt idx="330">
                  <c:v>275.8</c:v>
                </c:pt>
                <c:pt idx="331">
                  <c:v>183.23030547751344</c:v>
                </c:pt>
                <c:pt idx="332">
                  <c:v>219.890332297519</c:v>
                </c:pt>
                <c:pt idx="333">
                  <c:v>248.170924415809</c:v>
                </c:pt>
                <c:pt idx="334">
                  <c:v>275.8</c:v>
                </c:pt>
                <c:pt idx="335">
                  <c:v>219.890332297519</c:v>
                </c:pt>
                <c:pt idx="336">
                  <c:v>248.170924415809</c:v>
                </c:pt>
                <c:pt idx="337">
                  <c:v>275.8</c:v>
                </c:pt>
                <c:pt idx="338">
                  <c:v>184.08648071345613</c:v>
                </c:pt>
                <c:pt idx="339">
                  <c:v>143.79287698695691</c:v>
                </c:pt>
                <c:pt idx="340">
                  <c:v>183.6429902945176</c:v>
                </c:pt>
              </c:numCache>
            </c:numRef>
          </c:xVal>
          <c:yVal>
            <c:numRef>
              <c:f>'Dataset com TS variável MC2020'!$AE$11:$AE$351</c:f>
              <c:numCache>
                <c:formatCode>0.00</c:formatCode>
                <c:ptCount val="341"/>
                <c:pt idx="0">
                  <c:v>0.87576346512365133</c:v>
                </c:pt>
                <c:pt idx="1">
                  <c:v>0.80065685814951726</c:v>
                </c:pt>
                <c:pt idx="2">
                  <c:v>0.79538000831228317</c:v>
                </c:pt>
                <c:pt idx="3">
                  <c:v>0.72478168298859258</c:v>
                </c:pt>
                <c:pt idx="4">
                  <c:v>0.68509860649566212</c:v>
                </c:pt>
                <c:pt idx="5">
                  <c:v>0.70197508082449889</c:v>
                </c:pt>
                <c:pt idx="6">
                  <c:v>1.0444193879588304</c:v>
                </c:pt>
                <c:pt idx="7">
                  <c:v>0.9265830624889515</c:v>
                </c:pt>
                <c:pt idx="8">
                  <c:v>0.82499342923953678</c:v>
                </c:pt>
                <c:pt idx="9">
                  <c:v>1.1579635641495678</c:v>
                </c:pt>
                <c:pt idx="10">
                  <c:v>1.1935870882099349</c:v>
                </c:pt>
                <c:pt idx="11">
                  <c:v>1.0053691087764007</c:v>
                </c:pt>
                <c:pt idx="12">
                  <c:v>1.0406192738180267</c:v>
                </c:pt>
                <c:pt idx="13">
                  <c:v>1.1947202547262603</c:v>
                </c:pt>
                <c:pt idx="14">
                  <c:v>1.0846630419349268</c:v>
                </c:pt>
                <c:pt idx="15">
                  <c:v>1.2737803911253753</c:v>
                </c:pt>
                <c:pt idx="16">
                  <c:v>1.2933374455573936</c:v>
                </c:pt>
                <c:pt idx="17">
                  <c:v>1.1269045030928413</c:v>
                </c:pt>
                <c:pt idx="18">
                  <c:v>1.2805732989691379</c:v>
                </c:pt>
                <c:pt idx="19">
                  <c:v>1.5071824215283618</c:v>
                </c:pt>
                <c:pt idx="20">
                  <c:v>1.6174357754217175</c:v>
                </c:pt>
                <c:pt idx="21">
                  <c:v>1.5359470115952065</c:v>
                </c:pt>
                <c:pt idx="22">
                  <c:v>1.4169656949720477</c:v>
                </c:pt>
                <c:pt idx="23">
                  <c:v>1.6192185507959478</c:v>
                </c:pt>
                <c:pt idx="24">
                  <c:v>1.5499318992592137</c:v>
                </c:pt>
                <c:pt idx="25">
                  <c:v>3.0758975458031999</c:v>
                </c:pt>
                <c:pt idx="26">
                  <c:v>2.0512878786320523</c:v>
                </c:pt>
                <c:pt idx="27">
                  <c:v>2.0917367632116504</c:v>
                </c:pt>
                <c:pt idx="28">
                  <c:v>2.6091294795603535</c:v>
                </c:pt>
                <c:pt idx="29">
                  <c:v>2.5702179758183266</c:v>
                </c:pt>
                <c:pt idx="30">
                  <c:v>1.7237979178313492</c:v>
                </c:pt>
                <c:pt idx="31">
                  <c:v>1.4164767062555279</c:v>
                </c:pt>
                <c:pt idx="32">
                  <c:v>1.3051208913342134</c:v>
                </c:pt>
                <c:pt idx="33">
                  <c:v>1.6547068443701631</c:v>
                </c:pt>
                <c:pt idx="34">
                  <c:v>1.8411526859893363</c:v>
                </c:pt>
                <c:pt idx="35">
                  <c:v>3.3027724553252407</c:v>
                </c:pt>
                <c:pt idx="36">
                  <c:v>1.7995612339251199</c:v>
                </c:pt>
                <c:pt idx="37">
                  <c:v>1.6567696219280088</c:v>
                </c:pt>
                <c:pt idx="38">
                  <c:v>1.5896751701026608</c:v>
                </c:pt>
                <c:pt idx="39">
                  <c:v>1.608199851692085</c:v>
                </c:pt>
                <c:pt idx="40">
                  <c:v>1.8463957583281094</c:v>
                </c:pt>
                <c:pt idx="41">
                  <c:v>1.8861193977568296</c:v>
                </c:pt>
                <c:pt idx="42">
                  <c:v>1.9865186526951437</c:v>
                </c:pt>
                <c:pt idx="43">
                  <c:v>1.8927689339020637</c:v>
                </c:pt>
                <c:pt idx="44">
                  <c:v>1.7919391293710785</c:v>
                </c:pt>
                <c:pt idx="45">
                  <c:v>1.7879754369473388</c:v>
                </c:pt>
                <c:pt idx="46">
                  <c:v>1.5268585600888622</c:v>
                </c:pt>
                <c:pt idx="47">
                  <c:v>1.7931495163282709</c:v>
                </c:pt>
                <c:pt idx="48">
                  <c:v>1.9297806008611618</c:v>
                </c:pt>
                <c:pt idx="49">
                  <c:v>1.8846227578634114</c:v>
                </c:pt>
                <c:pt idx="50">
                  <c:v>1.4378204396934604</c:v>
                </c:pt>
                <c:pt idx="51">
                  <c:v>1.4076920168066644</c:v>
                </c:pt>
                <c:pt idx="52">
                  <c:v>1.2415994126177534</c:v>
                </c:pt>
                <c:pt idx="53">
                  <c:v>1.4949786693285134</c:v>
                </c:pt>
                <c:pt idx="54">
                  <c:v>1.3246618714759686</c:v>
                </c:pt>
                <c:pt idx="55">
                  <c:v>2.2171418082459882</c:v>
                </c:pt>
                <c:pt idx="56">
                  <c:v>2.12190520807918</c:v>
                </c:pt>
                <c:pt idx="57">
                  <c:v>1.8545266200663562</c:v>
                </c:pt>
                <c:pt idx="58">
                  <c:v>1.5775838061764149</c:v>
                </c:pt>
                <c:pt idx="59">
                  <c:v>1.4943750660798305</c:v>
                </c:pt>
                <c:pt idx="60">
                  <c:v>1.5187645142631474</c:v>
                </c:pt>
                <c:pt idx="61">
                  <c:v>1.7253590680425306</c:v>
                </c:pt>
                <c:pt idx="62">
                  <c:v>1.8519462072505741</c:v>
                </c:pt>
                <c:pt idx="63">
                  <c:v>1.7078572183769491</c:v>
                </c:pt>
                <c:pt idx="64">
                  <c:v>1.6427452909376903</c:v>
                </c:pt>
                <c:pt idx="65">
                  <c:v>1.8541172074486894</c:v>
                </c:pt>
                <c:pt idx="66">
                  <c:v>2.3402067160627742</c:v>
                </c:pt>
                <c:pt idx="67">
                  <c:v>1.5430965351052752</c:v>
                </c:pt>
                <c:pt idx="68">
                  <c:v>2.0996853970884786</c:v>
                </c:pt>
                <c:pt idx="69">
                  <c:v>1.6879338087338536</c:v>
                </c:pt>
                <c:pt idx="70">
                  <c:v>2.1804425277457278</c:v>
                </c:pt>
                <c:pt idx="71">
                  <c:v>1.6598015785882894</c:v>
                </c:pt>
                <c:pt idx="72">
                  <c:v>1.190458435748216</c:v>
                </c:pt>
                <c:pt idx="73">
                  <c:v>1.1054307733999653</c:v>
                </c:pt>
                <c:pt idx="74">
                  <c:v>1.1575375187584243</c:v>
                </c:pt>
                <c:pt idx="75">
                  <c:v>1.1110323465628984</c:v>
                </c:pt>
                <c:pt idx="76">
                  <c:v>1.0737688800214191</c:v>
                </c:pt>
                <c:pt idx="77">
                  <c:v>1.4085783020383331</c:v>
                </c:pt>
                <c:pt idx="78">
                  <c:v>1.3628233943355887</c:v>
                </c:pt>
                <c:pt idx="79">
                  <c:v>1.9543881686040319</c:v>
                </c:pt>
                <c:pt idx="80">
                  <c:v>1.6123471016810678</c:v>
                </c:pt>
                <c:pt idx="81">
                  <c:v>1.459128268933074</c:v>
                </c:pt>
                <c:pt idx="82">
                  <c:v>1.2811912649635404</c:v>
                </c:pt>
                <c:pt idx="83">
                  <c:v>1.0535899849881101</c:v>
                </c:pt>
                <c:pt idx="84">
                  <c:v>0.95831202649765823</c:v>
                </c:pt>
                <c:pt idx="85">
                  <c:v>0.915794510635901</c:v>
                </c:pt>
                <c:pt idx="86">
                  <c:v>0.8098690293669859</c:v>
                </c:pt>
                <c:pt idx="87">
                  <c:v>1.2092603262608006</c:v>
                </c:pt>
                <c:pt idx="88">
                  <c:v>1.0505723536318132</c:v>
                </c:pt>
                <c:pt idx="89">
                  <c:v>0.91513661783110045</c:v>
                </c:pt>
                <c:pt idx="90">
                  <c:v>0.94070534373938397</c:v>
                </c:pt>
                <c:pt idx="91">
                  <c:v>0.95831202649765823</c:v>
                </c:pt>
                <c:pt idx="92">
                  <c:v>0.915794510635901</c:v>
                </c:pt>
                <c:pt idx="93">
                  <c:v>0.93257645805895351</c:v>
                </c:pt>
                <c:pt idx="94">
                  <c:v>1.1785731625628784</c:v>
                </c:pt>
                <c:pt idx="95">
                  <c:v>1.1152829412703247</c:v>
                </c:pt>
                <c:pt idx="96">
                  <c:v>1.0232425578216493</c:v>
                </c:pt>
                <c:pt idx="97">
                  <c:v>1.0020907414238347</c:v>
                </c:pt>
                <c:pt idx="98">
                  <c:v>0.94825697332251935</c:v>
                </c:pt>
                <c:pt idx="99">
                  <c:v>1.0075123563674071</c:v>
                </c:pt>
                <c:pt idx="100">
                  <c:v>0.90424708902998863</c:v>
                </c:pt>
                <c:pt idx="101">
                  <c:v>1.6102876745438079</c:v>
                </c:pt>
                <c:pt idx="102">
                  <c:v>1.4142877950754542</c:v>
                </c:pt>
                <c:pt idx="103">
                  <c:v>1.1152829412703247</c:v>
                </c:pt>
                <c:pt idx="104">
                  <c:v>1.2790531972770616</c:v>
                </c:pt>
                <c:pt idx="105">
                  <c:v>1.2199365547768422</c:v>
                </c:pt>
                <c:pt idx="106">
                  <c:v>1.2516992047857256</c:v>
                </c:pt>
                <c:pt idx="107">
                  <c:v>1.2761823180653824</c:v>
                </c:pt>
                <c:pt idx="108">
                  <c:v>1.2960874942763172</c:v>
                </c:pt>
                <c:pt idx="109">
                  <c:v>0.99041162899657298</c:v>
                </c:pt>
                <c:pt idx="110">
                  <c:v>1.0614657988854808</c:v>
                </c:pt>
                <c:pt idx="111">
                  <c:v>0.95865147505976167</c:v>
                </c:pt>
                <c:pt idx="112">
                  <c:v>0.97110626937582856</c:v>
                </c:pt>
                <c:pt idx="113">
                  <c:v>0.89230895894512263</c:v>
                </c:pt>
                <c:pt idx="114">
                  <c:v>0.88455483240456734</c:v>
                </c:pt>
                <c:pt idx="115">
                  <c:v>0.95865147505976167</c:v>
                </c:pt>
                <c:pt idx="116">
                  <c:v>0.97110626937582856</c:v>
                </c:pt>
                <c:pt idx="117">
                  <c:v>0.89230895894512263</c:v>
                </c:pt>
                <c:pt idx="118">
                  <c:v>5.5023634503490264</c:v>
                </c:pt>
                <c:pt idx="119">
                  <c:v>1.8663665161096343</c:v>
                </c:pt>
                <c:pt idx="120">
                  <c:v>1.4251645886649484</c:v>
                </c:pt>
                <c:pt idx="121">
                  <c:v>1.7170571948208637</c:v>
                </c:pt>
                <c:pt idx="122">
                  <c:v>1.2092305600793505</c:v>
                </c:pt>
                <c:pt idx="123">
                  <c:v>2.1054808912169798</c:v>
                </c:pt>
                <c:pt idx="124">
                  <c:v>1.5086619533175454</c:v>
                </c:pt>
                <c:pt idx="125">
                  <c:v>1.1393944892346493</c:v>
                </c:pt>
                <c:pt idx="126">
                  <c:v>2.1054808912169798</c:v>
                </c:pt>
                <c:pt idx="127">
                  <c:v>1.5086619533175454</c:v>
                </c:pt>
                <c:pt idx="128">
                  <c:v>1.1393944892346493</c:v>
                </c:pt>
                <c:pt idx="129">
                  <c:v>1.2809815710465355</c:v>
                </c:pt>
                <c:pt idx="130">
                  <c:v>0.89699406081214694</c:v>
                </c:pt>
                <c:pt idx="131">
                  <c:v>0.8281471704120007</c:v>
                </c:pt>
                <c:pt idx="132">
                  <c:v>1.5371778852558429</c:v>
                </c:pt>
                <c:pt idx="133">
                  <c:v>1.1959920810828626</c:v>
                </c:pt>
                <c:pt idx="134">
                  <c:v>1.058188051082001</c:v>
                </c:pt>
                <c:pt idx="135">
                  <c:v>0.99032329713764822</c:v>
                </c:pt>
                <c:pt idx="136">
                  <c:v>0.91067440891131224</c:v>
                </c:pt>
                <c:pt idx="137">
                  <c:v>0.8383623400753959</c:v>
                </c:pt>
                <c:pt idx="138">
                  <c:v>0.80101176064987867</c:v>
                </c:pt>
                <c:pt idx="139">
                  <c:v>0.76055925458268403</c:v>
                </c:pt>
                <c:pt idx="140">
                  <c:v>0.73937241787911989</c:v>
                </c:pt>
                <c:pt idx="141">
                  <c:v>0.70893191363252428</c:v>
                </c:pt>
                <c:pt idx="142">
                  <c:v>1.243175172448773</c:v>
                </c:pt>
                <c:pt idx="143">
                  <c:v>1.0522185032087512</c:v>
                </c:pt>
                <c:pt idx="144">
                  <c:v>0.94970621980002068</c:v>
                </c:pt>
                <c:pt idx="145">
                  <c:v>0.85124094975787923</c:v>
                </c:pt>
                <c:pt idx="146">
                  <c:v>0.80101176064987867</c:v>
                </c:pt>
                <c:pt idx="147">
                  <c:v>0.76347002032356504</c:v>
                </c:pt>
                <c:pt idx="148">
                  <c:v>0.74703982207809561</c:v>
                </c:pt>
                <c:pt idx="149">
                  <c:v>0.76210813161351221</c:v>
                </c:pt>
                <c:pt idx="150">
                  <c:v>0.80890562035952773</c:v>
                </c:pt>
                <c:pt idx="151">
                  <c:v>0.75313471929867415</c:v>
                </c:pt>
                <c:pt idx="152">
                  <c:v>0.75193724914762516</c:v>
                </c:pt>
                <c:pt idx="153">
                  <c:v>0.724835786972435</c:v>
                </c:pt>
                <c:pt idx="154">
                  <c:v>0.7525369573861479</c:v>
                </c:pt>
                <c:pt idx="155">
                  <c:v>0.70916129461370392</c:v>
                </c:pt>
                <c:pt idx="156">
                  <c:v>1.0087298407847365</c:v>
                </c:pt>
                <c:pt idx="157">
                  <c:v>0.94764633977167989</c:v>
                </c:pt>
                <c:pt idx="158">
                  <c:v>0.90679634001584508</c:v>
                </c:pt>
                <c:pt idx="159">
                  <c:v>0.84987337300300281</c:v>
                </c:pt>
                <c:pt idx="160">
                  <c:v>0.77790867927064722</c:v>
                </c:pt>
                <c:pt idx="161">
                  <c:v>0.7525369573861479</c:v>
                </c:pt>
                <c:pt idx="162">
                  <c:v>0.73218683302980203</c:v>
                </c:pt>
                <c:pt idx="163">
                  <c:v>0.71750110086369367</c:v>
                </c:pt>
                <c:pt idx="164">
                  <c:v>0.78442572795343057</c:v>
                </c:pt>
                <c:pt idx="165">
                  <c:v>0.80370763023112646</c:v>
                </c:pt>
                <c:pt idx="166">
                  <c:v>0.83078819800731751</c:v>
                </c:pt>
                <c:pt idx="167">
                  <c:v>0.84458712156143667</c:v>
                </c:pt>
                <c:pt idx="168">
                  <c:v>0.88225061092739598</c:v>
                </c:pt>
                <c:pt idx="169">
                  <c:v>0.92117360573824436</c:v>
                </c:pt>
                <c:pt idx="170">
                  <c:v>1.0017576083580639</c:v>
                </c:pt>
                <c:pt idx="171">
                  <c:v>0.77351305847026908</c:v>
                </c:pt>
                <c:pt idx="172">
                  <c:v>0.78618820507072684</c:v>
                </c:pt>
                <c:pt idx="173">
                  <c:v>0.80133495484000994</c:v>
                </c:pt>
                <c:pt idx="174">
                  <c:v>0.84886183775776924</c:v>
                </c:pt>
                <c:pt idx="175">
                  <c:v>0.81690395989970244</c:v>
                </c:pt>
                <c:pt idx="176">
                  <c:v>0.78772375975660347</c:v>
                </c:pt>
                <c:pt idx="177">
                  <c:v>0.79707700369994494</c:v>
                </c:pt>
                <c:pt idx="178">
                  <c:v>0.81029409010842979</c:v>
                </c:pt>
                <c:pt idx="179">
                  <c:v>0.64889208541649479</c:v>
                </c:pt>
                <c:pt idx="180">
                  <c:v>0.63358616700922399</c:v>
                </c:pt>
                <c:pt idx="181">
                  <c:v>0.63662724556021466</c:v>
                </c:pt>
                <c:pt idx="182">
                  <c:v>0.59915422295931797</c:v>
                </c:pt>
                <c:pt idx="183">
                  <c:v>0.59867005741501866</c:v>
                </c:pt>
                <c:pt idx="184">
                  <c:v>0.59560961226556242</c:v>
                </c:pt>
                <c:pt idx="185">
                  <c:v>0.61093261320172676</c:v>
                </c:pt>
                <c:pt idx="186">
                  <c:v>0.72384630061170729</c:v>
                </c:pt>
                <c:pt idx="187">
                  <c:v>0.7359707140792241</c:v>
                </c:pt>
                <c:pt idx="188">
                  <c:v>0.71365053590811112</c:v>
                </c:pt>
                <c:pt idx="189">
                  <c:v>0.63336551303524391</c:v>
                </c:pt>
                <c:pt idx="190">
                  <c:v>0.62716193307005974</c:v>
                </c:pt>
                <c:pt idx="191">
                  <c:v>0.6533362704326483</c:v>
                </c:pt>
                <c:pt idx="192">
                  <c:v>1.7707628723531621</c:v>
                </c:pt>
                <c:pt idx="193">
                  <c:v>1.4632844021528162</c:v>
                </c:pt>
                <c:pt idx="194">
                  <c:v>1.3170926207737486</c:v>
                </c:pt>
                <c:pt idx="195">
                  <c:v>1.223639726609244</c:v>
                </c:pt>
                <c:pt idx="196">
                  <c:v>1.0893636721562041</c:v>
                </c:pt>
                <c:pt idx="197">
                  <c:v>1.1201138194407145</c:v>
                </c:pt>
                <c:pt idx="198">
                  <c:v>1.0965405094398213</c:v>
                </c:pt>
                <c:pt idx="199">
                  <c:v>0.98043958838242873</c:v>
                </c:pt>
                <c:pt idx="200">
                  <c:v>1.2789678047591169</c:v>
                </c:pt>
                <c:pt idx="201">
                  <c:v>1.321581829853157</c:v>
                </c:pt>
                <c:pt idx="202">
                  <c:v>1.3453124837517607</c:v>
                </c:pt>
                <c:pt idx="203">
                  <c:v>0.92269516734774437</c:v>
                </c:pt>
                <c:pt idx="204">
                  <c:v>0.76760847713763991</c:v>
                </c:pt>
                <c:pt idx="205">
                  <c:v>0.73703104106821993</c:v>
                </c:pt>
                <c:pt idx="206">
                  <c:v>0.64521373288517436</c:v>
                </c:pt>
                <c:pt idx="207">
                  <c:v>0.61134243770349272</c:v>
                </c:pt>
                <c:pt idx="208">
                  <c:v>0.61912305045445903</c:v>
                </c:pt>
                <c:pt idx="209">
                  <c:v>0.84197652128301048</c:v>
                </c:pt>
                <c:pt idx="210">
                  <c:v>0.80307941278852857</c:v>
                </c:pt>
                <c:pt idx="211">
                  <c:v>0.74684645255763737</c:v>
                </c:pt>
                <c:pt idx="212">
                  <c:v>0.76411604064022653</c:v>
                </c:pt>
                <c:pt idx="213">
                  <c:v>0.72339136506451251</c:v>
                </c:pt>
                <c:pt idx="214">
                  <c:v>0.56852402868195229</c:v>
                </c:pt>
                <c:pt idx="215">
                  <c:v>1.1968712540409765</c:v>
                </c:pt>
                <c:pt idx="216">
                  <c:v>1.0775888586899316</c:v>
                </c:pt>
                <c:pt idx="217">
                  <c:v>1.0518182174107573</c:v>
                </c:pt>
                <c:pt idx="218">
                  <c:v>1.0080006011425275</c:v>
                </c:pt>
                <c:pt idx="219">
                  <c:v>0.97391974349277499</c:v>
                </c:pt>
                <c:pt idx="220">
                  <c:v>1.0261051294744992</c:v>
                </c:pt>
                <c:pt idx="221">
                  <c:v>1.004700821290039</c:v>
                </c:pt>
                <c:pt idx="222">
                  <c:v>1.1148464523910273</c:v>
                </c:pt>
                <c:pt idx="223">
                  <c:v>0.50795838310944652</c:v>
                </c:pt>
                <c:pt idx="224">
                  <c:v>0.51170604177911327</c:v>
                </c:pt>
                <c:pt idx="225">
                  <c:v>0.54720531208039791</c:v>
                </c:pt>
                <c:pt idx="226">
                  <c:v>0.84443006744860927</c:v>
                </c:pt>
                <c:pt idx="227">
                  <c:v>0.80621337239239355</c:v>
                </c:pt>
                <c:pt idx="228">
                  <c:v>0.82191459781763565</c:v>
                </c:pt>
                <c:pt idx="229">
                  <c:v>0.83482703731005403</c:v>
                </c:pt>
                <c:pt idx="230">
                  <c:v>0.91211350895735877</c:v>
                </c:pt>
                <c:pt idx="231">
                  <c:v>0.91812812101138963</c:v>
                </c:pt>
                <c:pt idx="232">
                  <c:v>0.90765653608876384</c:v>
                </c:pt>
                <c:pt idx="233">
                  <c:v>1.0568533922545473</c:v>
                </c:pt>
                <c:pt idx="234">
                  <c:v>0.82975387855827076</c:v>
                </c:pt>
                <c:pt idx="235">
                  <c:v>0.8863544358135611</c:v>
                </c:pt>
                <c:pt idx="236">
                  <c:v>0.7870368092171911</c:v>
                </c:pt>
                <c:pt idx="237">
                  <c:v>0.77852650202221008</c:v>
                </c:pt>
                <c:pt idx="238">
                  <c:v>0.70790828159591901</c:v>
                </c:pt>
                <c:pt idx="239">
                  <c:v>0.65447874307599652</c:v>
                </c:pt>
                <c:pt idx="240">
                  <c:v>0.65912406967704351</c:v>
                </c:pt>
                <c:pt idx="241">
                  <c:v>2.6524228636022156</c:v>
                </c:pt>
                <c:pt idx="242">
                  <c:v>2.0942796986710914</c:v>
                </c:pt>
                <c:pt idx="243">
                  <c:v>2.0679681791219497</c:v>
                </c:pt>
                <c:pt idx="244">
                  <c:v>1.887833446581725</c:v>
                </c:pt>
                <c:pt idx="245">
                  <c:v>1.6371220031288456</c:v>
                </c:pt>
                <c:pt idx="246">
                  <c:v>1.5414849612739518</c:v>
                </c:pt>
                <c:pt idx="247">
                  <c:v>1.4902646027160797</c:v>
                </c:pt>
                <c:pt idx="248">
                  <c:v>0.62144048043128342</c:v>
                </c:pt>
                <c:pt idx="249">
                  <c:v>0.98473411908800035</c:v>
                </c:pt>
                <c:pt idx="250">
                  <c:v>0.61862704736224916</c:v>
                </c:pt>
                <c:pt idx="251">
                  <c:v>0.70338151363428603</c:v>
                </c:pt>
                <c:pt idx="252">
                  <c:v>0.61862704736224916</c:v>
                </c:pt>
                <c:pt idx="253">
                  <c:v>0.70338151363428603</c:v>
                </c:pt>
                <c:pt idx="254">
                  <c:v>0.61583897386393704</c:v>
                </c:pt>
                <c:pt idx="255">
                  <c:v>0.8440578163611433</c:v>
                </c:pt>
                <c:pt idx="256">
                  <c:v>0.59937547034877015</c:v>
                </c:pt>
                <c:pt idx="257">
                  <c:v>0.59766412448033768</c:v>
                </c:pt>
                <c:pt idx="258">
                  <c:v>0.59396223874397203</c:v>
                </c:pt>
                <c:pt idx="259">
                  <c:v>0.59766412448033768</c:v>
                </c:pt>
                <c:pt idx="260">
                  <c:v>0.72218235405150799</c:v>
                </c:pt>
                <c:pt idx="261">
                  <c:v>0.77361452269944164</c:v>
                </c:pt>
                <c:pt idx="262">
                  <c:v>0.85065792119647743</c:v>
                </c:pt>
                <c:pt idx="263">
                  <c:v>0.71713642092851748</c:v>
                </c:pt>
                <c:pt idx="264">
                  <c:v>0.77013168134791787</c:v>
                </c:pt>
                <c:pt idx="265">
                  <c:v>1.0520055383066194</c:v>
                </c:pt>
                <c:pt idx="266">
                  <c:v>0.89579268451171334</c:v>
                </c:pt>
                <c:pt idx="267">
                  <c:v>0.98366634352511328</c:v>
                </c:pt>
                <c:pt idx="268">
                  <c:v>0.90105129243942539</c:v>
                </c:pt>
                <c:pt idx="269">
                  <c:v>1.0596930234135735</c:v>
                </c:pt>
                <c:pt idx="270">
                  <c:v>1.1302132344939855</c:v>
                </c:pt>
                <c:pt idx="271">
                  <c:v>0.92752596491757644</c:v>
                </c:pt>
                <c:pt idx="272">
                  <c:v>0.64321256547397143</c:v>
                </c:pt>
                <c:pt idx="273">
                  <c:v>0.64656653297865929</c:v>
                </c:pt>
                <c:pt idx="274">
                  <c:v>0.54673068065287578</c:v>
                </c:pt>
                <c:pt idx="275">
                  <c:v>0.61717714511599286</c:v>
                </c:pt>
                <c:pt idx="276">
                  <c:v>0.99859159881663961</c:v>
                </c:pt>
                <c:pt idx="277">
                  <c:v>0.85184432872857341</c:v>
                </c:pt>
                <c:pt idx="278">
                  <c:v>0.79571586305364095</c:v>
                </c:pt>
                <c:pt idx="279">
                  <c:v>0.68396540817355767</c:v>
                </c:pt>
                <c:pt idx="280">
                  <c:v>0.75431716540853277</c:v>
                </c:pt>
                <c:pt idx="281">
                  <c:v>0.75873739544496466</c:v>
                </c:pt>
                <c:pt idx="282">
                  <c:v>0.71614427674827674</c:v>
                </c:pt>
                <c:pt idx="283">
                  <c:v>0.6543620731384735</c:v>
                </c:pt>
                <c:pt idx="284">
                  <c:v>0.63362641894316751</c:v>
                </c:pt>
                <c:pt idx="285">
                  <c:v>0.73063601042848447</c:v>
                </c:pt>
                <c:pt idx="286">
                  <c:v>1.1397802165954083</c:v>
                </c:pt>
                <c:pt idx="287">
                  <c:v>1.1991776295551686</c:v>
                </c:pt>
                <c:pt idx="288">
                  <c:v>1.2054651980295445</c:v>
                </c:pt>
                <c:pt idx="289">
                  <c:v>0.71066700383922232</c:v>
                </c:pt>
                <c:pt idx="290">
                  <c:v>0.72346558878291078</c:v>
                </c:pt>
                <c:pt idx="291">
                  <c:v>0.79680620878777553</c:v>
                </c:pt>
                <c:pt idx="292">
                  <c:v>1.4497662402062976</c:v>
                </c:pt>
                <c:pt idx="293">
                  <c:v>0.86248854017119014</c:v>
                </c:pt>
                <c:pt idx="294">
                  <c:v>0.90555995213268436</c:v>
                </c:pt>
                <c:pt idx="295">
                  <c:v>0.88667036204557415</c:v>
                </c:pt>
                <c:pt idx="296">
                  <c:v>1.0192223688733622</c:v>
                </c:pt>
                <c:pt idx="297">
                  <c:v>0.71889071689453721</c:v>
                </c:pt>
                <c:pt idx="298">
                  <c:v>0.78542747699012871</c:v>
                </c:pt>
                <c:pt idx="299">
                  <c:v>0.91676419338721438</c:v>
                </c:pt>
                <c:pt idx="300">
                  <c:v>0.90350830045738884</c:v>
                </c:pt>
                <c:pt idx="301">
                  <c:v>0.9274371444437407</c:v>
                </c:pt>
                <c:pt idx="302">
                  <c:v>0.97925764578937968</c:v>
                </c:pt>
                <c:pt idx="303">
                  <c:v>1.2094602502177261</c:v>
                </c:pt>
                <c:pt idx="304">
                  <c:v>1.2436954519102386</c:v>
                </c:pt>
                <c:pt idx="305">
                  <c:v>1.2549531160627718</c:v>
                </c:pt>
                <c:pt idx="306">
                  <c:v>1.3622328687567533</c:v>
                </c:pt>
                <c:pt idx="307">
                  <c:v>1.2165360790016115</c:v>
                </c:pt>
                <c:pt idx="308">
                  <c:v>1.1998881404438673</c:v>
                </c:pt>
                <c:pt idx="309">
                  <c:v>1.0740675672846056</c:v>
                </c:pt>
                <c:pt idx="310">
                  <c:v>1.0297641368792378</c:v>
                </c:pt>
                <c:pt idx="311">
                  <c:v>1.0900729778073144</c:v>
                </c:pt>
                <c:pt idx="312">
                  <c:v>1.105229166773775</c:v>
                </c:pt>
                <c:pt idx="313">
                  <c:v>0.86852600027685956</c:v>
                </c:pt>
                <c:pt idx="314">
                  <c:v>0.94770667701582834</c:v>
                </c:pt>
                <c:pt idx="315">
                  <c:v>0.82381130950339021</c:v>
                </c:pt>
                <c:pt idx="316">
                  <c:v>0.95926422047043658</c:v>
                </c:pt>
                <c:pt idx="317">
                  <c:v>0.99089511503855698</c:v>
                </c:pt>
                <c:pt idx="318">
                  <c:v>0.85362490369529431</c:v>
                </c:pt>
                <c:pt idx="319">
                  <c:v>0.85286924922097251</c:v>
                </c:pt>
                <c:pt idx="320">
                  <c:v>0.89954943656484798</c:v>
                </c:pt>
                <c:pt idx="321">
                  <c:v>0.82530909390997875</c:v>
                </c:pt>
                <c:pt idx="322">
                  <c:v>0.84361048976209352</c:v>
                </c:pt>
                <c:pt idx="323">
                  <c:v>0.81420806843430116</c:v>
                </c:pt>
                <c:pt idx="324">
                  <c:v>0.82946680269918804</c:v>
                </c:pt>
                <c:pt idx="325">
                  <c:v>0.91280043303515768</c:v>
                </c:pt>
                <c:pt idx="326">
                  <c:v>0.97029091147386226</c:v>
                </c:pt>
                <c:pt idx="327">
                  <c:v>0.91559841998913294</c:v>
                </c:pt>
                <c:pt idx="328">
                  <c:v>0.90402238413564895</c:v>
                </c:pt>
                <c:pt idx="329">
                  <c:v>0.99257774249736519</c:v>
                </c:pt>
                <c:pt idx="330">
                  <c:v>1.1240847313884368</c:v>
                </c:pt>
                <c:pt idx="331">
                  <c:v>1.214014942819625</c:v>
                </c:pt>
                <c:pt idx="332">
                  <c:v>1.1968617780204274</c:v>
                </c:pt>
                <c:pt idx="333">
                  <c:v>1.2781972810106219</c:v>
                </c:pt>
                <c:pt idx="334">
                  <c:v>1.3444008772806988</c:v>
                </c:pt>
                <c:pt idx="335">
                  <c:v>0.87044492946940177</c:v>
                </c:pt>
                <c:pt idx="336">
                  <c:v>0.8994721607111783</c:v>
                </c:pt>
                <c:pt idx="337">
                  <c:v>0.92427560313048041</c:v>
                </c:pt>
                <c:pt idx="338">
                  <c:v>1.1601385752334499</c:v>
                </c:pt>
                <c:pt idx="339">
                  <c:v>1.7473416784004865</c:v>
                </c:pt>
                <c:pt idx="340">
                  <c:v>1.7315407415249819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0E9-4DDF-A331-D0EF1A83F6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3412480"/>
        <c:axId val="1213412960"/>
      </c:scatterChart>
      <c:valAx>
        <c:axId val="1213412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Tensão sem TS MC2020</a:t>
                </a:r>
              </a:p>
            </c:rich>
          </c:tx>
          <c:layout>
            <c:manualLayout>
              <c:xMode val="edge"/>
              <c:yMode val="edge"/>
              <c:x val="0.39742016622922133"/>
              <c:y val="0.8740507436570428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13412960"/>
        <c:crosses val="autoZero"/>
        <c:crossBetween val="midCat"/>
        <c:majorUnit val="100"/>
        <c:minorUnit val="50"/>
      </c:valAx>
      <c:valAx>
        <c:axId val="1213412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Erro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13412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32</xdr:col>
      <xdr:colOff>138430</xdr:colOff>
      <xdr:row>9</xdr:row>
      <xdr:rowOff>104775</xdr:rowOff>
    </xdr:from>
    <xdr:to>
      <xdr:col>40</xdr:col>
      <xdr:colOff>158750</xdr:colOff>
      <xdr:row>24</xdr:row>
      <xdr:rowOff>53975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CF66A46-F136-D90E-50F6-CB6247E00B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44</xdr:col>
      <xdr:colOff>0</xdr:colOff>
      <xdr:row>10</xdr:row>
      <xdr:rowOff>0</xdr:rowOff>
    </xdr:from>
    <xdr:to>
      <xdr:col>53</xdr:col>
      <xdr:colOff>234950</xdr:colOff>
      <xdr:row>24</xdr:row>
      <xdr:rowOff>165100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FCA924A-8AC5-463F-A6AF-307B97C1F3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32</xdr:col>
      <xdr:colOff>0</xdr:colOff>
      <xdr:row>29</xdr:row>
      <xdr:rowOff>0</xdr:rowOff>
    </xdr:from>
    <xdr:to>
      <xdr:col>40</xdr:col>
      <xdr:colOff>20320</xdr:colOff>
      <xdr:row>43</xdr:row>
      <xdr:rowOff>165100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FCEFB184-0EE5-4BAA-BDE9-08C00CE688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33FC7-2BBF-431E-B309-8EC1C92844D4}">
  <dimension ref="A1:W355"/>
  <sheetViews>
    <sheetView topLeftCell="E1" zoomScale="120" zoomScaleNormal="120" workbookViewId="0">
      <selection activeCell="D4" sqref="D4"/>
    </sheetView>
  </sheetViews>
  <sheetFormatPr defaultRowHeight="14.4" x14ac:dyDescent="0.3"/>
  <cols>
    <col min="1" max="1" width="32.88671875" style="1" customWidth="1"/>
    <col min="2" max="2" width="24.77734375" style="4" bestFit="1" customWidth="1"/>
    <col min="3" max="3" width="24.77734375" style="5" customWidth="1"/>
    <col min="4" max="4" width="29.6640625" style="5" bestFit="1" customWidth="1"/>
    <col min="5" max="5" width="29.33203125" style="4" bestFit="1" customWidth="1"/>
    <col min="6" max="6" width="36.77734375" style="3" bestFit="1" customWidth="1"/>
    <col min="7" max="7" width="16.44140625" style="4" bestFit="1" customWidth="1"/>
    <col min="8" max="8" width="44.5546875" style="4" bestFit="1" customWidth="1"/>
    <col min="9" max="9" width="16.33203125" style="2" bestFit="1" customWidth="1"/>
    <col min="10" max="10" width="42.88671875" style="3" bestFit="1" customWidth="1"/>
    <col min="11" max="11" width="9.6640625" style="3" bestFit="1" customWidth="1"/>
    <col min="12" max="12" width="50.77734375" style="6" customWidth="1"/>
    <col min="16" max="17" width="8.88671875" style="1"/>
    <col min="22" max="22" width="13.88671875" customWidth="1"/>
  </cols>
  <sheetData>
    <row r="1" spans="1:23" x14ac:dyDescent="0.3">
      <c r="P1" s="14" t="s">
        <v>121</v>
      </c>
      <c r="S1" s="15" t="s">
        <v>122</v>
      </c>
    </row>
    <row r="2" spans="1:23" x14ac:dyDescent="0.3">
      <c r="P2" s="1" t="s">
        <v>109</v>
      </c>
      <c r="Q2" s="1">
        <v>1.728</v>
      </c>
      <c r="S2" s="1" t="s">
        <v>109</v>
      </c>
      <c r="T2" s="1">
        <v>0.39200000000000002</v>
      </c>
      <c r="V2" s="1"/>
      <c r="W2" s="3"/>
    </row>
    <row r="3" spans="1:23" x14ac:dyDescent="0.3">
      <c r="P3" s="1" t="s">
        <v>110</v>
      </c>
      <c r="Q3" s="1">
        <v>1.0999999999999999E-2</v>
      </c>
      <c r="S3" s="1" t="s">
        <v>110</v>
      </c>
      <c r="T3" s="1">
        <v>1.1479999999999999</v>
      </c>
      <c r="V3" s="1"/>
      <c r="W3" s="3"/>
    </row>
    <row r="4" spans="1:23" x14ac:dyDescent="0.3">
      <c r="P4" s="1" t="s">
        <v>111</v>
      </c>
      <c r="Q4" s="1">
        <v>0.33900000000000002</v>
      </c>
      <c r="S4" s="1" t="s">
        <v>111</v>
      </c>
      <c r="T4" s="1">
        <v>0.85399999999999998</v>
      </c>
      <c r="V4" s="1"/>
      <c r="W4" s="3"/>
    </row>
    <row r="5" spans="1:23" x14ac:dyDescent="0.3">
      <c r="P5" s="1" t="s">
        <v>112</v>
      </c>
      <c r="Q5" s="1">
        <v>1.1020000000000001</v>
      </c>
      <c r="S5" s="1" t="s">
        <v>112</v>
      </c>
      <c r="T5" s="1">
        <v>0.55500000000000005</v>
      </c>
      <c r="V5" s="1"/>
      <c r="W5" s="3"/>
    </row>
    <row r="6" spans="1:23" x14ac:dyDescent="0.3">
      <c r="P6" s="1" t="s">
        <v>113</v>
      </c>
      <c r="Q6" s="1">
        <v>-0.495</v>
      </c>
      <c r="S6" s="1" t="s">
        <v>113</v>
      </c>
      <c r="T6" s="1">
        <v>-0.68600000000000005</v>
      </c>
      <c r="V6" s="1"/>
      <c r="W6" s="3"/>
    </row>
    <row r="7" spans="1:23" x14ac:dyDescent="0.3">
      <c r="P7" s="1" t="s">
        <v>114</v>
      </c>
      <c r="Q7" s="1">
        <v>0.83799999999999997</v>
      </c>
      <c r="S7" s="1" t="s">
        <v>114</v>
      </c>
      <c r="T7" s="1">
        <v>1.952</v>
      </c>
      <c r="V7" s="1"/>
      <c r="W7" s="3"/>
    </row>
    <row r="8" spans="1:23" x14ac:dyDescent="0.3">
      <c r="S8" s="1"/>
      <c r="T8" s="1"/>
      <c r="V8" s="1"/>
      <c r="W8" s="3"/>
    </row>
    <row r="9" spans="1:23" x14ac:dyDescent="0.3">
      <c r="A9" s="1" t="s">
        <v>0</v>
      </c>
      <c r="B9" s="28" t="s">
        <v>1</v>
      </c>
      <c r="C9" s="28"/>
      <c r="D9" s="28"/>
      <c r="E9" s="28"/>
      <c r="F9" s="28"/>
      <c r="G9" s="28"/>
      <c r="H9" s="28"/>
      <c r="I9" s="28"/>
      <c r="J9" s="28"/>
      <c r="K9" s="3" t="s">
        <v>2</v>
      </c>
    </row>
    <row r="10" spans="1:23" ht="15.6" x14ac:dyDescent="0.3">
      <c r="B10" s="4" t="s">
        <v>95</v>
      </c>
      <c r="C10" s="5" t="s">
        <v>130</v>
      </c>
      <c r="D10" s="5" t="s">
        <v>3</v>
      </c>
      <c r="E10" s="4" t="s">
        <v>4</v>
      </c>
      <c r="F10" s="3" t="s">
        <v>90</v>
      </c>
      <c r="G10" s="4" t="s">
        <v>91</v>
      </c>
      <c r="H10" s="4" t="s">
        <v>92</v>
      </c>
      <c r="I10" s="2" t="s">
        <v>93</v>
      </c>
      <c r="J10" s="3" t="s">
        <v>89</v>
      </c>
      <c r="K10" s="3" t="s">
        <v>94</v>
      </c>
      <c r="L10" s="3" t="s">
        <v>108</v>
      </c>
    </row>
    <row r="11" spans="1:23" x14ac:dyDescent="0.3">
      <c r="A11" s="1" t="s">
        <v>5</v>
      </c>
      <c r="B11" s="4">
        <v>20</v>
      </c>
      <c r="C11" s="5">
        <v>500</v>
      </c>
      <c r="D11" s="5">
        <v>2</v>
      </c>
      <c r="E11" s="4">
        <v>126</v>
      </c>
      <c r="F11" s="3">
        <v>4.1203405239014401</v>
      </c>
      <c r="G11" s="4">
        <v>25</v>
      </c>
      <c r="H11" s="4">
        <v>39</v>
      </c>
      <c r="I11" s="2">
        <v>6.0723545689225174E-2</v>
      </c>
      <c r="J11" s="3">
        <v>185.31436247134698</v>
      </c>
      <c r="K11" s="3">
        <v>0.16</v>
      </c>
      <c r="L11" s="6">
        <f>J11/200000</f>
        <v>9.2657181235673489E-4</v>
      </c>
      <c r="P11" s="3">
        <f>$Q$2*($Q$3*$G11+$Q$4*$B11^$Q$5*$I11^$Q$6)*$L11^$Q$7</f>
        <v>0.18415873311258718</v>
      </c>
      <c r="Q11" s="3">
        <f>P11/$K11</f>
        <v>1.1509920819536699</v>
      </c>
      <c r="S11" s="3">
        <f>$T$2*$B11^$T$3*$L11^$T$4*($T$5*$I11^$T$6+$T$7)</f>
        <v>0.18022921031306474</v>
      </c>
      <c r="T11" s="3">
        <f>S11/$K11</f>
        <v>1.1264325644566546</v>
      </c>
      <c r="V11" s="3"/>
      <c r="W11" s="3"/>
    </row>
    <row r="12" spans="1:23" x14ac:dyDescent="0.3">
      <c r="B12" s="4">
        <v>20</v>
      </c>
      <c r="C12" s="5">
        <v>500</v>
      </c>
      <c r="D12" s="5">
        <v>2</v>
      </c>
      <c r="E12" s="4">
        <v>126</v>
      </c>
      <c r="F12" s="3">
        <v>4.1203405239014401</v>
      </c>
      <c r="G12" s="4">
        <v>25</v>
      </c>
      <c r="H12" s="4">
        <v>39</v>
      </c>
      <c r="I12" s="2">
        <v>6.0723545689225174E-2</v>
      </c>
      <c r="J12" s="3">
        <v>270.65736491061415</v>
      </c>
      <c r="K12" s="3">
        <v>0.23</v>
      </c>
      <c r="L12" s="6">
        <f t="shared" ref="L12:L75" si="0">J12/200000</f>
        <v>1.3532868245530708E-3</v>
      </c>
      <c r="P12" s="3">
        <f t="shared" ref="P12:P75" si="1">$Q$2*($Q$3*$G12+$Q$4*$B12^$Q$5*$I12^$Q$6)*$L12^$Q$7</f>
        <v>0.2529602858746991</v>
      </c>
      <c r="Q12" s="3">
        <f t="shared" ref="Q12:Q75" si="2">P12/$K12</f>
        <v>1.0998273298899961</v>
      </c>
      <c r="S12" s="3">
        <f t="shared" ref="S12:S75" si="3">$T$2*$B12^$T$3*$L12^$T$4*($T$5*$I12^$T$6+$T$7)</f>
        <v>0.24906768082481665</v>
      </c>
      <c r="T12" s="3">
        <f t="shared" ref="T12:T75" si="4">S12/$K12</f>
        <v>1.0829029601078983</v>
      </c>
      <c r="V12" s="3"/>
      <c r="W12" s="3"/>
    </row>
    <row r="13" spans="1:23" x14ac:dyDescent="0.3">
      <c r="B13" s="4">
        <v>20</v>
      </c>
      <c r="C13" s="5">
        <v>500</v>
      </c>
      <c r="D13" s="5">
        <v>2</v>
      </c>
      <c r="E13" s="4">
        <v>126</v>
      </c>
      <c r="F13" s="3">
        <v>4.1203405239014401</v>
      </c>
      <c r="G13" s="4">
        <v>25</v>
      </c>
      <c r="H13" s="4">
        <v>39</v>
      </c>
      <c r="I13" s="2">
        <v>6.0723545689225174E-2</v>
      </c>
      <c r="J13" s="3">
        <v>284.10290085354427</v>
      </c>
      <c r="K13" s="3">
        <v>0.24</v>
      </c>
      <c r="L13" s="6">
        <f t="shared" si="0"/>
        <v>1.4205145042677214E-3</v>
      </c>
      <c r="P13" s="3">
        <f t="shared" si="1"/>
        <v>0.26344934285702243</v>
      </c>
      <c r="Q13" s="3">
        <f t="shared" si="2"/>
        <v>1.0977055952375936</v>
      </c>
      <c r="S13" s="3">
        <f t="shared" si="3"/>
        <v>0.25959662755211199</v>
      </c>
      <c r="T13" s="3">
        <f t="shared" si="4"/>
        <v>1.0816526148004666</v>
      </c>
      <c r="V13" s="3"/>
      <c r="W13" s="3"/>
    </row>
    <row r="14" spans="1:23" x14ac:dyDescent="0.3">
      <c r="B14" s="4">
        <v>20</v>
      </c>
      <c r="C14" s="5">
        <v>500</v>
      </c>
      <c r="D14" s="5">
        <v>2</v>
      </c>
      <c r="E14" s="4">
        <v>126</v>
      </c>
      <c r="F14" s="3">
        <v>4.1203405239014401</v>
      </c>
      <c r="G14" s="4">
        <v>25</v>
      </c>
      <c r="H14" s="4">
        <v>39</v>
      </c>
      <c r="I14" s="2">
        <v>6.0723545689225174E-2</v>
      </c>
      <c r="J14" s="3">
        <v>347.37006118675515</v>
      </c>
      <c r="K14" s="3">
        <v>0.27</v>
      </c>
      <c r="L14" s="6">
        <f t="shared" si="0"/>
        <v>1.7368503059337758E-3</v>
      </c>
      <c r="P14" s="3">
        <f t="shared" si="1"/>
        <v>0.31179455630312175</v>
      </c>
      <c r="Q14" s="3">
        <f t="shared" si="2"/>
        <v>1.154794652974525</v>
      </c>
      <c r="S14" s="3">
        <f t="shared" si="3"/>
        <v>0.30822475959761947</v>
      </c>
      <c r="T14" s="3">
        <f t="shared" si="4"/>
        <v>1.1415731836948868</v>
      </c>
      <c r="V14" s="3"/>
      <c r="W14" s="3"/>
    </row>
    <row r="15" spans="1:23" x14ac:dyDescent="0.3">
      <c r="B15" s="4">
        <v>20</v>
      </c>
      <c r="C15" s="5">
        <v>500</v>
      </c>
      <c r="D15" s="5">
        <v>2</v>
      </c>
      <c r="E15" s="4">
        <v>126</v>
      </c>
      <c r="F15" s="3">
        <v>4.1203405239014401</v>
      </c>
      <c r="G15" s="4">
        <v>25</v>
      </c>
      <c r="H15" s="4">
        <v>39</v>
      </c>
      <c r="I15" s="2">
        <v>6.0723545689225174E-2</v>
      </c>
      <c r="J15" s="3">
        <v>454.40943327925783</v>
      </c>
      <c r="K15" s="3">
        <v>0.35</v>
      </c>
      <c r="L15" s="6">
        <f t="shared" si="0"/>
        <v>2.2720471663962892E-3</v>
      </c>
      <c r="P15" s="3">
        <f t="shared" si="1"/>
        <v>0.39050390341684788</v>
      </c>
      <c r="Q15" s="3">
        <f t="shared" si="2"/>
        <v>1.1157254383338511</v>
      </c>
      <c r="S15" s="3">
        <f t="shared" si="3"/>
        <v>0.38769558259780418</v>
      </c>
      <c r="T15" s="3">
        <f t="shared" si="4"/>
        <v>1.107701664565155</v>
      </c>
      <c r="V15" s="3"/>
      <c r="W15" s="3"/>
    </row>
    <row r="16" spans="1:23" x14ac:dyDescent="0.3">
      <c r="B16" s="4">
        <v>20</v>
      </c>
      <c r="C16" s="5">
        <v>500</v>
      </c>
      <c r="D16" s="5">
        <v>2</v>
      </c>
      <c r="E16" s="4">
        <v>126</v>
      </c>
      <c r="F16" s="3">
        <v>4.1203405239014401</v>
      </c>
      <c r="G16" s="4">
        <v>25</v>
      </c>
      <c r="H16" s="4">
        <v>39</v>
      </c>
      <c r="I16" s="2">
        <v>6.0723545689225174E-2</v>
      </c>
      <c r="J16" s="3">
        <v>500</v>
      </c>
      <c r="K16" s="3">
        <v>0.4</v>
      </c>
      <c r="L16" s="6">
        <f t="shared" si="0"/>
        <v>2.5000000000000001E-3</v>
      </c>
      <c r="P16" s="3">
        <f t="shared" si="1"/>
        <v>0.42307890664698616</v>
      </c>
      <c r="Q16" s="3">
        <f t="shared" si="2"/>
        <v>1.0576972666174653</v>
      </c>
      <c r="S16" s="3">
        <f t="shared" si="3"/>
        <v>0.42067936462474698</v>
      </c>
      <c r="T16" s="3">
        <f t="shared" si="4"/>
        <v>1.0516984115618673</v>
      </c>
      <c r="V16" s="3"/>
      <c r="W16" s="3"/>
    </row>
    <row r="17" spans="1:23" x14ac:dyDescent="0.3">
      <c r="A17" s="1" t="s">
        <v>6</v>
      </c>
      <c r="B17" s="4">
        <v>10</v>
      </c>
      <c r="C17" s="5">
        <v>500</v>
      </c>
      <c r="D17" s="5">
        <v>8</v>
      </c>
      <c r="E17" s="4">
        <v>87.7</v>
      </c>
      <c r="F17" s="3">
        <v>4.1311267633290143</v>
      </c>
      <c r="G17" s="4">
        <v>25</v>
      </c>
      <c r="H17" s="4">
        <v>53</v>
      </c>
      <c r="I17" s="2">
        <v>1.5388385199705954E-2</v>
      </c>
      <c r="J17" s="3">
        <v>230.46114979434526</v>
      </c>
      <c r="K17" s="3">
        <v>0.16</v>
      </c>
      <c r="L17" s="6">
        <f t="shared" si="0"/>
        <v>1.1523057489717264E-3</v>
      </c>
      <c r="P17" s="3">
        <f t="shared" si="1"/>
        <v>0.20332499867836548</v>
      </c>
      <c r="Q17" s="3">
        <f t="shared" si="2"/>
        <v>1.2707812417397841</v>
      </c>
      <c r="S17" s="3">
        <f t="shared" si="3"/>
        <v>0.19915305719149851</v>
      </c>
      <c r="T17" s="3">
        <f t="shared" si="4"/>
        <v>1.2447066074468656</v>
      </c>
      <c r="V17" s="3"/>
      <c r="W17" s="3"/>
    </row>
    <row r="18" spans="1:23" x14ac:dyDescent="0.3">
      <c r="B18" s="4">
        <v>10</v>
      </c>
      <c r="C18" s="5">
        <v>500</v>
      </c>
      <c r="D18" s="5">
        <v>8</v>
      </c>
      <c r="E18" s="4">
        <v>87.7</v>
      </c>
      <c r="F18" s="3">
        <v>4.1311267633290143</v>
      </c>
      <c r="G18" s="4">
        <v>25</v>
      </c>
      <c r="H18" s="4">
        <v>53</v>
      </c>
      <c r="I18" s="2">
        <v>1.5388385199705954E-2</v>
      </c>
      <c r="J18" s="3">
        <v>305.35368375030896</v>
      </c>
      <c r="K18" s="3">
        <v>0.18</v>
      </c>
      <c r="L18" s="6">
        <f t="shared" si="0"/>
        <v>1.5267684187515449E-3</v>
      </c>
      <c r="P18" s="3">
        <f t="shared" si="1"/>
        <v>0.25739430658055756</v>
      </c>
      <c r="Q18" s="3">
        <f t="shared" si="2"/>
        <v>1.4299683698919865</v>
      </c>
      <c r="S18" s="3">
        <f t="shared" si="3"/>
        <v>0.25325056493955672</v>
      </c>
      <c r="T18" s="3">
        <f t="shared" si="4"/>
        <v>1.4069475829975373</v>
      </c>
      <c r="V18" s="3"/>
      <c r="W18" s="3"/>
    </row>
    <row r="19" spans="1:23" x14ac:dyDescent="0.3">
      <c r="B19" s="4">
        <v>10</v>
      </c>
      <c r="C19" s="5">
        <v>500</v>
      </c>
      <c r="D19" s="5">
        <v>8</v>
      </c>
      <c r="E19" s="4">
        <v>87.7</v>
      </c>
      <c r="F19" s="3">
        <v>4.1311267633290143</v>
      </c>
      <c r="G19" s="4">
        <v>25</v>
      </c>
      <c r="H19" s="4">
        <v>53</v>
      </c>
      <c r="I19" s="2">
        <v>1.5388385199705954E-2</v>
      </c>
      <c r="J19" s="3">
        <v>497.51538321550908</v>
      </c>
      <c r="K19" s="3">
        <v>0.26</v>
      </c>
      <c r="L19" s="6">
        <f t="shared" si="0"/>
        <v>2.4875769160775454E-3</v>
      </c>
      <c r="P19" s="3">
        <f t="shared" si="1"/>
        <v>0.38748754154412368</v>
      </c>
      <c r="Q19" s="3">
        <f t="shared" si="2"/>
        <v>1.4903366982466295</v>
      </c>
      <c r="S19" s="3">
        <f t="shared" si="3"/>
        <v>0.38423885882679576</v>
      </c>
      <c r="T19" s="3">
        <f t="shared" si="4"/>
        <v>1.4778417647184452</v>
      </c>
      <c r="V19" s="3"/>
      <c r="W19" s="3"/>
    </row>
    <row r="20" spans="1:23" x14ac:dyDescent="0.3">
      <c r="A20" s="1" t="s">
        <v>7</v>
      </c>
      <c r="B20" s="4">
        <v>10</v>
      </c>
      <c r="C20" s="5">
        <v>628</v>
      </c>
      <c r="D20" s="5">
        <v>4</v>
      </c>
      <c r="E20" s="4">
        <v>32.466666666666669</v>
      </c>
      <c r="F20" s="3">
        <v>3.262</v>
      </c>
      <c r="G20" s="4">
        <v>25</v>
      </c>
      <c r="H20" s="4">
        <v>36</v>
      </c>
      <c r="I20" s="2">
        <v>1.7444444444444443E-2</v>
      </c>
      <c r="J20" s="3">
        <v>173.65030205004373</v>
      </c>
      <c r="K20" s="3">
        <v>0.16</v>
      </c>
      <c r="L20" s="6">
        <f t="shared" si="0"/>
        <v>8.6825151025021871E-4</v>
      </c>
      <c r="P20" s="3">
        <f t="shared" si="1"/>
        <v>0.15081563217757435</v>
      </c>
      <c r="Q20" s="3">
        <f t="shared" si="2"/>
        <v>0.94259770110983965</v>
      </c>
      <c r="S20" s="3">
        <f t="shared" si="3"/>
        <v>0.14565418606470035</v>
      </c>
      <c r="T20" s="3">
        <f t="shared" si="4"/>
        <v>0.91033866290437715</v>
      </c>
      <c r="V20" s="3"/>
      <c r="W20" s="3"/>
    </row>
    <row r="21" spans="1:23" x14ac:dyDescent="0.3">
      <c r="B21" s="4">
        <v>10</v>
      </c>
      <c r="C21" s="5">
        <v>628</v>
      </c>
      <c r="D21" s="5">
        <v>4</v>
      </c>
      <c r="E21" s="4">
        <v>32.466666666666669</v>
      </c>
      <c r="F21" s="3">
        <v>3.262</v>
      </c>
      <c r="G21" s="4">
        <v>25</v>
      </c>
      <c r="H21" s="4">
        <v>36</v>
      </c>
      <c r="I21" s="2">
        <v>1.7444444444444443E-2</v>
      </c>
      <c r="J21" s="3">
        <v>238.73912818532301</v>
      </c>
      <c r="K21" s="3">
        <v>0.2</v>
      </c>
      <c r="L21" s="6">
        <f t="shared" si="0"/>
        <v>1.193695640926615E-3</v>
      </c>
      <c r="P21" s="3">
        <f t="shared" si="1"/>
        <v>0.19692381175997972</v>
      </c>
      <c r="Q21" s="3">
        <f t="shared" si="2"/>
        <v>0.98461905879989853</v>
      </c>
      <c r="S21" s="3">
        <f t="shared" si="3"/>
        <v>0.19115550709939985</v>
      </c>
      <c r="T21" s="3">
        <f t="shared" si="4"/>
        <v>0.95577753549699918</v>
      </c>
      <c r="V21" s="3"/>
      <c r="W21" s="3"/>
    </row>
    <row r="22" spans="1:23" x14ac:dyDescent="0.3">
      <c r="B22" s="4">
        <v>10</v>
      </c>
      <c r="C22" s="5">
        <v>628</v>
      </c>
      <c r="D22" s="5">
        <v>4</v>
      </c>
      <c r="E22" s="4">
        <v>32.466666666666669</v>
      </c>
      <c r="F22" s="3">
        <v>3.262</v>
      </c>
      <c r="G22" s="4">
        <v>25</v>
      </c>
      <c r="H22" s="4">
        <v>36</v>
      </c>
      <c r="I22" s="2">
        <v>1.7444444444444443E-2</v>
      </c>
      <c r="J22" s="3">
        <v>305.64850168663776</v>
      </c>
      <c r="K22" s="3">
        <v>0.2</v>
      </c>
      <c r="L22" s="6">
        <f t="shared" si="0"/>
        <v>1.5282425084331887E-3</v>
      </c>
      <c r="P22" s="3">
        <f t="shared" si="1"/>
        <v>0.24222251943139575</v>
      </c>
      <c r="Q22" s="3">
        <f t="shared" si="2"/>
        <v>1.2111125971569787</v>
      </c>
      <c r="S22" s="3">
        <f t="shared" si="3"/>
        <v>0.23605862682860571</v>
      </c>
      <c r="T22" s="3">
        <f t="shared" si="4"/>
        <v>1.1802931341430285</v>
      </c>
      <c r="V22" s="3"/>
      <c r="W22" s="3"/>
    </row>
    <row r="23" spans="1:23" x14ac:dyDescent="0.3">
      <c r="B23" s="4">
        <v>10</v>
      </c>
      <c r="C23" s="5">
        <v>628</v>
      </c>
      <c r="D23" s="5">
        <v>4</v>
      </c>
      <c r="E23" s="4">
        <v>32.466666666666669</v>
      </c>
      <c r="F23" s="3">
        <v>3.262</v>
      </c>
      <c r="G23" s="4">
        <v>25</v>
      </c>
      <c r="H23" s="4">
        <v>36</v>
      </c>
      <c r="I23" s="2">
        <v>1.7444444444444443E-2</v>
      </c>
      <c r="J23" s="3">
        <v>366.54790270950184</v>
      </c>
      <c r="K23" s="3">
        <v>0.24</v>
      </c>
      <c r="L23" s="6">
        <f t="shared" si="0"/>
        <v>1.8327395135475091E-3</v>
      </c>
      <c r="P23" s="3">
        <f t="shared" si="1"/>
        <v>0.28205890334301531</v>
      </c>
      <c r="Q23" s="3">
        <f t="shared" si="2"/>
        <v>1.1752454305958973</v>
      </c>
      <c r="S23" s="3">
        <f t="shared" si="3"/>
        <v>0.2756815538244774</v>
      </c>
      <c r="T23" s="3">
        <f t="shared" si="4"/>
        <v>1.1486731409353226</v>
      </c>
      <c r="V23" s="3"/>
      <c r="W23" s="3"/>
    </row>
    <row r="24" spans="1:23" x14ac:dyDescent="0.3">
      <c r="B24" s="4">
        <v>10</v>
      </c>
      <c r="C24" s="5">
        <v>628</v>
      </c>
      <c r="D24" s="5">
        <v>4</v>
      </c>
      <c r="E24" s="4">
        <v>32.466666666666669</v>
      </c>
      <c r="F24" s="3">
        <v>3.262</v>
      </c>
      <c r="G24" s="4">
        <v>25</v>
      </c>
      <c r="H24" s="4">
        <v>36</v>
      </c>
      <c r="I24" s="2">
        <v>1.7444444444444443E-2</v>
      </c>
      <c r="J24" s="3">
        <v>399.4417193494578</v>
      </c>
      <c r="K24" s="3">
        <v>0.3</v>
      </c>
      <c r="L24" s="6">
        <f t="shared" si="0"/>
        <v>1.9972085967472891E-3</v>
      </c>
      <c r="P24" s="3">
        <f t="shared" si="1"/>
        <v>0.30312113733918672</v>
      </c>
      <c r="Q24" s="3">
        <f t="shared" si="2"/>
        <v>1.0104037911306225</v>
      </c>
      <c r="S24" s="3">
        <f t="shared" si="3"/>
        <v>0.29667522446532624</v>
      </c>
      <c r="T24" s="3">
        <f t="shared" si="4"/>
        <v>0.98891741488442086</v>
      </c>
      <c r="V24" s="3"/>
      <c r="W24" s="3"/>
    </row>
    <row r="25" spans="1:23" x14ac:dyDescent="0.3">
      <c r="B25" s="4">
        <v>10</v>
      </c>
      <c r="C25" s="5">
        <v>628</v>
      </c>
      <c r="D25" s="5">
        <v>4</v>
      </c>
      <c r="E25" s="4">
        <v>32.466666666666669</v>
      </c>
      <c r="F25" s="3">
        <v>3.262</v>
      </c>
      <c r="G25" s="4">
        <v>25</v>
      </c>
      <c r="H25" s="4">
        <v>36</v>
      </c>
      <c r="I25" s="2">
        <v>1.7444444444444443E-2</v>
      </c>
      <c r="J25" s="3">
        <v>498.04874256529729</v>
      </c>
      <c r="K25" s="3">
        <v>0.32</v>
      </c>
      <c r="L25" s="6">
        <f t="shared" si="0"/>
        <v>2.4902437128264863E-3</v>
      </c>
      <c r="P25" s="3">
        <f t="shared" si="1"/>
        <v>0.36468009762547887</v>
      </c>
      <c r="Q25" s="3">
        <f t="shared" si="2"/>
        <v>1.1396253050796215</v>
      </c>
      <c r="S25" s="3">
        <f t="shared" si="3"/>
        <v>0.35818732617217197</v>
      </c>
      <c r="T25" s="3">
        <f t="shared" si="4"/>
        <v>1.1193353942880373</v>
      </c>
      <c r="V25" s="3"/>
      <c r="W25" s="3"/>
    </row>
    <row r="26" spans="1:23" x14ac:dyDescent="0.3">
      <c r="B26" s="4">
        <v>10</v>
      </c>
      <c r="C26" s="5">
        <v>628</v>
      </c>
      <c r="D26" s="5">
        <v>4</v>
      </c>
      <c r="E26" s="4">
        <v>32.466666666666669</v>
      </c>
      <c r="F26" s="3">
        <v>3.262</v>
      </c>
      <c r="G26" s="4">
        <v>25</v>
      </c>
      <c r="H26" s="4">
        <v>36</v>
      </c>
      <c r="I26" s="2">
        <v>1.7444444444444443E-2</v>
      </c>
      <c r="J26" s="3">
        <v>502.76188353839768</v>
      </c>
      <c r="K26" s="3">
        <v>0.38</v>
      </c>
      <c r="L26" s="6">
        <f t="shared" si="0"/>
        <v>2.5138094176919883E-3</v>
      </c>
      <c r="P26" s="3">
        <f t="shared" si="1"/>
        <v>0.36756986480868109</v>
      </c>
      <c r="Q26" s="3">
        <f t="shared" si="2"/>
        <v>0.96728911791758176</v>
      </c>
      <c r="S26" s="3">
        <f t="shared" si="3"/>
        <v>0.36108005435617757</v>
      </c>
      <c r="T26" s="3">
        <f t="shared" si="4"/>
        <v>0.95021066935836207</v>
      </c>
      <c r="V26" s="3"/>
      <c r="W26" s="3"/>
    </row>
    <row r="27" spans="1:23" x14ac:dyDescent="0.3">
      <c r="B27" s="4">
        <v>10</v>
      </c>
      <c r="C27" s="5">
        <v>628</v>
      </c>
      <c r="D27" s="5">
        <v>4</v>
      </c>
      <c r="E27" s="4">
        <v>32.466666666666669</v>
      </c>
      <c r="F27" s="3">
        <v>3.262</v>
      </c>
      <c r="G27" s="4">
        <v>25</v>
      </c>
      <c r="H27" s="4">
        <v>36</v>
      </c>
      <c r="I27" s="2">
        <v>1.7444444444444443E-2</v>
      </c>
      <c r="J27" s="3">
        <v>538.67344664828317</v>
      </c>
      <c r="K27" s="3">
        <v>0.42</v>
      </c>
      <c r="L27" s="6">
        <f t="shared" si="0"/>
        <v>2.6933672332414157E-3</v>
      </c>
      <c r="P27" s="3">
        <f t="shared" si="1"/>
        <v>0.38944764299639706</v>
      </c>
      <c r="Q27" s="3">
        <f t="shared" si="2"/>
        <v>0.92725629284856448</v>
      </c>
      <c r="S27" s="3">
        <f t="shared" si="3"/>
        <v>0.38299410722147398</v>
      </c>
      <c r="T27" s="3">
        <f t="shared" si="4"/>
        <v>0.91189073147970001</v>
      </c>
      <c r="V27" s="3"/>
      <c r="W27" s="3"/>
    </row>
    <row r="28" spans="1:23" x14ac:dyDescent="0.3">
      <c r="B28" s="4">
        <v>10</v>
      </c>
      <c r="C28" s="5">
        <v>628</v>
      </c>
      <c r="D28" s="5">
        <v>4</v>
      </c>
      <c r="E28" s="4">
        <v>32.466666666666669</v>
      </c>
      <c r="F28" s="3">
        <v>3.262</v>
      </c>
      <c r="G28" s="4">
        <v>25</v>
      </c>
      <c r="H28" s="4">
        <v>36</v>
      </c>
      <c r="I28" s="2">
        <v>1.7444444444444443E-2</v>
      </c>
      <c r="J28" s="3">
        <v>628</v>
      </c>
      <c r="K28" s="3">
        <v>0.44</v>
      </c>
      <c r="L28" s="6">
        <f t="shared" si="0"/>
        <v>3.14E-3</v>
      </c>
      <c r="P28" s="3">
        <f t="shared" si="1"/>
        <v>0.44288241360276637</v>
      </c>
      <c r="Q28" s="3">
        <f t="shared" si="2"/>
        <v>1.0065509400062871</v>
      </c>
      <c r="S28" s="3">
        <f t="shared" si="3"/>
        <v>0.43661393506432483</v>
      </c>
      <c r="T28" s="3">
        <f t="shared" si="4"/>
        <v>0.99230439787346547</v>
      </c>
      <c r="V28" s="3"/>
      <c r="W28" s="3"/>
    </row>
    <row r="29" spans="1:23" x14ac:dyDescent="0.3">
      <c r="B29" s="4">
        <v>10</v>
      </c>
      <c r="C29" s="5">
        <v>628</v>
      </c>
      <c r="D29" s="5">
        <v>4</v>
      </c>
      <c r="E29" s="4">
        <v>32.466666666666669</v>
      </c>
      <c r="F29" s="3">
        <v>3.262</v>
      </c>
      <c r="G29" s="4">
        <v>25</v>
      </c>
      <c r="H29" s="4">
        <v>36</v>
      </c>
      <c r="I29" s="2">
        <v>1.7444444444444443E-2</v>
      </c>
      <c r="J29" s="3">
        <v>628</v>
      </c>
      <c r="K29" s="3">
        <v>0.5</v>
      </c>
      <c r="L29" s="6">
        <f t="shared" si="0"/>
        <v>3.14E-3</v>
      </c>
      <c r="P29" s="3">
        <f t="shared" si="1"/>
        <v>0.44288241360276637</v>
      </c>
      <c r="Q29" s="3">
        <f t="shared" si="2"/>
        <v>0.88576482720553273</v>
      </c>
      <c r="S29" s="3">
        <f t="shared" si="3"/>
        <v>0.43661393506432483</v>
      </c>
      <c r="T29" s="3">
        <f t="shared" si="4"/>
        <v>0.87322787012864966</v>
      </c>
      <c r="V29" s="3"/>
      <c r="W29" s="3"/>
    </row>
    <row r="30" spans="1:23" x14ac:dyDescent="0.3">
      <c r="A30" s="1" t="s">
        <v>8</v>
      </c>
      <c r="B30" s="4">
        <v>10</v>
      </c>
      <c r="C30" s="5">
        <v>628</v>
      </c>
      <c r="D30" s="5">
        <v>4</v>
      </c>
      <c r="E30" s="4">
        <v>32.466666666666669</v>
      </c>
      <c r="F30" s="3">
        <v>3.5139999999999993</v>
      </c>
      <c r="G30" s="4">
        <v>25</v>
      </c>
      <c r="H30" s="4">
        <v>36</v>
      </c>
      <c r="I30" s="2">
        <v>1.7444444444444443E-2</v>
      </c>
      <c r="J30" s="3">
        <v>246.62969130956026</v>
      </c>
      <c r="K30" s="3">
        <v>0.24</v>
      </c>
      <c r="L30" s="6">
        <f t="shared" si="0"/>
        <v>1.2331484565478012E-3</v>
      </c>
      <c r="P30" s="3">
        <f t="shared" si="1"/>
        <v>0.2023635385532179</v>
      </c>
      <c r="Q30" s="3">
        <f t="shared" si="2"/>
        <v>0.8431814106384079</v>
      </c>
      <c r="S30" s="3">
        <f t="shared" si="3"/>
        <v>0.19653811832620807</v>
      </c>
      <c r="T30" s="3">
        <f t="shared" si="4"/>
        <v>0.81890882635920037</v>
      </c>
      <c r="V30" s="3"/>
      <c r="W30" s="3"/>
    </row>
    <row r="31" spans="1:23" x14ac:dyDescent="0.3">
      <c r="B31" s="4">
        <v>10</v>
      </c>
      <c r="C31" s="5">
        <v>628</v>
      </c>
      <c r="D31" s="5">
        <v>4</v>
      </c>
      <c r="E31" s="4">
        <v>32.466666666666669</v>
      </c>
      <c r="F31" s="3">
        <v>3.5139999999999993</v>
      </c>
      <c r="G31" s="4">
        <v>25</v>
      </c>
      <c r="H31" s="4">
        <v>36</v>
      </c>
      <c r="I31" s="2">
        <v>1.7444444444444443E-2</v>
      </c>
      <c r="J31" s="3">
        <v>335.6960771114318</v>
      </c>
      <c r="K31" s="3">
        <v>0.3</v>
      </c>
      <c r="L31" s="6">
        <f t="shared" si="0"/>
        <v>1.6784803855571591E-3</v>
      </c>
      <c r="P31" s="3">
        <f t="shared" si="1"/>
        <v>0.26202409210487076</v>
      </c>
      <c r="Q31" s="3">
        <f t="shared" si="2"/>
        <v>0.87341364034956925</v>
      </c>
      <c r="S31" s="3">
        <f t="shared" si="3"/>
        <v>0.25573970990247114</v>
      </c>
      <c r="T31" s="3">
        <f t="shared" si="4"/>
        <v>0.85246569967490382</v>
      </c>
      <c r="V31" s="3"/>
      <c r="W31" s="3"/>
    </row>
    <row r="32" spans="1:23" x14ac:dyDescent="0.3">
      <c r="B32" s="4">
        <v>10</v>
      </c>
      <c r="C32" s="5">
        <v>628</v>
      </c>
      <c r="D32" s="5">
        <v>4</v>
      </c>
      <c r="E32" s="4">
        <v>32.466666666666669</v>
      </c>
      <c r="F32" s="3">
        <v>3.5139999999999993</v>
      </c>
      <c r="G32" s="4">
        <v>25</v>
      </c>
      <c r="H32" s="4">
        <v>36</v>
      </c>
      <c r="I32" s="2">
        <v>1.7444444444444443E-2</v>
      </c>
      <c r="J32" s="3">
        <v>361.5087181175337</v>
      </c>
      <c r="K32" s="3">
        <v>0.3</v>
      </c>
      <c r="L32" s="6">
        <f t="shared" si="0"/>
        <v>1.8075435905876686E-3</v>
      </c>
      <c r="P32" s="3">
        <f t="shared" si="1"/>
        <v>0.27880578923804011</v>
      </c>
      <c r="Q32" s="3">
        <f t="shared" si="2"/>
        <v>0.92935263079346708</v>
      </c>
      <c r="S32" s="3">
        <f t="shared" si="3"/>
        <v>0.27244164311186564</v>
      </c>
      <c r="T32" s="3">
        <f t="shared" si="4"/>
        <v>0.90813881037288546</v>
      </c>
      <c r="V32" s="3"/>
      <c r="W32" s="3"/>
    </row>
    <row r="33" spans="1:23" x14ac:dyDescent="0.3">
      <c r="B33" s="4">
        <v>10</v>
      </c>
      <c r="C33" s="5">
        <v>628</v>
      </c>
      <c r="D33" s="5">
        <v>4</v>
      </c>
      <c r="E33" s="4">
        <v>32.466666666666669</v>
      </c>
      <c r="F33" s="3">
        <v>3.5139999999999993</v>
      </c>
      <c r="G33" s="4">
        <v>25</v>
      </c>
      <c r="H33" s="4">
        <v>36</v>
      </c>
      <c r="I33" s="2">
        <v>1.7444444444444443E-2</v>
      </c>
      <c r="J33" s="3">
        <v>392.91007120761441</v>
      </c>
      <c r="K33" s="3">
        <v>0.3</v>
      </c>
      <c r="L33" s="6">
        <f t="shared" si="0"/>
        <v>1.9645503560380721E-3</v>
      </c>
      <c r="P33" s="3">
        <f t="shared" si="1"/>
        <v>0.29896195350969923</v>
      </c>
      <c r="Q33" s="3">
        <f t="shared" si="2"/>
        <v>0.99653984503233084</v>
      </c>
      <c r="S33" s="3">
        <f t="shared" si="3"/>
        <v>0.29252730919068765</v>
      </c>
      <c r="T33" s="3">
        <f t="shared" si="4"/>
        <v>0.97509103063562552</v>
      </c>
      <c r="V33" s="3"/>
      <c r="W33" s="3"/>
    </row>
    <row r="34" spans="1:23" x14ac:dyDescent="0.3">
      <c r="B34" s="4">
        <v>10</v>
      </c>
      <c r="C34" s="5">
        <v>628</v>
      </c>
      <c r="D34" s="5">
        <v>4</v>
      </c>
      <c r="E34" s="4">
        <v>32.466666666666669</v>
      </c>
      <c r="F34" s="3">
        <v>3.5139999999999993</v>
      </c>
      <c r="G34" s="4">
        <v>25</v>
      </c>
      <c r="H34" s="4">
        <v>36</v>
      </c>
      <c r="I34" s="2">
        <v>1.7444444444444443E-2</v>
      </c>
      <c r="J34" s="3">
        <v>424.16428141731097</v>
      </c>
      <c r="K34" s="3">
        <v>0.38</v>
      </c>
      <c r="L34" s="6">
        <f t="shared" si="0"/>
        <v>2.1208214070865547E-3</v>
      </c>
      <c r="P34" s="3">
        <f t="shared" si="1"/>
        <v>0.31876587658802158</v>
      </c>
      <c r="Q34" s="3">
        <f t="shared" si="2"/>
        <v>0.83885756996847782</v>
      </c>
      <c r="S34" s="3">
        <f t="shared" si="3"/>
        <v>0.31228719241540859</v>
      </c>
      <c r="T34" s="3">
        <f t="shared" si="4"/>
        <v>0.82180840109318043</v>
      </c>
      <c r="V34" s="3"/>
      <c r="W34" s="3"/>
    </row>
    <row r="35" spans="1:23" x14ac:dyDescent="0.3">
      <c r="B35" s="4">
        <v>10</v>
      </c>
      <c r="C35" s="5">
        <v>628</v>
      </c>
      <c r="D35" s="5">
        <v>4</v>
      </c>
      <c r="E35" s="4">
        <v>32.466666666666669</v>
      </c>
      <c r="F35" s="3">
        <v>3.5139999999999993</v>
      </c>
      <c r="G35" s="4">
        <v>25</v>
      </c>
      <c r="H35" s="4">
        <v>36</v>
      </c>
      <c r="I35" s="2">
        <v>1.7444444444444443E-2</v>
      </c>
      <c r="J35" s="3">
        <v>491.13758900951802</v>
      </c>
      <c r="K35" s="3">
        <v>0.44</v>
      </c>
      <c r="L35" s="6">
        <f t="shared" si="0"/>
        <v>2.4556879450475903E-3</v>
      </c>
      <c r="P35" s="3">
        <f t="shared" si="1"/>
        <v>0.36043463241858492</v>
      </c>
      <c r="Q35" s="3">
        <f t="shared" si="2"/>
        <v>0.81916961913314756</v>
      </c>
      <c r="S35" s="3">
        <f t="shared" si="3"/>
        <v>0.35393830556850431</v>
      </c>
      <c r="T35" s="3">
        <f t="shared" si="4"/>
        <v>0.80440523992841884</v>
      </c>
      <c r="V35" s="3"/>
      <c r="W35" s="3"/>
    </row>
    <row r="36" spans="1:23" x14ac:dyDescent="0.3">
      <c r="A36" s="1" t="s">
        <v>9</v>
      </c>
      <c r="B36" s="4">
        <v>16</v>
      </c>
      <c r="C36" s="5">
        <v>571</v>
      </c>
      <c r="D36" s="5">
        <v>4</v>
      </c>
      <c r="E36" s="4">
        <v>37</v>
      </c>
      <c r="F36" s="3">
        <v>4.2587999999999999</v>
      </c>
      <c r="G36" s="4">
        <v>20</v>
      </c>
      <c r="H36" s="4">
        <v>54</v>
      </c>
      <c r="I36" s="2">
        <v>0.11785107305322007</v>
      </c>
      <c r="J36" s="3">
        <v>100.66840700964704</v>
      </c>
      <c r="K36" s="3">
        <v>0.18</v>
      </c>
      <c r="L36" s="6">
        <f t="shared" si="0"/>
        <v>5.0334203504823519E-4</v>
      </c>
      <c r="P36" s="3">
        <f t="shared" si="1"/>
        <v>6.2390321226307326E-2</v>
      </c>
      <c r="Q36" s="3">
        <f t="shared" si="2"/>
        <v>0.34661289570170739</v>
      </c>
      <c r="S36" s="3">
        <f t="shared" si="3"/>
        <v>6.285339502839668E-2</v>
      </c>
      <c r="T36" s="3">
        <f t="shared" si="4"/>
        <v>0.34918552793553714</v>
      </c>
      <c r="V36" s="3"/>
      <c r="W36" s="3"/>
    </row>
    <row r="37" spans="1:23" x14ac:dyDescent="0.3">
      <c r="B37" s="4">
        <v>16</v>
      </c>
      <c r="C37" s="5">
        <v>571</v>
      </c>
      <c r="D37" s="5">
        <v>4</v>
      </c>
      <c r="E37" s="4">
        <v>37</v>
      </c>
      <c r="F37" s="3">
        <v>4.2587999999999999</v>
      </c>
      <c r="G37" s="4">
        <v>20</v>
      </c>
      <c r="H37" s="4">
        <v>54</v>
      </c>
      <c r="I37" s="2">
        <v>0.11785107305322007</v>
      </c>
      <c r="J37" s="3">
        <v>164.07580931934717</v>
      </c>
      <c r="K37" s="3">
        <v>0.2</v>
      </c>
      <c r="L37" s="6">
        <f t="shared" si="0"/>
        <v>8.203790465967359E-4</v>
      </c>
      <c r="P37" s="3">
        <f t="shared" si="1"/>
        <v>9.3950708672790276E-2</v>
      </c>
      <c r="Q37" s="3">
        <f t="shared" si="2"/>
        <v>0.46975354336395136</v>
      </c>
      <c r="S37" s="3">
        <f t="shared" si="3"/>
        <v>9.5390692476418404E-2</v>
      </c>
      <c r="T37" s="3">
        <f t="shared" si="4"/>
        <v>0.47695346238209202</v>
      </c>
      <c r="V37" s="3"/>
      <c r="W37" s="3"/>
    </row>
    <row r="38" spans="1:23" x14ac:dyDescent="0.3">
      <c r="B38" s="4">
        <v>16</v>
      </c>
      <c r="C38" s="5">
        <v>571</v>
      </c>
      <c r="D38" s="5">
        <v>4</v>
      </c>
      <c r="E38" s="4">
        <v>37</v>
      </c>
      <c r="F38" s="3">
        <v>4.2587999999999999</v>
      </c>
      <c r="G38" s="4">
        <v>20</v>
      </c>
      <c r="H38" s="4">
        <v>54</v>
      </c>
      <c r="I38" s="2">
        <v>0.11785107305322007</v>
      </c>
      <c r="J38" s="3">
        <v>208.59575443802709</v>
      </c>
      <c r="K38" s="3">
        <v>0.26</v>
      </c>
      <c r="L38" s="6">
        <f t="shared" si="0"/>
        <v>1.0429787721901354E-3</v>
      </c>
      <c r="P38" s="3">
        <f t="shared" si="1"/>
        <v>0.11488695073173069</v>
      </c>
      <c r="Q38" s="3">
        <f t="shared" si="2"/>
        <v>0.44187288742973341</v>
      </c>
      <c r="S38" s="3">
        <f t="shared" si="3"/>
        <v>0.11709674380495329</v>
      </c>
      <c r="T38" s="3">
        <f t="shared" si="4"/>
        <v>0.45037209155751262</v>
      </c>
      <c r="V38" s="3"/>
      <c r="W38" s="3"/>
    </row>
    <row r="39" spans="1:23" x14ac:dyDescent="0.3">
      <c r="B39" s="4">
        <v>16</v>
      </c>
      <c r="C39" s="5">
        <v>571</v>
      </c>
      <c r="D39" s="5">
        <v>4</v>
      </c>
      <c r="E39" s="4">
        <v>37</v>
      </c>
      <c r="F39" s="3">
        <v>4.2587999999999999</v>
      </c>
      <c r="G39" s="4">
        <v>20</v>
      </c>
      <c r="H39" s="4">
        <v>54</v>
      </c>
      <c r="I39" s="2">
        <v>0.11785107305322007</v>
      </c>
      <c r="J39" s="3">
        <v>288.03053051298519</v>
      </c>
      <c r="K39" s="3">
        <v>0.44</v>
      </c>
      <c r="L39" s="6">
        <f t="shared" si="0"/>
        <v>1.440152652564926E-3</v>
      </c>
      <c r="P39" s="3">
        <f t="shared" si="1"/>
        <v>0.15055743476411979</v>
      </c>
      <c r="Q39" s="3">
        <f t="shared" si="2"/>
        <v>0.34217598810027222</v>
      </c>
      <c r="S39" s="3">
        <f t="shared" si="3"/>
        <v>0.15424761271367673</v>
      </c>
      <c r="T39" s="3">
        <f t="shared" si="4"/>
        <v>0.35056275616744714</v>
      </c>
      <c r="V39" s="3"/>
      <c r="W39" s="3"/>
    </row>
    <row r="40" spans="1:23" x14ac:dyDescent="0.3">
      <c r="B40" s="4">
        <v>16</v>
      </c>
      <c r="C40" s="5">
        <v>571</v>
      </c>
      <c r="D40" s="5">
        <v>4</v>
      </c>
      <c r="E40" s="4">
        <v>37</v>
      </c>
      <c r="F40" s="3">
        <v>4.2587999999999999</v>
      </c>
      <c r="G40" s="4">
        <v>20</v>
      </c>
      <c r="H40" s="4">
        <v>54</v>
      </c>
      <c r="I40" s="2">
        <v>0.11785107305322007</v>
      </c>
      <c r="J40" s="3">
        <v>403.42653100855267</v>
      </c>
      <c r="K40" s="3">
        <v>0.6</v>
      </c>
      <c r="L40" s="6">
        <f t="shared" si="0"/>
        <v>2.0171326550427636E-3</v>
      </c>
      <c r="P40" s="3">
        <f t="shared" si="1"/>
        <v>0.19967483633329219</v>
      </c>
      <c r="Q40" s="3">
        <f t="shared" si="2"/>
        <v>0.33279139388882034</v>
      </c>
      <c r="S40" s="3">
        <f t="shared" si="3"/>
        <v>0.20567466409670965</v>
      </c>
      <c r="T40" s="3">
        <f t="shared" si="4"/>
        <v>0.34279110682784941</v>
      </c>
      <c r="V40" s="3"/>
      <c r="W40" s="3"/>
    </row>
    <row r="41" spans="1:23" x14ac:dyDescent="0.3">
      <c r="A41" s="1" t="s">
        <v>10</v>
      </c>
      <c r="B41" s="4">
        <v>12</v>
      </c>
      <c r="C41" s="5">
        <v>500</v>
      </c>
      <c r="D41" s="5">
        <v>4</v>
      </c>
      <c r="E41" s="4">
        <v>79.3</v>
      </c>
      <c r="F41" s="3">
        <v>2.6933292113182881</v>
      </c>
      <c r="G41" s="4">
        <v>20</v>
      </c>
      <c r="H41" s="4">
        <v>38</v>
      </c>
      <c r="I41" s="2">
        <v>1.3593984962406014E-2</v>
      </c>
      <c r="J41" s="3">
        <v>220.98184588636727</v>
      </c>
      <c r="K41" s="3">
        <v>0.36</v>
      </c>
      <c r="L41" s="6">
        <f t="shared" si="0"/>
        <v>1.1049092294318364E-3</v>
      </c>
      <c r="P41" s="3">
        <f t="shared" si="1"/>
        <v>0.25437139631185168</v>
      </c>
      <c r="Q41" s="3">
        <f t="shared" si="2"/>
        <v>0.70658721197736585</v>
      </c>
      <c r="S41" s="3">
        <f t="shared" si="3"/>
        <v>0.25438251462911832</v>
      </c>
      <c r="T41" s="3">
        <f t="shared" si="4"/>
        <v>0.70661809619199534</v>
      </c>
      <c r="V41" s="3"/>
      <c r="W41" s="3"/>
    </row>
    <row r="42" spans="1:23" x14ac:dyDescent="0.3">
      <c r="B42" s="4">
        <v>12</v>
      </c>
      <c r="C42" s="5">
        <v>500</v>
      </c>
      <c r="D42" s="5">
        <v>4</v>
      </c>
      <c r="E42" s="4">
        <v>79.3</v>
      </c>
      <c r="F42" s="3">
        <v>2.6933292113182881</v>
      </c>
      <c r="G42" s="4">
        <v>20</v>
      </c>
      <c r="H42" s="4">
        <v>38</v>
      </c>
      <c r="I42" s="2">
        <v>1.3593984962406014E-2</v>
      </c>
      <c r="J42" s="3">
        <v>345.87419398672716</v>
      </c>
      <c r="K42" s="3">
        <v>0.43</v>
      </c>
      <c r="L42" s="6">
        <f t="shared" si="0"/>
        <v>1.7293709699336358E-3</v>
      </c>
      <c r="P42" s="3">
        <f t="shared" si="1"/>
        <v>0.37026346739676019</v>
      </c>
      <c r="Q42" s="3">
        <f t="shared" si="2"/>
        <v>0.86107783115525627</v>
      </c>
      <c r="S42" s="3">
        <f t="shared" si="3"/>
        <v>0.37294331858343499</v>
      </c>
      <c r="T42" s="3">
        <f t="shared" si="4"/>
        <v>0.86731004321729066</v>
      </c>
      <c r="V42" s="3"/>
      <c r="W42" s="3"/>
    </row>
    <row r="43" spans="1:23" x14ac:dyDescent="0.3">
      <c r="B43" s="4">
        <v>12</v>
      </c>
      <c r="C43" s="5">
        <v>500</v>
      </c>
      <c r="D43" s="5">
        <v>4</v>
      </c>
      <c r="E43" s="4">
        <v>79.3</v>
      </c>
      <c r="F43" s="3">
        <v>2.6933292113182881</v>
      </c>
      <c r="G43" s="4">
        <v>20</v>
      </c>
      <c r="H43" s="4">
        <v>38</v>
      </c>
      <c r="I43" s="2">
        <v>1.3593984962406014E-2</v>
      </c>
      <c r="J43" s="3">
        <v>500</v>
      </c>
      <c r="K43" s="3">
        <v>0.56000000000000005</v>
      </c>
      <c r="L43" s="6">
        <f t="shared" si="0"/>
        <v>2.5000000000000001E-3</v>
      </c>
      <c r="P43" s="3">
        <f t="shared" si="1"/>
        <v>0.50423653450265526</v>
      </c>
      <c r="Q43" s="3">
        <f t="shared" si="2"/>
        <v>0.90042238304045574</v>
      </c>
      <c r="S43" s="3">
        <f t="shared" si="3"/>
        <v>0.510889651772369</v>
      </c>
      <c r="T43" s="3">
        <f t="shared" si="4"/>
        <v>0.91230294959351599</v>
      </c>
      <c r="V43" s="3"/>
      <c r="W43" s="3"/>
    </row>
    <row r="44" spans="1:23" x14ac:dyDescent="0.3">
      <c r="B44" s="4">
        <v>12</v>
      </c>
      <c r="C44" s="5">
        <v>500</v>
      </c>
      <c r="D44" s="5">
        <v>4</v>
      </c>
      <c r="E44" s="4">
        <v>79.3</v>
      </c>
      <c r="F44" s="3">
        <v>2.6933292113182881</v>
      </c>
      <c r="G44" s="4">
        <v>20</v>
      </c>
      <c r="H44" s="4">
        <v>38</v>
      </c>
      <c r="I44" s="2">
        <v>1.3593984962406014E-2</v>
      </c>
      <c r="J44" s="3">
        <v>500</v>
      </c>
      <c r="K44" s="3">
        <v>0.71</v>
      </c>
      <c r="L44" s="6">
        <f t="shared" si="0"/>
        <v>2.5000000000000001E-3</v>
      </c>
      <c r="P44" s="3">
        <f t="shared" si="1"/>
        <v>0.50423653450265526</v>
      </c>
      <c r="Q44" s="3">
        <f t="shared" si="2"/>
        <v>0.71019230211641593</v>
      </c>
      <c r="S44" s="3">
        <f t="shared" si="3"/>
        <v>0.510889651772369</v>
      </c>
      <c r="T44" s="3">
        <f t="shared" si="4"/>
        <v>0.71956288982023808</v>
      </c>
      <c r="V44" s="3"/>
      <c r="W44" s="3"/>
    </row>
    <row r="45" spans="1:23" x14ac:dyDescent="0.3">
      <c r="B45" s="4">
        <v>12</v>
      </c>
      <c r="C45" s="5">
        <v>500</v>
      </c>
      <c r="D45" s="5">
        <v>4</v>
      </c>
      <c r="E45" s="4">
        <v>79.3</v>
      </c>
      <c r="F45" s="3">
        <v>2.6933292113182881</v>
      </c>
      <c r="G45" s="4">
        <v>20</v>
      </c>
      <c r="H45" s="4">
        <v>38</v>
      </c>
      <c r="I45" s="2">
        <v>1.3593984962406014E-2</v>
      </c>
      <c r="J45" s="3">
        <v>500</v>
      </c>
      <c r="K45" s="3">
        <v>0.79</v>
      </c>
      <c r="L45" s="6">
        <f t="shared" si="0"/>
        <v>2.5000000000000001E-3</v>
      </c>
      <c r="P45" s="3">
        <f t="shared" si="1"/>
        <v>0.50423653450265526</v>
      </c>
      <c r="Q45" s="3">
        <f t="shared" si="2"/>
        <v>0.63827409430715853</v>
      </c>
      <c r="S45" s="3">
        <f t="shared" si="3"/>
        <v>0.510889651772369</v>
      </c>
      <c r="T45" s="3">
        <f t="shared" si="4"/>
        <v>0.64669576173717591</v>
      </c>
      <c r="V45" s="3"/>
      <c r="W45" s="3"/>
    </row>
    <row r="46" spans="1:23" x14ac:dyDescent="0.3">
      <c r="A46" s="1" t="s">
        <v>11</v>
      </c>
      <c r="B46" s="4">
        <v>25</v>
      </c>
      <c r="C46" s="5">
        <v>500</v>
      </c>
      <c r="D46" s="5">
        <v>4</v>
      </c>
      <c r="E46" s="4">
        <v>62</v>
      </c>
      <c r="F46" s="3">
        <v>2.6933292113182881</v>
      </c>
      <c r="G46" s="4">
        <v>20</v>
      </c>
      <c r="H46" s="4">
        <v>44.5</v>
      </c>
      <c r="I46" s="2">
        <v>5.4467051199458924E-2</v>
      </c>
      <c r="J46" s="3">
        <v>66.0344882356234</v>
      </c>
      <c r="K46" s="3">
        <v>0.2</v>
      </c>
      <c r="L46" s="6">
        <f t="shared" si="0"/>
        <v>3.3017244117811698E-4</v>
      </c>
      <c r="P46" s="3">
        <f t="shared" si="1"/>
        <v>0.10435424414249277</v>
      </c>
      <c r="Q46" s="3">
        <f t="shared" si="2"/>
        <v>0.52177122071246385</v>
      </c>
      <c r="S46" s="3">
        <f t="shared" si="3"/>
        <v>0.10139663949607097</v>
      </c>
      <c r="T46" s="3">
        <f t="shared" si="4"/>
        <v>0.50698319748035481</v>
      </c>
      <c r="V46" s="3"/>
      <c r="W46" s="3"/>
    </row>
    <row r="47" spans="1:23" x14ac:dyDescent="0.3">
      <c r="B47" s="4">
        <v>25</v>
      </c>
      <c r="C47" s="5">
        <v>500</v>
      </c>
      <c r="D47" s="5">
        <v>4</v>
      </c>
      <c r="E47" s="4">
        <v>62</v>
      </c>
      <c r="F47" s="3">
        <v>2.6933292113182881</v>
      </c>
      <c r="G47" s="4">
        <v>20</v>
      </c>
      <c r="H47" s="4">
        <v>44.5</v>
      </c>
      <c r="I47" s="2">
        <v>5.4467051199458924E-2</v>
      </c>
      <c r="J47" s="3">
        <v>151.48589269424554</v>
      </c>
      <c r="K47" s="3">
        <v>0.25</v>
      </c>
      <c r="L47" s="6">
        <f t="shared" si="0"/>
        <v>7.5742946347122765E-4</v>
      </c>
      <c r="P47" s="3">
        <f t="shared" si="1"/>
        <v>0.209263781149537</v>
      </c>
      <c r="Q47" s="3">
        <f t="shared" si="2"/>
        <v>0.83705512459814801</v>
      </c>
      <c r="S47" s="3">
        <f t="shared" si="3"/>
        <v>0.2060521428054071</v>
      </c>
      <c r="T47" s="3">
        <f t="shared" si="4"/>
        <v>0.82420857122162838</v>
      </c>
      <c r="V47" s="3"/>
      <c r="W47" s="3"/>
    </row>
    <row r="48" spans="1:23" x14ac:dyDescent="0.3">
      <c r="B48" s="4">
        <v>25</v>
      </c>
      <c r="C48" s="5">
        <v>500</v>
      </c>
      <c r="D48" s="5">
        <v>4</v>
      </c>
      <c r="E48" s="4">
        <v>62</v>
      </c>
      <c r="F48" s="3">
        <v>2.6933292113182881</v>
      </c>
      <c r="G48" s="4">
        <v>20</v>
      </c>
      <c r="H48" s="4">
        <v>44.5</v>
      </c>
      <c r="I48" s="2">
        <v>5.4467051199458924E-2</v>
      </c>
      <c r="J48" s="3">
        <v>248.79678351418517</v>
      </c>
      <c r="K48" s="3">
        <v>0.36</v>
      </c>
      <c r="L48" s="6">
        <f t="shared" si="0"/>
        <v>1.2439839175709259E-3</v>
      </c>
      <c r="P48" s="3">
        <f t="shared" si="1"/>
        <v>0.31714661664421917</v>
      </c>
      <c r="Q48" s="3">
        <f t="shared" si="2"/>
        <v>0.88096282401171999</v>
      </c>
      <c r="S48" s="3">
        <f t="shared" si="3"/>
        <v>0.31476809871262995</v>
      </c>
      <c r="T48" s="3">
        <f t="shared" si="4"/>
        <v>0.87435582975730541</v>
      </c>
      <c r="V48" s="3"/>
      <c r="W48" s="3"/>
    </row>
    <row r="49" spans="1:23" x14ac:dyDescent="0.3">
      <c r="B49" s="4">
        <v>25</v>
      </c>
      <c r="C49" s="5">
        <v>500</v>
      </c>
      <c r="D49" s="5">
        <v>4</v>
      </c>
      <c r="E49" s="4">
        <v>62</v>
      </c>
      <c r="F49" s="3">
        <v>2.6933292113182881</v>
      </c>
      <c r="G49" s="4">
        <v>20</v>
      </c>
      <c r="H49" s="4">
        <v>44.5</v>
      </c>
      <c r="I49" s="2">
        <v>5.4467051199458924E-2</v>
      </c>
      <c r="J49" s="3">
        <v>346.10767433412479</v>
      </c>
      <c r="K49" s="3">
        <v>0.47</v>
      </c>
      <c r="L49" s="6">
        <f t="shared" si="0"/>
        <v>1.730538371670624E-3</v>
      </c>
      <c r="P49" s="3">
        <f t="shared" si="1"/>
        <v>0.41821651871980953</v>
      </c>
      <c r="Q49" s="3">
        <f t="shared" si="2"/>
        <v>0.88982238025491389</v>
      </c>
      <c r="S49" s="3">
        <f t="shared" si="3"/>
        <v>0.41727817876915313</v>
      </c>
      <c r="T49" s="3">
        <f t="shared" si="4"/>
        <v>0.8878259122747939</v>
      </c>
      <c r="V49" s="3"/>
      <c r="W49" s="3"/>
    </row>
    <row r="50" spans="1:23" x14ac:dyDescent="0.3">
      <c r="B50" s="4">
        <v>25</v>
      </c>
      <c r="C50" s="5">
        <v>500</v>
      </c>
      <c r="D50" s="5">
        <v>4</v>
      </c>
      <c r="E50" s="4">
        <v>62</v>
      </c>
      <c r="F50" s="3">
        <v>2.6933292113182881</v>
      </c>
      <c r="G50" s="4">
        <v>20</v>
      </c>
      <c r="H50" s="4">
        <v>44.5</v>
      </c>
      <c r="I50" s="2">
        <v>5.4467051199458924E-2</v>
      </c>
      <c r="J50" s="3">
        <v>419.09084244907962</v>
      </c>
      <c r="K50" s="3">
        <v>0.56999999999999995</v>
      </c>
      <c r="L50" s="6">
        <f t="shared" si="0"/>
        <v>2.095454212245398E-3</v>
      </c>
      <c r="P50" s="3">
        <f t="shared" si="1"/>
        <v>0.49094904551390761</v>
      </c>
      <c r="Q50" s="3">
        <f t="shared" si="2"/>
        <v>0.86131411493668009</v>
      </c>
      <c r="S50" s="3">
        <f t="shared" si="3"/>
        <v>0.49134943696220779</v>
      </c>
      <c r="T50" s="3">
        <f t="shared" si="4"/>
        <v>0.86201655607404881</v>
      </c>
      <c r="V50" s="3"/>
      <c r="W50" s="3"/>
    </row>
    <row r="51" spans="1:23" x14ac:dyDescent="0.3">
      <c r="B51" s="4">
        <v>25</v>
      </c>
      <c r="C51" s="5">
        <v>500</v>
      </c>
      <c r="D51" s="5">
        <v>4</v>
      </c>
      <c r="E51" s="4">
        <v>62</v>
      </c>
      <c r="F51" s="3">
        <v>2.6933292113182881</v>
      </c>
      <c r="G51" s="4">
        <v>20</v>
      </c>
      <c r="H51" s="4">
        <v>44.5</v>
      </c>
      <c r="I51" s="2">
        <v>5.4467051199458924E-2</v>
      </c>
      <c r="J51" s="3">
        <v>500</v>
      </c>
      <c r="K51" s="3">
        <v>0.78</v>
      </c>
      <c r="L51" s="6">
        <f t="shared" si="0"/>
        <v>2.5000000000000001E-3</v>
      </c>
      <c r="P51" s="3">
        <f t="shared" si="1"/>
        <v>0.56921853892595764</v>
      </c>
      <c r="Q51" s="3">
        <f t="shared" si="2"/>
        <v>0.72976735759738154</v>
      </c>
      <c r="S51" s="3">
        <f t="shared" si="3"/>
        <v>0.57129400701617861</v>
      </c>
      <c r="T51" s="3">
        <f t="shared" si="4"/>
        <v>0.73242821412330583</v>
      </c>
      <c r="V51" s="3"/>
      <c r="W51" s="3"/>
    </row>
    <row r="52" spans="1:23" x14ac:dyDescent="0.3">
      <c r="A52" s="1" t="s">
        <v>12</v>
      </c>
      <c r="B52" s="4">
        <v>12</v>
      </c>
      <c r="C52" s="5">
        <v>500</v>
      </c>
      <c r="D52" s="5">
        <v>4</v>
      </c>
      <c r="E52" s="4">
        <v>79.3</v>
      </c>
      <c r="F52" s="3">
        <v>2.6933292113182881</v>
      </c>
      <c r="G52" s="4">
        <v>20</v>
      </c>
      <c r="H52" s="4">
        <v>34</v>
      </c>
      <c r="I52" s="2">
        <v>1.5193277310924369E-2</v>
      </c>
      <c r="J52" s="3">
        <v>104.52715623525849</v>
      </c>
      <c r="K52" s="3">
        <v>0.21</v>
      </c>
      <c r="L52" s="6">
        <f t="shared" si="0"/>
        <v>5.2263578117629241E-4</v>
      </c>
      <c r="P52" s="3">
        <f t="shared" si="1"/>
        <v>0.12859465654196381</v>
      </c>
      <c r="Q52" s="3">
        <f t="shared" si="2"/>
        <v>0.61235550734268485</v>
      </c>
      <c r="S52" s="3">
        <f t="shared" si="3"/>
        <v>0.12589793630724291</v>
      </c>
      <c r="T52" s="3">
        <f t="shared" si="4"/>
        <v>0.59951398241544251</v>
      </c>
      <c r="V52" s="3"/>
      <c r="W52" s="3"/>
    </row>
    <row r="53" spans="1:23" x14ac:dyDescent="0.3">
      <c r="B53" s="4">
        <v>12</v>
      </c>
      <c r="C53" s="5">
        <v>500</v>
      </c>
      <c r="D53" s="5">
        <v>4</v>
      </c>
      <c r="E53" s="4">
        <v>79.3</v>
      </c>
      <c r="F53" s="3">
        <v>2.6933292113182881</v>
      </c>
      <c r="G53" s="4">
        <v>20</v>
      </c>
      <c r="H53" s="4">
        <v>34</v>
      </c>
      <c r="I53" s="2">
        <v>1.5193277310924369E-2</v>
      </c>
      <c r="J53" s="3">
        <v>164.48977691351251</v>
      </c>
      <c r="K53" s="3">
        <v>0.31</v>
      </c>
      <c r="L53" s="6">
        <f t="shared" si="0"/>
        <v>8.2244888456756257E-4</v>
      </c>
      <c r="P53" s="3">
        <f t="shared" si="1"/>
        <v>0.18803267112125577</v>
      </c>
      <c r="Q53" s="3">
        <f t="shared" si="2"/>
        <v>0.60655700361695408</v>
      </c>
      <c r="S53" s="3">
        <f t="shared" si="3"/>
        <v>0.18542981302270906</v>
      </c>
      <c r="T53" s="3">
        <f t="shared" si="4"/>
        <v>0.59816068717002924</v>
      </c>
      <c r="V53" s="3"/>
      <c r="W53" s="3"/>
    </row>
    <row r="54" spans="1:23" x14ac:dyDescent="0.3">
      <c r="B54" s="4">
        <v>12</v>
      </c>
      <c r="C54" s="5">
        <v>500</v>
      </c>
      <c r="D54" s="5">
        <v>4</v>
      </c>
      <c r="E54" s="4">
        <v>79.3</v>
      </c>
      <c r="F54" s="3">
        <v>2.6933292113182881</v>
      </c>
      <c r="G54" s="4">
        <v>20</v>
      </c>
      <c r="H54" s="4">
        <v>34</v>
      </c>
      <c r="I54" s="2">
        <v>1.5193277310924369E-2</v>
      </c>
      <c r="J54" s="3">
        <v>224.4523975917665</v>
      </c>
      <c r="K54" s="3">
        <v>0.38</v>
      </c>
      <c r="L54" s="6">
        <f t="shared" si="0"/>
        <v>1.1222619879588324E-3</v>
      </c>
      <c r="P54" s="3">
        <f t="shared" si="1"/>
        <v>0.24397820296000317</v>
      </c>
      <c r="Q54" s="3">
        <f t="shared" si="2"/>
        <v>0.64204790252632415</v>
      </c>
      <c r="S54" s="3">
        <f t="shared" si="3"/>
        <v>0.24180041306738764</v>
      </c>
      <c r="T54" s="3">
        <f t="shared" si="4"/>
        <v>0.63631687649312541</v>
      </c>
      <c r="V54" s="3"/>
      <c r="W54" s="3"/>
    </row>
    <row r="55" spans="1:23" x14ac:dyDescent="0.3">
      <c r="B55" s="4">
        <v>12</v>
      </c>
      <c r="C55" s="5">
        <v>500</v>
      </c>
      <c r="D55" s="5">
        <v>4</v>
      </c>
      <c r="E55" s="4">
        <v>79.3</v>
      </c>
      <c r="F55" s="3">
        <v>2.6933292113182881</v>
      </c>
      <c r="G55" s="4">
        <v>20</v>
      </c>
      <c r="H55" s="4">
        <v>34</v>
      </c>
      <c r="I55" s="2">
        <v>1.5193277310924369E-2</v>
      </c>
      <c r="J55" s="3">
        <v>344.37763894827469</v>
      </c>
      <c r="K55" s="3">
        <v>0.52</v>
      </c>
      <c r="L55" s="6">
        <f t="shared" si="0"/>
        <v>1.7218881947413734E-3</v>
      </c>
      <c r="P55" s="3">
        <f t="shared" si="1"/>
        <v>0.34925625337043192</v>
      </c>
      <c r="Q55" s="3">
        <f t="shared" si="2"/>
        <v>0.67164664109698446</v>
      </c>
      <c r="S55" s="3">
        <f t="shared" si="3"/>
        <v>0.34851764617152081</v>
      </c>
      <c r="T55" s="3">
        <f t="shared" si="4"/>
        <v>0.67022624263754005</v>
      </c>
      <c r="V55" s="3"/>
      <c r="W55" s="3"/>
    </row>
    <row r="56" spans="1:23" x14ac:dyDescent="0.3">
      <c r="B56" s="4">
        <v>12</v>
      </c>
      <c r="C56" s="5">
        <v>500</v>
      </c>
      <c r="D56" s="5">
        <v>4</v>
      </c>
      <c r="E56" s="4">
        <v>79.3</v>
      </c>
      <c r="F56" s="3">
        <v>2.6933292113182881</v>
      </c>
      <c r="G56" s="4">
        <v>20</v>
      </c>
      <c r="H56" s="4">
        <v>34</v>
      </c>
      <c r="I56" s="2">
        <v>1.5193277310924369E-2</v>
      </c>
      <c r="J56" s="3">
        <v>500</v>
      </c>
      <c r="K56" s="3">
        <v>0.74</v>
      </c>
      <c r="L56" s="6">
        <f t="shared" si="0"/>
        <v>2.5000000000000001E-3</v>
      </c>
      <c r="P56" s="3">
        <f t="shared" si="1"/>
        <v>0.47735972124261083</v>
      </c>
      <c r="Q56" s="3">
        <f t="shared" si="2"/>
        <v>0.64508070438190657</v>
      </c>
      <c r="S56" s="3">
        <f t="shared" si="3"/>
        <v>0.47920055634399156</v>
      </c>
      <c r="T56" s="3">
        <f t="shared" si="4"/>
        <v>0.64756831938377235</v>
      </c>
      <c r="V56" s="3"/>
      <c r="W56" s="3"/>
    </row>
    <row r="57" spans="1:23" x14ac:dyDescent="0.3">
      <c r="A57" s="1" t="s">
        <v>13</v>
      </c>
      <c r="B57" s="4">
        <v>12</v>
      </c>
      <c r="C57" s="5">
        <v>500</v>
      </c>
      <c r="D57" s="5">
        <v>4</v>
      </c>
      <c r="E57" s="4">
        <v>79.3</v>
      </c>
      <c r="F57" s="3">
        <v>2.6933292113182881</v>
      </c>
      <c r="G57" s="4">
        <v>20</v>
      </c>
      <c r="H57" s="4">
        <v>34</v>
      </c>
      <c r="I57" s="2">
        <v>1.5193277310924369E-2</v>
      </c>
      <c r="J57" s="3">
        <v>104.52715623525849</v>
      </c>
      <c r="K57" s="3">
        <v>0.17</v>
      </c>
      <c r="L57" s="6">
        <f t="shared" si="0"/>
        <v>5.2263578117629241E-4</v>
      </c>
      <c r="P57" s="3">
        <f t="shared" si="1"/>
        <v>0.12859465654196381</v>
      </c>
      <c r="Q57" s="3">
        <f t="shared" si="2"/>
        <v>0.75643915612919888</v>
      </c>
      <c r="S57" s="3">
        <f t="shared" si="3"/>
        <v>0.12589793630724291</v>
      </c>
      <c r="T57" s="3">
        <f t="shared" si="4"/>
        <v>0.74057609592495821</v>
      </c>
      <c r="V57" s="3"/>
      <c r="W57" s="3"/>
    </row>
    <row r="58" spans="1:23" x14ac:dyDescent="0.3">
      <c r="B58" s="4">
        <v>12</v>
      </c>
      <c r="C58" s="5">
        <v>500</v>
      </c>
      <c r="D58" s="5">
        <v>4</v>
      </c>
      <c r="E58" s="4">
        <v>79.3</v>
      </c>
      <c r="F58" s="3">
        <v>2.6933292113182881</v>
      </c>
      <c r="G58" s="4">
        <v>20</v>
      </c>
      <c r="H58" s="4">
        <v>34</v>
      </c>
      <c r="I58" s="2">
        <v>1.5193277310924369E-2</v>
      </c>
      <c r="J58" s="3">
        <v>224.4523975917665</v>
      </c>
      <c r="K58" s="3">
        <v>0.36</v>
      </c>
      <c r="L58" s="6">
        <f t="shared" si="0"/>
        <v>1.1222619879588324E-3</v>
      </c>
      <c r="P58" s="3">
        <f t="shared" si="1"/>
        <v>0.24397820296000317</v>
      </c>
      <c r="Q58" s="3">
        <f t="shared" si="2"/>
        <v>0.67771723044445331</v>
      </c>
      <c r="S58" s="3">
        <f t="shared" si="3"/>
        <v>0.24180041306738764</v>
      </c>
      <c r="T58" s="3">
        <f t="shared" si="4"/>
        <v>0.67166781407607679</v>
      </c>
      <c r="V58" s="3"/>
      <c r="W58" s="3"/>
    </row>
    <row r="59" spans="1:23" x14ac:dyDescent="0.3">
      <c r="B59" s="4">
        <v>12</v>
      </c>
      <c r="C59" s="5">
        <v>500</v>
      </c>
      <c r="D59" s="5">
        <v>4</v>
      </c>
      <c r="E59" s="4">
        <v>79.3</v>
      </c>
      <c r="F59" s="3">
        <v>2.6933292113182881</v>
      </c>
      <c r="G59" s="4">
        <v>20</v>
      </c>
      <c r="H59" s="4">
        <v>34</v>
      </c>
      <c r="I59" s="2">
        <v>1.5193277310924369E-2</v>
      </c>
      <c r="J59" s="3">
        <v>344.37763894827469</v>
      </c>
      <c r="K59" s="3">
        <v>0.56000000000000005</v>
      </c>
      <c r="L59" s="6">
        <f t="shared" si="0"/>
        <v>1.7218881947413734E-3</v>
      </c>
      <c r="P59" s="3">
        <f t="shared" si="1"/>
        <v>0.34925625337043192</v>
      </c>
      <c r="Q59" s="3">
        <f t="shared" si="2"/>
        <v>0.62367188101862836</v>
      </c>
      <c r="S59" s="3">
        <f t="shared" si="3"/>
        <v>0.34851764617152081</v>
      </c>
      <c r="T59" s="3">
        <f t="shared" si="4"/>
        <v>0.62235293959200144</v>
      </c>
      <c r="V59" s="3"/>
      <c r="W59" s="3"/>
    </row>
    <row r="60" spans="1:23" x14ac:dyDescent="0.3">
      <c r="B60" s="4">
        <v>12</v>
      </c>
      <c r="C60" s="5">
        <v>500</v>
      </c>
      <c r="D60" s="5">
        <v>4</v>
      </c>
      <c r="E60" s="4">
        <v>79.3</v>
      </c>
      <c r="F60" s="3">
        <v>2.6933292113182881</v>
      </c>
      <c r="G60" s="4">
        <v>20</v>
      </c>
      <c r="H60" s="4">
        <v>34</v>
      </c>
      <c r="I60" s="2">
        <v>1.5193277310924369E-2</v>
      </c>
      <c r="J60" s="3">
        <v>500</v>
      </c>
      <c r="K60" s="3">
        <v>0.78</v>
      </c>
      <c r="L60" s="6">
        <f t="shared" si="0"/>
        <v>2.5000000000000001E-3</v>
      </c>
      <c r="P60" s="3">
        <f t="shared" si="1"/>
        <v>0.47735972124261083</v>
      </c>
      <c r="Q60" s="3">
        <f t="shared" si="2"/>
        <v>0.61199964261873185</v>
      </c>
      <c r="S60" s="3">
        <f t="shared" si="3"/>
        <v>0.47920055634399156</v>
      </c>
      <c r="T60" s="3">
        <f t="shared" si="4"/>
        <v>0.61435968762050197</v>
      </c>
      <c r="V60" s="3"/>
      <c r="W60" s="3"/>
    </row>
    <row r="61" spans="1:23" x14ac:dyDescent="0.3">
      <c r="A61" s="1" t="s">
        <v>14</v>
      </c>
      <c r="B61" s="4">
        <v>12</v>
      </c>
      <c r="C61" s="5">
        <v>500</v>
      </c>
      <c r="D61" s="5">
        <v>4</v>
      </c>
      <c r="E61" s="4">
        <v>46</v>
      </c>
      <c r="F61" s="3">
        <v>2.6933292113182881</v>
      </c>
      <c r="G61" s="4">
        <v>70</v>
      </c>
      <c r="H61" s="4">
        <v>88</v>
      </c>
      <c r="I61" s="2">
        <v>1.0220067765707051E-2</v>
      </c>
      <c r="J61" s="3">
        <v>108.96343267873223</v>
      </c>
      <c r="K61" s="3">
        <v>0.31</v>
      </c>
      <c r="L61" s="6">
        <f t="shared" si="0"/>
        <v>5.4481716339366119E-4</v>
      </c>
      <c r="P61" s="3">
        <f t="shared" si="1"/>
        <v>0.16362488628139787</v>
      </c>
      <c r="Q61" s="3">
        <f t="shared" si="2"/>
        <v>0.52782221381096084</v>
      </c>
      <c r="S61" s="3">
        <f t="shared" si="3"/>
        <v>0.16445613850312432</v>
      </c>
      <c r="T61" s="3">
        <f t="shared" si="4"/>
        <v>0.53050367259072362</v>
      </c>
      <c r="V61" s="3"/>
      <c r="W61" s="3"/>
    </row>
    <row r="62" spans="1:23" x14ac:dyDescent="0.3">
      <c r="B62" s="4">
        <v>12</v>
      </c>
      <c r="C62" s="5">
        <v>500</v>
      </c>
      <c r="D62" s="5">
        <v>4</v>
      </c>
      <c r="E62" s="4">
        <v>46</v>
      </c>
      <c r="F62" s="3">
        <v>2.6933292113182881</v>
      </c>
      <c r="G62" s="4">
        <v>70</v>
      </c>
      <c r="H62" s="4">
        <v>88</v>
      </c>
      <c r="I62" s="2">
        <v>1.0220067765707051E-2</v>
      </c>
      <c r="J62" s="3">
        <v>187.06576571434294</v>
      </c>
      <c r="K62" s="3">
        <v>0.44</v>
      </c>
      <c r="L62" s="6">
        <f t="shared" si="0"/>
        <v>9.3532882857171474E-4</v>
      </c>
      <c r="P62" s="3">
        <f t="shared" si="1"/>
        <v>0.2573589665295114</v>
      </c>
      <c r="Q62" s="3">
        <f t="shared" si="2"/>
        <v>0.58490674211252591</v>
      </c>
      <c r="S62" s="3">
        <f t="shared" si="3"/>
        <v>0.26091283963688988</v>
      </c>
      <c r="T62" s="3">
        <f t="shared" si="4"/>
        <v>0.59298372644747699</v>
      </c>
      <c r="V62" s="3"/>
      <c r="W62" s="3"/>
    </row>
    <row r="63" spans="1:23" x14ac:dyDescent="0.3">
      <c r="A63" s="1" t="s">
        <v>15</v>
      </c>
      <c r="B63" s="4">
        <v>12</v>
      </c>
      <c r="C63" s="5">
        <v>500</v>
      </c>
      <c r="D63" s="5">
        <v>4</v>
      </c>
      <c r="E63" s="4">
        <v>46</v>
      </c>
      <c r="F63" s="3">
        <v>2.6933292113182881</v>
      </c>
      <c r="G63" s="4">
        <v>70</v>
      </c>
      <c r="H63" s="4">
        <v>84</v>
      </c>
      <c r="I63" s="2">
        <v>1.0231758789687727E-2</v>
      </c>
      <c r="J63" s="3">
        <v>27.519506117119334</v>
      </c>
      <c r="K63" s="3">
        <v>0.14000000000000001</v>
      </c>
      <c r="L63" s="6">
        <f t="shared" si="0"/>
        <v>1.3759753058559666E-4</v>
      </c>
      <c r="P63" s="3">
        <f t="shared" si="1"/>
        <v>5.1616056746755304E-2</v>
      </c>
      <c r="Q63" s="3">
        <f t="shared" si="2"/>
        <v>0.36868611961968073</v>
      </c>
      <c r="S63" s="3">
        <f t="shared" si="3"/>
        <v>5.0742241627263644E-2</v>
      </c>
      <c r="T63" s="3">
        <f t="shared" si="4"/>
        <v>0.36244458305188315</v>
      </c>
      <c r="V63" s="3"/>
      <c r="W63" s="3"/>
    </row>
    <row r="64" spans="1:23" x14ac:dyDescent="0.3">
      <c r="B64" s="4">
        <v>12</v>
      </c>
      <c r="C64" s="5">
        <v>500</v>
      </c>
      <c r="D64" s="5">
        <v>4</v>
      </c>
      <c r="E64" s="4">
        <v>46</v>
      </c>
      <c r="F64" s="3">
        <v>2.6933292113182881</v>
      </c>
      <c r="G64" s="4">
        <v>70</v>
      </c>
      <c r="H64" s="4">
        <v>84</v>
      </c>
      <c r="I64" s="2">
        <v>1.0231758789687727E-2</v>
      </c>
      <c r="J64" s="3">
        <v>104.71116106204354</v>
      </c>
      <c r="K64" s="3">
        <v>0.31</v>
      </c>
      <c r="L64" s="6">
        <f t="shared" si="0"/>
        <v>5.2355580531021769E-4</v>
      </c>
      <c r="P64" s="3">
        <f t="shared" si="1"/>
        <v>0.15816853198871814</v>
      </c>
      <c r="Q64" s="3">
        <f t="shared" si="2"/>
        <v>0.51022107093134883</v>
      </c>
      <c r="S64" s="3">
        <f t="shared" si="3"/>
        <v>0.15885121725311238</v>
      </c>
      <c r="T64" s="3">
        <f t="shared" si="4"/>
        <v>0.51242328146165284</v>
      </c>
      <c r="V64" s="3"/>
      <c r="W64" s="3"/>
    </row>
    <row r="65" spans="1:23" x14ac:dyDescent="0.3">
      <c r="B65" s="4">
        <v>12</v>
      </c>
      <c r="C65" s="5">
        <v>500</v>
      </c>
      <c r="D65" s="5">
        <v>4</v>
      </c>
      <c r="E65" s="4">
        <v>46</v>
      </c>
      <c r="F65" s="3">
        <v>2.6933292113182881</v>
      </c>
      <c r="G65" s="4">
        <v>70</v>
      </c>
      <c r="H65" s="4">
        <v>84</v>
      </c>
      <c r="I65" s="2">
        <v>1.0231758789687727E-2</v>
      </c>
      <c r="J65" s="3">
        <v>181.90281600696778</v>
      </c>
      <c r="K65" s="3">
        <v>0.4</v>
      </c>
      <c r="L65" s="6">
        <f t="shared" si="0"/>
        <v>9.0951408003483894E-4</v>
      </c>
      <c r="P65" s="3">
        <f t="shared" si="1"/>
        <v>0.2512530870989485</v>
      </c>
      <c r="Q65" s="3">
        <f t="shared" si="2"/>
        <v>0.62813271774737123</v>
      </c>
      <c r="S65" s="3">
        <f t="shared" si="3"/>
        <v>0.25457714575822721</v>
      </c>
      <c r="T65" s="3">
        <f t="shared" si="4"/>
        <v>0.63644286439556796</v>
      </c>
      <c r="V65" s="3"/>
      <c r="W65" s="3"/>
    </row>
    <row r="66" spans="1:23" x14ac:dyDescent="0.3">
      <c r="A66" s="1" t="s">
        <v>16</v>
      </c>
      <c r="B66" s="4">
        <v>12</v>
      </c>
      <c r="C66" s="5">
        <v>500</v>
      </c>
      <c r="D66" s="5">
        <v>4</v>
      </c>
      <c r="E66" s="4">
        <v>46</v>
      </c>
      <c r="F66" s="3">
        <v>2.6933292113182881</v>
      </c>
      <c r="G66" s="4">
        <v>70</v>
      </c>
      <c r="H66" s="4">
        <v>84</v>
      </c>
      <c r="I66" s="2">
        <v>1.0231758789687727E-2</v>
      </c>
      <c r="J66" s="3">
        <v>27.519506117119334</v>
      </c>
      <c r="K66" s="3">
        <v>0.25</v>
      </c>
      <c r="L66" s="6">
        <f t="shared" si="0"/>
        <v>1.3759753058559666E-4</v>
      </c>
      <c r="P66" s="3">
        <f t="shared" si="1"/>
        <v>5.1616056746755304E-2</v>
      </c>
      <c r="Q66" s="3">
        <f t="shared" si="2"/>
        <v>0.20646422698702122</v>
      </c>
      <c r="S66" s="3">
        <f t="shared" si="3"/>
        <v>5.0742241627263644E-2</v>
      </c>
      <c r="T66" s="3">
        <f t="shared" si="4"/>
        <v>0.20296896650905458</v>
      </c>
      <c r="V66" s="3"/>
      <c r="W66" s="3"/>
    </row>
    <row r="67" spans="1:23" x14ac:dyDescent="0.3">
      <c r="B67" s="4">
        <v>12</v>
      </c>
      <c r="C67" s="5">
        <v>500</v>
      </c>
      <c r="D67" s="5">
        <v>4</v>
      </c>
      <c r="E67" s="4">
        <v>46</v>
      </c>
      <c r="F67" s="3">
        <v>2.6933292113182881</v>
      </c>
      <c r="G67" s="4">
        <v>70</v>
      </c>
      <c r="H67" s="4">
        <v>84</v>
      </c>
      <c r="I67" s="2">
        <v>1.0231758789687727E-2</v>
      </c>
      <c r="J67" s="3">
        <v>104.71116106204354</v>
      </c>
      <c r="K67" s="3">
        <v>0.44</v>
      </c>
      <c r="L67" s="6">
        <f t="shared" si="0"/>
        <v>5.2355580531021769E-4</v>
      </c>
      <c r="P67" s="3">
        <f t="shared" si="1"/>
        <v>0.15816853198871814</v>
      </c>
      <c r="Q67" s="3">
        <f t="shared" si="2"/>
        <v>0.35947393633799574</v>
      </c>
      <c r="S67" s="3">
        <f t="shared" si="3"/>
        <v>0.15885121725311238</v>
      </c>
      <c r="T67" s="3">
        <f t="shared" si="4"/>
        <v>0.3610254937570736</v>
      </c>
      <c r="V67" s="3"/>
      <c r="W67" s="3"/>
    </row>
    <row r="68" spans="1:23" x14ac:dyDescent="0.3">
      <c r="B68" s="4">
        <v>12</v>
      </c>
      <c r="C68" s="5">
        <v>500</v>
      </c>
      <c r="D68" s="5">
        <v>4</v>
      </c>
      <c r="E68" s="4">
        <v>46</v>
      </c>
      <c r="F68" s="3">
        <v>2.6933292113182881</v>
      </c>
      <c r="G68" s="4">
        <v>70</v>
      </c>
      <c r="H68" s="4">
        <v>84</v>
      </c>
      <c r="I68" s="2">
        <v>1.0231758789687727E-2</v>
      </c>
      <c r="J68" s="3">
        <v>181.90281600696778</v>
      </c>
      <c r="K68" s="3">
        <v>0.56000000000000005</v>
      </c>
      <c r="L68" s="6">
        <f t="shared" si="0"/>
        <v>9.0951408003483894E-4</v>
      </c>
      <c r="P68" s="3">
        <f t="shared" si="1"/>
        <v>0.2512530870989485</v>
      </c>
      <c r="Q68" s="3">
        <f t="shared" si="2"/>
        <v>0.44866622696240799</v>
      </c>
      <c r="S68" s="3">
        <f t="shared" si="3"/>
        <v>0.25457714575822721</v>
      </c>
      <c r="T68" s="3">
        <f t="shared" si="4"/>
        <v>0.45460204599683424</v>
      </c>
      <c r="V68" s="3"/>
      <c r="W68" s="3"/>
    </row>
    <row r="69" spans="1:23" x14ac:dyDescent="0.3">
      <c r="A69" s="1" t="s">
        <v>17</v>
      </c>
      <c r="B69" s="4">
        <v>25</v>
      </c>
      <c r="C69" s="5">
        <v>500</v>
      </c>
      <c r="D69" s="5">
        <v>4</v>
      </c>
      <c r="E69" s="4">
        <v>62</v>
      </c>
      <c r="F69" s="3">
        <v>2.6933292113182881</v>
      </c>
      <c r="G69" s="4">
        <v>20</v>
      </c>
      <c r="H69" s="4">
        <v>40.5</v>
      </c>
      <c r="I69" s="2">
        <v>5.5421516754850089E-2</v>
      </c>
      <c r="J69" s="3">
        <v>173.78881902899866</v>
      </c>
      <c r="K69" s="3">
        <v>0.23</v>
      </c>
      <c r="L69" s="6">
        <f t="shared" si="0"/>
        <v>8.689440951449933E-4</v>
      </c>
      <c r="P69" s="3">
        <f t="shared" si="1"/>
        <v>0.23278899651165824</v>
      </c>
      <c r="Q69" s="3">
        <f t="shared" si="2"/>
        <v>1.0121260717898184</v>
      </c>
      <c r="S69" s="3">
        <f t="shared" si="3"/>
        <v>0.22983824399723454</v>
      </c>
      <c r="T69" s="3">
        <f t="shared" si="4"/>
        <v>0.99929671303145451</v>
      </c>
      <c r="V69" s="3"/>
      <c r="W69" s="3"/>
    </row>
    <row r="70" spans="1:23" x14ac:dyDescent="0.3">
      <c r="B70" s="4">
        <v>25</v>
      </c>
      <c r="C70" s="5">
        <v>500</v>
      </c>
      <c r="D70" s="5">
        <v>4</v>
      </c>
      <c r="E70" s="4">
        <v>62</v>
      </c>
      <c r="F70" s="3">
        <v>2.6933292113182881</v>
      </c>
      <c r="G70" s="4">
        <v>20</v>
      </c>
      <c r="H70" s="4">
        <v>40.5</v>
      </c>
      <c r="I70" s="2">
        <v>5.5421516754850089E-2</v>
      </c>
      <c r="J70" s="3">
        <v>293.9892326254855</v>
      </c>
      <c r="K70" s="3">
        <v>0.35</v>
      </c>
      <c r="L70" s="6">
        <f t="shared" si="0"/>
        <v>1.4699461631274276E-3</v>
      </c>
      <c r="P70" s="3">
        <f t="shared" si="1"/>
        <v>0.36164784939021333</v>
      </c>
      <c r="Q70" s="3">
        <f t="shared" si="2"/>
        <v>1.033279569686324</v>
      </c>
      <c r="S70" s="3">
        <f t="shared" si="3"/>
        <v>0.36007974056289921</v>
      </c>
      <c r="T70" s="3">
        <f t="shared" si="4"/>
        <v>1.0287992587511408</v>
      </c>
      <c r="V70" s="3"/>
      <c r="W70" s="3"/>
    </row>
    <row r="71" spans="1:23" x14ac:dyDescent="0.3">
      <c r="B71" s="4">
        <v>25</v>
      </c>
      <c r="C71" s="5">
        <v>500</v>
      </c>
      <c r="D71" s="5">
        <v>4</v>
      </c>
      <c r="E71" s="4">
        <v>62</v>
      </c>
      <c r="F71" s="3">
        <v>2.6933292113182881</v>
      </c>
      <c r="G71" s="4">
        <v>20</v>
      </c>
      <c r="H71" s="4">
        <v>40.5</v>
      </c>
      <c r="I71" s="2">
        <v>5.5421516754850089E-2</v>
      </c>
      <c r="J71" s="3">
        <v>414.1896462219724</v>
      </c>
      <c r="K71" s="3">
        <v>0.49</v>
      </c>
      <c r="L71" s="6">
        <f t="shared" si="0"/>
        <v>2.0709482311098621E-3</v>
      </c>
      <c r="P71" s="3">
        <f t="shared" si="1"/>
        <v>0.481988986531181</v>
      </c>
      <c r="Q71" s="3">
        <f t="shared" si="2"/>
        <v>0.98365099292077751</v>
      </c>
      <c r="S71" s="3">
        <f t="shared" si="3"/>
        <v>0.48253831119942275</v>
      </c>
      <c r="T71" s="3">
        <f t="shared" si="4"/>
        <v>0.98477206367229131</v>
      </c>
      <c r="V71" s="3"/>
      <c r="W71" s="3"/>
    </row>
    <row r="72" spans="1:23" x14ac:dyDescent="0.3">
      <c r="B72" s="4">
        <v>25</v>
      </c>
      <c r="C72" s="5">
        <v>500</v>
      </c>
      <c r="D72" s="5">
        <v>4</v>
      </c>
      <c r="E72" s="4">
        <v>62</v>
      </c>
      <c r="F72" s="3">
        <v>2.6933292113182881</v>
      </c>
      <c r="G72" s="4">
        <v>20</v>
      </c>
      <c r="H72" s="4">
        <v>40.5</v>
      </c>
      <c r="I72" s="2">
        <v>5.5421516754850089E-2</v>
      </c>
      <c r="J72" s="3">
        <v>500</v>
      </c>
      <c r="K72" s="3">
        <v>0.67</v>
      </c>
      <c r="L72" s="6">
        <f t="shared" si="0"/>
        <v>2.5000000000000001E-3</v>
      </c>
      <c r="P72" s="3">
        <f t="shared" si="1"/>
        <v>0.56436622693531402</v>
      </c>
      <c r="Q72" s="3">
        <f t="shared" si="2"/>
        <v>0.84233765214225964</v>
      </c>
      <c r="S72" s="3">
        <f t="shared" si="3"/>
        <v>0.56671412080287131</v>
      </c>
      <c r="T72" s="3">
        <f t="shared" si="4"/>
        <v>0.84584197134756911</v>
      </c>
      <c r="V72" s="3"/>
      <c r="W72" s="3"/>
    </row>
    <row r="73" spans="1:23" x14ac:dyDescent="0.3">
      <c r="A73" s="1" t="s">
        <v>18</v>
      </c>
      <c r="B73" s="4">
        <v>25</v>
      </c>
      <c r="C73" s="5">
        <v>500</v>
      </c>
      <c r="D73" s="5">
        <v>4</v>
      </c>
      <c r="E73" s="4">
        <v>62</v>
      </c>
      <c r="F73" s="3">
        <v>2.6933292113182881</v>
      </c>
      <c r="G73" s="4">
        <v>20</v>
      </c>
      <c r="H73" s="4">
        <v>40.5</v>
      </c>
      <c r="I73" s="2">
        <v>5.5421516754850089E-2</v>
      </c>
      <c r="J73" s="3">
        <v>173.78881902899866</v>
      </c>
      <c r="K73" s="3">
        <v>0.27</v>
      </c>
      <c r="L73" s="6">
        <f t="shared" si="0"/>
        <v>8.689440951449933E-4</v>
      </c>
      <c r="P73" s="3">
        <f t="shared" si="1"/>
        <v>0.23278899651165824</v>
      </c>
      <c r="Q73" s="3">
        <f t="shared" si="2"/>
        <v>0.86218146856169708</v>
      </c>
      <c r="S73" s="3">
        <f t="shared" si="3"/>
        <v>0.22983824399723454</v>
      </c>
      <c r="T73" s="3">
        <f t="shared" si="4"/>
        <v>0.8512527555453131</v>
      </c>
      <c r="V73" s="3"/>
      <c r="W73" s="3"/>
    </row>
    <row r="74" spans="1:23" x14ac:dyDescent="0.3">
      <c r="B74" s="4">
        <v>25</v>
      </c>
      <c r="C74" s="5">
        <v>500</v>
      </c>
      <c r="D74" s="5">
        <v>4</v>
      </c>
      <c r="E74" s="4">
        <v>62</v>
      </c>
      <c r="F74" s="3">
        <v>2.6933292113182881</v>
      </c>
      <c r="G74" s="4">
        <v>20</v>
      </c>
      <c r="H74" s="4">
        <v>40.5</v>
      </c>
      <c r="I74" s="2">
        <v>5.5421516754850089E-2</v>
      </c>
      <c r="J74" s="3">
        <v>293.9892326254855</v>
      </c>
      <c r="K74" s="3">
        <v>0.4</v>
      </c>
      <c r="L74" s="6">
        <f t="shared" si="0"/>
        <v>1.4699461631274276E-3</v>
      </c>
      <c r="P74" s="3">
        <f t="shared" si="1"/>
        <v>0.36164784939021333</v>
      </c>
      <c r="Q74" s="3">
        <f t="shared" si="2"/>
        <v>0.90411962347553332</v>
      </c>
      <c r="S74" s="3">
        <f t="shared" si="3"/>
        <v>0.36007974056289921</v>
      </c>
      <c r="T74" s="3">
        <f t="shared" si="4"/>
        <v>0.90019935140724794</v>
      </c>
      <c r="V74" s="3"/>
      <c r="W74" s="3"/>
    </row>
    <row r="75" spans="1:23" x14ac:dyDescent="0.3">
      <c r="B75" s="4">
        <v>25</v>
      </c>
      <c r="C75" s="5">
        <v>500</v>
      </c>
      <c r="D75" s="5">
        <v>4</v>
      </c>
      <c r="E75" s="4">
        <v>62</v>
      </c>
      <c r="F75" s="3">
        <v>2.6933292113182881</v>
      </c>
      <c r="G75" s="4">
        <v>20</v>
      </c>
      <c r="H75" s="4">
        <v>40.5</v>
      </c>
      <c r="I75" s="2">
        <v>5.5421516754850089E-2</v>
      </c>
      <c r="J75" s="3">
        <v>414.1896462219724</v>
      </c>
      <c r="K75" s="3">
        <v>0.53</v>
      </c>
      <c r="L75" s="6">
        <f t="shared" si="0"/>
        <v>2.0709482311098621E-3</v>
      </c>
      <c r="P75" s="3">
        <f t="shared" si="1"/>
        <v>0.481988986531181</v>
      </c>
      <c r="Q75" s="3">
        <f t="shared" si="2"/>
        <v>0.90941318213430367</v>
      </c>
      <c r="S75" s="3">
        <f t="shared" si="3"/>
        <v>0.48253831119942275</v>
      </c>
      <c r="T75" s="3">
        <f t="shared" si="4"/>
        <v>0.91044964377249571</v>
      </c>
      <c r="V75" s="3"/>
      <c r="W75" s="3"/>
    </row>
    <row r="76" spans="1:23" x14ac:dyDescent="0.3">
      <c r="B76" s="4">
        <v>25</v>
      </c>
      <c r="C76" s="5">
        <v>500</v>
      </c>
      <c r="D76" s="5">
        <v>4</v>
      </c>
      <c r="E76" s="4">
        <v>62</v>
      </c>
      <c r="F76" s="3">
        <v>2.6933292113182881</v>
      </c>
      <c r="G76" s="4">
        <v>20</v>
      </c>
      <c r="H76" s="4">
        <v>40.5</v>
      </c>
      <c r="I76" s="2">
        <v>5.5421516754850089E-2</v>
      </c>
      <c r="J76" s="3">
        <v>500</v>
      </c>
      <c r="K76" s="3">
        <v>0.72</v>
      </c>
      <c r="L76" s="6">
        <f t="shared" ref="L76:L139" si="5">J76/200000</f>
        <v>2.5000000000000001E-3</v>
      </c>
      <c r="P76" s="3">
        <f t="shared" ref="P76:P139" si="6">$Q$2*($Q$3*$G76+$Q$4*$B76^$Q$5*$I76^$Q$6)*$L76^$Q$7</f>
        <v>0.56436622693531402</v>
      </c>
      <c r="Q76" s="3">
        <f t="shared" ref="Q76:Q139" si="7">P76/$K76</f>
        <v>0.78384198185460285</v>
      </c>
      <c r="S76" s="3">
        <f t="shared" ref="S76:S139" si="8">$T$2*$B76^$T$3*$L76^$T$4*($T$5*$I76^$T$6+$T$7)</f>
        <v>0.56671412080287131</v>
      </c>
      <c r="T76" s="3">
        <f t="shared" ref="T76:T139" si="9">S76/$K76</f>
        <v>0.78710294555954352</v>
      </c>
      <c r="V76" s="3"/>
      <c r="W76" s="3"/>
    </row>
    <row r="77" spans="1:23" x14ac:dyDescent="0.3">
      <c r="A77" s="1" t="s">
        <v>19</v>
      </c>
      <c r="B77" s="4">
        <v>25</v>
      </c>
      <c r="C77" s="5">
        <v>500</v>
      </c>
      <c r="D77" s="5">
        <v>4</v>
      </c>
      <c r="E77" s="4">
        <v>28.7</v>
      </c>
      <c r="F77" s="3">
        <v>2.6933292113182881</v>
      </c>
      <c r="G77" s="4">
        <v>70</v>
      </c>
      <c r="H77" s="4">
        <v>94.5</v>
      </c>
      <c r="I77" s="2">
        <v>5.2620596145749564E-2</v>
      </c>
      <c r="J77" s="3">
        <v>80.821505172038826</v>
      </c>
      <c r="K77" s="3">
        <v>0.3</v>
      </c>
      <c r="L77" s="6">
        <f t="shared" si="5"/>
        <v>4.0410752586019411E-4</v>
      </c>
      <c r="P77" s="3">
        <f t="shared" si="6"/>
        <v>0.12708977184583406</v>
      </c>
      <c r="Q77" s="3">
        <f t="shared" si="7"/>
        <v>0.42363257281944688</v>
      </c>
      <c r="S77" s="3">
        <f t="shared" si="8"/>
        <v>0.12244669289719495</v>
      </c>
      <c r="T77" s="3">
        <f t="shared" si="9"/>
        <v>0.40815564299064988</v>
      </c>
      <c r="V77" s="3"/>
      <c r="W77" s="3"/>
    </row>
    <row r="78" spans="1:23" x14ac:dyDescent="0.3">
      <c r="B78" s="4">
        <v>25</v>
      </c>
      <c r="C78" s="5">
        <v>500</v>
      </c>
      <c r="D78" s="5">
        <v>4</v>
      </c>
      <c r="E78" s="4">
        <v>28.7</v>
      </c>
      <c r="F78" s="3">
        <v>2.6933292113182881</v>
      </c>
      <c r="G78" s="4">
        <v>70</v>
      </c>
      <c r="H78" s="4">
        <v>94.5</v>
      </c>
      <c r="I78" s="2">
        <v>5.2620596145749564E-2</v>
      </c>
      <c r="J78" s="3">
        <v>211.1239092178794</v>
      </c>
      <c r="K78" s="3">
        <v>0.56999999999999995</v>
      </c>
      <c r="L78" s="6">
        <f t="shared" si="5"/>
        <v>1.0556195460893971E-3</v>
      </c>
      <c r="P78" s="3">
        <f t="shared" si="6"/>
        <v>0.28416159781379141</v>
      </c>
      <c r="Q78" s="3">
        <f t="shared" si="7"/>
        <v>0.49852911897156393</v>
      </c>
      <c r="S78" s="3">
        <f t="shared" si="8"/>
        <v>0.27801870352876989</v>
      </c>
      <c r="T78" s="3">
        <f t="shared" si="9"/>
        <v>0.48775211145398234</v>
      </c>
      <c r="V78" s="3"/>
      <c r="W78" s="3"/>
    </row>
    <row r="79" spans="1:23" x14ac:dyDescent="0.3">
      <c r="A79" s="1" t="s">
        <v>20</v>
      </c>
      <c r="B79" s="4">
        <v>25</v>
      </c>
      <c r="C79" s="5">
        <v>500</v>
      </c>
      <c r="D79" s="5">
        <v>4</v>
      </c>
      <c r="E79" s="4">
        <v>28.7</v>
      </c>
      <c r="F79" s="3">
        <v>2.6933292113182881</v>
      </c>
      <c r="G79" s="4">
        <v>70</v>
      </c>
      <c r="H79" s="4">
        <v>90.5</v>
      </c>
      <c r="I79" s="2">
        <v>5.2767941707515108E-2</v>
      </c>
      <c r="J79" s="3">
        <v>79.47320655089996</v>
      </c>
      <c r="K79" s="3">
        <v>0.26</v>
      </c>
      <c r="L79" s="6">
        <f t="shared" si="5"/>
        <v>3.9736603275449981E-4</v>
      </c>
      <c r="P79" s="3">
        <f t="shared" si="6"/>
        <v>0.12513992992285181</v>
      </c>
      <c r="Q79" s="3">
        <f t="shared" si="7"/>
        <v>0.48130742278019922</v>
      </c>
      <c r="S79" s="3">
        <f t="shared" si="8"/>
        <v>0.12054236061637519</v>
      </c>
      <c r="T79" s="3">
        <f t="shared" si="9"/>
        <v>0.46362446390913531</v>
      </c>
      <c r="V79" s="3"/>
      <c r="W79" s="3"/>
    </row>
    <row r="80" spans="1:23" x14ac:dyDescent="0.3">
      <c r="B80" s="4">
        <v>25</v>
      </c>
      <c r="C80" s="5">
        <v>500</v>
      </c>
      <c r="D80" s="5">
        <v>4</v>
      </c>
      <c r="E80" s="4">
        <v>28.7</v>
      </c>
      <c r="F80" s="3">
        <v>2.6933292113182881</v>
      </c>
      <c r="G80" s="4">
        <v>70</v>
      </c>
      <c r="H80" s="4">
        <v>90.5</v>
      </c>
      <c r="I80" s="2">
        <v>5.2767941707515108E-2</v>
      </c>
      <c r="J80" s="3">
        <v>207.90819962893212</v>
      </c>
      <c r="K80" s="3">
        <v>0.6</v>
      </c>
      <c r="L80" s="6">
        <f t="shared" si="5"/>
        <v>1.0395409981446607E-3</v>
      </c>
      <c r="P80" s="3">
        <f t="shared" si="6"/>
        <v>0.28014788379504457</v>
      </c>
      <c r="Q80" s="3">
        <f t="shared" si="7"/>
        <v>0.46691313965840764</v>
      </c>
      <c r="S80" s="3">
        <f t="shared" si="8"/>
        <v>0.27403973886292105</v>
      </c>
      <c r="T80" s="3">
        <f t="shared" si="9"/>
        <v>0.45673289810486845</v>
      </c>
      <c r="V80" s="3"/>
      <c r="W80" s="3"/>
    </row>
    <row r="81" spans="1:23" x14ac:dyDescent="0.3">
      <c r="A81" s="1" t="s">
        <v>21</v>
      </c>
      <c r="B81" s="4">
        <v>25</v>
      </c>
      <c r="C81" s="5">
        <v>500</v>
      </c>
      <c r="D81" s="5">
        <v>4</v>
      </c>
      <c r="E81" s="4">
        <v>28.7</v>
      </c>
      <c r="F81" s="3">
        <v>2.6933292113182881</v>
      </c>
      <c r="G81" s="4">
        <v>70</v>
      </c>
      <c r="H81" s="4">
        <v>90.5</v>
      </c>
      <c r="I81" s="2">
        <v>5.2767941707515108E-2</v>
      </c>
      <c r="J81" s="3">
        <v>79.47320655089996</v>
      </c>
      <c r="K81" s="3">
        <v>0.27</v>
      </c>
      <c r="L81" s="6">
        <f t="shared" si="5"/>
        <v>3.9736603275449981E-4</v>
      </c>
      <c r="P81" s="3">
        <f t="shared" si="6"/>
        <v>0.12513992992285181</v>
      </c>
      <c r="Q81" s="3">
        <f t="shared" si="7"/>
        <v>0.46348122193648816</v>
      </c>
      <c r="S81" s="3">
        <f t="shared" si="8"/>
        <v>0.12054236061637519</v>
      </c>
      <c r="T81" s="3">
        <f t="shared" si="9"/>
        <v>0.44645318746805623</v>
      </c>
      <c r="V81" s="3"/>
      <c r="W81" s="3"/>
    </row>
    <row r="82" spans="1:23" x14ac:dyDescent="0.3">
      <c r="B82" s="4">
        <v>25</v>
      </c>
      <c r="C82" s="5">
        <v>500</v>
      </c>
      <c r="D82" s="5">
        <v>4</v>
      </c>
      <c r="E82" s="4">
        <v>28.7</v>
      </c>
      <c r="F82" s="3">
        <v>2.6933292113182881</v>
      </c>
      <c r="G82" s="4">
        <v>70</v>
      </c>
      <c r="H82" s="4">
        <v>90.5</v>
      </c>
      <c r="I82" s="2">
        <v>5.2767941707515108E-2</v>
      </c>
      <c r="J82" s="3">
        <v>207.90819962893212</v>
      </c>
      <c r="K82" s="3">
        <v>0.59</v>
      </c>
      <c r="L82" s="6">
        <f t="shared" si="5"/>
        <v>1.0395409981446607E-3</v>
      </c>
      <c r="P82" s="3">
        <f t="shared" si="6"/>
        <v>0.28014788379504457</v>
      </c>
      <c r="Q82" s="3">
        <f t="shared" si="7"/>
        <v>0.47482692168651625</v>
      </c>
      <c r="S82" s="3">
        <f t="shared" si="8"/>
        <v>0.27403973886292105</v>
      </c>
      <c r="T82" s="3">
        <f t="shared" si="9"/>
        <v>0.4644741336659679</v>
      </c>
      <c r="V82" s="3"/>
      <c r="W82" s="3"/>
    </row>
    <row r="83" spans="1:23" x14ac:dyDescent="0.3">
      <c r="A83" s="1" t="s">
        <v>22</v>
      </c>
      <c r="B83" s="4">
        <v>9.52</v>
      </c>
      <c r="C83" s="5">
        <v>434</v>
      </c>
      <c r="D83" s="5">
        <v>3</v>
      </c>
      <c r="E83" s="4">
        <v>22.2</v>
      </c>
      <c r="F83" s="3">
        <v>3.5641600019995088</v>
      </c>
      <c r="G83" s="4">
        <v>20.64</v>
      </c>
      <c r="H83" s="4">
        <v>25.4</v>
      </c>
      <c r="I83" s="2">
        <v>3.2448510099947522E-2</v>
      </c>
      <c r="J83" s="3">
        <v>246.11294750254217</v>
      </c>
      <c r="K83" s="3">
        <v>0.15</v>
      </c>
      <c r="L83" s="6">
        <f t="shared" si="5"/>
        <v>1.2305647375127108E-3</v>
      </c>
      <c r="P83" s="3">
        <f t="shared" si="6"/>
        <v>0.14095936594946551</v>
      </c>
      <c r="Q83" s="3">
        <f t="shared" si="7"/>
        <v>0.93972910632977014</v>
      </c>
      <c r="S83" s="3">
        <f t="shared" si="8"/>
        <v>0.13266622999610361</v>
      </c>
      <c r="T83" s="3">
        <f t="shared" si="9"/>
        <v>0.88444153330735742</v>
      </c>
      <c r="V83" s="3"/>
      <c r="W83" s="3"/>
    </row>
    <row r="84" spans="1:23" x14ac:dyDescent="0.3">
      <c r="B84" s="4">
        <v>9.52</v>
      </c>
      <c r="C84" s="5">
        <v>434</v>
      </c>
      <c r="D84" s="5">
        <v>3</v>
      </c>
      <c r="E84" s="4">
        <v>22.2</v>
      </c>
      <c r="F84" s="3">
        <v>3.5641600019995088</v>
      </c>
      <c r="G84" s="4">
        <v>20.64</v>
      </c>
      <c r="H84" s="4">
        <v>25.4</v>
      </c>
      <c r="I84" s="2">
        <v>3.2448510099947522E-2</v>
      </c>
      <c r="J84" s="3">
        <v>307.81003856067383</v>
      </c>
      <c r="K84" s="3">
        <v>0.17</v>
      </c>
      <c r="L84" s="6">
        <f t="shared" si="5"/>
        <v>1.5390501928033691E-3</v>
      </c>
      <c r="P84" s="3">
        <f t="shared" si="6"/>
        <v>0.17002165047867376</v>
      </c>
      <c r="Q84" s="3">
        <f t="shared" si="7"/>
        <v>1.0001273557569044</v>
      </c>
      <c r="S84" s="3">
        <f t="shared" si="8"/>
        <v>0.16059242315244682</v>
      </c>
      <c r="T84" s="3">
        <f t="shared" si="9"/>
        <v>0.94466131266145181</v>
      </c>
      <c r="V84" s="3"/>
      <c r="W84" s="3"/>
    </row>
    <row r="85" spans="1:23" x14ac:dyDescent="0.3">
      <c r="A85" s="1" t="s">
        <v>23</v>
      </c>
      <c r="B85" s="4">
        <v>12.7</v>
      </c>
      <c r="C85" s="5">
        <v>434</v>
      </c>
      <c r="D85" s="5">
        <v>3</v>
      </c>
      <c r="E85" s="4">
        <v>19.05</v>
      </c>
      <c r="F85" s="3">
        <v>3.9766081638229425</v>
      </c>
      <c r="G85" s="4">
        <v>19.05</v>
      </c>
      <c r="H85" s="4">
        <v>25.4</v>
      </c>
      <c r="I85" s="2">
        <v>6.4212474555939286E-2</v>
      </c>
      <c r="J85" s="3">
        <v>272.94331877332746</v>
      </c>
      <c r="K85" s="3">
        <v>0.15</v>
      </c>
      <c r="L85" s="6">
        <f t="shared" si="5"/>
        <v>1.3647165938666373E-3</v>
      </c>
      <c r="P85" s="3">
        <f t="shared" si="6"/>
        <v>0.15055646315401114</v>
      </c>
      <c r="Q85" s="3">
        <f t="shared" si="7"/>
        <v>1.0037097543600744</v>
      </c>
      <c r="S85" s="3">
        <f t="shared" si="8"/>
        <v>0.1452461591198593</v>
      </c>
      <c r="T85" s="3">
        <f t="shared" si="9"/>
        <v>0.96830772746572868</v>
      </c>
      <c r="V85" s="3"/>
      <c r="W85" s="3"/>
    </row>
    <row r="86" spans="1:23" x14ac:dyDescent="0.3">
      <c r="B86" s="4">
        <v>12.7</v>
      </c>
      <c r="C86" s="5">
        <v>434</v>
      </c>
      <c r="D86" s="5">
        <v>3</v>
      </c>
      <c r="E86" s="4">
        <v>19.05</v>
      </c>
      <c r="F86" s="3">
        <v>3.9766081638229425</v>
      </c>
      <c r="G86" s="4">
        <v>19.05</v>
      </c>
      <c r="H86" s="4">
        <v>25.4</v>
      </c>
      <c r="I86" s="2">
        <v>6.4212474555939286E-2</v>
      </c>
      <c r="J86" s="3">
        <v>325.35859300264394</v>
      </c>
      <c r="K86" s="3">
        <v>0.17</v>
      </c>
      <c r="L86" s="6">
        <f t="shared" si="5"/>
        <v>1.6267929650132197E-3</v>
      </c>
      <c r="P86" s="3">
        <f t="shared" si="6"/>
        <v>0.17443364960621688</v>
      </c>
      <c r="Q86" s="3">
        <f t="shared" si="7"/>
        <v>1.0260802918012757</v>
      </c>
      <c r="S86" s="3">
        <f t="shared" si="8"/>
        <v>0.1687548088614364</v>
      </c>
      <c r="T86" s="3">
        <f t="shared" si="9"/>
        <v>0.99267534624374343</v>
      </c>
      <c r="V86" s="3"/>
      <c r="W86" s="3"/>
    </row>
    <row r="87" spans="1:23" x14ac:dyDescent="0.3">
      <c r="B87" s="4">
        <v>12.7</v>
      </c>
      <c r="C87" s="5">
        <v>434</v>
      </c>
      <c r="D87" s="5">
        <v>3</v>
      </c>
      <c r="E87" s="4">
        <v>19.05</v>
      </c>
      <c r="F87" s="3">
        <v>3.9766081638229425</v>
      </c>
      <c r="G87" s="4">
        <v>19.05</v>
      </c>
      <c r="H87" s="4">
        <v>25.4</v>
      </c>
      <c r="I87" s="2">
        <v>6.4212474555939286E-2</v>
      </c>
      <c r="J87" s="3">
        <v>399.75446610231916</v>
      </c>
      <c r="K87" s="3">
        <v>0.2</v>
      </c>
      <c r="L87" s="6">
        <f t="shared" si="5"/>
        <v>1.9987723305115957E-3</v>
      </c>
      <c r="P87" s="3">
        <f t="shared" si="6"/>
        <v>0.20728767557158795</v>
      </c>
      <c r="Q87" s="3">
        <f t="shared" si="7"/>
        <v>1.0364383778579396</v>
      </c>
      <c r="S87" s="3">
        <f t="shared" si="8"/>
        <v>0.20120106176490793</v>
      </c>
      <c r="T87" s="3">
        <f t="shared" si="9"/>
        <v>1.0060053088245395</v>
      </c>
      <c r="V87" s="3"/>
      <c r="W87" s="3"/>
    </row>
    <row r="88" spans="1:23" x14ac:dyDescent="0.3">
      <c r="A88" s="1" t="s">
        <v>24</v>
      </c>
      <c r="B88" s="4">
        <v>15.9</v>
      </c>
      <c r="C88" s="5">
        <v>540</v>
      </c>
      <c r="D88" s="5">
        <v>3</v>
      </c>
      <c r="E88" s="4">
        <v>15.9</v>
      </c>
      <c r="F88" s="3">
        <v>3.9766081638229425</v>
      </c>
      <c r="G88" s="4">
        <v>17.46</v>
      </c>
      <c r="H88" s="4">
        <v>25.4</v>
      </c>
      <c r="I88" s="2">
        <v>0.10835067563565463</v>
      </c>
      <c r="J88" s="3">
        <v>266.8780737602973</v>
      </c>
      <c r="K88" s="3">
        <v>0.16</v>
      </c>
      <c r="L88" s="6">
        <f t="shared" si="5"/>
        <v>1.3343903688014865E-3</v>
      </c>
      <c r="P88" s="3">
        <f t="shared" si="6"/>
        <v>0.14598075680584238</v>
      </c>
      <c r="Q88" s="3">
        <f t="shared" si="7"/>
        <v>0.91237973003651485</v>
      </c>
      <c r="S88" s="3">
        <f t="shared" si="8"/>
        <v>0.14818587249707449</v>
      </c>
      <c r="T88" s="3">
        <f t="shared" si="9"/>
        <v>0.92616170310671553</v>
      </c>
      <c r="V88" s="3"/>
      <c r="W88" s="3"/>
    </row>
    <row r="89" spans="1:23" x14ac:dyDescent="0.3">
      <c r="B89" s="4">
        <v>15.9</v>
      </c>
      <c r="C89" s="5">
        <v>540</v>
      </c>
      <c r="D89" s="5">
        <v>3</v>
      </c>
      <c r="E89" s="4">
        <v>15.9</v>
      </c>
      <c r="F89" s="3">
        <v>3.9766081638229425</v>
      </c>
      <c r="G89" s="4">
        <v>17.46</v>
      </c>
      <c r="H89" s="4">
        <v>25.4</v>
      </c>
      <c r="I89" s="2">
        <v>0.10835067563565463</v>
      </c>
      <c r="J89" s="3">
        <v>368.25371250744291</v>
      </c>
      <c r="K89" s="3">
        <v>0.21</v>
      </c>
      <c r="L89" s="6">
        <f t="shared" si="5"/>
        <v>1.8412685625372146E-3</v>
      </c>
      <c r="P89" s="3">
        <f t="shared" si="6"/>
        <v>0.1911950760614318</v>
      </c>
      <c r="Q89" s="3">
        <f t="shared" si="7"/>
        <v>0.91045274314967528</v>
      </c>
      <c r="S89" s="3">
        <f t="shared" si="8"/>
        <v>0.19508561274832875</v>
      </c>
      <c r="T89" s="3">
        <f t="shared" si="9"/>
        <v>0.928979108325375</v>
      </c>
      <c r="V89" s="3"/>
      <c r="W89" s="3"/>
    </row>
    <row r="90" spans="1:23" x14ac:dyDescent="0.3">
      <c r="A90" s="1" t="s">
        <v>25</v>
      </c>
      <c r="B90" s="4">
        <v>16</v>
      </c>
      <c r="C90" s="5">
        <v>500</v>
      </c>
      <c r="D90" s="5">
        <v>2</v>
      </c>
      <c r="E90" s="4">
        <v>138</v>
      </c>
      <c r="F90" s="3">
        <v>3.2689999999999997</v>
      </c>
      <c r="G90" s="4">
        <v>40</v>
      </c>
      <c r="H90" s="4">
        <v>48</v>
      </c>
      <c r="I90" s="2">
        <v>1.7479097888417915E-2</v>
      </c>
      <c r="J90" s="3">
        <v>58.493281029359594</v>
      </c>
      <c r="K90" s="3">
        <v>0.15</v>
      </c>
      <c r="L90" s="6">
        <f t="shared" si="5"/>
        <v>2.9246640514679796E-4</v>
      </c>
      <c r="P90" s="3">
        <f t="shared" si="6"/>
        <v>0.10157243909996448</v>
      </c>
      <c r="Q90" s="3">
        <f t="shared" si="7"/>
        <v>0.67714959399976327</v>
      </c>
      <c r="S90" s="3">
        <f t="shared" si="8"/>
        <v>9.8535618139367592E-2</v>
      </c>
      <c r="T90" s="3">
        <f t="shared" si="9"/>
        <v>0.65690412092911732</v>
      </c>
      <c r="V90" s="3"/>
      <c r="W90" s="3"/>
    </row>
    <row r="91" spans="1:23" x14ac:dyDescent="0.3">
      <c r="B91" s="4">
        <v>16</v>
      </c>
      <c r="C91" s="5">
        <v>500</v>
      </c>
      <c r="D91" s="5">
        <v>2</v>
      </c>
      <c r="E91" s="4">
        <v>138</v>
      </c>
      <c r="F91" s="3">
        <v>3.2689999999999997</v>
      </c>
      <c r="G91" s="4">
        <v>40</v>
      </c>
      <c r="H91" s="4">
        <v>48</v>
      </c>
      <c r="I91" s="2">
        <v>1.7479097888417915E-2</v>
      </c>
      <c r="J91" s="3">
        <v>94.658333977830907</v>
      </c>
      <c r="K91" s="3">
        <v>0.2</v>
      </c>
      <c r="L91" s="6">
        <f t="shared" si="5"/>
        <v>4.7329166988915454E-4</v>
      </c>
      <c r="P91" s="3">
        <f t="shared" si="6"/>
        <v>0.15204151544276975</v>
      </c>
      <c r="Q91" s="3">
        <f t="shared" si="7"/>
        <v>0.76020757721384868</v>
      </c>
      <c r="S91" s="3">
        <f t="shared" si="8"/>
        <v>0.14863613355841715</v>
      </c>
      <c r="T91" s="3">
        <f t="shared" si="9"/>
        <v>0.74318066779208569</v>
      </c>
      <c r="V91" s="3"/>
      <c r="W91" s="3"/>
    </row>
    <row r="92" spans="1:23" x14ac:dyDescent="0.3">
      <c r="B92" s="4">
        <v>16</v>
      </c>
      <c r="C92" s="5">
        <v>500</v>
      </c>
      <c r="D92" s="5">
        <v>2</v>
      </c>
      <c r="E92" s="4">
        <v>138</v>
      </c>
      <c r="F92" s="3">
        <v>3.2689999999999997</v>
      </c>
      <c r="G92" s="4">
        <v>40</v>
      </c>
      <c r="H92" s="4">
        <v>48</v>
      </c>
      <c r="I92" s="2">
        <v>1.7479097888417915E-2</v>
      </c>
      <c r="J92" s="3">
        <v>132.93604011724216</v>
      </c>
      <c r="K92" s="3">
        <v>0.25</v>
      </c>
      <c r="L92" s="6">
        <f t="shared" si="5"/>
        <v>6.6468020058621079E-4</v>
      </c>
      <c r="P92" s="3">
        <f t="shared" si="6"/>
        <v>0.20209412214753933</v>
      </c>
      <c r="Q92" s="3">
        <f t="shared" si="7"/>
        <v>0.80837648859015732</v>
      </c>
      <c r="S92" s="3">
        <f t="shared" si="8"/>
        <v>0.19864408349161311</v>
      </c>
      <c r="T92" s="3">
        <f t="shared" si="9"/>
        <v>0.79457633396645244</v>
      </c>
      <c r="V92" s="3"/>
      <c r="W92" s="3"/>
    </row>
    <row r="93" spans="1:23" x14ac:dyDescent="0.3">
      <c r="B93" s="4">
        <v>16</v>
      </c>
      <c r="C93" s="5">
        <v>500</v>
      </c>
      <c r="D93" s="5">
        <v>2</v>
      </c>
      <c r="E93" s="4">
        <v>138</v>
      </c>
      <c r="F93" s="3">
        <v>3.2689999999999997</v>
      </c>
      <c r="G93" s="4">
        <v>40</v>
      </c>
      <c r="H93" s="4">
        <v>48</v>
      </c>
      <c r="I93" s="2">
        <v>1.7479097888417915E-2</v>
      </c>
      <c r="J93" s="3">
        <v>171.14820223929127</v>
      </c>
      <c r="K93" s="3">
        <v>0.28000000000000003</v>
      </c>
      <c r="L93" s="6">
        <f t="shared" si="5"/>
        <v>8.5574101119645634E-4</v>
      </c>
      <c r="P93" s="3">
        <f t="shared" si="6"/>
        <v>0.24975091629848734</v>
      </c>
      <c r="Q93" s="3">
        <f t="shared" si="7"/>
        <v>0.89196755820888329</v>
      </c>
      <c r="S93" s="3">
        <f t="shared" si="8"/>
        <v>0.24648171999840687</v>
      </c>
      <c r="T93" s="3">
        <f t="shared" si="9"/>
        <v>0.88029185713716729</v>
      </c>
      <c r="V93" s="3"/>
      <c r="W93" s="3"/>
    </row>
    <row r="94" spans="1:23" x14ac:dyDescent="0.3">
      <c r="B94" s="4">
        <v>16</v>
      </c>
      <c r="C94" s="5">
        <v>500</v>
      </c>
      <c r="D94" s="5">
        <v>2</v>
      </c>
      <c r="E94" s="4">
        <v>138</v>
      </c>
      <c r="F94" s="3">
        <v>3.2689999999999997</v>
      </c>
      <c r="G94" s="4">
        <v>40</v>
      </c>
      <c r="H94" s="4">
        <v>48</v>
      </c>
      <c r="I94" s="2">
        <v>1.7479097888417915E-2</v>
      </c>
      <c r="J94" s="3">
        <v>209.36036436134049</v>
      </c>
      <c r="K94" s="3">
        <v>0.28000000000000003</v>
      </c>
      <c r="L94" s="6">
        <f t="shared" si="5"/>
        <v>1.0468018218067025E-3</v>
      </c>
      <c r="P94" s="3">
        <f t="shared" si="6"/>
        <v>0.29569952714312503</v>
      </c>
      <c r="Q94" s="3">
        <f t="shared" si="7"/>
        <v>1.056069739796875</v>
      </c>
      <c r="S94" s="3">
        <f t="shared" si="8"/>
        <v>0.29277137316911839</v>
      </c>
      <c r="T94" s="3">
        <f t="shared" si="9"/>
        <v>1.0456120470325656</v>
      </c>
      <c r="V94" s="3"/>
      <c r="W94" s="3"/>
    </row>
    <row r="95" spans="1:23" x14ac:dyDescent="0.3">
      <c r="B95" s="4">
        <v>16</v>
      </c>
      <c r="C95" s="5">
        <v>500</v>
      </c>
      <c r="D95" s="5">
        <v>2</v>
      </c>
      <c r="E95" s="4">
        <v>138</v>
      </c>
      <c r="F95" s="3">
        <v>3.2689999999999997</v>
      </c>
      <c r="G95" s="4">
        <v>40</v>
      </c>
      <c r="H95" s="4">
        <v>48</v>
      </c>
      <c r="I95" s="2">
        <v>1.7479097888417915E-2</v>
      </c>
      <c r="J95" s="3">
        <v>247.63807050075155</v>
      </c>
      <c r="K95" s="3">
        <v>0.3</v>
      </c>
      <c r="L95" s="6">
        <f t="shared" si="5"/>
        <v>1.2381903525037579E-3</v>
      </c>
      <c r="P95" s="3">
        <f t="shared" si="6"/>
        <v>0.34037688449491404</v>
      </c>
      <c r="Q95" s="3">
        <f t="shared" si="7"/>
        <v>1.1345896149830468</v>
      </c>
      <c r="S95" s="3">
        <f t="shared" si="8"/>
        <v>0.33791292652023591</v>
      </c>
      <c r="T95" s="3">
        <f t="shared" si="9"/>
        <v>1.1263764217341197</v>
      </c>
      <c r="V95" s="3"/>
      <c r="W95" s="3"/>
    </row>
    <row r="96" spans="1:23" x14ac:dyDescent="0.3">
      <c r="B96" s="4">
        <v>16</v>
      </c>
      <c r="C96" s="5">
        <v>500</v>
      </c>
      <c r="D96" s="5">
        <v>2</v>
      </c>
      <c r="E96" s="4">
        <v>138</v>
      </c>
      <c r="F96" s="3">
        <v>3.2689999999999997</v>
      </c>
      <c r="G96" s="4">
        <v>40</v>
      </c>
      <c r="H96" s="4">
        <v>48</v>
      </c>
      <c r="I96" s="2">
        <v>1.7479097888417915E-2</v>
      </c>
      <c r="J96" s="3">
        <v>285.91577664016279</v>
      </c>
      <c r="K96" s="3">
        <v>0.33</v>
      </c>
      <c r="L96" s="6">
        <f t="shared" si="5"/>
        <v>1.4295788832008138E-3</v>
      </c>
      <c r="P96" s="3">
        <f t="shared" si="6"/>
        <v>0.38394464314807913</v>
      </c>
      <c r="Q96" s="3">
        <f t="shared" si="7"/>
        <v>1.1634686156002398</v>
      </c>
      <c r="S96" s="3">
        <f t="shared" si="8"/>
        <v>0.38204286278761801</v>
      </c>
      <c r="T96" s="3">
        <f t="shared" si="9"/>
        <v>1.1577056448109637</v>
      </c>
      <c r="V96" s="3"/>
      <c r="W96" s="3"/>
    </row>
    <row r="97" spans="1:23" x14ac:dyDescent="0.3">
      <c r="B97" s="4">
        <v>16</v>
      </c>
      <c r="C97" s="5">
        <v>500</v>
      </c>
      <c r="D97" s="5">
        <v>2</v>
      </c>
      <c r="E97" s="4">
        <v>138</v>
      </c>
      <c r="F97" s="3">
        <v>3.2689999999999997</v>
      </c>
      <c r="G97" s="4">
        <v>40</v>
      </c>
      <c r="H97" s="4">
        <v>48</v>
      </c>
      <c r="I97" s="2">
        <v>1.7479097888417915E-2</v>
      </c>
      <c r="J97" s="3">
        <v>324.06239474485005</v>
      </c>
      <c r="K97" s="3">
        <v>0.33</v>
      </c>
      <c r="L97" s="6">
        <f t="shared" si="5"/>
        <v>1.6203119737242502E-3</v>
      </c>
      <c r="P97" s="3">
        <f t="shared" si="6"/>
        <v>0.42643011333933817</v>
      </c>
      <c r="Q97" s="3">
        <f t="shared" si="7"/>
        <v>1.2922124646646611</v>
      </c>
      <c r="S97" s="3">
        <f t="shared" si="8"/>
        <v>0.42516900052016471</v>
      </c>
      <c r="T97" s="3">
        <f t="shared" si="9"/>
        <v>1.2883909106671658</v>
      </c>
      <c r="V97" s="3"/>
      <c r="W97" s="3"/>
    </row>
    <row r="98" spans="1:23" x14ac:dyDescent="0.3">
      <c r="A98" s="1" t="s">
        <v>26</v>
      </c>
      <c r="B98" s="4">
        <v>16</v>
      </c>
      <c r="C98" s="5">
        <v>500</v>
      </c>
      <c r="D98" s="5">
        <v>2</v>
      </c>
      <c r="E98" s="4">
        <v>138</v>
      </c>
      <c r="F98" s="3">
        <v>3.2689999999999997</v>
      </c>
      <c r="G98" s="4">
        <v>40</v>
      </c>
      <c r="H98" s="4">
        <v>48</v>
      </c>
      <c r="I98" s="2">
        <v>1.7479097888417915E-2</v>
      </c>
      <c r="J98" s="3">
        <v>94.658333977830907</v>
      </c>
      <c r="K98" s="3">
        <v>0.15</v>
      </c>
      <c r="L98" s="6">
        <f t="shared" si="5"/>
        <v>4.7329166988915454E-4</v>
      </c>
      <c r="P98" s="3">
        <f t="shared" si="6"/>
        <v>0.15204151544276975</v>
      </c>
      <c r="Q98" s="3">
        <f t="shared" si="7"/>
        <v>1.0136101029517983</v>
      </c>
      <c r="S98" s="3">
        <f t="shared" si="8"/>
        <v>0.14863613355841715</v>
      </c>
      <c r="T98" s="3">
        <f t="shared" si="9"/>
        <v>0.99090755705611433</v>
      </c>
      <c r="V98" s="3"/>
      <c r="W98" s="3"/>
    </row>
    <row r="99" spans="1:23" x14ac:dyDescent="0.3">
      <c r="B99" s="4">
        <v>16</v>
      </c>
      <c r="C99" s="5">
        <v>500</v>
      </c>
      <c r="D99" s="5">
        <v>2</v>
      </c>
      <c r="E99" s="4">
        <v>138</v>
      </c>
      <c r="F99" s="3">
        <v>3.2689999999999997</v>
      </c>
      <c r="G99" s="4">
        <v>40</v>
      </c>
      <c r="H99" s="4">
        <v>48</v>
      </c>
      <c r="I99" s="2">
        <v>1.7479097888417915E-2</v>
      </c>
      <c r="J99" s="3">
        <v>132.93604011724216</v>
      </c>
      <c r="K99" s="3">
        <v>0.18</v>
      </c>
      <c r="L99" s="6">
        <f t="shared" si="5"/>
        <v>6.6468020058621079E-4</v>
      </c>
      <c r="P99" s="3">
        <f t="shared" si="6"/>
        <v>0.20209412214753933</v>
      </c>
      <c r="Q99" s="3">
        <f t="shared" si="7"/>
        <v>1.1227451230418852</v>
      </c>
      <c r="S99" s="3">
        <f t="shared" si="8"/>
        <v>0.19864408349161311</v>
      </c>
      <c r="T99" s="3">
        <f t="shared" si="9"/>
        <v>1.1035782416200728</v>
      </c>
      <c r="V99" s="3"/>
      <c r="W99" s="3"/>
    </row>
    <row r="100" spans="1:23" x14ac:dyDescent="0.3">
      <c r="B100" s="4">
        <v>16</v>
      </c>
      <c r="C100" s="5">
        <v>500</v>
      </c>
      <c r="D100" s="5">
        <v>2</v>
      </c>
      <c r="E100" s="4">
        <v>138</v>
      </c>
      <c r="F100" s="3">
        <v>3.2689999999999997</v>
      </c>
      <c r="G100" s="4">
        <v>40</v>
      </c>
      <c r="H100" s="4">
        <v>48</v>
      </c>
      <c r="I100" s="2">
        <v>1.7479097888417915E-2</v>
      </c>
      <c r="J100" s="3">
        <v>171.14820223929127</v>
      </c>
      <c r="K100" s="3">
        <v>0.2</v>
      </c>
      <c r="L100" s="6">
        <f t="shared" si="5"/>
        <v>8.5574101119645634E-4</v>
      </c>
      <c r="P100" s="3">
        <f t="shared" si="6"/>
        <v>0.24975091629848734</v>
      </c>
      <c r="Q100" s="3">
        <f t="shared" si="7"/>
        <v>1.2487545814924366</v>
      </c>
      <c r="S100" s="3">
        <f t="shared" si="8"/>
        <v>0.24648171999840687</v>
      </c>
      <c r="T100" s="3">
        <f t="shared" si="9"/>
        <v>1.2324085999920342</v>
      </c>
      <c r="V100" s="3"/>
      <c r="W100" s="3"/>
    </row>
    <row r="101" spans="1:23" x14ac:dyDescent="0.3">
      <c r="B101" s="4">
        <v>16</v>
      </c>
      <c r="C101" s="5">
        <v>500</v>
      </c>
      <c r="D101" s="5">
        <v>2</v>
      </c>
      <c r="E101" s="4">
        <v>138</v>
      </c>
      <c r="F101" s="3">
        <v>3.2689999999999997</v>
      </c>
      <c r="G101" s="4">
        <v>40</v>
      </c>
      <c r="H101" s="4">
        <v>48</v>
      </c>
      <c r="I101" s="2">
        <v>1.7479097888417915E-2</v>
      </c>
      <c r="J101" s="3">
        <v>209.36036436134049</v>
      </c>
      <c r="K101" s="3">
        <v>0.25</v>
      </c>
      <c r="L101" s="6">
        <f t="shared" si="5"/>
        <v>1.0468018218067025E-3</v>
      </c>
      <c r="P101" s="3">
        <f t="shared" si="6"/>
        <v>0.29569952714312503</v>
      </c>
      <c r="Q101" s="3">
        <f t="shared" si="7"/>
        <v>1.1827981085725001</v>
      </c>
      <c r="S101" s="3">
        <f t="shared" si="8"/>
        <v>0.29277137316911839</v>
      </c>
      <c r="T101" s="3">
        <f t="shared" si="9"/>
        <v>1.1710854926764735</v>
      </c>
      <c r="V101" s="3"/>
      <c r="W101" s="3"/>
    </row>
    <row r="102" spans="1:23" x14ac:dyDescent="0.3">
      <c r="B102" s="4">
        <v>16</v>
      </c>
      <c r="C102" s="5">
        <v>500</v>
      </c>
      <c r="D102" s="5">
        <v>2</v>
      </c>
      <c r="E102" s="4">
        <v>138</v>
      </c>
      <c r="F102" s="3">
        <v>3.2689999999999997</v>
      </c>
      <c r="G102" s="4">
        <v>40</v>
      </c>
      <c r="H102" s="4">
        <v>48</v>
      </c>
      <c r="I102" s="2">
        <v>1.7479097888417915E-2</v>
      </c>
      <c r="J102" s="3">
        <v>247.63807050075155</v>
      </c>
      <c r="K102" s="3">
        <v>0.3</v>
      </c>
      <c r="L102" s="6">
        <f t="shared" si="5"/>
        <v>1.2381903525037579E-3</v>
      </c>
      <c r="P102" s="3">
        <f t="shared" si="6"/>
        <v>0.34037688449491404</v>
      </c>
      <c r="Q102" s="3">
        <f t="shared" si="7"/>
        <v>1.1345896149830468</v>
      </c>
      <c r="S102" s="3">
        <f t="shared" si="8"/>
        <v>0.33791292652023591</v>
      </c>
      <c r="T102" s="3">
        <f t="shared" si="9"/>
        <v>1.1263764217341197</v>
      </c>
      <c r="V102" s="3"/>
      <c r="W102" s="3"/>
    </row>
    <row r="103" spans="1:23" x14ac:dyDescent="0.3">
      <c r="B103" s="4">
        <v>16</v>
      </c>
      <c r="C103" s="5">
        <v>500</v>
      </c>
      <c r="D103" s="5">
        <v>2</v>
      </c>
      <c r="E103" s="4">
        <v>138</v>
      </c>
      <c r="F103" s="3">
        <v>3.2689999999999997</v>
      </c>
      <c r="G103" s="4">
        <v>40</v>
      </c>
      <c r="H103" s="4">
        <v>48</v>
      </c>
      <c r="I103" s="2">
        <v>1.7479097888417915E-2</v>
      </c>
      <c r="J103" s="3">
        <v>285.91577664016279</v>
      </c>
      <c r="K103" s="3">
        <v>0.33</v>
      </c>
      <c r="L103" s="6">
        <f t="shared" si="5"/>
        <v>1.4295788832008138E-3</v>
      </c>
      <c r="P103" s="3">
        <f t="shared" si="6"/>
        <v>0.38394464314807913</v>
      </c>
      <c r="Q103" s="3">
        <f t="shared" si="7"/>
        <v>1.1634686156002398</v>
      </c>
      <c r="S103" s="3">
        <f t="shared" si="8"/>
        <v>0.38204286278761801</v>
      </c>
      <c r="T103" s="3">
        <f t="shared" si="9"/>
        <v>1.1577056448109637</v>
      </c>
      <c r="V103" s="3"/>
      <c r="W103" s="3"/>
    </row>
    <row r="104" spans="1:23" x14ac:dyDescent="0.3">
      <c r="B104" s="4">
        <v>16</v>
      </c>
      <c r="C104" s="5">
        <v>500</v>
      </c>
      <c r="D104" s="5">
        <v>2</v>
      </c>
      <c r="E104" s="4">
        <v>138</v>
      </c>
      <c r="F104" s="3">
        <v>3.2689999999999997</v>
      </c>
      <c r="G104" s="4">
        <v>40</v>
      </c>
      <c r="H104" s="4">
        <v>48</v>
      </c>
      <c r="I104" s="2">
        <v>1.7479097888417915E-2</v>
      </c>
      <c r="J104" s="3">
        <v>324.06239474485005</v>
      </c>
      <c r="K104" s="3">
        <v>0.38</v>
      </c>
      <c r="L104" s="6">
        <f t="shared" si="5"/>
        <v>1.6203119737242502E-3</v>
      </c>
      <c r="P104" s="3">
        <f t="shared" si="6"/>
        <v>0.42643011333933817</v>
      </c>
      <c r="Q104" s="3">
        <f t="shared" si="7"/>
        <v>1.122184508787732</v>
      </c>
      <c r="S104" s="3">
        <f t="shared" si="8"/>
        <v>0.42516900052016471</v>
      </c>
      <c r="T104" s="3">
        <f t="shared" si="9"/>
        <v>1.1188657908425388</v>
      </c>
      <c r="V104" s="3"/>
      <c r="W104" s="3"/>
    </row>
    <row r="105" spans="1:23" x14ac:dyDescent="0.3">
      <c r="A105" s="1" t="s">
        <v>27</v>
      </c>
      <c r="B105" s="4">
        <v>16</v>
      </c>
      <c r="C105" s="5">
        <v>500</v>
      </c>
      <c r="D105" s="5">
        <v>2</v>
      </c>
      <c r="E105" s="4">
        <v>168</v>
      </c>
      <c r="F105" s="3">
        <v>3.2689999999999997</v>
      </c>
      <c r="G105" s="4">
        <v>25</v>
      </c>
      <c r="H105" s="4">
        <v>33</v>
      </c>
      <c r="I105" s="2">
        <v>1.9393939393939394E-2</v>
      </c>
      <c r="J105" s="3">
        <v>104.8924918984913</v>
      </c>
      <c r="K105" s="3">
        <v>0.15</v>
      </c>
      <c r="L105" s="6">
        <f t="shared" si="5"/>
        <v>5.2446245949245652E-4</v>
      </c>
      <c r="P105" s="3">
        <f t="shared" si="6"/>
        <v>0.1569496445763516</v>
      </c>
      <c r="Q105" s="3">
        <f t="shared" si="7"/>
        <v>1.0463309638423441</v>
      </c>
      <c r="S105" s="3">
        <f t="shared" si="8"/>
        <v>0.15309468516342184</v>
      </c>
      <c r="T105" s="3">
        <f t="shared" si="9"/>
        <v>1.0206312344228123</v>
      </c>
      <c r="V105" s="3"/>
      <c r="W105" s="3"/>
    </row>
    <row r="106" spans="1:23" x14ac:dyDescent="0.3">
      <c r="B106" s="4">
        <v>16</v>
      </c>
      <c r="C106" s="5">
        <v>500</v>
      </c>
      <c r="D106" s="5">
        <v>2</v>
      </c>
      <c r="E106" s="4">
        <v>168</v>
      </c>
      <c r="F106" s="3">
        <v>3.2689999999999997</v>
      </c>
      <c r="G106" s="4">
        <v>25</v>
      </c>
      <c r="H106" s="4">
        <v>33</v>
      </c>
      <c r="I106" s="2">
        <v>1.9393939393939394E-2</v>
      </c>
      <c r="J106" s="3">
        <v>142.14038991546758</v>
      </c>
      <c r="K106" s="3">
        <v>0.18</v>
      </c>
      <c r="L106" s="6">
        <f t="shared" si="5"/>
        <v>7.1070194957733787E-4</v>
      </c>
      <c r="P106" s="3">
        <f t="shared" si="6"/>
        <v>0.20246678838149726</v>
      </c>
      <c r="Q106" s="3">
        <f t="shared" si="7"/>
        <v>1.1248154910083181</v>
      </c>
      <c r="S106" s="3">
        <f t="shared" si="8"/>
        <v>0.19845641461837424</v>
      </c>
      <c r="T106" s="3">
        <f t="shared" si="9"/>
        <v>1.1025356367687458</v>
      </c>
      <c r="V106" s="3"/>
      <c r="W106" s="3"/>
    </row>
    <row r="107" spans="1:23" x14ac:dyDescent="0.3">
      <c r="B107" s="4">
        <v>16</v>
      </c>
      <c r="C107" s="5">
        <v>500</v>
      </c>
      <c r="D107" s="5">
        <v>2</v>
      </c>
      <c r="E107" s="4">
        <v>168</v>
      </c>
      <c r="F107" s="3">
        <v>3.2689999999999997</v>
      </c>
      <c r="G107" s="4">
        <v>25</v>
      </c>
      <c r="H107" s="4">
        <v>33</v>
      </c>
      <c r="I107" s="2">
        <v>1.9393939393939394E-2</v>
      </c>
      <c r="J107" s="3">
        <v>179.32450728515454</v>
      </c>
      <c r="K107" s="3">
        <v>0.2</v>
      </c>
      <c r="L107" s="6">
        <f t="shared" si="5"/>
        <v>8.9662253642577275E-4</v>
      </c>
      <c r="P107" s="3">
        <f t="shared" si="6"/>
        <v>0.24599515324195492</v>
      </c>
      <c r="Q107" s="3">
        <f t="shared" si="7"/>
        <v>1.2299757662097746</v>
      </c>
      <c r="S107" s="3">
        <f t="shared" si="8"/>
        <v>0.24202077748671186</v>
      </c>
      <c r="T107" s="3">
        <f t="shared" si="9"/>
        <v>1.2101038874335592</v>
      </c>
      <c r="V107" s="3"/>
      <c r="W107" s="3"/>
    </row>
    <row r="108" spans="1:23" x14ac:dyDescent="0.3">
      <c r="B108" s="4">
        <v>16</v>
      </c>
      <c r="C108" s="5">
        <v>500</v>
      </c>
      <c r="D108" s="5">
        <v>2</v>
      </c>
      <c r="E108" s="4">
        <v>168</v>
      </c>
      <c r="F108" s="3">
        <v>3.2689999999999997</v>
      </c>
      <c r="G108" s="4">
        <v>25</v>
      </c>
      <c r="H108" s="4">
        <v>33</v>
      </c>
      <c r="I108" s="2">
        <v>1.9393939393939394E-2</v>
      </c>
      <c r="J108" s="3">
        <v>216.50862465484153</v>
      </c>
      <c r="K108" s="3">
        <v>0.23</v>
      </c>
      <c r="L108" s="6">
        <f t="shared" si="5"/>
        <v>1.0825431232742077E-3</v>
      </c>
      <c r="P108" s="3">
        <f t="shared" si="6"/>
        <v>0.28807445273424354</v>
      </c>
      <c r="Q108" s="3">
        <f t="shared" si="7"/>
        <v>1.2524976205836675</v>
      </c>
      <c r="S108" s="3">
        <f t="shared" si="8"/>
        <v>0.28427601295954269</v>
      </c>
      <c r="T108" s="3">
        <f t="shared" si="9"/>
        <v>1.2359826650414898</v>
      </c>
      <c r="V108" s="3"/>
      <c r="W108" s="3"/>
    </row>
    <row r="109" spans="1:23" x14ac:dyDescent="0.3">
      <c r="B109" s="4">
        <v>16</v>
      </c>
      <c r="C109" s="5">
        <v>500</v>
      </c>
      <c r="D109" s="5">
        <v>2</v>
      </c>
      <c r="E109" s="4">
        <v>168</v>
      </c>
      <c r="F109" s="3">
        <v>3.2689999999999997</v>
      </c>
      <c r="G109" s="4">
        <v>25</v>
      </c>
      <c r="H109" s="4">
        <v>33</v>
      </c>
      <c r="I109" s="2">
        <v>1.9393939393939394E-2</v>
      </c>
      <c r="J109" s="3">
        <v>253.75652267181783</v>
      </c>
      <c r="K109" s="3">
        <v>0.25</v>
      </c>
      <c r="L109" s="6">
        <f t="shared" si="5"/>
        <v>1.2687826133590892E-3</v>
      </c>
      <c r="P109" s="3">
        <f t="shared" si="6"/>
        <v>0.32906231789622203</v>
      </c>
      <c r="Q109" s="3">
        <f t="shared" si="7"/>
        <v>1.3162492715848881</v>
      </c>
      <c r="S109" s="3">
        <f t="shared" si="8"/>
        <v>0.32554924684736375</v>
      </c>
      <c r="T109" s="3">
        <f t="shared" si="9"/>
        <v>1.302196987389455</v>
      </c>
      <c r="V109" s="3"/>
      <c r="W109" s="3"/>
    </row>
    <row r="110" spans="1:23" x14ac:dyDescent="0.3">
      <c r="B110" s="4">
        <v>16</v>
      </c>
      <c r="C110" s="5">
        <v>500</v>
      </c>
      <c r="D110" s="5">
        <v>2</v>
      </c>
      <c r="E110" s="4">
        <v>168</v>
      </c>
      <c r="F110" s="3">
        <v>3.2689999999999997</v>
      </c>
      <c r="G110" s="4">
        <v>25</v>
      </c>
      <c r="H110" s="4">
        <v>33</v>
      </c>
      <c r="I110" s="2">
        <v>1.9393939393939394E-2</v>
      </c>
      <c r="J110" s="3">
        <v>291.00442068879414</v>
      </c>
      <c r="K110" s="3">
        <v>0.3</v>
      </c>
      <c r="L110" s="6">
        <f t="shared" si="5"/>
        <v>1.4550221034439707E-3</v>
      </c>
      <c r="P110" s="3">
        <f t="shared" si="6"/>
        <v>0.36908328753320008</v>
      </c>
      <c r="Q110" s="3">
        <f t="shared" si="7"/>
        <v>1.2302776251106671</v>
      </c>
      <c r="S110" s="3">
        <f t="shared" si="8"/>
        <v>0.36594400829307389</v>
      </c>
      <c r="T110" s="3">
        <f t="shared" si="9"/>
        <v>1.2198133609769131</v>
      </c>
      <c r="V110" s="3"/>
      <c r="W110" s="3"/>
    </row>
    <row r="111" spans="1:23" x14ac:dyDescent="0.3">
      <c r="B111" s="4">
        <v>16</v>
      </c>
      <c r="C111" s="5">
        <v>500</v>
      </c>
      <c r="D111" s="5">
        <v>2</v>
      </c>
      <c r="E111" s="4">
        <v>168</v>
      </c>
      <c r="F111" s="3">
        <v>3.2689999999999997</v>
      </c>
      <c r="G111" s="4">
        <v>25</v>
      </c>
      <c r="H111" s="4">
        <v>33</v>
      </c>
      <c r="I111" s="2">
        <v>1.9393939393939394E-2</v>
      </c>
      <c r="J111" s="3">
        <v>328.12475741119187</v>
      </c>
      <c r="K111" s="3">
        <v>0.3</v>
      </c>
      <c r="L111" s="6">
        <f t="shared" si="5"/>
        <v>1.6406237870559594E-3</v>
      </c>
      <c r="P111" s="3">
        <f t="shared" si="6"/>
        <v>0.40814756383327627</v>
      </c>
      <c r="Q111" s="3">
        <f t="shared" si="7"/>
        <v>1.3604918794442542</v>
      </c>
      <c r="S111" s="3">
        <f t="shared" si="8"/>
        <v>0.40545410297407058</v>
      </c>
      <c r="T111" s="3">
        <f t="shared" si="9"/>
        <v>1.3515136765802354</v>
      </c>
      <c r="V111" s="3"/>
      <c r="W111" s="3"/>
    </row>
    <row r="112" spans="1:23" x14ac:dyDescent="0.3">
      <c r="A112" s="1" t="s">
        <v>28</v>
      </c>
      <c r="B112" s="4">
        <v>16</v>
      </c>
      <c r="C112" s="5">
        <v>500</v>
      </c>
      <c r="D112" s="5">
        <v>2</v>
      </c>
      <c r="E112" s="4">
        <v>168</v>
      </c>
      <c r="F112" s="3">
        <v>3.2689999999999997</v>
      </c>
      <c r="G112" s="4">
        <v>25</v>
      </c>
      <c r="H112" s="4">
        <v>33</v>
      </c>
      <c r="I112" s="2">
        <v>1.9393939393939394E-2</v>
      </c>
      <c r="J112" s="3">
        <v>69.572622681268641</v>
      </c>
      <c r="K112" s="3">
        <v>0.15</v>
      </c>
      <c r="L112" s="6">
        <f t="shared" si="5"/>
        <v>3.4786311340634319E-4</v>
      </c>
      <c r="P112" s="3">
        <f t="shared" si="6"/>
        <v>0.11126021257443759</v>
      </c>
      <c r="Q112" s="3">
        <f t="shared" si="7"/>
        <v>0.74173475049625059</v>
      </c>
      <c r="S112" s="3">
        <f t="shared" si="8"/>
        <v>0.1078168815616742</v>
      </c>
      <c r="T112" s="3">
        <f t="shared" si="9"/>
        <v>0.71877921041116133</v>
      </c>
      <c r="V112" s="3"/>
      <c r="W112" s="3"/>
    </row>
    <row r="113" spans="1:23" x14ac:dyDescent="0.3">
      <c r="B113" s="4">
        <v>16</v>
      </c>
      <c r="C113" s="5">
        <v>500</v>
      </c>
      <c r="D113" s="5">
        <v>2</v>
      </c>
      <c r="E113" s="4">
        <v>168</v>
      </c>
      <c r="F113" s="3">
        <v>3.2689999999999997</v>
      </c>
      <c r="G113" s="4">
        <v>25</v>
      </c>
      <c r="H113" s="4">
        <v>33</v>
      </c>
      <c r="I113" s="2">
        <v>1.9393939393939394E-2</v>
      </c>
      <c r="J113" s="3">
        <v>104.8924918984913</v>
      </c>
      <c r="K113" s="3">
        <v>0.18</v>
      </c>
      <c r="L113" s="6">
        <f t="shared" si="5"/>
        <v>5.2446245949245652E-4</v>
      </c>
      <c r="P113" s="3">
        <f t="shared" si="6"/>
        <v>0.1569496445763516</v>
      </c>
      <c r="Q113" s="3">
        <f t="shared" si="7"/>
        <v>0.87194246986862001</v>
      </c>
      <c r="S113" s="3">
        <f t="shared" si="8"/>
        <v>0.15309468516342184</v>
      </c>
      <c r="T113" s="3">
        <f t="shared" si="9"/>
        <v>0.85052602868567695</v>
      </c>
      <c r="V113" s="3"/>
      <c r="W113" s="3"/>
    </row>
    <row r="114" spans="1:23" x14ac:dyDescent="0.3">
      <c r="B114" s="4">
        <v>16</v>
      </c>
      <c r="C114" s="5">
        <v>500</v>
      </c>
      <c r="D114" s="5">
        <v>2</v>
      </c>
      <c r="E114" s="4">
        <v>168</v>
      </c>
      <c r="F114" s="3">
        <v>3.2689999999999997</v>
      </c>
      <c r="G114" s="4">
        <v>25</v>
      </c>
      <c r="H114" s="4">
        <v>33</v>
      </c>
      <c r="I114" s="2">
        <v>1.9393939393939394E-2</v>
      </c>
      <c r="J114" s="3">
        <v>142.14038991546758</v>
      </c>
      <c r="K114" s="3">
        <v>0.18</v>
      </c>
      <c r="L114" s="6">
        <f t="shared" si="5"/>
        <v>7.1070194957733787E-4</v>
      </c>
      <c r="P114" s="3">
        <f t="shared" si="6"/>
        <v>0.20246678838149726</v>
      </c>
      <c r="Q114" s="3">
        <f t="shared" si="7"/>
        <v>1.1248154910083181</v>
      </c>
      <c r="S114" s="3">
        <f t="shared" si="8"/>
        <v>0.19845641461837424</v>
      </c>
      <c r="T114" s="3">
        <f t="shared" si="9"/>
        <v>1.1025356367687458</v>
      </c>
      <c r="V114" s="3"/>
      <c r="W114" s="3"/>
    </row>
    <row r="115" spans="1:23" x14ac:dyDescent="0.3">
      <c r="B115" s="4">
        <v>16</v>
      </c>
      <c r="C115" s="5">
        <v>500</v>
      </c>
      <c r="D115" s="5">
        <v>2</v>
      </c>
      <c r="E115" s="4">
        <v>168</v>
      </c>
      <c r="F115" s="3">
        <v>3.2689999999999997</v>
      </c>
      <c r="G115" s="4">
        <v>25</v>
      </c>
      <c r="H115" s="4">
        <v>33</v>
      </c>
      <c r="I115" s="2">
        <v>1.9393939393939394E-2</v>
      </c>
      <c r="J115" s="3">
        <v>179.32450728515454</v>
      </c>
      <c r="K115" s="3">
        <v>0.25</v>
      </c>
      <c r="L115" s="6">
        <f t="shared" si="5"/>
        <v>8.9662253642577275E-4</v>
      </c>
      <c r="P115" s="3">
        <f t="shared" si="6"/>
        <v>0.24599515324195492</v>
      </c>
      <c r="Q115" s="3">
        <f t="shared" si="7"/>
        <v>0.98398061296781969</v>
      </c>
      <c r="S115" s="3">
        <f t="shared" si="8"/>
        <v>0.24202077748671186</v>
      </c>
      <c r="T115" s="3">
        <f t="shared" si="9"/>
        <v>0.96808310994684743</v>
      </c>
      <c r="V115" s="3"/>
      <c r="W115" s="3"/>
    </row>
    <row r="116" spans="1:23" x14ac:dyDescent="0.3">
      <c r="B116" s="4">
        <v>16</v>
      </c>
      <c r="C116" s="5">
        <v>500</v>
      </c>
      <c r="D116" s="5">
        <v>2</v>
      </c>
      <c r="E116" s="4">
        <v>168</v>
      </c>
      <c r="F116" s="3">
        <v>3.2689999999999997</v>
      </c>
      <c r="G116" s="4">
        <v>25</v>
      </c>
      <c r="H116" s="4">
        <v>33</v>
      </c>
      <c r="I116" s="2">
        <v>1.9393939393939394E-2</v>
      </c>
      <c r="J116" s="3">
        <v>216.50862465484153</v>
      </c>
      <c r="K116" s="3">
        <v>0.28000000000000003</v>
      </c>
      <c r="L116" s="6">
        <f t="shared" si="5"/>
        <v>1.0825431232742077E-3</v>
      </c>
      <c r="P116" s="3">
        <f t="shared" si="6"/>
        <v>0.28807445273424354</v>
      </c>
      <c r="Q116" s="3">
        <f t="shared" si="7"/>
        <v>1.0288373311937269</v>
      </c>
      <c r="S116" s="3">
        <f t="shared" si="8"/>
        <v>0.28427601295954269</v>
      </c>
      <c r="T116" s="3">
        <f t="shared" si="9"/>
        <v>1.0152714748555096</v>
      </c>
      <c r="V116" s="3"/>
      <c r="W116" s="3"/>
    </row>
    <row r="117" spans="1:23" x14ac:dyDescent="0.3">
      <c r="B117" s="4">
        <v>16</v>
      </c>
      <c r="C117" s="5">
        <v>500</v>
      </c>
      <c r="D117" s="5">
        <v>2</v>
      </c>
      <c r="E117" s="4">
        <v>168</v>
      </c>
      <c r="F117" s="3">
        <v>3.2689999999999997</v>
      </c>
      <c r="G117" s="4">
        <v>25</v>
      </c>
      <c r="H117" s="4">
        <v>33</v>
      </c>
      <c r="I117" s="2">
        <v>1.9393939393939394E-2</v>
      </c>
      <c r="J117" s="3">
        <v>253.75652267181783</v>
      </c>
      <c r="K117" s="3">
        <v>0.33</v>
      </c>
      <c r="L117" s="6">
        <f t="shared" si="5"/>
        <v>1.2687826133590892E-3</v>
      </c>
      <c r="P117" s="3">
        <f t="shared" si="6"/>
        <v>0.32906231789622203</v>
      </c>
      <c r="Q117" s="3">
        <f t="shared" si="7"/>
        <v>0.99715853907946062</v>
      </c>
      <c r="S117" s="3">
        <f t="shared" si="8"/>
        <v>0.32554924684736375</v>
      </c>
      <c r="T117" s="3">
        <f t="shared" si="9"/>
        <v>0.9865128692344356</v>
      </c>
      <c r="V117" s="3"/>
      <c r="W117" s="3"/>
    </row>
    <row r="118" spans="1:23" x14ac:dyDescent="0.3">
      <c r="B118" s="4">
        <v>16</v>
      </c>
      <c r="C118" s="5">
        <v>500</v>
      </c>
      <c r="D118" s="5">
        <v>2</v>
      </c>
      <c r="E118" s="4">
        <v>168</v>
      </c>
      <c r="F118" s="3">
        <v>3.2689999999999997</v>
      </c>
      <c r="G118" s="4">
        <v>25</v>
      </c>
      <c r="H118" s="4">
        <v>33</v>
      </c>
      <c r="I118" s="2">
        <v>1.9393939393939394E-2</v>
      </c>
      <c r="J118" s="3">
        <v>291.00442068879414</v>
      </c>
      <c r="K118" s="3">
        <v>0.38</v>
      </c>
      <c r="L118" s="6">
        <f t="shared" si="5"/>
        <v>1.4550221034439707E-3</v>
      </c>
      <c r="P118" s="3">
        <f t="shared" si="6"/>
        <v>0.36908328753320008</v>
      </c>
      <c r="Q118" s="3">
        <f t="shared" si="7"/>
        <v>0.97127180929789492</v>
      </c>
      <c r="S118" s="3">
        <f t="shared" si="8"/>
        <v>0.36594400829307389</v>
      </c>
      <c r="T118" s="3">
        <f t="shared" si="9"/>
        <v>0.96301054813966813</v>
      </c>
      <c r="V118" s="3"/>
      <c r="W118" s="3"/>
    </row>
    <row r="119" spans="1:23" x14ac:dyDescent="0.3">
      <c r="B119" s="4">
        <v>16</v>
      </c>
      <c r="C119" s="5">
        <v>500</v>
      </c>
      <c r="D119" s="5">
        <v>2</v>
      </c>
      <c r="E119" s="4">
        <v>168</v>
      </c>
      <c r="F119" s="3">
        <v>3.2689999999999997</v>
      </c>
      <c r="G119" s="4">
        <v>25</v>
      </c>
      <c r="H119" s="4">
        <v>33</v>
      </c>
      <c r="I119" s="2">
        <v>1.9393939393939394E-2</v>
      </c>
      <c r="J119" s="3">
        <v>328.12475741119187</v>
      </c>
      <c r="K119" s="3">
        <v>0.43</v>
      </c>
      <c r="L119" s="6">
        <f t="shared" si="5"/>
        <v>1.6406237870559594E-3</v>
      </c>
      <c r="P119" s="3">
        <f t="shared" si="6"/>
        <v>0.40814756383327627</v>
      </c>
      <c r="Q119" s="3">
        <f t="shared" si="7"/>
        <v>0.94918038100761926</v>
      </c>
      <c r="S119" s="3">
        <f t="shared" si="8"/>
        <v>0.40545410297407058</v>
      </c>
      <c r="T119" s="3">
        <f t="shared" si="9"/>
        <v>0.94291651854435021</v>
      </c>
      <c r="V119" s="3"/>
      <c r="W119" s="3"/>
    </row>
    <row r="120" spans="1:23" x14ac:dyDescent="0.3">
      <c r="A120" s="1" t="s">
        <v>29</v>
      </c>
      <c r="B120" s="4">
        <v>16</v>
      </c>
      <c r="C120" s="5">
        <v>500</v>
      </c>
      <c r="D120" s="5">
        <v>3</v>
      </c>
      <c r="E120" s="4">
        <v>76</v>
      </c>
      <c r="F120" s="3">
        <v>3.2689999999999997</v>
      </c>
      <c r="G120" s="4">
        <v>25</v>
      </c>
      <c r="H120" s="4">
        <v>33</v>
      </c>
      <c r="I120" s="2">
        <v>2.9281922513849066E-2</v>
      </c>
      <c r="J120" s="3">
        <v>164.13760009693152</v>
      </c>
      <c r="K120" s="3">
        <v>0.15</v>
      </c>
      <c r="L120" s="6">
        <f t="shared" si="5"/>
        <v>8.2068800048465764E-4</v>
      </c>
      <c r="P120" s="3">
        <f t="shared" si="6"/>
        <v>0.18649999595344458</v>
      </c>
      <c r="Q120" s="3">
        <f t="shared" si="7"/>
        <v>1.2433333063562972</v>
      </c>
      <c r="S120" s="3">
        <f t="shared" si="8"/>
        <v>0.1796767258687933</v>
      </c>
      <c r="T120" s="3">
        <f t="shared" si="9"/>
        <v>1.1978448391252887</v>
      </c>
      <c r="V120" s="3"/>
      <c r="W120" s="3"/>
    </row>
    <row r="121" spans="1:23" x14ac:dyDescent="0.3">
      <c r="B121" s="4">
        <v>16</v>
      </c>
      <c r="C121" s="5">
        <v>500</v>
      </c>
      <c r="D121" s="5">
        <v>3</v>
      </c>
      <c r="E121" s="4">
        <v>76</v>
      </c>
      <c r="F121" s="3">
        <v>3.2689999999999997</v>
      </c>
      <c r="G121" s="4">
        <v>25</v>
      </c>
      <c r="H121" s="4">
        <v>33</v>
      </c>
      <c r="I121" s="2">
        <v>2.9281922513849066E-2</v>
      </c>
      <c r="J121" s="3">
        <v>187.15784074170205</v>
      </c>
      <c r="K121" s="3">
        <v>0.18</v>
      </c>
      <c r="L121" s="6">
        <f t="shared" si="5"/>
        <v>9.3578920370851026E-4</v>
      </c>
      <c r="P121" s="3">
        <f t="shared" si="6"/>
        <v>0.20818276971134519</v>
      </c>
      <c r="Q121" s="3">
        <f t="shared" si="7"/>
        <v>1.1565709428408066</v>
      </c>
      <c r="S121" s="3">
        <f t="shared" si="8"/>
        <v>0.20098783854503946</v>
      </c>
      <c r="T121" s="3">
        <f t="shared" si="9"/>
        <v>1.1165991030279971</v>
      </c>
      <c r="V121" s="3"/>
      <c r="W121" s="3"/>
    </row>
    <row r="122" spans="1:23" x14ac:dyDescent="0.3">
      <c r="B122" s="4">
        <v>16</v>
      </c>
      <c r="C122" s="5">
        <v>500</v>
      </c>
      <c r="D122" s="5">
        <v>3</v>
      </c>
      <c r="E122" s="4">
        <v>76</v>
      </c>
      <c r="F122" s="3">
        <v>3.2689999999999997</v>
      </c>
      <c r="G122" s="4">
        <v>25</v>
      </c>
      <c r="H122" s="4">
        <v>33</v>
      </c>
      <c r="I122" s="2">
        <v>2.9281922513849066E-2</v>
      </c>
      <c r="J122" s="3">
        <v>210.2571887426401</v>
      </c>
      <c r="K122" s="3">
        <v>0.18</v>
      </c>
      <c r="L122" s="6">
        <f t="shared" si="5"/>
        <v>1.0512859437132006E-3</v>
      </c>
      <c r="P122" s="3">
        <f t="shared" si="6"/>
        <v>0.22950897398711478</v>
      </c>
      <c r="Q122" s="3">
        <f t="shared" si="7"/>
        <v>1.2750498554839711</v>
      </c>
      <c r="S122" s="3">
        <f t="shared" si="8"/>
        <v>0.22198997089873906</v>
      </c>
      <c r="T122" s="3">
        <f t="shared" si="9"/>
        <v>1.2332776161041059</v>
      </c>
      <c r="V122" s="3"/>
      <c r="W122" s="3"/>
    </row>
    <row r="123" spans="1:23" x14ac:dyDescent="0.3">
      <c r="B123" s="4">
        <v>16</v>
      </c>
      <c r="C123" s="5">
        <v>500</v>
      </c>
      <c r="D123" s="5">
        <v>3</v>
      </c>
      <c r="E123" s="4">
        <v>76</v>
      </c>
      <c r="F123" s="3">
        <v>3.2689999999999997</v>
      </c>
      <c r="G123" s="4">
        <v>25</v>
      </c>
      <c r="H123" s="4">
        <v>33</v>
      </c>
      <c r="I123" s="2">
        <v>2.9281922513849066E-2</v>
      </c>
      <c r="J123" s="3">
        <v>233.35653674357815</v>
      </c>
      <c r="K123" s="3">
        <v>0.2</v>
      </c>
      <c r="L123" s="6">
        <f t="shared" si="5"/>
        <v>1.1667826837178908E-3</v>
      </c>
      <c r="P123" s="3">
        <f t="shared" si="6"/>
        <v>0.25045816356013384</v>
      </c>
      <c r="Q123" s="3">
        <f t="shared" si="7"/>
        <v>1.2522908178006691</v>
      </c>
      <c r="S123" s="3">
        <f t="shared" si="8"/>
        <v>0.24265719918101636</v>
      </c>
      <c r="T123" s="3">
        <f t="shared" si="9"/>
        <v>1.2132859959050817</v>
      </c>
      <c r="V123" s="3"/>
      <c r="W123" s="3"/>
    </row>
    <row r="124" spans="1:23" x14ac:dyDescent="0.3">
      <c r="B124" s="4">
        <v>16</v>
      </c>
      <c r="C124" s="5">
        <v>500</v>
      </c>
      <c r="D124" s="5">
        <v>3</v>
      </c>
      <c r="E124" s="4">
        <v>76</v>
      </c>
      <c r="F124" s="3">
        <v>3.2689999999999997</v>
      </c>
      <c r="G124" s="4">
        <v>25</v>
      </c>
      <c r="H124" s="4">
        <v>33</v>
      </c>
      <c r="I124" s="2">
        <v>2.9281922513849066E-2</v>
      </c>
      <c r="J124" s="3">
        <v>256.45588474451637</v>
      </c>
      <c r="K124" s="3">
        <v>0.2</v>
      </c>
      <c r="L124" s="6">
        <f t="shared" si="5"/>
        <v>1.2822794237225819E-3</v>
      </c>
      <c r="P124" s="3">
        <f t="shared" si="6"/>
        <v>0.27107350607933445</v>
      </c>
      <c r="Q124" s="3">
        <f t="shared" si="7"/>
        <v>1.3553675303966721</v>
      </c>
      <c r="S124" s="3">
        <f t="shared" si="8"/>
        <v>0.26302737142530791</v>
      </c>
      <c r="T124" s="3">
        <f t="shared" si="9"/>
        <v>1.3151368571265394</v>
      </c>
      <c r="V124" s="3"/>
      <c r="W124" s="3"/>
    </row>
    <row r="125" spans="1:23" x14ac:dyDescent="0.3">
      <c r="A125" s="1" t="s">
        <v>30</v>
      </c>
      <c r="B125" s="4">
        <v>16</v>
      </c>
      <c r="C125" s="5">
        <v>500</v>
      </c>
      <c r="D125" s="5">
        <v>3</v>
      </c>
      <c r="E125" s="4">
        <v>76</v>
      </c>
      <c r="F125" s="3">
        <v>3.2689999999999997</v>
      </c>
      <c r="G125" s="4">
        <v>25</v>
      </c>
      <c r="H125" s="4">
        <v>33</v>
      </c>
      <c r="I125" s="2">
        <v>2.9281922513849066E-2</v>
      </c>
      <c r="J125" s="3">
        <v>187.15784074170205</v>
      </c>
      <c r="K125" s="3">
        <v>0.15</v>
      </c>
      <c r="L125" s="6">
        <f t="shared" si="5"/>
        <v>9.3578920370851026E-4</v>
      </c>
      <c r="P125" s="3">
        <f t="shared" si="6"/>
        <v>0.20818276971134519</v>
      </c>
      <c r="Q125" s="3">
        <f t="shared" si="7"/>
        <v>1.387885131408968</v>
      </c>
      <c r="S125" s="3">
        <f t="shared" si="8"/>
        <v>0.20098783854503946</v>
      </c>
      <c r="T125" s="3">
        <f t="shared" si="9"/>
        <v>1.3399189236335964</v>
      </c>
      <c r="V125" s="3"/>
      <c r="W125" s="3"/>
    </row>
    <row r="126" spans="1:23" x14ac:dyDescent="0.3">
      <c r="B126" s="4">
        <v>16</v>
      </c>
      <c r="C126" s="5">
        <v>500</v>
      </c>
      <c r="D126" s="5">
        <v>3</v>
      </c>
      <c r="E126" s="4">
        <v>76</v>
      </c>
      <c r="F126" s="3">
        <v>3.2689999999999997</v>
      </c>
      <c r="G126" s="4">
        <v>25</v>
      </c>
      <c r="H126" s="4">
        <v>33</v>
      </c>
      <c r="I126" s="2">
        <v>2.9281922513849066E-2</v>
      </c>
      <c r="J126" s="3">
        <v>210.2571887426401</v>
      </c>
      <c r="K126" s="3">
        <v>0.18</v>
      </c>
      <c r="L126" s="6">
        <f t="shared" si="5"/>
        <v>1.0512859437132006E-3</v>
      </c>
      <c r="P126" s="3">
        <f t="shared" si="6"/>
        <v>0.22950897398711478</v>
      </c>
      <c r="Q126" s="3">
        <f t="shared" si="7"/>
        <v>1.2750498554839711</v>
      </c>
      <c r="S126" s="3">
        <f t="shared" si="8"/>
        <v>0.22198997089873906</v>
      </c>
      <c r="T126" s="3">
        <f t="shared" si="9"/>
        <v>1.2332776161041059</v>
      </c>
      <c r="V126" s="3"/>
      <c r="W126" s="3"/>
    </row>
    <row r="127" spans="1:23" x14ac:dyDescent="0.3">
      <c r="B127" s="4">
        <v>16</v>
      </c>
      <c r="C127" s="5">
        <v>500</v>
      </c>
      <c r="D127" s="5">
        <v>3</v>
      </c>
      <c r="E127" s="4">
        <v>76</v>
      </c>
      <c r="F127" s="3">
        <v>3.2689999999999997</v>
      </c>
      <c r="G127" s="4">
        <v>25</v>
      </c>
      <c r="H127" s="4">
        <v>33</v>
      </c>
      <c r="I127" s="2">
        <v>2.9281922513849066E-2</v>
      </c>
      <c r="J127" s="3">
        <v>233.35653674357815</v>
      </c>
      <c r="K127" s="3">
        <v>0.2</v>
      </c>
      <c r="L127" s="6">
        <f t="shared" si="5"/>
        <v>1.1667826837178908E-3</v>
      </c>
      <c r="P127" s="3">
        <f t="shared" si="6"/>
        <v>0.25045816356013384</v>
      </c>
      <c r="Q127" s="3">
        <f t="shared" si="7"/>
        <v>1.2522908178006691</v>
      </c>
      <c r="S127" s="3">
        <f t="shared" si="8"/>
        <v>0.24265719918101636</v>
      </c>
      <c r="T127" s="3">
        <f t="shared" si="9"/>
        <v>1.2132859959050817</v>
      </c>
      <c r="V127" s="3"/>
      <c r="W127" s="3"/>
    </row>
    <row r="128" spans="1:23" x14ac:dyDescent="0.3">
      <c r="B128" s="4">
        <v>16</v>
      </c>
      <c r="C128" s="5">
        <v>500</v>
      </c>
      <c r="D128" s="5">
        <v>3</v>
      </c>
      <c r="E128" s="4">
        <v>76</v>
      </c>
      <c r="F128" s="3">
        <v>3.2689999999999997</v>
      </c>
      <c r="G128" s="4">
        <v>25</v>
      </c>
      <c r="H128" s="4">
        <v>33</v>
      </c>
      <c r="I128" s="2">
        <v>2.9281922513849066E-2</v>
      </c>
      <c r="J128" s="3">
        <v>256.45588474451637</v>
      </c>
      <c r="K128" s="3">
        <v>0.2</v>
      </c>
      <c r="L128" s="6">
        <f t="shared" si="5"/>
        <v>1.2822794237225819E-3</v>
      </c>
      <c r="P128" s="3">
        <f t="shared" si="6"/>
        <v>0.27107350607933445</v>
      </c>
      <c r="Q128" s="3">
        <f t="shared" si="7"/>
        <v>1.3553675303966721</v>
      </c>
      <c r="S128" s="3">
        <f t="shared" si="8"/>
        <v>0.26302737142530791</v>
      </c>
      <c r="T128" s="3">
        <f t="shared" si="9"/>
        <v>1.3151368571265394</v>
      </c>
      <c r="V128" s="3"/>
      <c r="W128" s="3"/>
    </row>
    <row r="129" spans="1:23" x14ac:dyDescent="0.3">
      <c r="A129" s="1" t="s">
        <v>31</v>
      </c>
      <c r="B129" s="4">
        <v>12</v>
      </c>
      <c r="C129" s="5">
        <v>500</v>
      </c>
      <c r="D129" s="5">
        <v>2</v>
      </c>
      <c r="E129" s="4">
        <v>296</v>
      </c>
      <c r="F129" s="3">
        <v>3.2689999999999997</v>
      </c>
      <c r="G129" s="4">
        <v>25</v>
      </c>
      <c r="H129" s="4">
        <v>31</v>
      </c>
      <c r="I129" s="2">
        <v>1.2477206469672451E-2</v>
      </c>
      <c r="J129" s="3">
        <v>4.5208702575442885</v>
      </c>
      <c r="K129" s="3">
        <v>0.2</v>
      </c>
      <c r="L129" s="6">
        <f t="shared" si="5"/>
        <v>2.2604351287721442E-5</v>
      </c>
      <c r="P129" s="3">
        <f t="shared" si="6"/>
        <v>1.0205395340499846E-2</v>
      </c>
      <c r="Q129" s="3">
        <f t="shared" si="7"/>
        <v>5.1026976702499227E-2</v>
      </c>
      <c r="S129" s="3">
        <f t="shared" si="8"/>
        <v>9.6522290282874419E-3</v>
      </c>
      <c r="T129" s="3">
        <f t="shared" si="9"/>
        <v>4.8261145141437208E-2</v>
      </c>
      <c r="V129" s="3"/>
      <c r="W129" s="3"/>
    </row>
    <row r="130" spans="1:23" x14ac:dyDescent="0.3">
      <c r="B130" s="4">
        <v>12</v>
      </c>
      <c r="C130" s="5">
        <v>500</v>
      </c>
      <c r="D130" s="5">
        <v>2</v>
      </c>
      <c r="E130" s="4">
        <v>296</v>
      </c>
      <c r="F130" s="3">
        <v>3.2689999999999997</v>
      </c>
      <c r="G130" s="4">
        <v>25</v>
      </c>
      <c r="H130" s="4">
        <v>31</v>
      </c>
      <c r="I130" s="2">
        <v>1.2477206469672451E-2</v>
      </c>
      <c r="J130" s="3">
        <v>102.11108807035959</v>
      </c>
      <c r="K130" s="3">
        <v>0.25</v>
      </c>
      <c r="L130" s="6">
        <f t="shared" si="5"/>
        <v>5.1055544035179788E-4</v>
      </c>
      <c r="P130" s="3">
        <f t="shared" si="6"/>
        <v>0.13910952068889321</v>
      </c>
      <c r="Q130" s="3">
        <f t="shared" si="7"/>
        <v>0.55643808275557283</v>
      </c>
      <c r="S130" s="3">
        <f t="shared" si="8"/>
        <v>0.1382981125578775</v>
      </c>
      <c r="T130" s="3">
        <f t="shared" si="9"/>
        <v>0.55319245023150998</v>
      </c>
      <c r="V130" s="3"/>
      <c r="W130" s="3"/>
    </row>
    <row r="131" spans="1:23" x14ac:dyDescent="0.3">
      <c r="B131" s="4">
        <v>12</v>
      </c>
      <c r="C131" s="5">
        <v>500</v>
      </c>
      <c r="D131" s="5">
        <v>2</v>
      </c>
      <c r="E131" s="4">
        <v>296</v>
      </c>
      <c r="F131" s="3">
        <v>3.2689999999999997</v>
      </c>
      <c r="G131" s="4">
        <v>25</v>
      </c>
      <c r="H131" s="4">
        <v>31</v>
      </c>
      <c r="I131" s="2">
        <v>1.2477206469672451E-2</v>
      </c>
      <c r="J131" s="3">
        <v>207.9797077961241</v>
      </c>
      <c r="K131" s="3">
        <v>0.33</v>
      </c>
      <c r="L131" s="6">
        <f t="shared" si="5"/>
        <v>1.0398985389806206E-3</v>
      </c>
      <c r="P131" s="3">
        <f t="shared" si="6"/>
        <v>0.2524964801222131</v>
      </c>
      <c r="Q131" s="3">
        <f t="shared" si="7"/>
        <v>0.76514084885519118</v>
      </c>
      <c r="S131" s="3">
        <f t="shared" si="8"/>
        <v>0.25389719100967184</v>
      </c>
      <c r="T131" s="3">
        <f t="shared" si="9"/>
        <v>0.76938542730203585</v>
      </c>
      <c r="V131" s="3"/>
      <c r="W131" s="3"/>
    </row>
    <row r="132" spans="1:23" x14ac:dyDescent="0.3">
      <c r="A132" s="1" t="s">
        <v>32</v>
      </c>
      <c r="B132" s="4">
        <v>12</v>
      </c>
      <c r="C132" s="5">
        <v>500</v>
      </c>
      <c r="D132" s="5">
        <v>2</v>
      </c>
      <c r="E132" s="4">
        <v>296</v>
      </c>
      <c r="F132" s="3">
        <v>3.2689999999999997</v>
      </c>
      <c r="G132" s="4">
        <v>25</v>
      </c>
      <c r="H132" s="4">
        <v>31</v>
      </c>
      <c r="I132" s="2">
        <v>1.2477206469672451E-2</v>
      </c>
      <c r="J132" s="3">
        <v>102.11108807035959</v>
      </c>
      <c r="K132" s="3">
        <v>0.23</v>
      </c>
      <c r="L132" s="6">
        <f t="shared" si="5"/>
        <v>5.1055544035179788E-4</v>
      </c>
      <c r="P132" s="3">
        <f t="shared" si="6"/>
        <v>0.13910952068889321</v>
      </c>
      <c r="Q132" s="3">
        <f t="shared" si="7"/>
        <v>0.60482400299518779</v>
      </c>
      <c r="S132" s="3">
        <f t="shared" si="8"/>
        <v>0.1382981125578775</v>
      </c>
      <c r="T132" s="3">
        <f t="shared" si="9"/>
        <v>0.60129614155598909</v>
      </c>
      <c r="V132" s="3"/>
      <c r="W132" s="3"/>
    </row>
    <row r="133" spans="1:23" x14ac:dyDescent="0.3">
      <c r="B133" s="4">
        <v>12</v>
      </c>
      <c r="C133" s="5">
        <v>500</v>
      </c>
      <c r="D133" s="5">
        <v>2</v>
      </c>
      <c r="E133" s="4">
        <v>296</v>
      </c>
      <c r="F133" s="3">
        <v>3.2689999999999997</v>
      </c>
      <c r="G133" s="4">
        <v>25</v>
      </c>
      <c r="H133" s="4">
        <v>31</v>
      </c>
      <c r="I133" s="2">
        <v>1.2477206469672451E-2</v>
      </c>
      <c r="J133" s="3">
        <v>207.9797077961241</v>
      </c>
      <c r="K133" s="3">
        <v>0.28000000000000003</v>
      </c>
      <c r="L133" s="6">
        <f t="shared" si="5"/>
        <v>1.0398985389806206E-3</v>
      </c>
      <c r="P133" s="3">
        <f t="shared" si="6"/>
        <v>0.2524964801222131</v>
      </c>
      <c r="Q133" s="3">
        <f t="shared" si="7"/>
        <v>0.90177314329361813</v>
      </c>
      <c r="S133" s="3">
        <f t="shared" si="8"/>
        <v>0.25389719100967184</v>
      </c>
      <c r="T133" s="3">
        <f t="shared" si="9"/>
        <v>0.90677568217739934</v>
      </c>
      <c r="V133" s="3"/>
      <c r="W133" s="3"/>
    </row>
    <row r="134" spans="1:23" x14ac:dyDescent="0.3">
      <c r="A134" s="1" t="s">
        <v>33</v>
      </c>
      <c r="B134" s="4">
        <v>12</v>
      </c>
      <c r="C134" s="5">
        <v>500</v>
      </c>
      <c r="D134" s="5">
        <v>3</v>
      </c>
      <c r="E134" s="4">
        <v>142</v>
      </c>
      <c r="F134" s="3">
        <v>3.2689999999999997</v>
      </c>
      <c r="G134" s="4">
        <v>25</v>
      </c>
      <c r="H134" s="4">
        <v>31</v>
      </c>
      <c r="I134" s="2">
        <v>1.9527117912145887E-2</v>
      </c>
      <c r="J134" s="3">
        <v>101.33617586056053</v>
      </c>
      <c r="K134" s="3">
        <v>0.18</v>
      </c>
      <c r="L134" s="6">
        <f t="shared" si="5"/>
        <v>5.0668087930280268E-4</v>
      </c>
      <c r="P134" s="3">
        <f t="shared" si="6"/>
        <v>0.11090166141889522</v>
      </c>
      <c r="Q134" s="3">
        <f t="shared" si="7"/>
        <v>0.61612034121608461</v>
      </c>
      <c r="S134" s="3">
        <f t="shared" si="8"/>
        <v>0.10643581239363446</v>
      </c>
      <c r="T134" s="3">
        <f t="shared" si="9"/>
        <v>0.59131006885352477</v>
      </c>
      <c r="V134" s="3"/>
      <c r="W134" s="3"/>
    </row>
    <row r="135" spans="1:23" x14ac:dyDescent="0.3">
      <c r="B135" s="4">
        <v>12</v>
      </c>
      <c r="C135" s="5">
        <v>500</v>
      </c>
      <c r="D135" s="5">
        <v>3</v>
      </c>
      <c r="E135" s="4">
        <v>142</v>
      </c>
      <c r="F135" s="3">
        <v>3.2689999999999997</v>
      </c>
      <c r="G135" s="4">
        <v>25</v>
      </c>
      <c r="H135" s="4">
        <v>31</v>
      </c>
      <c r="I135" s="2">
        <v>1.9527117912145887E-2</v>
      </c>
      <c r="J135" s="3">
        <v>164.10101835243688</v>
      </c>
      <c r="K135" s="3">
        <v>0.23</v>
      </c>
      <c r="L135" s="6">
        <f t="shared" si="5"/>
        <v>8.2050509176218446E-4</v>
      </c>
      <c r="P135" s="3">
        <f t="shared" si="6"/>
        <v>0.16610038586939277</v>
      </c>
      <c r="Q135" s="3">
        <f t="shared" si="7"/>
        <v>0.72217559073649029</v>
      </c>
      <c r="S135" s="3">
        <f t="shared" si="8"/>
        <v>0.16064600009884961</v>
      </c>
      <c r="T135" s="3">
        <f t="shared" si="9"/>
        <v>0.69846086999499823</v>
      </c>
      <c r="V135" s="3"/>
      <c r="W135" s="3"/>
    </row>
    <row r="136" spans="1:23" x14ac:dyDescent="0.3">
      <c r="B136" s="4">
        <v>12</v>
      </c>
      <c r="C136" s="5">
        <v>500</v>
      </c>
      <c r="D136" s="5">
        <v>3</v>
      </c>
      <c r="E136" s="4">
        <v>142</v>
      </c>
      <c r="F136" s="3">
        <v>3.2689999999999997</v>
      </c>
      <c r="G136" s="4">
        <v>25</v>
      </c>
      <c r="H136" s="4">
        <v>31</v>
      </c>
      <c r="I136" s="2">
        <v>1.9527117912145887E-2</v>
      </c>
      <c r="J136" s="3">
        <v>226.86586084431309</v>
      </c>
      <c r="K136" s="3">
        <v>0.25</v>
      </c>
      <c r="L136" s="6">
        <f t="shared" si="5"/>
        <v>1.1343293042215654E-3</v>
      </c>
      <c r="P136" s="3">
        <f t="shared" si="6"/>
        <v>0.21789232726324531</v>
      </c>
      <c r="Q136" s="3">
        <f t="shared" si="7"/>
        <v>0.87156930905298124</v>
      </c>
      <c r="S136" s="3">
        <f t="shared" si="8"/>
        <v>0.21183208393271824</v>
      </c>
      <c r="T136" s="3">
        <f t="shared" si="9"/>
        <v>0.84732833573087296</v>
      </c>
      <c r="V136" s="3"/>
      <c r="W136" s="3"/>
    </row>
    <row r="137" spans="1:23" x14ac:dyDescent="0.3">
      <c r="A137" s="1" t="s">
        <v>34</v>
      </c>
      <c r="B137" s="4">
        <v>12</v>
      </c>
      <c r="C137" s="5">
        <v>500</v>
      </c>
      <c r="D137" s="5">
        <v>3</v>
      </c>
      <c r="E137" s="4">
        <v>142</v>
      </c>
      <c r="F137" s="3">
        <v>3.2689999999999997</v>
      </c>
      <c r="G137" s="4">
        <v>25</v>
      </c>
      <c r="H137" s="4">
        <v>31</v>
      </c>
      <c r="I137" s="2">
        <v>1.9527117912145887E-2</v>
      </c>
      <c r="J137" s="3">
        <v>101.33617586056053</v>
      </c>
      <c r="K137" s="3">
        <v>0.18</v>
      </c>
      <c r="L137" s="6">
        <f t="shared" si="5"/>
        <v>5.0668087930280268E-4</v>
      </c>
      <c r="P137" s="3">
        <f t="shared" si="6"/>
        <v>0.11090166141889522</v>
      </c>
      <c r="Q137" s="3">
        <f t="shared" si="7"/>
        <v>0.61612034121608461</v>
      </c>
      <c r="S137" s="3">
        <f t="shared" si="8"/>
        <v>0.10643581239363446</v>
      </c>
      <c r="T137" s="3">
        <f t="shared" si="9"/>
        <v>0.59131006885352477</v>
      </c>
      <c r="V137" s="3"/>
      <c r="W137" s="3"/>
    </row>
    <row r="138" spans="1:23" x14ac:dyDescent="0.3">
      <c r="B138" s="4">
        <v>12</v>
      </c>
      <c r="C138" s="5">
        <v>500</v>
      </c>
      <c r="D138" s="5">
        <v>3</v>
      </c>
      <c r="E138" s="4">
        <v>142</v>
      </c>
      <c r="F138" s="3">
        <v>3.2689999999999997</v>
      </c>
      <c r="G138" s="4">
        <v>25</v>
      </c>
      <c r="H138" s="4">
        <v>31</v>
      </c>
      <c r="I138" s="2">
        <v>1.9527117912145887E-2</v>
      </c>
      <c r="J138" s="3">
        <v>164.10101835243688</v>
      </c>
      <c r="K138" s="3">
        <v>0.23</v>
      </c>
      <c r="L138" s="6">
        <f t="shared" si="5"/>
        <v>8.2050509176218446E-4</v>
      </c>
      <c r="P138" s="3">
        <f t="shared" si="6"/>
        <v>0.16610038586939277</v>
      </c>
      <c r="Q138" s="3">
        <f t="shared" si="7"/>
        <v>0.72217559073649029</v>
      </c>
      <c r="S138" s="3">
        <f t="shared" si="8"/>
        <v>0.16064600009884961</v>
      </c>
      <c r="T138" s="3">
        <f t="shared" si="9"/>
        <v>0.69846086999499823</v>
      </c>
      <c r="V138" s="3"/>
      <c r="W138" s="3"/>
    </row>
    <row r="139" spans="1:23" x14ac:dyDescent="0.3">
      <c r="B139" s="4">
        <v>12</v>
      </c>
      <c r="C139" s="5">
        <v>500</v>
      </c>
      <c r="D139" s="5">
        <v>3</v>
      </c>
      <c r="E139" s="4">
        <v>142</v>
      </c>
      <c r="F139" s="3">
        <v>3.2689999999999997</v>
      </c>
      <c r="G139" s="4">
        <v>25</v>
      </c>
      <c r="H139" s="4">
        <v>31</v>
      </c>
      <c r="I139" s="2">
        <v>1.9527117912145887E-2</v>
      </c>
      <c r="J139" s="3">
        <v>226.86586084431309</v>
      </c>
      <c r="K139" s="3">
        <v>0.25</v>
      </c>
      <c r="L139" s="6">
        <f t="shared" si="5"/>
        <v>1.1343293042215654E-3</v>
      </c>
      <c r="P139" s="3">
        <f t="shared" si="6"/>
        <v>0.21789232726324531</v>
      </c>
      <c r="Q139" s="3">
        <f t="shared" si="7"/>
        <v>0.87156930905298124</v>
      </c>
      <c r="S139" s="3">
        <f t="shared" si="8"/>
        <v>0.21183208393271824</v>
      </c>
      <c r="T139" s="3">
        <f t="shared" si="9"/>
        <v>0.84732833573087296</v>
      </c>
      <c r="V139" s="3"/>
      <c r="W139" s="3"/>
    </row>
    <row r="140" spans="1:23" x14ac:dyDescent="0.3">
      <c r="A140" s="1" t="s">
        <v>35</v>
      </c>
      <c r="B140" s="4">
        <v>12</v>
      </c>
      <c r="C140" s="5">
        <v>500</v>
      </c>
      <c r="D140" s="5">
        <v>4</v>
      </c>
      <c r="E140" s="4">
        <v>90.67</v>
      </c>
      <c r="F140" s="3">
        <v>3.2689999999999997</v>
      </c>
      <c r="G140" s="4">
        <v>25</v>
      </c>
      <c r="H140" s="4">
        <v>31</v>
      </c>
      <c r="I140" s="2">
        <v>2.6968773854657992E-2</v>
      </c>
      <c r="J140" s="3">
        <v>150.31764348514901</v>
      </c>
      <c r="K140" s="3">
        <v>0.15</v>
      </c>
      <c r="L140" s="6">
        <f t="shared" ref="L140:L203" si="10">J140/200000</f>
        <v>7.5158821742574503E-4</v>
      </c>
      <c r="P140" s="3">
        <f t="shared" ref="P140:P203" si="11">$Q$2*($Q$3*$G140+$Q$4*$B140^$Q$5*$I140^$Q$6)*$L140^$Q$7</f>
        <v>0.13170114883701214</v>
      </c>
      <c r="Q140" s="3">
        <f t="shared" ref="Q140:Q203" si="12">P140/$K140</f>
        <v>0.87800765891341437</v>
      </c>
      <c r="S140" s="3">
        <f t="shared" ref="S140:S203" si="13">$T$2*$B140^$T$3*$L140^$T$4*($T$5*$I140^$T$6+$T$7)</f>
        <v>0.12509798761072397</v>
      </c>
      <c r="T140" s="3">
        <f t="shared" ref="T140:T203" si="14">S140/$K140</f>
        <v>0.83398658407149318</v>
      </c>
      <c r="V140" s="3"/>
      <c r="W140" s="3"/>
    </row>
    <row r="141" spans="1:23" x14ac:dyDescent="0.3">
      <c r="B141" s="4">
        <v>12</v>
      </c>
      <c r="C141" s="5">
        <v>500</v>
      </c>
      <c r="D141" s="5">
        <v>4</v>
      </c>
      <c r="E141" s="4">
        <v>90.67</v>
      </c>
      <c r="F141" s="3">
        <v>3.2689999999999997</v>
      </c>
      <c r="G141" s="4">
        <v>25</v>
      </c>
      <c r="H141" s="4">
        <v>31</v>
      </c>
      <c r="I141" s="2">
        <v>2.6968773854657992E-2</v>
      </c>
      <c r="J141" s="3">
        <v>194.67641883399705</v>
      </c>
      <c r="K141" s="3">
        <v>0.15</v>
      </c>
      <c r="L141" s="6">
        <f t="shared" si="10"/>
        <v>9.7338209416998524E-4</v>
      </c>
      <c r="P141" s="3">
        <f t="shared" si="11"/>
        <v>0.16356855010068214</v>
      </c>
      <c r="Q141" s="3">
        <f t="shared" si="12"/>
        <v>1.0904570006712142</v>
      </c>
      <c r="S141" s="3">
        <f t="shared" si="13"/>
        <v>0.15601178950948966</v>
      </c>
      <c r="T141" s="3">
        <f t="shared" si="14"/>
        <v>1.0400785967299311</v>
      </c>
      <c r="V141" s="3"/>
      <c r="W141" s="3"/>
    </row>
    <row r="142" spans="1:23" x14ac:dyDescent="0.3">
      <c r="B142" s="4">
        <v>12</v>
      </c>
      <c r="C142" s="5">
        <v>500</v>
      </c>
      <c r="D142" s="5">
        <v>4</v>
      </c>
      <c r="E142" s="4">
        <v>90.67</v>
      </c>
      <c r="F142" s="3">
        <v>3.2689999999999997</v>
      </c>
      <c r="G142" s="4">
        <v>25</v>
      </c>
      <c r="H142" s="4">
        <v>31</v>
      </c>
      <c r="I142" s="2">
        <v>2.6968773854657992E-2</v>
      </c>
      <c r="J142" s="3">
        <v>239.03519418284523</v>
      </c>
      <c r="K142" s="3">
        <v>0.18</v>
      </c>
      <c r="L142" s="6">
        <f t="shared" si="10"/>
        <v>1.1951759709142261E-3</v>
      </c>
      <c r="P142" s="3">
        <f t="shared" si="11"/>
        <v>0.19427022677467357</v>
      </c>
      <c r="Q142" s="3">
        <f t="shared" si="12"/>
        <v>1.0792790376370753</v>
      </c>
      <c r="S142" s="3">
        <f t="shared" si="13"/>
        <v>0.18590464342930471</v>
      </c>
      <c r="T142" s="3">
        <f t="shared" si="14"/>
        <v>1.0328035746072484</v>
      </c>
      <c r="V142" s="3"/>
      <c r="W142" s="3"/>
    </row>
    <row r="143" spans="1:23" x14ac:dyDescent="0.3">
      <c r="A143" s="1" t="s">
        <v>36</v>
      </c>
      <c r="B143" s="4">
        <v>12</v>
      </c>
      <c r="C143" s="5">
        <v>500</v>
      </c>
      <c r="D143" s="5">
        <v>4</v>
      </c>
      <c r="E143" s="4">
        <v>90.67</v>
      </c>
      <c r="F143" s="3">
        <v>3.2689999999999997</v>
      </c>
      <c r="G143" s="4">
        <v>25</v>
      </c>
      <c r="H143" s="4">
        <v>31</v>
      </c>
      <c r="I143" s="2">
        <v>2.6968773854657992E-2</v>
      </c>
      <c r="J143" s="3">
        <v>150.31764348514901</v>
      </c>
      <c r="K143" s="3">
        <v>0.18</v>
      </c>
      <c r="L143" s="6">
        <f t="shared" si="10"/>
        <v>7.5158821742574503E-4</v>
      </c>
      <c r="P143" s="3">
        <f t="shared" si="11"/>
        <v>0.13170114883701214</v>
      </c>
      <c r="Q143" s="3">
        <f t="shared" si="12"/>
        <v>0.73167304909451192</v>
      </c>
      <c r="S143" s="3">
        <f t="shared" si="13"/>
        <v>0.12509798761072397</v>
      </c>
      <c r="T143" s="3">
        <f t="shared" si="14"/>
        <v>0.69498882005957763</v>
      </c>
      <c r="V143" s="3"/>
      <c r="W143" s="3"/>
    </row>
    <row r="144" spans="1:23" x14ac:dyDescent="0.3">
      <c r="B144" s="4">
        <v>12</v>
      </c>
      <c r="C144" s="5">
        <v>500</v>
      </c>
      <c r="D144" s="5">
        <v>4</v>
      </c>
      <c r="E144" s="4">
        <v>90.67</v>
      </c>
      <c r="F144" s="3">
        <v>3.2689999999999997</v>
      </c>
      <c r="G144" s="4">
        <v>25</v>
      </c>
      <c r="H144" s="4">
        <v>31</v>
      </c>
      <c r="I144" s="2">
        <v>2.6968773854657992E-2</v>
      </c>
      <c r="J144" s="3">
        <v>194.67641883399705</v>
      </c>
      <c r="K144" s="3">
        <v>0.2</v>
      </c>
      <c r="L144" s="6">
        <f t="shared" si="10"/>
        <v>9.7338209416998524E-4</v>
      </c>
      <c r="P144" s="3">
        <f t="shared" si="11"/>
        <v>0.16356855010068214</v>
      </c>
      <c r="Q144" s="3">
        <f t="shared" si="12"/>
        <v>0.8178427505034106</v>
      </c>
      <c r="S144" s="3">
        <f t="shared" si="13"/>
        <v>0.15601178950948966</v>
      </c>
      <c r="T144" s="3">
        <f t="shared" si="14"/>
        <v>0.7800589475474482</v>
      </c>
      <c r="V144" s="3"/>
      <c r="W144" s="3"/>
    </row>
    <row r="145" spans="1:23" x14ac:dyDescent="0.3">
      <c r="B145" s="4">
        <v>12</v>
      </c>
      <c r="C145" s="5">
        <v>500</v>
      </c>
      <c r="D145" s="5">
        <v>4</v>
      </c>
      <c r="E145" s="4">
        <v>90.67</v>
      </c>
      <c r="F145" s="3">
        <v>3.2689999999999997</v>
      </c>
      <c r="G145" s="4">
        <v>25</v>
      </c>
      <c r="H145" s="4">
        <v>31</v>
      </c>
      <c r="I145" s="2">
        <v>2.6968773854657992E-2</v>
      </c>
      <c r="J145" s="3">
        <v>239.03519418284523</v>
      </c>
      <c r="K145" s="3">
        <v>0.23</v>
      </c>
      <c r="L145" s="6">
        <f t="shared" si="10"/>
        <v>1.1951759709142261E-3</v>
      </c>
      <c r="P145" s="3">
        <f t="shared" si="11"/>
        <v>0.19427022677467357</v>
      </c>
      <c r="Q145" s="3">
        <f t="shared" si="12"/>
        <v>0.84465315988988499</v>
      </c>
      <c r="S145" s="3">
        <f t="shared" si="13"/>
        <v>0.18590464342930471</v>
      </c>
      <c r="T145" s="3">
        <f t="shared" si="14"/>
        <v>0.80828105838828135</v>
      </c>
      <c r="V145" s="3"/>
      <c r="W145" s="3"/>
    </row>
    <row r="146" spans="1:23" x14ac:dyDescent="0.3">
      <c r="A146" s="1" t="s">
        <v>37</v>
      </c>
      <c r="B146" s="4">
        <v>10</v>
      </c>
      <c r="C146" s="5">
        <v>528</v>
      </c>
      <c r="D146" s="5">
        <v>1</v>
      </c>
      <c r="E146" s="4">
        <v>45</v>
      </c>
      <c r="F146" s="3">
        <v>2.8</v>
      </c>
      <c r="G146" s="4">
        <v>40</v>
      </c>
      <c r="H146" s="4">
        <v>45</v>
      </c>
      <c r="I146" s="2">
        <v>1.140137516348016E-2</v>
      </c>
      <c r="J146" s="3">
        <v>144.99393119402299</v>
      </c>
      <c r="K146" s="3">
        <v>0.16</v>
      </c>
      <c r="L146" s="6">
        <f t="shared" si="10"/>
        <v>7.2496965597011493E-4</v>
      </c>
      <c r="P146" s="3">
        <f t="shared" si="11"/>
        <v>0.16044907470919675</v>
      </c>
      <c r="Q146" s="3">
        <f t="shared" si="12"/>
        <v>1.0028067169324797</v>
      </c>
      <c r="S146" s="3">
        <f t="shared" si="13"/>
        <v>0.15956940472895886</v>
      </c>
      <c r="T146" s="3">
        <f t="shared" si="14"/>
        <v>0.99730877955599284</v>
      </c>
      <c r="V146" s="3"/>
      <c r="W146" s="3"/>
    </row>
    <row r="147" spans="1:23" x14ac:dyDescent="0.3">
      <c r="B147" s="4">
        <v>10</v>
      </c>
      <c r="C147" s="5">
        <v>528</v>
      </c>
      <c r="D147" s="5">
        <v>1</v>
      </c>
      <c r="E147" s="4">
        <v>45</v>
      </c>
      <c r="F147" s="3">
        <v>2.8</v>
      </c>
      <c r="G147" s="4">
        <v>40</v>
      </c>
      <c r="H147" s="4">
        <v>45</v>
      </c>
      <c r="I147" s="2">
        <v>1.140137516348016E-2</v>
      </c>
      <c r="J147" s="3">
        <v>175.09750810638224</v>
      </c>
      <c r="K147" s="3">
        <v>0.18</v>
      </c>
      <c r="L147" s="6">
        <f t="shared" si="10"/>
        <v>8.7548754053191121E-4</v>
      </c>
      <c r="P147" s="3">
        <f t="shared" si="11"/>
        <v>0.18792937726998654</v>
      </c>
      <c r="Q147" s="3">
        <f t="shared" si="12"/>
        <v>1.0440520959443698</v>
      </c>
      <c r="S147" s="3">
        <f t="shared" si="13"/>
        <v>0.18746403686249494</v>
      </c>
      <c r="T147" s="3">
        <f t="shared" si="14"/>
        <v>1.0414668714583053</v>
      </c>
      <c r="V147" s="3"/>
      <c r="W147" s="3"/>
    </row>
    <row r="148" spans="1:23" x14ac:dyDescent="0.3">
      <c r="B148" s="4">
        <v>10</v>
      </c>
      <c r="C148" s="5">
        <v>528</v>
      </c>
      <c r="D148" s="5">
        <v>1</v>
      </c>
      <c r="E148" s="4">
        <v>45</v>
      </c>
      <c r="F148" s="3">
        <v>2.8</v>
      </c>
      <c r="G148" s="4">
        <v>40</v>
      </c>
      <c r="H148" s="4">
        <v>45</v>
      </c>
      <c r="I148" s="2">
        <v>1.140137516348016E-2</v>
      </c>
      <c r="J148" s="3">
        <v>209.21489527372268</v>
      </c>
      <c r="K148" s="3">
        <v>0.2</v>
      </c>
      <c r="L148" s="6">
        <f t="shared" si="10"/>
        <v>1.0460744763686133E-3</v>
      </c>
      <c r="P148" s="3">
        <f t="shared" si="11"/>
        <v>0.21816378690659285</v>
      </c>
      <c r="Q148" s="3">
        <f t="shared" si="12"/>
        <v>1.0908189345329642</v>
      </c>
      <c r="S148" s="3">
        <f t="shared" si="13"/>
        <v>0.2182443231734702</v>
      </c>
      <c r="T148" s="3">
        <f t="shared" si="14"/>
        <v>1.0912216158673509</v>
      </c>
      <c r="V148" s="3"/>
      <c r="W148" s="3"/>
    </row>
    <row r="149" spans="1:23" x14ac:dyDescent="0.3">
      <c r="B149" s="4">
        <v>10</v>
      </c>
      <c r="C149" s="5">
        <v>528</v>
      </c>
      <c r="D149" s="5">
        <v>1</v>
      </c>
      <c r="E149" s="4">
        <v>45</v>
      </c>
      <c r="F149" s="3">
        <v>2.8</v>
      </c>
      <c r="G149" s="4">
        <v>40</v>
      </c>
      <c r="H149" s="4">
        <v>45</v>
      </c>
      <c r="I149" s="2">
        <v>1.140137516348016E-2</v>
      </c>
      <c r="J149" s="3">
        <v>239.31847218608186</v>
      </c>
      <c r="K149" s="3">
        <v>0.22</v>
      </c>
      <c r="L149" s="6">
        <f t="shared" si="10"/>
        <v>1.1965923609304093E-3</v>
      </c>
      <c r="P149" s="3">
        <f t="shared" si="11"/>
        <v>0.24417890245697327</v>
      </c>
      <c r="Q149" s="3">
        <f t="shared" si="12"/>
        <v>1.1099041020771512</v>
      </c>
      <c r="S149" s="3">
        <f t="shared" si="13"/>
        <v>0.24479501391171465</v>
      </c>
      <c r="T149" s="3">
        <f t="shared" si="14"/>
        <v>1.112704608689612</v>
      </c>
      <c r="V149" s="3"/>
      <c r="W149" s="3"/>
    </row>
    <row r="150" spans="1:23" x14ac:dyDescent="0.3">
      <c r="B150" s="4">
        <v>10</v>
      </c>
      <c r="C150" s="5">
        <v>528</v>
      </c>
      <c r="D150" s="5">
        <v>1</v>
      </c>
      <c r="E150" s="4">
        <v>45</v>
      </c>
      <c r="F150" s="3">
        <v>2.8</v>
      </c>
      <c r="G150" s="4">
        <v>40</v>
      </c>
      <c r="H150" s="4">
        <v>45</v>
      </c>
      <c r="I150" s="2">
        <v>1.140137516348016E-2</v>
      </c>
      <c r="J150" s="3">
        <v>273.4358593534223</v>
      </c>
      <c r="K150" s="3">
        <v>0.24</v>
      </c>
      <c r="L150" s="6">
        <f t="shared" si="10"/>
        <v>1.3671792967671116E-3</v>
      </c>
      <c r="P150" s="3">
        <f t="shared" si="11"/>
        <v>0.27303036302137546</v>
      </c>
      <c r="Q150" s="3">
        <f t="shared" si="12"/>
        <v>1.1376265125890643</v>
      </c>
      <c r="S150" s="3">
        <f t="shared" si="13"/>
        <v>0.27430356048925814</v>
      </c>
      <c r="T150" s="3">
        <f t="shared" si="14"/>
        <v>1.1429315020385755</v>
      </c>
      <c r="V150" s="3"/>
      <c r="W150" s="3"/>
    </row>
    <row r="151" spans="1:23" x14ac:dyDescent="0.3">
      <c r="B151" s="4">
        <v>10</v>
      </c>
      <c r="C151" s="5">
        <v>528</v>
      </c>
      <c r="D151" s="5">
        <v>1</v>
      </c>
      <c r="E151" s="4">
        <v>45</v>
      </c>
      <c r="F151" s="3">
        <v>2.8</v>
      </c>
      <c r="G151" s="4">
        <v>40</v>
      </c>
      <c r="H151" s="4">
        <v>45</v>
      </c>
      <c r="I151" s="2">
        <v>1.140137516348016E-2</v>
      </c>
      <c r="J151" s="3">
        <v>303.53943626578155</v>
      </c>
      <c r="K151" s="3">
        <v>0.26</v>
      </c>
      <c r="L151" s="6">
        <f t="shared" si="10"/>
        <v>1.5176971813289078E-3</v>
      </c>
      <c r="P151" s="3">
        <f t="shared" si="11"/>
        <v>0.29800416698748849</v>
      </c>
      <c r="Q151" s="3">
        <f t="shared" si="12"/>
        <v>1.1461698730288019</v>
      </c>
      <c r="S151" s="3">
        <f t="shared" si="13"/>
        <v>0.2998945612215218</v>
      </c>
      <c r="T151" s="3">
        <f t="shared" si="14"/>
        <v>1.153440620082776</v>
      </c>
      <c r="V151" s="3"/>
      <c r="W151" s="3"/>
    </row>
    <row r="152" spans="1:23" x14ac:dyDescent="0.3">
      <c r="B152" s="4">
        <v>10</v>
      </c>
      <c r="C152" s="5">
        <v>528</v>
      </c>
      <c r="D152" s="5">
        <v>1</v>
      </c>
      <c r="E152" s="4">
        <v>45</v>
      </c>
      <c r="F152" s="3">
        <v>2.8</v>
      </c>
      <c r="G152" s="4">
        <v>40</v>
      </c>
      <c r="H152" s="4">
        <v>45</v>
      </c>
      <c r="I152" s="2">
        <v>1.140137516348016E-2</v>
      </c>
      <c r="J152" s="3">
        <v>339.66372856061264</v>
      </c>
      <c r="K152" s="3">
        <v>0.28000000000000003</v>
      </c>
      <c r="L152" s="6">
        <f t="shared" si="10"/>
        <v>1.6983186428030633E-3</v>
      </c>
      <c r="P152" s="3">
        <f t="shared" si="11"/>
        <v>0.32745020772034344</v>
      </c>
      <c r="Q152" s="3">
        <f t="shared" si="12"/>
        <v>1.169465027572655</v>
      </c>
      <c r="S152" s="3">
        <f t="shared" si="13"/>
        <v>0.33012078399003886</v>
      </c>
      <c r="T152" s="3">
        <f t="shared" si="14"/>
        <v>1.1790027999644244</v>
      </c>
      <c r="V152" s="3"/>
      <c r="W152" s="3"/>
    </row>
    <row r="153" spans="1:23" x14ac:dyDescent="0.3">
      <c r="A153" s="1" t="s">
        <v>38</v>
      </c>
      <c r="B153" s="4">
        <v>10</v>
      </c>
      <c r="C153" s="5">
        <v>528</v>
      </c>
      <c r="D153" s="5">
        <v>1</v>
      </c>
      <c r="E153" s="4">
        <v>45</v>
      </c>
      <c r="F153" s="3">
        <v>2.8</v>
      </c>
      <c r="G153" s="4">
        <v>40</v>
      </c>
      <c r="H153" s="4">
        <v>45</v>
      </c>
      <c r="I153" s="2">
        <v>1.140137516348016E-2</v>
      </c>
      <c r="J153" s="3">
        <v>110.87654402668258</v>
      </c>
      <c r="K153" s="3">
        <v>0.15</v>
      </c>
      <c r="L153" s="6">
        <f t="shared" si="10"/>
        <v>5.5438272013341294E-4</v>
      </c>
      <c r="P153" s="3">
        <f t="shared" si="11"/>
        <v>0.12814501493301264</v>
      </c>
      <c r="Q153" s="3">
        <f t="shared" si="12"/>
        <v>0.85430009955341768</v>
      </c>
      <c r="S153" s="3">
        <f t="shared" si="13"/>
        <v>0.12689659290722391</v>
      </c>
      <c r="T153" s="3">
        <f t="shared" si="14"/>
        <v>0.84597728604815947</v>
      </c>
      <c r="V153" s="3"/>
      <c r="W153" s="3"/>
    </row>
    <row r="154" spans="1:23" x14ac:dyDescent="0.3">
      <c r="B154" s="4">
        <v>10</v>
      </c>
      <c r="C154" s="5">
        <v>528</v>
      </c>
      <c r="D154" s="5">
        <v>1</v>
      </c>
      <c r="E154" s="4">
        <v>45</v>
      </c>
      <c r="F154" s="3">
        <v>2.8</v>
      </c>
      <c r="G154" s="4">
        <v>40</v>
      </c>
      <c r="H154" s="4">
        <v>45</v>
      </c>
      <c r="I154" s="2">
        <v>1.140137516348016E-2</v>
      </c>
      <c r="J154" s="3">
        <v>144.99393119402299</v>
      </c>
      <c r="K154" s="3">
        <v>0.17</v>
      </c>
      <c r="L154" s="6">
        <f t="shared" si="10"/>
        <v>7.2496965597011493E-4</v>
      </c>
      <c r="P154" s="3">
        <f t="shared" si="11"/>
        <v>0.16044907470919675</v>
      </c>
      <c r="Q154" s="3">
        <f t="shared" si="12"/>
        <v>0.94381808652468668</v>
      </c>
      <c r="S154" s="3">
        <f t="shared" si="13"/>
        <v>0.15956940472895886</v>
      </c>
      <c r="T154" s="3">
        <f t="shared" si="14"/>
        <v>0.9386435572291697</v>
      </c>
      <c r="V154" s="3"/>
      <c r="W154" s="3"/>
    </row>
    <row r="155" spans="1:23" x14ac:dyDescent="0.3">
      <c r="B155" s="4">
        <v>10</v>
      </c>
      <c r="C155" s="5">
        <v>528</v>
      </c>
      <c r="D155" s="5">
        <v>1</v>
      </c>
      <c r="E155" s="4">
        <v>45</v>
      </c>
      <c r="F155" s="3">
        <v>2.8</v>
      </c>
      <c r="G155" s="4">
        <v>40</v>
      </c>
      <c r="H155" s="4">
        <v>45</v>
      </c>
      <c r="I155" s="2">
        <v>1.140137516348016E-2</v>
      </c>
      <c r="J155" s="3">
        <v>177.1044132338728</v>
      </c>
      <c r="K155" s="3">
        <v>0.19</v>
      </c>
      <c r="L155" s="6">
        <f t="shared" si="10"/>
        <v>8.8552206616936407E-4</v>
      </c>
      <c r="P155" s="3">
        <f t="shared" si="11"/>
        <v>0.18973274364506373</v>
      </c>
      <c r="Q155" s="3">
        <f t="shared" si="12"/>
        <v>0.99859338760559857</v>
      </c>
      <c r="S155" s="3">
        <f t="shared" si="13"/>
        <v>0.1892974518152285</v>
      </c>
      <c r="T155" s="3">
        <f t="shared" si="14"/>
        <v>0.99630237797488685</v>
      </c>
      <c r="V155" s="3"/>
      <c r="W155" s="3"/>
    </row>
    <row r="156" spans="1:23" x14ac:dyDescent="0.3">
      <c r="B156" s="4">
        <v>10</v>
      </c>
      <c r="C156" s="5">
        <v>528</v>
      </c>
      <c r="D156" s="5">
        <v>1</v>
      </c>
      <c r="E156" s="4">
        <v>45</v>
      </c>
      <c r="F156" s="3">
        <v>2.8</v>
      </c>
      <c r="G156" s="4">
        <v>40</v>
      </c>
      <c r="H156" s="4">
        <v>45</v>
      </c>
      <c r="I156" s="2">
        <v>1.140137516348016E-2</v>
      </c>
      <c r="J156" s="3">
        <v>206.20453758248684</v>
      </c>
      <c r="K156" s="3">
        <v>0.2</v>
      </c>
      <c r="L156" s="6">
        <f t="shared" si="10"/>
        <v>1.0310226879124342E-3</v>
      </c>
      <c r="P156" s="3">
        <f t="shared" si="11"/>
        <v>0.21553011970262823</v>
      </c>
      <c r="Q156" s="3">
        <f t="shared" si="12"/>
        <v>1.077650598513141</v>
      </c>
      <c r="S156" s="3">
        <f t="shared" si="13"/>
        <v>0.21555969101612629</v>
      </c>
      <c r="T156" s="3">
        <f t="shared" si="14"/>
        <v>1.0777984550806314</v>
      </c>
      <c r="V156" s="3"/>
      <c r="W156" s="3"/>
    </row>
    <row r="157" spans="1:23" x14ac:dyDescent="0.3">
      <c r="B157" s="4">
        <v>10</v>
      </c>
      <c r="C157" s="5">
        <v>528</v>
      </c>
      <c r="D157" s="5">
        <v>1</v>
      </c>
      <c r="E157" s="4">
        <v>45</v>
      </c>
      <c r="F157" s="3">
        <v>2.8</v>
      </c>
      <c r="G157" s="4">
        <v>40</v>
      </c>
      <c r="H157" s="4">
        <v>45</v>
      </c>
      <c r="I157" s="2">
        <v>1.140137516348016E-2</v>
      </c>
      <c r="J157" s="3">
        <v>239.31847218608186</v>
      </c>
      <c r="K157" s="3">
        <v>0.22</v>
      </c>
      <c r="L157" s="6">
        <f t="shared" si="10"/>
        <v>1.1965923609304093E-3</v>
      </c>
      <c r="P157" s="3">
        <f t="shared" si="11"/>
        <v>0.24417890245697327</v>
      </c>
      <c r="Q157" s="3">
        <f t="shared" si="12"/>
        <v>1.1099041020771512</v>
      </c>
      <c r="S157" s="3">
        <f t="shared" si="13"/>
        <v>0.24479501391171465</v>
      </c>
      <c r="T157" s="3">
        <f t="shared" si="14"/>
        <v>1.112704608689612</v>
      </c>
      <c r="V157" s="3"/>
      <c r="W157" s="3"/>
    </row>
    <row r="158" spans="1:23" x14ac:dyDescent="0.3">
      <c r="B158" s="4">
        <v>10</v>
      </c>
      <c r="C158" s="5">
        <v>528</v>
      </c>
      <c r="D158" s="5">
        <v>1</v>
      </c>
      <c r="E158" s="4">
        <v>45</v>
      </c>
      <c r="F158" s="3">
        <v>2.8</v>
      </c>
      <c r="G158" s="4">
        <v>40</v>
      </c>
      <c r="H158" s="4">
        <v>45</v>
      </c>
      <c r="I158" s="2">
        <v>1.140137516348016E-2</v>
      </c>
      <c r="J158" s="3">
        <v>272.43240678967703</v>
      </c>
      <c r="K158" s="3">
        <v>0.24</v>
      </c>
      <c r="L158" s="6">
        <f t="shared" si="10"/>
        <v>1.3621620339483852E-3</v>
      </c>
      <c r="P158" s="3">
        <f t="shared" si="11"/>
        <v>0.27219046684689657</v>
      </c>
      <c r="Q158" s="3">
        <f t="shared" si="12"/>
        <v>1.1341269451954024</v>
      </c>
      <c r="S158" s="3">
        <f t="shared" si="13"/>
        <v>0.27344366199884057</v>
      </c>
      <c r="T158" s="3">
        <f t="shared" si="14"/>
        <v>1.1393485916618358</v>
      </c>
      <c r="V158" s="3"/>
      <c r="W158" s="3"/>
    </row>
    <row r="159" spans="1:23" x14ac:dyDescent="0.3">
      <c r="B159" s="4">
        <v>10</v>
      </c>
      <c r="C159" s="5">
        <v>528</v>
      </c>
      <c r="D159" s="5">
        <v>1</v>
      </c>
      <c r="E159" s="4">
        <v>45</v>
      </c>
      <c r="F159" s="3">
        <v>2.8</v>
      </c>
      <c r="G159" s="4">
        <v>40</v>
      </c>
      <c r="H159" s="4">
        <v>45</v>
      </c>
      <c r="I159" s="2">
        <v>1.140137516348016E-2</v>
      </c>
      <c r="J159" s="3">
        <v>300.52907857454568</v>
      </c>
      <c r="K159" s="3">
        <v>0.26</v>
      </c>
      <c r="L159" s="6">
        <f t="shared" si="10"/>
        <v>1.5026453928727284E-3</v>
      </c>
      <c r="P159" s="3">
        <f t="shared" si="11"/>
        <v>0.29552549295419805</v>
      </c>
      <c r="Q159" s="3">
        <f t="shared" si="12"/>
        <v>1.1366365113623003</v>
      </c>
      <c r="S159" s="3">
        <f t="shared" si="13"/>
        <v>0.29735274034918613</v>
      </c>
      <c r="T159" s="3">
        <f t="shared" si="14"/>
        <v>1.1436643859584081</v>
      </c>
      <c r="V159" s="3"/>
      <c r="W159" s="3"/>
    </row>
    <row r="160" spans="1:23" x14ac:dyDescent="0.3">
      <c r="B160" s="4">
        <v>10</v>
      </c>
      <c r="C160" s="5">
        <v>528</v>
      </c>
      <c r="D160" s="5">
        <v>1</v>
      </c>
      <c r="E160" s="4">
        <v>45</v>
      </c>
      <c r="F160" s="3">
        <v>2.8</v>
      </c>
      <c r="G160" s="4">
        <v>40</v>
      </c>
      <c r="H160" s="4">
        <v>45</v>
      </c>
      <c r="I160" s="2">
        <v>1.140137516348016E-2</v>
      </c>
      <c r="J160" s="3">
        <v>327.62229779566889</v>
      </c>
      <c r="K160" s="3">
        <v>0.28999999999999998</v>
      </c>
      <c r="L160" s="6">
        <f t="shared" si="10"/>
        <v>1.6381114889783444E-3</v>
      </c>
      <c r="P160" s="3">
        <f t="shared" si="11"/>
        <v>0.31769400259175168</v>
      </c>
      <c r="Q160" s="3">
        <f t="shared" si="12"/>
        <v>1.0954965606612128</v>
      </c>
      <c r="S160" s="3">
        <f t="shared" si="13"/>
        <v>0.32010009449657029</v>
      </c>
      <c r="T160" s="3">
        <f t="shared" si="14"/>
        <v>1.1037934292985183</v>
      </c>
      <c r="V160" s="3"/>
      <c r="W160" s="3"/>
    </row>
    <row r="161" spans="1:23" x14ac:dyDescent="0.3">
      <c r="A161" s="1" t="s">
        <v>39</v>
      </c>
      <c r="B161" s="4">
        <v>20</v>
      </c>
      <c r="C161" s="5">
        <v>598</v>
      </c>
      <c r="D161" s="5">
        <v>1</v>
      </c>
      <c r="E161" s="4">
        <v>40</v>
      </c>
      <c r="F161" s="3">
        <v>2.8</v>
      </c>
      <c r="G161" s="4">
        <v>40</v>
      </c>
      <c r="H161" s="4">
        <v>50</v>
      </c>
      <c r="I161" s="2">
        <v>5.4123833185813645E-2</v>
      </c>
      <c r="J161" s="3">
        <v>158.12531340890922</v>
      </c>
      <c r="K161" s="3">
        <v>0.17</v>
      </c>
      <c r="L161" s="6">
        <f t="shared" si="10"/>
        <v>7.9062656704454609E-4</v>
      </c>
      <c r="P161" s="3">
        <f t="shared" si="11"/>
        <v>0.17132677907285965</v>
      </c>
      <c r="Q161" s="3">
        <f t="shared" si="12"/>
        <v>1.0078045827815272</v>
      </c>
      <c r="S161" s="3">
        <f t="shared" si="13"/>
        <v>0.16592397026654745</v>
      </c>
      <c r="T161" s="3">
        <f t="shared" si="14"/>
        <v>0.9760233545091026</v>
      </c>
      <c r="V161" s="3"/>
      <c r="W161" s="3"/>
    </row>
    <row r="162" spans="1:23" x14ac:dyDescent="0.3">
      <c r="B162" s="4">
        <v>20</v>
      </c>
      <c r="C162" s="5">
        <v>598</v>
      </c>
      <c r="D162" s="5">
        <v>1</v>
      </c>
      <c r="E162" s="4">
        <v>40</v>
      </c>
      <c r="F162" s="3">
        <v>2.8</v>
      </c>
      <c r="G162" s="4">
        <v>40</v>
      </c>
      <c r="H162" s="4">
        <v>50</v>
      </c>
      <c r="I162" s="2">
        <v>5.4123833185813645E-2</v>
      </c>
      <c r="J162" s="3">
        <v>195.98969345647063</v>
      </c>
      <c r="K162" s="3">
        <v>0.2</v>
      </c>
      <c r="L162" s="6">
        <f t="shared" si="10"/>
        <v>9.7994846728235324E-4</v>
      </c>
      <c r="P162" s="3">
        <f t="shared" si="11"/>
        <v>0.20509427017991008</v>
      </c>
      <c r="Q162" s="3">
        <f t="shared" si="12"/>
        <v>1.0254713508995503</v>
      </c>
      <c r="S162" s="3">
        <f t="shared" si="13"/>
        <v>0.19931001305252416</v>
      </c>
      <c r="T162" s="3">
        <f t="shared" si="14"/>
        <v>0.9965500652626208</v>
      </c>
      <c r="V162" s="3"/>
      <c r="W162" s="3"/>
    </row>
    <row r="163" spans="1:23" x14ac:dyDescent="0.3">
      <c r="B163" s="4">
        <v>20</v>
      </c>
      <c r="C163" s="5">
        <v>598</v>
      </c>
      <c r="D163" s="5">
        <v>1</v>
      </c>
      <c r="E163" s="4">
        <v>40</v>
      </c>
      <c r="F163" s="3">
        <v>2.8</v>
      </c>
      <c r="G163" s="4">
        <v>40</v>
      </c>
      <c r="H163" s="4">
        <v>50</v>
      </c>
      <c r="I163" s="2">
        <v>5.4123833185813645E-2</v>
      </c>
      <c r="J163" s="3">
        <v>233.41898234294672</v>
      </c>
      <c r="K163" s="3">
        <v>0.24</v>
      </c>
      <c r="L163" s="6">
        <f t="shared" si="10"/>
        <v>1.1670949117147337E-3</v>
      </c>
      <c r="P163" s="3">
        <f t="shared" si="11"/>
        <v>0.23744344745711282</v>
      </c>
      <c r="Q163" s="3">
        <f t="shared" si="12"/>
        <v>0.98934769773797016</v>
      </c>
      <c r="S163" s="3">
        <f t="shared" si="13"/>
        <v>0.23139300512542899</v>
      </c>
      <c r="T163" s="3">
        <f t="shared" si="14"/>
        <v>0.9641375213559541</v>
      </c>
      <c r="V163" s="3"/>
      <c r="W163" s="3"/>
    </row>
    <row r="164" spans="1:23" x14ac:dyDescent="0.3">
      <c r="B164" s="4">
        <v>20</v>
      </c>
      <c r="C164" s="5">
        <v>598</v>
      </c>
      <c r="D164" s="5">
        <v>1</v>
      </c>
      <c r="E164" s="4">
        <v>40</v>
      </c>
      <c r="F164" s="3">
        <v>2.8</v>
      </c>
      <c r="G164" s="4">
        <v>40</v>
      </c>
      <c r="H164" s="4">
        <v>50</v>
      </c>
      <c r="I164" s="2">
        <v>5.4123833185813645E-2</v>
      </c>
      <c r="J164" s="3">
        <v>270.64147957811639</v>
      </c>
      <c r="K164" s="3">
        <v>0.27</v>
      </c>
      <c r="L164" s="6">
        <f t="shared" si="10"/>
        <v>1.353207397890582E-3</v>
      </c>
      <c r="P164" s="3">
        <f t="shared" si="11"/>
        <v>0.26878717977910066</v>
      </c>
      <c r="Q164" s="3">
        <f t="shared" si="12"/>
        <v>0.99550807325592827</v>
      </c>
      <c r="S164" s="3">
        <f t="shared" si="13"/>
        <v>0.26255888456152066</v>
      </c>
      <c r="T164" s="3">
        <f t="shared" si="14"/>
        <v>0.97244031319081714</v>
      </c>
      <c r="V164" s="3"/>
      <c r="W164" s="3"/>
    </row>
    <row r="165" spans="1:23" x14ac:dyDescent="0.3">
      <c r="B165" s="4">
        <v>20</v>
      </c>
      <c r="C165" s="5">
        <v>598</v>
      </c>
      <c r="D165" s="5">
        <v>1</v>
      </c>
      <c r="E165" s="4">
        <v>40</v>
      </c>
      <c r="F165" s="3">
        <v>2.8</v>
      </c>
      <c r="G165" s="4">
        <v>40</v>
      </c>
      <c r="H165" s="4">
        <v>50</v>
      </c>
      <c r="I165" s="2">
        <v>5.4123833185813645E-2</v>
      </c>
      <c r="J165" s="3">
        <v>307.45039351067317</v>
      </c>
      <c r="K165" s="3">
        <v>0.32</v>
      </c>
      <c r="L165" s="6">
        <f t="shared" si="10"/>
        <v>1.5372519675533659E-3</v>
      </c>
      <c r="P165" s="3">
        <f t="shared" si="11"/>
        <v>0.29910079836910003</v>
      </c>
      <c r="Q165" s="3">
        <f t="shared" si="12"/>
        <v>0.93468999490343763</v>
      </c>
      <c r="S165" s="3">
        <f t="shared" si="13"/>
        <v>0.29276680384742459</v>
      </c>
      <c r="T165" s="3">
        <f t="shared" si="14"/>
        <v>0.91489626202320185</v>
      </c>
      <c r="V165" s="3"/>
      <c r="W165" s="3"/>
    </row>
    <row r="166" spans="1:23" x14ac:dyDescent="0.3">
      <c r="B166" s="4">
        <v>20</v>
      </c>
      <c r="C166" s="5">
        <v>598</v>
      </c>
      <c r="D166" s="5">
        <v>1</v>
      </c>
      <c r="E166" s="4">
        <v>40</v>
      </c>
      <c r="F166" s="3">
        <v>2.8</v>
      </c>
      <c r="G166" s="4">
        <v>40</v>
      </c>
      <c r="H166" s="4">
        <v>50</v>
      </c>
      <c r="I166" s="2">
        <v>5.4123833185813645E-2</v>
      </c>
      <c r="J166" s="3">
        <v>345.29326569976212</v>
      </c>
      <c r="K166" s="3">
        <v>0.34</v>
      </c>
      <c r="L166" s="6">
        <f t="shared" si="10"/>
        <v>1.7264663284988107E-3</v>
      </c>
      <c r="P166" s="3">
        <f t="shared" si="11"/>
        <v>0.32965807055328772</v>
      </c>
      <c r="Q166" s="3">
        <f t="shared" si="12"/>
        <v>0.96958256045084612</v>
      </c>
      <c r="S166" s="3">
        <f t="shared" si="13"/>
        <v>0.32327683129446638</v>
      </c>
      <c r="T166" s="3">
        <f t="shared" si="14"/>
        <v>0.95081420968960695</v>
      </c>
      <c r="V166" s="3"/>
      <c r="W166" s="3"/>
    </row>
    <row r="167" spans="1:23" x14ac:dyDescent="0.3">
      <c r="A167" s="1" t="s">
        <v>40</v>
      </c>
      <c r="B167" s="4">
        <v>20</v>
      </c>
      <c r="C167" s="5">
        <v>598</v>
      </c>
      <c r="D167" s="5">
        <v>1</v>
      </c>
      <c r="E167" s="4">
        <v>40</v>
      </c>
      <c r="F167" s="3">
        <v>2.8</v>
      </c>
      <c r="G167" s="4">
        <v>40</v>
      </c>
      <c r="H167" s="4">
        <v>50</v>
      </c>
      <c r="I167" s="2">
        <v>5.4123833185813645E-2</v>
      </c>
      <c r="J167" s="3">
        <v>126.53659631420494</v>
      </c>
      <c r="K167" s="3">
        <v>0.16</v>
      </c>
      <c r="L167" s="6">
        <f t="shared" si="10"/>
        <v>6.3268298157102474E-4</v>
      </c>
      <c r="P167" s="3">
        <f t="shared" si="11"/>
        <v>0.14214094874708214</v>
      </c>
      <c r="Q167" s="3">
        <f t="shared" si="12"/>
        <v>0.8883809296692633</v>
      </c>
      <c r="S167" s="3">
        <f t="shared" si="13"/>
        <v>0.13716854334206585</v>
      </c>
      <c r="T167" s="3">
        <f t="shared" si="14"/>
        <v>0.8573033958879116</v>
      </c>
      <c r="V167" s="3"/>
      <c r="W167" s="3"/>
    </row>
    <row r="168" spans="1:23" x14ac:dyDescent="0.3">
      <c r="B168" s="4">
        <v>20</v>
      </c>
      <c r="C168" s="5">
        <v>598</v>
      </c>
      <c r="D168" s="5">
        <v>1</v>
      </c>
      <c r="E168" s="4">
        <v>40</v>
      </c>
      <c r="F168" s="3">
        <v>2.8</v>
      </c>
      <c r="G168" s="4">
        <v>40</v>
      </c>
      <c r="H168" s="4">
        <v>50</v>
      </c>
      <c r="I168" s="2">
        <v>5.4123833185813645E-2</v>
      </c>
      <c r="J168" s="3">
        <v>158.66994646226618</v>
      </c>
      <c r="K168" s="3">
        <v>0.2</v>
      </c>
      <c r="L168" s="6">
        <f t="shared" si="10"/>
        <v>7.9334973231133088E-4</v>
      </c>
      <c r="P168" s="3">
        <f t="shared" si="11"/>
        <v>0.17182114763501705</v>
      </c>
      <c r="Q168" s="3">
        <f t="shared" si="12"/>
        <v>0.85910573817508518</v>
      </c>
      <c r="S168" s="3">
        <f t="shared" si="13"/>
        <v>0.16641190364717739</v>
      </c>
      <c r="T168" s="3">
        <f t="shared" si="14"/>
        <v>0.83205951823588697</v>
      </c>
      <c r="V168" s="3"/>
      <c r="W168" s="3"/>
    </row>
    <row r="169" spans="1:23" x14ac:dyDescent="0.3">
      <c r="B169" s="4">
        <v>20</v>
      </c>
      <c r="C169" s="5">
        <v>598</v>
      </c>
      <c r="D169" s="5">
        <v>1</v>
      </c>
      <c r="E169" s="4">
        <v>40</v>
      </c>
      <c r="F169" s="3">
        <v>2.8</v>
      </c>
      <c r="G169" s="4">
        <v>40</v>
      </c>
      <c r="H169" s="4">
        <v>50</v>
      </c>
      <c r="I169" s="2">
        <v>5.4123833185813645E-2</v>
      </c>
      <c r="J169" s="3">
        <v>195.3693185025511</v>
      </c>
      <c r="K169" s="3">
        <v>0.24</v>
      </c>
      <c r="L169" s="6">
        <f t="shared" si="10"/>
        <v>9.768465925127554E-4</v>
      </c>
      <c r="P169" s="3">
        <f t="shared" si="11"/>
        <v>0.20455010588686617</v>
      </c>
      <c r="Q169" s="3">
        <f t="shared" si="12"/>
        <v>0.85229210786194243</v>
      </c>
      <c r="S169" s="3">
        <f t="shared" si="13"/>
        <v>0.19877111269339806</v>
      </c>
      <c r="T169" s="3">
        <f t="shared" si="14"/>
        <v>0.82821296955582524</v>
      </c>
      <c r="V169" s="3"/>
      <c r="W169" s="3"/>
    </row>
    <row r="170" spans="1:23" x14ac:dyDescent="0.3">
      <c r="B170" s="4">
        <v>20</v>
      </c>
      <c r="C170" s="5">
        <v>598</v>
      </c>
      <c r="D170" s="5">
        <v>1</v>
      </c>
      <c r="E170" s="4">
        <v>40</v>
      </c>
      <c r="F170" s="3">
        <v>2.8</v>
      </c>
      <c r="G170" s="4">
        <v>40</v>
      </c>
      <c r="H170" s="4">
        <v>50</v>
      </c>
      <c r="I170" s="2">
        <v>5.4123833185813645E-2</v>
      </c>
      <c r="J170" s="3">
        <v>232.38502408641426</v>
      </c>
      <c r="K170" s="3">
        <v>0.27</v>
      </c>
      <c r="L170" s="6">
        <f t="shared" si="10"/>
        <v>1.1619251204320713E-3</v>
      </c>
      <c r="P170" s="3">
        <f t="shared" si="11"/>
        <v>0.23656173473605108</v>
      </c>
      <c r="Q170" s="3">
        <f t="shared" si="12"/>
        <v>0.87615457309648537</v>
      </c>
      <c r="S170" s="3">
        <f t="shared" si="13"/>
        <v>0.23051738530976096</v>
      </c>
      <c r="T170" s="3">
        <f t="shared" si="14"/>
        <v>0.85376809373985529</v>
      </c>
      <c r="V170" s="3"/>
      <c r="W170" s="3"/>
    </row>
    <row r="171" spans="1:23" x14ac:dyDescent="0.3">
      <c r="B171" s="4">
        <v>20</v>
      </c>
      <c r="C171" s="5">
        <v>598</v>
      </c>
      <c r="D171" s="5">
        <v>1</v>
      </c>
      <c r="E171" s="4">
        <v>40</v>
      </c>
      <c r="F171" s="3">
        <v>2.8</v>
      </c>
      <c r="G171" s="4">
        <v>40</v>
      </c>
      <c r="H171" s="4">
        <v>50</v>
      </c>
      <c r="I171" s="2">
        <v>5.4123833185813645E-2</v>
      </c>
      <c r="J171" s="3">
        <v>270.84827122942283</v>
      </c>
      <c r="K171" s="3">
        <v>0.28999999999999998</v>
      </c>
      <c r="L171" s="6">
        <f t="shared" si="10"/>
        <v>1.3542413561471141E-3</v>
      </c>
      <c r="P171" s="3">
        <f t="shared" si="11"/>
        <v>0.26895927322858387</v>
      </c>
      <c r="Q171" s="3">
        <f t="shared" si="12"/>
        <v>0.9274457697537376</v>
      </c>
      <c r="S171" s="3">
        <f t="shared" si="13"/>
        <v>0.26273020099082428</v>
      </c>
      <c r="T171" s="3">
        <f t="shared" si="14"/>
        <v>0.90596621031318725</v>
      </c>
      <c r="V171" s="3"/>
      <c r="W171" s="3"/>
    </row>
    <row r="172" spans="1:23" x14ac:dyDescent="0.3">
      <c r="B172" s="4">
        <v>20</v>
      </c>
      <c r="C172" s="5">
        <v>598</v>
      </c>
      <c r="D172" s="5">
        <v>1</v>
      </c>
      <c r="E172" s="4">
        <v>40</v>
      </c>
      <c r="F172" s="3">
        <v>2.8</v>
      </c>
      <c r="G172" s="4">
        <v>40</v>
      </c>
      <c r="H172" s="4">
        <v>50</v>
      </c>
      <c r="I172" s="2">
        <v>5.4123833185813645E-2</v>
      </c>
      <c r="J172" s="3">
        <v>307.45039351067317</v>
      </c>
      <c r="K172" s="3">
        <v>0.32</v>
      </c>
      <c r="L172" s="6">
        <f t="shared" si="10"/>
        <v>1.5372519675533659E-3</v>
      </c>
      <c r="P172" s="3">
        <f t="shared" si="11"/>
        <v>0.29910079836910003</v>
      </c>
      <c r="Q172" s="3">
        <f t="shared" si="12"/>
        <v>0.93468999490343763</v>
      </c>
      <c r="S172" s="3">
        <f t="shared" si="13"/>
        <v>0.29276680384742459</v>
      </c>
      <c r="T172" s="3">
        <f t="shared" si="14"/>
        <v>0.91489626202320185</v>
      </c>
      <c r="V172" s="3"/>
      <c r="W172" s="3"/>
    </row>
    <row r="173" spans="1:23" x14ac:dyDescent="0.3">
      <c r="B173" s="4">
        <v>20</v>
      </c>
      <c r="C173" s="5">
        <v>598</v>
      </c>
      <c r="D173" s="5">
        <v>1</v>
      </c>
      <c r="E173" s="4">
        <v>40</v>
      </c>
      <c r="F173" s="3">
        <v>2.8</v>
      </c>
      <c r="G173" s="4">
        <v>40</v>
      </c>
      <c r="H173" s="4">
        <v>50</v>
      </c>
      <c r="I173" s="2">
        <v>5.4123833185813645E-2</v>
      </c>
      <c r="J173" s="3">
        <v>325.23447552303179</v>
      </c>
      <c r="K173" s="3">
        <v>0.33</v>
      </c>
      <c r="L173" s="6">
        <f t="shared" si="10"/>
        <v>1.6261723776151589E-3</v>
      </c>
      <c r="P173" s="3">
        <f t="shared" si="11"/>
        <v>0.31353267507336585</v>
      </c>
      <c r="Q173" s="3">
        <f t="shared" si="12"/>
        <v>0.9500990153738359</v>
      </c>
      <c r="S173" s="3">
        <f t="shared" si="13"/>
        <v>0.30716930247179902</v>
      </c>
      <c r="T173" s="3">
        <f t="shared" si="14"/>
        <v>0.93081606809636064</v>
      </c>
      <c r="V173" s="3"/>
      <c r="W173" s="3"/>
    </row>
    <row r="174" spans="1:23" x14ac:dyDescent="0.3">
      <c r="A174" s="1" t="s">
        <v>41</v>
      </c>
      <c r="B174" s="4">
        <v>10</v>
      </c>
      <c r="C174" s="5">
        <v>528</v>
      </c>
      <c r="D174" s="5">
        <v>1</v>
      </c>
      <c r="E174" s="4">
        <v>45</v>
      </c>
      <c r="F174" s="3">
        <v>2.8</v>
      </c>
      <c r="G174" s="4">
        <v>40</v>
      </c>
      <c r="H174" s="4">
        <v>45</v>
      </c>
      <c r="I174" s="2">
        <v>7.9598096831560491E-3</v>
      </c>
      <c r="J174" s="3">
        <v>155.01440265260516</v>
      </c>
      <c r="K174" s="3">
        <v>0.15</v>
      </c>
      <c r="L174" s="6">
        <f t="shared" si="10"/>
        <v>7.7507201326302579E-4</v>
      </c>
      <c r="P174" s="3">
        <f t="shared" si="11"/>
        <v>0.20235778516529807</v>
      </c>
      <c r="Q174" s="3">
        <f t="shared" si="12"/>
        <v>1.3490519011019872</v>
      </c>
      <c r="S174" s="3">
        <f t="shared" si="13"/>
        <v>0.20953338209159178</v>
      </c>
      <c r="T174" s="3">
        <f t="shared" si="14"/>
        <v>1.3968892139439453</v>
      </c>
      <c r="V174" s="3"/>
      <c r="W174" s="3"/>
    </row>
    <row r="175" spans="1:23" x14ac:dyDescent="0.3">
      <c r="B175" s="4">
        <v>10</v>
      </c>
      <c r="C175" s="5">
        <v>528</v>
      </c>
      <c r="D175" s="5">
        <v>1</v>
      </c>
      <c r="E175" s="4">
        <v>45</v>
      </c>
      <c r="F175" s="3">
        <v>2.8</v>
      </c>
      <c r="G175" s="4">
        <v>40</v>
      </c>
      <c r="H175" s="4">
        <v>45</v>
      </c>
      <c r="I175" s="2">
        <v>7.9598096831560491E-3</v>
      </c>
      <c r="J175" s="3">
        <v>188.98127924359721</v>
      </c>
      <c r="K175" s="3">
        <v>0.19</v>
      </c>
      <c r="L175" s="6">
        <f t="shared" si="10"/>
        <v>9.4490639621798607E-4</v>
      </c>
      <c r="P175" s="3">
        <f t="shared" si="11"/>
        <v>0.23890601262840547</v>
      </c>
      <c r="Q175" s="3">
        <f t="shared" si="12"/>
        <v>1.257400066465292</v>
      </c>
      <c r="S175" s="3">
        <f t="shared" si="13"/>
        <v>0.24816305869529276</v>
      </c>
      <c r="T175" s="3">
        <f t="shared" si="14"/>
        <v>1.3061213615541725</v>
      </c>
      <c r="V175" s="3"/>
      <c r="W175" s="3"/>
    </row>
    <row r="176" spans="1:23" x14ac:dyDescent="0.3">
      <c r="B176" s="4">
        <v>10</v>
      </c>
      <c r="C176" s="5">
        <v>528</v>
      </c>
      <c r="D176" s="5">
        <v>1</v>
      </c>
      <c r="E176" s="4">
        <v>45</v>
      </c>
      <c r="F176" s="3">
        <v>2.8</v>
      </c>
      <c r="G176" s="4">
        <v>40</v>
      </c>
      <c r="H176" s="4">
        <v>45</v>
      </c>
      <c r="I176" s="2">
        <v>7.9598096831560491E-3</v>
      </c>
      <c r="J176" s="3">
        <v>195.77465456179567</v>
      </c>
      <c r="K176" s="3">
        <v>0.2</v>
      </c>
      <c r="L176" s="6">
        <f t="shared" si="10"/>
        <v>9.7887327280897843E-4</v>
      </c>
      <c r="P176" s="3">
        <f t="shared" si="11"/>
        <v>0.24608211872091396</v>
      </c>
      <c r="Q176" s="3">
        <f t="shared" si="12"/>
        <v>1.2304105936045697</v>
      </c>
      <c r="S176" s="3">
        <f t="shared" si="13"/>
        <v>0.25576170218053584</v>
      </c>
      <c r="T176" s="3">
        <f t="shared" si="14"/>
        <v>1.2788085109026792</v>
      </c>
      <c r="V176" s="3"/>
      <c r="W176" s="3"/>
    </row>
    <row r="177" spans="1:23" x14ac:dyDescent="0.3">
      <c r="B177" s="4">
        <v>10</v>
      </c>
      <c r="C177" s="5">
        <v>528</v>
      </c>
      <c r="D177" s="5">
        <v>1</v>
      </c>
      <c r="E177" s="4">
        <v>45</v>
      </c>
      <c r="F177" s="3">
        <v>2.8</v>
      </c>
      <c r="G177" s="4">
        <v>40</v>
      </c>
      <c r="H177" s="4">
        <v>45</v>
      </c>
      <c r="I177" s="2">
        <v>7.9598096831560491E-3</v>
      </c>
      <c r="J177" s="3">
        <v>224.4577947941888</v>
      </c>
      <c r="K177" s="3">
        <v>0.23</v>
      </c>
      <c r="L177" s="6">
        <f t="shared" si="10"/>
        <v>1.122288973970944E-3</v>
      </c>
      <c r="P177" s="3">
        <f t="shared" si="11"/>
        <v>0.27595547203891019</v>
      </c>
      <c r="Q177" s="3">
        <f t="shared" si="12"/>
        <v>1.1998064001691746</v>
      </c>
      <c r="S177" s="3">
        <f t="shared" si="13"/>
        <v>0.28743822228068638</v>
      </c>
      <c r="T177" s="3">
        <f t="shared" si="14"/>
        <v>1.2497314012203755</v>
      </c>
      <c r="V177" s="3"/>
      <c r="W177" s="3"/>
    </row>
    <row r="178" spans="1:23" x14ac:dyDescent="0.3">
      <c r="B178" s="4">
        <v>10</v>
      </c>
      <c r="C178" s="5">
        <v>528</v>
      </c>
      <c r="D178" s="5">
        <v>1</v>
      </c>
      <c r="E178" s="4">
        <v>45</v>
      </c>
      <c r="F178" s="3">
        <v>2.8</v>
      </c>
      <c r="G178" s="4">
        <v>40</v>
      </c>
      <c r="H178" s="4">
        <v>45</v>
      </c>
      <c r="I178" s="2">
        <v>7.9598096831560491E-3</v>
      </c>
      <c r="J178" s="3">
        <v>244.08310126898419</v>
      </c>
      <c r="K178" s="3">
        <v>0.25</v>
      </c>
      <c r="L178" s="6">
        <f t="shared" si="10"/>
        <v>1.2204155063449209E-3</v>
      </c>
      <c r="P178" s="3">
        <f t="shared" si="11"/>
        <v>0.29603614611426488</v>
      </c>
      <c r="Q178" s="3">
        <f t="shared" si="12"/>
        <v>1.1841445844570595</v>
      </c>
      <c r="S178" s="3">
        <f t="shared" si="13"/>
        <v>0.30876829386945848</v>
      </c>
      <c r="T178" s="3">
        <f t="shared" si="14"/>
        <v>1.2350731754778339</v>
      </c>
      <c r="V178" s="3"/>
      <c r="W178" s="3"/>
    </row>
    <row r="179" spans="1:23" x14ac:dyDescent="0.3">
      <c r="B179" s="4">
        <v>10</v>
      </c>
      <c r="C179" s="5">
        <v>528</v>
      </c>
      <c r="D179" s="5">
        <v>1</v>
      </c>
      <c r="E179" s="4">
        <v>45</v>
      </c>
      <c r="F179" s="3">
        <v>2.8</v>
      </c>
      <c r="G179" s="4">
        <v>40</v>
      </c>
      <c r="H179" s="4">
        <v>45</v>
      </c>
      <c r="I179" s="2">
        <v>7.9598096831560491E-3</v>
      </c>
      <c r="J179" s="3">
        <v>265.97286618317912</v>
      </c>
      <c r="K179" s="3">
        <v>0.28000000000000003</v>
      </c>
      <c r="L179" s="6">
        <f t="shared" si="10"/>
        <v>1.3298643309158956E-3</v>
      </c>
      <c r="P179" s="3">
        <f t="shared" si="11"/>
        <v>0.31812794779388542</v>
      </c>
      <c r="Q179" s="3">
        <f t="shared" si="12"/>
        <v>1.1361712421210193</v>
      </c>
      <c r="S179" s="3">
        <f t="shared" si="13"/>
        <v>0.33226651326597856</v>
      </c>
      <c r="T179" s="3">
        <f t="shared" si="14"/>
        <v>1.1866661188070662</v>
      </c>
      <c r="V179" s="3"/>
      <c r="W179" s="3"/>
    </row>
    <row r="180" spans="1:23" x14ac:dyDescent="0.3">
      <c r="B180" s="4">
        <v>10</v>
      </c>
      <c r="C180" s="5">
        <v>528</v>
      </c>
      <c r="D180" s="5">
        <v>1</v>
      </c>
      <c r="E180" s="4">
        <v>45</v>
      </c>
      <c r="F180" s="3">
        <v>2.8</v>
      </c>
      <c r="G180" s="4">
        <v>40</v>
      </c>
      <c r="H180" s="4">
        <v>45</v>
      </c>
      <c r="I180" s="2">
        <v>7.9598096831560491E-3</v>
      </c>
      <c r="J180" s="3">
        <v>285.59817265797443</v>
      </c>
      <c r="K180" s="3">
        <v>0.31</v>
      </c>
      <c r="L180" s="6">
        <f t="shared" si="10"/>
        <v>1.4279908632898722E-3</v>
      </c>
      <c r="P180" s="3">
        <f t="shared" si="11"/>
        <v>0.33768454474283233</v>
      </c>
      <c r="Q180" s="3">
        <f t="shared" si="12"/>
        <v>1.0893049830413946</v>
      </c>
      <c r="S180" s="3">
        <f t="shared" si="13"/>
        <v>0.35309423251771133</v>
      </c>
      <c r="T180" s="3">
        <f t="shared" si="14"/>
        <v>1.1390136532829398</v>
      </c>
      <c r="V180" s="3"/>
      <c r="W180" s="3"/>
    </row>
    <row r="181" spans="1:23" x14ac:dyDescent="0.3">
      <c r="B181" s="4">
        <v>10</v>
      </c>
      <c r="C181" s="5">
        <v>528</v>
      </c>
      <c r="D181" s="5">
        <v>1</v>
      </c>
      <c r="E181" s="4">
        <v>45</v>
      </c>
      <c r="F181" s="3">
        <v>2.8</v>
      </c>
      <c r="G181" s="4">
        <v>40</v>
      </c>
      <c r="H181" s="4">
        <v>45</v>
      </c>
      <c r="I181" s="2">
        <v>7.9598096831560491E-3</v>
      </c>
      <c r="J181" s="3">
        <v>308.99757653176869</v>
      </c>
      <c r="K181" s="3">
        <v>0.36</v>
      </c>
      <c r="L181" s="6">
        <f t="shared" si="10"/>
        <v>1.5449878826588434E-3</v>
      </c>
      <c r="P181" s="3">
        <f t="shared" si="11"/>
        <v>0.36072022229555928</v>
      </c>
      <c r="Q181" s="3">
        <f t="shared" si="12"/>
        <v>1.0020006174876648</v>
      </c>
      <c r="S181" s="3">
        <f t="shared" si="13"/>
        <v>0.37765663917449172</v>
      </c>
      <c r="T181" s="3">
        <f t="shared" si="14"/>
        <v>1.0490462199291437</v>
      </c>
      <c r="V181" s="3"/>
      <c r="W181" s="3"/>
    </row>
    <row r="182" spans="1:23" x14ac:dyDescent="0.3">
      <c r="A182" s="1" t="s">
        <v>42</v>
      </c>
      <c r="B182" s="4">
        <v>10</v>
      </c>
      <c r="C182" s="5">
        <v>528</v>
      </c>
      <c r="D182" s="5">
        <v>1</v>
      </c>
      <c r="E182" s="4">
        <v>45</v>
      </c>
      <c r="F182" s="3">
        <v>2.8</v>
      </c>
      <c r="G182" s="4">
        <v>40</v>
      </c>
      <c r="H182" s="4">
        <v>45</v>
      </c>
      <c r="I182" s="2">
        <v>7.9598096831560491E-3</v>
      </c>
      <c r="J182" s="3">
        <v>152.74994421320577</v>
      </c>
      <c r="K182" s="3">
        <v>0.16</v>
      </c>
      <c r="L182" s="6">
        <f t="shared" si="10"/>
        <v>7.6374972106602881E-4</v>
      </c>
      <c r="P182" s="3">
        <f t="shared" si="11"/>
        <v>0.19987766489082298</v>
      </c>
      <c r="Q182" s="3">
        <f t="shared" si="12"/>
        <v>1.2492354055676436</v>
      </c>
      <c r="S182" s="3">
        <f t="shared" si="13"/>
        <v>0.20691659204911733</v>
      </c>
      <c r="T182" s="3">
        <f t="shared" si="14"/>
        <v>1.2932287003069833</v>
      </c>
      <c r="V182" s="3"/>
      <c r="W182" s="3"/>
    </row>
    <row r="183" spans="1:23" x14ac:dyDescent="0.3">
      <c r="B183" s="4">
        <v>10</v>
      </c>
      <c r="C183" s="5">
        <v>528</v>
      </c>
      <c r="D183" s="5">
        <v>1</v>
      </c>
      <c r="E183" s="4">
        <v>45</v>
      </c>
      <c r="F183" s="3">
        <v>2.8</v>
      </c>
      <c r="G183" s="4">
        <v>40</v>
      </c>
      <c r="H183" s="4">
        <v>45</v>
      </c>
      <c r="I183" s="2">
        <v>7.9598096831560491E-3</v>
      </c>
      <c r="J183" s="3">
        <v>175.39452860720044</v>
      </c>
      <c r="K183" s="3">
        <v>0.18</v>
      </c>
      <c r="L183" s="6">
        <f t="shared" si="10"/>
        <v>8.7697264303600222E-4</v>
      </c>
      <c r="P183" s="3">
        <f t="shared" si="11"/>
        <v>0.22442621308060853</v>
      </c>
      <c r="Q183" s="3">
        <f t="shared" si="12"/>
        <v>1.2468122948922697</v>
      </c>
      <c r="S183" s="3">
        <f t="shared" si="13"/>
        <v>0.23284407478311756</v>
      </c>
      <c r="T183" s="3">
        <f t="shared" si="14"/>
        <v>1.293578193239542</v>
      </c>
      <c r="V183" s="3"/>
      <c r="W183" s="3"/>
    </row>
    <row r="184" spans="1:23" x14ac:dyDescent="0.3">
      <c r="B184" s="4">
        <v>10</v>
      </c>
      <c r="C184" s="5">
        <v>528</v>
      </c>
      <c r="D184" s="5">
        <v>1</v>
      </c>
      <c r="E184" s="4">
        <v>45</v>
      </c>
      <c r="F184" s="3">
        <v>2.8</v>
      </c>
      <c r="G184" s="4">
        <v>40</v>
      </c>
      <c r="H184" s="4">
        <v>45</v>
      </c>
      <c r="I184" s="2">
        <v>7.9598096831560491E-3</v>
      </c>
      <c r="J184" s="3">
        <v>196.52947404159548</v>
      </c>
      <c r="K184" s="3">
        <v>0.2</v>
      </c>
      <c r="L184" s="6">
        <f t="shared" si="10"/>
        <v>9.8264737020797746E-4</v>
      </c>
      <c r="P184" s="3">
        <f t="shared" si="11"/>
        <v>0.24687695056831277</v>
      </c>
      <c r="Q184" s="3">
        <f t="shared" si="12"/>
        <v>1.2343847528415637</v>
      </c>
      <c r="S184" s="3">
        <f t="shared" si="13"/>
        <v>0.25660359721022513</v>
      </c>
      <c r="T184" s="3">
        <f t="shared" si="14"/>
        <v>1.2830179860511255</v>
      </c>
      <c r="V184" s="3"/>
      <c r="W184" s="3"/>
    </row>
    <row r="185" spans="1:23" x14ac:dyDescent="0.3">
      <c r="B185" s="4">
        <v>10</v>
      </c>
      <c r="C185" s="5">
        <v>528</v>
      </c>
      <c r="D185" s="5">
        <v>1</v>
      </c>
      <c r="E185" s="4">
        <v>45</v>
      </c>
      <c r="F185" s="3">
        <v>2.8</v>
      </c>
      <c r="G185" s="4">
        <v>40</v>
      </c>
      <c r="H185" s="4">
        <v>45</v>
      </c>
      <c r="I185" s="2">
        <v>7.9598096831560491E-3</v>
      </c>
      <c r="J185" s="3">
        <v>218.41923895579026</v>
      </c>
      <c r="K185" s="3">
        <v>0.23</v>
      </c>
      <c r="L185" s="6">
        <f t="shared" si="10"/>
        <v>1.0920961947789513E-3</v>
      </c>
      <c r="P185" s="3">
        <f t="shared" si="11"/>
        <v>0.26972046763698709</v>
      </c>
      <c r="Q185" s="3">
        <f t="shared" si="12"/>
        <v>1.1726976853782047</v>
      </c>
      <c r="S185" s="3">
        <f t="shared" si="13"/>
        <v>0.28082121308277758</v>
      </c>
      <c r="T185" s="3">
        <f t="shared" si="14"/>
        <v>1.2209617960120764</v>
      </c>
      <c r="V185" s="3"/>
      <c r="W185" s="3"/>
    </row>
    <row r="186" spans="1:23" x14ac:dyDescent="0.3">
      <c r="B186" s="4">
        <v>10</v>
      </c>
      <c r="C186" s="5">
        <v>528</v>
      </c>
      <c r="D186" s="5">
        <v>1</v>
      </c>
      <c r="E186" s="4">
        <v>45</v>
      </c>
      <c r="F186" s="3">
        <v>2.8</v>
      </c>
      <c r="G186" s="4">
        <v>40</v>
      </c>
      <c r="H186" s="4">
        <v>45</v>
      </c>
      <c r="I186" s="2">
        <v>7.9598096831560491E-3</v>
      </c>
      <c r="J186" s="3">
        <v>241.81864282958486</v>
      </c>
      <c r="K186" s="3">
        <v>0.24</v>
      </c>
      <c r="L186" s="6">
        <f t="shared" si="10"/>
        <v>1.2090932141479243E-3</v>
      </c>
      <c r="P186" s="3">
        <f t="shared" si="11"/>
        <v>0.29373288690393223</v>
      </c>
      <c r="Q186" s="3">
        <f t="shared" si="12"/>
        <v>1.2238870287663843</v>
      </c>
      <c r="S186" s="3">
        <f t="shared" si="13"/>
        <v>0.30632028896299474</v>
      </c>
      <c r="T186" s="3">
        <f t="shared" si="14"/>
        <v>1.2763345373458115</v>
      </c>
      <c r="V186" s="3"/>
      <c r="W186" s="3"/>
    </row>
    <row r="187" spans="1:23" x14ac:dyDescent="0.3">
      <c r="B187" s="4">
        <v>10</v>
      </c>
      <c r="C187" s="5">
        <v>528</v>
      </c>
      <c r="D187" s="5">
        <v>1</v>
      </c>
      <c r="E187" s="4">
        <v>45</v>
      </c>
      <c r="F187" s="3">
        <v>2.8</v>
      </c>
      <c r="G187" s="4">
        <v>40</v>
      </c>
      <c r="H187" s="4">
        <v>45</v>
      </c>
      <c r="I187" s="2">
        <v>7.9598096831560491E-3</v>
      </c>
      <c r="J187" s="3">
        <v>265.97286618317912</v>
      </c>
      <c r="K187" s="3">
        <v>0.25</v>
      </c>
      <c r="L187" s="6">
        <f t="shared" si="10"/>
        <v>1.3298643309158956E-3</v>
      </c>
      <c r="P187" s="3">
        <f t="shared" si="11"/>
        <v>0.31812794779388542</v>
      </c>
      <c r="Q187" s="3">
        <f t="shared" si="12"/>
        <v>1.2725117911755417</v>
      </c>
      <c r="S187" s="3">
        <f t="shared" si="13"/>
        <v>0.33226651326597856</v>
      </c>
      <c r="T187" s="3">
        <f t="shared" si="14"/>
        <v>1.3290660530639142</v>
      </c>
      <c r="V187" s="3"/>
      <c r="W187" s="3"/>
    </row>
    <row r="188" spans="1:23" x14ac:dyDescent="0.3">
      <c r="B188" s="4">
        <v>10</v>
      </c>
      <c r="C188" s="5">
        <v>528</v>
      </c>
      <c r="D188" s="5">
        <v>1</v>
      </c>
      <c r="E188" s="4">
        <v>45</v>
      </c>
      <c r="F188" s="3">
        <v>2.8</v>
      </c>
      <c r="G188" s="4">
        <v>40</v>
      </c>
      <c r="H188" s="4">
        <v>45</v>
      </c>
      <c r="I188" s="2">
        <v>7.9598096831560491E-3</v>
      </c>
      <c r="J188" s="3">
        <v>287.86263109737382</v>
      </c>
      <c r="K188" s="3">
        <v>0.27</v>
      </c>
      <c r="L188" s="6">
        <f t="shared" si="10"/>
        <v>1.439313155486869E-3</v>
      </c>
      <c r="P188" s="3">
        <f t="shared" si="11"/>
        <v>0.33992680478381954</v>
      </c>
      <c r="Q188" s="3">
        <f t="shared" si="12"/>
        <v>1.2589881658659983</v>
      </c>
      <c r="S188" s="3">
        <f t="shared" si="13"/>
        <v>0.35548373088814017</v>
      </c>
      <c r="T188" s="3">
        <f t="shared" si="14"/>
        <v>1.3166064106968154</v>
      </c>
      <c r="V188" s="3"/>
      <c r="W188" s="3"/>
    </row>
    <row r="189" spans="1:23" x14ac:dyDescent="0.3">
      <c r="B189" s="4">
        <v>10</v>
      </c>
      <c r="C189" s="5">
        <v>528</v>
      </c>
      <c r="D189" s="5">
        <v>1</v>
      </c>
      <c r="E189" s="4">
        <v>45</v>
      </c>
      <c r="F189" s="3">
        <v>2.8</v>
      </c>
      <c r="G189" s="4">
        <v>40</v>
      </c>
      <c r="H189" s="4">
        <v>45</v>
      </c>
      <c r="I189" s="2">
        <v>7.9598096831560491E-3</v>
      </c>
      <c r="J189" s="3">
        <v>307.48793757216924</v>
      </c>
      <c r="K189" s="3">
        <v>0.28999999999999998</v>
      </c>
      <c r="L189" s="6">
        <f t="shared" si="10"/>
        <v>1.5374396878608462E-3</v>
      </c>
      <c r="P189" s="3">
        <f t="shared" si="11"/>
        <v>0.35924279986780583</v>
      </c>
      <c r="Q189" s="3">
        <f t="shared" si="12"/>
        <v>1.238768275406227</v>
      </c>
      <c r="S189" s="3">
        <f t="shared" si="13"/>
        <v>0.37608037803274613</v>
      </c>
      <c r="T189" s="3">
        <f t="shared" si="14"/>
        <v>1.2968288897680902</v>
      </c>
      <c r="V189" s="3"/>
      <c r="W189" s="3"/>
    </row>
    <row r="190" spans="1:23" x14ac:dyDescent="0.3">
      <c r="A190" s="1" t="s">
        <v>43</v>
      </c>
      <c r="B190" s="4">
        <v>10</v>
      </c>
      <c r="C190" s="5">
        <v>528</v>
      </c>
      <c r="D190" s="5">
        <v>1</v>
      </c>
      <c r="E190" s="4">
        <v>45</v>
      </c>
      <c r="F190" s="3">
        <v>2.8</v>
      </c>
      <c r="G190" s="4">
        <v>40</v>
      </c>
      <c r="H190" s="4">
        <v>45</v>
      </c>
      <c r="I190" s="2">
        <v>7.9598096831560491E-3</v>
      </c>
      <c r="J190" s="3">
        <v>177.65898704659995</v>
      </c>
      <c r="K190" s="3">
        <v>0.15</v>
      </c>
      <c r="L190" s="6">
        <f t="shared" si="10"/>
        <v>8.8829493523299974E-4</v>
      </c>
      <c r="P190" s="3">
        <f t="shared" si="11"/>
        <v>0.22685178280810864</v>
      </c>
      <c r="Q190" s="3">
        <f t="shared" si="12"/>
        <v>1.5123452187207242</v>
      </c>
      <c r="S190" s="3">
        <f t="shared" si="13"/>
        <v>0.23540893602592278</v>
      </c>
      <c r="T190" s="3">
        <f t="shared" si="14"/>
        <v>1.5693929068394852</v>
      </c>
      <c r="V190" s="3"/>
      <c r="W190" s="3"/>
    </row>
    <row r="191" spans="1:23" x14ac:dyDescent="0.3">
      <c r="B191" s="4">
        <v>10</v>
      </c>
      <c r="C191" s="5">
        <v>528</v>
      </c>
      <c r="D191" s="5">
        <v>1</v>
      </c>
      <c r="E191" s="4">
        <v>45</v>
      </c>
      <c r="F191" s="3">
        <v>2.8</v>
      </c>
      <c r="G191" s="4">
        <v>40</v>
      </c>
      <c r="H191" s="4">
        <v>45</v>
      </c>
      <c r="I191" s="2">
        <v>7.9598096831560491E-3</v>
      </c>
      <c r="J191" s="3">
        <v>199.54875196079473</v>
      </c>
      <c r="K191" s="3">
        <v>0.16</v>
      </c>
      <c r="L191" s="6">
        <f t="shared" si="10"/>
        <v>9.9774375980397358E-4</v>
      </c>
      <c r="P191" s="3">
        <f t="shared" si="11"/>
        <v>0.25005135591754379</v>
      </c>
      <c r="Q191" s="3">
        <f t="shared" si="12"/>
        <v>1.5628209744846486</v>
      </c>
      <c r="S191" s="3">
        <f t="shared" si="13"/>
        <v>0.25996647832837227</v>
      </c>
      <c r="T191" s="3">
        <f t="shared" si="14"/>
        <v>1.6247904895523266</v>
      </c>
      <c r="V191" s="3"/>
      <c r="W191" s="3"/>
    </row>
    <row r="192" spans="1:23" x14ac:dyDescent="0.3">
      <c r="B192" s="4">
        <v>10</v>
      </c>
      <c r="C192" s="5">
        <v>528</v>
      </c>
      <c r="D192" s="5">
        <v>1</v>
      </c>
      <c r="E192" s="4">
        <v>45</v>
      </c>
      <c r="F192" s="3">
        <v>2.8</v>
      </c>
      <c r="G192" s="4">
        <v>40</v>
      </c>
      <c r="H192" s="4">
        <v>45</v>
      </c>
      <c r="I192" s="2">
        <v>7.9598096831560491E-3</v>
      </c>
      <c r="J192" s="3">
        <v>230.49635063258745</v>
      </c>
      <c r="K192" s="3">
        <v>0.18</v>
      </c>
      <c r="L192" s="6">
        <f t="shared" si="10"/>
        <v>1.1524817531629373E-3</v>
      </c>
      <c r="P192" s="3">
        <f t="shared" si="11"/>
        <v>0.28216335825364136</v>
      </c>
      <c r="Q192" s="3">
        <f t="shared" si="12"/>
        <v>1.5675742125202299</v>
      </c>
      <c r="S192" s="3">
        <f t="shared" si="13"/>
        <v>0.29402928870122824</v>
      </c>
      <c r="T192" s="3">
        <f t="shared" si="14"/>
        <v>1.633496048340157</v>
      </c>
      <c r="V192" s="3"/>
      <c r="W192" s="3"/>
    </row>
    <row r="193" spans="1:23" x14ac:dyDescent="0.3">
      <c r="B193" s="4">
        <v>10</v>
      </c>
      <c r="C193" s="5">
        <v>528</v>
      </c>
      <c r="D193" s="5">
        <v>1</v>
      </c>
      <c r="E193" s="4">
        <v>45</v>
      </c>
      <c r="F193" s="3">
        <v>2.8</v>
      </c>
      <c r="G193" s="4">
        <v>40</v>
      </c>
      <c r="H193" s="4">
        <v>45</v>
      </c>
      <c r="I193" s="2">
        <v>7.9598096831560491E-3</v>
      </c>
      <c r="J193" s="3">
        <v>248.61201814778312</v>
      </c>
      <c r="K193" s="3">
        <v>0.18</v>
      </c>
      <c r="L193" s="6">
        <f t="shared" si="10"/>
        <v>1.2430600907389156E-3</v>
      </c>
      <c r="P193" s="3">
        <f t="shared" si="11"/>
        <v>0.3006323241139392</v>
      </c>
      <c r="Q193" s="3">
        <f t="shared" si="12"/>
        <v>1.6701795784107734</v>
      </c>
      <c r="S193" s="3">
        <f t="shared" si="13"/>
        <v>0.31365439766823128</v>
      </c>
      <c r="T193" s="3">
        <f t="shared" si="14"/>
        <v>1.7425244314901738</v>
      </c>
      <c r="V193" s="3"/>
      <c r="W193" s="3"/>
    </row>
    <row r="194" spans="1:23" x14ac:dyDescent="0.3">
      <c r="B194" s="4">
        <v>10</v>
      </c>
      <c r="C194" s="5">
        <v>528</v>
      </c>
      <c r="D194" s="5">
        <v>1</v>
      </c>
      <c r="E194" s="4">
        <v>45</v>
      </c>
      <c r="F194" s="3">
        <v>2.8</v>
      </c>
      <c r="G194" s="4">
        <v>40</v>
      </c>
      <c r="H194" s="4">
        <v>45</v>
      </c>
      <c r="I194" s="2">
        <v>7.9598096831560491E-3</v>
      </c>
      <c r="J194" s="3">
        <v>265.97286618317912</v>
      </c>
      <c r="K194" s="3">
        <v>0.19</v>
      </c>
      <c r="L194" s="6">
        <f t="shared" si="10"/>
        <v>1.3298643309158956E-3</v>
      </c>
      <c r="P194" s="3">
        <f t="shared" si="11"/>
        <v>0.31812794779388542</v>
      </c>
      <c r="Q194" s="3">
        <f t="shared" si="12"/>
        <v>1.6743576199678181</v>
      </c>
      <c r="S194" s="3">
        <f t="shared" si="13"/>
        <v>0.33226651326597856</v>
      </c>
      <c r="T194" s="3">
        <f t="shared" si="14"/>
        <v>1.7487711224525186</v>
      </c>
      <c r="V194" s="3"/>
      <c r="W194" s="3"/>
    </row>
    <row r="195" spans="1:23" x14ac:dyDescent="0.3">
      <c r="B195" s="4">
        <v>10</v>
      </c>
      <c r="C195" s="5">
        <v>528</v>
      </c>
      <c r="D195" s="5">
        <v>1</v>
      </c>
      <c r="E195" s="4">
        <v>45</v>
      </c>
      <c r="F195" s="3">
        <v>2.8</v>
      </c>
      <c r="G195" s="4">
        <v>40</v>
      </c>
      <c r="H195" s="4">
        <v>45</v>
      </c>
      <c r="I195" s="2">
        <v>7.9598096831560491E-3</v>
      </c>
      <c r="J195" s="3">
        <v>284.84335317817465</v>
      </c>
      <c r="K195" s="3">
        <v>0.2</v>
      </c>
      <c r="L195" s="6">
        <f t="shared" si="10"/>
        <v>1.4242167658908734E-3</v>
      </c>
      <c r="P195" s="3">
        <f t="shared" si="11"/>
        <v>0.33693648559812789</v>
      </c>
      <c r="Q195" s="3">
        <f t="shared" si="12"/>
        <v>1.6846824279906394</v>
      </c>
      <c r="S195" s="3">
        <f t="shared" si="13"/>
        <v>0.35229711925194823</v>
      </c>
      <c r="T195" s="3">
        <f t="shared" si="14"/>
        <v>1.7614855962597411</v>
      </c>
      <c r="V195" s="3"/>
      <c r="W195" s="3"/>
    </row>
    <row r="196" spans="1:23" x14ac:dyDescent="0.3">
      <c r="B196" s="4">
        <v>10</v>
      </c>
      <c r="C196" s="5">
        <v>528</v>
      </c>
      <c r="D196" s="5">
        <v>1</v>
      </c>
      <c r="E196" s="4">
        <v>45</v>
      </c>
      <c r="F196" s="3">
        <v>2.8</v>
      </c>
      <c r="G196" s="4">
        <v>40</v>
      </c>
      <c r="H196" s="4">
        <v>45</v>
      </c>
      <c r="I196" s="2">
        <v>7.9598096831560491E-3</v>
      </c>
      <c r="J196" s="3">
        <v>309.75239601156881</v>
      </c>
      <c r="K196" s="3">
        <v>0.22</v>
      </c>
      <c r="L196" s="6">
        <f t="shared" si="10"/>
        <v>1.548761980057844E-3</v>
      </c>
      <c r="P196" s="3">
        <f t="shared" si="11"/>
        <v>0.36145849476745656</v>
      </c>
      <c r="Q196" s="3">
        <f t="shared" si="12"/>
        <v>1.6429931580338935</v>
      </c>
      <c r="S196" s="3">
        <f t="shared" si="13"/>
        <v>0.37844434787226772</v>
      </c>
      <c r="T196" s="3">
        <f t="shared" si="14"/>
        <v>1.7202015812375806</v>
      </c>
      <c r="V196" s="3"/>
      <c r="W196" s="3"/>
    </row>
    <row r="197" spans="1:23" x14ac:dyDescent="0.3">
      <c r="A197" s="1" t="s">
        <v>44</v>
      </c>
      <c r="B197" s="4">
        <v>20</v>
      </c>
      <c r="C197" s="5">
        <v>598</v>
      </c>
      <c r="D197" s="5">
        <v>1</v>
      </c>
      <c r="E197" s="4">
        <v>40</v>
      </c>
      <c r="F197" s="3">
        <v>2.8</v>
      </c>
      <c r="G197" s="4">
        <v>40</v>
      </c>
      <c r="H197" s="4">
        <v>50</v>
      </c>
      <c r="I197" s="2">
        <v>3.7261485294905368E-2</v>
      </c>
      <c r="J197" s="3">
        <v>170.96444225131484</v>
      </c>
      <c r="K197" s="3">
        <v>0.16</v>
      </c>
      <c r="L197" s="6">
        <f t="shared" si="10"/>
        <v>8.5482221125657417E-4</v>
      </c>
      <c r="P197" s="3">
        <f t="shared" si="11"/>
        <v>0.2196201334798849</v>
      </c>
      <c r="Q197" s="3">
        <f t="shared" si="12"/>
        <v>1.3726258342492805</v>
      </c>
      <c r="S197" s="3">
        <f t="shared" si="13"/>
        <v>0.21244434353732305</v>
      </c>
      <c r="T197" s="3">
        <f t="shared" si="14"/>
        <v>1.3277771471082691</v>
      </c>
      <c r="V197" s="3"/>
      <c r="W197" s="3"/>
    </row>
    <row r="198" spans="1:23" x14ac:dyDescent="0.3">
      <c r="B198" s="4">
        <v>20</v>
      </c>
      <c r="C198" s="5">
        <v>598</v>
      </c>
      <c r="D198" s="5">
        <v>1</v>
      </c>
      <c r="E198" s="4">
        <v>40</v>
      </c>
      <c r="F198" s="3">
        <v>2.8</v>
      </c>
      <c r="G198" s="4">
        <v>40</v>
      </c>
      <c r="H198" s="4">
        <v>50</v>
      </c>
      <c r="I198" s="2">
        <v>3.7261485294905368E-2</v>
      </c>
      <c r="J198" s="3">
        <v>212.3682872108875</v>
      </c>
      <c r="K198" s="3">
        <v>0.2</v>
      </c>
      <c r="L198" s="6">
        <f t="shared" si="10"/>
        <v>1.0618414360544376E-3</v>
      </c>
      <c r="P198" s="3">
        <f t="shared" si="11"/>
        <v>0.26338936468171442</v>
      </c>
      <c r="Q198" s="3">
        <f t="shared" si="12"/>
        <v>1.3169468234085719</v>
      </c>
      <c r="S198" s="3">
        <f t="shared" si="13"/>
        <v>0.25566907355051549</v>
      </c>
      <c r="T198" s="3">
        <f t="shared" si="14"/>
        <v>1.2783453677525773</v>
      </c>
      <c r="V198" s="3"/>
      <c r="W198" s="3"/>
    </row>
    <row r="199" spans="1:23" x14ac:dyDescent="0.3">
      <c r="B199" s="4">
        <v>20</v>
      </c>
      <c r="C199" s="5">
        <v>598</v>
      </c>
      <c r="D199" s="5">
        <v>1</v>
      </c>
      <c r="E199" s="4">
        <v>40</v>
      </c>
      <c r="F199" s="3">
        <v>2.8</v>
      </c>
      <c r="G199" s="4">
        <v>40</v>
      </c>
      <c r="H199" s="4">
        <v>50</v>
      </c>
      <c r="I199" s="2">
        <v>3.7261485294905368E-2</v>
      </c>
      <c r="J199" s="3">
        <v>253.63178015364812</v>
      </c>
      <c r="K199" s="3">
        <v>0.23</v>
      </c>
      <c r="L199" s="6">
        <f t="shared" si="10"/>
        <v>1.2681589007682405E-3</v>
      </c>
      <c r="P199" s="3">
        <f t="shared" si="11"/>
        <v>0.3056467423365789</v>
      </c>
      <c r="Q199" s="3">
        <f t="shared" si="12"/>
        <v>1.328898879724256</v>
      </c>
      <c r="S199" s="3">
        <f t="shared" si="13"/>
        <v>0.29753191560950465</v>
      </c>
      <c r="T199" s="3">
        <f t="shared" si="14"/>
        <v>1.2936170243891505</v>
      </c>
      <c r="V199" s="3"/>
      <c r="W199" s="3"/>
    </row>
    <row r="200" spans="1:23" x14ac:dyDescent="0.3">
      <c r="A200" s="1" t="s">
        <v>45</v>
      </c>
      <c r="B200" s="4">
        <v>20</v>
      </c>
      <c r="C200" s="5">
        <v>598</v>
      </c>
      <c r="D200" s="5">
        <v>1</v>
      </c>
      <c r="E200" s="4">
        <v>40</v>
      </c>
      <c r="F200" s="3">
        <v>2.8</v>
      </c>
      <c r="G200" s="4">
        <v>40</v>
      </c>
      <c r="H200" s="4">
        <v>50</v>
      </c>
      <c r="I200" s="2">
        <v>3.7261485294905368E-2</v>
      </c>
      <c r="J200" s="3">
        <v>179.90822357375421</v>
      </c>
      <c r="K200" s="3">
        <v>0.14000000000000001</v>
      </c>
      <c r="L200" s="6">
        <f t="shared" si="10"/>
        <v>8.9954111786877107E-4</v>
      </c>
      <c r="P200" s="3">
        <f t="shared" si="11"/>
        <v>0.22920803966799369</v>
      </c>
      <c r="Q200" s="3">
        <f t="shared" si="12"/>
        <v>1.6372002833428119</v>
      </c>
      <c r="S200" s="3">
        <f t="shared" si="13"/>
        <v>0.22189994337826877</v>
      </c>
      <c r="T200" s="3">
        <f t="shared" si="14"/>
        <v>1.5849995955590626</v>
      </c>
      <c r="V200" s="3"/>
      <c r="W200" s="3"/>
    </row>
    <row r="201" spans="1:23" x14ac:dyDescent="0.3">
      <c r="B201" s="4">
        <v>20</v>
      </c>
      <c r="C201" s="5">
        <v>598</v>
      </c>
      <c r="D201" s="5">
        <v>1</v>
      </c>
      <c r="E201" s="4">
        <v>40</v>
      </c>
      <c r="F201" s="3">
        <v>2.8</v>
      </c>
      <c r="G201" s="4">
        <v>40</v>
      </c>
      <c r="H201" s="4">
        <v>50</v>
      </c>
      <c r="I201" s="2">
        <v>3.7261485294905368E-2</v>
      </c>
      <c r="J201" s="3">
        <v>219.74815493493134</v>
      </c>
      <c r="K201" s="3">
        <v>0.17</v>
      </c>
      <c r="L201" s="6">
        <f t="shared" si="10"/>
        <v>1.0987407746746566E-3</v>
      </c>
      <c r="P201" s="3">
        <f t="shared" si="11"/>
        <v>0.27103816279177267</v>
      </c>
      <c r="Q201" s="3">
        <f t="shared" si="12"/>
        <v>1.594342134069251</v>
      </c>
      <c r="S201" s="3">
        <f t="shared" si="13"/>
        <v>0.26323751175224702</v>
      </c>
      <c r="T201" s="3">
        <f t="shared" si="14"/>
        <v>1.5484559514838059</v>
      </c>
      <c r="V201" s="3"/>
      <c r="W201" s="3"/>
    </row>
    <row r="202" spans="1:23" x14ac:dyDescent="0.3">
      <c r="B202" s="4">
        <v>20</v>
      </c>
      <c r="C202" s="5">
        <v>598</v>
      </c>
      <c r="D202" s="5">
        <v>1</v>
      </c>
      <c r="E202" s="4">
        <v>40</v>
      </c>
      <c r="F202" s="3">
        <v>2.8</v>
      </c>
      <c r="G202" s="4">
        <v>40</v>
      </c>
      <c r="H202" s="4">
        <v>50</v>
      </c>
      <c r="I202" s="2">
        <v>3.7261485294905368E-2</v>
      </c>
      <c r="J202" s="3">
        <v>259.21917671157712</v>
      </c>
      <c r="K202" s="3">
        <v>0.21</v>
      </c>
      <c r="L202" s="6">
        <f t="shared" si="10"/>
        <v>1.2960958835578856E-3</v>
      </c>
      <c r="P202" s="3">
        <f t="shared" si="11"/>
        <v>0.31127923348140923</v>
      </c>
      <c r="Q202" s="3">
        <f t="shared" si="12"/>
        <v>1.4822820641971868</v>
      </c>
      <c r="S202" s="3">
        <f t="shared" si="13"/>
        <v>0.30312052938621209</v>
      </c>
      <c r="T202" s="3">
        <f t="shared" si="14"/>
        <v>1.4434310923152958</v>
      </c>
      <c r="V202" s="3"/>
      <c r="W202" s="3"/>
    </row>
    <row r="203" spans="1:23" x14ac:dyDescent="0.3">
      <c r="A203" s="1" t="s">
        <v>46</v>
      </c>
      <c r="B203" s="4">
        <v>20</v>
      </c>
      <c r="C203" s="5">
        <v>598</v>
      </c>
      <c r="D203" s="5">
        <v>1</v>
      </c>
      <c r="E203" s="4">
        <v>40</v>
      </c>
      <c r="F203" s="3">
        <v>2.8</v>
      </c>
      <c r="G203" s="4">
        <v>40</v>
      </c>
      <c r="H203" s="4">
        <v>50</v>
      </c>
      <c r="I203" s="2">
        <v>3.7261485294905368E-2</v>
      </c>
      <c r="J203" s="3">
        <v>97.048902003038179</v>
      </c>
      <c r="K203" s="3">
        <v>0.21</v>
      </c>
      <c r="L203" s="6">
        <f t="shared" si="10"/>
        <v>4.8524451001519091E-4</v>
      </c>
      <c r="P203" s="3">
        <f t="shared" si="11"/>
        <v>0.13664547062053078</v>
      </c>
      <c r="Q203" s="3">
        <f t="shared" si="12"/>
        <v>0.65069271724062283</v>
      </c>
      <c r="S203" s="3">
        <f t="shared" si="13"/>
        <v>0.130988635790245</v>
      </c>
      <c r="T203" s="3">
        <f t="shared" si="14"/>
        <v>0.62375540852497624</v>
      </c>
      <c r="V203" s="3"/>
      <c r="W203" s="3"/>
    </row>
    <row r="204" spans="1:23" x14ac:dyDescent="0.3">
      <c r="B204" s="4">
        <v>20</v>
      </c>
      <c r="C204" s="5">
        <v>598</v>
      </c>
      <c r="D204" s="5">
        <v>1</v>
      </c>
      <c r="E204" s="4">
        <v>40</v>
      </c>
      <c r="F204" s="3">
        <v>2.8</v>
      </c>
      <c r="G204" s="4">
        <v>40</v>
      </c>
      <c r="H204" s="4">
        <v>50</v>
      </c>
      <c r="I204" s="2">
        <v>3.7261485294905368E-2</v>
      </c>
      <c r="J204" s="3">
        <v>133.0766642710534</v>
      </c>
      <c r="K204" s="3">
        <v>0.25</v>
      </c>
      <c r="L204" s="6">
        <f t="shared" ref="L204:L267" si="15">J204/200000</f>
        <v>6.6538332135526702E-4</v>
      </c>
      <c r="P204" s="3">
        <f t="shared" ref="P204:P267" si="16">$Q$2*($Q$3*$G204+$Q$4*$B204^$Q$5*$I204^$Q$6)*$L204^$Q$7</f>
        <v>0.17803053353836917</v>
      </c>
      <c r="Q204" s="3">
        <f t="shared" ref="Q204:Q267" si="17">P204/$K204</f>
        <v>0.71212213415347669</v>
      </c>
      <c r="S204" s="3">
        <f t="shared" ref="S204:S267" si="18">$T$2*$B204^$T$3*$L204^$T$4*($T$5*$I204^$T$6+$T$7)</f>
        <v>0.17152469361053579</v>
      </c>
      <c r="T204" s="3">
        <f t="shared" ref="T204:T267" si="19">S204/$K204</f>
        <v>0.68609877444214318</v>
      </c>
      <c r="V204" s="3"/>
      <c r="W204" s="3"/>
    </row>
    <row r="205" spans="1:23" x14ac:dyDescent="0.3">
      <c r="B205" s="4">
        <v>20</v>
      </c>
      <c r="C205" s="5">
        <v>598</v>
      </c>
      <c r="D205" s="5">
        <v>1</v>
      </c>
      <c r="E205" s="4">
        <v>40</v>
      </c>
      <c r="F205" s="3">
        <v>2.8</v>
      </c>
      <c r="G205" s="4">
        <v>40</v>
      </c>
      <c r="H205" s="4">
        <v>50</v>
      </c>
      <c r="I205" s="2">
        <v>3.7261485294905368E-2</v>
      </c>
      <c r="J205" s="3">
        <v>170.2626821672543</v>
      </c>
      <c r="K205" s="3">
        <v>0.28999999999999998</v>
      </c>
      <c r="L205" s="6">
        <f t="shared" si="15"/>
        <v>8.513134108362715E-4</v>
      </c>
      <c r="P205" s="3">
        <f t="shared" si="16"/>
        <v>0.21886444354289861</v>
      </c>
      <c r="Q205" s="3">
        <f t="shared" si="17"/>
        <v>0.75470497773413314</v>
      </c>
      <c r="S205" s="3">
        <f t="shared" si="18"/>
        <v>0.21169941222475186</v>
      </c>
      <c r="T205" s="3">
        <f t="shared" si="19"/>
        <v>0.72999797318879955</v>
      </c>
      <c r="V205" s="3"/>
      <c r="W205" s="3"/>
    </row>
    <row r="206" spans="1:23" x14ac:dyDescent="0.3">
      <c r="B206" s="4">
        <v>20</v>
      </c>
      <c r="C206" s="5">
        <v>598</v>
      </c>
      <c r="D206" s="5">
        <v>1</v>
      </c>
      <c r="E206" s="4">
        <v>40</v>
      </c>
      <c r="F206" s="3">
        <v>2.8</v>
      </c>
      <c r="G206" s="4">
        <v>40</v>
      </c>
      <c r="H206" s="4">
        <v>50</v>
      </c>
      <c r="I206" s="2">
        <v>3.7261485294905368E-2</v>
      </c>
      <c r="J206" s="3">
        <v>210.68406300914214</v>
      </c>
      <c r="K206" s="3">
        <v>0.33</v>
      </c>
      <c r="L206" s="6">
        <f t="shared" si="15"/>
        <v>1.0534203150457107E-3</v>
      </c>
      <c r="P206" s="3">
        <f t="shared" si="16"/>
        <v>0.26163777552733231</v>
      </c>
      <c r="Q206" s="3">
        <f t="shared" si="17"/>
        <v>0.79284174402221907</v>
      </c>
      <c r="S206" s="3">
        <f t="shared" si="18"/>
        <v>0.25393647307322764</v>
      </c>
      <c r="T206" s="3">
        <f t="shared" si="19"/>
        <v>0.76950446385826554</v>
      </c>
      <c r="V206" s="3"/>
      <c r="W206" s="3"/>
    </row>
    <row r="207" spans="1:23" x14ac:dyDescent="0.3">
      <c r="B207" s="4">
        <v>20</v>
      </c>
      <c r="C207" s="5">
        <v>598</v>
      </c>
      <c r="D207" s="5">
        <v>1</v>
      </c>
      <c r="E207" s="4">
        <v>40</v>
      </c>
      <c r="F207" s="3">
        <v>2.8</v>
      </c>
      <c r="G207" s="4">
        <v>40</v>
      </c>
      <c r="H207" s="4">
        <v>50</v>
      </c>
      <c r="I207" s="2">
        <v>3.7261485294905368E-2</v>
      </c>
      <c r="J207" s="3">
        <v>267.80733385167122</v>
      </c>
      <c r="K207" s="3">
        <v>0.37</v>
      </c>
      <c r="L207" s="6">
        <f t="shared" si="15"/>
        <v>1.339036669258356E-3</v>
      </c>
      <c r="P207" s="3">
        <f t="shared" si="16"/>
        <v>0.31989858744432492</v>
      </c>
      <c r="Q207" s="3">
        <f t="shared" si="17"/>
        <v>0.86459077687655383</v>
      </c>
      <c r="S207" s="3">
        <f t="shared" si="18"/>
        <v>0.31167646550674866</v>
      </c>
      <c r="T207" s="3">
        <f t="shared" si="19"/>
        <v>0.84236882569391525</v>
      </c>
      <c r="V207" s="3"/>
      <c r="W207" s="3"/>
    </row>
    <row r="208" spans="1:23" x14ac:dyDescent="0.3">
      <c r="A208" s="1" t="s">
        <v>47</v>
      </c>
      <c r="B208" s="4">
        <v>20</v>
      </c>
      <c r="C208" s="5">
        <v>430</v>
      </c>
      <c r="D208" s="5">
        <v>6</v>
      </c>
      <c r="E208" s="4">
        <v>84</v>
      </c>
      <c r="F208" s="3">
        <v>3.5088212858554391</v>
      </c>
      <c r="G208" s="4">
        <v>50</v>
      </c>
      <c r="H208" s="4">
        <v>64</v>
      </c>
      <c r="I208" s="2">
        <v>3.1012448894699375E-2</v>
      </c>
      <c r="J208" s="3">
        <v>99.048548598782915</v>
      </c>
      <c r="K208" s="3">
        <v>0.15</v>
      </c>
      <c r="L208" s="6">
        <f t="shared" si="15"/>
        <v>4.9524274299391456E-4</v>
      </c>
      <c r="P208" s="3">
        <f t="shared" si="16"/>
        <v>0.15242343556522867</v>
      </c>
      <c r="Q208" s="3">
        <f t="shared" si="17"/>
        <v>1.0161562371015245</v>
      </c>
      <c r="S208" s="3">
        <f t="shared" si="18"/>
        <v>0.14636425528769501</v>
      </c>
      <c r="T208" s="3">
        <f t="shared" si="19"/>
        <v>0.97576170191796674</v>
      </c>
      <c r="V208" s="3"/>
      <c r="W208" s="3"/>
    </row>
    <row r="209" spans="1:23" x14ac:dyDescent="0.3">
      <c r="B209" s="4">
        <v>20</v>
      </c>
      <c r="C209" s="5">
        <v>430</v>
      </c>
      <c r="D209" s="5">
        <v>6</v>
      </c>
      <c r="E209" s="4">
        <v>84</v>
      </c>
      <c r="F209" s="3">
        <v>3.5088212858554391</v>
      </c>
      <c r="G209" s="4">
        <v>50</v>
      </c>
      <c r="H209" s="4">
        <v>64</v>
      </c>
      <c r="I209" s="2">
        <v>3.1012448894699375E-2</v>
      </c>
      <c r="J209" s="3">
        <v>151.41829365606156</v>
      </c>
      <c r="K209" s="3">
        <v>0.23</v>
      </c>
      <c r="L209" s="6">
        <f t="shared" si="15"/>
        <v>7.5709146828030786E-4</v>
      </c>
      <c r="P209" s="3">
        <f t="shared" si="16"/>
        <v>0.21753066146527561</v>
      </c>
      <c r="Q209" s="3">
        <f t="shared" si="17"/>
        <v>0.94578548463163303</v>
      </c>
      <c r="S209" s="3">
        <f t="shared" si="18"/>
        <v>0.21030666926135108</v>
      </c>
      <c r="T209" s="3">
        <f t="shared" si="19"/>
        <v>0.91437682287543942</v>
      </c>
      <c r="V209" s="3"/>
      <c r="W209" s="3"/>
    </row>
    <row r="210" spans="1:23" x14ac:dyDescent="0.3">
      <c r="B210" s="4">
        <v>20</v>
      </c>
      <c r="C210" s="5">
        <v>430</v>
      </c>
      <c r="D210" s="5">
        <v>6</v>
      </c>
      <c r="E210" s="4">
        <v>84</v>
      </c>
      <c r="F210" s="3">
        <v>3.5088212858554391</v>
      </c>
      <c r="G210" s="4">
        <v>50</v>
      </c>
      <c r="H210" s="4">
        <v>64</v>
      </c>
      <c r="I210" s="2">
        <v>3.1012448894699375E-2</v>
      </c>
      <c r="J210" s="3">
        <v>209.09209422845237</v>
      </c>
      <c r="K210" s="3">
        <v>0.28000000000000003</v>
      </c>
      <c r="L210" s="6">
        <f t="shared" si="15"/>
        <v>1.0454604711422619E-3</v>
      </c>
      <c r="P210" s="3">
        <f t="shared" si="16"/>
        <v>0.28508472241091987</v>
      </c>
      <c r="Q210" s="3">
        <f t="shared" si="17"/>
        <v>1.0181597228961423</v>
      </c>
      <c r="S210" s="3">
        <f t="shared" si="18"/>
        <v>0.27704419668707758</v>
      </c>
      <c r="T210" s="3">
        <f t="shared" si="19"/>
        <v>0.9894435595967056</v>
      </c>
      <c r="V210" s="3"/>
      <c r="W210" s="3"/>
    </row>
    <row r="211" spans="1:23" x14ac:dyDescent="0.3">
      <c r="A211" s="1" t="s">
        <v>48</v>
      </c>
      <c r="B211" s="4">
        <v>20</v>
      </c>
      <c r="C211" s="5">
        <v>430</v>
      </c>
      <c r="D211" s="5">
        <v>9</v>
      </c>
      <c r="E211" s="4">
        <v>45</v>
      </c>
      <c r="F211" s="3">
        <v>3.5088212858554391</v>
      </c>
      <c r="G211" s="4">
        <v>50</v>
      </c>
      <c r="H211" s="4">
        <v>64</v>
      </c>
      <c r="I211" s="2">
        <v>4.9328037963777847E-2</v>
      </c>
      <c r="J211" s="3">
        <v>121.2060562562981</v>
      </c>
      <c r="K211" s="3">
        <v>0.18</v>
      </c>
      <c r="L211" s="6">
        <f t="shared" si="15"/>
        <v>6.0603028128149053E-4</v>
      </c>
      <c r="P211" s="3">
        <f t="shared" si="16"/>
        <v>0.14386000354447873</v>
      </c>
      <c r="Q211" s="3">
        <f t="shared" si="17"/>
        <v>0.79922224191377078</v>
      </c>
      <c r="S211" s="3">
        <f t="shared" si="18"/>
        <v>0.13810663278736143</v>
      </c>
      <c r="T211" s="3">
        <f t="shared" si="19"/>
        <v>0.76725907104089686</v>
      </c>
      <c r="V211" s="3"/>
      <c r="W211" s="3"/>
    </row>
    <row r="212" spans="1:23" x14ac:dyDescent="0.3">
      <c r="B212" s="4">
        <v>20</v>
      </c>
      <c r="C212" s="5">
        <v>430</v>
      </c>
      <c r="D212" s="5">
        <v>9</v>
      </c>
      <c r="E212" s="4">
        <v>45</v>
      </c>
      <c r="F212" s="3">
        <v>3.5088212858554391</v>
      </c>
      <c r="G212" s="4">
        <v>50</v>
      </c>
      <c r="H212" s="4">
        <v>64</v>
      </c>
      <c r="I212" s="2">
        <v>4.9328037963777847E-2</v>
      </c>
      <c r="J212" s="3">
        <v>169.06520538520951</v>
      </c>
      <c r="K212" s="3">
        <v>0.26</v>
      </c>
      <c r="L212" s="6">
        <f t="shared" si="15"/>
        <v>8.4532602692604752E-4</v>
      </c>
      <c r="P212" s="3">
        <f t="shared" si="16"/>
        <v>0.19013240258131231</v>
      </c>
      <c r="Q212" s="3">
        <f t="shared" si="17"/>
        <v>0.73127847146658576</v>
      </c>
      <c r="S212" s="3">
        <f t="shared" si="18"/>
        <v>0.18350296457621323</v>
      </c>
      <c r="T212" s="3">
        <f t="shared" si="19"/>
        <v>0.70578063298543547</v>
      </c>
      <c r="V212" s="3"/>
      <c r="W212" s="3"/>
    </row>
    <row r="213" spans="1:23" x14ac:dyDescent="0.3">
      <c r="B213" s="4">
        <v>20</v>
      </c>
      <c r="C213" s="5">
        <v>430</v>
      </c>
      <c r="D213" s="5">
        <v>9</v>
      </c>
      <c r="E213" s="4">
        <v>45</v>
      </c>
      <c r="F213" s="3">
        <v>3.5088212858554391</v>
      </c>
      <c r="G213" s="4">
        <v>50</v>
      </c>
      <c r="H213" s="4">
        <v>64</v>
      </c>
      <c r="I213" s="2">
        <v>4.9328037963777847E-2</v>
      </c>
      <c r="J213" s="3">
        <v>221.141260100343</v>
      </c>
      <c r="K213" s="3">
        <v>0.34</v>
      </c>
      <c r="L213" s="6">
        <f t="shared" si="15"/>
        <v>1.105706300501715E-3</v>
      </c>
      <c r="P213" s="3">
        <f t="shared" si="16"/>
        <v>0.23811127559118359</v>
      </c>
      <c r="Q213" s="3">
        <f t="shared" si="17"/>
        <v>0.70032728115053988</v>
      </c>
      <c r="S213" s="3">
        <f t="shared" si="18"/>
        <v>0.2307983815436512</v>
      </c>
      <c r="T213" s="3">
        <f t="shared" si="19"/>
        <v>0.6788187692460329</v>
      </c>
      <c r="V213" s="3"/>
      <c r="W213" s="3"/>
    </row>
    <row r="214" spans="1:23" x14ac:dyDescent="0.3">
      <c r="A214" s="1" t="s">
        <v>49</v>
      </c>
      <c r="B214" s="4">
        <v>16</v>
      </c>
      <c r="C214" s="5">
        <v>528</v>
      </c>
      <c r="D214" s="5">
        <v>2</v>
      </c>
      <c r="E214" s="4">
        <v>52</v>
      </c>
      <c r="F214" s="3">
        <v>3.42</v>
      </c>
      <c r="G214" s="4">
        <v>27</v>
      </c>
      <c r="H214" s="4">
        <v>35</v>
      </c>
      <c r="I214" s="2">
        <v>4.8680193563528699E-2</v>
      </c>
      <c r="J214" s="3">
        <v>187.0831213230353</v>
      </c>
      <c r="K214" s="3">
        <v>0.15</v>
      </c>
      <c r="L214" s="6">
        <f t="shared" si="15"/>
        <v>9.3541560661517648E-4</v>
      </c>
      <c r="P214" s="3">
        <f t="shared" si="16"/>
        <v>0.1622341487202828</v>
      </c>
      <c r="Q214" s="3">
        <f t="shared" si="17"/>
        <v>1.081560991468552</v>
      </c>
      <c r="S214" s="3">
        <f t="shared" si="18"/>
        <v>0.15583919049188985</v>
      </c>
      <c r="T214" s="3">
        <f t="shared" si="19"/>
        <v>1.038927936612599</v>
      </c>
      <c r="V214" s="3"/>
      <c r="W214" s="3"/>
    </row>
    <row r="215" spans="1:23" x14ac:dyDescent="0.3">
      <c r="B215" s="4">
        <v>16</v>
      </c>
      <c r="C215" s="5">
        <v>528</v>
      </c>
      <c r="D215" s="5">
        <v>2</v>
      </c>
      <c r="E215" s="4">
        <v>52</v>
      </c>
      <c r="F215" s="3">
        <v>3.42</v>
      </c>
      <c r="G215" s="4">
        <v>27</v>
      </c>
      <c r="H215" s="4">
        <v>35</v>
      </c>
      <c r="I215" s="2">
        <v>4.8680193563528699E-2</v>
      </c>
      <c r="J215" s="3">
        <v>284.06540901800247</v>
      </c>
      <c r="K215" s="3">
        <v>0.19</v>
      </c>
      <c r="L215" s="6">
        <f t="shared" si="15"/>
        <v>1.4203270450900123E-3</v>
      </c>
      <c r="P215" s="3">
        <f t="shared" si="16"/>
        <v>0.23021936559243555</v>
      </c>
      <c r="Q215" s="3">
        <f t="shared" si="17"/>
        <v>1.2116808715391345</v>
      </c>
      <c r="S215" s="3">
        <f t="shared" si="18"/>
        <v>0.22262729117224583</v>
      </c>
      <c r="T215" s="3">
        <f t="shared" si="19"/>
        <v>1.1717225851170834</v>
      </c>
      <c r="V215" s="3"/>
      <c r="W215" s="3"/>
    </row>
    <row r="216" spans="1:23" x14ac:dyDescent="0.3">
      <c r="B216" s="4">
        <v>16</v>
      </c>
      <c r="C216" s="5">
        <v>528</v>
      </c>
      <c r="D216" s="5">
        <v>2</v>
      </c>
      <c r="E216" s="4">
        <v>52</v>
      </c>
      <c r="F216" s="3">
        <v>3.42</v>
      </c>
      <c r="G216" s="4">
        <v>27</v>
      </c>
      <c r="H216" s="4">
        <v>35</v>
      </c>
      <c r="I216" s="2">
        <v>4.8680193563528699E-2</v>
      </c>
      <c r="J216" s="3">
        <v>342.25478163498269</v>
      </c>
      <c r="K216" s="3">
        <v>0.22</v>
      </c>
      <c r="L216" s="6">
        <f t="shared" si="15"/>
        <v>1.7112739081749134E-3</v>
      </c>
      <c r="P216" s="3">
        <f t="shared" si="16"/>
        <v>0.2691300393737508</v>
      </c>
      <c r="Q216" s="3">
        <f t="shared" si="17"/>
        <v>1.2233183607897764</v>
      </c>
      <c r="S216" s="3">
        <f t="shared" si="18"/>
        <v>0.2610319230696832</v>
      </c>
      <c r="T216" s="3">
        <f t="shared" si="19"/>
        <v>1.1865087412258328</v>
      </c>
      <c r="V216" s="3"/>
      <c r="W216" s="3"/>
    </row>
    <row r="217" spans="1:23" x14ac:dyDescent="0.3">
      <c r="B217" s="4">
        <v>16</v>
      </c>
      <c r="C217" s="5">
        <v>528</v>
      </c>
      <c r="D217" s="5">
        <v>2</v>
      </c>
      <c r="E217" s="4">
        <v>52</v>
      </c>
      <c r="F217" s="3">
        <v>3.42</v>
      </c>
      <c r="G217" s="4">
        <v>27</v>
      </c>
      <c r="H217" s="4">
        <v>35</v>
      </c>
      <c r="I217" s="2">
        <v>4.8680193563528699E-2</v>
      </c>
      <c r="J217" s="3">
        <v>390.74592548246613</v>
      </c>
      <c r="K217" s="3">
        <v>0.22</v>
      </c>
      <c r="L217" s="6">
        <f t="shared" si="15"/>
        <v>1.9537296274123308E-3</v>
      </c>
      <c r="P217" s="3">
        <f t="shared" si="16"/>
        <v>0.30073559171101683</v>
      </c>
      <c r="Q217" s="3">
        <f t="shared" si="17"/>
        <v>1.3669799623228038</v>
      </c>
      <c r="S217" s="3">
        <f t="shared" si="18"/>
        <v>0.29230550620944035</v>
      </c>
      <c r="T217" s="3">
        <f t="shared" si="19"/>
        <v>1.3286613918610926</v>
      </c>
      <c r="V217" s="3"/>
      <c r="W217" s="3"/>
    </row>
    <row r="218" spans="1:23" x14ac:dyDescent="0.3">
      <c r="B218" s="4">
        <v>16</v>
      </c>
      <c r="C218" s="5">
        <v>528</v>
      </c>
      <c r="D218" s="5">
        <v>2</v>
      </c>
      <c r="E218" s="4">
        <v>52</v>
      </c>
      <c r="F218" s="3">
        <v>3.42</v>
      </c>
      <c r="G218" s="4">
        <v>27</v>
      </c>
      <c r="H218" s="4">
        <v>35</v>
      </c>
      <c r="I218" s="2">
        <v>4.8680193563528699E-2</v>
      </c>
      <c r="J218" s="3">
        <v>468.3317556384398</v>
      </c>
      <c r="K218" s="3">
        <v>0.25</v>
      </c>
      <c r="L218" s="6">
        <f t="shared" si="15"/>
        <v>2.341658778192199E-3</v>
      </c>
      <c r="P218" s="3">
        <f t="shared" si="16"/>
        <v>0.35002671789338596</v>
      </c>
      <c r="Q218" s="3">
        <f t="shared" si="17"/>
        <v>1.4001068715735439</v>
      </c>
      <c r="S218" s="3">
        <f t="shared" si="18"/>
        <v>0.34120226780428697</v>
      </c>
      <c r="T218" s="3">
        <f t="shared" si="19"/>
        <v>1.3648090712171479</v>
      </c>
      <c r="V218" s="3"/>
      <c r="W218" s="3"/>
    </row>
    <row r="219" spans="1:23" x14ac:dyDescent="0.3">
      <c r="B219" s="4">
        <v>16</v>
      </c>
      <c r="C219" s="5">
        <v>528</v>
      </c>
      <c r="D219" s="5">
        <v>2</v>
      </c>
      <c r="E219" s="4">
        <v>52</v>
      </c>
      <c r="F219" s="3">
        <v>3.42</v>
      </c>
      <c r="G219" s="4">
        <v>27</v>
      </c>
      <c r="H219" s="4">
        <v>35</v>
      </c>
      <c r="I219" s="2">
        <v>4.8680193563528699E-2</v>
      </c>
      <c r="J219" s="3">
        <v>526.10180870720353</v>
      </c>
      <c r="K219" s="3">
        <v>0.28999999999999998</v>
      </c>
      <c r="L219" s="6">
        <f t="shared" si="15"/>
        <v>2.6305090435360177E-3</v>
      </c>
      <c r="P219" s="3">
        <f t="shared" si="16"/>
        <v>0.38586355538787898</v>
      </c>
      <c r="Q219" s="3">
        <f t="shared" si="17"/>
        <v>1.3305639840961345</v>
      </c>
      <c r="S219" s="3">
        <f t="shared" si="18"/>
        <v>0.37683630255526573</v>
      </c>
      <c r="T219" s="3">
        <f t="shared" si="19"/>
        <v>1.2994355260526405</v>
      </c>
      <c r="V219" s="3"/>
      <c r="W219" s="3"/>
    </row>
    <row r="220" spans="1:23" x14ac:dyDescent="0.3">
      <c r="A220" s="1" t="s">
        <v>50</v>
      </c>
      <c r="B220" s="4">
        <v>20</v>
      </c>
      <c r="C220" s="5">
        <v>528</v>
      </c>
      <c r="D220" s="5">
        <v>2</v>
      </c>
      <c r="E220" s="4">
        <v>44</v>
      </c>
      <c r="F220" s="3">
        <v>3.42</v>
      </c>
      <c r="G220" s="4">
        <v>25</v>
      </c>
      <c r="H220" s="4">
        <v>35</v>
      </c>
      <c r="I220" s="2">
        <v>8.2535915718449052E-2</v>
      </c>
      <c r="J220" s="3">
        <v>242.78254560699045</v>
      </c>
      <c r="K220" s="3">
        <v>0.17</v>
      </c>
      <c r="L220" s="6">
        <f t="shared" si="15"/>
        <v>1.2139127280349524E-3</v>
      </c>
      <c r="P220" s="3">
        <f t="shared" si="16"/>
        <v>0.19863145950036784</v>
      </c>
      <c r="Q220" s="3">
        <f t="shared" si="17"/>
        <v>1.1684203500021637</v>
      </c>
      <c r="S220" s="3">
        <f t="shared" si="18"/>
        <v>0.19853984145791448</v>
      </c>
      <c r="T220" s="3">
        <f t="shared" si="19"/>
        <v>1.1678814203406733</v>
      </c>
      <c r="V220" s="3"/>
      <c r="W220" s="3"/>
    </row>
    <row r="221" spans="1:23" x14ac:dyDescent="0.3">
      <c r="B221" s="4">
        <v>20</v>
      </c>
      <c r="C221" s="5">
        <v>528</v>
      </c>
      <c r="D221" s="5">
        <v>2</v>
      </c>
      <c r="E221" s="4">
        <v>44</v>
      </c>
      <c r="F221" s="3">
        <v>3.42</v>
      </c>
      <c r="G221" s="4">
        <v>25</v>
      </c>
      <c r="H221" s="4">
        <v>35</v>
      </c>
      <c r="I221" s="2">
        <v>8.2535915718449052E-2</v>
      </c>
      <c r="J221" s="3">
        <v>285.07491496610783</v>
      </c>
      <c r="K221" s="3">
        <v>0.19</v>
      </c>
      <c r="L221" s="6">
        <f t="shared" si="15"/>
        <v>1.4253745748305392E-3</v>
      </c>
      <c r="P221" s="3">
        <f t="shared" si="16"/>
        <v>0.2272434878869454</v>
      </c>
      <c r="Q221" s="3">
        <f t="shared" si="17"/>
        <v>1.1960183572997125</v>
      </c>
      <c r="S221" s="3">
        <f t="shared" si="18"/>
        <v>0.22772302710111939</v>
      </c>
      <c r="T221" s="3">
        <f t="shared" si="19"/>
        <v>1.1985422479006282</v>
      </c>
      <c r="V221" s="3"/>
      <c r="W221" s="3"/>
    </row>
    <row r="222" spans="1:23" x14ac:dyDescent="0.3">
      <c r="B222" s="4">
        <v>20</v>
      </c>
      <c r="C222" s="5">
        <v>528</v>
      </c>
      <c r="D222" s="5">
        <v>2</v>
      </c>
      <c r="E222" s="4">
        <v>44</v>
      </c>
      <c r="F222" s="3">
        <v>3.42</v>
      </c>
      <c r="G222" s="4">
        <v>25</v>
      </c>
      <c r="H222" s="4">
        <v>35</v>
      </c>
      <c r="I222" s="2">
        <v>8.2535915718449052E-2</v>
      </c>
      <c r="J222" s="3">
        <v>339.45081842783054</v>
      </c>
      <c r="K222" s="3">
        <v>0.21</v>
      </c>
      <c r="L222" s="6">
        <f t="shared" si="15"/>
        <v>1.6972540921391527E-3</v>
      </c>
      <c r="P222" s="3">
        <f t="shared" si="16"/>
        <v>0.26304303717386701</v>
      </c>
      <c r="Q222" s="3">
        <f t="shared" si="17"/>
        <v>1.2525858913041286</v>
      </c>
      <c r="S222" s="3">
        <f t="shared" si="18"/>
        <v>0.26433544243814328</v>
      </c>
      <c r="T222" s="3">
        <f t="shared" si="19"/>
        <v>1.2587402020863967</v>
      </c>
      <c r="V222" s="3"/>
      <c r="W222" s="3"/>
    </row>
    <row r="223" spans="1:23" x14ac:dyDescent="0.3">
      <c r="B223" s="4">
        <v>20</v>
      </c>
      <c r="C223" s="5">
        <v>528</v>
      </c>
      <c r="D223" s="5">
        <v>2</v>
      </c>
      <c r="E223" s="4">
        <v>44</v>
      </c>
      <c r="F223" s="3">
        <v>3.42</v>
      </c>
      <c r="G223" s="4">
        <v>25</v>
      </c>
      <c r="H223" s="4">
        <v>35</v>
      </c>
      <c r="I223" s="2">
        <v>8.2535915718449052E-2</v>
      </c>
      <c r="J223" s="3">
        <v>363.61788663304048</v>
      </c>
      <c r="K223" s="3">
        <v>0.23</v>
      </c>
      <c r="L223" s="6">
        <f t="shared" si="15"/>
        <v>1.8180894331652024E-3</v>
      </c>
      <c r="P223" s="3">
        <f t="shared" si="16"/>
        <v>0.27864837283566107</v>
      </c>
      <c r="Q223" s="3">
        <f t="shared" si="17"/>
        <v>1.2115146645028743</v>
      </c>
      <c r="S223" s="3">
        <f t="shared" si="18"/>
        <v>0.2803257500314224</v>
      </c>
      <c r="T223" s="3">
        <f t="shared" si="19"/>
        <v>1.2188076088322712</v>
      </c>
      <c r="V223" s="3"/>
      <c r="W223" s="3"/>
    </row>
    <row r="224" spans="1:23" x14ac:dyDescent="0.3">
      <c r="B224" s="4">
        <v>20</v>
      </c>
      <c r="C224" s="5">
        <v>528</v>
      </c>
      <c r="D224" s="5">
        <v>2</v>
      </c>
      <c r="E224" s="4">
        <v>44</v>
      </c>
      <c r="F224" s="3">
        <v>3.42</v>
      </c>
      <c r="G224" s="4">
        <v>25</v>
      </c>
      <c r="H224" s="4">
        <v>35</v>
      </c>
      <c r="I224" s="2">
        <v>8.2535915718449052E-2</v>
      </c>
      <c r="J224" s="3">
        <v>417.99379009476309</v>
      </c>
      <c r="K224" s="3">
        <v>0.25</v>
      </c>
      <c r="L224" s="6">
        <f t="shared" si="15"/>
        <v>2.0899689504738153E-3</v>
      </c>
      <c r="P224" s="3">
        <f t="shared" si="16"/>
        <v>0.31316709155056993</v>
      </c>
      <c r="Q224" s="3">
        <f t="shared" si="17"/>
        <v>1.2526683662022797</v>
      </c>
      <c r="S224" s="3">
        <f t="shared" si="18"/>
        <v>0.31575555074987571</v>
      </c>
      <c r="T224" s="3">
        <f t="shared" si="19"/>
        <v>1.2630222029995029</v>
      </c>
      <c r="V224" s="3"/>
      <c r="W224" s="3"/>
    </row>
    <row r="225" spans="1:23" x14ac:dyDescent="0.3">
      <c r="B225" s="4">
        <v>20</v>
      </c>
      <c r="C225" s="5">
        <v>528</v>
      </c>
      <c r="D225" s="5">
        <v>2</v>
      </c>
      <c r="E225" s="4">
        <v>44</v>
      </c>
      <c r="F225" s="3">
        <v>3.42</v>
      </c>
      <c r="G225" s="4">
        <v>25</v>
      </c>
      <c r="H225" s="4">
        <v>35</v>
      </c>
      <c r="I225" s="2">
        <v>8.2535915718449052E-2</v>
      </c>
      <c r="J225" s="3">
        <v>525.80672936787971</v>
      </c>
      <c r="K225" s="3">
        <v>0.25</v>
      </c>
      <c r="L225" s="6">
        <f t="shared" si="15"/>
        <v>2.6290336468393987E-3</v>
      </c>
      <c r="P225" s="3">
        <f t="shared" si="16"/>
        <v>0.37956670248831698</v>
      </c>
      <c r="Q225" s="3">
        <f t="shared" si="17"/>
        <v>1.5182668099532679</v>
      </c>
      <c r="S225" s="3">
        <f t="shared" si="18"/>
        <v>0.3841116530222311</v>
      </c>
      <c r="T225" s="3">
        <f t="shared" si="19"/>
        <v>1.5364466120889244</v>
      </c>
      <c r="V225" s="3"/>
      <c r="W225" s="3"/>
    </row>
    <row r="226" spans="1:23" x14ac:dyDescent="0.3">
      <c r="A226" s="1" t="s">
        <v>51</v>
      </c>
      <c r="B226" s="4">
        <v>20</v>
      </c>
      <c r="C226" s="5">
        <v>528</v>
      </c>
      <c r="D226" s="5">
        <v>3</v>
      </c>
      <c r="E226" s="4">
        <v>12</v>
      </c>
      <c r="F226" s="3">
        <v>3.42</v>
      </c>
      <c r="G226" s="4">
        <v>25</v>
      </c>
      <c r="H226" s="4">
        <v>35</v>
      </c>
      <c r="I226" s="2">
        <v>0.13524934868327321</v>
      </c>
      <c r="J226" s="3">
        <v>223.29573430236792</v>
      </c>
      <c r="K226" s="3">
        <v>0.18</v>
      </c>
      <c r="L226" s="6">
        <f t="shared" si="15"/>
        <v>1.1164786715118396E-3</v>
      </c>
      <c r="P226" s="3">
        <f t="shared" si="16"/>
        <v>0.14536478282943463</v>
      </c>
      <c r="Q226" s="3">
        <f t="shared" si="17"/>
        <v>0.80758212683019237</v>
      </c>
      <c r="S226" s="3">
        <f t="shared" si="18"/>
        <v>0.15236484642167311</v>
      </c>
      <c r="T226" s="3">
        <f t="shared" si="19"/>
        <v>0.84647136900929509</v>
      </c>
      <c r="V226" s="3"/>
      <c r="W226" s="3"/>
    </row>
    <row r="227" spans="1:23" x14ac:dyDescent="0.3">
      <c r="B227" s="4">
        <v>20</v>
      </c>
      <c r="C227" s="5">
        <v>528</v>
      </c>
      <c r="D227" s="5">
        <v>3</v>
      </c>
      <c r="E227" s="4">
        <v>12</v>
      </c>
      <c r="F227" s="3">
        <v>3.42</v>
      </c>
      <c r="G227" s="4">
        <v>25</v>
      </c>
      <c r="H227" s="4">
        <v>35</v>
      </c>
      <c r="I227" s="2">
        <v>0.13524934868327321</v>
      </c>
      <c r="J227" s="3">
        <v>263.36829755996007</v>
      </c>
      <c r="K227" s="3">
        <v>0.19</v>
      </c>
      <c r="L227" s="6">
        <f t="shared" si="15"/>
        <v>1.3168414877998004E-3</v>
      </c>
      <c r="P227" s="3">
        <f t="shared" si="16"/>
        <v>0.16692816382628134</v>
      </c>
      <c r="Q227" s="3">
        <f t="shared" si="17"/>
        <v>0.87856928329621753</v>
      </c>
      <c r="S227" s="3">
        <f t="shared" si="18"/>
        <v>0.17542929570658955</v>
      </c>
      <c r="T227" s="3">
        <f t="shared" si="19"/>
        <v>0.92331208266626075</v>
      </c>
      <c r="V227" s="3"/>
      <c r="W227" s="3"/>
    </row>
    <row r="228" spans="1:23" x14ac:dyDescent="0.3">
      <c r="B228" s="4">
        <v>20</v>
      </c>
      <c r="C228" s="5">
        <v>528</v>
      </c>
      <c r="D228" s="5">
        <v>3</v>
      </c>
      <c r="E228" s="4">
        <v>12</v>
      </c>
      <c r="F228" s="3">
        <v>3.42</v>
      </c>
      <c r="G228" s="4">
        <v>25</v>
      </c>
      <c r="H228" s="4">
        <v>35</v>
      </c>
      <c r="I228" s="2">
        <v>0.13524934868327321</v>
      </c>
      <c r="J228" s="3">
        <v>299.43360449179295</v>
      </c>
      <c r="K228" s="3">
        <v>0.21</v>
      </c>
      <c r="L228" s="6">
        <f t="shared" si="15"/>
        <v>1.4971680224589647E-3</v>
      </c>
      <c r="P228" s="3">
        <f t="shared" si="16"/>
        <v>0.18588196604846352</v>
      </c>
      <c r="Q228" s="3">
        <f t="shared" si="17"/>
        <v>0.88515221927839771</v>
      </c>
      <c r="S228" s="3">
        <f t="shared" si="18"/>
        <v>0.19574990210399773</v>
      </c>
      <c r="T228" s="3">
        <f t="shared" si="19"/>
        <v>0.93214239097141782</v>
      </c>
      <c r="V228" s="3"/>
      <c r="W228" s="3"/>
    </row>
    <row r="229" spans="1:23" x14ac:dyDescent="0.3">
      <c r="B229" s="4">
        <v>20</v>
      </c>
      <c r="C229" s="5">
        <v>528</v>
      </c>
      <c r="D229" s="5">
        <v>3</v>
      </c>
      <c r="E229" s="4">
        <v>12</v>
      </c>
      <c r="F229" s="3">
        <v>3.42</v>
      </c>
      <c r="G229" s="4">
        <v>25</v>
      </c>
      <c r="H229" s="4">
        <v>35</v>
      </c>
      <c r="I229" s="2">
        <v>0.13524934868327321</v>
      </c>
      <c r="J229" s="3">
        <v>343.51342407514426</v>
      </c>
      <c r="K229" s="3">
        <v>0.23</v>
      </c>
      <c r="L229" s="6">
        <f t="shared" si="15"/>
        <v>1.7175671203757212E-3</v>
      </c>
      <c r="P229" s="3">
        <f t="shared" si="16"/>
        <v>0.20855386275587839</v>
      </c>
      <c r="Q229" s="3">
        <f t="shared" si="17"/>
        <v>0.90675592502555824</v>
      </c>
      <c r="S229" s="3">
        <f t="shared" si="18"/>
        <v>0.22010850555615463</v>
      </c>
      <c r="T229" s="3">
        <f t="shared" si="19"/>
        <v>0.95699350241806358</v>
      </c>
      <c r="V229" s="3"/>
      <c r="W229" s="3"/>
    </row>
    <row r="230" spans="1:23" x14ac:dyDescent="0.3">
      <c r="B230" s="4">
        <v>20</v>
      </c>
      <c r="C230" s="5">
        <v>528</v>
      </c>
      <c r="D230" s="5">
        <v>3</v>
      </c>
      <c r="E230" s="4">
        <v>12</v>
      </c>
      <c r="F230" s="3">
        <v>3.42</v>
      </c>
      <c r="G230" s="4">
        <v>25</v>
      </c>
      <c r="H230" s="4">
        <v>35</v>
      </c>
      <c r="I230" s="2">
        <v>0.13524934868327321</v>
      </c>
      <c r="J230" s="3">
        <v>387.59324365849562</v>
      </c>
      <c r="K230" s="3">
        <v>0.25</v>
      </c>
      <c r="L230" s="6">
        <f t="shared" si="15"/>
        <v>1.937966218292478E-3</v>
      </c>
      <c r="P230" s="3">
        <f t="shared" si="16"/>
        <v>0.23075794366196301</v>
      </c>
      <c r="Q230" s="3">
        <f t="shared" si="17"/>
        <v>0.92303177464785202</v>
      </c>
      <c r="S230" s="3">
        <f t="shared" si="18"/>
        <v>0.24401367571044913</v>
      </c>
      <c r="T230" s="3">
        <f t="shared" si="19"/>
        <v>0.97605470284179652</v>
      </c>
      <c r="V230" s="3"/>
      <c r="W230" s="3"/>
    </row>
    <row r="231" spans="1:23" x14ac:dyDescent="0.3">
      <c r="B231" s="4">
        <v>20</v>
      </c>
      <c r="C231" s="5">
        <v>528</v>
      </c>
      <c r="D231" s="5">
        <v>3</v>
      </c>
      <c r="E231" s="4">
        <v>12</v>
      </c>
      <c r="F231" s="3">
        <v>3.42</v>
      </c>
      <c r="G231" s="4">
        <v>25</v>
      </c>
      <c r="H231" s="4">
        <v>35</v>
      </c>
      <c r="I231" s="2">
        <v>0.13524934868327321</v>
      </c>
      <c r="J231" s="3">
        <v>427.66580691608766</v>
      </c>
      <c r="K231" s="3">
        <v>0.28999999999999998</v>
      </c>
      <c r="L231" s="6">
        <f t="shared" si="15"/>
        <v>2.1383290345804384E-3</v>
      </c>
      <c r="P231" s="3">
        <f t="shared" si="16"/>
        <v>0.2505895759475622</v>
      </c>
      <c r="Q231" s="3">
        <f t="shared" si="17"/>
        <v>0.86410198602607657</v>
      </c>
      <c r="S231" s="3">
        <f t="shared" si="18"/>
        <v>0.26540198167320977</v>
      </c>
      <c r="T231" s="3">
        <f t="shared" si="19"/>
        <v>0.91517924714899923</v>
      </c>
      <c r="V231" s="3"/>
      <c r="W231" s="3"/>
    </row>
    <row r="232" spans="1:23" x14ac:dyDescent="0.3">
      <c r="B232" s="4">
        <v>20</v>
      </c>
      <c r="C232" s="5">
        <v>528</v>
      </c>
      <c r="D232" s="5">
        <v>3</v>
      </c>
      <c r="E232" s="4">
        <v>12</v>
      </c>
      <c r="F232" s="3">
        <v>3.42</v>
      </c>
      <c r="G232" s="4">
        <v>25</v>
      </c>
      <c r="H232" s="4">
        <v>35</v>
      </c>
      <c r="I232" s="2">
        <v>0.13524934868327321</v>
      </c>
      <c r="J232" s="3">
        <v>467.7383701736797</v>
      </c>
      <c r="K232" s="3">
        <v>0.31</v>
      </c>
      <c r="L232" s="6">
        <f t="shared" si="15"/>
        <v>2.3386918508683987E-3</v>
      </c>
      <c r="P232" s="3">
        <f t="shared" si="16"/>
        <v>0.27012197636394292</v>
      </c>
      <c r="Q232" s="3">
        <f t="shared" si="17"/>
        <v>0.87136121407723521</v>
      </c>
      <c r="S232" s="3">
        <f t="shared" si="18"/>
        <v>0.28649922676830547</v>
      </c>
      <c r="T232" s="3">
        <f t="shared" si="19"/>
        <v>0.92419105409130797</v>
      </c>
      <c r="V232" s="3"/>
      <c r="W232" s="3"/>
    </row>
    <row r="233" spans="1:23" x14ac:dyDescent="0.3">
      <c r="B233" s="4">
        <v>20</v>
      </c>
      <c r="C233" s="5">
        <v>528</v>
      </c>
      <c r="D233" s="5">
        <v>3</v>
      </c>
      <c r="E233" s="4">
        <v>12</v>
      </c>
      <c r="F233" s="3">
        <v>3.42</v>
      </c>
      <c r="G233" s="4">
        <v>25</v>
      </c>
      <c r="H233" s="4">
        <v>35</v>
      </c>
      <c r="I233" s="2">
        <v>0.13524934868327321</v>
      </c>
      <c r="J233" s="3">
        <v>501.10623509507292</v>
      </c>
      <c r="K233" s="3">
        <v>0.37</v>
      </c>
      <c r="L233" s="6">
        <f t="shared" si="15"/>
        <v>2.5055311754753648E-3</v>
      </c>
      <c r="P233" s="3">
        <f t="shared" si="16"/>
        <v>0.28617954189917527</v>
      </c>
      <c r="Q233" s="3">
        <f t="shared" si="17"/>
        <v>0.77345822134912234</v>
      </c>
      <c r="S233" s="3">
        <f t="shared" si="18"/>
        <v>0.30386518816719965</v>
      </c>
      <c r="T233" s="3">
        <f t="shared" si="19"/>
        <v>0.8212572653167558</v>
      </c>
      <c r="V233" s="3"/>
      <c r="W233" s="3"/>
    </row>
    <row r="234" spans="1:23" x14ac:dyDescent="0.3">
      <c r="A234" s="1" t="s">
        <v>52</v>
      </c>
      <c r="B234" s="4">
        <v>16</v>
      </c>
      <c r="C234" s="5">
        <v>528</v>
      </c>
      <c r="D234" s="5">
        <v>2</v>
      </c>
      <c r="E234" s="4">
        <v>52</v>
      </c>
      <c r="F234" s="3">
        <v>2.98</v>
      </c>
      <c r="G234" s="4">
        <v>27</v>
      </c>
      <c r="H234" s="4">
        <v>35</v>
      </c>
      <c r="I234" s="2">
        <v>4.8026966994219954E-2</v>
      </c>
      <c r="J234" s="3">
        <v>352.9102928137296</v>
      </c>
      <c r="K234" s="3">
        <v>0.16</v>
      </c>
      <c r="L234" s="6">
        <f t="shared" si="15"/>
        <v>1.7645514640686479E-3</v>
      </c>
      <c r="P234" s="3">
        <f t="shared" si="16"/>
        <v>0.27796985292032572</v>
      </c>
      <c r="Q234" s="3">
        <f t="shared" si="17"/>
        <v>1.7373115807520356</v>
      </c>
      <c r="S234" s="3">
        <f t="shared" si="18"/>
        <v>0.26968638198623285</v>
      </c>
      <c r="T234" s="3">
        <f t="shared" si="19"/>
        <v>1.6855398874139553</v>
      </c>
      <c r="V234" s="3"/>
      <c r="W234" s="3"/>
    </row>
    <row r="235" spans="1:23" x14ac:dyDescent="0.3">
      <c r="B235" s="4">
        <v>16</v>
      </c>
      <c r="C235" s="5">
        <v>528</v>
      </c>
      <c r="D235" s="5">
        <v>2</v>
      </c>
      <c r="E235" s="4">
        <v>52</v>
      </c>
      <c r="F235" s="3">
        <v>2.98</v>
      </c>
      <c r="G235" s="4">
        <v>27</v>
      </c>
      <c r="H235" s="4">
        <v>35</v>
      </c>
      <c r="I235" s="2">
        <v>4.8026966994219954E-2</v>
      </c>
      <c r="J235" s="3">
        <v>437.85145690880495</v>
      </c>
      <c r="K235" s="3">
        <v>0.2</v>
      </c>
      <c r="L235" s="6">
        <f t="shared" si="15"/>
        <v>2.1892572845440246E-3</v>
      </c>
      <c r="P235" s="3">
        <f t="shared" si="16"/>
        <v>0.33303267873728287</v>
      </c>
      <c r="Q235" s="3">
        <f t="shared" si="17"/>
        <v>1.6651633936864143</v>
      </c>
      <c r="S235" s="3">
        <f t="shared" si="18"/>
        <v>0.32422520230335078</v>
      </c>
      <c r="T235" s="3">
        <f t="shared" si="19"/>
        <v>1.6211260115167538</v>
      </c>
      <c r="V235" s="3"/>
      <c r="W235" s="3"/>
    </row>
    <row r="236" spans="1:23" x14ac:dyDescent="0.3">
      <c r="B236" s="4">
        <v>16</v>
      </c>
      <c r="C236" s="5">
        <v>528</v>
      </c>
      <c r="D236" s="5">
        <v>2</v>
      </c>
      <c r="E236" s="4">
        <v>52</v>
      </c>
      <c r="F236" s="3">
        <v>2.98</v>
      </c>
      <c r="G236" s="4">
        <v>27</v>
      </c>
      <c r="H236" s="4">
        <v>35</v>
      </c>
      <c r="I236" s="2">
        <v>4.8026966994219954E-2</v>
      </c>
      <c r="J236" s="3">
        <v>523.88203180799201</v>
      </c>
      <c r="K236" s="3">
        <v>0.26</v>
      </c>
      <c r="L236" s="6">
        <f t="shared" si="15"/>
        <v>2.61941015903996E-3</v>
      </c>
      <c r="P236" s="3">
        <f t="shared" si="16"/>
        <v>0.38705498802929977</v>
      </c>
      <c r="Q236" s="3">
        <f t="shared" si="17"/>
        <v>1.4886730308819223</v>
      </c>
      <c r="S236" s="3">
        <f t="shared" si="18"/>
        <v>0.3779019171780103</v>
      </c>
      <c r="T236" s="3">
        <f t="shared" si="19"/>
        <v>1.4534689122231166</v>
      </c>
      <c r="V236" s="3"/>
      <c r="W236" s="3"/>
    </row>
    <row r="237" spans="1:23" x14ac:dyDescent="0.3">
      <c r="A237" s="1" t="s">
        <v>53</v>
      </c>
      <c r="B237" s="4">
        <v>20</v>
      </c>
      <c r="C237" s="5">
        <v>528</v>
      </c>
      <c r="D237" s="5">
        <v>2</v>
      </c>
      <c r="E237" s="4">
        <v>44</v>
      </c>
      <c r="F237" s="3">
        <v>2.98</v>
      </c>
      <c r="G237" s="4">
        <v>25</v>
      </c>
      <c r="H237" s="4">
        <v>35</v>
      </c>
      <c r="I237" s="2">
        <v>8.1200522425266847E-2</v>
      </c>
      <c r="J237" s="3">
        <v>239.48479683343328</v>
      </c>
      <c r="K237" s="3">
        <v>0.17</v>
      </c>
      <c r="L237" s="6">
        <f t="shared" si="15"/>
        <v>1.1974239841671664E-3</v>
      </c>
      <c r="P237" s="3">
        <f t="shared" si="16"/>
        <v>0.19794625026201923</v>
      </c>
      <c r="Q237" s="3">
        <f t="shared" si="17"/>
        <v>1.1643897074236425</v>
      </c>
      <c r="S237" s="3">
        <f t="shared" si="18"/>
        <v>0.19758477635123906</v>
      </c>
      <c r="T237" s="3">
        <f t="shared" si="19"/>
        <v>1.1622633903014061</v>
      </c>
      <c r="V237" s="3"/>
      <c r="W237" s="3"/>
    </row>
    <row r="238" spans="1:23" x14ac:dyDescent="0.3">
      <c r="B238" s="4">
        <v>20</v>
      </c>
      <c r="C238" s="5">
        <v>528</v>
      </c>
      <c r="D238" s="5">
        <v>2</v>
      </c>
      <c r="E238" s="4">
        <v>44</v>
      </c>
      <c r="F238" s="3">
        <v>2.98</v>
      </c>
      <c r="G238" s="4">
        <v>25</v>
      </c>
      <c r="H238" s="4">
        <v>35</v>
      </c>
      <c r="I238" s="2">
        <v>8.1200522425266847E-2</v>
      </c>
      <c r="J238" s="3">
        <v>280.83646091543716</v>
      </c>
      <c r="K238" s="3">
        <v>0.19</v>
      </c>
      <c r="L238" s="6">
        <f t="shared" si="15"/>
        <v>1.4041823045771859E-3</v>
      </c>
      <c r="P238" s="3">
        <f t="shared" si="16"/>
        <v>0.22621238796457835</v>
      </c>
      <c r="Q238" s="3">
        <f t="shared" si="17"/>
        <v>1.190591515603044</v>
      </c>
      <c r="S238" s="3">
        <f t="shared" si="18"/>
        <v>0.22637548484468425</v>
      </c>
      <c r="T238" s="3">
        <f t="shared" si="19"/>
        <v>1.1914499202351803</v>
      </c>
      <c r="V238" s="3"/>
      <c r="W238" s="3"/>
    </row>
    <row r="239" spans="1:23" x14ac:dyDescent="0.3">
      <c r="B239" s="4">
        <v>20</v>
      </c>
      <c r="C239" s="5">
        <v>528</v>
      </c>
      <c r="D239" s="5">
        <v>2</v>
      </c>
      <c r="E239" s="4">
        <v>44</v>
      </c>
      <c r="F239" s="3">
        <v>2.98</v>
      </c>
      <c r="G239" s="4">
        <v>25</v>
      </c>
      <c r="H239" s="4">
        <v>35</v>
      </c>
      <c r="I239" s="2">
        <v>8.1200522425266847E-2</v>
      </c>
      <c r="J239" s="3">
        <v>334.00288616372791</v>
      </c>
      <c r="K239" s="3">
        <v>0.23</v>
      </c>
      <c r="L239" s="6">
        <f t="shared" si="15"/>
        <v>1.6700144308186395E-3</v>
      </c>
      <c r="P239" s="3">
        <f t="shared" si="16"/>
        <v>0.26158632860033681</v>
      </c>
      <c r="Q239" s="3">
        <f t="shared" si="17"/>
        <v>1.1373318634797251</v>
      </c>
      <c r="S239" s="3">
        <f t="shared" si="18"/>
        <v>0.26250211043587923</v>
      </c>
      <c r="T239" s="3">
        <f t="shared" si="19"/>
        <v>1.1413135236342575</v>
      </c>
      <c r="V239" s="3"/>
      <c r="W239" s="3"/>
    </row>
    <row r="240" spans="1:23" x14ac:dyDescent="0.3">
      <c r="B240" s="4">
        <v>20</v>
      </c>
      <c r="C240" s="5">
        <v>528</v>
      </c>
      <c r="D240" s="5">
        <v>2</v>
      </c>
      <c r="E240" s="4">
        <v>44</v>
      </c>
      <c r="F240" s="3">
        <v>2.98</v>
      </c>
      <c r="G240" s="4">
        <v>25</v>
      </c>
      <c r="H240" s="4">
        <v>35</v>
      </c>
      <c r="I240" s="2">
        <v>8.1200522425266847E-2</v>
      </c>
      <c r="J240" s="3">
        <v>357.63240849630159</v>
      </c>
      <c r="K240" s="3">
        <v>0.25</v>
      </c>
      <c r="L240" s="6">
        <f t="shared" si="15"/>
        <v>1.7881620424815079E-3</v>
      </c>
      <c r="P240" s="3">
        <f t="shared" si="16"/>
        <v>0.27700809041289565</v>
      </c>
      <c r="Q240" s="3">
        <f t="shared" si="17"/>
        <v>1.1080323616515826</v>
      </c>
      <c r="S240" s="3">
        <f t="shared" si="18"/>
        <v>0.27828205169287151</v>
      </c>
      <c r="T240" s="3">
        <f t="shared" si="19"/>
        <v>1.1131282067714861</v>
      </c>
      <c r="V240" s="3"/>
      <c r="W240" s="3"/>
    </row>
    <row r="241" spans="1:23" x14ac:dyDescent="0.3">
      <c r="B241" s="4">
        <v>20</v>
      </c>
      <c r="C241" s="5">
        <v>528</v>
      </c>
      <c r="D241" s="5">
        <v>2</v>
      </c>
      <c r="E241" s="4">
        <v>44</v>
      </c>
      <c r="F241" s="3">
        <v>2.98</v>
      </c>
      <c r="G241" s="4">
        <v>25</v>
      </c>
      <c r="H241" s="4">
        <v>35</v>
      </c>
      <c r="I241" s="2">
        <v>8.1200522425266847E-2</v>
      </c>
      <c r="J241" s="3">
        <v>393.07669199516215</v>
      </c>
      <c r="K241" s="3">
        <v>0.3</v>
      </c>
      <c r="L241" s="6">
        <f t="shared" si="15"/>
        <v>1.9653834599758107E-3</v>
      </c>
      <c r="P241" s="3">
        <f t="shared" si="16"/>
        <v>0.29983638256410389</v>
      </c>
      <c r="Q241" s="3">
        <f t="shared" si="17"/>
        <v>0.99945460854701296</v>
      </c>
      <c r="S241" s="3">
        <f t="shared" si="18"/>
        <v>0.30167110882866804</v>
      </c>
      <c r="T241" s="3">
        <f t="shared" si="19"/>
        <v>1.0055703627622268</v>
      </c>
      <c r="V241" s="3"/>
      <c r="W241" s="3"/>
    </row>
    <row r="242" spans="1:23" x14ac:dyDescent="0.3">
      <c r="B242" s="4">
        <v>20</v>
      </c>
      <c r="C242" s="5">
        <v>528</v>
      </c>
      <c r="D242" s="5">
        <v>2</v>
      </c>
      <c r="E242" s="4">
        <v>44</v>
      </c>
      <c r="F242" s="3">
        <v>2.98</v>
      </c>
      <c r="G242" s="4">
        <v>25</v>
      </c>
      <c r="H242" s="4">
        <v>35</v>
      </c>
      <c r="I242" s="2">
        <v>8.1200522425266847E-2</v>
      </c>
      <c r="J242" s="3">
        <v>416.70621432773589</v>
      </c>
      <c r="K242" s="3">
        <v>0.32</v>
      </c>
      <c r="L242" s="6">
        <f t="shared" si="15"/>
        <v>2.0835310716386794E-3</v>
      </c>
      <c r="P242" s="3">
        <f t="shared" si="16"/>
        <v>0.31486898147140241</v>
      </c>
      <c r="Q242" s="3">
        <f t="shared" si="17"/>
        <v>0.98396556709813254</v>
      </c>
      <c r="S242" s="3">
        <f t="shared" si="18"/>
        <v>0.31709172767871213</v>
      </c>
      <c r="T242" s="3">
        <f t="shared" si="19"/>
        <v>0.99091164899597539</v>
      </c>
      <c r="V242" s="3"/>
      <c r="W242" s="3"/>
    </row>
    <row r="243" spans="1:23" x14ac:dyDescent="0.3">
      <c r="B243" s="4">
        <v>20</v>
      </c>
      <c r="C243" s="5">
        <v>528</v>
      </c>
      <c r="D243" s="5">
        <v>2</v>
      </c>
      <c r="E243" s="4">
        <v>44</v>
      </c>
      <c r="F243" s="3">
        <v>2.98</v>
      </c>
      <c r="G243" s="4">
        <v>25</v>
      </c>
      <c r="H243" s="4">
        <v>35</v>
      </c>
      <c r="I243" s="2">
        <v>8.1200522425266847E-2</v>
      </c>
      <c r="J243" s="3">
        <v>474.59854404254128</v>
      </c>
      <c r="K243" s="3">
        <v>0.36</v>
      </c>
      <c r="L243" s="6">
        <f t="shared" si="15"/>
        <v>2.3729927202127063E-3</v>
      </c>
      <c r="P243" s="3">
        <f t="shared" si="16"/>
        <v>0.35113480781802386</v>
      </c>
      <c r="Q243" s="3">
        <f t="shared" si="17"/>
        <v>0.9753744661611774</v>
      </c>
      <c r="S243" s="3">
        <f t="shared" si="18"/>
        <v>0.35435034401918797</v>
      </c>
      <c r="T243" s="3">
        <f t="shared" si="19"/>
        <v>0.98430651116441104</v>
      </c>
      <c r="V243" s="3"/>
      <c r="W243" s="3"/>
    </row>
    <row r="244" spans="1:23" x14ac:dyDescent="0.3">
      <c r="B244" s="4">
        <v>20</v>
      </c>
      <c r="C244" s="5">
        <v>528</v>
      </c>
      <c r="D244" s="5">
        <v>2</v>
      </c>
      <c r="E244" s="4">
        <v>44</v>
      </c>
      <c r="F244" s="3">
        <v>2.98</v>
      </c>
      <c r="G244" s="4">
        <v>25</v>
      </c>
      <c r="H244" s="4">
        <v>35</v>
      </c>
      <c r="I244" s="2">
        <v>8.1200522425266847E-2</v>
      </c>
      <c r="J244" s="3">
        <v>526.44594786447112</v>
      </c>
      <c r="K244" s="3">
        <v>0.47</v>
      </c>
      <c r="L244" s="6">
        <f t="shared" si="15"/>
        <v>2.6322297393223558E-3</v>
      </c>
      <c r="P244" s="3">
        <f t="shared" si="16"/>
        <v>0.3830071065014935</v>
      </c>
      <c r="Q244" s="3">
        <f t="shared" si="17"/>
        <v>0.81490873723722024</v>
      </c>
      <c r="S244" s="3">
        <f t="shared" si="18"/>
        <v>0.38715622453709336</v>
      </c>
      <c r="T244" s="3">
        <f t="shared" si="19"/>
        <v>0.82373664795126256</v>
      </c>
      <c r="V244" s="3"/>
      <c r="W244" s="3"/>
    </row>
    <row r="245" spans="1:23" x14ac:dyDescent="0.3">
      <c r="A245" s="1" t="s">
        <v>54</v>
      </c>
      <c r="B245" s="4">
        <v>20</v>
      </c>
      <c r="C245" s="5">
        <v>528</v>
      </c>
      <c r="D245" s="5">
        <v>3</v>
      </c>
      <c r="E245" s="4">
        <v>12</v>
      </c>
      <c r="F245" s="3">
        <v>2.98</v>
      </c>
      <c r="G245" s="4">
        <v>25</v>
      </c>
      <c r="H245" s="4">
        <v>35</v>
      </c>
      <c r="I245" s="2">
        <v>0.1326866695196976</v>
      </c>
      <c r="J245" s="3">
        <v>288.35506662539098</v>
      </c>
      <c r="K245" s="3">
        <v>0.16</v>
      </c>
      <c r="L245" s="6">
        <f t="shared" si="15"/>
        <v>1.4417753331269548E-3</v>
      </c>
      <c r="P245" s="3">
        <f t="shared" si="16"/>
        <v>0.18179594607968563</v>
      </c>
      <c r="Q245" s="3">
        <f t="shared" si="17"/>
        <v>1.1362246629980353</v>
      </c>
      <c r="S245" s="3">
        <f t="shared" si="18"/>
        <v>0.19087161760812807</v>
      </c>
      <c r="T245" s="3">
        <f t="shared" si="19"/>
        <v>1.1929476100508003</v>
      </c>
      <c r="V245" s="3"/>
      <c r="W245" s="3"/>
    </row>
    <row r="246" spans="1:23" x14ac:dyDescent="0.3">
      <c r="B246" s="4">
        <v>20</v>
      </c>
      <c r="C246" s="5">
        <v>528</v>
      </c>
      <c r="D246" s="5">
        <v>3</v>
      </c>
      <c r="E246" s="4">
        <v>12</v>
      </c>
      <c r="F246" s="3">
        <v>2.98</v>
      </c>
      <c r="G246" s="4">
        <v>25</v>
      </c>
      <c r="H246" s="4">
        <v>35</v>
      </c>
      <c r="I246" s="2">
        <v>0.1326866695196976</v>
      </c>
      <c r="J246" s="3">
        <v>304.06930248173501</v>
      </c>
      <c r="K246" s="3">
        <v>0.18</v>
      </c>
      <c r="L246" s="6">
        <f t="shared" si="15"/>
        <v>1.5203465124086751E-3</v>
      </c>
      <c r="P246" s="3">
        <f t="shared" si="16"/>
        <v>0.19006226351943845</v>
      </c>
      <c r="Q246" s="3">
        <f t="shared" si="17"/>
        <v>1.0559014639968802</v>
      </c>
      <c r="S246" s="3">
        <f t="shared" si="18"/>
        <v>0.19972010078921623</v>
      </c>
      <c r="T246" s="3">
        <f t="shared" si="19"/>
        <v>1.1095561154956457</v>
      </c>
      <c r="V246" s="3"/>
      <c r="W246" s="3"/>
    </row>
    <row r="247" spans="1:23" x14ac:dyDescent="0.3">
      <c r="B247" s="4">
        <v>20</v>
      </c>
      <c r="C247" s="5">
        <v>528</v>
      </c>
      <c r="D247" s="5">
        <v>3</v>
      </c>
      <c r="E247" s="4">
        <v>12</v>
      </c>
      <c r="F247" s="3">
        <v>2.98</v>
      </c>
      <c r="G247" s="4">
        <v>25</v>
      </c>
      <c r="H247" s="4">
        <v>35</v>
      </c>
      <c r="I247" s="2">
        <v>0.1326866695196976</v>
      </c>
      <c r="J247" s="3">
        <v>343.35489212259552</v>
      </c>
      <c r="K247" s="3">
        <v>0.18</v>
      </c>
      <c r="L247" s="6">
        <f t="shared" si="15"/>
        <v>1.7167744606129776E-3</v>
      </c>
      <c r="P247" s="3">
        <f t="shared" si="16"/>
        <v>0.21043487275087863</v>
      </c>
      <c r="Q247" s="3">
        <f t="shared" si="17"/>
        <v>1.1690826263937701</v>
      </c>
      <c r="S247" s="3">
        <f t="shared" si="18"/>
        <v>0.22155824770581842</v>
      </c>
      <c r="T247" s="3">
        <f t="shared" si="19"/>
        <v>1.2308791539212134</v>
      </c>
      <c r="V247" s="3"/>
      <c r="W247" s="3"/>
    </row>
    <row r="248" spans="1:23" x14ac:dyDescent="0.3">
      <c r="B248" s="4">
        <v>20</v>
      </c>
      <c r="C248" s="5">
        <v>528</v>
      </c>
      <c r="D248" s="5">
        <v>3</v>
      </c>
      <c r="E248" s="4">
        <v>12</v>
      </c>
      <c r="F248" s="3">
        <v>2.98</v>
      </c>
      <c r="G248" s="4">
        <v>25</v>
      </c>
      <c r="H248" s="4">
        <v>35</v>
      </c>
      <c r="I248" s="2">
        <v>0.1326866695196976</v>
      </c>
      <c r="J248" s="3">
        <v>386.56904072754196</v>
      </c>
      <c r="K248" s="3">
        <v>0.2</v>
      </c>
      <c r="L248" s="6">
        <f t="shared" si="15"/>
        <v>1.9328452036377099E-3</v>
      </c>
      <c r="P248" s="3">
        <f t="shared" si="16"/>
        <v>0.23241339846658135</v>
      </c>
      <c r="Q248" s="3">
        <f t="shared" si="17"/>
        <v>1.1620669923329068</v>
      </c>
      <c r="S248" s="3">
        <f t="shared" si="18"/>
        <v>0.24516310467656016</v>
      </c>
      <c r="T248" s="3">
        <f t="shared" si="19"/>
        <v>1.2258155233828008</v>
      </c>
      <c r="V248" s="3"/>
      <c r="W248" s="3"/>
    </row>
    <row r="249" spans="1:23" x14ac:dyDescent="0.3">
      <c r="B249" s="4">
        <v>20</v>
      </c>
      <c r="C249" s="5">
        <v>528</v>
      </c>
      <c r="D249" s="5">
        <v>3</v>
      </c>
      <c r="E249" s="4">
        <v>12</v>
      </c>
      <c r="F249" s="3">
        <v>2.98</v>
      </c>
      <c r="G249" s="4">
        <v>25</v>
      </c>
      <c r="H249" s="4">
        <v>35</v>
      </c>
      <c r="I249" s="2">
        <v>0.1326866695196976</v>
      </c>
      <c r="J249" s="3">
        <v>425.85463036840224</v>
      </c>
      <c r="K249" s="3">
        <v>0.2</v>
      </c>
      <c r="L249" s="6">
        <f t="shared" si="15"/>
        <v>2.1292731518420113E-3</v>
      </c>
      <c r="P249" s="3">
        <f t="shared" si="16"/>
        <v>0.25204953936096075</v>
      </c>
      <c r="Q249" s="3">
        <f t="shared" si="17"/>
        <v>1.2602476968048038</v>
      </c>
      <c r="S249" s="3">
        <f t="shared" si="18"/>
        <v>0.26628849811779909</v>
      </c>
      <c r="T249" s="3">
        <f t="shared" si="19"/>
        <v>1.3314424905889954</v>
      </c>
      <c r="V249" s="3"/>
      <c r="W249" s="3"/>
    </row>
    <row r="250" spans="1:23" x14ac:dyDescent="0.3">
      <c r="B250" s="4">
        <v>20</v>
      </c>
      <c r="C250" s="5">
        <v>528</v>
      </c>
      <c r="D250" s="5">
        <v>3</v>
      </c>
      <c r="E250" s="4">
        <v>12</v>
      </c>
      <c r="F250" s="3">
        <v>2.98</v>
      </c>
      <c r="G250" s="4">
        <v>25</v>
      </c>
      <c r="H250" s="4">
        <v>35</v>
      </c>
      <c r="I250" s="2">
        <v>0.1326866695196976</v>
      </c>
      <c r="J250" s="3">
        <v>461.21166104517658</v>
      </c>
      <c r="K250" s="3">
        <v>0.2</v>
      </c>
      <c r="L250" s="6">
        <f t="shared" si="15"/>
        <v>2.3060583052258829E-3</v>
      </c>
      <c r="P250" s="3">
        <f t="shared" si="16"/>
        <v>0.26947179226720419</v>
      </c>
      <c r="Q250" s="3">
        <f t="shared" si="17"/>
        <v>1.3473589613360208</v>
      </c>
      <c r="S250" s="3">
        <f t="shared" si="18"/>
        <v>0.28505852494803874</v>
      </c>
      <c r="T250" s="3">
        <f t="shared" si="19"/>
        <v>1.4252926247401936</v>
      </c>
      <c r="V250" s="3"/>
      <c r="W250" s="3"/>
    </row>
    <row r="251" spans="1:23" x14ac:dyDescent="0.3">
      <c r="B251" s="4">
        <v>20</v>
      </c>
      <c r="C251" s="5">
        <v>528</v>
      </c>
      <c r="D251" s="5">
        <v>3</v>
      </c>
      <c r="E251" s="4">
        <v>12</v>
      </c>
      <c r="F251" s="3">
        <v>2.98</v>
      </c>
      <c r="G251" s="4">
        <v>25</v>
      </c>
      <c r="H251" s="4">
        <v>35</v>
      </c>
      <c r="I251" s="2">
        <v>0.1326866695196976</v>
      </c>
      <c r="J251" s="3">
        <v>502.05901185324399</v>
      </c>
      <c r="K251" s="3">
        <v>0.22</v>
      </c>
      <c r="L251" s="6">
        <f t="shared" si="15"/>
        <v>2.51029505926622E-3</v>
      </c>
      <c r="P251" s="3">
        <f t="shared" si="16"/>
        <v>0.28933260126002863</v>
      </c>
      <c r="Q251" s="3">
        <f t="shared" si="17"/>
        <v>1.3151481875455846</v>
      </c>
      <c r="S251" s="3">
        <f t="shared" si="18"/>
        <v>0.30648397103107694</v>
      </c>
      <c r="T251" s="3">
        <f t="shared" si="19"/>
        <v>1.3931089592321679</v>
      </c>
      <c r="V251" s="3"/>
      <c r="W251" s="3"/>
    </row>
    <row r="252" spans="1:23" x14ac:dyDescent="0.3">
      <c r="A252" s="1" t="s">
        <v>55</v>
      </c>
      <c r="B252" s="4">
        <v>28</v>
      </c>
      <c r="C252" s="5">
        <v>400</v>
      </c>
      <c r="D252" s="5">
        <v>4</v>
      </c>
      <c r="E252" s="4">
        <v>16</v>
      </c>
      <c r="F252" s="3">
        <v>5.3084743571011064</v>
      </c>
      <c r="G252" s="4">
        <v>30</v>
      </c>
      <c r="H252" s="4">
        <v>44</v>
      </c>
      <c r="I252" s="2">
        <v>0.22188311816029316</v>
      </c>
      <c r="J252" s="3">
        <v>118.00597011213085</v>
      </c>
      <c r="K252" s="3">
        <v>0.22</v>
      </c>
      <c r="L252" s="6">
        <f t="shared" si="15"/>
        <v>5.900298505606543E-4</v>
      </c>
      <c r="P252" s="3">
        <f t="shared" si="16"/>
        <v>9.6659340703956723E-2</v>
      </c>
      <c r="Q252" s="3">
        <f t="shared" si="17"/>
        <v>0.43936063956343963</v>
      </c>
      <c r="S252" s="3">
        <f t="shared" si="18"/>
        <v>0.11025116734288472</v>
      </c>
      <c r="T252" s="3">
        <f t="shared" si="19"/>
        <v>0.5011416697403851</v>
      </c>
      <c r="V252" s="3"/>
      <c r="W252" s="3"/>
    </row>
    <row r="253" spans="1:23" x14ac:dyDescent="0.3">
      <c r="B253" s="4">
        <v>28</v>
      </c>
      <c r="C253" s="5">
        <v>400</v>
      </c>
      <c r="D253" s="5">
        <v>4</v>
      </c>
      <c r="E253" s="4">
        <v>16</v>
      </c>
      <c r="F253" s="3">
        <v>5.3084743571011064</v>
      </c>
      <c r="G253" s="4">
        <v>30</v>
      </c>
      <c r="H253" s="4">
        <v>44</v>
      </c>
      <c r="I253" s="2">
        <v>0.22188311816029316</v>
      </c>
      <c r="J253" s="3">
        <v>169.89998557407694</v>
      </c>
      <c r="K253" s="3">
        <v>0.25</v>
      </c>
      <c r="L253" s="6">
        <f t="shared" si="15"/>
        <v>8.4949992787038467E-4</v>
      </c>
      <c r="P253" s="3">
        <f t="shared" si="16"/>
        <v>0.13118685308621933</v>
      </c>
      <c r="Q253" s="3">
        <f t="shared" si="17"/>
        <v>0.52474741234487732</v>
      </c>
      <c r="S253" s="3">
        <f t="shared" si="18"/>
        <v>0.15050894517054611</v>
      </c>
      <c r="T253" s="3">
        <f t="shared" si="19"/>
        <v>0.60203578068218444</v>
      </c>
      <c r="V253" s="3"/>
      <c r="W253" s="3"/>
    </row>
    <row r="254" spans="1:23" x14ac:dyDescent="0.3">
      <c r="B254" s="4">
        <v>28</v>
      </c>
      <c r="C254" s="5">
        <v>400</v>
      </c>
      <c r="D254" s="5">
        <v>4</v>
      </c>
      <c r="E254" s="4">
        <v>16</v>
      </c>
      <c r="F254" s="3">
        <v>5.3084743571011064</v>
      </c>
      <c r="G254" s="4">
        <v>30</v>
      </c>
      <c r="H254" s="4">
        <v>44</v>
      </c>
      <c r="I254" s="2">
        <v>0.22188311816029316</v>
      </c>
      <c r="J254" s="3">
        <v>202.20584357213144</v>
      </c>
      <c r="K254" s="3">
        <v>0.28999999999999998</v>
      </c>
      <c r="L254" s="6">
        <f t="shared" si="15"/>
        <v>1.0110292178606571E-3</v>
      </c>
      <c r="P254" s="3">
        <f t="shared" si="16"/>
        <v>0.1517900891876946</v>
      </c>
      <c r="Q254" s="3">
        <f t="shared" si="17"/>
        <v>0.52341410064722282</v>
      </c>
      <c r="S254" s="3">
        <f t="shared" si="18"/>
        <v>0.17463247921800942</v>
      </c>
      <c r="T254" s="3">
        <f t="shared" si="19"/>
        <v>0.6021809628207222</v>
      </c>
      <c r="V254" s="3"/>
      <c r="W254" s="3"/>
    </row>
    <row r="255" spans="1:23" x14ac:dyDescent="0.3">
      <c r="B255" s="4">
        <v>28</v>
      </c>
      <c r="C255" s="5">
        <v>400</v>
      </c>
      <c r="D255" s="5">
        <v>4</v>
      </c>
      <c r="E255" s="4">
        <v>16</v>
      </c>
      <c r="F255" s="3">
        <v>5.3084743571011064</v>
      </c>
      <c r="G255" s="4">
        <v>30</v>
      </c>
      <c r="H255" s="4">
        <v>44</v>
      </c>
      <c r="I255" s="2">
        <v>0.22188311816029316</v>
      </c>
      <c r="J255" s="3">
        <v>239.33347142064173</v>
      </c>
      <c r="K255" s="3">
        <v>0.31</v>
      </c>
      <c r="L255" s="6">
        <f t="shared" si="15"/>
        <v>1.1966673571032085E-3</v>
      </c>
      <c r="P255" s="3">
        <f t="shared" si="16"/>
        <v>0.17482082948417246</v>
      </c>
      <c r="Q255" s="3">
        <f t="shared" si="17"/>
        <v>0.56393815962636273</v>
      </c>
      <c r="S255" s="3">
        <f t="shared" si="18"/>
        <v>0.2016722463772686</v>
      </c>
      <c r="T255" s="3">
        <f t="shared" si="19"/>
        <v>0.65055563347506007</v>
      </c>
      <c r="V255" s="3"/>
      <c r="W255" s="3"/>
    </row>
    <row r="256" spans="1:23" x14ac:dyDescent="0.3">
      <c r="B256" s="4">
        <v>28</v>
      </c>
      <c r="C256" s="5">
        <v>400</v>
      </c>
      <c r="D256" s="5">
        <v>4</v>
      </c>
      <c r="E256" s="4">
        <v>16</v>
      </c>
      <c r="F256" s="3">
        <v>5.3084743571011064</v>
      </c>
      <c r="G256" s="4">
        <v>30</v>
      </c>
      <c r="H256" s="4">
        <v>44</v>
      </c>
      <c r="I256" s="2">
        <v>0.22188311816029316</v>
      </c>
      <c r="J256" s="3">
        <v>297.19470962611246</v>
      </c>
      <c r="K256" s="3">
        <v>0.33</v>
      </c>
      <c r="L256" s="6">
        <f t="shared" si="15"/>
        <v>1.4859735481305622E-3</v>
      </c>
      <c r="P256" s="3">
        <f t="shared" si="16"/>
        <v>0.20960262338152336</v>
      </c>
      <c r="Q256" s="3">
        <f t="shared" si="17"/>
        <v>0.63515946479249497</v>
      </c>
      <c r="S256" s="3">
        <f t="shared" si="18"/>
        <v>0.24263546234220779</v>
      </c>
      <c r="T256" s="3">
        <f t="shared" si="19"/>
        <v>0.73525897679456897</v>
      </c>
      <c r="V256" s="3"/>
      <c r="W256" s="3"/>
    </row>
    <row r="257" spans="1:23" x14ac:dyDescent="0.3">
      <c r="B257" s="4">
        <v>28</v>
      </c>
      <c r="C257" s="5">
        <v>400</v>
      </c>
      <c r="D257" s="5">
        <v>4</v>
      </c>
      <c r="E257" s="4">
        <v>16</v>
      </c>
      <c r="F257" s="3">
        <v>5.3084743571011064</v>
      </c>
      <c r="G257" s="4">
        <v>30</v>
      </c>
      <c r="H257" s="4">
        <v>44</v>
      </c>
      <c r="I257" s="2">
        <v>0.22188311816029316</v>
      </c>
      <c r="J257" s="3">
        <v>326.60750571389349</v>
      </c>
      <c r="K257" s="3">
        <v>0.34</v>
      </c>
      <c r="L257" s="6">
        <f t="shared" si="15"/>
        <v>1.6330375285694674E-3</v>
      </c>
      <c r="P257" s="3">
        <f t="shared" si="16"/>
        <v>0.22685179321482371</v>
      </c>
      <c r="Q257" s="3">
        <f t="shared" si="17"/>
        <v>0.66721115651418739</v>
      </c>
      <c r="S257" s="3">
        <f t="shared" si="18"/>
        <v>0.26299987340584935</v>
      </c>
      <c r="T257" s="3">
        <f t="shared" si="19"/>
        <v>0.77352903942896867</v>
      </c>
      <c r="V257" s="3"/>
      <c r="W257" s="3"/>
    </row>
    <row r="258" spans="1:23" x14ac:dyDescent="0.3">
      <c r="B258" s="4">
        <v>28</v>
      </c>
      <c r="C258" s="5">
        <v>400</v>
      </c>
      <c r="D258" s="5">
        <v>4</v>
      </c>
      <c r="E258" s="4">
        <v>16</v>
      </c>
      <c r="F258" s="3">
        <v>5.3084743571011064</v>
      </c>
      <c r="G258" s="4">
        <v>30</v>
      </c>
      <c r="H258" s="4">
        <v>44</v>
      </c>
      <c r="I258" s="2">
        <v>0.22188311816029316</v>
      </c>
      <c r="J258" s="3">
        <v>369.52125738295081</v>
      </c>
      <c r="K258" s="3">
        <v>0.37</v>
      </c>
      <c r="L258" s="6">
        <f t="shared" si="15"/>
        <v>1.847606286914754E-3</v>
      </c>
      <c r="P258" s="3">
        <f t="shared" si="16"/>
        <v>0.25157653636383071</v>
      </c>
      <c r="Q258" s="3">
        <f t="shared" si="17"/>
        <v>0.67993658476711005</v>
      </c>
      <c r="S258" s="3">
        <f t="shared" si="18"/>
        <v>0.29224108301853913</v>
      </c>
      <c r="T258" s="3">
        <f t="shared" si="19"/>
        <v>0.78984076491497057</v>
      </c>
      <c r="V258" s="3"/>
      <c r="W258" s="3"/>
    </row>
    <row r="259" spans="1:23" x14ac:dyDescent="0.3">
      <c r="A259" s="1" t="s">
        <v>56</v>
      </c>
      <c r="B259" s="4">
        <v>15.9</v>
      </c>
      <c r="C259" s="5">
        <v>392</v>
      </c>
      <c r="D259" s="5">
        <v>2</v>
      </c>
      <c r="E259" s="4">
        <v>46</v>
      </c>
      <c r="F259" s="3">
        <v>2.8258773978663156</v>
      </c>
      <c r="G259" s="4">
        <v>30</v>
      </c>
      <c r="H259" s="4">
        <v>38</v>
      </c>
      <c r="I259" s="2">
        <v>4.4148388230368388E-2</v>
      </c>
      <c r="J259" s="3">
        <v>341.98722674400653</v>
      </c>
      <c r="K259" s="3">
        <v>0.2</v>
      </c>
      <c r="L259" s="6">
        <f t="shared" si="15"/>
        <v>1.7099361337200327E-3</v>
      </c>
      <c r="P259" s="3">
        <f t="shared" si="16"/>
        <v>0.28050842070461185</v>
      </c>
      <c r="Q259" s="3">
        <f t="shared" si="17"/>
        <v>1.4025421035230592</v>
      </c>
      <c r="S259" s="3">
        <f t="shared" si="18"/>
        <v>0.27143631848323624</v>
      </c>
      <c r="T259" s="3">
        <f t="shared" si="19"/>
        <v>1.3571815924161812</v>
      </c>
      <c r="V259" s="3"/>
      <c r="W259" s="3"/>
    </row>
    <row r="260" spans="1:23" x14ac:dyDescent="0.3">
      <c r="B260" s="4">
        <v>15.9</v>
      </c>
      <c r="C260" s="5">
        <v>392</v>
      </c>
      <c r="D260" s="5">
        <v>2</v>
      </c>
      <c r="E260" s="4">
        <v>46</v>
      </c>
      <c r="F260" s="3">
        <v>2.8258773978663156</v>
      </c>
      <c r="G260" s="4">
        <v>30</v>
      </c>
      <c r="H260" s="4">
        <v>38</v>
      </c>
      <c r="I260" s="2">
        <v>4.4148388230368388E-2</v>
      </c>
      <c r="J260" s="3">
        <v>377.9345206360814</v>
      </c>
      <c r="K260" s="3">
        <v>0.35</v>
      </c>
      <c r="L260" s="6">
        <f t="shared" si="15"/>
        <v>1.8896726031804071E-3</v>
      </c>
      <c r="P260" s="3">
        <f t="shared" si="16"/>
        <v>0.30501464934592115</v>
      </c>
      <c r="Q260" s="3">
        <f t="shared" si="17"/>
        <v>0.87147042670263186</v>
      </c>
      <c r="S260" s="3">
        <f t="shared" si="18"/>
        <v>0.2956223454610889</v>
      </c>
      <c r="T260" s="3">
        <f t="shared" si="19"/>
        <v>0.84463527274596828</v>
      </c>
      <c r="V260" s="3"/>
      <c r="W260" s="3"/>
    </row>
    <row r="261" spans="1:23" x14ac:dyDescent="0.3">
      <c r="A261" s="1" t="s">
        <v>57</v>
      </c>
      <c r="B261" s="4">
        <v>15.9</v>
      </c>
      <c r="C261" s="5">
        <v>392</v>
      </c>
      <c r="D261" s="5">
        <v>2</v>
      </c>
      <c r="E261" s="4">
        <v>46</v>
      </c>
      <c r="F261" s="3">
        <v>2.8258773978663156</v>
      </c>
      <c r="G261" s="4">
        <v>30</v>
      </c>
      <c r="H261" s="4">
        <v>38</v>
      </c>
      <c r="I261" s="2">
        <v>4.4148388230368388E-2</v>
      </c>
      <c r="J261" s="3">
        <v>343.55345789327077</v>
      </c>
      <c r="K261" s="3">
        <v>0.2</v>
      </c>
      <c r="L261" s="6">
        <f t="shared" si="15"/>
        <v>1.7177672894663539E-3</v>
      </c>
      <c r="P261" s="3">
        <f t="shared" si="16"/>
        <v>0.28158457623339</v>
      </c>
      <c r="Q261" s="3">
        <f t="shared" si="17"/>
        <v>1.40792288116695</v>
      </c>
      <c r="S261" s="3">
        <f t="shared" si="18"/>
        <v>0.27249759079128238</v>
      </c>
      <c r="T261" s="3">
        <f t="shared" si="19"/>
        <v>1.3624879539564119</v>
      </c>
      <c r="V261" s="3"/>
      <c r="W261" s="3"/>
    </row>
    <row r="262" spans="1:23" x14ac:dyDescent="0.3">
      <c r="B262" s="4">
        <v>15.9</v>
      </c>
      <c r="C262" s="5">
        <v>392</v>
      </c>
      <c r="D262" s="5">
        <v>2</v>
      </c>
      <c r="E262" s="4">
        <v>46</v>
      </c>
      <c r="F262" s="3">
        <v>2.8258773978663156</v>
      </c>
      <c r="G262" s="4">
        <v>30</v>
      </c>
      <c r="H262" s="4">
        <v>38</v>
      </c>
      <c r="I262" s="2">
        <v>4.4148388230368388E-2</v>
      </c>
      <c r="J262" s="3">
        <v>377.9345206360814</v>
      </c>
      <c r="K262" s="3">
        <v>0.25</v>
      </c>
      <c r="L262" s="6">
        <f t="shared" si="15"/>
        <v>1.8896726031804071E-3</v>
      </c>
      <c r="P262" s="3">
        <f t="shared" si="16"/>
        <v>0.30501464934592115</v>
      </c>
      <c r="Q262" s="3">
        <f t="shared" si="17"/>
        <v>1.2200585973836846</v>
      </c>
      <c r="S262" s="3">
        <f t="shared" si="18"/>
        <v>0.2956223454610889</v>
      </c>
      <c r="T262" s="3">
        <f t="shared" si="19"/>
        <v>1.1824893818443556</v>
      </c>
      <c r="V262" s="3"/>
      <c r="W262" s="3"/>
    </row>
    <row r="263" spans="1:23" x14ac:dyDescent="0.3">
      <c r="A263" s="1" t="s">
        <v>58</v>
      </c>
      <c r="B263" s="4">
        <v>15.9</v>
      </c>
      <c r="C263" s="5">
        <v>392</v>
      </c>
      <c r="D263" s="5">
        <v>2</v>
      </c>
      <c r="E263" s="4">
        <v>46</v>
      </c>
      <c r="F263" s="3">
        <v>2.8258773978663156</v>
      </c>
      <c r="G263" s="4">
        <v>30</v>
      </c>
      <c r="H263" s="4">
        <v>38</v>
      </c>
      <c r="I263" s="2">
        <v>4.4148388230368388E-2</v>
      </c>
      <c r="J263" s="3">
        <v>343.55345789327077</v>
      </c>
      <c r="K263" s="3">
        <v>0.2</v>
      </c>
      <c r="L263" s="6">
        <f t="shared" si="15"/>
        <v>1.7177672894663539E-3</v>
      </c>
      <c r="P263" s="3">
        <f t="shared" si="16"/>
        <v>0.28158457623339</v>
      </c>
      <c r="Q263" s="3">
        <f t="shared" si="17"/>
        <v>1.40792288116695</v>
      </c>
      <c r="S263" s="3">
        <f t="shared" si="18"/>
        <v>0.27249759079128238</v>
      </c>
      <c r="T263" s="3">
        <f t="shared" si="19"/>
        <v>1.3624879539564119</v>
      </c>
      <c r="V263" s="3"/>
      <c r="W263" s="3"/>
    </row>
    <row r="264" spans="1:23" x14ac:dyDescent="0.3">
      <c r="B264" s="4">
        <v>15.9</v>
      </c>
      <c r="C264" s="5">
        <v>392</v>
      </c>
      <c r="D264" s="5">
        <v>2</v>
      </c>
      <c r="E264" s="4">
        <v>46</v>
      </c>
      <c r="F264" s="3">
        <v>2.8258773978663156</v>
      </c>
      <c r="G264" s="4">
        <v>30</v>
      </c>
      <c r="H264" s="4">
        <v>38</v>
      </c>
      <c r="I264" s="2">
        <v>4.4148388230368388E-2</v>
      </c>
      <c r="J264" s="3">
        <v>377.9345206360814</v>
      </c>
      <c r="K264" s="3">
        <v>0.25</v>
      </c>
      <c r="L264" s="6">
        <f t="shared" si="15"/>
        <v>1.8896726031804071E-3</v>
      </c>
      <c r="P264" s="3">
        <f t="shared" si="16"/>
        <v>0.30501464934592115</v>
      </c>
      <c r="Q264" s="3">
        <f t="shared" si="17"/>
        <v>1.2200585973836846</v>
      </c>
      <c r="S264" s="3">
        <f t="shared" si="18"/>
        <v>0.2956223454610889</v>
      </c>
      <c r="T264" s="3">
        <f t="shared" si="19"/>
        <v>1.1824893818443556</v>
      </c>
      <c r="V264" s="3"/>
      <c r="W264" s="3"/>
    </row>
    <row r="265" spans="1:23" x14ac:dyDescent="0.3">
      <c r="A265" s="1" t="s">
        <v>59</v>
      </c>
      <c r="B265" s="4">
        <v>15.9</v>
      </c>
      <c r="C265" s="5">
        <v>392</v>
      </c>
      <c r="D265" s="5">
        <v>2</v>
      </c>
      <c r="E265" s="4">
        <v>46</v>
      </c>
      <c r="F265" s="3">
        <v>2.8258773978663156</v>
      </c>
      <c r="G265" s="4">
        <v>30</v>
      </c>
      <c r="H265" s="4">
        <v>38</v>
      </c>
      <c r="I265" s="2">
        <v>4.4148388230368388E-2</v>
      </c>
      <c r="J265" s="3">
        <v>345.11968904253513</v>
      </c>
      <c r="K265" s="3">
        <v>0.2</v>
      </c>
      <c r="L265" s="6">
        <f t="shared" si="15"/>
        <v>1.7255984452126756E-3</v>
      </c>
      <c r="P265" s="3">
        <f t="shared" si="16"/>
        <v>0.2826599372640895</v>
      </c>
      <c r="Q265" s="3">
        <f t="shared" si="17"/>
        <v>1.4132996863204474</v>
      </c>
      <c r="S265" s="3">
        <f t="shared" si="18"/>
        <v>0.27355815694714036</v>
      </c>
      <c r="T265" s="3">
        <f t="shared" si="19"/>
        <v>1.3677907847357018</v>
      </c>
      <c r="V265" s="3"/>
      <c r="W265" s="3"/>
    </row>
    <row r="266" spans="1:23" x14ac:dyDescent="0.3">
      <c r="B266" s="4">
        <v>15.9</v>
      </c>
      <c r="C266" s="5">
        <v>392</v>
      </c>
      <c r="D266" s="5">
        <v>2</v>
      </c>
      <c r="E266" s="4">
        <v>46</v>
      </c>
      <c r="F266" s="3">
        <v>2.8258773978663156</v>
      </c>
      <c r="G266" s="4">
        <v>30</v>
      </c>
      <c r="H266" s="4">
        <v>38</v>
      </c>
      <c r="I266" s="2">
        <v>4.4148388230368388E-2</v>
      </c>
      <c r="J266" s="3">
        <v>377.9345206360814</v>
      </c>
      <c r="K266" s="3">
        <v>0.3</v>
      </c>
      <c r="L266" s="6">
        <f t="shared" si="15"/>
        <v>1.8896726031804071E-3</v>
      </c>
      <c r="P266" s="3">
        <f t="shared" si="16"/>
        <v>0.30501464934592115</v>
      </c>
      <c r="Q266" s="3">
        <f t="shared" si="17"/>
        <v>1.0167154978197372</v>
      </c>
      <c r="S266" s="3">
        <f t="shared" si="18"/>
        <v>0.2956223454610889</v>
      </c>
      <c r="T266" s="3">
        <f t="shared" si="19"/>
        <v>0.98540781820362966</v>
      </c>
      <c r="V266" s="3"/>
      <c r="W266" s="3"/>
    </row>
    <row r="267" spans="1:23" x14ac:dyDescent="0.3">
      <c r="A267" s="1" t="s">
        <v>60</v>
      </c>
      <c r="B267" s="4">
        <v>12.7</v>
      </c>
      <c r="C267" s="5">
        <v>392</v>
      </c>
      <c r="D267" s="5">
        <v>2</v>
      </c>
      <c r="E267" s="4">
        <v>52</v>
      </c>
      <c r="F267" s="3">
        <v>2.9208758709847928</v>
      </c>
      <c r="G267" s="4">
        <v>30</v>
      </c>
      <c r="H267" s="4">
        <v>36.5</v>
      </c>
      <c r="I267" s="2">
        <v>2.6406277928437891E-2</v>
      </c>
      <c r="J267" s="3">
        <v>274.08621769743974</v>
      </c>
      <c r="K267" s="3">
        <v>0.15</v>
      </c>
      <c r="L267" s="6">
        <f t="shared" si="15"/>
        <v>1.3704310884871988E-3</v>
      </c>
      <c r="P267" s="3">
        <f t="shared" si="16"/>
        <v>0.23458830810265544</v>
      </c>
      <c r="Q267" s="3">
        <f t="shared" si="17"/>
        <v>1.563922054017703</v>
      </c>
      <c r="S267" s="3">
        <f t="shared" si="18"/>
        <v>0.22550873420747761</v>
      </c>
      <c r="T267" s="3">
        <f t="shared" si="19"/>
        <v>1.5033915613831841</v>
      </c>
      <c r="V267" s="3"/>
      <c r="W267" s="3"/>
    </row>
    <row r="268" spans="1:23" x14ac:dyDescent="0.3">
      <c r="B268" s="4">
        <v>12.7</v>
      </c>
      <c r="C268" s="5">
        <v>392</v>
      </c>
      <c r="D268" s="5">
        <v>2</v>
      </c>
      <c r="E268" s="4">
        <v>52</v>
      </c>
      <c r="F268" s="3">
        <v>2.9208758709847928</v>
      </c>
      <c r="G268" s="4">
        <v>30</v>
      </c>
      <c r="H268" s="4">
        <v>36.5</v>
      </c>
      <c r="I268" s="2">
        <v>2.6406277928437891E-2</v>
      </c>
      <c r="J268" s="3">
        <v>369.76206594158054</v>
      </c>
      <c r="K268" s="3">
        <v>0.2</v>
      </c>
      <c r="L268" s="6">
        <f t="shared" ref="L268:L331" si="20">J268/200000</f>
        <v>1.8488103297079027E-3</v>
      </c>
      <c r="P268" s="3">
        <f t="shared" ref="P268:P331" si="21">$Q$2*($Q$3*$G268+$Q$4*$B268^$Q$5*$I268^$Q$6)*$L268^$Q$7</f>
        <v>0.30149202203537229</v>
      </c>
      <c r="Q268" s="3">
        <f t="shared" ref="Q268:Q331" si="22">P268/$K268</f>
        <v>1.5074601101768614</v>
      </c>
      <c r="S268" s="3">
        <f t="shared" ref="S268:S331" si="23">$T$2*$B268^$T$3*$L268^$T$4*($T$5*$I268^$T$6+$T$7)</f>
        <v>0.29121476544632796</v>
      </c>
      <c r="T268" s="3">
        <f t="shared" ref="T268:T331" si="24">S268/$K268</f>
        <v>1.4560738272316398</v>
      </c>
      <c r="V268" s="3"/>
      <c r="W268" s="3"/>
    </row>
    <row r="269" spans="1:23" x14ac:dyDescent="0.3">
      <c r="A269" s="1" t="s">
        <v>61</v>
      </c>
      <c r="B269" s="4">
        <v>12.7</v>
      </c>
      <c r="C269" s="5">
        <v>392</v>
      </c>
      <c r="D269" s="5">
        <v>2</v>
      </c>
      <c r="E269" s="4">
        <v>52</v>
      </c>
      <c r="F269" s="3">
        <v>2.9208758709847928</v>
      </c>
      <c r="G269" s="4">
        <v>30</v>
      </c>
      <c r="H269" s="4">
        <v>36.5</v>
      </c>
      <c r="I269" s="2">
        <v>2.6406277928437891E-2</v>
      </c>
      <c r="J269" s="3">
        <v>276.67249686035274</v>
      </c>
      <c r="K269" s="3">
        <v>0.15</v>
      </c>
      <c r="L269" s="6">
        <f t="shared" si="20"/>
        <v>1.3833624843017636E-3</v>
      </c>
      <c r="P269" s="3">
        <f t="shared" si="21"/>
        <v>0.23644187270593708</v>
      </c>
      <c r="Q269" s="3">
        <f t="shared" si="22"/>
        <v>1.576279151372914</v>
      </c>
      <c r="S269" s="3">
        <f t="shared" si="23"/>
        <v>0.22732471502684412</v>
      </c>
      <c r="T269" s="3">
        <f t="shared" si="24"/>
        <v>1.5154981001789609</v>
      </c>
      <c r="V269" s="3"/>
      <c r="W269" s="3"/>
    </row>
    <row r="270" spans="1:23" x14ac:dyDescent="0.3">
      <c r="B270" s="4">
        <v>12.7</v>
      </c>
      <c r="C270" s="5">
        <v>392</v>
      </c>
      <c r="D270" s="5">
        <v>2</v>
      </c>
      <c r="E270" s="4">
        <v>52</v>
      </c>
      <c r="F270" s="3">
        <v>2.9208758709847928</v>
      </c>
      <c r="G270" s="4">
        <v>30</v>
      </c>
      <c r="H270" s="4">
        <v>36.5</v>
      </c>
      <c r="I270" s="2">
        <v>2.6406277928437891E-2</v>
      </c>
      <c r="J270" s="3">
        <v>369.76206594158054</v>
      </c>
      <c r="K270" s="3">
        <v>0.2</v>
      </c>
      <c r="L270" s="6">
        <f t="shared" si="20"/>
        <v>1.8488103297079027E-3</v>
      </c>
      <c r="P270" s="3">
        <f t="shared" si="21"/>
        <v>0.30149202203537229</v>
      </c>
      <c r="Q270" s="3">
        <f t="shared" si="22"/>
        <v>1.5074601101768614</v>
      </c>
      <c r="S270" s="3">
        <f t="shared" si="23"/>
        <v>0.29121476544632796</v>
      </c>
      <c r="T270" s="3">
        <f t="shared" si="24"/>
        <v>1.4560738272316398</v>
      </c>
      <c r="V270" s="3"/>
      <c r="W270" s="3"/>
    </row>
    <row r="271" spans="1:23" x14ac:dyDescent="0.3">
      <c r="A271" s="1" t="s">
        <v>62</v>
      </c>
      <c r="B271" s="4">
        <v>15.9</v>
      </c>
      <c r="C271" s="5">
        <v>392</v>
      </c>
      <c r="D271" s="5">
        <v>2</v>
      </c>
      <c r="E271" s="4">
        <v>46</v>
      </c>
      <c r="F271" s="3">
        <v>2.9208758709847928</v>
      </c>
      <c r="G271" s="4">
        <v>30</v>
      </c>
      <c r="H271" s="4">
        <v>38</v>
      </c>
      <c r="I271" s="2">
        <v>4.4034980538332921E-2</v>
      </c>
      <c r="J271" s="3">
        <v>221.51343135637671</v>
      </c>
      <c r="K271" s="3">
        <v>0.15</v>
      </c>
      <c r="L271" s="6">
        <f t="shared" si="20"/>
        <v>1.1075671567818835E-3</v>
      </c>
      <c r="P271" s="3">
        <f t="shared" si="21"/>
        <v>0.1951813951926995</v>
      </c>
      <c r="Q271" s="3">
        <f t="shared" si="22"/>
        <v>1.3012093012846635</v>
      </c>
      <c r="S271" s="3">
        <f t="shared" si="23"/>
        <v>0.18755877534476875</v>
      </c>
      <c r="T271" s="3">
        <f t="shared" si="24"/>
        <v>1.2503918356317918</v>
      </c>
      <c r="V271" s="3"/>
      <c r="W271" s="3"/>
    </row>
    <row r="272" spans="1:23" x14ac:dyDescent="0.3">
      <c r="B272" s="4">
        <v>15.9</v>
      </c>
      <c r="C272" s="5">
        <v>392</v>
      </c>
      <c r="D272" s="5">
        <v>2</v>
      </c>
      <c r="E272" s="4">
        <v>46</v>
      </c>
      <c r="F272" s="3">
        <v>2.9208758709847928</v>
      </c>
      <c r="G272" s="4">
        <v>30</v>
      </c>
      <c r="H272" s="4">
        <v>38</v>
      </c>
      <c r="I272" s="2">
        <v>4.4034980538332921E-2</v>
      </c>
      <c r="J272" s="3">
        <v>345.72761805151771</v>
      </c>
      <c r="K272" s="3">
        <v>0.25</v>
      </c>
      <c r="L272" s="6">
        <f t="shared" si="20"/>
        <v>1.7286380902575885E-3</v>
      </c>
      <c r="P272" s="3">
        <f t="shared" si="21"/>
        <v>0.28343424287822272</v>
      </c>
      <c r="Q272" s="3">
        <f t="shared" si="22"/>
        <v>1.1337369715128909</v>
      </c>
      <c r="S272" s="3">
        <f t="shared" si="23"/>
        <v>0.27431189001121964</v>
      </c>
      <c r="T272" s="3">
        <f t="shared" si="24"/>
        <v>1.0972475600448786</v>
      </c>
      <c r="V272" s="3"/>
      <c r="W272" s="3"/>
    </row>
    <row r="273" spans="1:23" x14ac:dyDescent="0.3">
      <c r="B273" s="4">
        <v>15.9</v>
      </c>
      <c r="C273" s="5">
        <v>392</v>
      </c>
      <c r="D273" s="5">
        <v>2</v>
      </c>
      <c r="E273" s="4">
        <v>46</v>
      </c>
      <c r="F273" s="3">
        <v>2.9208758709847928</v>
      </c>
      <c r="G273" s="4">
        <v>30</v>
      </c>
      <c r="H273" s="4">
        <v>38</v>
      </c>
      <c r="I273" s="2">
        <v>4.4034980538332921E-2</v>
      </c>
      <c r="J273" s="3">
        <v>377.4763885195905</v>
      </c>
      <c r="K273" s="3">
        <v>0.3</v>
      </c>
      <c r="L273" s="6">
        <f t="shared" si="20"/>
        <v>1.8873819425979524E-3</v>
      </c>
      <c r="P273" s="3">
        <f t="shared" si="21"/>
        <v>0.30508918242070621</v>
      </c>
      <c r="Q273" s="3">
        <f t="shared" si="22"/>
        <v>1.0169639414023541</v>
      </c>
      <c r="S273" s="3">
        <f t="shared" si="23"/>
        <v>0.29568521890648714</v>
      </c>
      <c r="T273" s="3">
        <f t="shared" si="24"/>
        <v>0.98561739635495715</v>
      </c>
      <c r="V273" s="3"/>
      <c r="W273" s="3"/>
    </row>
    <row r="274" spans="1:23" x14ac:dyDescent="0.3">
      <c r="A274" s="1" t="s">
        <v>63</v>
      </c>
      <c r="B274" s="4">
        <v>15.9</v>
      </c>
      <c r="C274" s="5">
        <v>392</v>
      </c>
      <c r="D274" s="5">
        <v>2</v>
      </c>
      <c r="E274" s="4">
        <v>46</v>
      </c>
      <c r="F274" s="3">
        <v>2.9208758709847928</v>
      </c>
      <c r="G274" s="4">
        <v>30</v>
      </c>
      <c r="H274" s="4">
        <v>38</v>
      </c>
      <c r="I274" s="2">
        <v>4.4034980538332921E-2</v>
      </c>
      <c r="J274" s="3">
        <v>223.08576283353048</v>
      </c>
      <c r="K274" s="3">
        <v>0.15</v>
      </c>
      <c r="L274" s="6">
        <f t="shared" si="20"/>
        <v>1.1154288141676525E-3</v>
      </c>
      <c r="P274" s="3">
        <f t="shared" si="21"/>
        <v>0.19634171417296281</v>
      </c>
      <c r="Q274" s="3">
        <f t="shared" si="22"/>
        <v>1.3089447611530856</v>
      </c>
      <c r="S274" s="3">
        <f t="shared" si="23"/>
        <v>0.18869513241282135</v>
      </c>
      <c r="T274" s="3">
        <f t="shared" si="24"/>
        <v>1.257967549418809</v>
      </c>
      <c r="V274" s="3"/>
      <c r="W274" s="3"/>
    </row>
    <row r="275" spans="1:23" x14ac:dyDescent="0.3">
      <c r="B275" s="4">
        <v>15.9</v>
      </c>
      <c r="C275" s="5">
        <v>392</v>
      </c>
      <c r="D275" s="5">
        <v>2</v>
      </c>
      <c r="E275" s="4">
        <v>46</v>
      </c>
      <c r="F275" s="3">
        <v>2.9208758709847928</v>
      </c>
      <c r="G275" s="4">
        <v>30</v>
      </c>
      <c r="H275" s="4">
        <v>38</v>
      </c>
      <c r="I275" s="2">
        <v>4.4034980538332921E-2</v>
      </c>
      <c r="J275" s="3">
        <v>347.29994952867145</v>
      </c>
      <c r="K275" s="3">
        <v>0.25</v>
      </c>
      <c r="L275" s="6">
        <f t="shared" si="20"/>
        <v>1.7364997476433572E-3</v>
      </c>
      <c r="P275" s="3">
        <f t="shared" si="21"/>
        <v>0.28451405112050132</v>
      </c>
      <c r="Q275" s="3">
        <f t="shared" si="22"/>
        <v>1.1380562044820053</v>
      </c>
      <c r="S275" s="3">
        <f t="shared" si="23"/>
        <v>0.27537693653669798</v>
      </c>
      <c r="T275" s="3">
        <f t="shared" si="24"/>
        <v>1.1015077461467919</v>
      </c>
      <c r="V275" s="3"/>
      <c r="W275" s="3"/>
    </row>
    <row r="276" spans="1:23" x14ac:dyDescent="0.3">
      <c r="A276" s="1" t="s">
        <v>64</v>
      </c>
      <c r="B276" s="4">
        <v>19.100000000000001</v>
      </c>
      <c r="C276" s="5">
        <v>392</v>
      </c>
      <c r="D276" s="5">
        <v>2</v>
      </c>
      <c r="E276" s="4">
        <v>40</v>
      </c>
      <c r="F276" s="3">
        <v>2.9208758709847928</v>
      </c>
      <c r="G276" s="4">
        <v>30</v>
      </c>
      <c r="H276" s="4">
        <v>39.5</v>
      </c>
      <c r="I276" s="2">
        <v>6.7418833961836511E-2</v>
      </c>
      <c r="J276" s="3">
        <v>149.77490172315581</v>
      </c>
      <c r="K276" s="3">
        <v>0.15</v>
      </c>
      <c r="L276" s="6">
        <f t="shared" si="20"/>
        <v>7.4887450861577901E-4</v>
      </c>
      <c r="P276" s="3">
        <f t="shared" si="21"/>
        <v>0.1393929129565232</v>
      </c>
      <c r="Q276" s="3">
        <f t="shared" si="22"/>
        <v>0.92928608637682142</v>
      </c>
      <c r="S276" s="3">
        <f t="shared" si="23"/>
        <v>0.13601293537066475</v>
      </c>
      <c r="T276" s="3">
        <f t="shared" si="24"/>
        <v>0.90675290247109841</v>
      </c>
      <c r="V276" s="3"/>
      <c r="W276" s="3"/>
    </row>
    <row r="277" spans="1:23" x14ac:dyDescent="0.3">
      <c r="B277" s="4">
        <v>19.100000000000001</v>
      </c>
      <c r="C277" s="5">
        <v>392</v>
      </c>
      <c r="D277" s="5">
        <v>2</v>
      </c>
      <c r="E277" s="4">
        <v>40</v>
      </c>
      <c r="F277" s="3">
        <v>2.9208758709847928</v>
      </c>
      <c r="G277" s="4">
        <v>30</v>
      </c>
      <c r="H277" s="4">
        <v>39.5</v>
      </c>
      <c r="I277" s="2">
        <v>6.7418833961836511E-2</v>
      </c>
      <c r="J277" s="3">
        <v>233.11147365998266</v>
      </c>
      <c r="K277" s="3">
        <v>0.2</v>
      </c>
      <c r="L277" s="6">
        <f t="shared" si="20"/>
        <v>1.1655573682999134E-3</v>
      </c>
      <c r="P277" s="3">
        <f t="shared" si="21"/>
        <v>0.20194872431691693</v>
      </c>
      <c r="Q277" s="3">
        <f t="shared" si="22"/>
        <v>1.0097436215845845</v>
      </c>
      <c r="S277" s="3">
        <f t="shared" si="23"/>
        <v>0.19845161039595458</v>
      </c>
      <c r="T277" s="3">
        <f t="shared" si="24"/>
        <v>0.99225805197977279</v>
      </c>
      <c r="V277" s="3"/>
      <c r="W277" s="3"/>
    </row>
    <row r="278" spans="1:23" x14ac:dyDescent="0.3">
      <c r="B278" s="4">
        <v>19.100000000000001</v>
      </c>
      <c r="C278" s="5">
        <v>392</v>
      </c>
      <c r="D278" s="5">
        <v>2</v>
      </c>
      <c r="E278" s="4">
        <v>40</v>
      </c>
      <c r="F278" s="3">
        <v>2.9208758709847928</v>
      </c>
      <c r="G278" s="4">
        <v>30</v>
      </c>
      <c r="H278" s="4">
        <v>39.5</v>
      </c>
      <c r="I278" s="2">
        <v>6.7418833961836511E-2</v>
      </c>
      <c r="J278" s="3">
        <v>317.91329183951808</v>
      </c>
      <c r="K278" s="3">
        <v>0.3</v>
      </c>
      <c r="L278" s="6">
        <f t="shared" si="20"/>
        <v>1.5895664591975905E-3</v>
      </c>
      <c r="P278" s="3">
        <f t="shared" si="21"/>
        <v>0.26191324082702194</v>
      </c>
      <c r="Q278" s="3">
        <f t="shared" si="22"/>
        <v>0.87304413609007314</v>
      </c>
      <c r="S278" s="3">
        <f t="shared" si="23"/>
        <v>0.25865857958302074</v>
      </c>
      <c r="T278" s="3">
        <f t="shared" si="24"/>
        <v>0.86219526527673584</v>
      </c>
      <c r="V278" s="3"/>
      <c r="W278" s="3"/>
    </row>
    <row r="279" spans="1:23" x14ac:dyDescent="0.3">
      <c r="B279" s="4">
        <v>19.100000000000001</v>
      </c>
      <c r="C279" s="5">
        <v>392</v>
      </c>
      <c r="D279" s="5">
        <v>2</v>
      </c>
      <c r="E279" s="4">
        <v>40</v>
      </c>
      <c r="F279" s="3">
        <v>2.9208758709847928</v>
      </c>
      <c r="G279" s="4">
        <v>30</v>
      </c>
      <c r="H279" s="4">
        <v>39.5</v>
      </c>
      <c r="I279" s="2">
        <v>6.7418833961836511E-2</v>
      </c>
      <c r="J279" s="3">
        <v>381.48431251174526</v>
      </c>
      <c r="K279" s="3">
        <v>0.33</v>
      </c>
      <c r="L279" s="6">
        <f t="shared" si="20"/>
        <v>1.9074215625587262E-3</v>
      </c>
      <c r="P279" s="3">
        <f t="shared" si="21"/>
        <v>0.30514076895775138</v>
      </c>
      <c r="Q279" s="3">
        <f t="shared" si="22"/>
        <v>0.92466899684167081</v>
      </c>
      <c r="S279" s="3">
        <f t="shared" si="23"/>
        <v>0.30222915589805566</v>
      </c>
      <c r="T279" s="3">
        <f t="shared" si="24"/>
        <v>0.91584592696380496</v>
      </c>
      <c r="V279" s="3"/>
      <c r="W279" s="3"/>
    </row>
    <row r="280" spans="1:23" x14ac:dyDescent="0.3">
      <c r="A280" s="1" t="s">
        <v>65</v>
      </c>
      <c r="B280" s="4">
        <v>19.100000000000001</v>
      </c>
      <c r="C280" s="5">
        <v>392</v>
      </c>
      <c r="D280" s="5">
        <v>2</v>
      </c>
      <c r="E280" s="4">
        <v>40</v>
      </c>
      <c r="F280" s="3">
        <v>2.9208758709847928</v>
      </c>
      <c r="G280" s="4">
        <v>30</v>
      </c>
      <c r="H280" s="4">
        <v>39.5</v>
      </c>
      <c r="I280" s="2">
        <v>6.7418833961836511E-2</v>
      </c>
      <c r="J280" s="3">
        <v>148.82553248944319</v>
      </c>
      <c r="K280" s="3">
        <v>0.15</v>
      </c>
      <c r="L280" s="6">
        <f t="shared" si="20"/>
        <v>7.4412766244721592E-4</v>
      </c>
      <c r="P280" s="3">
        <f t="shared" si="21"/>
        <v>0.13865210729258096</v>
      </c>
      <c r="Q280" s="3">
        <f t="shared" si="22"/>
        <v>0.92434738195053978</v>
      </c>
      <c r="S280" s="3">
        <f t="shared" si="23"/>
        <v>0.13527632879263374</v>
      </c>
      <c r="T280" s="3">
        <f t="shared" si="24"/>
        <v>0.90184219195089166</v>
      </c>
      <c r="V280" s="3"/>
      <c r="W280" s="3"/>
    </row>
    <row r="281" spans="1:23" x14ac:dyDescent="0.3">
      <c r="B281" s="4">
        <v>19.100000000000001</v>
      </c>
      <c r="C281" s="5">
        <v>392</v>
      </c>
      <c r="D281" s="5">
        <v>2</v>
      </c>
      <c r="E281" s="4">
        <v>40</v>
      </c>
      <c r="F281" s="3">
        <v>2.9208758709847928</v>
      </c>
      <c r="G281" s="4">
        <v>30</v>
      </c>
      <c r="H281" s="4">
        <v>39.5</v>
      </c>
      <c r="I281" s="2">
        <v>6.7418833961836511E-2</v>
      </c>
      <c r="J281" s="3">
        <v>230.96459218708304</v>
      </c>
      <c r="K281" s="3">
        <v>0.25</v>
      </c>
      <c r="L281" s="6">
        <f t="shared" si="20"/>
        <v>1.1548229609354152E-3</v>
      </c>
      <c r="P281" s="3">
        <f t="shared" si="21"/>
        <v>0.20038897584951865</v>
      </c>
      <c r="Q281" s="3">
        <f t="shared" si="22"/>
        <v>0.80155590339807459</v>
      </c>
      <c r="S281" s="3">
        <f t="shared" si="23"/>
        <v>0.1968897226091591</v>
      </c>
      <c r="T281" s="3">
        <f t="shared" si="24"/>
        <v>0.78755889043663641</v>
      </c>
      <c r="V281" s="3"/>
      <c r="W281" s="3"/>
    </row>
    <row r="282" spans="1:23" x14ac:dyDescent="0.3">
      <c r="B282" s="4">
        <v>19.100000000000001</v>
      </c>
      <c r="C282" s="5">
        <v>392</v>
      </c>
      <c r="D282" s="5">
        <v>2</v>
      </c>
      <c r="E282" s="4">
        <v>40</v>
      </c>
      <c r="F282" s="3">
        <v>2.9208758709847928</v>
      </c>
      <c r="G282" s="4">
        <v>30</v>
      </c>
      <c r="H282" s="4">
        <v>39.5</v>
      </c>
      <c r="I282" s="2">
        <v>6.7418833961836511E-2</v>
      </c>
      <c r="J282" s="3">
        <v>314.6929696301687</v>
      </c>
      <c r="K282" s="3">
        <v>0.28000000000000003</v>
      </c>
      <c r="L282" s="6">
        <f t="shared" si="20"/>
        <v>1.5734648481508435E-3</v>
      </c>
      <c r="P282" s="3">
        <f t="shared" si="21"/>
        <v>0.25968813992896211</v>
      </c>
      <c r="Q282" s="3">
        <f t="shared" si="22"/>
        <v>0.92745764260343599</v>
      </c>
      <c r="S282" s="3">
        <f t="shared" si="23"/>
        <v>0.25641935490059337</v>
      </c>
      <c r="T282" s="3">
        <f t="shared" si="24"/>
        <v>0.91578341035926192</v>
      </c>
      <c r="V282" s="3"/>
      <c r="W282" s="3"/>
    </row>
    <row r="283" spans="1:23" x14ac:dyDescent="0.3">
      <c r="A283" s="1" t="s">
        <v>66</v>
      </c>
      <c r="B283" s="4">
        <v>15.9</v>
      </c>
      <c r="C283" s="5">
        <v>392</v>
      </c>
      <c r="D283" s="5">
        <v>2</v>
      </c>
      <c r="E283" s="4">
        <v>46</v>
      </c>
      <c r="F283" s="3">
        <v>3.3538794827423906</v>
      </c>
      <c r="G283" s="4">
        <v>30</v>
      </c>
      <c r="H283" s="4">
        <v>38</v>
      </c>
      <c r="I283" s="2">
        <v>4.3572731080932514E-2</v>
      </c>
      <c r="J283" s="3">
        <v>343.07945374925021</v>
      </c>
      <c r="K283" s="3">
        <v>0.2</v>
      </c>
      <c r="L283" s="6">
        <f t="shared" si="20"/>
        <v>1.715397268746251E-3</v>
      </c>
      <c r="P283" s="3">
        <f t="shared" si="21"/>
        <v>0.28307432332140714</v>
      </c>
      <c r="Q283" s="3">
        <f t="shared" si="22"/>
        <v>1.4153716166070356</v>
      </c>
      <c r="S283" s="3">
        <f t="shared" si="23"/>
        <v>0.27391786987398536</v>
      </c>
      <c r="T283" s="3">
        <f t="shared" si="24"/>
        <v>1.3695893493699267</v>
      </c>
      <c r="V283" s="3"/>
      <c r="W283" s="3"/>
    </row>
    <row r="284" spans="1:23" x14ac:dyDescent="0.3">
      <c r="B284" s="4">
        <v>15.9</v>
      </c>
      <c r="C284" s="5">
        <v>392</v>
      </c>
      <c r="D284" s="5">
        <v>2</v>
      </c>
      <c r="E284" s="4">
        <v>46</v>
      </c>
      <c r="F284" s="3">
        <v>3.3538794827423906</v>
      </c>
      <c r="G284" s="4">
        <v>30</v>
      </c>
      <c r="H284" s="4">
        <v>38</v>
      </c>
      <c r="I284" s="2">
        <v>4.3572731080932514E-2</v>
      </c>
      <c r="J284" s="3">
        <v>375.38872626125499</v>
      </c>
      <c r="K284" s="3">
        <v>0.22</v>
      </c>
      <c r="L284" s="6">
        <f t="shared" si="20"/>
        <v>1.8769436313062749E-3</v>
      </c>
      <c r="P284" s="3">
        <f t="shared" si="21"/>
        <v>0.30524951179524673</v>
      </c>
      <c r="Q284" s="3">
        <f t="shared" si="22"/>
        <v>1.3874977808874851</v>
      </c>
      <c r="S284" s="3">
        <f t="shared" si="23"/>
        <v>0.29580141704464069</v>
      </c>
      <c r="T284" s="3">
        <f t="shared" si="24"/>
        <v>1.3445518956574576</v>
      </c>
      <c r="V284" s="3"/>
      <c r="W284" s="3"/>
    </row>
    <row r="285" spans="1:23" x14ac:dyDescent="0.3">
      <c r="A285" s="1" t="s">
        <v>67</v>
      </c>
      <c r="B285" s="4">
        <v>15.9</v>
      </c>
      <c r="C285" s="5">
        <v>392</v>
      </c>
      <c r="D285" s="5">
        <v>2</v>
      </c>
      <c r="E285" s="4">
        <v>46</v>
      </c>
      <c r="F285" s="3">
        <v>3.3538794827423906</v>
      </c>
      <c r="G285" s="4">
        <v>30</v>
      </c>
      <c r="H285" s="4">
        <v>38</v>
      </c>
      <c r="I285" s="2">
        <v>4.3572731080932514E-2</v>
      </c>
      <c r="J285" s="3">
        <v>343.07945374925021</v>
      </c>
      <c r="K285" s="3">
        <v>0.17</v>
      </c>
      <c r="L285" s="6">
        <f t="shared" si="20"/>
        <v>1.715397268746251E-3</v>
      </c>
      <c r="P285" s="3">
        <f t="shared" si="21"/>
        <v>0.28307432332140714</v>
      </c>
      <c r="Q285" s="3">
        <f t="shared" si="22"/>
        <v>1.6651430783612184</v>
      </c>
      <c r="S285" s="3">
        <f t="shared" si="23"/>
        <v>0.27391786987398536</v>
      </c>
      <c r="T285" s="3">
        <f t="shared" si="24"/>
        <v>1.6112815874940314</v>
      </c>
      <c r="V285" s="3"/>
      <c r="W285" s="3"/>
    </row>
    <row r="286" spans="1:23" x14ac:dyDescent="0.3">
      <c r="B286" s="4">
        <v>15.9</v>
      </c>
      <c r="C286" s="5">
        <v>392</v>
      </c>
      <c r="D286" s="5">
        <v>2</v>
      </c>
      <c r="E286" s="4">
        <v>46</v>
      </c>
      <c r="F286" s="3">
        <v>3.3538794827423906</v>
      </c>
      <c r="G286" s="4">
        <v>30</v>
      </c>
      <c r="H286" s="4">
        <v>38</v>
      </c>
      <c r="I286" s="2">
        <v>4.3572731080932514E-2</v>
      </c>
      <c r="J286" s="3">
        <v>375.38872626125499</v>
      </c>
      <c r="K286" s="3">
        <v>0.21</v>
      </c>
      <c r="L286" s="6">
        <f t="shared" si="20"/>
        <v>1.8769436313062749E-3</v>
      </c>
      <c r="P286" s="3">
        <f t="shared" si="21"/>
        <v>0.30524951179524673</v>
      </c>
      <c r="Q286" s="3">
        <f t="shared" si="22"/>
        <v>1.4535691037868892</v>
      </c>
      <c r="S286" s="3">
        <f t="shared" si="23"/>
        <v>0.29580141704464069</v>
      </c>
      <c r="T286" s="3">
        <f t="shared" si="24"/>
        <v>1.4085781764030509</v>
      </c>
      <c r="V286" s="3"/>
      <c r="W286" s="3"/>
    </row>
    <row r="287" spans="1:23" x14ac:dyDescent="0.3">
      <c r="A287" s="1" t="s">
        <v>68</v>
      </c>
      <c r="B287" s="4">
        <v>19.100000000000001</v>
      </c>
      <c r="C287" s="5">
        <v>392</v>
      </c>
      <c r="D287" s="5">
        <v>2</v>
      </c>
      <c r="E287" s="4">
        <v>40</v>
      </c>
      <c r="F287" s="3">
        <v>3.3538794827423906</v>
      </c>
      <c r="G287" s="4">
        <v>30</v>
      </c>
      <c r="H287" s="4">
        <v>39.5</v>
      </c>
      <c r="I287" s="2">
        <v>6.6596536025101183E-2</v>
      </c>
      <c r="J287" s="3">
        <v>183.67228765737121</v>
      </c>
      <c r="K287" s="3">
        <v>0.17</v>
      </c>
      <c r="L287" s="6">
        <f t="shared" si="20"/>
        <v>9.1836143828685605E-4</v>
      </c>
      <c r="P287" s="3">
        <f t="shared" si="21"/>
        <v>0.16638096389483359</v>
      </c>
      <c r="Q287" s="3">
        <f t="shared" si="22"/>
        <v>0.97871155232255047</v>
      </c>
      <c r="S287" s="3">
        <f t="shared" si="23"/>
        <v>0.16278195861738654</v>
      </c>
      <c r="T287" s="3">
        <f t="shared" si="24"/>
        <v>0.95754093304345012</v>
      </c>
      <c r="V287" s="3"/>
      <c r="W287" s="3"/>
    </row>
    <row r="288" spans="1:23" x14ac:dyDescent="0.3">
      <c r="B288" s="4">
        <v>19.100000000000001</v>
      </c>
      <c r="C288" s="5">
        <v>392</v>
      </c>
      <c r="D288" s="5">
        <v>2</v>
      </c>
      <c r="E288" s="4">
        <v>40</v>
      </c>
      <c r="F288" s="3">
        <v>3.3538794827423906</v>
      </c>
      <c r="G288" s="4">
        <v>30</v>
      </c>
      <c r="H288" s="4">
        <v>39.5</v>
      </c>
      <c r="I288" s="2">
        <v>6.6596536025101183E-2</v>
      </c>
      <c r="J288" s="3">
        <v>227.11440414404257</v>
      </c>
      <c r="K288" s="3">
        <v>0.18</v>
      </c>
      <c r="L288" s="6">
        <f t="shared" si="20"/>
        <v>1.1355720207202129E-3</v>
      </c>
      <c r="P288" s="3">
        <f t="shared" si="21"/>
        <v>0.19877790575956925</v>
      </c>
      <c r="Q288" s="3">
        <f t="shared" si="22"/>
        <v>1.1043216986642737</v>
      </c>
      <c r="S288" s="3">
        <f t="shared" si="23"/>
        <v>0.19513984745424648</v>
      </c>
      <c r="T288" s="3">
        <f t="shared" si="24"/>
        <v>1.0841102636347026</v>
      </c>
      <c r="V288" s="3"/>
      <c r="W288" s="3"/>
    </row>
    <row r="289" spans="1:23" x14ac:dyDescent="0.3">
      <c r="B289" s="4">
        <v>19.100000000000001</v>
      </c>
      <c r="C289" s="5">
        <v>392</v>
      </c>
      <c r="D289" s="5">
        <v>2</v>
      </c>
      <c r="E289" s="4">
        <v>40</v>
      </c>
      <c r="F289" s="3">
        <v>3.3538794827423906</v>
      </c>
      <c r="G289" s="4">
        <v>30</v>
      </c>
      <c r="H289" s="4">
        <v>39.5</v>
      </c>
      <c r="I289" s="2">
        <v>6.6596536025101183E-2</v>
      </c>
      <c r="J289" s="3">
        <v>269.47046771854718</v>
      </c>
      <c r="K289" s="3">
        <v>0.2</v>
      </c>
      <c r="L289" s="6">
        <f t="shared" si="20"/>
        <v>1.3473523385927359E-3</v>
      </c>
      <c r="P289" s="3">
        <f t="shared" si="21"/>
        <v>0.22940529366576384</v>
      </c>
      <c r="Q289" s="3">
        <f t="shared" si="22"/>
        <v>1.1470264683288192</v>
      </c>
      <c r="S289" s="3">
        <f t="shared" si="23"/>
        <v>0.22582371603806262</v>
      </c>
      <c r="T289" s="3">
        <f t="shared" si="24"/>
        <v>1.129118580190313</v>
      </c>
      <c r="V289" s="3"/>
      <c r="W289" s="3"/>
    </row>
    <row r="290" spans="1:23" x14ac:dyDescent="0.3">
      <c r="B290" s="4">
        <v>19.100000000000001</v>
      </c>
      <c r="C290" s="5">
        <v>392</v>
      </c>
      <c r="D290" s="5">
        <v>2</v>
      </c>
      <c r="E290" s="4">
        <v>40</v>
      </c>
      <c r="F290" s="3">
        <v>3.3538794827423906</v>
      </c>
      <c r="G290" s="4">
        <v>30</v>
      </c>
      <c r="H290" s="4">
        <v>39.5</v>
      </c>
      <c r="I290" s="2">
        <v>6.6596536025101183E-2</v>
      </c>
      <c r="J290" s="3">
        <v>312.91258420521842</v>
      </c>
      <c r="K290" s="3">
        <v>0.2</v>
      </c>
      <c r="L290" s="6">
        <f t="shared" si="20"/>
        <v>1.564562921026092E-3</v>
      </c>
      <c r="P290" s="3">
        <f t="shared" si="21"/>
        <v>0.26001569777329314</v>
      </c>
      <c r="Q290" s="3">
        <f t="shared" si="22"/>
        <v>1.3000784888664656</v>
      </c>
      <c r="S290" s="3">
        <f t="shared" si="23"/>
        <v>0.25656905357386206</v>
      </c>
      <c r="T290" s="3">
        <f t="shared" si="24"/>
        <v>1.2828452678693103</v>
      </c>
      <c r="V290" s="3"/>
      <c r="W290" s="3"/>
    </row>
    <row r="291" spans="1:23" x14ac:dyDescent="0.3">
      <c r="B291" s="4">
        <v>19.100000000000001</v>
      </c>
      <c r="C291" s="5">
        <v>392</v>
      </c>
      <c r="D291" s="5">
        <v>2</v>
      </c>
      <c r="E291" s="4">
        <v>40</v>
      </c>
      <c r="F291" s="3">
        <v>3.3538794827423906</v>
      </c>
      <c r="G291" s="4">
        <v>30</v>
      </c>
      <c r="H291" s="4">
        <v>39.5</v>
      </c>
      <c r="I291" s="2">
        <v>6.6596536025101183E-2</v>
      </c>
      <c r="J291" s="3">
        <v>354.18259486755625</v>
      </c>
      <c r="K291" s="3">
        <v>0.25</v>
      </c>
      <c r="L291" s="6">
        <f t="shared" si="20"/>
        <v>1.7709129743377812E-3</v>
      </c>
      <c r="P291" s="3">
        <f t="shared" si="21"/>
        <v>0.28846124671259366</v>
      </c>
      <c r="Q291" s="3">
        <f t="shared" si="22"/>
        <v>1.1538449868503746</v>
      </c>
      <c r="S291" s="3">
        <f t="shared" si="23"/>
        <v>0.28520231551571373</v>
      </c>
      <c r="T291" s="3">
        <f t="shared" si="24"/>
        <v>1.1408092620628549</v>
      </c>
      <c r="V291" s="3"/>
      <c r="W291" s="3"/>
    </row>
    <row r="292" spans="1:23" x14ac:dyDescent="0.3">
      <c r="B292" s="4">
        <v>19.100000000000001</v>
      </c>
      <c r="C292" s="5">
        <v>392</v>
      </c>
      <c r="D292" s="5">
        <v>2</v>
      </c>
      <c r="E292" s="4">
        <v>40</v>
      </c>
      <c r="F292" s="3">
        <v>3.3538794827423906</v>
      </c>
      <c r="G292" s="4">
        <v>30</v>
      </c>
      <c r="H292" s="4">
        <v>39.5</v>
      </c>
      <c r="I292" s="2">
        <v>6.6596536025101183E-2</v>
      </c>
      <c r="J292" s="3">
        <v>380.02455591704472</v>
      </c>
      <c r="K292" s="3">
        <v>0.27</v>
      </c>
      <c r="L292" s="6">
        <f t="shared" si="20"/>
        <v>1.9001227795852236E-3</v>
      </c>
      <c r="P292" s="3">
        <f t="shared" si="21"/>
        <v>0.30599705088654516</v>
      </c>
      <c r="Q292" s="3">
        <f t="shared" si="22"/>
        <v>1.1333224106909079</v>
      </c>
      <c r="S292" s="3">
        <f t="shared" si="23"/>
        <v>0.30288109240686556</v>
      </c>
      <c r="T292" s="3">
        <f t="shared" si="24"/>
        <v>1.1217818237291317</v>
      </c>
      <c r="V292" s="3"/>
      <c r="W292" s="3"/>
    </row>
    <row r="293" spans="1:23" x14ac:dyDescent="0.3">
      <c r="A293" s="1" t="s">
        <v>69</v>
      </c>
      <c r="B293" s="4">
        <v>19.100000000000001</v>
      </c>
      <c r="C293" s="5">
        <v>392</v>
      </c>
      <c r="D293" s="5">
        <v>2</v>
      </c>
      <c r="E293" s="4">
        <v>40</v>
      </c>
      <c r="F293" s="3">
        <v>3.3538794827423906</v>
      </c>
      <c r="G293" s="4">
        <v>30</v>
      </c>
      <c r="H293" s="4">
        <v>39.5</v>
      </c>
      <c r="I293" s="2">
        <v>6.6596536025101183E-2</v>
      </c>
      <c r="J293" s="3">
        <v>269.47046771854718</v>
      </c>
      <c r="K293" s="3">
        <v>0.18</v>
      </c>
      <c r="L293" s="6">
        <f t="shared" si="20"/>
        <v>1.3473523385927359E-3</v>
      </c>
      <c r="P293" s="3">
        <f t="shared" si="21"/>
        <v>0.22940529366576384</v>
      </c>
      <c r="Q293" s="3">
        <f t="shared" si="22"/>
        <v>1.2744738536986882</v>
      </c>
      <c r="S293" s="3">
        <f t="shared" si="23"/>
        <v>0.22582371603806262</v>
      </c>
      <c r="T293" s="3">
        <f t="shared" si="24"/>
        <v>1.2545762002114591</v>
      </c>
      <c r="V293" s="3"/>
      <c r="W293" s="3"/>
    </row>
    <row r="294" spans="1:23" x14ac:dyDescent="0.3">
      <c r="B294" s="4">
        <v>19.100000000000001</v>
      </c>
      <c r="C294" s="5">
        <v>392</v>
      </c>
      <c r="D294" s="5">
        <v>2</v>
      </c>
      <c r="E294" s="4">
        <v>40</v>
      </c>
      <c r="F294" s="3">
        <v>3.3538794827423906</v>
      </c>
      <c r="G294" s="4">
        <v>30</v>
      </c>
      <c r="H294" s="4">
        <v>39.5</v>
      </c>
      <c r="I294" s="2">
        <v>6.6596536025101183E-2</v>
      </c>
      <c r="J294" s="3">
        <v>310.74047838088489</v>
      </c>
      <c r="K294" s="3">
        <v>0.19</v>
      </c>
      <c r="L294" s="6">
        <f t="shared" si="20"/>
        <v>1.5537023919044244E-3</v>
      </c>
      <c r="P294" s="3">
        <f t="shared" si="21"/>
        <v>0.25850232360278347</v>
      </c>
      <c r="Q294" s="3">
        <f t="shared" si="22"/>
        <v>1.3605385452778078</v>
      </c>
      <c r="S294" s="3">
        <f t="shared" si="23"/>
        <v>0.25504731273597914</v>
      </c>
      <c r="T294" s="3">
        <f t="shared" si="24"/>
        <v>1.342354277557785</v>
      </c>
      <c r="V294" s="3"/>
      <c r="W294" s="3"/>
    </row>
    <row r="295" spans="1:23" x14ac:dyDescent="0.3">
      <c r="B295" s="4">
        <v>19.100000000000001</v>
      </c>
      <c r="C295" s="5">
        <v>392</v>
      </c>
      <c r="D295" s="5">
        <v>2</v>
      </c>
      <c r="E295" s="4">
        <v>40</v>
      </c>
      <c r="F295" s="3">
        <v>3.3538794827423906</v>
      </c>
      <c r="G295" s="4">
        <v>30</v>
      </c>
      <c r="H295" s="4">
        <v>39.5</v>
      </c>
      <c r="I295" s="2">
        <v>6.6596536025101183E-2</v>
      </c>
      <c r="J295" s="3">
        <v>354.18259486755625</v>
      </c>
      <c r="K295" s="3">
        <v>0.21</v>
      </c>
      <c r="L295" s="6">
        <f t="shared" si="20"/>
        <v>1.7709129743377812E-3</v>
      </c>
      <c r="P295" s="3">
        <f t="shared" si="21"/>
        <v>0.28846124671259366</v>
      </c>
      <c r="Q295" s="3">
        <f t="shared" si="22"/>
        <v>1.373624984345684</v>
      </c>
      <c r="S295" s="3">
        <f t="shared" si="23"/>
        <v>0.28520231551571373</v>
      </c>
      <c r="T295" s="3">
        <f t="shared" si="24"/>
        <v>1.3581062643605417</v>
      </c>
      <c r="V295" s="3"/>
      <c r="W295" s="3"/>
    </row>
    <row r="296" spans="1:23" x14ac:dyDescent="0.3">
      <c r="B296" s="4">
        <v>19.100000000000001</v>
      </c>
      <c r="C296" s="5">
        <v>392</v>
      </c>
      <c r="D296" s="5">
        <v>2</v>
      </c>
      <c r="E296" s="4">
        <v>40</v>
      </c>
      <c r="F296" s="3">
        <v>3.3538794827423906</v>
      </c>
      <c r="G296" s="4">
        <v>30</v>
      </c>
      <c r="H296" s="4">
        <v>39.5</v>
      </c>
      <c r="I296" s="2">
        <v>6.6596536025101183E-2</v>
      </c>
      <c r="J296" s="3">
        <v>380.02455591704472</v>
      </c>
      <c r="K296" s="3">
        <v>0.26</v>
      </c>
      <c r="L296" s="6">
        <f t="shared" si="20"/>
        <v>1.9001227795852236E-3</v>
      </c>
      <c r="P296" s="3">
        <f t="shared" si="21"/>
        <v>0.30599705088654516</v>
      </c>
      <c r="Q296" s="3">
        <f t="shared" si="22"/>
        <v>1.1769117341790198</v>
      </c>
      <c r="S296" s="3">
        <f t="shared" si="23"/>
        <v>0.30288109240686556</v>
      </c>
      <c r="T296" s="3">
        <f t="shared" si="24"/>
        <v>1.1649272784879445</v>
      </c>
      <c r="V296" s="3"/>
      <c r="W296" s="3"/>
    </row>
    <row r="297" spans="1:23" x14ac:dyDescent="0.3">
      <c r="A297" s="1" t="s">
        <v>70</v>
      </c>
      <c r="B297" s="4">
        <v>19.100000000000001</v>
      </c>
      <c r="C297" s="5">
        <v>276</v>
      </c>
      <c r="D297" s="5">
        <v>2</v>
      </c>
      <c r="E297" s="4">
        <v>69.8</v>
      </c>
      <c r="F297" s="3">
        <v>2.900328825179082</v>
      </c>
      <c r="G297" s="4">
        <v>31.8</v>
      </c>
      <c r="H297" s="4">
        <v>41.4</v>
      </c>
      <c r="I297" s="2">
        <v>4.0651443689720533E-2</v>
      </c>
      <c r="J297" s="3">
        <v>151.46187555426414</v>
      </c>
      <c r="K297" s="3">
        <v>0.17</v>
      </c>
      <c r="L297" s="6">
        <f t="shared" si="20"/>
        <v>7.5730937777132069E-4</v>
      </c>
      <c r="P297" s="3">
        <f t="shared" si="21"/>
        <v>0.18043637630184439</v>
      </c>
      <c r="Q297" s="3">
        <f t="shared" si="22"/>
        <v>1.0613904488343786</v>
      </c>
      <c r="S297" s="3">
        <f t="shared" si="23"/>
        <v>0.17400421008877598</v>
      </c>
      <c r="T297" s="3">
        <f t="shared" si="24"/>
        <v>1.0235541769927998</v>
      </c>
      <c r="V297" s="3"/>
      <c r="W297" s="3"/>
    </row>
    <row r="298" spans="1:23" x14ac:dyDescent="0.3">
      <c r="B298" s="4">
        <v>19.100000000000001</v>
      </c>
      <c r="C298" s="5">
        <v>276</v>
      </c>
      <c r="D298" s="5">
        <v>2</v>
      </c>
      <c r="E298" s="4">
        <v>69.8</v>
      </c>
      <c r="F298" s="3">
        <v>2.900328825179082</v>
      </c>
      <c r="G298" s="4">
        <v>31.8</v>
      </c>
      <c r="H298" s="4">
        <v>41.4</v>
      </c>
      <c r="I298" s="2">
        <v>4.0651443689720533E-2</v>
      </c>
      <c r="J298" s="3">
        <v>200.80108379018296</v>
      </c>
      <c r="K298" s="3">
        <v>0.23</v>
      </c>
      <c r="L298" s="6">
        <f t="shared" si="20"/>
        <v>1.0040054189509148E-3</v>
      </c>
      <c r="P298" s="3">
        <f t="shared" si="21"/>
        <v>0.22853244062173253</v>
      </c>
      <c r="Q298" s="3">
        <f t="shared" si="22"/>
        <v>0.99361930705101098</v>
      </c>
      <c r="S298" s="3">
        <f t="shared" si="23"/>
        <v>0.22138231318110541</v>
      </c>
      <c r="T298" s="3">
        <f t="shared" si="24"/>
        <v>0.96253179643958864</v>
      </c>
      <c r="V298" s="3"/>
      <c r="W298" s="3"/>
    </row>
    <row r="299" spans="1:23" x14ac:dyDescent="0.3">
      <c r="B299" s="4">
        <v>19.100000000000001</v>
      </c>
      <c r="C299" s="5">
        <v>276</v>
      </c>
      <c r="D299" s="5">
        <v>2</v>
      </c>
      <c r="E299" s="4">
        <v>69.8</v>
      </c>
      <c r="F299" s="3">
        <v>2.900328825179082</v>
      </c>
      <c r="G299" s="4">
        <v>31.8</v>
      </c>
      <c r="H299" s="4">
        <v>41.4</v>
      </c>
      <c r="I299" s="2">
        <v>4.0651443689720533E-2</v>
      </c>
      <c r="J299" s="3">
        <v>238.03329547717576</v>
      </c>
      <c r="K299" s="3">
        <v>0.27</v>
      </c>
      <c r="L299" s="6">
        <f t="shared" si="20"/>
        <v>1.1901664773858788E-3</v>
      </c>
      <c r="P299" s="3">
        <f t="shared" si="21"/>
        <v>0.26354349805569671</v>
      </c>
      <c r="Q299" s="3">
        <f t="shared" si="22"/>
        <v>0.97608702983591367</v>
      </c>
      <c r="S299" s="3">
        <f t="shared" si="23"/>
        <v>0.25599372264333875</v>
      </c>
      <c r="T299" s="3">
        <f t="shared" si="24"/>
        <v>0.94812489867903238</v>
      </c>
      <c r="V299" s="3"/>
      <c r="W299" s="3"/>
    </row>
    <row r="300" spans="1:23" x14ac:dyDescent="0.3">
      <c r="A300" s="1" t="s">
        <v>71</v>
      </c>
      <c r="B300" s="4">
        <v>19.100000000000001</v>
      </c>
      <c r="C300" s="5">
        <v>276</v>
      </c>
      <c r="D300" s="5">
        <v>2</v>
      </c>
      <c r="E300" s="4">
        <v>69.8</v>
      </c>
      <c r="F300" s="3">
        <v>2.8466918957142089</v>
      </c>
      <c r="G300" s="4">
        <v>31.8</v>
      </c>
      <c r="H300" s="4">
        <v>41.4</v>
      </c>
      <c r="I300" s="2">
        <v>4.0711184462321949E-2</v>
      </c>
      <c r="J300" s="3">
        <v>238.70266517324109</v>
      </c>
      <c r="K300" s="3">
        <v>0.16</v>
      </c>
      <c r="L300" s="6">
        <f t="shared" si="20"/>
        <v>1.1935133258662053E-3</v>
      </c>
      <c r="P300" s="3">
        <f t="shared" si="21"/>
        <v>0.26397400963205492</v>
      </c>
      <c r="Q300" s="3">
        <f t="shared" si="22"/>
        <v>1.6498375602003432</v>
      </c>
      <c r="S300" s="3">
        <f t="shared" si="23"/>
        <v>0.25642260256059041</v>
      </c>
      <c r="T300" s="3">
        <f t="shared" si="24"/>
        <v>1.6026412660036899</v>
      </c>
      <c r="V300" s="3"/>
      <c r="W300" s="3"/>
    </row>
    <row r="301" spans="1:23" x14ac:dyDescent="0.3">
      <c r="A301" s="1" t="s">
        <v>72</v>
      </c>
      <c r="B301" s="4">
        <v>19.100000000000001</v>
      </c>
      <c r="C301" s="5">
        <v>276</v>
      </c>
      <c r="D301" s="5">
        <v>2</v>
      </c>
      <c r="E301" s="4">
        <v>69.8</v>
      </c>
      <c r="F301" s="3">
        <v>2.711321473488328</v>
      </c>
      <c r="G301" s="4">
        <v>38.200000000000003</v>
      </c>
      <c r="H301" s="4">
        <v>47.7</v>
      </c>
      <c r="I301" s="2">
        <v>4.0691908981937738E-2</v>
      </c>
      <c r="J301" s="3">
        <v>209.57139801391955</v>
      </c>
      <c r="K301" s="3">
        <v>0.16</v>
      </c>
      <c r="L301" s="6">
        <f t="shared" si="20"/>
        <v>1.0478569900695977E-3</v>
      </c>
      <c r="P301" s="3">
        <f t="shared" si="21"/>
        <v>0.23713955169772427</v>
      </c>
      <c r="Q301" s="3">
        <f t="shared" si="22"/>
        <v>1.4821221981107766</v>
      </c>
      <c r="S301" s="3">
        <f t="shared" si="23"/>
        <v>0.22950130142324465</v>
      </c>
      <c r="T301" s="3">
        <f t="shared" si="24"/>
        <v>1.434383133895279</v>
      </c>
      <c r="V301" s="3"/>
      <c r="W301" s="3"/>
    </row>
    <row r="302" spans="1:23" x14ac:dyDescent="0.3">
      <c r="B302" s="4">
        <v>19.100000000000001</v>
      </c>
      <c r="C302" s="5">
        <v>276</v>
      </c>
      <c r="D302" s="5">
        <v>2</v>
      </c>
      <c r="E302" s="4">
        <v>69.8</v>
      </c>
      <c r="F302" s="3">
        <v>2.711321473488328</v>
      </c>
      <c r="G302" s="4">
        <v>38.200000000000003</v>
      </c>
      <c r="H302" s="4">
        <v>47.7</v>
      </c>
      <c r="I302" s="2">
        <v>4.0691908981937738E-2</v>
      </c>
      <c r="J302" s="3">
        <v>240.2710884876978</v>
      </c>
      <c r="K302" s="3">
        <v>0.2</v>
      </c>
      <c r="L302" s="6">
        <f t="shared" si="20"/>
        <v>1.2013554424384889E-3</v>
      </c>
      <c r="P302" s="3">
        <f t="shared" si="21"/>
        <v>0.26592283981146481</v>
      </c>
      <c r="Q302" s="3">
        <f t="shared" si="22"/>
        <v>1.329614199057324</v>
      </c>
      <c r="S302" s="3">
        <f t="shared" si="23"/>
        <v>0.25792100369614873</v>
      </c>
      <c r="T302" s="3">
        <f t="shared" si="24"/>
        <v>1.2896050184807435</v>
      </c>
      <c r="V302" s="3"/>
      <c r="W302" s="3"/>
    </row>
    <row r="303" spans="1:23" x14ac:dyDescent="0.3">
      <c r="A303" s="1" t="s">
        <v>73</v>
      </c>
      <c r="B303" s="4">
        <v>22.2</v>
      </c>
      <c r="C303" s="5">
        <v>276</v>
      </c>
      <c r="D303" s="5">
        <v>2</v>
      </c>
      <c r="E303" s="4">
        <v>63.6</v>
      </c>
      <c r="F303" s="3">
        <v>2.6879866270061714</v>
      </c>
      <c r="G303" s="4">
        <v>12.8</v>
      </c>
      <c r="H303" s="4">
        <v>23.9</v>
      </c>
      <c r="I303" s="2">
        <v>8.499983527163707E-2</v>
      </c>
      <c r="J303" s="3">
        <v>250.00547954530396</v>
      </c>
      <c r="K303" s="3">
        <v>0.17</v>
      </c>
      <c r="L303" s="6">
        <f t="shared" si="20"/>
        <v>1.2500273977265198E-3</v>
      </c>
      <c r="P303" s="3">
        <f t="shared" si="21"/>
        <v>0.22404003373697787</v>
      </c>
      <c r="Q303" s="3">
        <f t="shared" si="22"/>
        <v>1.3178825513939874</v>
      </c>
      <c r="S303" s="3">
        <f t="shared" si="23"/>
        <v>0.22668025878111664</v>
      </c>
      <c r="T303" s="3">
        <f t="shared" si="24"/>
        <v>1.3334132869477449</v>
      </c>
      <c r="V303" s="3"/>
      <c r="W303" s="3"/>
    </row>
    <row r="304" spans="1:23" x14ac:dyDescent="0.3">
      <c r="A304" s="1" t="s">
        <v>74</v>
      </c>
      <c r="B304" s="4">
        <v>22.2</v>
      </c>
      <c r="C304" s="5">
        <v>276</v>
      </c>
      <c r="D304" s="5">
        <v>2</v>
      </c>
      <c r="E304" s="4">
        <v>63.6</v>
      </c>
      <c r="F304" s="3">
        <v>2.3846015710371389</v>
      </c>
      <c r="G304" s="4">
        <v>38</v>
      </c>
      <c r="H304" s="4">
        <v>49.1</v>
      </c>
      <c r="I304" s="2">
        <v>5.9022388890402282E-2</v>
      </c>
      <c r="J304" s="3">
        <v>161.31645797841776</v>
      </c>
      <c r="K304" s="3">
        <v>0.15</v>
      </c>
      <c r="L304" s="6">
        <f t="shared" si="20"/>
        <v>8.0658228989208876E-4</v>
      </c>
      <c r="P304" s="3">
        <f t="shared" si="21"/>
        <v>0.18700519931175055</v>
      </c>
      <c r="Q304" s="3">
        <f t="shared" si="22"/>
        <v>1.2467013287450037</v>
      </c>
      <c r="S304" s="3">
        <f t="shared" si="23"/>
        <v>0.18282116651475458</v>
      </c>
      <c r="T304" s="3">
        <f t="shared" si="24"/>
        <v>1.2188077767650305</v>
      </c>
      <c r="V304" s="3"/>
      <c r="W304" s="3"/>
    </row>
    <row r="305" spans="1:23" x14ac:dyDescent="0.3">
      <c r="B305" s="4">
        <v>22.2</v>
      </c>
      <c r="C305" s="5">
        <v>276</v>
      </c>
      <c r="D305" s="5">
        <v>2</v>
      </c>
      <c r="E305" s="4">
        <v>63.6</v>
      </c>
      <c r="F305" s="3">
        <v>2.3846015710371389</v>
      </c>
      <c r="G305" s="4">
        <v>38</v>
      </c>
      <c r="H305" s="4">
        <v>49.1</v>
      </c>
      <c r="I305" s="2">
        <v>5.9022388890402282E-2</v>
      </c>
      <c r="J305" s="3">
        <v>196.99313775302753</v>
      </c>
      <c r="K305" s="3">
        <v>0.19</v>
      </c>
      <c r="L305" s="6">
        <f t="shared" si="20"/>
        <v>9.8496568876513756E-4</v>
      </c>
      <c r="P305" s="3">
        <f t="shared" si="21"/>
        <v>0.22108993372068816</v>
      </c>
      <c r="Q305" s="3">
        <f t="shared" si="22"/>
        <v>1.1636312301088851</v>
      </c>
      <c r="S305" s="3">
        <f t="shared" si="23"/>
        <v>0.2168353685559429</v>
      </c>
      <c r="T305" s="3">
        <f t="shared" si="24"/>
        <v>1.1412387818733838</v>
      </c>
      <c r="V305" s="3"/>
      <c r="W305" s="3"/>
    </row>
    <row r="306" spans="1:23" x14ac:dyDescent="0.3">
      <c r="B306" s="4">
        <v>22.2</v>
      </c>
      <c r="C306" s="5">
        <v>276</v>
      </c>
      <c r="D306" s="5">
        <v>2</v>
      </c>
      <c r="E306" s="4">
        <v>63.6</v>
      </c>
      <c r="F306" s="3">
        <v>2.3846015710371389</v>
      </c>
      <c r="G306" s="4">
        <v>38</v>
      </c>
      <c r="H306" s="4">
        <v>49.1</v>
      </c>
      <c r="I306" s="2">
        <v>5.9022388890402282E-2</v>
      </c>
      <c r="J306" s="3">
        <v>235.05964296708481</v>
      </c>
      <c r="K306" s="3">
        <v>0.22</v>
      </c>
      <c r="L306" s="6">
        <f t="shared" si="20"/>
        <v>1.1752982148354242E-3</v>
      </c>
      <c r="P306" s="3">
        <f t="shared" si="21"/>
        <v>0.25636939234827399</v>
      </c>
      <c r="Q306" s="3">
        <f t="shared" si="22"/>
        <v>1.1653154197648818</v>
      </c>
      <c r="S306" s="3">
        <f t="shared" si="23"/>
        <v>0.25214766956043549</v>
      </c>
      <c r="T306" s="3">
        <f t="shared" si="24"/>
        <v>1.1461257707292523</v>
      </c>
      <c r="V306" s="3"/>
      <c r="W306" s="3"/>
    </row>
    <row r="307" spans="1:23" x14ac:dyDescent="0.3">
      <c r="B307" s="4">
        <v>22.2</v>
      </c>
      <c r="C307" s="5">
        <v>276</v>
      </c>
      <c r="D307" s="5">
        <v>2</v>
      </c>
      <c r="E307" s="4">
        <v>63.6</v>
      </c>
      <c r="F307" s="3">
        <v>2.3846015710371389</v>
      </c>
      <c r="G307" s="4">
        <v>38</v>
      </c>
      <c r="H307" s="4">
        <v>49.1</v>
      </c>
      <c r="I307" s="2">
        <v>5.9022388890402282E-2</v>
      </c>
      <c r="J307" s="3">
        <v>251.74398079944604</v>
      </c>
      <c r="K307" s="3">
        <v>0.27</v>
      </c>
      <c r="L307" s="6">
        <f t="shared" si="20"/>
        <v>1.2587199039972301E-3</v>
      </c>
      <c r="P307" s="3">
        <f t="shared" si="21"/>
        <v>0.27153303349014246</v>
      </c>
      <c r="Q307" s="3">
        <f t="shared" si="22"/>
        <v>1.0056779018153423</v>
      </c>
      <c r="S307" s="3">
        <f t="shared" si="23"/>
        <v>0.26735477952124642</v>
      </c>
      <c r="T307" s="3">
        <f t="shared" si="24"/>
        <v>0.99020288711572746</v>
      </c>
      <c r="V307" s="3"/>
      <c r="W307" s="3"/>
    </row>
    <row r="308" spans="1:23" x14ac:dyDescent="0.3">
      <c r="A308" s="1" t="s">
        <v>75</v>
      </c>
      <c r="B308" s="4">
        <v>22.2</v>
      </c>
      <c r="C308" s="5">
        <v>276</v>
      </c>
      <c r="D308" s="5">
        <v>2</v>
      </c>
      <c r="E308" s="4">
        <v>63.6</v>
      </c>
      <c r="F308" s="3">
        <v>2.8648423476200775</v>
      </c>
      <c r="G308" s="4">
        <v>38</v>
      </c>
      <c r="H308" s="4">
        <v>49.1</v>
      </c>
      <c r="I308" s="2">
        <v>5.8054054206432525E-2</v>
      </c>
      <c r="J308" s="3">
        <v>228.82881043536602</v>
      </c>
      <c r="K308" s="3">
        <v>0.17</v>
      </c>
      <c r="L308" s="6">
        <f t="shared" si="20"/>
        <v>1.1441440521768301E-3</v>
      </c>
      <c r="P308" s="3">
        <f t="shared" si="21"/>
        <v>0.25270284332900467</v>
      </c>
      <c r="Q308" s="3">
        <f t="shared" si="22"/>
        <v>1.4864873137000274</v>
      </c>
      <c r="S308" s="3">
        <f t="shared" si="23"/>
        <v>0.24829752830452057</v>
      </c>
      <c r="T308" s="3">
        <f t="shared" si="24"/>
        <v>1.4605736959089444</v>
      </c>
      <c r="V308" s="3"/>
      <c r="W308" s="3"/>
    </row>
    <row r="309" spans="1:23" x14ac:dyDescent="0.3">
      <c r="B309" s="4">
        <v>22.2</v>
      </c>
      <c r="C309" s="5">
        <v>276</v>
      </c>
      <c r="D309" s="5">
        <v>2</v>
      </c>
      <c r="E309" s="4">
        <v>63.6</v>
      </c>
      <c r="F309" s="3">
        <v>2.8648423476200775</v>
      </c>
      <c r="G309" s="4">
        <v>38</v>
      </c>
      <c r="H309" s="4">
        <v>49.1</v>
      </c>
      <c r="I309" s="2">
        <v>5.8054054206432525E-2</v>
      </c>
      <c r="J309" s="3">
        <v>247.30845437958286</v>
      </c>
      <c r="K309" s="3">
        <v>0.2</v>
      </c>
      <c r="L309" s="6">
        <f t="shared" si="20"/>
        <v>1.2365422718979143E-3</v>
      </c>
      <c r="P309" s="3">
        <f t="shared" si="21"/>
        <v>0.26969594122607243</v>
      </c>
      <c r="Q309" s="3">
        <f t="shared" si="22"/>
        <v>1.3484797061303622</v>
      </c>
      <c r="S309" s="3">
        <f t="shared" si="23"/>
        <v>0.26532387451013267</v>
      </c>
      <c r="T309" s="3">
        <f t="shared" si="24"/>
        <v>1.3266193725506632</v>
      </c>
      <c r="V309" s="3"/>
      <c r="W309" s="3"/>
    </row>
    <row r="310" spans="1:23" x14ac:dyDescent="0.3">
      <c r="A310" s="1" t="s">
        <v>76</v>
      </c>
      <c r="B310" s="4">
        <v>22.2</v>
      </c>
      <c r="C310" s="5">
        <v>276</v>
      </c>
      <c r="D310" s="5">
        <v>2</v>
      </c>
      <c r="E310" s="4">
        <v>63.6</v>
      </c>
      <c r="F310" s="3">
        <v>2.8336917902498859</v>
      </c>
      <c r="G310" s="4">
        <v>38</v>
      </c>
      <c r="H310" s="4">
        <v>49.1</v>
      </c>
      <c r="I310" s="2">
        <v>5.8110239594394375E-2</v>
      </c>
      <c r="J310" s="3">
        <v>154.45932610251742</v>
      </c>
      <c r="K310" s="3">
        <v>0.15</v>
      </c>
      <c r="L310" s="6">
        <f t="shared" si="20"/>
        <v>7.7229663051258713E-4</v>
      </c>
      <c r="P310" s="3">
        <f t="shared" si="21"/>
        <v>0.18170232635203254</v>
      </c>
      <c r="Q310" s="3">
        <f t="shared" si="22"/>
        <v>1.2113488423468837</v>
      </c>
      <c r="S310" s="3">
        <f t="shared" si="23"/>
        <v>0.17742111364617211</v>
      </c>
      <c r="T310" s="3">
        <f t="shared" si="24"/>
        <v>1.1828074243078142</v>
      </c>
      <c r="V310" s="3"/>
      <c r="W310" s="3"/>
    </row>
    <row r="311" spans="1:23" x14ac:dyDescent="0.3">
      <c r="B311" s="4">
        <v>22.2</v>
      </c>
      <c r="C311" s="5">
        <v>276</v>
      </c>
      <c r="D311" s="5">
        <v>2</v>
      </c>
      <c r="E311" s="4">
        <v>63.6</v>
      </c>
      <c r="F311" s="3">
        <v>2.8336917902498859</v>
      </c>
      <c r="G311" s="4">
        <v>38</v>
      </c>
      <c r="H311" s="4">
        <v>49.1</v>
      </c>
      <c r="I311" s="2">
        <v>5.8110239594394375E-2</v>
      </c>
      <c r="J311" s="3">
        <v>190.63079573768678</v>
      </c>
      <c r="K311" s="3">
        <v>0.18</v>
      </c>
      <c r="L311" s="6">
        <f t="shared" si="20"/>
        <v>9.5315397868843388E-4</v>
      </c>
      <c r="P311" s="3">
        <f t="shared" si="21"/>
        <v>0.21673848175367785</v>
      </c>
      <c r="Q311" s="3">
        <f t="shared" si="22"/>
        <v>1.2041026764093214</v>
      </c>
      <c r="S311" s="3">
        <f t="shared" si="23"/>
        <v>0.2123454222476398</v>
      </c>
      <c r="T311" s="3">
        <f t="shared" si="24"/>
        <v>1.1796967902646656</v>
      </c>
      <c r="V311" s="3"/>
      <c r="W311" s="3"/>
    </row>
    <row r="312" spans="1:23" x14ac:dyDescent="0.3">
      <c r="B312" s="4">
        <v>22.2</v>
      </c>
      <c r="C312" s="5">
        <v>276</v>
      </c>
      <c r="D312" s="5">
        <v>2</v>
      </c>
      <c r="E312" s="4">
        <v>63.6</v>
      </c>
      <c r="F312" s="3">
        <v>2.8336917902498859</v>
      </c>
      <c r="G312" s="4">
        <v>38</v>
      </c>
      <c r="H312" s="4">
        <v>49.1</v>
      </c>
      <c r="I312" s="2">
        <v>5.8110239594394375E-2</v>
      </c>
      <c r="J312" s="3">
        <v>229.22523463071434</v>
      </c>
      <c r="K312" s="3">
        <v>0.22</v>
      </c>
      <c r="L312" s="6">
        <f t="shared" si="20"/>
        <v>1.1461261731535717E-3</v>
      </c>
      <c r="P312" s="3">
        <f t="shared" si="21"/>
        <v>0.25294969196474754</v>
      </c>
      <c r="Q312" s="3">
        <f t="shared" si="22"/>
        <v>1.1497713271124888</v>
      </c>
      <c r="S312" s="3">
        <f t="shared" si="23"/>
        <v>0.24855479215194848</v>
      </c>
      <c r="T312" s="3">
        <f t="shared" si="24"/>
        <v>1.129794509781584</v>
      </c>
      <c r="V312" s="3"/>
      <c r="W312" s="3"/>
    </row>
    <row r="313" spans="1:23" x14ac:dyDescent="0.3">
      <c r="B313" s="4">
        <v>22.2</v>
      </c>
      <c r="C313" s="5">
        <v>276</v>
      </c>
      <c r="D313" s="5">
        <v>2</v>
      </c>
      <c r="E313" s="4">
        <v>63.6</v>
      </c>
      <c r="F313" s="3">
        <v>2.8336917902498859</v>
      </c>
      <c r="G313" s="4">
        <v>38</v>
      </c>
      <c r="H313" s="4">
        <v>49.1</v>
      </c>
      <c r="I313" s="2">
        <v>5.8110239594394375E-2</v>
      </c>
      <c r="J313" s="3">
        <v>247.59579686335982</v>
      </c>
      <c r="K313" s="3">
        <v>0.25</v>
      </c>
      <c r="L313" s="6">
        <f t="shared" si="20"/>
        <v>1.2379789843167991E-3</v>
      </c>
      <c r="P313" s="3">
        <f t="shared" si="21"/>
        <v>0.26983053872607016</v>
      </c>
      <c r="Q313" s="3">
        <f t="shared" si="22"/>
        <v>1.0793221549042806</v>
      </c>
      <c r="S313" s="3">
        <f t="shared" si="23"/>
        <v>0.26546959045540708</v>
      </c>
      <c r="T313" s="3">
        <f t="shared" si="24"/>
        <v>1.0618783618216283</v>
      </c>
      <c r="V313" s="3"/>
      <c r="W313" s="3"/>
    </row>
    <row r="314" spans="1:23" x14ac:dyDescent="0.3">
      <c r="A314" s="1" t="s">
        <v>77</v>
      </c>
      <c r="B314" s="4">
        <v>22.2</v>
      </c>
      <c r="C314" s="5">
        <v>276</v>
      </c>
      <c r="D314" s="5">
        <v>2</v>
      </c>
      <c r="E314" s="4">
        <v>63.6</v>
      </c>
      <c r="F314" s="3">
        <v>2.7563734268389184</v>
      </c>
      <c r="G314" s="4">
        <v>38</v>
      </c>
      <c r="H314" s="4">
        <v>49.1</v>
      </c>
      <c r="I314" s="2">
        <v>5.8253253556272706E-2</v>
      </c>
      <c r="J314" s="3">
        <v>155.62718452433654</v>
      </c>
      <c r="K314" s="3">
        <v>0.2</v>
      </c>
      <c r="L314" s="6">
        <f t="shared" si="20"/>
        <v>7.7813592262168272E-4</v>
      </c>
      <c r="P314" s="3">
        <f t="shared" si="21"/>
        <v>0.18263273299289504</v>
      </c>
      <c r="Q314" s="3">
        <f t="shared" si="22"/>
        <v>0.9131636649644751</v>
      </c>
      <c r="S314" s="3">
        <f t="shared" si="23"/>
        <v>0.17836545555510425</v>
      </c>
      <c r="T314" s="3">
        <f t="shared" si="24"/>
        <v>0.89182727777552118</v>
      </c>
      <c r="V314" s="3"/>
      <c r="W314" s="3"/>
    </row>
    <row r="315" spans="1:23" x14ac:dyDescent="0.3">
      <c r="B315" s="4">
        <v>22.2</v>
      </c>
      <c r="C315" s="5">
        <v>276</v>
      </c>
      <c r="D315" s="5">
        <v>2</v>
      </c>
      <c r="E315" s="4">
        <v>63.6</v>
      </c>
      <c r="F315" s="3">
        <v>2.7563734268389184</v>
      </c>
      <c r="G315" s="4">
        <v>38</v>
      </c>
      <c r="H315" s="4">
        <v>49.1</v>
      </c>
      <c r="I315" s="2">
        <v>5.8253253556272706E-2</v>
      </c>
      <c r="J315" s="3">
        <v>191.71169709468541</v>
      </c>
      <c r="K315" s="3">
        <v>0.25</v>
      </c>
      <c r="L315" s="6">
        <f t="shared" si="20"/>
        <v>9.5855848547342706E-4</v>
      </c>
      <c r="P315" s="3">
        <f t="shared" si="21"/>
        <v>0.21750564795883395</v>
      </c>
      <c r="Q315" s="3">
        <f t="shared" si="22"/>
        <v>0.87002259183533581</v>
      </c>
      <c r="S315" s="3">
        <f t="shared" si="23"/>
        <v>0.21313348114716071</v>
      </c>
      <c r="T315" s="3">
        <f t="shared" si="24"/>
        <v>0.85253392458864286</v>
      </c>
      <c r="V315" s="3"/>
      <c r="W315" s="3"/>
    </row>
    <row r="316" spans="1:23" x14ac:dyDescent="0.3">
      <c r="B316" s="4">
        <v>22.2</v>
      </c>
      <c r="C316" s="5">
        <v>276</v>
      </c>
      <c r="D316" s="5">
        <v>2</v>
      </c>
      <c r="E316" s="4">
        <v>63.6</v>
      </c>
      <c r="F316" s="3">
        <v>2.7563734268389184</v>
      </c>
      <c r="G316" s="4">
        <v>38</v>
      </c>
      <c r="H316" s="4">
        <v>49.1</v>
      </c>
      <c r="I316" s="2">
        <v>5.8253253556272706E-2</v>
      </c>
      <c r="J316" s="3">
        <v>230.21335404773711</v>
      </c>
      <c r="K316" s="3">
        <v>0.3</v>
      </c>
      <c r="L316" s="6">
        <f t="shared" si="20"/>
        <v>1.1510667702386856E-3</v>
      </c>
      <c r="P316" s="3">
        <f t="shared" si="21"/>
        <v>0.25355744761938526</v>
      </c>
      <c r="Q316" s="3">
        <f t="shared" si="22"/>
        <v>0.84519149206461752</v>
      </c>
      <c r="S316" s="3">
        <f t="shared" si="23"/>
        <v>0.2491892032371677</v>
      </c>
      <c r="T316" s="3">
        <f t="shared" si="24"/>
        <v>0.83063067745722574</v>
      </c>
      <c r="V316" s="3"/>
      <c r="W316" s="3"/>
    </row>
    <row r="317" spans="1:23" x14ac:dyDescent="0.3">
      <c r="B317" s="4">
        <v>22.2</v>
      </c>
      <c r="C317" s="5">
        <v>276</v>
      </c>
      <c r="D317" s="5">
        <v>2</v>
      </c>
      <c r="E317" s="4">
        <v>63.6</v>
      </c>
      <c r="F317" s="3">
        <v>2.7563734268389184</v>
      </c>
      <c r="G317" s="4">
        <v>38</v>
      </c>
      <c r="H317" s="4">
        <v>49.1</v>
      </c>
      <c r="I317" s="2">
        <v>5.8253253556272706E-2</v>
      </c>
      <c r="J317" s="3">
        <v>248.30919658626249</v>
      </c>
      <c r="K317" s="3">
        <v>0.35</v>
      </c>
      <c r="L317" s="6">
        <f t="shared" si="20"/>
        <v>1.2415459829313124E-3</v>
      </c>
      <c r="P317" s="3">
        <f t="shared" si="21"/>
        <v>0.27015622088947144</v>
      </c>
      <c r="Q317" s="3">
        <f t="shared" si="22"/>
        <v>0.77187491682706133</v>
      </c>
      <c r="S317" s="3">
        <f t="shared" si="23"/>
        <v>0.26582365139842701</v>
      </c>
      <c r="T317" s="3">
        <f t="shared" si="24"/>
        <v>0.75949614685264866</v>
      </c>
      <c r="V317" s="3"/>
      <c r="W317" s="3"/>
    </row>
    <row r="318" spans="1:23" x14ac:dyDescent="0.3">
      <c r="A318" s="1" t="s">
        <v>78</v>
      </c>
      <c r="B318" s="4">
        <v>28.7</v>
      </c>
      <c r="C318" s="5">
        <v>276</v>
      </c>
      <c r="D318" s="5">
        <v>2</v>
      </c>
      <c r="E318" s="4">
        <v>50.6</v>
      </c>
      <c r="F318" s="3">
        <v>2.7748174021560659</v>
      </c>
      <c r="G318" s="4">
        <v>22.2</v>
      </c>
      <c r="H318" s="4">
        <v>36.6</v>
      </c>
      <c r="I318" s="2">
        <v>0.10899285032170623</v>
      </c>
      <c r="J318" s="3">
        <v>211.92944676812937</v>
      </c>
      <c r="K318" s="3">
        <v>0.17</v>
      </c>
      <c r="L318" s="6">
        <f t="shared" si="20"/>
        <v>1.0596472338406469E-3</v>
      </c>
      <c r="P318" s="3">
        <f t="shared" si="21"/>
        <v>0.22933935039063874</v>
      </c>
      <c r="Q318" s="3">
        <f t="shared" si="22"/>
        <v>1.3490550022978749</v>
      </c>
      <c r="S318" s="3">
        <f t="shared" si="23"/>
        <v>0.23919456280380116</v>
      </c>
      <c r="T318" s="3">
        <f t="shared" si="24"/>
        <v>1.4070268400223598</v>
      </c>
      <c r="V318" s="3"/>
      <c r="W318" s="3"/>
    </row>
    <row r="319" spans="1:23" x14ac:dyDescent="0.3">
      <c r="B319" s="4">
        <v>28.7</v>
      </c>
      <c r="C319" s="5">
        <v>276</v>
      </c>
      <c r="D319" s="5">
        <v>2</v>
      </c>
      <c r="E319" s="4">
        <v>50.6</v>
      </c>
      <c r="F319" s="3">
        <v>2.7748174021560659</v>
      </c>
      <c r="G319" s="4">
        <v>22.2</v>
      </c>
      <c r="H319" s="4">
        <v>36.6</v>
      </c>
      <c r="I319" s="2">
        <v>0.10899285032170623</v>
      </c>
      <c r="J319" s="3">
        <v>256.4115153708326</v>
      </c>
      <c r="K319" s="3">
        <v>0.2</v>
      </c>
      <c r="L319" s="6">
        <f t="shared" si="20"/>
        <v>1.282057576854163E-3</v>
      </c>
      <c r="P319" s="3">
        <f t="shared" si="21"/>
        <v>0.26904189367913539</v>
      </c>
      <c r="Q319" s="3">
        <f t="shared" si="22"/>
        <v>1.3452094683956768</v>
      </c>
      <c r="S319" s="3">
        <f t="shared" si="23"/>
        <v>0.28145993045209294</v>
      </c>
      <c r="T319" s="3">
        <f t="shared" si="24"/>
        <v>1.4072996522604646</v>
      </c>
      <c r="V319" s="3"/>
      <c r="W319" s="3"/>
    </row>
    <row r="320" spans="1:23" x14ac:dyDescent="0.3">
      <c r="A320" s="1" t="s">
        <v>79</v>
      </c>
      <c r="B320" s="4">
        <v>28.7</v>
      </c>
      <c r="C320" s="5">
        <v>276</v>
      </c>
      <c r="D320" s="5">
        <v>2</v>
      </c>
      <c r="E320" s="4">
        <v>50.6</v>
      </c>
      <c r="F320" s="3">
        <v>2.8017146470593879</v>
      </c>
      <c r="G320" s="4">
        <v>38.200000000000003</v>
      </c>
      <c r="H320" s="4">
        <v>52.5</v>
      </c>
      <c r="I320" s="2">
        <v>0.10686066770303645</v>
      </c>
      <c r="J320" s="3">
        <v>152.74032544508003</v>
      </c>
      <c r="K320" s="3">
        <v>0.17</v>
      </c>
      <c r="L320" s="6">
        <f t="shared" si="20"/>
        <v>7.6370162722540018E-4</v>
      </c>
      <c r="P320" s="3">
        <f t="shared" si="21"/>
        <v>0.17674007999001146</v>
      </c>
      <c r="Q320" s="3">
        <f t="shared" si="22"/>
        <v>1.0396475293530085</v>
      </c>
      <c r="S320" s="3">
        <f t="shared" si="23"/>
        <v>0.18222911276146908</v>
      </c>
      <c r="T320" s="3">
        <f t="shared" si="24"/>
        <v>1.0719359574204064</v>
      </c>
      <c r="V320" s="3"/>
      <c r="W320" s="3"/>
    </row>
    <row r="321" spans="1:23" x14ac:dyDescent="0.3">
      <c r="B321" s="4">
        <v>28.7</v>
      </c>
      <c r="C321" s="5">
        <v>276</v>
      </c>
      <c r="D321" s="5">
        <v>2</v>
      </c>
      <c r="E321" s="4">
        <v>50.6</v>
      </c>
      <c r="F321" s="3">
        <v>2.8017146470593879</v>
      </c>
      <c r="G321" s="4">
        <v>38.200000000000003</v>
      </c>
      <c r="H321" s="4">
        <v>52.5</v>
      </c>
      <c r="I321" s="2">
        <v>0.10686066770303645</v>
      </c>
      <c r="J321" s="3">
        <v>188.11979928941437</v>
      </c>
      <c r="K321" s="3">
        <v>0.2</v>
      </c>
      <c r="L321" s="6">
        <f t="shared" si="20"/>
        <v>9.4059899644707184E-4</v>
      </c>
      <c r="P321" s="3">
        <f t="shared" si="21"/>
        <v>0.21045437260288744</v>
      </c>
      <c r="Q321" s="3">
        <f t="shared" si="22"/>
        <v>1.0522718630144372</v>
      </c>
      <c r="S321" s="3">
        <f t="shared" si="23"/>
        <v>0.21771500393553417</v>
      </c>
      <c r="T321" s="3">
        <f t="shared" si="24"/>
        <v>1.0885750196776707</v>
      </c>
      <c r="V321" s="3"/>
      <c r="W321" s="3"/>
    </row>
    <row r="322" spans="1:23" x14ac:dyDescent="0.3">
      <c r="B322" s="4">
        <v>28.7</v>
      </c>
      <c r="C322" s="5">
        <v>276</v>
      </c>
      <c r="D322" s="5">
        <v>2</v>
      </c>
      <c r="E322" s="4">
        <v>50.6</v>
      </c>
      <c r="F322" s="3">
        <v>2.8017146470593879</v>
      </c>
      <c r="G322" s="4">
        <v>38.200000000000003</v>
      </c>
      <c r="H322" s="4">
        <v>52.5</v>
      </c>
      <c r="I322" s="2">
        <v>0.10686066770303645</v>
      </c>
      <c r="J322" s="3">
        <v>223.65861939682921</v>
      </c>
      <c r="K322" s="3">
        <v>0.25</v>
      </c>
      <c r="L322" s="6">
        <f t="shared" si="20"/>
        <v>1.118293096984146E-3</v>
      </c>
      <c r="P322" s="3">
        <f t="shared" si="21"/>
        <v>0.24329579506325646</v>
      </c>
      <c r="Q322" s="3">
        <f t="shared" si="22"/>
        <v>0.97318318025302586</v>
      </c>
      <c r="S322" s="3">
        <f t="shared" si="23"/>
        <v>0.25238725912116594</v>
      </c>
      <c r="T322" s="3">
        <f t="shared" si="24"/>
        <v>1.0095490364846638</v>
      </c>
      <c r="V322" s="3"/>
      <c r="W322" s="3"/>
    </row>
    <row r="323" spans="1:23" x14ac:dyDescent="0.3">
      <c r="B323" s="4">
        <v>28.7</v>
      </c>
      <c r="C323" s="5">
        <v>276</v>
      </c>
      <c r="D323" s="5">
        <v>2</v>
      </c>
      <c r="E323" s="4">
        <v>50.6</v>
      </c>
      <c r="F323" s="3">
        <v>2.8017146470593879</v>
      </c>
      <c r="G323" s="4">
        <v>38.200000000000003</v>
      </c>
      <c r="H323" s="4">
        <v>52.5</v>
      </c>
      <c r="I323" s="2">
        <v>0.10686066770303645</v>
      </c>
      <c r="J323" s="3">
        <v>257.09623458349398</v>
      </c>
      <c r="K323" s="3">
        <v>0.28999999999999998</v>
      </c>
      <c r="L323" s="6">
        <f t="shared" si="20"/>
        <v>1.2854811729174698E-3</v>
      </c>
      <c r="P323" s="3">
        <f t="shared" si="21"/>
        <v>0.27342740887980421</v>
      </c>
      <c r="Q323" s="3">
        <f t="shared" si="22"/>
        <v>0.94285313406829041</v>
      </c>
      <c r="S323" s="3">
        <f t="shared" si="23"/>
        <v>0.2842778567082464</v>
      </c>
      <c r="T323" s="3">
        <f t="shared" si="24"/>
        <v>0.98026847140774631</v>
      </c>
      <c r="V323" s="3"/>
      <c r="W323" s="3"/>
    </row>
    <row r="324" spans="1:23" x14ac:dyDescent="0.3">
      <c r="A324" s="1" t="s">
        <v>80</v>
      </c>
      <c r="B324" s="4">
        <v>28.7</v>
      </c>
      <c r="C324" s="5">
        <v>276</v>
      </c>
      <c r="D324" s="5">
        <v>2</v>
      </c>
      <c r="E324" s="4">
        <v>50.6</v>
      </c>
      <c r="F324" s="3">
        <v>2.7153116457984496</v>
      </c>
      <c r="G324" s="4">
        <v>38.200000000000003</v>
      </c>
      <c r="H324" s="4">
        <v>52.5</v>
      </c>
      <c r="I324" s="2">
        <v>0.1072263869101954</v>
      </c>
      <c r="J324" s="3">
        <v>188.995464493697</v>
      </c>
      <c r="K324" s="3">
        <v>0.17</v>
      </c>
      <c r="L324" s="6">
        <f t="shared" si="20"/>
        <v>9.4497732246848502E-4</v>
      </c>
      <c r="P324" s="3">
        <f t="shared" si="21"/>
        <v>0.21092157074864365</v>
      </c>
      <c r="Q324" s="3">
        <f t="shared" si="22"/>
        <v>1.240715122050845</v>
      </c>
      <c r="S324" s="3">
        <f t="shared" si="23"/>
        <v>0.21828919050102749</v>
      </c>
      <c r="T324" s="3">
        <f t="shared" si="24"/>
        <v>1.2840540617707499</v>
      </c>
      <c r="V324" s="3"/>
      <c r="W324" s="3"/>
    </row>
    <row r="325" spans="1:23" x14ac:dyDescent="0.3">
      <c r="A325" s="1" t="s">
        <v>81</v>
      </c>
      <c r="B325" s="4">
        <v>28.7</v>
      </c>
      <c r="C325" s="5">
        <v>276</v>
      </c>
      <c r="D325" s="5">
        <v>2</v>
      </c>
      <c r="E325" s="4">
        <v>50.6</v>
      </c>
      <c r="F325" s="3">
        <v>2.8017146470593879</v>
      </c>
      <c r="G325" s="4">
        <v>38.200000000000003</v>
      </c>
      <c r="H325" s="4">
        <v>52.5</v>
      </c>
      <c r="I325" s="2">
        <v>0.10686066770303645</v>
      </c>
      <c r="J325" s="3">
        <v>152.74032544508003</v>
      </c>
      <c r="K325" s="3">
        <v>0.15</v>
      </c>
      <c r="L325" s="6">
        <f t="shared" si="20"/>
        <v>7.6370162722540018E-4</v>
      </c>
      <c r="P325" s="3">
        <f t="shared" si="21"/>
        <v>0.17674007999001146</v>
      </c>
      <c r="Q325" s="3">
        <f t="shared" si="22"/>
        <v>1.1782671999334098</v>
      </c>
      <c r="S325" s="3">
        <f t="shared" si="23"/>
        <v>0.18222911276146908</v>
      </c>
      <c r="T325" s="3">
        <f t="shared" si="24"/>
        <v>1.2148607517431274</v>
      </c>
      <c r="V325" s="3"/>
      <c r="W325" s="3"/>
    </row>
    <row r="326" spans="1:23" x14ac:dyDescent="0.3">
      <c r="B326" s="4">
        <v>28.7</v>
      </c>
      <c r="C326" s="5">
        <v>276</v>
      </c>
      <c r="D326" s="5">
        <v>2</v>
      </c>
      <c r="E326" s="4">
        <v>50.6</v>
      </c>
      <c r="F326" s="3">
        <v>2.8017146470593879</v>
      </c>
      <c r="G326" s="4">
        <v>38.200000000000003</v>
      </c>
      <c r="H326" s="4">
        <v>52.5</v>
      </c>
      <c r="I326" s="2">
        <v>0.10686066770303645</v>
      </c>
      <c r="J326" s="3">
        <v>188.11979928941437</v>
      </c>
      <c r="K326" s="3">
        <v>0.16</v>
      </c>
      <c r="L326" s="6">
        <f t="shared" si="20"/>
        <v>9.4059899644707184E-4</v>
      </c>
      <c r="P326" s="3">
        <f t="shared" si="21"/>
        <v>0.21045437260288744</v>
      </c>
      <c r="Q326" s="3">
        <f t="shared" si="22"/>
        <v>1.3153398287680464</v>
      </c>
      <c r="S326" s="3">
        <f t="shared" si="23"/>
        <v>0.21771500393553417</v>
      </c>
      <c r="T326" s="3">
        <f t="shared" si="24"/>
        <v>1.3607187745970886</v>
      </c>
      <c r="V326" s="3"/>
      <c r="W326" s="3"/>
    </row>
    <row r="327" spans="1:23" x14ac:dyDescent="0.3">
      <c r="B327" s="4">
        <v>28.7</v>
      </c>
      <c r="C327" s="5">
        <v>276</v>
      </c>
      <c r="D327" s="5">
        <v>2</v>
      </c>
      <c r="E327" s="4">
        <v>50.6</v>
      </c>
      <c r="F327" s="3">
        <v>2.8017146470593879</v>
      </c>
      <c r="G327" s="4">
        <v>38.200000000000003</v>
      </c>
      <c r="H327" s="4">
        <v>52.5</v>
      </c>
      <c r="I327" s="2">
        <v>0.10686066770303645</v>
      </c>
      <c r="J327" s="3">
        <v>223.65861939682921</v>
      </c>
      <c r="K327" s="3">
        <v>0.22</v>
      </c>
      <c r="L327" s="6">
        <f t="shared" si="20"/>
        <v>1.118293096984146E-3</v>
      </c>
      <c r="P327" s="3">
        <f t="shared" si="21"/>
        <v>0.24329579506325646</v>
      </c>
      <c r="Q327" s="3">
        <f t="shared" si="22"/>
        <v>1.1058899775602566</v>
      </c>
      <c r="S327" s="3">
        <f t="shared" si="23"/>
        <v>0.25238725912116594</v>
      </c>
      <c r="T327" s="3">
        <f t="shared" si="24"/>
        <v>1.1472148141871179</v>
      </c>
      <c r="V327" s="3"/>
      <c r="W327" s="3"/>
    </row>
    <row r="328" spans="1:23" x14ac:dyDescent="0.3">
      <c r="B328" s="4">
        <v>28.7</v>
      </c>
      <c r="C328" s="5">
        <v>276</v>
      </c>
      <c r="D328" s="5">
        <v>2</v>
      </c>
      <c r="E328" s="4">
        <v>50.6</v>
      </c>
      <c r="F328" s="3">
        <v>2.8017146470593879</v>
      </c>
      <c r="G328" s="4">
        <v>38.200000000000003</v>
      </c>
      <c r="H328" s="4">
        <v>52.5</v>
      </c>
      <c r="I328" s="2">
        <v>0.10686066770303645</v>
      </c>
      <c r="J328" s="3">
        <v>257.09623458349398</v>
      </c>
      <c r="K328" s="3">
        <v>0.26</v>
      </c>
      <c r="L328" s="6">
        <f t="shared" si="20"/>
        <v>1.2854811729174698E-3</v>
      </c>
      <c r="P328" s="3">
        <f t="shared" si="21"/>
        <v>0.27342740887980421</v>
      </c>
      <c r="Q328" s="3">
        <f t="shared" si="22"/>
        <v>1.0516438803069392</v>
      </c>
      <c r="S328" s="3">
        <f t="shared" si="23"/>
        <v>0.2842778567082464</v>
      </c>
      <c r="T328" s="3">
        <f t="shared" si="24"/>
        <v>1.0933763719547938</v>
      </c>
      <c r="V328" s="3"/>
      <c r="W328" s="3"/>
    </row>
    <row r="329" spans="1:23" x14ac:dyDescent="0.3">
      <c r="A329" s="1" t="s">
        <v>82</v>
      </c>
      <c r="B329" s="4">
        <v>28.7</v>
      </c>
      <c r="C329" s="5">
        <v>276</v>
      </c>
      <c r="D329" s="5">
        <v>2</v>
      </c>
      <c r="E329" s="4">
        <v>50.6</v>
      </c>
      <c r="F329" s="3">
        <v>2.524448068103379</v>
      </c>
      <c r="G329" s="4">
        <v>38.200000000000003</v>
      </c>
      <c r="H329" s="4">
        <v>52.5</v>
      </c>
      <c r="I329" s="2">
        <v>0.10809111803939714</v>
      </c>
      <c r="J329" s="3">
        <v>190.96053805034367</v>
      </c>
      <c r="K329" s="3">
        <v>0.17</v>
      </c>
      <c r="L329" s="6">
        <f t="shared" si="20"/>
        <v>9.5480269025171834E-4</v>
      </c>
      <c r="P329" s="3">
        <f t="shared" si="21"/>
        <v>0.2119220596219315</v>
      </c>
      <c r="Q329" s="3">
        <f t="shared" si="22"/>
        <v>1.2466003507172441</v>
      </c>
      <c r="S329" s="3">
        <f t="shared" si="23"/>
        <v>0.21953854715662824</v>
      </c>
      <c r="T329" s="3">
        <f t="shared" si="24"/>
        <v>1.2914032185684012</v>
      </c>
      <c r="V329" s="3"/>
      <c r="W329" s="3"/>
    </row>
    <row r="330" spans="1:23" x14ac:dyDescent="0.3">
      <c r="B330" s="4">
        <v>28.7</v>
      </c>
      <c r="C330" s="5">
        <v>276</v>
      </c>
      <c r="D330" s="5">
        <v>2</v>
      </c>
      <c r="E330" s="4">
        <v>50.6</v>
      </c>
      <c r="F330" s="3">
        <v>2.524448068103379</v>
      </c>
      <c r="G330" s="4">
        <v>38.200000000000003</v>
      </c>
      <c r="H330" s="4">
        <v>52.5</v>
      </c>
      <c r="I330" s="2">
        <v>0.10809111803939714</v>
      </c>
      <c r="J330" s="3">
        <v>226.35341088864877</v>
      </c>
      <c r="K330" s="3">
        <v>0.2</v>
      </c>
      <c r="L330" s="6">
        <f t="shared" si="20"/>
        <v>1.1317670544432439E-3</v>
      </c>
      <c r="P330" s="3">
        <f t="shared" si="21"/>
        <v>0.24437509673943805</v>
      </c>
      <c r="Q330" s="3">
        <f t="shared" si="22"/>
        <v>1.2218754836971901</v>
      </c>
      <c r="S330" s="3">
        <f t="shared" si="23"/>
        <v>0.25384759957716557</v>
      </c>
      <c r="T330" s="3">
        <f t="shared" si="24"/>
        <v>1.2692379978858277</v>
      </c>
      <c r="V330" s="3"/>
      <c r="W330" s="3"/>
    </row>
    <row r="331" spans="1:23" x14ac:dyDescent="0.3">
      <c r="B331" s="4">
        <v>28.7</v>
      </c>
      <c r="C331" s="5">
        <v>276</v>
      </c>
      <c r="D331" s="5">
        <v>2</v>
      </c>
      <c r="E331" s="4">
        <v>50.6</v>
      </c>
      <c r="F331" s="3">
        <v>2.524448068103379</v>
      </c>
      <c r="G331" s="4">
        <v>38.200000000000003</v>
      </c>
      <c r="H331" s="4">
        <v>52.5</v>
      </c>
      <c r="I331" s="2">
        <v>0.10809111803939714</v>
      </c>
      <c r="J331" s="3">
        <v>258.68860744130342</v>
      </c>
      <c r="K331" s="3">
        <v>0.24</v>
      </c>
      <c r="L331" s="6">
        <f t="shared" si="20"/>
        <v>1.2934430372065172E-3</v>
      </c>
      <c r="P331" s="3">
        <f t="shared" si="21"/>
        <v>0.27330827703594957</v>
      </c>
      <c r="Q331" s="3">
        <f t="shared" si="22"/>
        <v>1.1387844876497899</v>
      </c>
      <c r="S331" s="3">
        <f t="shared" si="23"/>
        <v>0.28450948061975262</v>
      </c>
      <c r="T331" s="3">
        <f t="shared" si="24"/>
        <v>1.1854561692489693</v>
      </c>
      <c r="V331" s="3"/>
      <c r="W331" s="3"/>
    </row>
    <row r="332" spans="1:23" x14ac:dyDescent="0.3">
      <c r="A332" s="1" t="s">
        <v>83</v>
      </c>
      <c r="B332" s="4">
        <v>32.299999999999997</v>
      </c>
      <c r="C332" s="5">
        <v>276</v>
      </c>
      <c r="D332" s="5">
        <v>1</v>
      </c>
      <c r="E332" s="4">
        <v>60</v>
      </c>
      <c r="F332" s="3">
        <v>2.5382184533279259</v>
      </c>
      <c r="G332" s="4">
        <v>38.299999999999997</v>
      </c>
      <c r="H332" s="4">
        <v>54.4</v>
      </c>
      <c r="I332" s="2">
        <v>6.2449543908879294E-2</v>
      </c>
      <c r="J332" s="3">
        <v>135.92367678050439</v>
      </c>
      <c r="K332" s="3">
        <v>0.17</v>
      </c>
      <c r="L332" s="6">
        <f t="shared" ref="L332:L351" si="25">J332/200000</f>
        <v>6.7961838390252197E-4</v>
      </c>
      <c r="P332" s="3">
        <f t="shared" ref="P332:P351" si="26">$Q$2*($Q$3*$G332+$Q$4*$B332^$Q$5*$I332^$Q$6)*$L332^$Q$7</f>
        <v>0.23740842724501068</v>
      </c>
      <c r="Q332" s="3">
        <f t="shared" ref="Q332:Q351" si="27">P332/$K332</f>
        <v>1.3965201602647686</v>
      </c>
      <c r="S332" s="3">
        <f t="shared" ref="S332:S351" si="28">$T$2*$B332^$T$3*$L332^$T$4*($T$5*$I332^$T$6+$T$7)</f>
        <v>0.23678398281448962</v>
      </c>
      <c r="T332" s="3">
        <f t="shared" ref="T332:T351" si="29">S332/$K332</f>
        <v>1.3928469577322917</v>
      </c>
      <c r="V332" s="3"/>
      <c r="W332" s="3"/>
    </row>
    <row r="333" spans="1:23" x14ac:dyDescent="0.3">
      <c r="B333" s="4">
        <v>32.299999999999997</v>
      </c>
      <c r="C333" s="5">
        <v>276</v>
      </c>
      <c r="D333" s="5">
        <v>1</v>
      </c>
      <c r="E333" s="4">
        <v>60</v>
      </c>
      <c r="F333" s="3">
        <v>2.5382184533279259</v>
      </c>
      <c r="G333" s="4">
        <v>38.299999999999997</v>
      </c>
      <c r="H333" s="4">
        <v>54.4</v>
      </c>
      <c r="I333" s="2">
        <v>6.2449543908879294E-2</v>
      </c>
      <c r="J333" s="3">
        <v>177.83647215960244</v>
      </c>
      <c r="K333" s="3">
        <v>0.23</v>
      </c>
      <c r="L333" s="6">
        <f t="shared" si="25"/>
        <v>8.8918236079801221E-4</v>
      </c>
      <c r="P333" s="3">
        <f t="shared" si="26"/>
        <v>0.29738036135027701</v>
      </c>
      <c r="Q333" s="3">
        <f t="shared" si="27"/>
        <v>1.2929580928272912</v>
      </c>
      <c r="S333" s="3">
        <f t="shared" si="28"/>
        <v>0.29787639327837173</v>
      </c>
      <c r="T333" s="3">
        <f t="shared" si="29"/>
        <v>1.2951147533842249</v>
      </c>
      <c r="V333" s="3"/>
      <c r="W333" s="3"/>
    </row>
    <row r="334" spans="1:23" x14ac:dyDescent="0.3">
      <c r="B334" s="4">
        <v>32.299999999999997</v>
      </c>
      <c r="C334" s="5">
        <v>276</v>
      </c>
      <c r="D334" s="5">
        <v>1</v>
      </c>
      <c r="E334" s="4">
        <v>60</v>
      </c>
      <c r="F334" s="3">
        <v>2.5382184533279259</v>
      </c>
      <c r="G334" s="4">
        <v>38.299999999999997</v>
      </c>
      <c r="H334" s="4">
        <v>54.4</v>
      </c>
      <c r="I334" s="2">
        <v>6.2449543908879294E-2</v>
      </c>
      <c r="J334" s="3">
        <v>217.00011505760963</v>
      </c>
      <c r="K334" s="3">
        <v>0.27</v>
      </c>
      <c r="L334" s="6">
        <f t="shared" si="25"/>
        <v>1.0850005752880481E-3</v>
      </c>
      <c r="P334" s="3">
        <f t="shared" si="26"/>
        <v>0.35135672914294186</v>
      </c>
      <c r="Q334" s="3">
        <f t="shared" si="27"/>
        <v>1.3013212190479326</v>
      </c>
      <c r="S334" s="3">
        <f t="shared" si="28"/>
        <v>0.35306535461431909</v>
      </c>
      <c r="T334" s="3">
        <f t="shared" si="29"/>
        <v>1.3076494615345151</v>
      </c>
      <c r="V334" s="3"/>
      <c r="W334" s="3"/>
    </row>
    <row r="335" spans="1:23" x14ac:dyDescent="0.3">
      <c r="B335" s="4">
        <v>32.299999999999997</v>
      </c>
      <c r="C335" s="5">
        <v>276</v>
      </c>
      <c r="D335" s="5">
        <v>1</v>
      </c>
      <c r="E335" s="4">
        <v>60</v>
      </c>
      <c r="F335" s="3">
        <v>2.5382184533279259</v>
      </c>
      <c r="G335" s="4">
        <v>38.299999999999997</v>
      </c>
      <c r="H335" s="4">
        <v>54.4</v>
      </c>
      <c r="I335" s="2">
        <v>6.2449543908879294E-2</v>
      </c>
      <c r="J335" s="3">
        <v>244.97414569904342</v>
      </c>
      <c r="K335" s="3">
        <v>0.31</v>
      </c>
      <c r="L335" s="6">
        <f t="shared" si="25"/>
        <v>1.2248707284952171E-3</v>
      </c>
      <c r="P335" s="3">
        <f t="shared" si="26"/>
        <v>0.3889355103146146</v>
      </c>
      <c r="Q335" s="3">
        <f t="shared" si="27"/>
        <v>1.2546306784342407</v>
      </c>
      <c r="S335" s="3">
        <f t="shared" si="28"/>
        <v>0.39158584912544359</v>
      </c>
      <c r="T335" s="3">
        <f t="shared" si="29"/>
        <v>1.2631801584691729</v>
      </c>
      <c r="V335" s="3"/>
      <c r="W335" s="3"/>
    </row>
    <row r="336" spans="1:23" x14ac:dyDescent="0.3">
      <c r="B336" s="4">
        <v>32.299999999999997</v>
      </c>
      <c r="C336" s="5">
        <v>276</v>
      </c>
      <c r="D336" s="5">
        <v>1</v>
      </c>
      <c r="E336" s="4">
        <v>60</v>
      </c>
      <c r="F336" s="3">
        <v>2.5382184533279259</v>
      </c>
      <c r="G336" s="4">
        <v>38.299999999999997</v>
      </c>
      <c r="H336" s="4">
        <v>54.4</v>
      </c>
      <c r="I336" s="2">
        <v>6.2449543908879294E-2</v>
      </c>
      <c r="J336" s="3">
        <v>251.41676051958765</v>
      </c>
      <c r="K336" s="3">
        <v>0.35</v>
      </c>
      <c r="L336" s="6">
        <f t="shared" si="25"/>
        <v>1.2570838025979382E-3</v>
      </c>
      <c r="P336" s="3">
        <f t="shared" si="26"/>
        <v>0.39748906640992476</v>
      </c>
      <c r="Q336" s="3">
        <f t="shared" si="27"/>
        <v>1.1356830468854995</v>
      </c>
      <c r="S336" s="3">
        <f t="shared" si="28"/>
        <v>0.40036394812302956</v>
      </c>
      <c r="T336" s="3">
        <f t="shared" si="29"/>
        <v>1.1438969946372273</v>
      </c>
      <c r="V336" s="3"/>
      <c r="W336" s="3"/>
    </row>
    <row r="337" spans="1:23" x14ac:dyDescent="0.3">
      <c r="A337" s="1" t="s">
        <v>84</v>
      </c>
      <c r="B337" s="4">
        <v>32.299999999999997</v>
      </c>
      <c r="C337" s="5">
        <v>276</v>
      </c>
      <c r="D337" s="5">
        <v>1</v>
      </c>
      <c r="E337" s="4">
        <v>60</v>
      </c>
      <c r="F337" s="3">
        <v>2.8108695189494299</v>
      </c>
      <c r="G337" s="4">
        <v>38.299999999999997</v>
      </c>
      <c r="H337" s="4">
        <v>54.4</v>
      </c>
      <c r="I337" s="2">
        <v>6.1876058158272039E-2</v>
      </c>
      <c r="J337" s="3">
        <v>132.02904034674665</v>
      </c>
      <c r="K337" s="3">
        <v>0.19</v>
      </c>
      <c r="L337" s="6">
        <f t="shared" si="25"/>
        <v>6.6014520173373324E-4</v>
      </c>
      <c r="P337" s="3">
        <f t="shared" si="26"/>
        <v>0.23274785059235475</v>
      </c>
      <c r="Q337" s="3">
        <f t="shared" si="27"/>
        <v>1.224988687328183</v>
      </c>
      <c r="S337" s="3">
        <f t="shared" si="28"/>
        <v>0.2319394643886919</v>
      </c>
      <c r="T337" s="3">
        <f t="shared" si="29"/>
        <v>1.2207340230983783</v>
      </c>
      <c r="V337" s="3"/>
      <c r="W337" s="3"/>
    </row>
    <row r="338" spans="1:23" x14ac:dyDescent="0.3">
      <c r="B338" s="4">
        <v>32.299999999999997</v>
      </c>
      <c r="C338" s="5">
        <v>276</v>
      </c>
      <c r="D338" s="5">
        <v>1</v>
      </c>
      <c r="E338" s="4">
        <v>60</v>
      </c>
      <c r="F338" s="3">
        <v>2.8108695189494299</v>
      </c>
      <c r="G338" s="4">
        <v>38.299999999999997</v>
      </c>
      <c r="H338" s="4">
        <v>54.4</v>
      </c>
      <c r="I338" s="2">
        <v>6.1876058158272039E-2</v>
      </c>
      <c r="J338" s="3">
        <v>173.99589379245282</v>
      </c>
      <c r="K338" s="3">
        <v>0.24</v>
      </c>
      <c r="L338" s="6">
        <f t="shared" si="25"/>
        <v>8.699794689622641E-4</v>
      </c>
      <c r="P338" s="3">
        <f t="shared" si="26"/>
        <v>0.29331640087965011</v>
      </c>
      <c r="Q338" s="3">
        <f t="shared" si="27"/>
        <v>1.2221516703318756</v>
      </c>
      <c r="S338" s="3">
        <f t="shared" si="28"/>
        <v>0.29359133302274981</v>
      </c>
      <c r="T338" s="3">
        <f t="shared" si="29"/>
        <v>1.2232972209281243</v>
      </c>
      <c r="V338" s="3"/>
      <c r="W338" s="3"/>
    </row>
    <row r="339" spans="1:23" x14ac:dyDescent="0.3">
      <c r="B339" s="4">
        <v>32.299999999999997</v>
      </c>
      <c r="C339" s="5">
        <v>276</v>
      </c>
      <c r="D339" s="5">
        <v>1</v>
      </c>
      <c r="E339" s="4">
        <v>60</v>
      </c>
      <c r="F339" s="3">
        <v>2.8108695189494299</v>
      </c>
      <c r="G339" s="4">
        <v>38.299999999999997</v>
      </c>
      <c r="H339" s="4">
        <v>54.4</v>
      </c>
      <c r="I339" s="2">
        <v>6.1876058158272039E-2</v>
      </c>
      <c r="J339" s="3">
        <v>213.46788518576591</v>
      </c>
      <c r="K339" s="3">
        <v>0.28999999999999998</v>
      </c>
      <c r="L339" s="6">
        <f t="shared" si="25"/>
        <v>1.0673394259288296E-3</v>
      </c>
      <c r="P339" s="3">
        <f t="shared" si="26"/>
        <v>0.34813311882783382</v>
      </c>
      <c r="Q339" s="3">
        <f t="shared" si="27"/>
        <v>1.2004590304408063</v>
      </c>
      <c r="S339" s="3">
        <f t="shared" si="28"/>
        <v>0.34960120513959408</v>
      </c>
      <c r="T339" s="3">
        <f t="shared" si="29"/>
        <v>1.2055213970330831</v>
      </c>
      <c r="V339" s="3"/>
      <c r="W339" s="3"/>
    </row>
    <row r="340" spans="1:23" x14ac:dyDescent="0.3">
      <c r="B340" s="4">
        <v>32.299999999999997</v>
      </c>
      <c r="C340" s="5">
        <v>276</v>
      </c>
      <c r="D340" s="5">
        <v>1</v>
      </c>
      <c r="E340" s="4">
        <v>60</v>
      </c>
      <c r="F340" s="3">
        <v>2.8108695189494299</v>
      </c>
      <c r="G340" s="4">
        <v>38.299999999999997</v>
      </c>
      <c r="H340" s="4">
        <v>54.4</v>
      </c>
      <c r="I340" s="2">
        <v>6.1876058158272039E-2</v>
      </c>
      <c r="J340" s="3">
        <v>241.66216475241814</v>
      </c>
      <c r="K340" s="3">
        <v>0.36</v>
      </c>
      <c r="L340" s="6">
        <f t="shared" si="25"/>
        <v>1.2083108237620906E-3</v>
      </c>
      <c r="P340" s="3">
        <f t="shared" si="26"/>
        <v>0.3862722633036661</v>
      </c>
      <c r="Q340" s="3">
        <f t="shared" si="27"/>
        <v>1.0729785091768502</v>
      </c>
      <c r="S340" s="3">
        <f t="shared" si="28"/>
        <v>0.3886718811666256</v>
      </c>
      <c r="T340" s="3">
        <f t="shared" si="29"/>
        <v>1.0796441143517379</v>
      </c>
      <c r="V340" s="3"/>
      <c r="W340" s="3"/>
    </row>
    <row r="341" spans="1:23" x14ac:dyDescent="0.3">
      <c r="B341" s="4">
        <v>32.299999999999997</v>
      </c>
      <c r="C341" s="5">
        <v>276</v>
      </c>
      <c r="D341" s="5">
        <v>1</v>
      </c>
      <c r="E341" s="4">
        <v>60</v>
      </c>
      <c r="F341" s="3">
        <v>2.8108695189494299</v>
      </c>
      <c r="G341" s="4">
        <v>38.299999999999997</v>
      </c>
      <c r="H341" s="4">
        <v>54.4</v>
      </c>
      <c r="I341" s="2">
        <v>6.1876058158272039E-2</v>
      </c>
      <c r="J341" s="3">
        <v>249.02659996033555</v>
      </c>
      <c r="K341" s="3">
        <v>0.42</v>
      </c>
      <c r="L341" s="6">
        <f t="shared" si="25"/>
        <v>1.2451329998016778E-3</v>
      </c>
      <c r="P341" s="3">
        <f t="shared" si="26"/>
        <v>0.3961125435799816</v>
      </c>
      <c r="Q341" s="3">
        <f t="shared" si="27"/>
        <v>0.94312510376186098</v>
      </c>
      <c r="S341" s="3">
        <f t="shared" si="28"/>
        <v>0.39876477387611131</v>
      </c>
      <c r="T341" s="3">
        <f t="shared" si="29"/>
        <v>0.94943993780026503</v>
      </c>
      <c r="V341" s="3"/>
      <c r="W341" s="3"/>
    </row>
    <row r="342" spans="1:23" x14ac:dyDescent="0.3">
      <c r="A342" s="1" t="s">
        <v>85</v>
      </c>
      <c r="B342" s="4">
        <v>28.7</v>
      </c>
      <c r="C342" s="5">
        <v>276</v>
      </c>
      <c r="D342" s="5">
        <v>2</v>
      </c>
      <c r="E342" s="4">
        <v>50.6</v>
      </c>
      <c r="F342" s="3">
        <v>2.5765786179080412</v>
      </c>
      <c r="G342" s="4">
        <v>38</v>
      </c>
      <c r="H342" s="4">
        <v>52.3</v>
      </c>
      <c r="I342" s="2">
        <v>6.5570477718494391E-2</v>
      </c>
      <c r="J342" s="3">
        <v>149.08139577483317</v>
      </c>
      <c r="K342" s="3">
        <v>0.18</v>
      </c>
      <c r="L342" s="6">
        <f t="shared" si="25"/>
        <v>7.4540697887416586E-4</v>
      </c>
      <c r="P342" s="3">
        <f t="shared" si="26"/>
        <v>0.22006447030423121</v>
      </c>
      <c r="Q342" s="3">
        <f t="shared" si="27"/>
        <v>1.2225803905790622</v>
      </c>
      <c r="S342" s="3">
        <f t="shared" si="28"/>
        <v>0.21889304509919219</v>
      </c>
      <c r="T342" s="3">
        <f t="shared" si="29"/>
        <v>1.2160724727732899</v>
      </c>
      <c r="V342" s="3"/>
      <c r="W342" s="3"/>
    </row>
    <row r="343" spans="1:23" x14ac:dyDescent="0.3">
      <c r="B343" s="4">
        <v>28.7</v>
      </c>
      <c r="C343" s="5">
        <v>276</v>
      </c>
      <c r="D343" s="5">
        <v>2</v>
      </c>
      <c r="E343" s="4">
        <v>50.6</v>
      </c>
      <c r="F343" s="3">
        <v>2.5765786179080412</v>
      </c>
      <c r="G343" s="4">
        <v>38</v>
      </c>
      <c r="H343" s="4">
        <v>52.3</v>
      </c>
      <c r="I343" s="2">
        <v>6.5570477718494391E-2</v>
      </c>
      <c r="J343" s="3">
        <v>189.31961077632405</v>
      </c>
      <c r="K343" s="3">
        <v>0.22</v>
      </c>
      <c r="L343" s="6">
        <f t="shared" si="25"/>
        <v>9.465980538816203E-4</v>
      </c>
      <c r="P343" s="3">
        <f t="shared" si="26"/>
        <v>0.26885059056726801</v>
      </c>
      <c r="Q343" s="3">
        <f t="shared" si="27"/>
        <v>1.2220481389421274</v>
      </c>
      <c r="S343" s="3">
        <f t="shared" si="28"/>
        <v>0.26844380213471769</v>
      </c>
      <c r="T343" s="3">
        <f t="shared" si="29"/>
        <v>1.2201991006123531</v>
      </c>
      <c r="V343" s="3"/>
      <c r="W343" s="3"/>
    </row>
    <row r="344" spans="1:23" x14ac:dyDescent="0.3">
      <c r="B344" s="4">
        <v>28.7</v>
      </c>
      <c r="C344" s="5">
        <v>276</v>
      </c>
      <c r="D344" s="5">
        <v>2</v>
      </c>
      <c r="E344" s="4">
        <v>50.6</v>
      </c>
      <c r="F344" s="3">
        <v>2.5765786179080412</v>
      </c>
      <c r="G344" s="4">
        <v>38</v>
      </c>
      <c r="H344" s="4">
        <v>52.3</v>
      </c>
      <c r="I344" s="2">
        <v>6.5570477718494391E-2</v>
      </c>
      <c r="J344" s="3">
        <v>220.98838067588596</v>
      </c>
      <c r="K344" s="3">
        <v>0.27</v>
      </c>
      <c r="L344" s="6">
        <f t="shared" si="25"/>
        <v>1.1049419033794298E-3</v>
      </c>
      <c r="P344" s="3">
        <f t="shared" si="26"/>
        <v>0.30605724874071172</v>
      </c>
      <c r="Q344" s="3">
        <f t="shared" si="27"/>
        <v>1.1335453657063397</v>
      </c>
      <c r="S344" s="3">
        <f t="shared" si="28"/>
        <v>0.30635137777486265</v>
      </c>
      <c r="T344" s="3">
        <f t="shared" si="29"/>
        <v>1.1346347324994912</v>
      </c>
      <c r="V344" s="3"/>
      <c r="W344" s="3"/>
    </row>
    <row r="345" spans="1:23" x14ac:dyDescent="0.3">
      <c r="B345" s="4">
        <v>28.7</v>
      </c>
      <c r="C345" s="5">
        <v>276</v>
      </c>
      <c r="D345" s="5">
        <v>2</v>
      </c>
      <c r="E345" s="4">
        <v>50.6</v>
      </c>
      <c r="F345" s="3">
        <v>2.5765786179080412</v>
      </c>
      <c r="G345" s="4">
        <v>38</v>
      </c>
      <c r="H345" s="4">
        <v>52.3</v>
      </c>
      <c r="I345" s="2">
        <v>6.5570477718494391E-2</v>
      </c>
      <c r="J345" s="3">
        <v>251.92757860899684</v>
      </c>
      <c r="K345" s="3">
        <v>0.32</v>
      </c>
      <c r="L345" s="6">
        <f t="shared" si="25"/>
        <v>1.2596378930449842E-3</v>
      </c>
      <c r="P345" s="3">
        <f t="shared" si="26"/>
        <v>0.3415781850503003</v>
      </c>
      <c r="Q345" s="3">
        <f t="shared" si="27"/>
        <v>1.0674318282821884</v>
      </c>
      <c r="S345" s="3">
        <f t="shared" si="28"/>
        <v>0.34262401099311302</v>
      </c>
      <c r="T345" s="3">
        <f t="shared" si="29"/>
        <v>1.070700034353478</v>
      </c>
      <c r="V345" s="3"/>
      <c r="W345" s="3"/>
    </row>
    <row r="346" spans="1:23" x14ac:dyDescent="0.3">
      <c r="A346" s="1" t="s">
        <v>86</v>
      </c>
      <c r="B346" s="4">
        <v>28.7</v>
      </c>
      <c r="C346" s="5">
        <v>276</v>
      </c>
      <c r="D346" s="5">
        <v>2</v>
      </c>
      <c r="E346" s="4">
        <v>50.6</v>
      </c>
      <c r="F346" s="3">
        <v>2.5765786179080412</v>
      </c>
      <c r="G346" s="4">
        <v>38</v>
      </c>
      <c r="H346" s="4">
        <v>52.3</v>
      </c>
      <c r="I346" s="2">
        <v>6.5570477718494391E-2</v>
      </c>
      <c r="J346" s="3">
        <v>189.31961077632405</v>
      </c>
      <c r="K346" s="3">
        <v>0.16</v>
      </c>
      <c r="L346" s="6">
        <f t="shared" si="25"/>
        <v>9.465980538816203E-4</v>
      </c>
      <c r="P346" s="3">
        <f t="shared" si="26"/>
        <v>0.26885059056726801</v>
      </c>
      <c r="Q346" s="3">
        <f t="shared" si="27"/>
        <v>1.680316191045425</v>
      </c>
      <c r="S346" s="3">
        <f t="shared" si="28"/>
        <v>0.26844380213471769</v>
      </c>
      <c r="T346" s="3">
        <f t="shared" si="29"/>
        <v>1.6777737633419856</v>
      </c>
      <c r="V346" s="3"/>
      <c r="W346" s="3"/>
    </row>
    <row r="347" spans="1:23" x14ac:dyDescent="0.3">
      <c r="B347" s="4">
        <v>28.7</v>
      </c>
      <c r="C347" s="5">
        <v>276</v>
      </c>
      <c r="D347" s="5">
        <v>2</v>
      </c>
      <c r="E347" s="4">
        <v>50.6</v>
      </c>
      <c r="F347" s="3">
        <v>2.5765786179080412</v>
      </c>
      <c r="G347" s="4">
        <v>38</v>
      </c>
      <c r="H347" s="4">
        <v>52.3</v>
      </c>
      <c r="I347" s="2">
        <v>6.5570477718494391E-2</v>
      </c>
      <c r="J347" s="3">
        <v>220.98838067588596</v>
      </c>
      <c r="K347" s="3">
        <v>0.19</v>
      </c>
      <c r="L347" s="6">
        <f t="shared" si="25"/>
        <v>1.1049419033794298E-3</v>
      </c>
      <c r="P347" s="3">
        <f t="shared" si="26"/>
        <v>0.30605724874071172</v>
      </c>
      <c r="Q347" s="3">
        <f t="shared" si="27"/>
        <v>1.6108276249511142</v>
      </c>
      <c r="S347" s="3">
        <f t="shared" si="28"/>
        <v>0.30635137777486265</v>
      </c>
      <c r="T347" s="3">
        <f t="shared" si="29"/>
        <v>1.612375672499277</v>
      </c>
      <c r="V347" s="3"/>
      <c r="W347" s="3"/>
    </row>
    <row r="348" spans="1:23" x14ac:dyDescent="0.3">
      <c r="B348" s="4">
        <v>28.7</v>
      </c>
      <c r="C348" s="5">
        <v>276</v>
      </c>
      <c r="D348" s="5">
        <v>2</v>
      </c>
      <c r="E348" s="4">
        <v>50.6</v>
      </c>
      <c r="F348" s="3">
        <v>2.5765786179080412</v>
      </c>
      <c r="G348" s="4">
        <v>38</v>
      </c>
      <c r="H348" s="4">
        <v>52.3</v>
      </c>
      <c r="I348" s="2">
        <v>6.5570477718494391E-2</v>
      </c>
      <c r="J348" s="3">
        <v>251.92757860899684</v>
      </c>
      <c r="K348" s="3">
        <v>0.22</v>
      </c>
      <c r="L348" s="6">
        <f t="shared" si="25"/>
        <v>1.2596378930449842E-3</v>
      </c>
      <c r="P348" s="3">
        <f t="shared" si="26"/>
        <v>0.3415781850503003</v>
      </c>
      <c r="Q348" s="3">
        <f t="shared" si="27"/>
        <v>1.5526281138650013</v>
      </c>
      <c r="S348" s="3">
        <f t="shared" si="28"/>
        <v>0.34262401099311302</v>
      </c>
      <c r="T348" s="3">
        <f t="shared" si="29"/>
        <v>1.5573818681505136</v>
      </c>
      <c r="V348" s="3"/>
      <c r="W348" s="3"/>
    </row>
    <row r="349" spans="1:23" x14ac:dyDescent="0.3">
      <c r="A349" s="1" t="s">
        <v>87</v>
      </c>
      <c r="B349" s="4">
        <v>35.799999999999997</v>
      </c>
      <c r="C349" s="5">
        <v>276</v>
      </c>
      <c r="D349" s="5">
        <v>2</v>
      </c>
      <c r="E349" s="4">
        <v>36.4</v>
      </c>
      <c r="F349" s="3">
        <v>2.5478355335404417</v>
      </c>
      <c r="G349" s="4">
        <v>38</v>
      </c>
      <c r="H349" s="4">
        <v>55.9</v>
      </c>
      <c r="I349" s="2">
        <v>0.1124434908513556</v>
      </c>
      <c r="J349" s="3">
        <v>159.97829778788753</v>
      </c>
      <c r="K349" s="3">
        <v>0.17</v>
      </c>
      <c r="L349" s="6">
        <f t="shared" si="25"/>
        <v>7.9989148893943761E-4</v>
      </c>
      <c r="P349" s="3">
        <f t="shared" si="26"/>
        <v>0.22811629619537513</v>
      </c>
      <c r="Q349" s="3">
        <f t="shared" si="27"/>
        <v>1.3418605658551477</v>
      </c>
      <c r="S349" s="3">
        <f t="shared" si="28"/>
        <v>0.23957203003929839</v>
      </c>
      <c r="T349" s="3">
        <f t="shared" si="29"/>
        <v>1.4092472355252845</v>
      </c>
      <c r="V349" s="3"/>
      <c r="W349" s="3"/>
    </row>
    <row r="350" spans="1:23" x14ac:dyDescent="0.3">
      <c r="A350" s="1" t="s">
        <v>88</v>
      </c>
      <c r="B350" s="4">
        <v>35.799999999999997</v>
      </c>
      <c r="C350" s="5">
        <v>276</v>
      </c>
      <c r="D350" s="5">
        <v>2</v>
      </c>
      <c r="E350" s="4">
        <v>36.4</v>
      </c>
      <c r="F350" s="3">
        <v>2.7563734268389184</v>
      </c>
      <c r="G350" s="4">
        <v>38</v>
      </c>
      <c r="H350" s="4">
        <v>55.9</v>
      </c>
      <c r="I350" s="2">
        <v>0.11141006190487932</v>
      </c>
      <c r="J350" s="3">
        <v>118.01372804983332</v>
      </c>
      <c r="K350" s="3">
        <v>0.19</v>
      </c>
      <c r="L350" s="6">
        <f t="shared" si="25"/>
        <v>5.9006864024916663E-4</v>
      </c>
      <c r="P350" s="3">
        <f t="shared" si="26"/>
        <v>0.17758307512698657</v>
      </c>
      <c r="Q350" s="3">
        <f t="shared" si="27"/>
        <v>0.93464776382624504</v>
      </c>
      <c r="S350" s="3">
        <f t="shared" si="28"/>
        <v>0.18541341070682646</v>
      </c>
      <c r="T350" s="3">
        <f t="shared" si="29"/>
        <v>0.97586005635171824</v>
      </c>
      <c r="V350" s="3"/>
      <c r="W350" s="3"/>
    </row>
    <row r="351" spans="1:23" x14ac:dyDescent="0.3">
      <c r="B351" s="4">
        <v>35.799999999999997</v>
      </c>
      <c r="C351" s="5">
        <v>276</v>
      </c>
      <c r="D351" s="5">
        <v>2</v>
      </c>
      <c r="E351" s="4">
        <v>36.4</v>
      </c>
      <c r="F351" s="3">
        <v>2.7563734268389184</v>
      </c>
      <c r="G351" s="4">
        <v>38</v>
      </c>
      <c r="H351" s="4">
        <v>55.9</v>
      </c>
      <c r="I351" s="2">
        <v>0.11141006190487932</v>
      </c>
      <c r="J351" s="3">
        <v>157.86384135739399</v>
      </c>
      <c r="K351" s="3">
        <v>0.25</v>
      </c>
      <c r="L351" s="6">
        <f t="shared" si="25"/>
        <v>7.8931920678696995E-4</v>
      </c>
      <c r="P351" s="3">
        <f t="shared" si="26"/>
        <v>0.22661204323318968</v>
      </c>
      <c r="Q351" s="3">
        <f t="shared" si="27"/>
        <v>0.9064481729327587</v>
      </c>
      <c r="S351" s="3">
        <f t="shared" si="28"/>
        <v>0.23770819782683525</v>
      </c>
      <c r="T351" s="3">
        <f t="shared" si="29"/>
        <v>0.950832791307341</v>
      </c>
      <c r="V351" s="3"/>
      <c r="W351" s="3"/>
    </row>
    <row r="352" spans="1:23" x14ac:dyDescent="0.3">
      <c r="S352" s="1"/>
      <c r="T352" s="1"/>
      <c r="V352" s="1"/>
      <c r="W352" s="1"/>
    </row>
    <row r="353" spans="16:23" x14ac:dyDescent="0.3">
      <c r="P353" s="1" t="s">
        <v>115</v>
      </c>
      <c r="Q353" s="3">
        <f>AVERAGE(Q11:Q351)</f>
        <v>1.0430016114301977</v>
      </c>
      <c r="S353" s="1" t="s">
        <v>115</v>
      </c>
      <c r="T353" s="3">
        <f>AVERAGE(T11:T351)</f>
        <v>1.0394289886316448</v>
      </c>
      <c r="V353" s="1"/>
      <c r="W353" s="3"/>
    </row>
    <row r="354" spans="16:23" x14ac:dyDescent="0.3">
      <c r="P354" s="1" t="s">
        <v>116</v>
      </c>
      <c r="Q354" s="3">
        <f>_xlfn.STDEV.S(Q11:Q351)</f>
        <v>0.2954648809770577</v>
      </c>
      <c r="S354" s="1" t="s">
        <v>116</v>
      </c>
      <c r="T354" s="3">
        <f>_xlfn.STDEV.S(T11:T351)</f>
        <v>0.2948439083233092</v>
      </c>
      <c r="V354" s="1"/>
      <c r="W354" s="3"/>
    </row>
    <row r="355" spans="16:23" x14ac:dyDescent="0.3">
      <c r="P355" s="1" t="s">
        <v>107</v>
      </c>
      <c r="Q355" s="7">
        <f>Q354/Q353</f>
        <v>0.2832832449529073</v>
      </c>
      <c r="S355" s="1" t="s">
        <v>107</v>
      </c>
      <c r="T355" s="7">
        <f>T354/T353</f>
        <v>0.28365950107996907</v>
      </c>
      <c r="V355" s="1"/>
      <c r="W355" s="7"/>
    </row>
  </sheetData>
  <mergeCells count="1">
    <mergeCell ref="B9:J9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E4AC3-EF41-46DB-BBAB-B00FE1C8E8FB}">
  <dimension ref="A1:K343"/>
  <sheetViews>
    <sheetView topLeftCell="E1" zoomScale="120" zoomScaleNormal="120" workbookViewId="0">
      <selection activeCell="D7" sqref="D7"/>
    </sheetView>
  </sheetViews>
  <sheetFormatPr defaultRowHeight="14.4" x14ac:dyDescent="0.3"/>
  <cols>
    <col min="1" max="1" width="33.109375" bestFit="1" customWidth="1"/>
    <col min="2" max="2" width="24.77734375" style="1" bestFit="1" customWidth="1"/>
    <col min="3" max="3" width="24.77734375" style="5" customWidth="1"/>
    <col min="4" max="4" width="29.6640625" style="1" bestFit="1" customWidth="1"/>
    <col min="5" max="5" width="29.33203125" style="4" bestFit="1" customWidth="1"/>
    <col min="6" max="6" width="36.77734375" style="3" bestFit="1" customWidth="1"/>
    <col min="7" max="7" width="16.44140625" style="1" bestFit="1" customWidth="1"/>
    <col min="8" max="8" width="44.5546875" style="1" bestFit="1" customWidth="1"/>
    <col min="9" max="9" width="16.33203125" style="2" bestFit="1" customWidth="1"/>
    <col min="10" max="10" width="22.6640625" style="3" bestFit="1" customWidth="1"/>
    <col min="11" max="11" width="9.6640625" style="3" bestFit="1" customWidth="1"/>
  </cols>
  <sheetData>
    <row r="1" spans="1:11" x14ac:dyDescent="0.3">
      <c r="A1" t="s">
        <v>0</v>
      </c>
      <c r="B1" s="29" t="s">
        <v>1</v>
      </c>
      <c r="C1" s="29"/>
      <c r="D1" s="29"/>
      <c r="E1" s="29"/>
      <c r="F1" s="29"/>
      <c r="G1" s="29"/>
      <c r="H1" s="29"/>
      <c r="I1" s="29"/>
      <c r="J1" s="29"/>
      <c r="K1" s="3" t="s">
        <v>2</v>
      </c>
    </row>
    <row r="2" spans="1:11" ht="15.6" x14ac:dyDescent="0.3">
      <c r="B2" s="1" t="s">
        <v>96</v>
      </c>
      <c r="C2" s="5" t="s">
        <v>130</v>
      </c>
      <c r="D2" s="1" t="s">
        <v>3</v>
      </c>
      <c r="E2" s="4" t="s">
        <v>4</v>
      </c>
      <c r="F2" s="3" t="s">
        <v>97</v>
      </c>
      <c r="G2" s="1" t="s">
        <v>98</v>
      </c>
      <c r="H2" s="1" t="s">
        <v>99</v>
      </c>
      <c r="I2" s="2" t="s">
        <v>100</v>
      </c>
      <c r="J2" s="3" t="s">
        <v>101</v>
      </c>
      <c r="K2" s="3" t="s">
        <v>102</v>
      </c>
    </row>
    <row r="3" spans="1:11" x14ac:dyDescent="0.3">
      <c r="A3" t="s">
        <v>5</v>
      </c>
      <c r="B3" s="1">
        <v>20</v>
      </c>
      <c r="C3" s="5">
        <v>500</v>
      </c>
      <c r="D3" s="1">
        <v>2</v>
      </c>
      <c r="E3" s="4">
        <v>126</v>
      </c>
      <c r="F3" s="3">
        <v>4.1203405239014401</v>
      </c>
      <c r="G3" s="1">
        <v>25</v>
      </c>
      <c r="H3" s="1">
        <v>39</v>
      </c>
      <c r="I3" s="2">
        <v>6.0723545689225174E-2</v>
      </c>
      <c r="J3" s="3">
        <v>231.81100493873356</v>
      </c>
      <c r="K3" s="3">
        <v>0.16</v>
      </c>
    </row>
    <row r="4" spans="1:11" x14ac:dyDescent="0.3">
      <c r="B4" s="1">
        <v>20</v>
      </c>
      <c r="C4" s="5">
        <v>500</v>
      </c>
      <c r="D4" s="1">
        <v>2</v>
      </c>
      <c r="E4" s="4">
        <v>126</v>
      </c>
      <c r="F4" s="3">
        <v>4.1203405239014401</v>
      </c>
      <c r="G4" s="1">
        <v>25</v>
      </c>
      <c r="H4" s="1">
        <v>39</v>
      </c>
      <c r="I4" s="2">
        <v>6.0723545689225174E-2</v>
      </c>
      <c r="J4" s="3">
        <v>304.25194398208777</v>
      </c>
      <c r="K4" s="3">
        <v>0.23</v>
      </c>
    </row>
    <row r="5" spans="1:11" x14ac:dyDescent="0.3">
      <c r="B5" s="1">
        <v>20</v>
      </c>
      <c r="C5" s="5">
        <v>500</v>
      </c>
      <c r="D5" s="1">
        <v>2</v>
      </c>
      <c r="E5" s="4">
        <v>126</v>
      </c>
      <c r="F5" s="3">
        <v>4.1203405239014401</v>
      </c>
      <c r="G5" s="1">
        <v>25</v>
      </c>
      <c r="H5" s="1">
        <v>39</v>
      </c>
      <c r="I5" s="2">
        <v>6.0723545689225174E-2</v>
      </c>
      <c r="J5" s="3">
        <v>314.28222784962912</v>
      </c>
      <c r="K5" s="3">
        <v>0.24</v>
      </c>
    </row>
    <row r="6" spans="1:11" x14ac:dyDescent="0.3">
      <c r="B6" s="1">
        <v>20</v>
      </c>
      <c r="C6" s="5">
        <v>500</v>
      </c>
      <c r="D6" s="1">
        <v>2</v>
      </c>
      <c r="E6" s="4">
        <v>126</v>
      </c>
      <c r="F6" s="3">
        <v>4.1203405239014401</v>
      </c>
      <c r="G6" s="1">
        <v>25</v>
      </c>
      <c r="H6" s="1">
        <v>39</v>
      </c>
      <c r="I6" s="2">
        <v>6.0723545689225174E-2</v>
      </c>
      <c r="J6" s="3">
        <v>363.31917120205361</v>
      </c>
      <c r="K6" s="3">
        <v>0.27</v>
      </c>
    </row>
    <row r="7" spans="1:11" x14ac:dyDescent="0.3">
      <c r="B7" s="1">
        <v>20</v>
      </c>
      <c r="C7" s="5">
        <v>500</v>
      </c>
      <c r="D7" s="1">
        <v>2</v>
      </c>
      <c r="E7" s="4">
        <v>126</v>
      </c>
      <c r="F7" s="3">
        <v>4.1203405239014401</v>
      </c>
      <c r="G7" s="1">
        <v>25</v>
      </c>
      <c r="H7" s="1">
        <v>39</v>
      </c>
      <c r="I7" s="2">
        <v>6.0723545689225174E-2</v>
      </c>
      <c r="J7" s="3">
        <v>459.16410593633765</v>
      </c>
      <c r="K7" s="3">
        <v>0.35</v>
      </c>
    </row>
    <row r="8" spans="1:11" x14ac:dyDescent="0.3">
      <c r="B8" s="1">
        <v>20</v>
      </c>
      <c r="C8" s="5">
        <v>500</v>
      </c>
      <c r="D8" s="1">
        <v>2</v>
      </c>
      <c r="E8" s="4">
        <v>126</v>
      </c>
      <c r="F8" s="3">
        <v>4.1203405239014401</v>
      </c>
      <c r="G8" s="1">
        <v>25</v>
      </c>
      <c r="H8" s="1">
        <v>39</v>
      </c>
      <c r="I8" s="2">
        <v>6.0723545689225174E-2</v>
      </c>
      <c r="J8" s="3">
        <v>500</v>
      </c>
      <c r="K8" s="3">
        <v>0.4</v>
      </c>
    </row>
    <row r="9" spans="1:11" x14ac:dyDescent="0.3">
      <c r="A9" t="s">
        <v>6</v>
      </c>
      <c r="B9" s="1">
        <v>10</v>
      </c>
      <c r="C9" s="5">
        <v>500</v>
      </c>
      <c r="D9" s="1">
        <v>8</v>
      </c>
      <c r="E9" s="4">
        <v>87.7</v>
      </c>
      <c r="F9" s="3">
        <v>4.1311267633290143</v>
      </c>
      <c r="G9" s="1">
        <v>25</v>
      </c>
      <c r="H9" s="1">
        <v>53</v>
      </c>
      <c r="I9" s="2">
        <v>1.5388385199705954E-2</v>
      </c>
      <c r="J9" s="3">
        <v>322.91971563781163</v>
      </c>
      <c r="K9" s="3">
        <v>0.16</v>
      </c>
    </row>
    <row r="10" spans="1:11" x14ac:dyDescent="0.3">
      <c r="B10" s="1">
        <v>10</v>
      </c>
      <c r="C10" s="5">
        <v>500</v>
      </c>
      <c r="D10" s="1">
        <v>8</v>
      </c>
      <c r="E10" s="4">
        <v>87.7</v>
      </c>
      <c r="F10" s="3">
        <v>4.1311267633290143</v>
      </c>
      <c r="G10" s="1">
        <v>25</v>
      </c>
      <c r="H10" s="1">
        <v>53</v>
      </c>
      <c r="I10" s="2">
        <v>1.5388385199705954E-2</v>
      </c>
      <c r="J10" s="3">
        <v>367.82093324078352</v>
      </c>
      <c r="K10" s="3">
        <v>0.18</v>
      </c>
    </row>
    <row r="11" spans="1:11" x14ac:dyDescent="0.3">
      <c r="B11" s="1">
        <v>10</v>
      </c>
      <c r="C11" s="5">
        <v>500</v>
      </c>
      <c r="D11" s="1">
        <v>8</v>
      </c>
      <c r="E11" s="4">
        <v>87.7</v>
      </c>
      <c r="F11" s="3">
        <v>4.1311267633290143</v>
      </c>
      <c r="G11" s="1">
        <v>25</v>
      </c>
      <c r="H11" s="1">
        <v>53</v>
      </c>
      <c r="I11" s="2">
        <v>1.5388385199705954E-2</v>
      </c>
      <c r="J11" s="3">
        <v>500</v>
      </c>
      <c r="K11" s="3">
        <v>0.26</v>
      </c>
    </row>
    <row r="12" spans="1:11" x14ac:dyDescent="0.3">
      <c r="A12" t="s">
        <v>7</v>
      </c>
      <c r="B12" s="1">
        <v>10</v>
      </c>
      <c r="C12" s="5">
        <v>628</v>
      </c>
      <c r="D12" s="1">
        <v>4</v>
      </c>
      <c r="E12" s="4">
        <v>32.466666666666669</v>
      </c>
      <c r="F12" s="3">
        <v>3.262</v>
      </c>
      <c r="G12" s="1">
        <v>25</v>
      </c>
      <c r="H12" s="1">
        <v>36</v>
      </c>
      <c r="I12" s="2">
        <v>1.7444444444444443E-2</v>
      </c>
      <c r="J12" s="3">
        <v>285.04803218471648</v>
      </c>
      <c r="K12" s="3">
        <v>0.16</v>
      </c>
    </row>
    <row r="13" spans="1:11" x14ac:dyDescent="0.3">
      <c r="B13" s="1">
        <v>10</v>
      </c>
      <c r="C13" s="5">
        <v>628</v>
      </c>
      <c r="D13" s="1">
        <v>4</v>
      </c>
      <c r="E13" s="4">
        <v>32.466666666666669</v>
      </c>
      <c r="F13" s="3">
        <v>3.262</v>
      </c>
      <c r="G13" s="1">
        <v>25</v>
      </c>
      <c r="H13" s="1">
        <v>36</v>
      </c>
      <c r="I13" s="2">
        <v>1.7444444444444443E-2</v>
      </c>
      <c r="J13" s="3">
        <v>324.99964614446418</v>
      </c>
      <c r="K13" s="3">
        <v>0.2</v>
      </c>
    </row>
    <row r="14" spans="1:11" x14ac:dyDescent="0.3">
      <c r="B14" s="1">
        <v>10</v>
      </c>
      <c r="C14" s="5">
        <v>628</v>
      </c>
      <c r="D14" s="1">
        <v>4</v>
      </c>
      <c r="E14" s="4">
        <v>32.466666666666669</v>
      </c>
      <c r="F14" s="3">
        <v>3.262</v>
      </c>
      <c r="G14" s="1">
        <v>25</v>
      </c>
      <c r="H14" s="1">
        <v>36</v>
      </c>
      <c r="I14" s="2">
        <v>1.7444444444444443E-2</v>
      </c>
      <c r="J14" s="3">
        <v>367.6446273374533</v>
      </c>
      <c r="K14" s="3">
        <v>0.2</v>
      </c>
    </row>
    <row r="15" spans="1:11" x14ac:dyDescent="0.3">
      <c r="B15" s="1">
        <v>10</v>
      </c>
      <c r="C15" s="5">
        <v>628</v>
      </c>
      <c r="D15" s="1">
        <v>4</v>
      </c>
      <c r="E15" s="4">
        <v>32.466666666666669</v>
      </c>
      <c r="F15" s="3">
        <v>3.262</v>
      </c>
      <c r="G15" s="1">
        <v>25</v>
      </c>
      <c r="H15" s="1">
        <v>36</v>
      </c>
      <c r="I15" s="2">
        <v>1.7444444444444443E-2</v>
      </c>
      <c r="J15" s="3">
        <v>410.73850306931587</v>
      </c>
      <c r="K15" s="3">
        <v>0.24</v>
      </c>
    </row>
    <row r="16" spans="1:11" x14ac:dyDescent="0.3">
      <c r="B16" s="1">
        <v>10</v>
      </c>
      <c r="C16" s="5">
        <v>628</v>
      </c>
      <c r="D16" s="1">
        <v>4</v>
      </c>
      <c r="E16" s="4">
        <v>32.466666666666669</v>
      </c>
      <c r="F16" s="3">
        <v>3.262</v>
      </c>
      <c r="G16" s="1">
        <v>25</v>
      </c>
      <c r="H16" s="1">
        <v>36</v>
      </c>
      <c r="I16" s="2">
        <v>1.7444444444444443E-2</v>
      </c>
      <c r="J16" s="3">
        <v>438.56996447947728</v>
      </c>
      <c r="K16" s="3">
        <v>0.3</v>
      </c>
    </row>
    <row r="17" spans="1:11" x14ac:dyDescent="0.3">
      <c r="B17" s="1">
        <v>10</v>
      </c>
      <c r="C17" s="5">
        <v>628</v>
      </c>
      <c r="D17" s="1">
        <v>4</v>
      </c>
      <c r="E17" s="4">
        <v>32.466666666666669</v>
      </c>
      <c r="F17" s="3">
        <v>3.262</v>
      </c>
      <c r="G17" s="1">
        <v>25</v>
      </c>
      <c r="H17" s="1">
        <v>36</v>
      </c>
      <c r="I17" s="2">
        <v>1.7444444444444443E-2</v>
      </c>
      <c r="J17" s="3">
        <v>498.27293814966185</v>
      </c>
      <c r="K17" s="3">
        <v>0.32</v>
      </c>
    </row>
    <row r="18" spans="1:11" x14ac:dyDescent="0.3">
      <c r="B18" s="1">
        <v>10</v>
      </c>
      <c r="C18" s="5">
        <v>628</v>
      </c>
      <c r="D18" s="1">
        <v>4</v>
      </c>
      <c r="E18" s="4">
        <v>32.466666666666669</v>
      </c>
      <c r="F18" s="3">
        <v>3.262</v>
      </c>
      <c r="G18" s="1">
        <v>25</v>
      </c>
      <c r="H18" s="1">
        <v>36</v>
      </c>
      <c r="I18" s="2">
        <v>1.7444444444444443E-2</v>
      </c>
      <c r="J18" s="3">
        <v>502.76188353839768</v>
      </c>
      <c r="K18" s="3">
        <v>0.38</v>
      </c>
    </row>
    <row r="19" spans="1:11" x14ac:dyDescent="0.3">
      <c r="B19" s="1">
        <v>10</v>
      </c>
      <c r="C19" s="5">
        <v>628</v>
      </c>
      <c r="D19" s="1">
        <v>4</v>
      </c>
      <c r="E19" s="4">
        <v>32.466666666666669</v>
      </c>
      <c r="F19" s="3">
        <v>3.262</v>
      </c>
      <c r="G19" s="1">
        <v>25</v>
      </c>
      <c r="H19" s="1">
        <v>36</v>
      </c>
      <c r="I19" s="2">
        <v>1.7444444444444443E-2</v>
      </c>
      <c r="J19" s="3">
        <v>538.67344664828317</v>
      </c>
      <c r="K19" s="3">
        <v>0.42</v>
      </c>
    </row>
    <row r="20" spans="1:11" x14ac:dyDescent="0.3">
      <c r="B20" s="1">
        <v>10</v>
      </c>
      <c r="C20" s="5">
        <v>628</v>
      </c>
      <c r="D20" s="1">
        <v>4</v>
      </c>
      <c r="E20" s="4">
        <v>32.466666666666669</v>
      </c>
      <c r="F20" s="3">
        <v>3.262</v>
      </c>
      <c r="G20" s="1">
        <v>25</v>
      </c>
      <c r="H20" s="1">
        <v>36</v>
      </c>
      <c r="I20" s="2">
        <v>1.7444444444444443E-2</v>
      </c>
      <c r="J20" s="3">
        <v>628</v>
      </c>
      <c r="K20" s="3">
        <v>0.44</v>
      </c>
    </row>
    <row r="21" spans="1:11" x14ac:dyDescent="0.3">
      <c r="B21" s="1">
        <v>10</v>
      </c>
      <c r="C21" s="5">
        <v>628</v>
      </c>
      <c r="D21" s="1">
        <v>4</v>
      </c>
      <c r="E21" s="4">
        <v>32.466666666666669</v>
      </c>
      <c r="F21" s="3">
        <v>3.262</v>
      </c>
      <c r="G21" s="1">
        <v>25</v>
      </c>
      <c r="H21" s="1">
        <v>36</v>
      </c>
      <c r="I21" s="2">
        <v>1.7444444444444443E-2</v>
      </c>
      <c r="J21" s="3">
        <v>628</v>
      </c>
      <c r="K21" s="3">
        <v>0.5</v>
      </c>
    </row>
    <row r="22" spans="1:11" x14ac:dyDescent="0.3">
      <c r="A22" t="s">
        <v>8</v>
      </c>
      <c r="B22" s="1">
        <v>10</v>
      </c>
      <c r="C22" s="5">
        <v>628</v>
      </c>
      <c r="D22" s="1">
        <v>4</v>
      </c>
      <c r="E22" s="4">
        <v>32.466666666666669</v>
      </c>
      <c r="F22" s="3">
        <v>3.5139999999999993</v>
      </c>
      <c r="G22" s="1">
        <v>25</v>
      </c>
      <c r="H22" s="1">
        <v>36</v>
      </c>
      <c r="I22" s="2">
        <v>1.7444444444444443E-2</v>
      </c>
      <c r="J22" s="3">
        <v>321.47187644259361</v>
      </c>
      <c r="K22" s="3">
        <v>0.24</v>
      </c>
    </row>
    <row r="23" spans="1:11" x14ac:dyDescent="0.3">
      <c r="B23" s="1">
        <v>10</v>
      </c>
      <c r="C23" s="5">
        <v>628</v>
      </c>
      <c r="D23" s="1">
        <v>4</v>
      </c>
      <c r="E23" s="4">
        <v>32.466666666666669</v>
      </c>
      <c r="F23" s="3">
        <v>3.5139999999999993</v>
      </c>
      <c r="G23" s="1">
        <v>25</v>
      </c>
      <c r="H23" s="1">
        <v>36</v>
      </c>
      <c r="I23" s="2">
        <v>1.7444444444444443E-2</v>
      </c>
      <c r="J23" s="3">
        <v>357.19097382510409</v>
      </c>
      <c r="K23" s="3">
        <v>0.3</v>
      </c>
    </row>
    <row r="24" spans="1:11" x14ac:dyDescent="0.3">
      <c r="B24" s="1">
        <v>10</v>
      </c>
      <c r="C24" s="5">
        <v>628</v>
      </c>
      <c r="D24" s="1">
        <v>4</v>
      </c>
      <c r="E24" s="4">
        <v>32.466666666666669</v>
      </c>
      <c r="F24" s="3">
        <v>3.5139999999999993</v>
      </c>
      <c r="G24" s="1">
        <v>25</v>
      </c>
      <c r="H24" s="1">
        <v>36</v>
      </c>
      <c r="I24" s="2">
        <v>1.7444444444444443E-2</v>
      </c>
      <c r="J24" s="3">
        <v>370.58563534354545</v>
      </c>
      <c r="K24" s="3">
        <v>0.3</v>
      </c>
    </row>
    <row r="25" spans="1:11" x14ac:dyDescent="0.3">
      <c r="B25" s="1">
        <v>10</v>
      </c>
      <c r="C25" s="5">
        <v>628</v>
      </c>
      <c r="D25" s="1">
        <v>4</v>
      </c>
      <c r="E25" s="4">
        <v>32.466666666666669</v>
      </c>
      <c r="F25" s="3">
        <v>3.5139999999999993</v>
      </c>
      <c r="G25" s="1">
        <v>25</v>
      </c>
      <c r="H25" s="1">
        <v>36</v>
      </c>
      <c r="I25" s="2">
        <v>1.7444444444444443E-2</v>
      </c>
      <c r="J25" s="3">
        <v>392.91007120761441</v>
      </c>
      <c r="K25" s="3">
        <v>0.3</v>
      </c>
    </row>
    <row r="26" spans="1:11" x14ac:dyDescent="0.3">
      <c r="B26" s="1">
        <v>10</v>
      </c>
      <c r="C26" s="5">
        <v>628</v>
      </c>
      <c r="D26" s="1">
        <v>4</v>
      </c>
      <c r="E26" s="4">
        <v>32.466666666666669</v>
      </c>
      <c r="F26" s="3">
        <v>3.5139999999999993</v>
      </c>
      <c r="G26" s="1">
        <v>25</v>
      </c>
      <c r="H26" s="1">
        <v>36</v>
      </c>
      <c r="I26" s="2">
        <v>1.7444444444444443E-2</v>
      </c>
      <c r="J26" s="3">
        <v>424.16428141731097</v>
      </c>
      <c r="K26" s="3">
        <v>0.38</v>
      </c>
    </row>
    <row r="27" spans="1:11" x14ac:dyDescent="0.3">
      <c r="B27" s="1">
        <v>10</v>
      </c>
      <c r="C27" s="5">
        <v>628</v>
      </c>
      <c r="D27" s="1">
        <v>4</v>
      </c>
      <c r="E27" s="4">
        <v>32.466666666666669</v>
      </c>
      <c r="F27" s="3">
        <v>3.5139999999999993</v>
      </c>
      <c r="G27" s="1">
        <v>25</v>
      </c>
      <c r="H27" s="1">
        <v>36</v>
      </c>
      <c r="I27" s="2">
        <v>1.7444444444444443E-2</v>
      </c>
      <c r="J27" s="3">
        <v>491.13758900951802</v>
      </c>
      <c r="K27" s="3">
        <v>0.44</v>
      </c>
    </row>
    <row r="28" spans="1:11" x14ac:dyDescent="0.3">
      <c r="A28" t="s">
        <v>9</v>
      </c>
      <c r="B28" s="1">
        <v>16</v>
      </c>
      <c r="C28" s="5">
        <v>571</v>
      </c>
      <c r="D28" s="1">
        <v>4</v>
      </c>
      <c r="E28" s="4">
        <v>37</v>
      </c>
      <c r="F28" s="3">
        <v>4.2587999999999999</v>
      </c>
      <c r="G28" s="1">
        <v>20</v>
      </c>
      <c r="H28" s="1">
        <v>54</v>
      </c>
      <c r="I28" s="2">
        <v>0.11785107305322007</v>
      </c>
      <c r="J28" s="3">
        <v>136.24998634844746</v>
      </c>
      <c r="K28" s="3">
        <v>0.18</v>
      </c>
    </row>
    <row r="29" spans="1:11" x14ac:dyDescent="0.3">
      <c r="B29" s="1">
        <v>16</v>
      </c>
      <c r="C29" s="5">
        <v>571</v>
      </c>
      <c r="D29" s="1">
        <v>4</v>
      </c>
      <c r="E29" s="4">
        <v>37</v>
      </c>
      <c r="F29" s="3">
        <v>4.2587999999999999</v>
      </c>
      <c r="G29" s="1">
        <v>20</v>
      </c>
      <c r="H29" s="1">
        <v>54</v>
      </c>
      <c r="I29" s="2">
        <v>0.11785107305322007</v>
      </c>
      <c r="J29" s="3">
        <v>196.14009023787494</v>
      </c>
      <c r="K29" s="3">
        <v>0.2</v>
      </c>
    </row>
    <row r="30" spans="1:11" x14ac:dyDescent="0.3">
      <c r="B30" s="1">
        <v>16</v>
      </c>
      <c r="C30" s="5">
        <v>571</v>
      </c>
      <c r="D30" s="1">
        <v>4</v>
      </c>
      <c r="E30" s="4">
        <v>37</v>
      </c>
      <c r="F30" s="3">
        <v>4.2587999999999999</v>
      </c>
      <c r="G30" s="1">
        <v>20</v>
      </c>
      <c r="H30" s="1">
        <v>54</v>
      </c>
      <c r="I30" s="2">
        <v>0.11785107305322007</v>
      </c>
      <c r="J30" s="3">
        <v>237.31453666185638</v>
      </c>
      <c r="K30" s="3">
        <v>0.26</v>
      </c>
    </row>
    <row r="31" spans="1:11" x14ac:dyDescent="0.3">
      <c r="B31" s="1">
        <v>16</v>
      </c>
      <c r="C31" s="5">
        <v>571</v>
      </c>
      <c r="D31" s="1">
        <v>4</v>
      </c>
      <c r="E31" s="4">
        <v>37</v>
      </c>
      <c r="F31" s="3">
        <v>4.2587999999999999</v>
      </c>
      <c r="G31" s="1">
        <v>20</v>
      </c>
      <c r="H31" s="1">
        <v>54</v>
      </c>
      <c r="I31" s="2">
        <v>0.11785107305322007</v>
      </c>
      <c r="J31" s="3">
        <v>305.43952983608006</v>
      </c>
      <c r="K31" s="3">
        <v>0.44</v>
      </c>
    </row>
    <row r="32" spans="1:11" x14ac:dyDescent="0.3">
      <c r="B32" s="1">
        <v>16</v>
      </c>
      <c r="C32" s="5">
        <v>571</v>
      </c>
      <c r="D32" s="1">
        <v>4</v>
      </c>
      <c r="E32" s="4">
        <v>37</v>
      </c>
      <c r="F32" s="3">
        <v>4.2587999999999999</v>
      </c>
      <c r="G32" s="1">
        <v>20</v>
      </c>
      <c r="H32" s="1">
        <v>54</v>
      </c>
      <c r="I32" s="2">
        <v>0.11785107305322007</v>
      </c>
      <c r="J32" s="3">
        <v>405.00682755225324</v>
      </c>
      <c r="K32" s="3">
        <v>0.6</v>
      </c>
    </row>
    <row r="33" spans="1:11" x14ac:dyDescent="0.3">
      <c r="A33" t="s">
        <v>10</v>
      </c>
      <c r="B33" s="1">
        <v>12</v>
      </c>
      <c r="C33" s="5">
        <v>500</v>
      </c>
      <c r="D33" s="1">
        <v>4</v>
      </c>
      <c r="E33" s="4">
        <v>79.3</v>
      </c>
      <c r="F33" s="3">
        <v>2.6933292113182881</v>
      </c>
      <c r="G33" s="1">
        <v>20</v>
      </c>
      <c r="H33" s="1">
        <v>38</v>
      </c>
      <c r="I33" s="2">
        <v>1.3593984962406014E-2</v>
      </c>
      <c r="J33" s="3">
        <v>300.43295624924116</v>
      </c>
      <c r="K33" s="3">
        <v>0.36</v>
      </c>
    </row>
    <row r="34" spans="1:11" x14ac:dyDescent="0.3">
      <c r="B34" s="1">
        <v>12</v>
      </c>
      <c r="C34" s="5">
        <v>500</v>
      </c>
      <c r="D34" s="1">
        <v>4</v>
      </c>
      <c r="E34" s="4">
        <v>79.3</v>
      </c>
      <c r="F34" s="3">
        <v>2.6933292113182881</v>
      </c>
      <c r="G34" s="1">
        <v>20</v>
      </c>
      <c r="H34" s="1">
        <v>38</v>
      </c>
      <c r="I34" s="2">
        <v>1.3593984962406014E-2</v>
      </c>
      <c r="J34" s="3">
        <v>386.27094374902435</v>
      </c>
      <c r="K34" s="3">
        <v>0.43</v>
      </c>
    </row>
    <row r="35" spans="1:11" x14ac:dyDescent="0.3">
      <c r="B35" s="1">
        <v>12</v>
      </c>
      <c r="C35" s="5">
        <v>500</v>
      </c>
      <c r="D35" s="1">
        <v>4</v>
      </c>
      <c r="E35" s="4">
        <v>79.3</v>
      </c>
      <c r="F35" s="3">
        <v>2.6933292113182881</v>
      </c>
      <c r="G35" s="1">
        <v>20</v>
      </c>
      <c r="H35" s="1">
        <v>38</v>
      </c>
      <c r="I35" s="2">
        <v>1.3593984962406014E-2</v>
      </c>
      <c r="J35" s="3">
        <v>500</v>
      </c>
      <c r="K35" s="3">
        <v>0.56000000000000005</v>
      </c>
    </row>
    <row r="36" spans="1:11" x14ac:dyDescent="0.3">
      <c r="B36" s="1">
        <v>12</v>
      </c>
      <c r="C36" s="5">
        <v>500</v>
      </c>
      <c r="D36" s="1">
        <v>4</v>
      </c>
      <c r="E36" s="4">
        <v>79.3</v>
      </c>
      <c r="F36" s="3">
        <v>2.6933292113182881</v>
      </c>
      <c r="G36" s="1">
        <v>20</v>
      </c>
      <c r="H36" s="1">
        <v>38</v>
      </c>
      <c r="I36" s="2">
        <v>1.3593984962406014E-2</v>
      </c>
      <c r="J36" s="3">
        <v>500</v>
      </c>
      <c r="K36" s="3">
        <v>0.71</v>
      </c>
    </row>
    <row r="37" spans="1:11" x14ac:dyDescent="0.3">
      <c r="B37" s="1">
        <v>12</v>
      </c>
      <c r="C37" s="5">
        <v>500</v>
      </c>
      <c r="D37" s="1">
        <v>4</v>
      </c>
      <c r="E37" s="4">
        <v>79.3</v>
      </c>
      <c r="F37" s="3">
        <v>2.6933292113182881</v>
      </c>
      <c r="G37" s="1">
        <v>20</v>
      </c>
      <c r="H37" s="1">
        <v>38</v>
      </c>
      <c r="I37" s="2">
        <v>1.3593984962406014E-2</v>
      </c>
      <c r="J37" s="3">
        <v>500</v>
      </c>
      <c r="K37" s="3">
        <v>0.79</v>
      </c>
    </row>
    <row r="38" spans="1:11" x14ac:dyDescent="0.3">
      <c r="A38" t="s">
        <v>11</v>
      </c>
      <c r="B38" s="1">
        <v>25</v>
      </c>
      <c r="C38" s="5">
        <v>500</v>
      </c>
      <c r="D38" s="1">
        <v>4</v>
      </c>
      <c r="E38" s="4">
        <v>62</v>
      </c>
      <c r="F38" s="3">
        <v>2.6933292113182881</v>
      </c>
      <c r="G38" s="1">
        <v>20</v>
      </c>
      <c r="H38" s="1">
        <v>44.5</v>
      </c>
      <c r="I38" s="2">
        <v>5.4467051199458924E-2</v>
      </c>
      <c r="J38" s="3">
        <v>106.51265522599461</v>
      </c>
      <c r="K38" s="3">
        <v>0.2</v>
      </c>
    </row>
    <row r="39" spans="1:11" x14ac:dyDescent="0.3">
      <c r="B39" s="1">
        <v>25</v>
      </c>
      <c r="C39" s="5">
        <v>500</v>
      </c>
      <c r="D39" s="1">
        <v>4</v>
      </c>
      <c r="E39" s="4">
        <v>62</v>
      </c>
      <c r="F39" s="3">
        <v>2.6933292113182881</v>
      </c>
      <c r="G39" s="1">
        <v>20</v>
      </c>
      <c r="H39" s="1">
        <v>44.5</v>
      </c>
      <c r="I39" s="2">
        <v>5.4467051199458924E-2</v>
      </c>
      <c r="J39" s="3">
        <v>191.72277940679027</v>
      </c>
      <c r="K39" s="3">
        <v>0.25</v>
      </c>
    </row>
    <row r="40" spans="1:11" x14ac:dyDescent="0.3">
      <c r="B40" s="1">
        <v>25</v>
      </c>
      <c r="C40" s="5">
        <v>500</v>
      </c>
      <c r="D40" s="1">
        <v>4</v>
      </c>
      <c r="E40" s="4">
        <v>62</v>
      </c>
      <c r="F40" s="3">
        <v>2.6933292113182881</v>
      </c>
      <c r="G40" s="1">
        <v>20</v>
      </c>
      <c r="H40" s="1">
        <v>44.5</v>
      </c>
      <c r="I40" s="2">
        <v>5.4467051199458924E-2</v>
      </c>
      <c r="J40" s="3">
        <v>276.93290358758594</v>
      </c>
      <c r="K40" s="3">
        <v>0.36</v>
      </c>
    </row>
    <row r="41" spans="1:11" x14ac:dyDescent="0.3">
      <c r="B41" s="1">
        <v>25</v>
      </c>
      <c r="C41" s="5">
        <v>500</v>
      </c>
      <c r="D41" s="1">
        <v>4</v>
      </c>
      <c r="E41" s="4">
        <v>62</v>
      </c>
      <c r="F41" s="3">
        <v>2.6933292113182881</v>
      </c>
      <c r="G41" s="1">
        <v>20</v>
      </c>
      <c r="H41" s="1">
        <v>44.5</v>
      </c>
      <c r="I41" s="2">
        <v>5.4467051199458924E-2</v>
      </c>
      <c r="J41" s="3">
        <v>362.14302776838161</v>
      </c>
      <c r="K41" s="3">
        <v>0.47</v>
      </c>
    </row>
    <row r="42" spans="1:11" x14ac:dyDescent="0.3">
      <c r="B42" s="1">
        <v>25</v>
      </c>
      <c r="C42" s="5">
        <v>500</v>
      </c>
      <c r="D42" s="1">
        <v>4</v>
      </c>
      <c r="E42" s="4">
        <v>62</v>
      </c>
      <c r="F42" s="3">
        <v>2.6933292113182881</v>
      </c>
      <c r="G42" s="1">
        <v>20</v>
      </c>
      <c r="H42" s="1">
        <v>44.5</v>
      </c>
      <c r="I42" s="2">
        <v>5.4467051199458924E-2</v>
      </c>
      <c r="J42" s="3">
        <v>426.05062090397843</v>
      </c>
      <c r="K42" s="3">
        <v>0.56999999999999995</v>
      </c>
    </row>
    <row r="43" spans="1:11" x14ac:dyDescent="0.3">
      <c r="B43" s="1">
        <v>25</v>
      </c>
      <c r="C43" s="5">
        <v>500</v>
      </c>
      <c r="D43" s="1">
        <v>4</v>
      </c>
      <c r="E43" s="4">
        <v>62</v>
      </c>
      <c r="F43" s="3">
        <v>2.6933292113182881</v>
      </c>
      <c r="G43" s="1">
        <v>20</v>
      </c>
      <c r="H43" s="1">
        <v>44.5</v>
      </c>
      <c r="I43" s="2">
        <v>5.4467051199458924E-2</v>
      </c>
      <c r="J43" s="3">
        <v>500</v>
      </c>
      <c r="K43" s="3">
        <v>0.78</v>
      </c>
    </row>
    <row r="44" spans="1:11" x14ac:dyDescent="0.3">
      <c r="A44" t="s">
        <v>12</v>
      </c>
      <c r="B44" s="1">
        <v>12</v>
      </c>
      <c r="C44" s="5">
        <v>500</v>
      </c>
      <c r="D44" s="1">
        <v>4</v>
      </c>
      <c r="E44" s="4">
        <v>79.3</v>
      </c>
      <c r="F44" s="3">
        <v>2.6933292113182881</v>
      </c>
      <c r="G44" s="1">
        <v>20</v>
      </c>
      <c r="H44" s="1">
        <v>34</v>
      </c>
      <c r="I44" s="2">
        <v>1.5193277310924369E-2</v>
      </c>
      <c r="J44" s="3">
        <v>212.47112712608967</v>
      </c>
      <c r="K44" s="3">
        <v>0.21</v>
      </c>
    </row>
    <row r="45" spans="1:11" x14ac:dyDescent="0.3">
      <c r="B45" s="1">
        <v>12</v>
      </c>
      <c r="C45" s="5">
        <v>500</v>
      </c>
      <c r="D45" s="1">
        <v>4</v>
      </c>
      <c r="E45" s="4">
        <v>79.3</v>
      </c>
      <c r="F45" s="3">
        <v>2.6933292113182881</v>
      </c>
      <c r="G45" s="1">
        <v>20</v>
      </c>
      <c r="H45" s="1">
        <v>34</v>
      </c>
      <c r="I45" s="2">
        <v>1.5193277310924369E-2</v>
      </c>
      <c r="J45" s="3">
        <v>254.96535255130757</v>
      </c>
      <c r="K45" s="3">
        <v>0.31</v>
      </c>
    </row>
    <row r="46" spans="1:11" x14ac:dyDescent="0.3">
      <c r="B46" s="1">
        <v>12</v>
      </c>
      <c r="C46" s="5">
        <v>500</v>
      </c>
      <c r="D46" s="1">
        <v>4</v>
      </c>
      <c r="E46" s="4">
        <v>79.3</v>
      </c>
      <c r="F46" s="3">
        <v>2.6933292113182881</v>
      </c>
      <c r="G46" s="1">
        <v>20</v>
      </c>
      <c r="H46" s="1">
        <v>34</v>
      </c>
      <c r="I46" s="2">
        <v>1.5193277310924369E-2</v>
      </c>
      <c r="J46" s="3">
        <v>297.45957797652545</v>
      </c>
      <c r="K46" s="3">
        <v>0.38</v>
      </c>
    </row>
    <row r="47" spans="1:11" x14ac:dyDescent="0.3">
      <c r="B47" s="1">
        <v>12</v>
      </c>
      <c r="C47" s="5">
        <v>500</v>
      </c>
      <c r="D47" s="1">
        <v>4</v>
      </c>
      <c r="E47" s="4">
        <v>79.3</v>
      </c>
      <c r="F47" s="3">
        <v>2.6933292113182881</v>
      </c>
      <c r="G47" s="1">
        <v>20</v>
      </c>
      <c r="H47" s="1">
        <v>34</v>
      </c>
      <c r="I47" s="2">
        <v>1.5193277310924369E-2</v>
      </c>
      <c r="J47" s="3">
        <v>382.44802882696138</v>
      </c>
      <c r="K47" s="3">
        <v>0.52</v>
      </c>
    </row>
    <row r="48" spans="1:11" x14ac:dyDescent="0.3">
      <c r="B48" s="1">
        <v>12</v>
      </c>
      <c r="C48" s="5">
        <v>500</v>
      </c>
      <c r="D48" s="1">
        <v>4</v>
      </c>
      <c r="E48" s="4">
        <v>79.3</v>
      </c>
      <c r="F48" s="3">
        <v>2.6933292113182881</v>
      </c>
      <c r="G48" s="1">
        <v>20</v>
      </c>
      <c r="H48" s="1">
        <v>34</v>
      </c>
      <c r="I48" s="2">
        <v>1.5193277310924369E-2</v>
      </c>
      <c r="J48" s="3">
        <v>500</v>
      </c>
      <c r="K48" s="3">
        <v>0.74</v>
      </c>
    </row>
    <row r="49" spans="1:11" x14ac:dyDescent="0.3">
      <c r="A49" t="s">
        <v>13</v>
      </c>
      <c r="B49" s="1">
        <v>12</v>
      </c>
      <c r="C49" s="5">
        <v>500</v>
      </c>
      <c r="D49" s="1">
        <v>4</v>
      </c>
      <c r="E49" s="4">
        <v>79.3</v>
      </c>
      <c r="F49" s="3">
        <v>2.6933292113182881</v>
      </c>
      <c r="G49" s="1">
        <v>20</v>
      </c>
      <c r="H49" s="1">
        <v>34</v>
      </c>
      <c r="I49" s="2">
        <v>1.5193277310924369E-2</v>
      </c>
      <c r="J49" s="3">
        <v>212.47112712608967</v>
      </c>
      <c r="K49" s="3">
        <v>0.17</v>
      </c>
    </row>
    <row r="50" spans="1:11" x14ac:dyDescent="0.3">
      <c r="B50" s="1">
        <v>12</v>
      </c>
      <c r="C50" s="5">
        <v>500</v>
      </c>
      <c r="D50" s="1">
        <v>4</v>
      </c>
      <c r="E50" s="4">
        <v>79.3</v>
      </c>
      <c r="F50" s="3">
        <v>2.6933292113182881</v>
      </c>
      <c r="G50" s="1">
        <v>20</v>
      </c>
      <c r="H50" s="1">
        <v>34</v>
      </c>
      <c r="I50" s="2">
        <v>1.5193277310924369E-2</v>
      </c>
      <c r="J50" s="3">
        <v>297.45957797652545</v>
      </c>
      <c r="K50" s="3">
        <v>0.36</v>
      </c>
    </row>
    <row r="51" spans="1:11" x14ac:dyDescent="0.3">
      <c r="B51" s="1">
        <v>12</v>
      </c>
      <c r="C51" s="5">
        <v>500</v>
      </c>
      <c r="D51" s="1">
        <v>4</v>
      </c>
      <c r="E51" s="4">
        <v>79.3</v>
      </c>
      <c r="F51" s="3">
        <v>2.6933292113182881</v>
      </c>
      <c r="G51" s="1">
        <v>20</v>
      </c>
      <c r="H51" s="1">
        <v>34</v>
      </c>
      <c r="I51" s="2">
        <v>1.5193277310924369E-2</v>
      </c>
      <c r="J51" s="3">
        <v>382.44802882696138</v>
      </c>
      <c r="K51" s="3">
        <v>0.56000000000000005</v>
      </c>
    </row>
    <row r="52" spans="1:11" x14ac:dyDescent="0.3">
      <c r="B52" s="1">
        <v>12</v>
      </c>
      <c r="C52" s="5">
        <v>500</v>
      </c>
      <c r="D52" s="1">
        <v>4</v>
      </c>
      <c r="E52" s="4">
        <v>79.3</v>
      </c>
      <c r="F52" s="3">
        <v>2.6933292113182881</v>
      </c>
      <c r="G52" s="1">
        <v>20</v>
      </c>
      <c r="H52" s="1">
        <v>34</v>
      </c>
      <c r="I52" s="2">
        <v>1.5193277310924369E-2</v>
      </c>
      <c r="J52" s="3">
        <v>500</v>
      </c>
      <c r="K52" s="3">
        <v>0.78</v>
      </c>
    </row>
    <row r="53" spans="1:11" x14ac:dyDescent="0.3">
      <c r="A53" t="s">
        <v>14</v>
      </c>
      <c r="B53" s="1">
        <v>12</v>
      </c>
      <c r="C53" s="5">
        <v>500</v>
      </c>
      <c r="D53" s="1">
        <v>4</v>
      </c>
      <c r="E53" s="4">
        <v>46</v>
      </c>
      <c r="F53" s="3">
        <v>2.6933292113182881</v>
      </c>
      <c r="G53" s="1">
        <v>70</v>
      </c>
      <c r="H53" s="1">
        <v>88</v>
      </c>
      <c r="I53" s="2">
        <v>1.0220067765707051E-2</v>
      </c>
      <c r="J53" s="3">
        <v>245.19477048546645</v>
      </c>
      <c r="K53" s="3">
        <v>0.31</v>
      </c>
    </row>
    <row r="54" spans="1:11" x14ac:dyDescent="0.3">
      <c r="B54" s="1">
        <v>12</v>
      </c>
      <c r="C54" s="5">
        <v>500</v>
      </c>
      <c r="D54" s="1">
        <v>4</v>
      </c>
      <c r="E54" s="4">
        <v>46</v>
      </c>
      <c r="F54" s="3">
        <v>2.6933292113182881</v>
      </c>
      <c r="G54" s="1">
        <v>70</v>
      </c>
      <c r="H54" s="1">
        <v>88</v>
      </c>
      <c r="I54" s="2">
        <v>1.0220067765707051E-2</v>
      </c>
      <c r="J54" s="3">
        <v>294.23372458255977</v>
      </c>
      <c r="K54" s="3">
        <v>0.44</v>
      </c>
    </row>
    <row r="55" spans="1:11" x14ac:dyDescent="0.3">
      <c r="A55" t="s">
        <v>15</v>
      </c>
      <c r="B55" s="1">
        <v>12</v>
      </c>
      <c r="C55" s="5">
        <v>500</v>
      </c>
      <c r="D55" s="1">
        <v>4</v>
      </c>
      <c r="E55" s="4">
        <v>46</v>
      </c>
      <c r="F55" s="3">
        <v>2.6933292113182881</v>
      </c>
      <c r="G55" s="1">
        <v>70</v>
      </c>
      <c r="H55" s="1">
        <v>84</v>
      </c>
      <c r="I55" s="2">
        <v>1.0231758789687727E-2</v>
      </c>
      <c r="J55" s="3">
        <v>193.94581491041436</v>
      </c>
      <c r="K55" s="3">
        <v>0.14000000000000001</v>
      </c>
    </row>
    <row r="56" spans="1:11" x14ac:dyDescent="0.3">
      <c r="B56" s="1">
        <v>12</v>
      </c>
      <c r="C56" s="5">
        <v>500</v>
      </c>
      <c r="D56" s="1">
        <v>4</v>
      </c>
      <c r="E56" s="4">
        <v>46</v>
      </c>
      <c r="F56" s="3">
        <v>2.6933292113182881</v>
      </c>
      <c r="G56" s="1">
        <v>70</v>
      </c>
      <c r="H56" s="1">
        <v>84</v>
      </c>
      <c r="I56" s="2">
        <v>1.0231758789687727E-2</v>
      </c>
      <c r="J56" s="3">
        <v>242.43226863801794</v>
      </c>
      <c r="K56" s="3">
        <v>0.31</v>
      </c>
    </row>
    <row r="57" spans="1:11" x14ac:dyDescent="0.3">
      <c r="B57" s="1">
        <v>12</v>
      </c>
      <c r="C57" s="5">
        <v>500</v>
      </c>
      <c r="D57" s="1">
        <v>4</v>
      </c>
      <c r="E57" s="4">
        <v>46</v>
      </c>
      <c r="F57" s="3">
        <v>2.6933292113182881</v>
      </c>
      <c r="G57" s="1">
        <v>70</v>
      </c>
      <c r="H57" s="1">
        <v>84</v>
      </c>
      <c r="I57" s="2">
        <v>1.0231758789687727E-2</v>
      </c>
      <c r="J57" s="3">
        <v>290.91872236562153</v>
      </c>
      <c r="K57" s="3">
        <v>0.4</v>
      </c>
    </row>
    <row r="58" spans="1:11" x14ac:dyDescent="0.3">
      <c r="A58" t="s">
        <v>16</v>
      </c>
      <c r="B58" s="1">
        <v>12</v>
      </c>
      <c r="C58" s="5">
        <v>500</v>
      </c>
      <c r="D58" s="1">
        <v>4</v>
      </c>
      <c r="E58" s="4">
        <v>46</v>
      </c>
      <c r="F58" s="3">
        <v>2.6933292113182881</v>
      </c>
      <c r="G58" s="1">
        <v>70</v>
      </c>
      <c r="H58" s="1">
        <v>84</v>
      </c>
      <c r="I58" s="2">
        <v>1.0231758789687727E-2</v>
      </c>
      <c r="J58" s="3">
        <v>193.94581491041436</v>
      </c>
      <c r="K58" s="3">
        <v>0.25</v>
      </c>
    </row>
    <row r="59" spans="1:11" x14ac:dyDescent="0.3">
      <c r="B59" s="1">
        <v>12</v>
      </c>
      <c r="C59" s="5">
        <v>500</v>
      </c>
      <c r="D59" s="1">
        <v>4</v>
      </c>
      <c r="E59" s="4">
        <v>46</v>
      </c>
      <c r="F59" s="3">
        <v>2.6933292113182881</v>
      </c>
      <c r="G59" s="1">
        <v>70</v>
      </c>
      <c r="H59" s="1">
        <v>84</v>
      </c>
      <c r="I59" s="2">
        <v>1.0231758789687727E-2</v>
      </c>
      <c r="J59" s="3">
        <v>242.43226863801794</v>
      </c>
      <c r="K59" s="3">
        <v>0.44</v>
      </c>
    </row>
    <row r="60" spans="1:11" x14ac:dyDescent="0.3">
      <c r="B60" s="1">
        <v>12</v>
      </c>
      <c r="C60" s="5">
        <v>500</v>
      </c>
      <c r="D60" s="1">
        <v>4</v>
      </c>
      <c r="E60" s="4">
        <v>46</v>
      </c>
      <c r="F60" s="3">
        <v>2.6933292113182881</v>
      </c>
      <c r="G60" s="1">
        <v>70</v>
      </c>
      <c r="H60" s="1">
        <v>84</v>
      </c>
      <c r="I60" s="2">
        <v>1.0231758789687727E-2</v>
      </c>
      <c r="J60" s="3">
        <v>290.91872236562153</v>
      </c>
      <c r="K60" s="3">
        <v>0.56000000000000005</v>
      </c>
    </row>
    <row r="61" spans="1:11" x14ac:dyDescent="0.3">
      <c r="A61" t="s">
        <v>17</v>
      </c>
      <c r="B61" s="1">
        <v>25</v>
      </c>
      <c r="C61" s="5">
        <v>500</v>
      </c>
      <c r="D61" s="1">
        <v>4</v>
      </c>
      <c r="E61" s="4">
        <v>62</v>
      </c>
      <c r="F61" s="3">
        <v>2.6933292113182881</v>
      </c>
      <c r="G61" s="1">
        <v>20</v>
      </c>
      <c r="H61" s="1">
        <v>40.5</v>
      </c>
      <c r="I61" s="2">
        <v>5.5421516754850089E-2</v>
      </c>
      <c r="J61" s="3">
        <v>210.83754926858927</v>
      </c>
      <c r="K61" s="3">
        <v>0.23</v>
      </c>
    </row>
    <row r="62" spans="1:11" x14ac:dyDescent="0.3">
      <c r="B62" s="1">
        <v>25</v>
      </c>
      <c r="C62" s="5">
        <v>500</v>
      </c>
      <c r="D62" s="1">
        <v>4</v>
      </c>
      <c r="E62" s="4">
        <v>62</v>
      </c>
      <c r="F62" s="3">
        <v>2.6933292113182881</v>
      </c>
      <c r="G62" s="1">
        <v>20</v>
      </c>
      <c r="H62" s="1">
        <v>40.5</v>
      </c>
      <c r="I62" s="2">
        <v>5.5421516754850089E-2</v>
      </c>
      <c r="J62" s="3">
        <v>316.25632390288388</v>
      </c>
      <c r="K62" s="3">
        <v>0.35</v>
      </c>
    </row>
    <row r="63" spans="1:11" x14ac:dyDescent="0.3">
      <c r="B63" s="1">
        <v>25</v>
      </c>
      <c r="C63" s="5">
        <v>500</v>
      </c>
      <c r="D63" s="1">
        <v>4</v>
      </c>
      <c r="E63" s="4">
        <v>62</v>
      </c>
      <c r="F63" s="3">
        <v>2.6933292113182881</v>
      </c>
      <c r="G63" s="1">
        <v>20</v>
      </c>
      <c r="H63" s="1">
        <v>40.5</v>
      </c>
      <c r="I63" s="2">
        <v>5.5421516754850089E-2</v>
      </c>
      <c r="J63" s="3">
        <v>421.67509853717854</v>
      </c>
      <c r="K63" s="3">
        <v>0.49</v>
      </c>
    </row>
    <row r="64" spans="1:11" x14ac:dyDescent="0.3">
      <c r="B64" s="1">
        <v>25</v>
      </c>
      <c r="C64" s="5">
        <v>500</v>
      </c>
      <c r="D64" s="1">
        <v>4</v>
      </c>
      <c r="E64" s="4">
        <v>62</v>
      </c>
      <c r="F64" s="3">
        <v>2.6933292113182881</v>
      </c>
      <c r="G64" s="1">
        <v>20</v>
      </c>
      <c r="H64" s="1">
        <v>40.5</v>
      </c>
      <c r="I64" s="2">
        <v>5.5421516754850089E-2</v>
      </c>
      <c r="J64" s="3">
        <v>500</v>
      </c>
      <c r="K64" s="3">
        <v>0.67</v>
      </c>
    </row>
    <row r="65" spans="1:11" x14ac:dyDescent="0.3">
      <c r="A65" t="s">
        <v>18</v>
      </c>
      <c r="B65" s="1">
        <v>25</v>
      </c>
      <c r="C65" s="5">
        <v>500</v>
      </c>
      <c r="D65" s="1">
        <v>4</v>
      </c>
      <c r="E65" s="4">
        <v>62</v>
      </c>
      <c r="F65" s="3">
        <v>2.6933292113182881</v>
      </c>
      <c r="G65" s="1">
        <v>20</v>
      </c>
      <c r="H65" s="1">
        <v>40.5</v>
      </c>
      <c r="I65" s="2">
        <v>5.5421516754850089E-2</v>
      </c>
      <c r="J65" s="3">
        <v>210.83754926858927</v>
      </c>
      <c r="K65" s="3">
        <v>0.27</v>
      </c>
    </row>
    <row r="66" spans="1:11" x14ac:dyDescent="0.3">
      <c r="B66" s="1">
        <v>25</v>
      </c>
      <c r="C66" s="5">
        <v>500</v>
      </c>
      <c r="D66" s="1">
        <v>4</v>
      </c>
      <c r="E66" s="4">
        <v>62</v>
      </c>
      <c r="F66" s="3">
        <v>2.6933292113182881</v>
      </c>
      <c r="G66" s="1">
        <v>20</v>
      </c>
      <c r="H66" s="1">
        <v>40.5</v>
      </c>
      <c r="I66" s="2">
        <v>5.5421516754850089E-2</v>
      </c>
      <c r="J66" s="3">
        <v>316.25632390288388</v>
      </c>
      <c r="K66" s="3">
        <v>0.4</v>
      </c>
    </row>
    <row r="67" spans="1:11" x14ac:dyDescent="0.3">
      <c r="B67" s="1">
        <v>25</v>
      </c>
      <c r="C67" s="5">
        <v>500</v>
      </c>
      <c r="D67" s="1">
        <v>4</v>
      </c>
      <c r="E67" s="4">
        <v>62</v>
      </c>
      <c r="F67" s="3">
        <v>2.6933292113182881</v>
      </c>
      <c r="G67" s="1">
        <v>20</v>
      </c>
      <c r="H67" s="1">
        <v>40.5</v>
      </c>
      <c r="I67" s="2">
        <v>5.5421516754850089E-2</v>
      </c>
      <c r="J67" s="3">
        <v>421.67509853717854</v>
      </c>
      <c r="K67" s="3">
        <v>0.53</v>
      </c>
    </row>
    <row r="68" spans="1:11" x14ac:dyDescent="0.3">
      <c r="B68" s="1">
        <v>25</v>
      </c>
      <c r="C68" s="5">
        <v>500</v>
      </c>
      <c r="D68" s="1">
        <v>4</v>
      </c>
      <c r="E68" s="4">
        <v>62</v>
      </c>
      <c r="F68" s="3">
        <v>2.6933292113182881</v>
      </c>
      <c r="G68" s="1">
        <v>20</v>
      </c>
      <c r="H68" s="1">
        <v>40.5</v>
      </c>
      <c r="I68" s="2">
        <v>5.5421516754850089E-2</v>
      </c>
      <c r="J68" s="3">
        <v>500</v>
      </c>
      <c r="K68" s="3">
        <v>0.72</v>
      </c>
    </row>
    <row r="69" spans="1:11" x14ac:dyDescent="0.3">
      <c r="A69" t="s">
        <v>19</v>
      </c>
      <c r="B69" s="1">
        <v>25</v>
      </c>
      <c r="C69" s="5">
        <v>500</v>
      </c>
      <c r="D69" s="1">
        <v>4</v>
      </c>
      <c r="E69" s="4">
        <v>28.7</v>
      </c>
      <c r="F69" s="3">
        <v>2.6933292113182881</v>
      </c>
      <c r="G69" s="1">
        <v>70</v>
      </c>
      <c r="H69" s="1">
        <v>94.5</v>
      </c>
      <c r="I69" s="2">
        <v>5.2620596145749564E-2</v>
      </c>
      <c r="J69" s="3">
        <v>122.34076582972288</v>
      </c>
      <c r="K69" s="3">
        <v>0.3</v>
      </c>
    </row>
    <row r="70" spans="1:11" x14ac:dyDescent="0.3">
      <c r="B70" s="1">
        <v>25</v>
      </c>
      <c r="C70" s="5">
        <v>500</v>
      </c>
      <c r="D70" s="1">
        <v>4</v>
      </c>
      <c r="E70" s="4">
        <v>28.7</v>
      </c>
      <c r="F70" s="3">
        <v>2.6933292113182881</v>
      </c>
      <c r="G70" s="1">
        <v>70</v>
      </c>
      <c r="H70" s="1">
        <v>94.5</v>
      </c>
      <c r="I70" s="2">
        <v>5.2620596145749564E-2</v>
      </c>
      <c r="J70" s="3">
        <v>244.68153165944577</v>
      </c>
      <c r="K70" s="3">
        <v>0.56999999999999995</v>
      </c>
    </row>
    <row r="71" spans="1:11" x14ac:dyDescent="0.3">
      <c r="A71" t="s">
        <v>20</v>
      </c>
      <c r="B71" s="1">
        <v>25</v>
      </c>
      <c r="C71" s="5">
        <v>500</v>
      </c>
      <c r="D71" s="1">
        <v>4</v>
      </c>
      <c r="E71" s="4">
        <v>28.7</v>
      </c>
      <c r="F71" s="3">
        <v>2.6933292113182881</v>
      </c>
      <c r="G71" s="1">
        <v>70</v>
      </c>
      <c r="H71" s="1">
        <v>90.5</v>
      </c>
      <c r="I71" s="2">
        <v>5.2767941707515108E-2</v>
      </c>
      <c r="J71" s="3">
        <v>120.90671371295994</v>
      </c>
      <c r="K71" s="3">
        <v>0.26</v>
      </c>
    </row>
    <row r="72" spans="1:11" x14ac:dyDescent="0.3">
      <c r="B72" s="1">
        <v>25</v>
      </c>
      <c r="C72" s="5">
        <v>500</v>
      </c>
      <c r="D72" s="1">
        <v>4</v>
      </c>
      <c r="E72" s="4">
        <v>28.7</v>
      </c>
      <c r="F72" s="3">
        <v>2.6933292113182881</v>
      </c>
      <c r="G72" s="1">
        <v>70</v>
      </c>
      <c r="H72" s="1">
        <v>90.5</v>
      </c>
      <c r="I72" s="2">
        <v>5.2767941707515108E-2</v>
      </c>
      <c r="J72" s="3">
        <v>241.81342742591988</v>
      </c>
      <c r="K72" s="3">
        <v>0.6</v>
      </c>
    </row>
    <row r="73" spans="1:11" x14ac:dyDescent="0.3">
      <c r="A73" t="s">
        <v>21</v>
      </c>
      <c r="B73" s="1">
        <v>25</v>
      </c>
      <c r="C73" s="5">
        <v>500</v>
      </c>
      <c r="D73" s="1">
        <v>4</v>
      </c>
      <c r="E73" s="4">
        <v>28.7</v>
      </c>
      <c r="F73" s="3">
        <v>2.6933292113182881</v>
      </c>
      <c r="G73" s="1">
        <v>70</v>
      </c>
      <c r="H73" s="1">
        <v>90.5</v>
      </c>
      <c r="I73" s="2">
        <v>5.2767941707515108E-2</v>
      </c>
      <c r="J73" s="3">
        <v>120.90671371295994</v>
      </c>
      <c r="K73" s="3">
        <v>0.27</v>
      </c>
    </row>
    <row r="74" spans="1:11" x14ac:dyDescent="0.3">
      <c r="B74" s="1">
        <v>25</v>
      </c>
      <c r="C74" s="5">
        <v>500</v>
      </c>
      <c r="D74" s="1">
        <v>4</v>
      </c>
      <c r="E74" s="4">
        <v>28.7</v>
      </c>
      <c r="F74" s="3">
        <v>2.6933292113182881</v>
      </c>
      <c r="G74" s="1">
        <v>70</v>
      </c>
      <c r="H74" s="1">
        <v>90.5</v>
      </c>
      <c r="I74" s="2">
        <v>5.2767941707515108E-2</v>
      </c>
      <c r="J74" s="3">
        <v>241.81342742591988</v>
      </c>
      <c r="K74" s="3">
        <v>0.59</v>
      </c>
    </row>
    <row r="75" spans="1:11" x14ac:dyDescent="0.3">
      <c r="A75" t="s">
        <v>22</v>
      </c>
      <c r="B75" s="1">
        <v>9.52</v>
      </c>
      <c r="C75" s="5">
        <v>434</v>
      </c>
      <c r="D75" s="1">
        <v>3</v>
      </c>
      <c r="E75" s="4">
        <v>22.2</v>
      </c>
      <c r="F75" s="3">
        <v>3.5641600019995088</v>
      </c>
      <c r="G75" s="1">
        <v>20.64</v>
      </c>
      <c r="H75" s="1">
        <v>25.4</v>
      </c>
      <c r="I75" s="2">
        <v>3.2448510099947522E-2</v>
      </c>
      <c r="J75" s="3">
        <v>295.47063165325955</v>
      </c>
      <c r="K75" s="3">
        <v>0.15</v>
      </c>
    </row>
    <row r="76" spans="1:11" x14ac:dyDescent="0.3">
      <c r="B76" s="1">
        <v>9.52</v>
      </c>
      <c r="C76" s="5">
        <v>434</v>
      </c>
      <c r="D76" s="1">
        <v>3</v>
      </c>
      <c r="E76" s="4">
        <v>22.2</v>
      </c>
      <c r="F76" s="3">
        <v>3.5641600019995088</v>
      </c>
      <c r="G76" s="1">
        <v>20.64</v>
      </c>
      <c r="H76" s="1">
        <v>25.4</v>
      </c>
      <c r="I76" s="2">
        <v>3.2448510099947522E-2</v>
      </c>
      <c r="J76" s="3">
        <v>343.86668338956935</v>
      </c>
      <c r="K76" s="3">
        <v>0.17</v>
      </c>
    </row>
    <row r="77" spans="1:11" x14ac:dyDescent="0.3">
      <c r="A77" t="s">
        <v>23</v>
      </c>
      <c r="B77" s="1">
        <v>12.7</v>
      </c>
      <c r="C77" s="5">
        <v>434</v>
      </c>
      <c r="D77" s="1">
        <v>3</v>
      </c>
      <c r="E77" s="4">
        <v>19.05</v>
      </c>
      <c r="F77" s="3">
        <v>3.9766081638229425</v>
      </c>
      <c r="G77" s="1">
        <v>19.05</v>
      </c>
      <c r="H77" s="1">
        <v>25.4</v>
      </c>
      <c r="I77" s="2">
        <v>6.4212474555939286E-2</v>
      </c>
      <c r="J77" s="3">
        <v>303.25602523129726</v>
      </c>
      <c r="K77" s="3">
        <v>0.15</v>
      </c>
    </row>
    <row r="78" spans="1:11" x14ac:dyDescent="0.3">
      <c r="B78" s="1">
        <v>12.7</v>
      </c>
      <c r="C78" s="5">
        <v>434</v>
      </c>
      <c r="D78" s="1">
        <v>3</v>
      </c>
      <c r="E78" s="4">
        <v>19.05</v>
      </c>
      <c r="F78" s="3">
        <v>3.9766081638229425</v>
      </c>
      <c r="G78" s="1">
        <v>19.05</v>
      </c>
      <c r="H78" s="1">
        <v>25.4</v>
      </c>
      <c r="I78" s="2">
        <v>6.4212474555939286E-2</v>
      </c>
      <c r="J78" s="3">
        <v>347.81022799039772</v>
      </c>
      <c r="K78" s="3">
        <v>0.17</v>
      </c>
    </row>
    <row r="79" spans="1:11" x14ac:dyDescent="0.3">
      <c r="B79" s="1">
        <v>12.7</v>
      </c>
      <c r="C79" s="5">
        <v>434</v>
      </c>
      <c r="D79" s="1">
        <v>3</v>
      </c>
      <c r="E79" s="4">
        <v>19.05</v>
      </c>
      <c r="F79" s="3">
        <v>3.9766081638229425</v>
      </c>
      <c r="G79" s="1">
        <v>19.05</v>
      </c>
      <c r="H79" s="1">
        <v>25.4</v>
      </c>
      <c r="I79" s="2">
        <v>6.4212474555939286E-2</v>
      </c>
      <c r="J79" s="3">
        <v>411.04845126137917</v>
      </c>
      <c r="K79" s="3">
        <v>0.2</v>
      </c>
    </row>
    <row r="80" spans="1:11" x14ac:dyDescent="0.3">
      <c r="A80" t="s">
        <v>24</v>
      </c>
      <c r="B80" s="1">
        <v>15.9</v>
      </c>
      <c r="C80" s="5">
        <v>540</v>
      </c>
      <c r="D80" s="1">
        <v>3</v>
      </c>
      <c r="E80" s="4">
        <v>15.9</v>
      </c>
      <c r="F80" s="3">
        <v>3.9766081638229425</v>
      </c>
      <c r="G80" s="1">
        <v>17.46</v>
      </c>
      <c r="H80" s="1">
        <v>25.4</v>
      </c>
      <c r="I80" s="2">
        <v>0.10835067563565463</v>
      </c>
      <c r="J80" s="3">
        <v>289.73492291565424</v>
      </c>
      <c r="K80" s="3">
        <v>0.16</v>
      </c>
    </row>
    <row r="81" spans="1:11" x14ac:dyDescent="0.3">
      <c r="B81" s="1">
        <v>15.9</v>
      </c>
      <c r="C81" s="5">
        <v>540</v>
      </c>
      <c r="D81" s="1">
        <v>3</v>
      </c>
      <c r="E81" s="4">
        <v>15.9</v>
      </c>
      <c r="F81" s="3">
        <v>3.9766081638229425</v>
      </c>
      <c r="G81" s="1">
        <v>17.46</v>
      </c>
      <c r="H81" s="1">
        <v>25.4</v>
      </c>
      <c r="I81" s="2">
        <v>0.10835067563565463</v>
      </c>
      <c r="J81" s="3">
        <v>379.98022677462848</v>
      </c>
      <c r="K81" s="3">
        <v>0.21</v>
      </c>
    </row>
    <row r="82" spans="1:11" x14ac:dyDescent="0.3">
      <c r="A82" t="s">
        <v>25</v>
      </c>
      <c r="B82" s="1">
        <v>16</v>
      </c>
      <c r="C82" s="5">
        <v>500</v>
      </c>
      <c r="D82" s="1">
        <v>2</v>
      </c>
      <c r="E82" s="4">
        <v>138</v>
      </c>
      <c r="F82" s="3">
        <v>3.2689999999999997</v>
      </c>
      <c r="G82" s="1">
        <v>40</v>
      </c>
      <c r="H82" s="1">
        <v>48</v>
      </c>
      <c r="I82" s="2">
        <v>1.7479097888417915E-2</v>
      </c>
      <c r="J82" s="3">
        <v>185.27396447016579</v>
      </c>
      <c r="K82" s="3">
        <v>0.15</v>
      </c>
    </row>
    <row r="83" spans="1:11" x14ac:dyDescent="0.3">
      <c r="B83" s="1">
        <v>16</v>
      </c>
      <c r="C83" s="5">
        <v>500</v>
      </c>
      <c r="D83" s="1">
        <v>2</v>
      </c>
      <c r="E83" s="4">
        <v>138</v>
      </c>
      <c r="F83" s="3">
        <v>3.2689999999999997</v>
      </c>
      <c r="G83" s="1">
        <v>40</v>
      </c>
      <c r="H83" s="1">
        <v>48</v>
      </c>
      <c r="I83" s="2">
        <v>1.7479097888417915E-2</v>
      </c>
      <c r="J83" s="3">
        <v>211.76759699968991</v>
      </c>
      <c r="K83" s="3">
        <v>0.2</v>
      </c>
    </row>
    <row r="84" spans="1:11" x14ac:dyDescent="0.3">
      <c r="B84" s="1">
        <v>16</v>
      </c>
      <c r="C84" s="5">
        <v>500</v>
      </c>
      <c r="D84" s="1">
        <v>2</v>
      </c>
      <c r="E84" s="4">
        <v>138</v>
      </c>
      <c r="F84" s="3">
        <v>3.2689999999999997</v>
      </c>
      <c r="G84" s="1">
        <v>40</v>
      </c>
      <c r="H84" s="1">
        <v>48</v>
      </c>
      <c r="I84" s="2">
        <v>1.7479097888417915E-2</v>
      </c>
      <c r="J84" s="3">
        <v>238.26122952921415</v>
      </c>
      <c r="K84" s="3">
        <v>0.25</v>
      </c>
    </row>
    <row r="85" spans="1:11" x14ac:dyDescent="0.3">
      <c r="B85" s="1">
        <v>16</v>
      </c>
      <c r="C85" s="5">
        <v>500</v>
      </c>
      <c r="D85" s="1">
        <v>2</v>
      </c>
      <c r="E85" s="4">
        <v>138</v>
      </c>
      <c r="F85" s="3">
        <v>3.2689999999999997</v>
      </c>
      <c r="G85" s="1">
        <v>40</v>
      </c>
      <c r="H85" s="1">
        <v>48</v>
      </c>
      <c r="I85" s="2">
        <v>1.7479097888417915E-2</v>
      </c>
      <c r="J85" s="3">
        <v>264.70949624961241</v>
      </c>
      <c r="K85" s="3">
        <v>0.28000000000000003</v>
      </c>
    </row>
    <row r="86" spans="1:11" x14ac:dyDescent="0.3">
      <c r="B86" s="1">
        <v>16</v>
      </c>
      <c r="C86" s="5">
        <v>500</v>
      </c>
      <c r="D86" s="1">
        <v>2</v>
      </c>
      <c r="E86" s="4">
        <v>138</v>
      </c>
      <c r="F86" s="3">
        <v>3.2689999999999997</v>
      </c>
      <c r="G86" s="1">
        <v>40</v>
      </c>
      <c r="H86" s="1">
        <v>48</v>
      </c>
      <c r="I86" s="2">
        <v>1.7479097888417915E-2</v>
      </c>
      <c r="J86" s="3">
        <v>291.15776297001077</v>
      </c>
      <c r="K86" s="3">
        <v>0.28000000000000003</v>
      </c>
    </row>
    <row r="87" spans="1:11" x14ac:dyDescent="0.3">
      <c r="B87" s="1">
        <v>16</v>
      </c>
      <c r="C87" s="5">
        <v>500</v>
      </c>
      <c r="D87" s="1">
        <v>2</v>
      </c>
      <c r="E87" s="4">
        <v>138</v>
      </c>
      <c r="F87" s="3">
        <v>3.2689999999999997</v>
      </c>
      <c r="G87" s="1">
        <v>40</v>
      </c>
      <c r="H87" s="1">
        <v>48</v>
      </c>
      <c r="I87" s="2">
        <v>1.7479097888417915E-2</v>
      </c>
      <c r="J87" s="3">
        <v>317.65139549953489</v>
      </c>
      <c r="K87" s="3">
        <v>0.3</v>
      </c>
    </row>
    <row r="88" spans="1:11" x14ac:dyDescent="0.3">
      <c r="B88" s="1">
        <v>16</v>
      </c>
      <c r="C88" s="5">
        <v>500</v>
      </c>
      <c r="D88" s="1">
        <v>2</v>
      </c>
      <c r="E88" s="4">
        <v>138</v>
      </c>
      <c r="F88" s="3">
        <v>3.2689999999999997</v>
      </c>
      <c r="G88" s="1">
        <v>40</v>
      </c>
      <c r="H88" s="1">
        <v>48</v>
      </c>
      <c r="I88" s="2">
        <v>1.7479097888417915E-2</v>
      </c>
      <c r="J88" s="3">
        <v>344.14502802905912</v>
      </c>
      <c r="K88" s="3">
        <v>0.33</v>
      </c>
    </row>
    <row r="89" spans="1:11" x14ac:dyDescent="0.3">
      <c r="B89" s="1">
        <v>16</v>
      </c>
      <c r="C89" s="5">
        <v>500</v>
      </c>
      <c r="D89" s="1">
        <v>2</v>
      </c>
      <c r="E89" s="4">
        <v>138</v>
      </c>
      <c r="F89" s="3">
        <v>3.2689999999999997</v>
      </c>
      <c r="G89" s="1">
        <v>40</v>
      </c>
      <c r="H89" s="1">
        <v>48</v>
      </c>
      <c r="I89" s="2">
        <v>1.7479097888417915E-2</v>
      </c>
      <c r="J89" s="3">
        <v>370.54792894033159</v>
      </c>
      <c r="K89" s="3">
        <v>0.33</v>
      </c>
    </row>
    <row r="90" spans="1:11" x14ac:dyDescent="0.3">
      <c r="A90" t="s">
        <v>26</v>
      </c>
      <c r="B90" s="1">
        <v>16</v>
      </c>
      <c r="C90" s="5">
        <v>500</v>
      </c>
      <c r="D90" s="1">
        <v>2</v>
      </c>
      <c r="E90" s="4">
        <v>138</v>
      </c>
      <c r="F90" s="3">
        <v>3.2689999999999997</v>
      </c>
      <c r="G90" s="1">
        <v>40</v>
      </c>
      <c r="H90" s="1">
        <v>48</v>
      </c>
      <c r="I90" s="2">
        <v>1.7479097888417915E-2</v>
      </c>
      <c r="J90" s="3">
        <v>211.76759699968991</v>
      </c>
      <c r="K90" s="3">
        <v>0.15</v>
      </c>
    </row>
    <row r="91" spans="1:11" x14ac:dyDescent="0.3">
      <c r="B91" s="1">
        <v>16</v>
      </c>
      <c r="C91" s="5">
        <v>500</v>
      </c>
      <c r="D91" s="1">
        <v>2</v>
      </c>
      <c r="E91" s="4">
        <v>138</v>
      </c>
      <c r="F91" s="3">
        <v>3.2689999999999997</v>
      </c>
      <c r="G91" s="1">
        <v>40</v>
      </c>
      <c r="H91" s="1">
        <v>48</v>
      </c>
      <c r="I91" s="2">
        <v>1.7479097888417915E-2</v>
      </c>
      <c r="J91" s="3">
        <v>238.26122952921415</v>
      </c>
      <c r="K91" s="3">
        <v>0.18</v>
      </c>
    </row>
    <row r="92" spans="1:11" x14ac:dyDescent="0.3">
      <c r="B92" s="1">
        <v>16</v>
      </c>
      <c r="C92" s="5">
        <v>500</v>
      </c>
      <c r="D92" s="1">
        <v>2</v>
      </c>
      <c r="E92" s="4">
        <v>138</v>
      </c>
      <c r="F92" s="3">
        <v>3.2689999999999997</v>
      </c>
      <c r="G92" s="1">
        <v>40</v>
      </c>
      <c r="H92" s="1">
        <v>48</v>
      </c>
      <c r="I92" s="2">
        <v>1.7479097888417915E-2</v>
      </c>
      <c r="J92" s="3">
        <v>264.70949624961241</v>
      </c>
      <c r="K92" s="3">
        <v>0.2</v>
      </c>
    </row>
    <row r="93" spans="1:11" x14ac:dyDescent="0.3">
      <c r="B93" s="1">
        <v>16</v>
      </c>
      <c r="C93" s="5">
        <v>500</v>
      </c>
      <c r="D93" s="1">
        <v>2</v>
      </c>
      <c r="E93" s="4">
        <v>138</v>
      </c>
      <c r="F93" s="3">
        <v>3.2689999999999997</v>
      </c>
      <c r="G93" s="1">
        <v>40</v>
      </c>
      <c r="H93" s="1">
        <v>48</v>
      </c>
      <c r="I93" s="2">
        <v>1.7479097888417915E-2</v>
      </c>
      <c r="J93" s="3">
        <v>291.15776297001077</v>
      </c>
      <c r="K93" s="3">
        <v>0.25</v>
      </c>
    </row>
    <row r="94" spans="1:11" x14ac:dyDescent="0.3">
      <c r="B94" s="1">
        <v>16</v>
      </c>
      <c r="C94" s="5">
        <v>500</v>
      </c>
      <c r="D94" s="1">
        <v>2</v>
      </c>
      <c r="E94" s="4">
        <v>138</v>
      </c>
      <c r="F94" s="3">
        <v>3.2689999999999997</v>
      </c>
      <c r="G94" s="1">
        <v>40</v>
      </c>
      <c r="H94" s="1">
        <v>48</v>
      </c>
      <c r="I94" s="2">
        <v>1.7479097888417915E-2</v>
      </c>
      <c r="J94" s="3">
        <v>317.65139549953489</v>
      </c>
      <c r="K94" s="3">
        <v>0.3</v>
      </c>
    </row>
    <row r="95" spans="1:11" x14ac:dyDescent="0.3">
      <c r="B95" s="1">
        <v>16</v>
      </c>
      <c r="C95" s="5">
        <v>500</v>
      </c>
      <c r="D95" s="1">
        <v>2</v>
      </c>
      <c r="E95" s="4">
        <v>138</v>
      </c>
      <c r="F95" s="3">
        <v>3.2689999999999997</v>
      </c>
      <c r="G95" s="1">
        <v>40</v>
      </c>
      <c r="H95" s="1">
        <v>48</v>
      </c>
      <c r="I95" s="2">
        <v>1.7479097888417915E-2</v>
      </c>
      <c r="J95" s="3">
        <v>344.14502802905912</v>
      </c>
      <c r="K95" s="3">
        <v>0.33</v>
      </c>
    </row>
    <row r="96" spans="1:11" x14ac:dyDescent="0.3">
      <c r="B96" s="1">
        <v>16</v>
      </c>
      <c r="C96" s="5">
        <v>500</v>
      </c>
      <c r="D96" s="1">
        <v>2</v>
      </c>
      <c r="E96" s="4">
        <v>138</v>
      </c>
      <c r="F96" s="3">
        <v>3.2689999999999997</v>
      </c>
      <c r="G96" s="1">
        <v>40</v>
      </c>
      <c r="H96" s="1">
        <v>48</v>
      </c>
      <c r="I96" s="2">
        <v>1.7479097888417915E-2</v>
      </c>
      <c r="J96" s="3">
        <v>370.54792894033159</v>
      </c>
      <c r="K96" s="3">
        <v>0.38</v>
      </c>
    </row>
    <row r="97" spans="1:11" x14ac:dyDescent="0.3">
      <c r="A97" t="s">
        <v>27</v>
      </c>
      <c r="B97" s="1">
        <v>16</v>
      </c>
      <c r="C97" s="5">
        <v>500</v>
      </c>
      <c r="D97" s="1">
        <v>2</v>
      </c>
      <c r="E97" s="4">
        <v>168</v>
      </c>
      <c r="F97" s="3">
        <v>3.2689999999999997</v>
      </c>
      <c r="G97" s="1">
        <v>25</v>
      </c>
      <c r="H97" s="1">
        <v>33</v>
      </c>
      <c r="I97" s="2">
        <v>1.9393939393939394E-2</v>
      </c>
      <c r="J97" s="3">
        <v>211.76759699968994</v>
      </c>
      <c r="K97" s="3">
        <v>0.15</v>
      </c>
    </row>
    <row r="98" spans="1:11" x14ac:dyDescent="0.3">
      <c r="B98" s="1">
        <v>16</v>
      </c>
      <c r="C98" s="5">
        <v>500</v>
      </c>
      <c r="D98" s="1">
        <v>2</v>
      </c>
      <c r="E98" s="4">
        <v>168</v>
      </c>
      <c r="F98" s="3">
        <v>3.2689999999999997</v>
      </c>
      <c r="G98" s="1">
        <v>25</v>
      </c>
      <c r="H98" s="1">
        <v>33</v>
      </c>
      <c r="I98" s="2">
        <v>1.9393939393939394E-2</v>
      </c>
      <c r="J98" s="3">
        <v>238.26122952921412</v>
      </c>
      <c r="K98" s="3">
        <v>0.18</v>
      </c>
    </row>
    <row r="99" spans="1:11" x14ac:dyDescent="0.3">
      <c r="B99" s="1">
        <v>16</v>
      </c>
      <c r="C99" s="5">
        <v>500</v>
      </c>
      <c r="D99" s="1">
        <v>2</v>
      </c>
      <c r="E99" s="4">
        <v>168</v>
      </c>
      <c r="F99" s="3">
        <v>3.2689999999999997</v>
      </c>
      <c r="G99" s="1">
        <v>25</v>
      </c>
      <c r="H99" s="1">
        <v>33</v>
      </c>
      <c r="I99" s="2">
        <v>1.9393939393939394E-2</v>
      </c>
      <c r="J99" s="3">
        <v>264.70949624961241</v>
      </c>
      <c r="K99" s="3">
        <v>0.2</v>
      </c>
    </row>
    <row r="100" spans="1:11" x14ac:dyDescent="0.3">
      <c r="B100" s="1">
        <v>16</v>
      </c>
      <c r="C100" s="5">
        <v>500</v>
      </c>
      <c r="D100" s="1">
        <v>2</v>
      </c>
      <c r="E100" s="4">
        <v>168</v>
      </c>
      <c r="F100" s="3">
        <v>3.2689999999999997</v>
      </c>
      <c r="G100" s="1">
        <v>25</v>
      </c>
      <c r="H100" s="1">
        <v>33</v>
      </c>
      <c r="I100" s="2">
        <v>1.9393939393939394E-2</v>
      </c>
      <c r="J100" s="3">
        <v>291.15776297001071</v>
      </c>
      <c r="K100" s="3">
        <v>0.23</v>
      </c>
    </row>
    <row r="101" spans="1:11" x14ac:dyDescent="0.3">
      <c r="B101" s="1">
        <v>16</v>
      </c>
      <c r="C101" s="5">
        <v>500</v>
      </c>
      <c r="D101" s="1">
        <v>2</v>
      </c>
      <c r="E101" s="4">
        <v>168</v>
      </c>
      <c r="F101" s="3">
        <v>3.2689999999999997</v>
      </c>
      <c r="G101" s="1">
        <v>25</v>
      </c>
      <c r="H101" s="1">
        <v>33</v>
      </c>
      <c r="I101" s="2">
        <v>1.9393939393939394E-2</v>
      </c>
      <c r="J101" s="3">
        <v>317.65139549953489</v>
      </c>
      <c r="K101" s="3">
        <v>0.25</v>
      </c>
    </row>
    <row r="102" spans="1:11" x14ac:dyDescent="0.3">
      <c r="B102" s="1">
        <v>16</v>
      </c>
      <c r="C102" s="5">
        <v>500</v>
      </c>
      <c r="D102" s="1">
        <v>2</v>
      </c>
      <c r="E102" s="4">
        <v>168</v>
      </c>
      <c r="F102" s="3">
        <v>3.2689999999999997</v>
      </c>
      <c r="G102" s="1">
        <v>25</v>
      </c>
      <c r="H102" s="1">
        <v>33</v>
      </c>
      <c r="I102" s="2">
        <v>1.9393939393939394E-2</v>
      </c>
      <c r="J102" s="3">
        <v>344.14502802905906</v>
      </c>
      <c r="K102" s="3">
        <v>0.3</v>
      </c>
    </row>
    <row r="103" spans="1:11" x14ac:dyDescent="0.3">
      <c r="B103" s="1">
        <v>16</v>
      </c>
      <c r="C103" s="5">
        <v>500</v>
      </c>
      <c r="D103" s="1">
        <v>2</v>
      </c>
      <c r="E103" s="4">
        <v>168</v>
      </c>
      <c r="F103" s="3">
        <v>3.2689999999999997</v>
      </c>
      <c r="G103" s="1">
        <v>25</v>
      </c>
      <c r="H103" s="1">
        <v>33</v>
      </c>
      <c r="I103" s="2">
        <v>1.9393939393939394E-2</v>
      </c>
      <c r="J103" s="3">
        <v>370.54792894033153</v>
      </c>
      <c r="K103" s="3">
        <v>0.3</v>
      </c>
    </row>
    <row r="104" spans="1:11" x14ac:dyDescent="0.3">
      <c r="A104" t="s">
        <v>28</v>
      </c>
      <c r="B104" s="1">
        <v>16</v>
      </c>
      <c r="C104" s="5">
        <v>500</v>
      </c>
      <c r="D104" s="1">
        <v>2</v>
      </c>
      <c r="E104" s="4">
        <v>168</v>
      </c>
      <c r="F104" s="3">
        <v>3.2689999999999997</v>
      </c>
      <c r="G104" s="1">
        <v>25</v>
      </c>
      <c r="H104" s="1">
        <v>33</v>
      </c>
      <c r="I104" s="2">
        <v>1.9393939393939394E-2</v>
      </c>
      <c r="J104" s="3">
        <v>185.27396447016577</v>
      </c>
      <c r="K104" s="3">
        <v>0.15</v>
      </c>
    </row>
    <row r="105" spans="1:11" x14ac:dyDescent="0.3">
      <c r="B105" s="1">
        <v>16</v>
      </c>
      <c r="C105" s="5">
        <v>500</v>
      </c>
      <c r="D105" s="1">
        <v>2</v>
      </c>
      <c r="E105" s="4">
        <v>168</v>
      </c>
      <c r="F105" s="3">
        <v>3.2689999999999997</v>
      </c>
      <c r="G105" s="1">
        <v>25</v>
      </c>
      <c r="H105" s="1">
        <v>33</v>
      </c>
      <c r="I105" s="2">
        <v>1.9393939393939394E-2</v>
      </c>
      <c r="J105" s="3">
        <v>211.76759699968994</v>
      </c>
      <c r="K105" s="3">
        <v>0.18</v>
      </c>
    </row>
    <row r="106" spans="1:11" x14ac:dyDescent="0.3">
      <c r="B106" s="1">
        <v>16</v>
      </c>
      <c r="C106" s="5">
        <v>500</v>
      </c>
      <c r="D106" s="1">
        <v>2</v>
      </c>
      <c r="E106" s="4">
        <v>168</v>
      </c>
      <c r="F106" s="3">
        <v>3.2689999999999997</v>
      </c>
      <c r="G106" s="1">
        <v>25</v>
      </c>
      <c r="H106" s="1">
        <v>33</v>
      </c>
      <c r="I106" s="2">
        <v>1.9393939393939394E-2</v>
      </c>
      <c r="J106" s="3">
        <v>238.26122952921412</v>
      </c>
      <c r="K106" s="3">
        <v>0.18</v>
      </c>
    </row>
    <row r="107" spans="1:11" x14ac:dyDescent="0.3">
      <c r="B107" s="1">
        <v>16</v>
      </c>
      <c r="C107" s="5">
        <v>500</v>
      </c>
      <c r="D107" s="1">
        <v>2</v>
      </c>
      <c r="E107" s="4">
        <v>168</v>
      </c>
      <c r="F107" s="3">
        <v>3.2689999999999997</v>
      </c>
      <c r="G107" s="1">
        <v>25</v>
      </c>
      <c r="H107" s="1">
        <v>33</v>
      </c>
      <c r="I107" s="2">
        <v>1.9393939393939394E-2</v>
      </c>
      <c r="J107" s="3">
        <v>264.70949624961241</v>
      </c>
      <c r="K107" s="3">
        <v>0.25</v>
      </c>
    </row>
    <row r="108" spans="1:11" x14ac:dyDescent="0.3">
      <c r="B108" s="1">
        <v>16</v>
      </c>
      <c r="C108" s="5">
        <v>500</v>
      </c>
      <c r="D108" s="1">
        <v>2</v>
      </c>
      <c r="E108" s="4">
        <v>168</v>
      </c>
      <c r="F108" s="3">
        <v>3.2689999999999997</v>
      </c>
      <c r="G108" s="1">
        <v>25</v>
      </c>
      <c r="H108" s="1">
        <v>33</v>
      </c>
      <c r="I108" s="2">
        <v>1.9393939393939394E-2</v>
      </c>
      <c r="J108" s="3">
        <v>291.15776297001071</v>
      </c>
      <c r="K108" s="3">
        <v>0.28000000000000003</v>
      </c>
    </row>
    <row r="109" spans="1:11" x14ac:dyDescent="0.3">
      <c r="B109" s="1">
        <v>16</v>
      </c>
      <c r="C109" s="5">
        <v>500</v>
      </c>
      <c r="D109" s="1">
        <v>2</v>
      </c>
      <c r="E109" s="4">
        <v>168</v>
      </c>
      <c r="F109" s="3">
        <v>3.2689999999999997</v>
      </c>
      <c r="G109" s="1">
        <v>25</v>
      </c>
      <c r="H109" s="1">
        <v>33</v>
      </c>
      <c r="I109" s="2">
        <v>1.9393939393939394E-2</v>
      </c>
      <c r="J109" s="3">
        <v>317.65139549953489</v>
      </c>
      <c r="K109" s="3">
        <v>0.33</v>
      </c>
    </row>
    <row r="110" spans="1:11" x14ac:dyDescent="0.3">
      <c r="B110" s="1">
        <v>16</v>
      </c>
      <c r="C110" s="5">
        <v>500</v>
      </c>
      <c r="D110" s="1">
        <v>2</v>
      </c>
      <c r="E110" s="4">
        <v>168</v>
      </c>
      <c r="F110" s="3">
        <v>3.2689999999999997</v>
      </c>
      <c r="G110" s="1">
        <v>25</v>
      </c>
      <c r="H110" s="1">
        <v>33</v>
      </c>
      <c r="I110" s="2">
        <v>1.9393939393939394E-2</v>
      </c>
      <c r="J110" s="3">
        <v>344.14502802905906</v>
      </c>
      <c r="K110" s="3">
        <v>0.38</v>
      </c>
    </row>
    <row r="111" spans="1:11" x14ac:dyDescent="0.3">
      <c r="B111" s="1">
        <v>16</v>
      </c>
      <c r="C111" s="5">
        <v>500</v>
      </c>
      <c r="D111" s="1">
        <v>2</v>
      </c>
      <c r="E111" s="4">
        <v>168</v>
      </c>
      <c r="F111" s="3">
        <v>3.2689999999999997</v>
      </c>
      <c r="G111" s="1">
        <v>25</v>
      </c>
      <c r="H111" s="1">
        <v>33</v>
      </c>
      <c r="I111" s="2">
        <v>1.9393939393939394E-2</v>
      </c>
      <c r="J111" s="3">
        <v>370.54792894033153</v>
      </c>
      <c r="K111" s="3">
        <v>0.43</v>
      </c>
    </row>
    <row r="112" spans="1:11" x14ac:dyDescent="0.3">
      <c r="A112" t="s">
        <v>29</v>
      </c>
      <c r="B112" s="1">
        <v>16</v>
      </c>
      <c r="C112" s="5">
        <v>500</v>
      </c>
      <c r="D112" s="1">
        <v>3</v>
      </c>
      <c r="E112" s="4">
        <v>76</v>
      </c>
      <c r="F112" s="3">
        <v>3.2689999999999997</v>
      </c>
      <c r="G112" s="1">
        <v>25</v>
      </c>
      <c r="H112" s="1">
        <v>33</v>
      </c>
      <c r="I112" s="2">
        <v>2.9281922513849066E-2</v>
      </c>
      <c r="J112" s="3">
        <v>233.30469206437246</v>
      </c>
      <c r="K112" s="3">
        <v>0.15</v>
      </c>
    </row>
    <row r="113" spans="1:11" x14ac:dyDescent="0.3">
      <c r="B113" s="1">
        <v>16</v>
      </c>
      <c r="C113" s="5">
        <v>500</v>
      </c>
      <c r="D113" s="1">
        <v>3</v>
      </c>
      <c r="E113" s="4">
        <v>76</v>
      </c>
      <c r="F113" s="3">
        <v>3.2689999999999997</v>
      </c>
      <c r="G113" s="1">
        <v>25</v>
      </c>
      <c r="H113" s="1">
        <v>33</v>
      </c>
      <c r="I113" s="2">
        <v>2.9281922513849066E-2</v>
      </c>
      <c r="J113" s="3">
        <v>251.20389200920044</v>
      </c>
      <c r="K113" s="3">
        <v>0.18</v>
      </c>
    </row>
    <row r="114" spans="1:11" x14ac:dyDescent="0.3">
      <c r="B114" s="1">
        <v>16</v>
      </c>
      <c r="C114" s="5">
        <v>500</v>
      </c>
      <c r="D114" s="1">
        <v>3</v>
      </c>
      <c r="E114" s="4">
        <v>76</v>
      </c>
      <c r="F114" s="3">
        <v>3.2689999999999997</v>
      </c>
      <c r="G114" s="1">
        <v>25</v>
      </c>
      <c r="H114" s="1">
        <v>33</v>
      </c>
      <c r="I114" s="2">
        <v>2.9281922513849066E-2</v>
      </c>
      <c r="J114" s="3">
        <v>269.16460123218928</v>
      </c>
      <c r="K114" s="3">
        <v>0.18</v>
      </c>
    </row>
    <row r="115" spans="1:11" x14ac:dyDescent="0.3">
      <c r="B115" s="1">
        <v>16</v>
      </c>
      <c r="C115" s="5">
        <v>500</v>
      </c>
      <c r="D115" s="1">
        <v>3</v>
      </c>
      <c r="E115" s="4">
        <v>76</v>
      </c>
      <c r="F115" s="3">
        <v>3.2689999999999997</v>
      </c>
      <c r="G115" s="1">
        <v>25</v>
      </c>
      <c r="H115" s="1">
        <v>33</v>
      </c>
      <c r="I115" s="2">
        <v>2.9281922513849066E-2</v>
      </c>
      <c r="J115" s="3">
        <v>287.12531045517812</v>
      </c>
      <c r="K115" s="3">
        <v>0.2</v>
      </c>
    </row>
    <row r="116" spans="1:11" x14ac:dyDescent="0.3">
      <c r="B116" s="1">
        <v>16</v>
      </c>
      <c r="C116" s="5">
        <v>500</v>
      </c>
      <c r="D116" s="1">
        <v>3</v>
      </c>
      <c r="E116" s="4">
        <v>76</v>
      </c>
      <c r="F116" s="3">
        <v>3.2689999999999997</v>
      </c>
      <c r="G116" s="1">
        <v>25</v>
      </c>
      <c r="H116" s="1">
        <v>33</v>
      </c>
      <c r="I116" s="2">
        <v>2.9281922513849066E-2</v>
      </c>
      <c r="J116" s="3">
        <v>305.08601967816708</v>
      </c>
      <c r="K116" s="3">
        <v>0.2</v>
      </c>
    </row>
    <row r="117" spans="1:11" x14ac:dyDescent="0.3">
      <c r="A117" t="s">
        <v>30</v>
      </c>
      <c r="B117" s="1">
        <v>16</v>
      </c>
      <c r="C117" s="5">
        <v>500</v>
      </c>
      <c r="D117" s="1">
        <v>3</v>
      </c>
      <c r="E117" s="4">
        <v>76</v>
      </c>
      <c r="F117" s="3">
        <v>3.2689999999999997</v>
      </c>
      <c r="G117" s="1">
        <v>25</v>
      </c>
      <c r="H117" s="1">
        <v>33</v>
      </c>
      <c r="I117" s="2">
        <v>2.9281922513849066E-2</v>
      </c>
      <c r="J117" s="3">
        <v>251.20389200920044</v>
      </c>
      <c r="K117" s="3">
        <v>0.15</v>
      </c>
    </row>
    <row r="118" spans="1:11" x14ac:dyDescent="0.3">
      <c r="B118" s="1">
        <v>16</v>
      </c>
      <c r="C118" s="5">
        <v>500</v>
      </c>
      <c r="D118" s="1">
        <v>3</v>
      </c>
      <c r="E118" s="4">
        <v>76</v>
      </c>
      <c r="F118" s="3">
        <v>3.2689999999999997</v>
      </c>
      <c r="G118" s="1">
        <v>25</v>
      </c>
      <c r="H118" s="1">
        <v>33</v>
      </c>
      <c r="I118" s="2">
        <v>2.9281922513849066E-2</v>
      </c>
      <c r="J118" s="3">
        <v>269.16460123218928</v>
      </c>
      <c r="K118" s="3">
        <v>0.18</v>
      </c>
    </row>
    <row r="119" spans="1:11" x14ac:dyDescent="0.3">
      <c r="B119" s="1">
        <v>16</v>
      </c>
      <c r="C119" s="5">
        <v>500</v>
      </c>
      <c r="D119" s="1">
        <v>3</v>
      </c>
      <c r="E119" s="4">
        <v>76</v>
      </c>
      <c r="F119" s="3">
        <v>3.2689999999999997</v>
      </c>
      <c r="G119" s="1">
        <v>25</v>
      </c>
      <c r="H119" s="1">
        <v>33</v>
      </c>
      <c r="I119" s="2">
        <v>2.9281922513849066E-2</v>
      </c>
      <c r="J119" s="3">
        <v>287.12531045517812</v>
      </c>
      <c r="K119" s="3">
        <v>0.2</v>
      </c>
    </row>
    <row r="120" spans="1:11" x14ac:dyDescent="0.3">
      <c r="B120" s="1">
        <v>16</v>
      </c>
      <c r="C120" s="5">
        <v>500</v>
      </c>
      <c r="D120" s="1">
        <v>3</v>
      </c>
      <c r="E120" s="4">
        <v>76</v>
      </c>
      <c r="F120" s="3">
        <v>3.2689999999999997</v>
      </c>
      <c r="G120" s="1">
        <v>25</v>
      </c>
      <c r="H120" s="1">
        <v>33</v>
      </c>
      <c r="I120" s="2">
        <v>2.9281922513849066E-2</v>
      </c>
      <c r="J120" s="3">
        <v>305.08601967816708</v>
      </c>
      <c r="K120" s="3">
        <v>0.2</v>
      </c>
    </row>
    <row r="121" spans="1:11" x14ac:dyDescent="0.3">
      <c r="A121" t="s">
        <v>31</v>
      </c>
      <c r="B121" s="1">
        <v>12</v>
      </c>
      <c r="C121" s="5">
        <v>500</v>
      </c>
      <c r="D121" s="1">
        <v>2</v>
      </c>
      <c r="E121" s="4">
        <v>296</v>
      </c>
      <c r="F121" s="3">
        <v>3.2689999999999997</v>
      </c>
      <c r="G121" s="1">
        <v>25</v>
      </c>
      <c r="H121" s="1">
        <v>31</v>
      </c>
      <c r="I121" s="2">
        <v>1.2477206469672451E-2</v>
      </c>
      <c r="J121" s="3">
        <v>176.28617352026819</v>
      </c>
      <c r="K121" s="3">
        <v>0.2</v>
      </c>
    </row>
    <row r="122" spans="1:11" x14ac:dyDescent="0.3">
      <c r="B122" s="1">
        <v>12</v>
      </c>
      <c r="C122" s="5">
        <v>500</v>
      </c>
      <c r="D122" s="1">
        <v>2</v>
      </c>
      <c r="E122" s="4">
        <v>296</v>
      </c>
      <c r="F122" s="3">
        <v>3.2689999999999997</v>
      </c>
      <c r="G122" s="1">
        <v>25</v>
      </c>
      <c r="H122" s="1">
        <v>31</v>
      </c>
      <c r="I122" s="2">
        <v>1.2477206469672451E-2</v>
      </c>
      <c r="J122" s="3">
        <v>242.34630278375195</v>
      </c>
      <c r="K122" s="3">
        <v>0.25</v>
      </c>
    </row>
    <row r="123" spans="1:11" x14ac:dyDescent="0.3">
      <c r="B123" s="1">
        <v>12</v>
      </c>
      <c r="C123" s="5">
        <v>500</v>
      </c>
      <c r="D123" s="1">
        <v>2</v>
      </c>
      <c r="E123" s="4">
        <v>296</v>
      </c>
      <c r="F123" s="3">
        <v>3.2689999999999997</v>
      </c>
      <c r="G123" s="1">
        <v>25</v>
      </c>
      <c r="H123" s="1">
        <v>31</v>
      </c>
      <c r="I123" s="2">
        <v>1.2477206469672451E-2</v>
      </c>
      <c r="J123" s="3">
        <v>308.4064320472358</v>
      </c>
      <c r="K123" s="3">
        <v>0.33</v>
      </c>
    </row>
    <row r="124" spans="1:11" x14ac:dyDescent="0.3">
      <c r="A124" t="s">
        <v>32</v>
      </c>
      <c r="B124" s="1">
        <v>12</v>
      </c>
      <c r="C124" s="5">
        <v>500</v>
      </c>
      <c r="D124" s="1">
        <v>2</v>
      </c>
      <c r="E124" s="4">
        <v>296</v>
      </c>
      <c r="F124" s="3">
        <v>3.2689999999999997</v>
      </c>
      <c r="G124" s="1">
        <v>25</v>
      </c>
      <c r="H124" s="1">
        <v>31</v>
      </c>
      <c r="I124" s="2">
        <v>1.2477206469672451E-2</v>
      </c>
      <c r="J124" s="3">
        <v>242.34630278375195</v>
      </c>
      <c r="K124" s="3">
        <v>0.23</v>
      </c>
    </row>
    <row r="125" spans="1:11" x14ac:dyDescent="0.3">
      <c r="B125" s="1">
        <v>12</v>
      </c>
      <c r="C125" s="5">
        <v>500</v>
      </c>
      <c r="D125" s="1">
        <v>2</v>
      </c>
      <c r="E125" s="4">
        <v>296</v>
      </c>
      <c r="F125" s="3">
        <v>3.2689999999999997</v>
      </c>
      <c r="G125" s="1">
        <v>25</v>
      </c>
      <c r="H125" s="1">
        <v>31</v>
      </c>
      <c r="I125" s="2">
        <v>1.2477206469672451E-2</v>
      </c>
      <c r="J125" s="3">
        <v>308.4064320472358</v>
      </c>
      <c r="K125" s="3">
        <v>0.28000000000000003</v>
      </c>
    </row>
    <row r="126" spans="1:11" x14ac:dyDescent="0.3">
      <c r="A126" t="s">
        <v>33</v>
      </c>
      <c r="B126" s="1">
        <v>12</v>
      </c>
      <c r="C126" s="5">
        <v>500</v>
      </c>
      <c r="D126" s="1">
        <v>3</v>
      </c>
      <c r="E126" s="4">
        <v>142</v>
      </c>
      <c r="F126" s="3">
        <v>3.2689999999999997</v>
      </c>
      <c r="G126" s="1">
        <v>25</v>
      </c>
      <c r="H126" s="1">
        <v>31</v>
      </c>
      <c r="I126" s="2">
        <v>1.9527117912145887E-2</v>
      </c>
      <c r="J126" s="3">
        <v>208.77973928930371</v>
      </c>
      <c r="K126" s="3">
        <v>0.18</v>
      </c>
    </row>
    <row r="127" spans="1:11" x14ac:dyDescent="0.3">
      <c r="B127" s="1">
        <v>12</v>
      </c>
      <c r="C127" s="5">
        <v>500</v>
      </c>
      <c r="D127" s="1">
        <v>3</v>
      </c>
      <c r="E127" s="4">
        <v>142</v>
      </c>
      <c r="F127" s="3">
        <v>3.2689999999999997</v>
      </c>
      <c r="G127" s="1">
        <v>25</v>
      </c>
      <c r="H127" s="1">
        <v>31</v>
      </c>
      <c r="I127" s="2">
        <v>1.9527117912145887E-2</v>
      </c>
      <c r="J127" s="3">
        <v>253.50000168297348</v>
      </c>
      <c r="K127" s="3">
        <v>0.23</v>
      </c>
    </row>
    <row r="128" spans="1:11" x14ac:dyDescent="0.3">
      <c r="B128" s="1">
        <v>12</v>
      </c>
      <c r="C128" s="5">
        <v>500</v>
      </c>
      <c r="D128" s="1">
        <v>3</v>
      </c>
      <c r="E128" s="4">
        <v>142</v>
      </c>
      <c r="F128" s="3">
        <v>3.2689999999999997</v>
      </c>
      <c r="G128" s="1">
        <v>25</v>
      </c>
      <c r="H128" s="1">
        <v>31</v>
      </c>
      <c r="I128" s="2">
        <v>1.9527117912145887E-2</v>
      </c>
      <c r="J128" s="3">
        <v>298.2202640766431</v>
      </c>
      <c r="K128" s="3">
        <v>0.25</v>
      </c>
    </row>
    <row r="129" spans="1:11" x14ac:dyDescent="0.3">
      <c r="A129" t="s">
        <v>34</v>
      </c>
      <c r="B129" s="1">
        <v>12</v>
      </c>
      <c r="C129" s="5">
        <v>500</v>
      </c>
      <c r="D129" s="1">
        <v>3</v>
      </c>
      <c r="E129" s="4">
        <v>142</v>
      </c>
      <c r="F129" s="3">
        <v>3.2689999999999997</v>
      </c>
      <c r="G129" s="1">
        <v>25</v>
      </c>
      <c r="H129" s="1">
        <v>31</v>
      </c>
      <c r="I129" s="2">
        <v>1.9527117912145887E-2</v>
      </c>
      <c r="J129" s="3">
        <v>208.77973928930371</v>
      </c>
      <c r="K129" s="3">
        <v>0.18</v>
      </c>
    </row>
    <row r="130" spans="1:11" x14ac:dyDescent="0.3">
      <c r="B130" s="1">
        <v>12</v>
      </c>
      <c r="C130" s="5">
        <v>500</v>
      </c>
      <c r="D130" s="1">
        <v>3</v>
      </c>
      <c r="E130" s="4">
        <v>142</v>
      </c>
      <c r="F130" s="3">
        <v>3.2689999999999997</v>
      </c>
      <c r="G130" s="1">
        <v>25</v>
      </c>
      <c r="H130" s="1">
        <v>31</v>
      </c>
      <c r="I130" s="2">
        <v>1.9527117912145887E-2</v>
      </c>
      <c r="J130" s="3">
        <v>253.50000168297348</v>
      </c>
      <c r="K130" s="3">
        <v>0.23</v>
      </c>
    </row>
    <row r="131" spans="1:11" x14ac:dyDescent="0.3">
      <c r="B131" s="1">
        <v>12</v>
      </c>
      <c r="C131" s="5">
        <v>500</v>
      </c>
      <c r="D131" s="1">
        <v>3</v>
      </c>
      <c r="E131" s="4">
        <v>142</v>
      </c>
      <c r="F131" s="3">
        <v>3.2689999999999997</v>
      </c>
      <c r="G131" s="1">
        <v>25</v>
      </c>
      <c r="H131" s="1">
        <v>31</v>
      </c>
      <c r="I131" s="2">
        <v>1.9527117912145887E-2</v>
      </c>
      <c r="J131" s="3">
        <v>298.2202640766431</v>
      </c>
      <c r="K131" s="3">
        <v>0.25</v>
      </c>
    </row>
    <row r="132" spans="1:11" x14ac:dyDescent="0.3">
      <c r="A132" t="s">
        <v>35</v>
      </c>
      <c r="B132" s="1">
        <v>12</v>
      </c>
      <c r="C132" s="5">
        <v>500</v>
      </c>
      <c r="D132" s="1">
        <v>4</v>
      </c>
      <c r="E132" s="4">
        <v>90.67</v>
      </c>
      <c r="F132" s="3">
        <v>3.2689999999999997</v>
      </c>
      <c r="G132" s="1">
        <v>25</v>
      </c>
      <c r="H132" s="1">
        <v>31</v>
      </c>
      <c r="I132" s="2">
        <v>2.6968773854657992E-2</v>
      </c>
      <c r="J132" s="3">
        <v>226.45530266575949</v>
      </c>
      <c r="K132" s="3">
        <v>0.15</v>
      </c>
    </row>
    <row r="133" spans="1:11" x14ac:dyDescent="0.3">
      <c r="B133" s="1">
        <v>12</v>
      </c>
      <c r="C133" s="5">
        <v>500</v>
      </c>
      <c r="D133" s="1">
        <v>4</v>
      </c>
      <c r="E133" s="4">
        <v>90.67</v>
      </c>
      <c r="F133" s="3">
        <v>3.2689999999999997</v>
      </c>
      <c r="G133" s="1">
        <v>25</v>
      </c>
      <c r="H133" s="1">
        <v>31</v>
      </c>
      <c r="I133" s="2">
        <v>2.6968773854657992E-2</v>
      </c>
      <c r="J133" s="3">
        <v>260.41389561049635</v>
      </c>
      <c r="K133" s="3">
        <v>0.15</v>
      </c>
    </row>
    <row r="134" spans="1:11" x14ac:dyDescent="0.3">
      <c r="B134" s="1">
        <v>12</v>
      </c>
      <c r="C134" s="5">
        <v>500</v>
      </c>
      <c r="D134" s="1">
        <v>4</v>
      </c>
      <c r="E134" s="4">
        <v>90.67</v>
      </c>
      <c r="F134" s="3">
        <v>3.2689999999999997</v>
      </c>
      <c r="G134" s="1">
        <v>25</v>
      </c>
      <c r="H134" s="1">
        <v>31</v>
      </c>
      <c r="I134" s="2">
        <v>2.6968773854657992E-2</v>
      </c>
      <c r="J134" s="3">
        <v>294.3724885552333</v>
      </c>
      <c r="K134" s="3">
        <v>0.18</v>
      </c>
    </row>
    <row r="135" spans="1:11" x14ac:dyDescent="0.3">
      <c r="A135" t="s">
        <v>36</v>
      </c>
      <c r="B135" s="1">
        <v>12</v>
      </c>
      <c r="C135" s="5">
        <v>500</v>
      </c>
      <c r="D135" s="1">
        <v>4</v>
      </c>
      <c r="E135" s="4">
        <v>90.67</v>
      </c>
      <c r="F135" s="3">
        <v>3.2689999999999997</v>
      </c>
      <c r="G135" s="1">
        <v>25</v>
      </c>
      <c r="H135" s="1">
        <v>31</v>
      </c>
      <c r="I135" s="2">
        <v>2.6968773854657992E-2</v>
      </c>
      <c r="J135" s="3">
        <v>226.45530266575949</v>
      </c>
      <c r="K135" s="3">
        <v>0.18</v>
      </c>
    </row>
    <row r="136" spans="1:11" x14ac:dyDescent="0.3">
      <c r="B136" s="1">
        <v>12</v>
      </c>
      <c r="C136" s="5">
        <v>500</v>
      </c>
      <c r="D136" s="1">
        <v>4</v>
      </c>
      <c r="E136" s="4">
        <v>90.67</v>
      </c>
      <c r="F136" s="3">
        <v>3.2689999999999997</v>
      </c>
      <c r="G136" s="1">
        <v>25</v>
      </c>
      <c r="H136" s="1">
        <v>31</v>
      </c>
      <c r="I136" s="2">
        <v>2.6968773854657992E-2</v>
      </c>
      <c r="J136" s="3">
        <v>260.41389561049635</v>
      </c>
      <c r="K136" s="3">
        <v>0.2</v>
      </c>
    </row>
    <row r="137" spans="1:11" x14ac:dyDescent="0.3">
      <c r="B137" s="1">
        <v>12</v>
      </c>
      <c r="C137" s="5">
        <v>500</v>
      </c>
      <c r="D137" s="1">
        <v>4</v>
      </c>
      <c r="E137" s="4">
        <v>90.67</v>
      </c>
      <c r="F137" s="3">
        <v>3.2689999999999997</v>
      </c>
      <c r="G137" s="1">
        <v>25</v>
      </c>
      <c r="H137" s="1">
        <v>31</v>
      </c>
      <c r="I137" s="2">
        <v>2.6968773854657992E-2</v>
      </c>
      <c r="J137" s="3">
        <v>294.3724885552333</v>
      </c>
      <c r="K137" s="3">
        <v>0.23</v>
      </c>
    </row>
    <row r="138" spans="1:11" x14ac:dyDescent="0.3">
      <c r="A138" t="s">
        <v>37</v>
      </c>
      <c r="B138" s="1">
        <v>10</v>
      </c>
      <c r="C138" s="5">
        <v>528</v>
      </c>
      <c r="D138" s="1">
        <v>1</v>
      </c>
      <c r="E138" s="4">
        <v>45</v>
      </c>
      <c r="F138" s="3">
        <v>2.8</v>
      </c>
      <c r="G138" s="1">
        <v>40</v>
      </c>
      <c r="H138" s="1">
        <v>45</v>
      </c>
      <c r="I138" s="2">
        <v>1.140137516348016E-2</v>
      </c>
      <c r="J138" s="3">
        <v>274.14363221273135</v>
      </c>
      <c r="K138" s="3">
        <v>0.16</v>
      </c>
    </row>
    <row r="139" spans="1:11" x14ac:dyDescent="0.3">
      <c r="B139" s="1">
        <v>10</v>
      </c>
      <c r="C139" s="5">
        <v>528</v>
      </c>
      <c r="D139" s="1">
        <v>1</v>
      </c>
      <c r="E139" s="4">
        <v>45</v>
      </c>
      <c r="F139" s="3">
        <v>2.8</v>
      </c>
      <c r="G139" s="1">
        <v>40</v>
      </c>
      <c r="H139" s="1">
        <v>45</v>
      </c>
      <c r="I139" s="2">
        <v>1.140137516348016E-2</v>
      </c>
      <c r="J139" s="3">
        <v>294.20292237463855</v>
      </c>
      <c r="K139" s="3">
        <v>0.18</v>
      </c>
    </row>
    <row r="140" spans="1:11" x14ac:dyDescent="0.3">
      <c r="B140" s="1">
        <v>10</v>
      </c>
      <c r="C140" s="5">
        <v>528</v>
      </c>
      <c r="D140" s="1">
        <v>1</v>
      </c>
      <c r="E140" s="4">
        <v>45</v>
      </c>
      <c r="F140" s="3">
        <v>2.8</v>
      </c>
      <c r="G140" s="1">
        <v>40</v>
      </c>
      <c r="H140" s="1">
        <v>45</v>
      </c>
      <c r="I140" s="2">
        <v>1.140137516348016E-2</v>
      </c>
      <c r="J140" s="3">
        <v>316.93678455813335</v>
      </c>
      <c r="K140" s="3">
        <v>0.2</v>
      </c>
    </row>
    <row r="141" spans="1:11" x14ac:dyDescent="0.3">
      <c r="B141" s="1">
        <v>10</v>
      </c>
      <c r="C141" s="5">
        <v>528</v>
      </c>
      <c r="D141" s="1">
        <v>1</v>
      </c>
      <c r="E141" s="4">
        <v>45</v>
      </c>
      <c r="F141" s="3">
        <v>2.8</v>
      </c>
      <c r="G141" s="1">
        <v>40</v>
      </c>
      <c r="H141" s="1">
        <v>45</v>
      </c>
      <c r="I141" s="2">
        <v>1.140137516348016E-2</v>
      </c>
      <c r="J141" s="3">
        <v>336.9960747200405</v>
      </c>
      <c r="K141" s="3">
        <v>0.22</v>
      </c>
    </row>
    <row r="142" spans="1:11" x14ac:dyDescent="0.3">
      <c r="B142" s="1">
        <v>10</v>
      </c>
      <c r="C142" s="5">
        <v>528</v>
      </c>
      <c r="D142" s="1">
        <v>1</v>
      </c>
      <c r="E142" s="4">
        <v>45</v>
      </c>
      <c r="F142" s="3">
        <v>2.8</v>
      </c>
      <c r="G142" s="1">
        <v>40</v>
      </c>
      <c r="H142" s="1">
        <v>45</v>
      </c>
      <c r="I142" s="2">
        <v>1.140137516348016E-2</v>
      </c>
      <c r="J142" s="3">
        <v>359.72993690353525</v>
      </c>
      <c r="K142" s="3">
        <v>0.24</v>
      </c>
    </row>
    <row r="143" spans="1:11" x14ac:dyDescent="0.3">
      <c r="B143" s="1">
        <v>10</v>
      </c>
      <c r="C143" s="5">
        <v>528</v>
      </c>
      <c r="D143" s="1">
        <v>1</v>
      </c>
      <c r="E143" s="4">
        <v>45</v>
      </c>
      <c r="F143" s="3">
        <v>2.8</v>
      </c>
      <c r="G143" s="1">
        <v>40</v>
      </c>
      <c r="H143" s="1">
        <v>45</v>
      </c>
      <c r="I143" s="2">
        <v>1.140137516348016E-2</v>
      </c>
      <c r="J143" s="3">
        <v>379.78922706544245</v>
      </c>
      <c r="K143" s="3">
        <v>0.26</v>
      </c>
    </row>
    <row r="144" spans="1:11" x14ac:dyDescent="0.3">
      <c r="B144" s="1">
        <v>10</v>
      </c>
      <c r="C144" s="5">
        <v>528</v>
      </c>
      <c r="D144" s="1">
        <v>1</v>
      </c>
      <c r="E144" s="4">
        <v>45</v>
      </c>
      <c r="F144" s="3">
        <v>2.8</v>
      </c>
      <c r="G144" s="1">
        <v>40</v>
      </c>
      <c r="H144" s="1">
        <v>45</v>
      </c>
      <c r="I144" s="2">
        <v>1.140137516348016E-2</v>
      </c>
      <c r="J144" s="3">
        <v>403.86037525973109</v>
      </c>
      <c r="K144" s="3">
        <v>0.28000000000000003</v>
      </c>
    </row>
    <row r="145" spans="1:11" x14ac:dyDescent="0.3">
      <c r="A145" t="s">
        <v>38</v>
      </c>
      <c r="B145" s="1">
        <v>10</v>
      </c>
      <c r="C145" s="5">
        <v>528</v>
      </c>
      <c r="D145" s="1">
        <v>1</v>
      </c>
      <c r="E145" s="4">
        <v>45</v>
      </c>
      <c r="F145" s="3">
        <v>2.8</v>
      </c>
      <c r="G145" s="1">
        <v>40</v>
      </c>
      <c r="H145" s="1">
        <v>45</v>
      </c>
      <c r="I145" s="2">
        <v>1.140137516348016E-2</v>
      </c>
      <c r="J145" s="3">
        <v>251.40977002923657</v>
      </c>
      <c r="K145" s="3">
        <v>0.15</v>
      </c>
    </row>
    <row r="146" spans="1:11" x14ac:dyDescent="0.3">
      <c r="B146" s="1">
        <v>10</v>
      </c>
      <c r="C146" s="5">
        <v>528</v>
      </c>
      <c r="D146" s="1">
        <v>1</v>
      </c>
      <c r="E146" s="4">
        <v>45</v>
      </c>
      <c r="F146" s="3">
        <v>2.8</v>
      </c>
      <c r="G146" s="1">
        <v>40</v>
      </c>
      <c r="H146" s="1">
        <v>45</v>
      </c>
      <c r="I146" s="2">
        <v>1.140137516348016E-2</v>
      </c>
      <c r="J146" s="3">
        <v>274.14363221273135</v>
      </c>
      <c r="K146" s="3">
        <v>0.17</v>
      </c>
    </row>
    <row r="147" spans="1:11" x14ac:dyDescent="0.3">
      <c r="B147" s="1">
        <v>10</v>
      </c>
      <c r="C147" s="5">
        <v>528</v>
      </c>
      <c r="D147" s="1">
        <v>1</v>
      </c>
      <c r="E147" s="4">
        <v>45</v>
      </c>
      <c r="F147" s="3">
        <v>2.8</v>
      </c>
      <c r="G147" s="1">
        <v>40</v>
      </c>
      <c r="H147" s="1">
        <v>45</v>
      </c>
      <c r="I147" s="2">
        <v>1.140137516348016E-2</v>
      </c>
      <c r="J147" s="3">
        <v>295.54020838543232</v>
      </c>
      <c r="K147" s="3">
        <v>0.19</v>
      </c>
    </row>
    <row r="148" spans="1:11" x14ac:dyDescent="0.3">
      <c r="B148" s="1">
        <v>10</v>
      </c>
      <c r="C148" s="5">
        <v>528</v>
      </c>
      <c r="D148" s="1">
        <v>1</v>
      </c>
      <c r="E148" s="4">
        <v>45</v>
      </c>
      <c r="F148" s="3">
        <v>2.8</v>
      </c>
      <c r="G148" s="1">
        <v>40</v>
      </c>
      <c r="H148" s="1">
        <v>45</v>
      </c>
      <c r="I148" s="2">
        <v>1.140137516348016E-2</v>
      </c>
      <c r="J148" s="3">
        <v>314.93085554194266</v>
      </c>
      <c r="K148" s="3">
        <v>0.2</v>
      </c>
    </row>
    <row r="149" spans="1:11" x14ac:dyDescent="0.3">
      <c r="B149" s="1">
        <v>10</v>
      </c>
      <c r="C149" s="5">
        <v>528</v>
      </c>
      <c r="D149" s="1">
        <v>1</v>
      </c>
      <c r="E149" s="4">
        <v>45</v>
      </c>
      <c r="F149" s="3">
        <v>2.8</v>
      </c>
      <c r="G149" s="1">
        <v>40</v>
      </c>
      <c r="H149" s="1">
        <v>45</v>
      </c>
      <c r="I149" s="2">
        <v>1.140137516348016E-2</v>
      </c>
      <c r="J149" s="3">
        <v>336.9960747200405</v>
      </c>
      <c r="K149" s="3">
        <v>0.22</v>
      </c>
    </row>
    <row r="150" spans="1:11" x14ac:dyDescent="0.3">
      <c r="B150" s="1">
        <v>10</v>
      </c>
      <c r="C150" s="5">
        <v>528</v>
      </c>
      <c r="D150" s="1">
        <v>1</v>
      </c>
      <c r="E150" s="4">
        <v>45</v>
      </c>
      <c r="F150" s="3">
        <v>2.8</v>
      </c>
      <c r="G150" s="1">
        <v>40</v>
      </c>
      <c r="H150" s="1">
        <v>45</v>
      </c>
      <c r="I150" s="2">
        <v>1.140137516348016E-2</v>
      </c>
      <c r="J150" s="3">
        <v>359.06129389813839</v>
      </c>
      <c r="K150" s="3">
        <v>0.24</v>
      </c>
    </row>
    <row r="151" spans="1:11" x14ac:dyDescent="0.3">
      <c r="B151" s="1">
        <v>10</v>
      </c>
      <c r="C151" s="5">
        <v>528</v>
      </c>
      <c r="D151" s="1">
        <v>1</v>
      </c>
      <c r="E151" s="4">
        <v>45</v>
      </c>
      <c r="F151" s="3">
        <v>2.8</v>
      </c>
      <c r="G151" s="1">
        <v>40</v>
      </c>
      <c r="H151" s="1">
        <v>45</v>
      </c>
      <c r="I151" s="2">
        <v>1.140137516348016E-2</v>
      </c>
      <c r="J151" s="3">
        <v>377.78329804925175</v>
      </c>
      <c r="K151" s="3">
        <v>0.26</v>
      </c>
    </row>
    <row r="152" spans="1:11" x14ac:dyDescent="0.3">
      <c r="B152" s="1">
        <v>10</v>
      </c>
      <c r="C152" s="5">
        <v>528</v>
      </c>
      <c r="D152" s="1">
        <v>1</v>
      </c>
      <c r="E152" s="4">
        <v>45</v>
      </c>
      <c r="F152" s="3">
        <v>2.8</v>
      </c>
      <c r="G152" s="1">
        <v>40</v>
      </c>
      <c r="H152" s="1">
        <v>45</v>
      </c>
      <c r="I152" s="2">
        <v>1.140137516348016E-2</v>
      </c>
      <c r="J152" s="3">
        <v>395.83665919496815</v>
      </c>
      <c r="K152" s="3">
        <v>0.28999999999999998</v>
      </c>
    </row>
    <row r="153" spans="1:11" x14ac:dyDescent="0.3">
      <c r="A153" t="s">
        <v>39</v>
      </c>
      <c r="B153" s="1">
        <v>20</v>
      </c>
      <c r="C153" s="5">
        <v>598</v>
      </c>
      <c r="D153" s="1">
        <v>1</v>
      </c>
      <c r="E153" s="4">
        <v>40</v>
      </c>
      <c r="F153" s="3">
        <v>2.8</v>
      </c>
      <c r="G153" s="1">
        <v>40</v>
      </c>
      <c r="H153" s="1">
        <v>50</v>
      </c>
      <c r="I153" s="2">
        <v>5.4123833185813645E-2</v>
      </c>
      <c r="J153" s="3">
        <v>201.33268539095971</v>
      </c>
      <c r="K153" s="3">
        <v>0.17</v>
      </c>
    </row>
    <row r="154" spans="1:11" x14ac:dyDescent="0.3">
      <c r="B154" s="1">
        <v>20</v>
      </c>
      <c r="C154" s="5">
        <v>598</v>
      </c>
      <c r="D154" s="1">
        <v>1</v>
      </c>
      <c r="E154" s="4">
        <v>40</v>
      </c>
      <c r="F154" s="3">
        <v>2.8</v>
      </c>
      <c r="G154" s="1">
        <v>40</v>
      </c>
      <c r="H154" s="1">
        <v>50</v>
      </c>
      <c r="I154" s="2">
        <v>5.4123833185813645E-2</v>
      </c>
      <c r="J154" s="3">
        <v>235.28147905021083</v>
      </c>
      <c r="K154" s="3">
        <v>0.2</v>
      </c>
    </row>
    <row r="155" spans="1:11" x14ac:dyDescent="0.3">
      <c r="B155" s="1">
        <v>20</v>
      </c>
      <c r="C155" s="5">
        <v>598</v>
      </c>
      <c r="D155" s="1">
        <v>1</v>
      </c>
      <c r="E155" s="4">
        <v>40</v>
      </c>
      <c r="F155" s="3">
        <v>2.8</v>
      </c>
      <c r="G155" s="1">
        <v>40</v>
      </c>
      <c r="H155" s="1">
        <v>50</v>
      </c>
      <c r="I155" s="2">
        <v>5.4123833185813645E-2</v>
      </c>
      <c r="J155" s="3">
        <v>268.14100660274795</v>
      </c>
      <c r="K155" s="3">
        <v>0.24</v>
      </c>
    </row>
    <row r="156" spans="1:11" x14ac:dyDescent="0.3">
      <c r="B156" s="1">
        <v>20</v>
      </c>
      <c r="C156" s="5">
        <v>598</v>
      </c>
      <c r="D156" s="1">
        <v>1</v>
      </c>
      <c r="E156" s="4">
        <v>40</v>
      </c>
      <c r="F156" s="3">
        <v>2.8</v>
      </c>
      <c r="G156" s="1">
        <v>40</v>
      </c>
      <c r="H156" s="1">
        <v>50</v>
      </c>
      <c r="I156" s="2">
        <v>5.4123833185813645E-2</v>
      </c>
      <c r="J156" s="3">
        <v>300.81898980416611</v>
      </c>
      <c r="K156" s="3">
        <v>0.27</v>
      </c>
    </row>
    <row r="157" spans="1:11" x14ac:dyDescent="0.3">
      <c r="B157" s="1">
        <v>20</v>
      </c>
      <c r="C157" s="5">
        <v>598</v>
      </c>
      <c r="D157" s="1">
        <v>1</v>
      </c>
      <c r="E157" s="4">
        <v>40</v>
      </c>
      <c r="F157" s="3">
        <v>2.8</v>
      </c>
      <c r="G157" s="1">
        <v>40</v>
      </c>
      <c r="H157" s="1">
        <v>50</v>
      </c>
      <c r="I157" s="2">
        <v>5.4123833185813645E-2</v>
      </c>
      <c r="J157" s="3">
        <v>333.13388430334641</v>
      </c>
      <c r="K157" s="3">
        <v>0.32</v>
      </c>
    </row>
    <row r="158" spans="1:11" x14ac:dyDescent="0.3">
      <c r="B158" s="1">
        <v>20</v>
      </c>
      <c r="C158" s="5">
        <v>598</v>
      </c>
      <c r="D158" s="1">
        <v>1</v>
      </c>
      <c r="E158" s="4">
        <v>40</v>
      </c>
      <c r="F158" s="3">
        <v>2.8</v>
      </c>
      <c r="G158" s="1">
        <v>40</v>
      </c>
      <c r="H158" s="1">
        <v>50</v>
      </c>
      <c r="I158" s="2">
        <v>5.4123833185813645E-2</v>
      </c>
      <c r="J158" s="3">
        <v>366.35650055812141</v>
      </c>
      <c r="K158" s="3">
        <v>0.34</v>
      </c>
    </row>
    <row r="159" spans="1:11" x14ac:dyDescent="0.3">
      <c r="A159" t="s">
        <v>40</v>
      </c>
      <c r="B159" s="1">
        <v>20</v>
      </c>
      <c r="C159" s="5">
        <v>598</v>
      </c>
      <c r="D159" s="1">
        <v>1</v>
      </c>
      <c r="E159" s="4">
        <v>40</v>
      </c>
      <c r="F159" s="3">
        <v>2.8</v>
      </c>
      <c r="G159" s="1">
        <v>40</v>
      </c>
      <c r="H159" s="1">
        <v>50</v>
      </c>
      <c r="I159" s="2">
        <v>5.4123833185813645E-2</v>
      </c>
      <c r="J159" s="3">
        <v>169.74396829625545</v>
      </c>
      <c r="K159" s="3">
        <v>0.16</v>
      </c>
    </row>
    <row r="160" spans="1:11" x14ac:dyDescent="0.3">
      <c r="B160" s="1">
        <v>20</v>
      </c>
      <c r="C160" s="5">
        <v>598</v>
      </c>
      <c r="D160" s="1">
        <v>1</v>
      </c>
      <c r="E160" s="4">
        <v>40</v>
      </c>
      <c r="F160" s="3">
        <v>2.8</v>
      </c>
      <c r="G160" s="1">
        <v>40</v>
      </c>
      <c r="H160" s="1">
        <v>50</v>
      </c>
      <c r="I160" s="2">
        <v>5.4123833185813645E-2</v>
      </c>
      <c r="J160" s="3">
        <v>201.87731844431667</v>
      </c>
      <c r="K160" s="3">
        <v>0.2</v>
      </c>
    </row>
    <row r="161" spans="1:11" x14ac:dyDescent="0.3">
      <c r="B161" s="1">
        <v>20</v>
      </c>
      <c r="C161" s="5">
        <v>598</v>
      </c>
      <c r="D161" s="1">
        <v>1</v>
      </c>
      <c r="E161" s="4">
        <v>40</v>
      </c>
      <c r="F161" s="3">
        <v>2.8</v>
      </c>
      <c r="G161" s="1">
        <v>40</v>
      </c>
      <c r="H161" s="1">
        <v>50</v>
      </c>
      <c r="I161" s="2">
        <v>5.4123833185813645E-2</v>
      </c>
      <c r="J161" s="3">
        <v>234.73684599685382</v>
      </c>
      <c r="K161" s="3">
        <v>0.24</v>
      </c>
    </row>
    <row r="162" spans="1:11" x14ac:dyDescent="0.3">
      <c r="B162" s="1">
        <v>20</v>
      </c>
      <c r="C162" s="5">
        <v>598</v>
      </c>
      <c r="D162" s="1">
        <v>1</v>
      </c>
      <c r="E162" s="4">
        <v>40</v>
      </c>
      <c r="F162" s="3">
        <v>2.8</v>
      </c>
      <c r="G162" s="1">
        <v>40</v>
      </c>
      <c r="H162" s="1">
        <v>50</v>
      </c>
      <c r="I162" s="2">
        <v>5.4123833185813645E-2</v>
      </c>
      <c r="J162" s="3">
        <v>267.23328484715302</v>
      </c>
      <c r="K162" s="3">
        <v>0.27</v>
      </c>
    </row>
    <row r="163" spans="1:11" x14ac:dyDescent="0.3">
      <c r="B163" s="1">
        <v>20</v>
      </c>
      <c r="C163" s="5">
        <v>598</v>
      </c>
      <c r="D163" s="1">
        <v>1</v>
      </c>
      <c r="E163" s="4">
        <v>40</v>
      </c>
      <c r="F163" s="3">
        <v>2.8</v>
      </c>
      <c r="G163" s="1">
        <v>40</v>
      </c>
      <c r="H163" s="1">
        <v>50</v>
      </c>
      <c r="I163" s="2">
        <v>5.4123833185813645E-2</v>
      </c>
      <c r="J163" s="3">
        <v>301.0005341552851</v>
      </c>
      <c r="K163" s="3">
        <v>0.28999999999999998</v>
      </c>
    </row>
    <row r="164" spans="1:11" x14ac:dyDescent="0.3">
      <c r="B164" s="1">
        <v>20</v>
      </c>
      <c r="C164" s="5">
        <v>598</v>
      </c>
      <c r="D164" s="1">
        <v>1</v>
      </c>
      <c r="E164" s="4">
        <v>40</v>
      </c>
      <c r="F164" s="3">
        <v>2.8</v>
      </c>
      <c r="G164" s="1">
        <v>40</v>
      </c>
      <c r="H164" s="1">
        <v>50</v>
      </c>
      <c r="I164" s="2">
        <v>5.4123833185813645E-2</v>
      </c>
      <c r="J164" s="3">
        <v>333.13388430334641</v>
      </c>
      <c r="K164" s="3">
        <v>0.32</v>
      </c>
    </row>
    <row r="165" spans="1:11" x14ac:dyDescent="0.3">
      <c r="B165" s="1">
        <v>20</v>
      </c>
      <c r="C165" s="5">
        <v>598</v>
      </c>
      <c r="D165" s="1">
        <v>1</v>
      </c>
      <c r="E165" s="4">
        <v>40</v>
      </c>
      <c r="F165" s="3">
        <v>2.8</v>
      </c>
      <c r="G165" s="1">
        <v>40</v>
      </c>
      <c r="H165" s="1">
        <v>50</v>
      </c>
      <c r="I165" s="2">
        <v>5.4123833185813645E-2</v>
      </c>
      <c r="J165" s="3">
        <v>348.7466984995794</v>
      </c>
      <c r="K165" s="3">
        <v>0.33</v>
      </c>
    </row>
    <row r="166" spans="1:11" x14ac:dyDescent="0.3">
      <c r="A166" t="s">
        <v>41</v>
      </c>
      <c r="B166" s="1">
        <v>10</v>
      </c>
      <c r="C166" s="5">
        <v>528</v>
      </c>
      <c r="D166" s="1">
        <v>1</v>
      </c>
      <c r="E166" s="4">
        <v>45</v>
      </c>
      <c r="F166" s="3">
        <v>2.8</v>
      </c>
      <c r="G166" s="1">
        <v>40</v>
      </c>
      <c r="H166" s="1">
        <v>45</v>
      </c>
      <c r="I166" s="2">
        <v>7.9598096831560491E-3</v>
      </c>
      <c r="J166" s="3">
        <v>310.30985357473827</v>
      </c>
      <c r="K166" s="3">
        <v>0.15</v>
      </c>
    </row>
    <row r="167" spans="1:11" x14ac:dyDescent="0.3">
      <c r="B167" s="1">
        <v>10</v>
      </c>
      <c r="C167" s="5">
        <v>528</v>
      </c>
      <c r="D167" s="1">
        <v>1</v>
      </c>
      <c r="E167" s="4">
        <v>45</v>
      </c>
      <c r="F167" s="3">
        <v>2.8</v>
      </c>
      <c r="G167" s="1">
        <v>40</v>
      </c>
      <c r="H167" s="1">
        <v>45</v>
      </c>
      <c r="I167" s="2">
        <v>7.9598096831560491E-3</v>
      </c>
      <c r="J167" s="3">
        <v>330.28688277482877</v>
      </c>
      <c r="K167" s="3">
        <v>0.19</v>
      </c>
    </row>
    <row r="168" spans="1:11" x14ac:dyDescent="0.3">
      <c r="B168" s="1">
        <v>10</v>
      </c>
      <c r="C168" s="5">
        <v>528</v>
      </c>
      <c r="D168" s="1">
        <v>1</v>
      </c>
      <c r="E168" s="4">
        <v>45</v>
      </c>
      <c r="F168" s="3">
        <v>2.8</v>
      </c>
      <c r="G168" s="1">
        <v>40</v>
      </c>
      <c r="H168" s="1">
        <v>45</v>
      </c>
      <c r="I168" s="2">
        <v>7.9598096831560491E-3</v>
      </c>
      <c r="J168" s="3">
        <v>334.28228861484689</v>
      </c>
      <c r="K168" s="3">
        <v>0.2</v>
      </c>
    </row>
    <row r="169" spans="1:11" x14ac:dyDescent="0.3">
      <c r="B169" s="1">
        <v>10</v>
      </c>
      <c r="C169" s="5">
        <v>528</v>
      </c>
      <c r="D169" s="1">
        <v>1</v>
      </c>
      <c r="E169" s="4">
        <v>45</v>
      </c>
      <c r="F169" s="3">
        <v>2.8</v>
      </c>
      <c r="G169" s="1">
        <v>40</v>
      </c>
      <c r="H169" s="1">
        <v>45</v>
      </c>
      <c r="I169" s="2">
        <v>7.9598096831560491E-3</v>
      </c>
      <c r="J169" s="3">
        <v>351.15177993936766</v>
      </c>
      <c r="K169" s="3">
        <v>0.23</v>
      </c>
    </row>
    <row r="170" spans="1:11" x14ac:dyDescent="0.3">
      <c r="B170" s="1">
        <v>10</v>
      </c>
      <c r="C170" s="5">
        <v>528</v>
      </c>
      <c r="D170" s="1">
        <v>1</v>
      </c>
      <c r="E170" s="4">
        <v>45</v>
      </c>
      <c r="F170" s="3">
        <v>2.8</v>
      </c>
      <c r="G170" s="1">
        <v>40</v>
      </c>
      <c r="H170" s="1">
        <v>45</v>
      </c>
      <c r="I170" s="2">
        <v>7.9598096831560491E-3</v>
      </c>
      <c r="J170" s="3">
        <v>362.69406347719769</v>
      </c>
      <c r="K170" s="3">
        <v>0.25</v>
      </c>
    </row>
    <row r="171" spans="1:11" x14ac:dyDescent="0.3">
      <c r="B171" s="1">
        <v>10</v>
      </c>
      <c r="C171" s="5">
        <v>528</v>
      </c>
      <c r="D171" s="1">
        <v>1</v>
      </c>
      <c r="E171" s="4">
        <v>45</v>
      </c>
      <c r="F171" s="3">
        <v>2.8</v>
      </c>
      <c r="G171" s="1">
        <v>40</v>
      </c>
      <c r="H171" s="1">
        <v>45</v>
      </c>
      <c r="I171" s="2">
        <v>7.9598096831560491E-3</v>
      </c>
      <c r="J171" s="3">
        <v>375.5681489617005</v>
      </c>
      <c r="K171" s="3">
        <v>0.28000000000000003</v>
      </c>
    </row>
    <row r="172" spans="1:11" x14ac:dyDescent="0.3">
      <c r="B172" s="1">
        <v>10</v>
      </c>
      <c r="C172" s="5">
        <v>528</v>
      </c>
      <c r="D172" s="1">
        <v>1</v>
      </c>
      <c r="E172" s="4">
        <v>45</v>
      </c>
      <c r="F172" s="3">
        <v>2.8</v>
      </c>
      <c r="G172" s="1">
        <v>40</v>
      </c>
      <c r="H172" s="1">
        <v>45</v>
      </c>
      <c r="I172" s="2">
        <v>7.9598096831560491E-3</v>
      </c>
      <c r="J172" s="3">
        <v>387.11043249953048</v>
      </c>
      <c r="K172" s="3">
        <v>0.31</v>
      </c>
    </row>
    <row r="173" spans="1:11" x14ac:dyDescent="0.3">
      <c r="B173" s="1">
        <v>10</v>
      </c>
      <c r="C173" s="5">
        <v>528</v>
      </c>
      <c r="D173" s="1">
        <v>1</v>
      </c>
      <c r="E173" s="4">
        <v>45</v>
      </c>
      <c r="F173" s="3">
        <v>2.8</v>
      </c>
      <c r="G173" s="1">
        <v>40</v>
      </c>
      <c r="H173" s="1">
        <v>45</v>
      </c>
      <c r="I173" s="2">
        <v>7.9598096831560491E-3</v>
      </c>
      <c r="J173" s="3">
        <v>400.87238594848156</v>
      </c>
      <c r="K173" s="3">
        <v>0.36</v>
      </c>
    </row>
    <row r="174" spans="1:11" x14ac:dyDescent="0.3">
      <c r="A174" t="s">
        <v>42</v>
      </c>
      <c r="B174" s="1">
        <v>10</v>
      </c>
      <c r="C174" s="5">
        <v>528</v>
      </c>
      <c r="D174" s="1">
        <v>1</v>
      </c>
      <c r="E174" s="4">
        <v>45</v>
      </c>
      <c r="F174" s="3">
        <v>2.8</v>
      </c>
      <c r="G174" s="1">
        <v>40</v>
      </c>
      <c r="H174" s="1">
        <v>45</v>
      </c>
      <c r="I174" s="2">
        <v>7.9598096831560491E-3</v>
      </c>
      <c r="J174" s="3">
        <v>308.9780516280656</v>
      </c>
      <c r="K174" s="3">
        <v>0.16</v>
      </c>
    </row>
    <row r="175" spans="1:11" x14ac:dyDescent="0.3">
      <c r="B175" s="1">
        <v>10</v>
      </c>
      <c r="C175" s="5">
        <v>528</v>
      </c>
      <c r="D175" s="1">
        <v>1</v>
      </c>
      <c r="E175" s="4">
        <v>45</v>
      </c>
      <c r="F175" s="3">
        <v>2.8</v>
      </c>
      <c r="G175" s="1">
        <v>40</v>
      </c>
      <c r="H175" s="1">
        <v>45</v>
      </c>
      <c r="I175" s="2">
        <v>7.9598096831560491E-3</v>
      </c>
      <c r="J175" s="3">
        <v>322.29607109479258</v>
      </c>
      <c r="K175" s="3">
        <v>0.18</v>
      </c>
    </row>
    <row r="176" spans="1:11" x14ac:dyDescent="0.3">
      <c r="B176" s="1">
        <v>10</v>
      </c>
      <c r="C176" s="5">
        <v>528</v>
      </c>
      <c r="D176" s="1">
        <v>1</v>
      </c>
      <c r="E176" s="4">
        <v>45</v>
      </c>
      <c r="F176" s="3">
        <v>2.8</v>
      </c>
      <c r="G176" s="1">
        <v>40</v>
      </c>
      <c r="H176" s="1">
        <v>45</v>
      </c>
      <c r="I176" s="2">
        <v>7.9598096831560491E-3</v>
      </c>
      <c r="J176" s="3">
        <v>334.72622259707111</v>
      </c>
      <c r="K176" s="3">
        <v>0.2</v>
      </c>
    </row>
    <row r="177" spans="1:11" x14ac:dyDescent="0.3">
      <c r="B177" s="1">
        <v>10</v>
      </c>
      <c r="C177" s="5">
        <v>528</v>
      </c>
      <c r="D177" s="1">
        <v>1</v>
      </c>
      <c r="E177" s="4">
        <v>45</v>
      </c>
      <c r="F177" s="3">
        <v>2.8</v>
      </c>
      <c r="G177" s="1">
        <v>40</v>
      </c>
      <c r="H177" s="1">
        <v>45</v>
      </c>
      <c r="I177" s="2">
        <v>7.9598096831560491E-3</v>
      </c>
      <c r="J177" s="3">
        <v>347.60030808157381</v>
      </c>
      <c r="K177" s="3">
        <v>0.23</v>
      </c>
    </row>
    <row r="178" spans="1:11" x14ac:dyDescent="0.3">
      <c r="B178" s="1">
        <v>10</v>
      </c>
      <c r="C178" s="5">
        <v>528</v>
      </c>
      <c r="D178" s="1">
        <v>1</v>
      </c>
      <c r="E178" s="4">
        <v>45</v>
      </c>
      <c r="F178" s="3">
        <v>2.8</v>
      </c>
      <c r="G178" s="1">
        <v>40</v>
      </c>
      <c r="H178" s="1">
        <v>45</v>
      </c>
      <c r="I178" s="2">
        <v>7.9598096831560491E-3</v>
      </c>
      <c r="J178" s="3">
        <v>361.36226153052507</v>
      </c>
      <c r="K178" s="3">
        <v>0.24</v>
      </c>
    </row>
    <row r="179" spans="1:11" x14ac:dyDescent="0.3">
      <c r="B179" s="1">
        <v>10</v>
      </c>
      <c r="C179" s="5">
        <v>528</v>
      </c>
      <c r="D179" s="1">
        <v>1</v>
      </c>
      <c r="E179" s="4">
        <v>45</v>
      </c>
      <c r="F179" s="3">
        <v>2.8</v>
      </c>
      <c r="G179" s="1">
        <v>40</v>
      </c>
      <c r="H179" s="1">
        <v>45</v>
      </c>
      <c r="I179" s="2">
        <v>7.9598096831560491E-3</v>
      </c>
      <c r="J179" s="3">
        <v>375.5681489617005</v>
      </c>
      <c r="K179" s="3">
        <v>0.25</v>
      </c>
    </row>
    <row r="180" spans="1:11" x14ac:dyDescent="0.3">
      <c r="B180" s="1">
        <v>10</v>
      </c>
      <c r="C180" s="5">
        <v>528</v>
      </c>
      <c r="D180" s="1">
        <v>1</v>
      </c>
      <c r="E180" s="4">
        <v>45</v>
      </c>
      <c r="F180" s="3">
        <v>2.8</v>
      </c>
      <c r="G180" s="1">
        <v>40</v>
      </c>
      <c r="H180" s="1">
        <v>45</v>
      </c>
      <c r="I180" s="2">
        <v>7.9598096831560491E-3</v>
      </c>
      <c r="J180" s="3">
        <v>388.44223444620314</v>
      </c>
      <c r="K180" s="3">
        <v>0.27</v>
      </c>
    </row>
    <row r="181" spans="1:11" x14ac:dyDescent="0.3">
      <c r="B181" s="1">
        <v>10</v>
      </c>
      <c r="C181" s="5">
        <v>528</v>
      </c>
      <c r="D181" s="1">
        <v>1</v>
      </c>
      <c r="E181" s="4">
        <v>45</v>
      </c>
      <c r="F181" s="3">
        <v>2.8</v>
      </c>
      <c r="G181" s="1">
        <v>40</v>
      </c>
      <c r="H181" s="1">
        <v>45</v>
      </c>
      <c r="I181" s="2">
        <v>7.9598096831560491E-3</v>
      </c>
      <c r="J181" s="3">
        <v>399.98451798403318</v>
      </c>
      <c r="K181" s="3">
        <v>0.28999999999999998</v>
      </c>
    </row>
    <row r="182" spans="1:11" x14ac:dyDescent="0.3">
      <c r="A182" t="s">
        <v>43</v>
      </c>
      <c r="B182" s="1">
        <v>10</v>
      </c>
      <c r="C182" s="5">
        <v>528</v>
      </c>
      <c r="D182" s="1">
        <v>1</v>
      </c>
      <c r="E182" s="4">
        <v>45</v>
      </c>
      <c r="F182" s="3">
        <v>2.8</v>
      </c>
      <c r="G182" s="1">
        <v>40</v>
      </c>
      <c r="H182" s="1">
        <v>45</v>
      </c>
      <c r="I182" s="2">
        <v>7.9598096831560491E-3</v>
      </c>
      <c r="J182" s="3">
        <v>323.62787304146531</v>
      </c>
      <c r="K182" s="3">
        <v>0.15</v>
      </c>
    </row>
    <row r="183" spans="1:11" x14ac:dyDescent="0.3">
      <c r="B183" s="1">
        <v>10</v>
      </c>
      <c r="C183" s="5">
        <v>528</v>
      </c>
      <c r="D183" s="1">
        <v>1</v>
      </c>
      <c r="E183" s="4">
        <v>45</v>
      </c>
      <c r="F183" s="3">
        <v>2.8</v>
      </c>
      <c r="G183" s="1">
        <v>40</v>
      </c>
      <c r="H183" s="1">
        <v>45</v>
      </c>
      <c r="I183" s="2">
        <v>7.9598096831560491E-3</v>
      </c>
      <c r="J183" s="3">
        <v>336.50195852596801</v>
      </c>
      <c r="K183" s="3">
        <v>0.16</v>
      </c>
    </row>
    <row r="184" spans="1:11" x14ac:dyDescent="0.3">
      <c r="B184" s="1">
        <v>10</v>
      </c>
      <c r="C184" s="5">
        <v>528</v>
      </c>
      <c r="D184" s="1">
        <v>1</v>
      </c>
      <c r="E184" s="4">
        <v>45</v>
      </c>
      <c r="F184" s="3">
        <v>2.8</v>
      </c>
      <c r="G184" s="1">
        <v>40</v>
      </c>
      <c r="H184" s="1">
        <v>45</v>
      </c>
      <c r="I184" s="2">
        <v>7.9598096831560491E-3</v>
      </c>
      <c r="J184" s="3">
        <v>354.70325179716156</v>
      </c>
      <c r="K184" s="3">
        <v>0.18</v>
      </c>
    </row>
    <row r="185" spans="1:11" x14ac:dyDescent="0.3">
      <c r="B185" s="1">
        <v>10</v>
      </c>
      <c r="C185" s="5">
        <v>528</v>
      </c>
      <c r="D185" s="1">
        <v>1</v>
      </c>
      <c r="E185" s="4">
        <v>45</v>
      </c>
      <c r="F185" s="3">
        <v>2.8</v>
      </c>
      <c r="G185" s="1">
        <v>40</v>
      </c>
      <c r="H185" s="1">
        <v>45</v>
      </c>
      <c r="I185" s="2">
        <v>7.9598096831560491E-3</v>
      </c>
      <c r="J185" s="3">
        <v>365.35766737054308</v>
      </c>
      <c r="K185" s="3">
        <v>0.18</v>
      </c>
    </row>
    <row r="186" spans="1:11" x14ac:dyDescent="0.3">
      <c r="B186" s="1">
        <v>10</v>
      </c>
      <c r="C186" s="5">
        <v>528</v>
      </c>
      <c r="D186" s="1">
        <v>1</v>
      </c>
      <c r="E186" s="4">
        <v>45</v>
      </c>
      <c r="F186" s="3">
        <v>2.8</v>
      </c>
      <c r="G186" s="1">
        <v>40</v>
      </c>
      <c r="H186" s="1">
        <v>45</v>
      </c>
      <c r="I186" s="2">
        <v>7.9598096831560491E-3</v>
      </c>
      <c r="J186" s="3">
        <v>375.5681489617005</v>
      </c>
      <c r="K186" s="3">
        <v>0.19</v>
      </c>
    </row>
    <row r="187" spans="1:11" x14ac:dyDescent="0.3">
      <c r="B187" s="1">
        <v>10</v>
      </c>
      <c r="C187" s="5">
        <v>528</v>
      </c>
      <c r="D187" s="1">
        <v>1</v>
      </c>
      <c r="E187" s="4">
        <v>45</v>
      </c>
      <c r="F187" s="3">
        <v>2.8</v>
      </c>
      <c r="G187" s="1">
        <v>40</v>
      </c>
      <c r="H187" s="1">
        <v>45</v>
      </c>
      <c r="I187" s="2">
        <v>7.9598096831560491E-3</v>
      </c>
      <c r="J187" s="3">
        <v>386.66649851730631</v>
      </c>
      <c r="K187" s="3">
        <v>0.2</v>
      </c>
    </row>
    <row r="188" spans="1:11" x14ac:dyDescent="0.3">
      <c r="B188" s="1">
        <v>10</v>
      </c>
      <c r="C188" s="5">
        <v>528</v>
      </c>
      <c r="D188" s="1">
        <v>1</v>
      </c>
      <c r="E188" s="4">
        <v>45</v>
      </c>
      <c r="F188" s="3">
        <v>2.8</v>
      </c>
      <c r="G188" s="1">
        <v>40</v>
      </c>
      <c r="H188" s="1">
        <v>45</v>
      </c>
      <c r="I188" s="2">
        <v>7.9598096831560491E-3</v>
      </c>
      <c r="J188" s="3">
        <v>401.31631993070596</v>
      </c>
      <c r="K188" s="3">
        <v>0.22</v>
      </c>
    </row>
    <row r="189" spans="1:11" x14ac:dyDescent="0.3">
      <c r="A189" t="s">
        <v>44</v>
      </c>
      <c r="B189" s="1">
        <v>20</v>
      </c>
      <c r="C189" s="5">
        <v>598</v>
      </c>
      <c r="D189" s="1">
        <v>1</v>
      </c>
      <c r="E189" s="4">
        <v>40</v>
      </c>
      <c r="F189" s="3">
        <v>2.8</v>
      </c>
      <c r="G189" s="1">
        <v>40</v>
      </c>
      <c r="H189" s="1">
        <v>50</v>
      </c>
      <c r="I189" s="2">
        <v>3.7261485294905368E-2</v>
      </c>
      <c r="J189" s="3">
        <v>224.93648942333181</v>
      </c>
      <c r="K189" s="3">
        <v>0.16</v>
      </c>
    </row>
    <row r="190" spans="1:11" x14ac:dyDescent="0.3">
      <c r="B190" s="1">
        <v>20</v>
      </c>
      <c r="C190" s="5">
        <v>598</v>
      </c>
      <c r="D190" s="1">
        <v>1</v>
      </c>
      <c r="E190" s="4">
        <v>40</v>
      </c>
      <c r="F190" s="3">
        <v>2.8</v>
      </c>
      <c r="G190" s="1">
        <v>40</v>
      </c>
      <c r="H190" s="1">
        <v>50</v>
      </c>
      <c r="I190" s="2">
        <v>3.7261485294905368E-2</v>
      </c>
      <c r="J190" s="3">
        <v>259.89764030841235</v>
      </c>
      <c r="K190" s="3">
        <v>0.2</v>
      </c>
    </row>
    <row r="191" spans="1:11" x14ac:dyDescent="0.3">
      <c r="B191" s="1">
        <v>20</v>
      </c>
      <c r="C191" s="5">
        <v>598</v>
      </c>
      <c r="D191" s="1">
        <v>1</v>
      </c>
      <c r="E191" s="4">
        <v>40</v>
      </c>
      <c r="F191" s="3">
        <v>2.8</v>
      </c>
      <c r="G191" s="1">
        <v>40</v>
      </c>
      <c r="H191" s="1">
        <v>50</v>
      </c>
      <c r="I191" s="2">
        <v>3.7261485294905368E-2</v>
      </c>
      <c r="J191" s="3">
        <v>294.74027881761134</v>
      </c>
      <c r="K191" s="3">
        <v>0.23</v>
      </c>
    </row>
    <row r="192" spans="1:11" x14ac:dyDescent="0.3">
      <c r="A192" t="s">
        <v>45</v>
      </c>
      <c r="B192" s="1">
        <v>20</v>
      </c>
      <c r="C192" s="5">
        <v>598</v>
      </c>
      <c r="D192" s="1">
        <v>1</v>
      </c>
      <c r="E192" s="4">
        <v>40</v>
      </c>
      <c r="F192" s="3">
        <v>2.8</v>
      </c>
      <c r="G192" s="1">
        <v>40</v>
      </c>
      <c r="H192" s="1">
        <v>50</v>
      </c>
      <c r="I192" s="2">
        <v>3.7261485294905368E-2</v>
      </c>
      <c r="J192" s="3">
        <v>224.93648942333181</v>
      </c>
      <c r="K192" s="3">
        <v>0.14000000000000001</v>
      </c>
    </row>
    <row r="193" spans="1:11" x14ac:dyDescent="0.3">
      <c r="B193" s="1">
        <v>20</v>
      </c>
      <c r="C193" s="5">
        <v>598</v>
      </c>
      <c r="D193" s="1">
        <v>1</v>
      </c>
      <c r="E193" s="4">
        <v>40</v>
      </c>
      <c r="F193" s="3">
        <v>2.8</v>
      </c>
      <c r="G193" s="1">
        <v>40</v>
      </c>
      <c r="H193" s="1">
        <v>50</v>
      </c>
      <c r="I193" s="2">
        <v>3.7261485294905368E-2</v>
      </c>
      <c r="J193" s="3">
        <v>259.42359080488586</v>
      </c>
      <c r="K193" s="3">
        <v>0.17</v>
      </c>
    </row>
    <row r="194" spans="1:11" x14ac:dyDescent="0.3">
      <c r="B194" s="1">
        <v>20</v>
      </c>
      <c r="C194" s="5">
        <v>598</v>
      </c>
      <c r="D194" s="1">
        <v>1</v>
      </c>
      <c r="E194" s="4">
        <v>40</v>
      </c>
      <c r="F194" s="3">
        <v>2.8</v>
      </c>
      <c r="G194" s="1">
        <v>40</v>
      </c>
      <c r="H194" s="1">
        <v>50</v>
      </c>
      <c r="I194" s="2">
        <v>3.7261485294905368E-2</v>
      </c>
      <c r="J194" s="3">
        <v>294.14771693820313</v>
      </c>
      <c r="K194" s="3">
        <v>0.21</v>
      </c>
    </row>
    <row r="195" spans="1:11" x14ac:dyDescent="0.3">
      <c r="A195" t="s">
        <v>46</v>
      </c>
      <c r="B195" s="1">
        <v>20</v>
      </c>
      <c r="C195" s="5">
        <v>598</v>
      </c>
      <c r="D195" s="1">
        <v>1</v>
      </c>
      <c r="E195" s="4">
        <v>40</v>
      </c>
      <c r="F195" s="3">
        <v>2.8</v>
      </c>
      <c r="G195" s="1">
        <v>40</v>
      </c>
      <c r="H195" s="1">
        <v>50</v>
      </c>
      <c r="I195" s="2">
        <v>3.7261485294905368E-2</v>
      </c>
      <c r="J195" s="3">
        <v>154.30311339788094</v>
      </c>
      <c r="K195" s="3">
        <v>0.21</v>
      </c>
    </row>
    <row r="196" spans="1:11" x14ac:dyDescent="0.3">
      <c r="B196" s="1">
        <v>20</v>
      </c>
      <c r="C196" s="5">
        <v>598</v>
      </c>
      <c r="D196" s="1">
        <v>1</v>
      </c>
      <c r="E196" s="4">
        <v>40</v>
      </c>
      <c r="F196" s="3">
        <v>2.8</v>
      </c>
      <c r="G196" s="1">
        <v>40</v>
      </c>
      <c r="H196" s="1">
        <v>50</v>
      </c>
      <c r="I196" s="2">
        <v>3.7261485294905368E-2</v>
      </c>
      <c r="J196" s="3">
        <v>190.33087566589617</v>
      </c>
      <c r="K196" s="3">
        <v>0.25</v>
      </c>
    </row>
    <row r="197" spans="1:11" x14ac:dyDescent="0.3">
      <c r="B197" s="1">
        <v>20</v>
      </c>
      <c r="C197" s="5">
        <v>598</v>
      </c>
      <c r="D197" s="1">
        <v>1</v>
      </c>
      <c r="E197" s="4">
        <v>40</v>
      </c>
      <c r="F197" s="3">
        <v>2.8</v>
      </c>
      <c r="G197" s="1">
        <v>40</v>
      </c>
      <c r="H197" s="1">
        <v>50</v>
      </c>
      <c r="I197" s="2">
        <v>3.7261485294905368E-2</v>
      </c>
      <c r="J197" s="3">
        <v>224.34392754392366</v>
      </c>
      <c r="K197" s="3">
        <v>0.28999999999999998</v>
      </c>
    </row>
    <row r="198" spans="1:11" x14ac:dyDescent="0.3">
      <c r="B198" s="1">
        <v>20</v>
      </c>
      <c r="C198" s="5">
        <v>598</v>
      </c>
      <c r="D198" s="1">
        <v>1</v>
      </c>
      <c r="E198" s="4">
        <v>40</v>
      </c>
      <c r="F198" s="3">
        <v>2.8</v>
      </c>
      <c r="G198" s="1">
        <v>40</v>
      </c>
      <c r="H198" s="1">
        <v>50</v>
      </c>
      <c r="I198" s="2">
        <v>3.7261485294905368E-2</v>
      </c>
      <c r="J198" s="3">
        <v>258.47549179783277</v>
      </c>
      <c r="K198" s="3">
        <v>0.33</v>
      </c>
    </row>
    <row r="199" spans="1:11" x14ac:dyDescent="0.3">
      <c r="B199" s="1">
        <v>20</v>
      </c>
      <c r="C199" s="5">
        <v>598</v>
      </c>
      <c r="D199" s="1">
        <v>1</v>
      </c>
      <c r="E199" s="4">
        <v>40</v>
      </c>
      <c r="F199" s="3">
        <v>2.8</v>
      </c>
      <c r="G199" s="1">
        <v>40</v>
      </c>
      <c r="H199" s="1">
        <v>50</v>
      </c>
      <c r="I199" s="2">
        <v>3.7261485294905368E-2</v>
      </c>
      <c r="J199" s="3">
        <v>306.71002878165581</v>
      </c>
      <c r="K199" s="3">
        <v>0.37</v>
      </c>
    </row>
    <row r="200" spans="1:11" x14ac:dyDescent="0.3">
      <c r="A200" t="s">
        <v>47</v>
      </c>
      <c r="B200" s="1">
        <v>20</v>
      </c>
      <c r="C200" s="5">
        <v>430</v>
      </c>
      <c r="D200" s="1">
        <v>6</v>
      </c>
      <c r="E200" s="4">
        <v>84</v>
      </c>
      <c r="F200" s="3">
        <v>3.5088212858554391</v>
      </c>
      <c r="G200" s="1">
        <v>50</v>
      </c>
      <c r="H200" s="1">
        <v>64</v>
      </c>
      <c r="I200" s="2">
        <v>3.1012448894699375E-2</v>
      </c>
      <c r="J200" s="3">
        <v>179.8880402629556</v>
      </c>
      <c r="K200" s="3">
        <v>0.15</v>
      </c>
    </row>
    <row r="201" spans="1:11" x14ac:dyDescent="0.3">
      <c r="B201" s="1">
        <v>20</v>
      </c>
      <c r="C201" s="5">
        <v>430</v>
      </c>
      <c r="D201" s="1">
        <v>6</v>
      </c>
      <c r="E201" s="4">
        <v>84</v>
      </c>
      <c r="F201" s="3">
        <v>3.5088212858554391</v>
      </c>
      <c r="G201" s="1">
        <v>50</v>
      </c>
      <c r="H201" s="1">
        <v>64</v>
      </c>
      <c r="I201" s="2">
        <v>3.1012448894699375E-2</v>
      </c>
      <c r="J201" s="3">
        <v>225.29667178564338</v>
      </c>
      <c r="K201" s="3">
        <v>0.23</v>
      </c>
    </row>
    <row r="202" spans="1:11" x14ac:dyDescent="0.3">
      <c r="B202" s="1">
        <v>20</v>
      </c>
      <c r="C202" s="5">
        <v>430</v>
      </c>
      <c r="D202" s="1">
        <v>6</v>
      </c>
      <c r="E202" s="4">
        <v>84</v>
      </c>
      <c r="F202" s="3">
        <v>3.5088212858554391</v>
      </c>
      <c r="G202" s="1">
        <v>50</v>
      </c>
      <c r="H202" s="1">
        <v>64</v>
      </c>
      <c r="I202" s="2">
        <v>3.1012448894699375E-2</v>
      </c>
      <c r="J202" s="3">
        <v>270.70530330833117</v>
      </c>
      <c r="K202" s="3">
        <v>0.28000000000000003</v>
      </c>
    </row>
    <row r="203" spans="1:11" x14ac:dyDescent="0.3">
      <c r="A203" t="s">
        <v>48</v>
      </c>
      <c r="B203" s="1">
        <v>20</v>
      </c>
      <c r="C203" s="5">
        <v>430</v>
      </c>
      <c r="D203" s="1">
        <v>9</v>
      </c>
      <c r="E203" s="4">
        <v>45</v>
      </c>
      <c r="F203" s="3">
        <v>3.5088212858554391</v>
      </c>
      <c r="G203" s="1">
        <v>50</v>
      </c>
      <c r="H203" s="1">
        <v>64</v>
      </c>
      <c r="I203" s="2">
        <v>4.9328037963777847E-2</v>
      </c>
      <c r="J203" s="3">
        <v>176.83957373352104</v>
      </c>
      <c r="K203" s="3">
        <v>0.18</v>
      </c>
    </row>
    <row r="204" spans="1:11" x14ac:dyDescent="0.3">
      <c r="B204" s="1">
        <v>20</v>
      </c>
      <c r="C204" s="5">
        <v>430</v>
      </c>
      <c r="D204" s="1">
        <v>9</v>
      </c>
      <c r="E204" s="4">
        <v>45</v>
      </c>
      <c r="F204" s="3">
        <v>3.5088212858554391</v>
      </c>
      <c r="G204" s="1">
        <v>50</v>
      </c>
      <c r="H204" s="1">
        <v>64</v>
      </c>
      <c r="I204" s="2">
        <v>4.9328037963777847E-2</v>
      </c>
      <c r="J204" s="3">
        <v>220.75275647271758</v>
      </c>
      <c r="K204" s="3">
        <v>0.26</v>
      </c>
    </row>
    <row r="205" spans="1:11" x14ac:dyDescent="0.3">
      <c r="B205" s="1">
        <v>20</v>
      </c>
      <c r="C205" s="5">
        <v>430</v>
      </c>
      <c r="D205" s="1">
        <v>9</v>
      </c>
      <c r="E205" s="4">
        <v>45</v>
      </c>
      <c r="F205" s="3">
        <v>3.5088212858554391</v>
      </c>
      <c r="G205" s="1">
        <v>50</v>
      </c>
      <c r="H205" s="1">
        <v>64</v>
      </c>
      <c r="I205" s="2">
        <v>4.9328037963777847E-2</v>
      </c>
      <c r="J205" s="3">
        <v>264.66593921191406</v>
      </c>
      <c r="K205" s="3">
        <v>0.34</v>
      </c>
    </row>
    <row r="206" spans="1:11" x14ac:dyDescent="0.3">
      <c r="A206" t="s">
        <v>49</v>
      </c>
      <c r="B206" s="1">
        <v>16</v>
      </c>
      <c r="C206" s="5">
        <v>528</v>
      </c>
      <c r="D206" s="1">
        <v>2</v>
      </c>
      <c r="E206" s="4">
        <v>52</v>
      </c>
      <c r="F206" s="3">
        <v>3.42</v>
      </c>
      <c r="G206" s="1">
        <v>27</v>
      </c>
      <c r="H206" s="1">
        <v>35</v>
      </c>
      <c r="I206" s="2">
        <v>4.8680193563528699E-2</v>
      </c>
      <c r="J206" s="3">
        <v>234.72234542321382</v>
      </c>
      <c r="K206" s="3">
        <v>0.15</v>
      </c>
    </row>
    <row r="207" spans="1:11" x14ac:dyDescent="0.3">
      <c r="B207" s="1">
        <v>16</v>
      </c>
      <c r="C207" s="5">
        <v>528</v>
      </c>
      <c r="D207" s="1">
        <v>2</v>
      </c>
      <c r="E207" s="4">
        <v>52</v>
      </c>
      <c r="F207" s="3">
        <v>3.42</v>
      </c>
      <c r="G207" s="1">
        <v>27</v>
      </c>
      <c r="H207" s="1">
        <v>35</v>
      </c>
      <c r="I207" s="2">
        <v>4.8680193563528699E-2</v>
      </c>
      <c r="J207" s="3">
        <v>315.66108522432211</v>
      </c>
      <c r="K207" s="3">
        <v>0.19</v>
      </c>
    </row>
    <row r="208" spans="1:11" x14ac:dyDescent="0.3">
      <c r="B208" s="1">
        <v>16</v>
      </c>
      <c r="C208" s="5">
        <v>528</v>
      </c>
      <c r="D208" s="1">
        <v>2</v>
      </c>
      <c r="E208" s="4">
        <v>52</v>
      </c>
      <c r="F208" s="3">
        <v>3.42</v>
      </c>
      <c r="G208" s="1">
        <v>27</v>
      </c>
      <c r="H208" s="1">
        <v>35</v>
      </c>
      <c r="I208" s="2">
        <v>4.8680193563528699E-2</v>
      </c>
      <c r="J208" s="3">
        <v>364.22432910498702</v>
      </c>
      <c r="K208" s="3">
        <v>0.22</v>
      </c>
    </row>
    <row r="209" spans="1:11" x14ac:dyDescent="0.3">
      <c r="B209" s="1">
        <v>16</v>
      </c>
      <c r="C209" s="5">
        <v>528</v>
      </c>
      <c r="D209" s="1">
        <v>2</v>
      </c>
      <c r="E209" s="4">
        <v>52</v>
      </c>
      <c r="F209" s="3">
        <v>3.42</v>
      </c>
      <c r="G209" s="1">
        <v>27</v>
      </c>
      <c r="H209" s="1">
        <v>35</v>
      </c>
      <c r="I209" s="2">
        <v>4.8680193563528699E-2</v>
      </c>
      <c r="J209" s="3">
        <v>404.69369900554108</v>
      </c>
      <c r="K209" s="3">
        <v>0.22</v>
      </c>
    </row>
    <row r="210" spans="1:11" x14ac:dyDescent="0.3">
      <c r="B210" s="1">
        <v>16</v>
      </c>
      <c r="C210" s="5">
        <v>528</v>
      </c>
      <c r="D210" s="1">
        <v>2</v>
      </c>
      <c r="E210" s="4">
        <v>52</v>
      </c>
      <c r="F210" s="3">
        <v>3.42</v>
      </c>
      <c r="G210" s="1">
        <v>27</v>
      </c>
      <c r="H210" s="1">
        <v>35</v>
      </c>
      <c r="I210" s="2">
        <v>4.8680193563528699E-2</v>
      </c>
      <c r="J210" s="3">
        <v>469.44469084642765</v>
      </c>
      <c r="K210" s="3">
        <v>0.25</v>
      </c>
    </row>
    <row r="211" spans="1:11" x14ac:dyDescent="0.3">
      <c r="B211" s="1">
        <v>16</v>
      </c>
      <c r="C211" s="5">
        <v>528</v>
      </c>
      <c r="D211" s="1">
        <v>2</v>
      </c>
      <c r="E211" s="4">
        <v>52</v>
      </c>
      <c r="F211" s="3">
        <v>3.42</v>
      </c>
      <c r="G211" s="1">
        <v>27</v>
      </c>
      <c r="H211" s="1">
        <v>35</v>
      </c>
      <c r="I211" s="2">
        <v>4.8680193563528699E-2</v>
      </c>
      <c r="J211" s="3">
        <v>526.10180870720353</v>
      </c>
      <c r="K211" s="3">
        <v>0.28999999999999998</v>
      </c>
    </row>
    <row r="212" spans="1:11" x14ac:dyDescent="0.3">
      <c r="A212" t="s">
        <v>50</v>
      </c>
      <c r="B212" s="1">
        <v>20</v>
      </c>
      <c r="C212" s="5">
        <v>528</v>
      </c>
      <c r="D212" s="1">
        <v>2</v>
      </c>
      <c r="E212" s="4">
        <v>44</v>
      </c>
      <c r="F212" s="3">
        <v>3.42</v>
      </c>
      <c r="G212" s="1">
        <v>25</v>
      </c>
      <c r="H212" s="1">
        <v>35</v>
      </c>
      <c r="I212" s="2">
        <v>8.2535915718449052E-2</v>
      </c>
      <c r="J212" s="3">
        <v>270.87013331072598</v>
      </c>
      <c r="K212" s="3">
        <v>0.17</v>
      </c>
    </row>
    <row r="213" spans="1:11" x14ac:dyDescent="0.3">
      <c r="B213" s="1">
        <v>20</v>
      </c>
      <c r="C213" s="5">
        <v>528</v>
      </c>
      <c r="D213" s="1">
        <v>2</v>
      </c>
      <c r="E213" s="4">
        <v>44</v>
      </c>
      <c r="F213" s="3">
        <v>3.42</v>
      </c>
      <c r="G213" s="1">
        <v>25</v>
      </c>
      <c r="H213" s="1">
        <v>35</v>
      </c>
      <c r="I213" s="2">
        <v>8.2535915718449052E-2</v>
      </c>
      <c r="J213" s="3">
        <v>308.0483869023941</v>
      </c>
      <c r="K213" s="3">
        <v>0.19</v>
      </c>
    </row>
    <row r="214" spans="1:11" x14ac:dyDescent="0.3">
      <c r="B214" s="1">
        <v>20</v>
      </c>
      <c r="C214" s="5">
        <v>528</v>
      </c>
      <c r="D214" s="1">
        <v>2</v>
      </c>
      <c r="E214" s="4">
        <v>44</v>
      </c>
      <c r="F214" s="3">
        <v>3.42</v>
      </c>
      <c r="G214" s="1">
        <v>25</v>
      </c>
      <c r="H214" s="1">
        <v>35</v>
      </c>
      <c r="I214" s="2">
        <v>8.2535915718449052E-2</v>
      </c>
      <c r="J214" s="3">
        <v>355.84899866311054</v>
      </c>
      <c r="K214" s="3">
        <v>0.21</v>
      </c>
    </row>
    <row r="215" spans="1:11" x14ac:dyDescent="0.3">
      <c r="B215" s="1">
        <v>20</v>
      </c>
      <c r="C215" s="5">
        <v>528</v>
      </c>
      <c r="D215" s="1">
        <v>2</v>
      </c>
      <c r="E215" s="4">
        <v>44</v>
      </c>
      <c r="F215" s="3">
        <v>3.42</v>
      </c>
      <c r="G215" s="1">
        <v>25</v>
      </c>
      <c r="H215" s="1">
        <v>35</v>
      </c>
      <c r="I215" s="2">
        <v>8.2535915718449052E-2</v>
      </c>
      <c r="J215" s="3">
        <v>377.09371500120665</v>
      </c>
      <c r="K215" s="3">
        <v>0.23</v>
      </c>
    </row>
    <row r="216" spans="1:11" x14ac:dyDescent="0.3">
      <c r="B216" s="1">
        <v>20</v>
      </c>
      <c r="C216" s="5">
        <v>528</v>
      </c>
      <c r="D216" s="1">
        <v>2</v>
      </c>
      <c r="E216" s="4">
        <v>44</v>
      </c>
      <c r="F216" s="3">
        <v>3.42</v>
      </c>
      <c r="G216" s="1">
        <v>25</v>
      </c>
      <c r="H216" s="1">
        <v>35</v>
      </c>
      <c r="I216" s="2">
        <v>8.2535915718449052E-2</v>
      </c>
      <c r="J216" s="3">
        <v>424.89432676192303</v>
      </c>
      <c r="K216" s="3">
        <v>0.25</v>
      </c>
    </row>
    <row r="217" spans="1:11" x14ac:dyDescent="0.3">
      <c r="B217" s="1">
        <v>20</v>
      </c>
      <c r="C217" s="5">
        <v>528</v>
      </c>
      <c r="D217" s="1">
        <v>2</v>
      </c>
      <c r="E217" s="4">
        <v>44</v>
      </c>
      <c r="F217" s="3">
        <v>3.42</v>
      </c>
      <c r="G217" s="1">
        <v>25</v>
      </c>
      <c r="H217" s="1">
        <v>35</v>
      </c>
      <c r="I217" s="2">
        <v>8.2535915718449052E-2</v>
      </c>
      <c r="J217" s="3">
        <v>525.80672936787971</v>
      </c>
      <c r="K217" s="3">
        <v>0.25</v>
      </c>
    </row>
    <row r="218" spans="1:11" x14ac:dyDescent="0.3">
      <c r="A218" t="s">
        <v>51</v>
      </c>
      <c r="B218" s="1">
        <v>20</v>
      </c>
      <c r="C218" s="5">
        <v>528</v>
      </c>
      <c r="D218" s="1">
        <v>3</v>
      </c>
      <c r="E218" s="4">
        <v>12</v>
      </c>
      <c r="F218" s="3">
        <v>3.42</v>
      </c>
      <c r="G218" s="1">
        <v>25</v>
      </c>
      <c r="H218" s="1">
        <v>35</v>
      </c>
      <c r="I218" s="2">
        <v>0.13524934868327321</v>
      </c>
      <c r="J218" s="3">
        <v>246.92191294539825</v>
      </c>
      <c r="K218" s="3">
        <v>0.18</v>
      </c>
    </row>
    <row r="219" spans="1:11" x14ac:dyDescent="0.3">
      <c r="B219" s="1">
        <v>20</v>
      </c>
      <c r="C219" s="5">
        <v>528</v>
      </c>
      <c r="D219" s="1">
        <v>3</v>
      </c>
      <c r="E219" s="4">
        <v>12</v>
      </c>
      <c r="F219" s="3">
        <v>3.42</v>
      </c>
      <c r="G219" s="1">
        <v>25</v>
      </c>
      <c r="H219" s="1">
        <v>35</v>
      </c>
      <c r="I219" s="2">
        <v>0.13524934868327321</v>
      </c>
      <c r="J219" s="3">
        <v>283.23395896678039</v>
      </c>
      <c r="K219" s="3">
        <v>0.19</v>
      </c>
    </row>
    <row r="220" spans="1:11" x14ac:dyDescent="0.3">
      <c r="B220" s="1">
        <v>20</v>
      </c>
      <c r="C220" s="5">
        <v>528</v>
      </c>
      <c r="D220" s="1">
        <v>3</v>
      </c>
      <c r="E220" s="4">
        <v>12</v>
      </c>
      <c r="F220" s="3">
        <v>3.42</v>
      </c>
      <c r="G220" s="1">
        <v>25</v>
      </c>
      <c r="H220" s="1">
        <v>35</v>
      </c>
      <c r="I220" s="2">
        <v>0.13524934868327321</v>
      </c>
      <c r="J220" s="3">
        <v>315.9148003860243</v>
      </c>
      <c r="K220" s="3">
        <v>0.21</v>
      </c>
    </row>
    <row r="221" spans="1:11" x14ac:dyDescent="0.3">
      <c r="B221" s="1">
        <v>20</v>
      </c>
      <c r="C221" s="5">
        <v>528</v>
      </c>
      <c r="D221" s="1">
        <v>3</v>
      </c>
      <c r="E221" s="4">
        <v>12</v>
      </c>
      <c r="F221" s="3">
        <v>3.42</v>
      </c>
      <c r="G221" s="1">
        <v>25</v>
      </c>
      <c r="H221" s="1">
        <v>35</v>
      </c>
      <c r="I221" s="2">
        <v>0.13524934868327321</v>
      </c>
      <c r="J221" s="3">
        <v>355.85805100954457</v>
      </c>
      <c r="K221" s="3">
        <v>0.23</v>
      </c>
    </row>
    <row r="222" spans="1:11" x14ac:dyDescent="0.3">
      <c r="B222" s="1">
        <v>20</v>
      </c>
      <c r="C222" s="5">
        <v>528</v>
      </c>
      <c r="D222" s="1">
        <v>3</v>
      </c>
      <c r="E222" s="4">
        <v>12</v>
      </c>
      <c r="F222" s="3">
        <v>3.42</v>
      </c>
      <c r="G222" s="1">
        <v>25</v>
      </c>
      <c r="H222" s="1">
        <v>35</v>
      </c>
      <c r="I222" s="2">
        <v>0.13524934868327321</v>
      </c>
      <c r="J222" s="3">
        <v>395.80130163306495</v>
      </c>
      <c r="K222" s="3">
        <v>0.25</v>
      </c>
    </row>
    <row r="223" spans="1:11" x14ac:dyDescent="0.3">
      <c r="B223" s="1">
        <v>20</v>
      </c>
      <c r="C223" s="5">
        <v>528</v>
      </c>
      <c r="D223" s="1">
        <v>3</v>
      </c>
      <c r="E223" s="4">
        <v>12</v>
      </c>
      <c r="F223" s="3">
        <v>3.42</v>
      </c>
      <c r="G223" s="1">
        <v>25</v>
      </c>
      <c r="H223" s="1">
        <v>35</v>
      </c>
      <c r="I223" s="2">
        <v>0.13524934868327321</v>
      </c>
      <c r="J223" s="3">
        <v>432.11334765444701</v>
      </c>
      <c r="K223" s="3">
        <v>0.28999999999999998</v>
      </c>
    </row>
    <row r="224" spans="1:11" x14ac:dyDescent="0.3">
      <c r="B224" s="1">
        <v>20</v>
      </c>
      <c r="C224" s="5">
        <v>528</v>
      </c>
      <c r="D224" s="1">
        <v>3</v>
      </c>
      <c r="E224" s="4">
        <v>12</v>
      </c>
      <c r="F224" s="3">
        <v>3.42</v>
      </c>
      <c r="G224" s="1">
        <v>25</v>
      </c>
      <c r="H224" s="1">
        <v>35</v>
      </c>
      <c r="I224" s="2">
        <v>0.13524934868327321</v>
      </c>
      <c r="J224" s="3">
        <v>468.42539367582907</v>
      </c>
      <c r="K224" s="3">
        <v>0.31</v>
      </c>
    </row>
    <row r="225" spans="1:11" x14ac:dyDescent="0.3">
      <c r="B225" s="1">
        <v>20</v>
      </c>
      <c r="C225" s="5">
        <v>528</v>
      </c>
      <c r="D225" s="1">
        <v>3</v>
      </c>
      <c r="E225" s="4">
        <v>12</v>
      </c>
      <c r="F225" s="3">
        <v>3.42</v>
      </c>
      <c r="G225" s="1">
        <v>25</v>
      </c>
      <c r="H225" s="1">
        <v>35</v>
      </c>
      <c r="I225" s="2">
        <v>0.13524934868327321</v>
      </c>
      <c r="J225" s="3">
        <v>501.10623509507292</v>
      </c>
      <c r="K225" s="3">
        <v>0.37</v>
      </c>
    </row>
    <row r="226" spans="1:11" x14ac:dyDescent="0.3">
      <c r="A226" t="s">
        <v>52</v>
      </c>
      <c r="B226" s="1">
        <v>16</v>
      </c>
      <c r="C226" s="5">
        <v>528</v>
      </c>
      <c r="D226" s="1">
        <v>2</v>
      </c>
      <c r="E226" s="4">
        <v>52</v>
      </c>
      <c r="F226" s="3">
        <v>2.98</v>
      </c>
      <c r="G226" s="1">
        <v>27</v>
      </c>
      <c r="H226" s="1">
        <v>35</v>
      </c>
      <c r="I226" s="2">
        <v>4.8026966994219954E-2</v>
      </c>
      <c r="J226" s="3">
        <v>370.74728404873275</v>
      </c>
      <c r="K226" s="3">
        <v>0.16</v>
      </c>
    </row>
    <row r="227" spans="1:11" x14ac:dyDescent="0.3">
      <c r="B227" s="1">
        <v>16</v>
      </c>
      <c r="C227" s="5">
        <v>528</v>
      </c>
      <c r="D227" s="1">
        <v>2</v>
      </c>
      <c r="E227" s="4">
        <v>52</v>
      </c>
      <c r="F227" s="3">
        <v>2.98</v>
      </c>
      <c r="G227" s="1">
        <v>27</v>
      </c>
      <c r="H227" s="1">
        <v>35</v>
      </c>
      <c r="I227" s="2">
        <v>4.8026966994219954E-2</v>
      </c>
      <c r="J227" s="3">
        <v>443.28479614522388</v>
      </c>
      <c r="K227" s="3">
        <v>0.2</v>
      </c>
    </row>
    <row r="228" spans="1:11" x14ac:dyDescent="0.3">
      <c r="B228" s="1">
        <v>16</v>
      </c>
      <c r="C228" s="5">
        <v>528</v>
      </c>
      <c r="D228" s="1">
        <v>2</v>
      </c>
      <c r="E228" s="4">
        <v>52</v>
      </c>
      <c r="F228" s="3">
        <v>2.98</v>
      </c>
      <c r="G228" s="1">
        <v>27</v>
      </c>
      <c r="H228" s="1">
        <v>35</v>
      </c>
      <c r="I228" s="2">
        <v>4.8026966994219954E-2</v>
      </c>
      <c r="J228" s="3">
        <v>523.88203180799201</v>
      </c>
      <c r="K228" s="3">
        <v>0.26</v>
      </c>
    </row>
    <row r="229" spans="1:11" x14ac:dyDescent="0.3">
      <c r="A229" t="s">
        <v>53</v>
      </c>
      <c r="B229" s="1">
        <v>20</v>
      </c>
      <c r="C229" s="5">
        <v>528</v>
      </c>
      <c r="D229" s="1">
        <v>2</v>
      </c>
      <c r="E229" s="4">
        <v>44</v>
      </c>
      <c r="F229" s="3">
        <v>2.98</v>
      </c>
      <c r="G229" s="1">
        <v>25</v>
      </c>
      <c r="H229" s="1">
        <v>35</v>
      </c>
      <c r="I229" s="2">
        <v>8.1200522425266847E-2</v>
      </c>
      <c r="J229" s="3">
        <v>264.28009430947355</v>
      </c>
      <c r="K229" s="3">
        <v>0.17</v>
      </c>
    </row>
    <row r="230" spans="1:11" x14ac:dyDescent="0.3">
      <c r="B230" s="1">
        <v>20</v>
      </c>
      <c r="C230" s="5">
        <v>528</v>
      </c>
      <c r="D230" s="1">
        <v>2</v>
      </c>
      <c r="E230" s="4">
        <v>44</v>
      </c>
      <c r="F230" s="3">
        <v>2.98</v>
      </c>
      <c r="G230" s="1">
        <v>25</v>
      </c>
      <c r="H230" s="1">
        <v>35</v>
      </c>
      <c r="I230" s="2">
        <v>8.1200522425266847E-2</v>
      </c>
      <c r="J230" s="3">
        <v>301.27930751279979</v>
      </c>
      <c r="K230" s="3">
        <v>0.19</v>
      </c>
    </row>
    <row r="231" spans="1:11" x14ac:dyDescent="0.3">
      <c r="B231" s="1">
        <v>20</v>
      </c>
      <c r="C231" s="5">
        <v>528</v>
      </c>
      <c r="D231" s="1">
        <v>2</v>
      </c>
      <c r="E231" s="4">
        <v>44</v>
      </c>
      <c r="F231" s="3">
        <v>2.98</v>
      </c>
      <c r="G231" s="1">
        <v>25</v>
      </c>
      <c r="H231" s="1">
        <v>35</v>
      </c>
      <c r="I231" s="2">
        <v>8.1200522425266847E-2</v>
      </c>
      <c r="J231" s="3">
        <v>348.84972448850499</v>
      </c>
      <c r="K231" s="3">
        <v>0.23</v>
      </c>
    </row>
    <row r="232" spans="1:11" x14ac:dyDescent="0.3">
      <c r="B232" s="1">
        <v>20</v>
      </c>
      <c r="C232" s="5">
        <v>528</v>
      </c>
      <c r="D232" s="1">
        <v>2</v>
      </c>
      <c r="E232" s="4">
        <v>44</v>
      </c>
      <c r="F232" s="3">
        <v>2.98</v>
      </c>
      <c r="G232" s="1">
        <v>25</v>
      </c>
      <c r="H232" s="1">
        <v>35</v>
      </c>
      <c r="I232" s="2">
        <v>8.1200522425266847E-2</v>
      </c>
      <c r="J232" s="3">
        <v>369.99213203326286</v>
      </c>
      <c r="K232" s="3">
        <v>0.25</v>
      </c>
    </row>
    <row r="233" spans="1:11" x14ac:dyDescent="0.3">
      <c r="B233" s="1">
        <v>20</v>
      </c>
      <c r="C233" s="5">
        <v>528</v>
      </c>
      <c r="D233" s="1">
        <v>2</v>
      </c>
      <c r="E233" s="4">
        <v>44</v>
      </c>
      <c r="F233" s="3">
        <v>2.98</v>
      </c>
      <c r="G233" s="1">
        <v>25</v>
      </c>
      <c r="H233" s="1">
        <v>35</v>
      </c>
      <c r="I233" s="2">
        <v>8.1200522425266847E-2</v>
      </c>
      <c r="J233" s="3">
        <v>401.7057433503997</v>
      </c>
      <c r="K233" s="3">
        <v>0.3</v>
      </c>
    </row>
    <row r="234" spans="1:11" x14ac:dyDescent="0.3">
      <c r="B234" s="1">
        <v>20</v>
      </c>
      <c r="C234" s="5">
        <v>528</v>
      </c>
      <c r="D234" s="1">
        <v>2</v>
      </c>
      <c r="E234" s="4">
        <v>44</v>
      </c>
      <c r="F234" s="3">
        <v>2.98</v>
      </c>
      <c r="G234" s="1">
        <v>25</v>
      </c>
      <c r="H234" s="1">
        <v>35</v>
      </c>
      <c r="I234" s="2">
        <v>8.1200522425266847E-2</v>
      </c>
      <c r="J234" s="3">
        <v>422.84815089515763</v>
      </c>
      <c r="K234" s="3">
        <v>0.32</v>
      </c>
    </row>
    <row r="235" spans="1:11" x14ac:dyDescent="0.3">
      <c r="B235" s="1">
        <v>20</v>
      </c>
      <c r="C235" s="5">
        <v>528</v>
      </c>
      <c r="D235" s="1">
        <v>2</v>
      </c>
      <c r="E235" s="4">
        <v>44</v>
      </c>
      <c r="F235" s="3">
        <v>2.98</v>
      </c>
      <c r="G235" s="1">
        <v>25</v>
      </c>
      <c r="H235" s="1">
        <v>35</v>
      </c>
      <c r="I235" s="2">
        <v>8.1200522425266847E-2</v>
      </c>
      <c r="J235" s="3">
        <v>474.64704937981429</v>
      </c>
      <c r="K235" s="3">
        <v>0.36</v>
      </c>
    </row>
    <row r="236" spans="1:11" x14ac:dyDescent="0.3">
      <c r="B236" s="1">
        <v>20</v>
      </c>
      <c r="C236" s="5">
        <v>528</v>
      </c>
      <c r="D236" s="1">
        <v>2</v>
      </c>
      <c r="E236" s="4">
        <v>44</v>
      </c>
      <c r="F236" s="3">
        <v>2.98</v>
      </c>
      <c r="G236" s="1">
        <v>25</v>
      </c>
      <c r="H236" s="1">
        <v>35</v>
      </c>
      <c r="I236" s="2">
        <v>8.1200522425266847E-2</v>
      </c>
      <c r="J236" s="3">
        <v>526.44594786447112</v>
      </c>
      <c r="K236" s="3">
        <v>0.47</v>
      </c>
    </row>
    <row r="237" spans="1:11" x14ac:dyDescent="0.3">
      <c r="A237" t="s">
        <v>54</v>
      </c>
      <c r="B237" s="1">
        <v>20</v>
      </c>
      <c r="C237" s="5">
        <v>528</v>
      </c>
      <c r="D237" s="1">
        <v>3</v>
      </c>
      <c r="E237" s="4">
        <v>12</v>
      </c>
      <c r="F237" s="3">
        <v>2.98</v>
      </c>
      <c r="G237" s="1">
        <v>25</v>
      </c>
      <c r="H237" s="1">
        <v>35</v>
      </c>
      <c r="I237" s="2">
        <v>0.1326866695196976</v>
      </c>
      <c r="J237" s="3">
        <v>303.4025683141906</v>
      </c>
      <c r="K237" s="3">
        <v>0.16</v>
      </c>
    </row>
    <row r="238" spans="1:11" x14ac:dyDescent="0.3">
      <c r="B238" s="1">
        <v>20</v>
      </c>
      <c r="C238" s="5">
        <v>528</v>
      </c>
      <c r="D238" s="1">
        <v>3</v>
      </c>
      <c r="E238" s="4">
        <v>12</v>
      </c>
      <c r="F238" s="3">
        <v>2.98</v>
      </c>
      <c r="G238" s="1">
        <v>25</v>
      </c>
      <c r="H238" s="1">
        <v>35</v>
      </c>
      <c r="I238" s="2">
        <v>0.1326866695196976</v>
      </c>
      <c r="J238" s="3">
        <v>317.8503096624853</v>
      </c>
      <c r="K238" s="3">
        <v>0.18</v>
      </c>
    </row>
    <row r="239" spans="1:11" x14ac:dyDescent="0.3">
      <c r="B239" s="1">
        <v>20</v>
      </c>
      <c r="C239" s="5">
        <v>528</v>
      </c>
      <c r="D239" s="1">
        <v>3</v>
      </c>
      <c r="E239" s="4">
        <v>12</v>
      </c>
      <c r="F239" s="3">
        <v>2.98</v>
      </c>
      <c r="G239" s="1">
        <v>25</v>
      </c>
      <c r="H239" s="1">
        <v>35</v>
      </c>
      <c r="I239" s="2">
        <v>0.1326866695196976</v>
      </c>
      <c r="J239" s="3">
        <v>353.96966303322239</v>
      </c>
      <c r="K239" s="3">
        <v>0.18</v>
      </c>
    </row>
    <row r="240" spans="1:11" x14ac:dyDescent="0.3">
      <c r="B240" s="1">
        <v>20</v>
      </c>
      <c r="C240" s="5">
        <v>528</v>
      </c>
      <c r="D240" s="1">
        <v>3</v>
      </c>
      <c r="E240" s="4">
        <v>12</v>
      </c>
      <c r="F240" s="3">
        <v>2.98</v>
      </c>
      <c r="G240" s="1">
        <v>25</v>
      </c>
      <c r="H240" s="1">
        <v>35</v>
      </c>
      <c r="I240" s="2">
        <v>0.1326866695196976</v>
      </c>
      <c r="J240" s="3">
        <v>393.70095174103312</v>
      </c>
      <c r="K240" s="3">
        <v>0.2</v>
      </c>
    </row>
    <row r="241" spans="1:11" x14ac:dyDescent="0.3">
      <c r="B241" s="1">
        <v>20</v>
      </c>
      <c r="C241" s="5">
        <v>528</v>
      </c>
      <c r="D241" s="1">
        <v>3</v>
      </c>
      <c r="E241" s="4">
        <v>12</v>
      </c>
      <c r="F241" s="3">
        <v>2.98</v>
      </c>
      <c r="G241" s="1">
        <v>25</v>
      </c>
      <c r="H241" s="1">
        <v>35</v>
      </c>
      <c r="I241" s="2">
        <v>0.1326866695196976</v>
      </c>
      <c r="J241" s="3">
        <v>429.82030511177004</v>
      </c>
      <c r="K241" s="3">
        <v>0.2</v>
      </c>
    </row>
    <row r="242" spans="1:11" x14ac:dyDescent="0.3">
      <c r="B242" s="1">
        <v>20</v>
      </c>
      <c r="C242" s="5">
        <v>528</v>
      </c>
      <c r="D242" s="1">
        <v>3</v>
      </c>
      <c r="E242" s="4">
        <v>12</v>
      </c>
      <c r="F242" s="3">
        <v>2.98</v>
      </c>
      <c r="G242" s="1">
        <v>25</v>
      </c>
      <c r="H242" s="1">
        <v>35</v>
      </c>
      <c r="I242" s="2">
        <v>0.1326866695196976</v>
      </c>
      <c r="J242" s="3">
        <v>462.32772314543331</v>
      </c>
      <c r="K242" s="3">
        <v>0.2</v>
      </c>
    </row>
    <row r="243" spans="1:11" x14ac:dyDescent="0.3">
      <c r="B243" s="1">
        <v>20</v>
      </c>
      <c r="C243" s="5">
        <v>528</v>
      </c>
      <c r="D243" s="1">
        <v>3</v>
      </c>
      <c r="E243" s="4">
        <v>12</v>
      </c>
      <c r="F243" s="3">
        <v>2.98</v>
      </c>
      <c r="G243" s="1">
        <v>25</v>
      </c>
      <c r="H243" s="1">
        <v>35</v>
      </c>
      <c r="I243" s="2">
        <v>0.1326866695196976</v>
      </c>
      <c r="J243" s="3">
        <v>502.05901185324399</v>
      </c>
      <c r="K243" s="3">
        <v>0.22</v>
      </c>
    </row>
    <row r="244" spans="1:11" x14ac:dyDescent="0.3">
      <c r="A244" t="s">
        <v>55</v>
      </c>
      <c r="B244" s="1">
        <v>28</v>
      </c>
      <c r="C244" s="5">
        <v>400</v>
      </c>
      <c r="D244" s="1">
        <v>4</v>
      </c>
      <c r="E244" s="4">
        <v>16</v>
      </c>
      <c r="F244" s="3">
        <v>5.3084743571011064</v>
      </c>
      <c r="G244" s="1">
        <v>30</v>
      </c>
      <c r="H244" s="1">
        <v>44</v>
      </c>
      <c r="I244" s="2">
        <v>0.22188311816029316</v>
      </c>
      <c r="J244" s="3">
        <v>151.17196997745879</v>
      </c>
      <c r="K244" s="3">
        <v>0.22</v>
      </c>
    </row>
    <row r="245" spans="1:11" x14ac:dyDescent="0.3">
      <c r="B245" s="1">
        <v>28</v>
      </c>
      <c r="C245" s="5">
        <v>400</v>
      </c>
      <c r="D245" s="1">
        <v>4</v>
      </c>
      <c r="E245" s="4">
        <v>16</v>
      </c>
      <c r="F245" s="3">
        <v>5.3084743571011064</v>
      </c>
      <c r="G245" s="1">
        <v>30</v>
      </c>
      <c r="H245" s="1">
        <v>44</v>
      </c>
      <c r="I245" s="2">
        <v>0.22188311816029316</v>
      </c>
      <c r="J245" s="3">
        <v>201.70659994135215</v>
      </c>
      <c r="K245" s="3">
        <v>0.25</v>
      </c>
    </row>
    <row r="246" spans="1:11" x14ac:dyDescent="0.3">
      <c r="B246" s="1">
        <v>28</v>
      </c>
      <c r="C246" s="5">
        <v>400</v>
      </c>
      <c r="D246" s="1">
        <v>4</v>
      </c>
      <c r="E246" s="4">
        <v>16</v>
      </c>
      <c r="F246" s="3">
        <v>5.3084743571011064</v>
      </c>
      <c r="G246" s="1">
        <v>30</v>
      </c>
      <c r="H246" s="1">
        <v>44</v>
      </c>
      <c r="I246" s="2">
        <v>0.22188311816029316</v>
      </c>
      <c r="J246" s="3">
        <v>230.64523419418001</v>
      </c>
      <c r="K246" s="3">
        <v>0.28999999999999998</v>
      </c>
    </row>
    <row r="247" spans="1:11" x14ac:dyDescent="0.3">
      <c r="B247" s="1">
        <v>28</v>
      </c>
      <c r="C247" s="5">
        <v>400</v>
      </c>
      <c r="D247" s="1">
        <v>4</v>
      </c>
      <c r="E247" s="4">
        <v>16</v>
      </c>
      <c r="F247" s="3">
        <v>5.3084743571011064</v>
      </c>
      <c r="G247" s="1">
        <v>30</v>
      </c>
      <c r="H247" s="1">
        <v>44</v>
      </c>
      <c r="I247" s="2">
        <v>0.22188311816029316</v>
      </c>
      <c r="J247" s="3">
        <v>263.90306758922088</v>
      </c>
      <c r="K247" s="3">
        <v>0.31</v>
      </c>
    </row>
    <row r="248" spans="1:11" x14ac:dyDescent="0.3">
      <c r="B248" s="1">
        <v>28</v>
      </c>
      <c r="C248" s="5">
        <v>400</v>
      </c>
      <c r="D248" s="1">
        <v>4</v>
      </c>
      <c r="E248" s="4">
        <v>16</v>
      </c>
      <c r="F248" s="3">
        <v>5.3084743571011064</v>
      </c>
      <c r="G248" s="1">
        <v>30</v>
      </c>
      <c r="H248" s="1">
        <v>44</v>
      </c>
      <c r="I248" s="2">
        <v>0.22188311816029316</v>
      </c>
      <c r="J248" s="3">
        <v>315.73345729577818</v>
      </c>
      <c r="K248" s="3">
        <v>0.33</v>
      </c>
    </row>
    <row r="249" spans="1:11" x14ac:dyDescent="0.3">
      <c r="B249" s="1">
        <v>28</v>
      </c>
      <c r="C249" s="5">
        <v>400</v>
      </c>
      <c r="D249" s="1">
        <v>4</v>
      </c>
      <c r="E249" s="4">
        <v>16</v>
      </c>
      <c r="F249" s="3">
        <v>5.3084743571011064</v>
      </c>
      <c r="G249" s="1">
        <v>30</v>
      </c>
      <c r="H249" s="1">
        <v>44</v>
      </c>
      <c r="I249" s="2">
        <v>0.22188311816029316</v>
      </c>
      <c r="J249" s="3">
        <v>342.08057206327823</v>
      </c>
      <c r="K249" s="3">
        <v>0.34</v>
      </c>
    </row>
    <row r="250" spans="1:11" x14ac:dyDescent="0.3">
      <c r="B250" s="1">
        <v>28</v>
      </c>
      <c r="C250" s="5">
        <v>400</v>
      </c>
      <c r="D250" s="1">
        <v>4</v>
      </c>
      <c r="E250" s="4">
        <v>16</v>
      </c>
      <c r="F250" s="3">
        <v>5.3084743571011064</v>
      </c>
      <c r="G250" s="1">
        <v>30</v>
      </c>
      <c r="H250" s="1">
        <v>44</v>
      </c>
      <c r="I250" s="2">
        <v>0.22188311816029316</v>
      </c>
      <c r="J250" s="3">
        <v>380.5214444289748</v>
      </c>
      <c r="K250" s="3">
        <v>0.37</v>
      </c>
    </row>
    <row r="251" spans="1:11" x14ac:dyDescent="0.3">
      <c r="A251" t="s">
        <v>56</v>
      </c>
      <c r="B251" s="1">
        <v>15.9</v>
      </c>
      <c r="C251" s="5">
        <v>392</v>
      </c>
      <c r="D251" s="1">
        <v>2</v>
      </c>
      <c r="E251" s="4">
        <v>46</v>
      </c>
      <c r="F251" s="3">
        <v>2.8258773978663156</v>
      </c>
      <c r="G251" s="1">
        <v>30</v>
      </c>
      <c r="H251" s="1">
        <v>38</v>
      </c>
      <c r="I251" s="2">
        <v>4.4148388230368388E-2</v>
      </c>
      <c r="J251" s="3">
        <v>361.66957450902817</v>
      </c>
      <c r="K251" s="3">
        <v>0.2</v>
      </c>
    </row>
    <row r="252" spans="1:11" x14ac:dyDescent="0.3">
      <c r="B252" s="1">
        <v>15.9</v>
      </c>
      <c r="C252" s="5">
        <v>392</v>
      </c>
      <c r="D252" s="1">
        <v>2</v>
      </c>
      <c r="E252" s="4">
        <v>46</v>
      </c>
      <c r="F252" s="3">
        <v>2.8258773978663156</v>
      </c>
      <c r="G252" s="1">
        <v>30</v>
      </c>
      <c r="H252" s="1">
        <v>38</v>
      </c>
      <c r="I252" s="2">
        <v>4.4148388230368388E-2</v>
      </c>
      <c r="J252" s="3">
        <v>392.3</v>
      </c>
      <c r="K252" s="3">
        <v>0.35</v>
      </c>
    </row>
    <row r="253" spans="1:11" x14ac:dyDescent="0.3">
      <c r="A253" t="s">
        <v>57</v>
      </c>
      <c r="B253" s="1">
        <v>15.9</v>
      </c>
      <c r="C253" s="5">
        <v>392</v>
      </c>
      <c r="D253" s="1">
        <v>2</v>
      </c>
      <c r="E253" s="4">
        <v>46</v>
      </c>
      <c r="F253" s="3">
        <v>2.8258773978663156</v>
      </c>
      <c r="G253" s="1">
        <v>30</v>
      </c>
      <c r="H253" s="1">
        <v>38</v>
      </c>
      <c r="I253" s="2">
        <v>4.4148388230368388E-2</v>
      </c>
      <c r="J253" s="3">
        <v>363.0041485847072</v>
      </c>
      <c r="K253" s="3">
        <v>0.2</v>
      </c>
    </row>
    <row r="254" spans="1:11" x14ac:dyDescent="0.3">
      <c r="B254" s="1">
        <v>15.9</v>
      </c>
      <c r="C254" s="5">
        <v>392</v>
      </c>
      <c r="D254" s="1">
        <v>2</v>
      </c>
      <c r="E254" s="4">
        <v>46</v>
      </c>
      <c r="F254" s="3">
        <v>2.8258773978663156</v>
      </c>
      <c r="G254" s="1">
        <v>30</v>
      </c>
      <c r="H254" s="1">
        <v>38</v>
      </c>
      <c r="I254" s="2">
        <v>4.4148388230368388E-2</v>
      </c>
      <c r="J254" s="3">
        <v>392.3</v>
      </c>
      <c r="K254" s="3">
        <v>0.25</v>
      </c>
    </row>
    <row r="255" spans="1:11" x14ac:dyDescent="0.3">
      <c r="A255" t="s">
        <v>58</v>
      </c>
      <c r="B255" s="1">
        <v>15.9</v>
      </c>
      <c r="C255" s="5">
        <v>392</v>
      </c>
      <c r="D255" s="1">
        <v>2</v>
      </c>
      <c r="E255" s="4">
        <v>46</v>
      </c>
      <c r="F255" s="3">
        <v>2.8258773978663156</v>
      </c>
      <c r="G255" s="1">
        <v>30</v>
      </c>
      <c r="H255" s="1">
        <v>38</v>
      </c>
      <c r="I255" s="2">
        <v>4.4148388230368388E-2</v>
      </c>
      <c r="J255" s="3">
        <v>363.0041485847072</v>
      </c>
      <c r="K255" s="3">
        <v>0.2</v>
      </c>
    </row>
    <row r="256" spans="1:11" x14ac:dyDescent="0.3">
      <c r="B256" s="1">
        <v>15.9</v>
      </c>
      <c r="C256" s="5">
        <v>392</v>
      </c>
      <c r="D256" s="1">
        <v>2</v>
      </c>
      <c r="E256" s="4">
        <v>46</v>
      </c>
      <c r="F256" s="3">
        <v>2.8258773978663156</v>
      </c>
      <c r="G256" s="1">
        <v>30</v>
      </c>
      <c r="H256" s="1">
        <v>38</v>
      </c>
      <c r="I256" s="2">
        <v>4.4148388230368388E-2</v>
      </c>
      <c r="J256" s="3">
        <v>392.3</v>
      </c>
      <c r="K256" s="3">
        <v>0.25</v>
      </c>
    </row>
    <row r="257" spans="1:11" x14ac:dyDescent="0.3">
      <c r="A257" t="s">
        <v>59</v>
      </c>
      <c r="B257" s="1">
        <v>15.9</v>
      </c>
      <c r="C257" s="5">
        <v>392</v>
      </c>
      <c r="D257" s="1">
        <v>2</v>
      </c>
      <c r="E257" s="4">
        <v>46</v>
      </c>
      <c r="F257" s="3">
        <v>2.8258773978663156</v>
      </c>
      <c r="G257" s="1">
        <v>30</v>
      </c>
      <c r="H257" s="1">
        <v>38</v>
      </c>
      <c r="I257" s="2">
        <v>4.4148388230368388E-2</v>
      </c>
      <c r="J257" s="3">
        <v>364.33872266038628</v>
      </c>
      <c r="K257" s="3">
        <v>0.2</v>
      </c>
    </row>
    <row r="258" spans="1:11" x14ac:dyDescent="0.3">
      <c r="B258" s="1">
        <v>15.9</v>
      </c>
      <c r="C258" s="5">
        <v>392</v>
      </c>
      <c r="D258" s="1">
        <v>2</v>
      </c>
      <c r="E258" s="4">
        <v>46</v>
      </c>
      <c r="F258" s="3">
        <v>2.8258773978663156</v>
      </c>
      <c r="G258" s="1">
        <v>30</v>
      </c>
      <c r="H258" s="1">
        <v>38</v>
      </c>
      <c r="I258" s="2">
        <v>4.4148388230368388E-2</v>
      </c>
      <c r="J258" s="3">
        <v>392.3</v>
      </c>
      <c r="K258" s="3">
        <v>0.3</v>
      </c>
    </row>
    <row r="259" spans="1:11" x14ac:dyDescent="0.3">
      <c r="A259" t="s">
        <v>60</v>
      </c>
      <c r="B259" s="1">
        <v>12.7</v>
      </c>
      <c r="C259" s="5">
        <v>392</v>
      </c>
      <c r="D259" s="1">
        <v>2</v>
      </c>
      <c r="E259" s="4">
        <v>52</v>
      </c>
      <c r="F259" s="3">
        <v>2.9208758709847928</v>
      </c>
      <c r="G259" s="1">
        <v>30</v>
      </c>
      <c r="H259" s="1">
        <v>36.5</v>
      </c>
      <c r="I259" s="2">
        <v>2.6406277928437891E-2</v>
      </c>
      <c r="J259" s="3">
        <v>317.10269794078823</v>
      </c>
      <c r="K259" s="3">
        <v>0.15</v>
      </c>
    </row>
    <row r="260" spans="1:11" x14ac:dyDescent="0.3">
      <c r="B260" s="1">
        <v>12.7</v>
      </c>
      <c r="C260" s="5">
        <v>392</v>
      </c>
      <c r="D260" s="1">
        <v>2</v>
      </c>
      <c r="E260" s="4">
        <v>52</v>
      </c>
      <c r="F260" s="3">
        <v>2.9208758709847928</v>
      </c>
      <c r="G260" s="1">
        <v>30</v>
      </c>
      <c r="H260" s="1">
        <v>36.5</v>
      </c>
      <c r="I260" s="2">
        <v>2.6406277928437891E-2</v>
      </c>
      <c r="J260" s="3">
        <v>392.3</v>
      </c>
      <c r="K260" s="3">
        <v>0.2</v>
      </c>
    </row>
    <row r="261" spans="1:11" x14ac:dyDescent="0.3">
      <c r="A261" t="s">
        <v>61</v>
      </c>
      <c r="B261" s="1">
        <v>12.7</v>
      </c>
      <c r="C261" s="5">
        <v>392</v>
      </c>
      <c r="D261" s="1">
        <v>2</v>
      </c>
      <c r="E261" s="4">
        <v>52</v>
      </c>
      <c r="F261" s="3">
        <v>2.9208758709847928</v>
      </c>
      <c r="G261" s="1">
        <v>30</v>
      </c>
      <c r="H261" s="1">
        <v>36.5</v>
      </c>
      <c r="I261" s="2">
        <v>2.6406277928437891E-2</v>
      </c>
      <c r="J261" s="3">
        <v>319.13540754297276</v>
      </c>
      <c r="K261" s="3">
        <v>0.15</v>
      </c>
    </row>
    <row r="262" spans="1:11" x14ac:dyDescent="0.3">
      <c r="B262" s="1">
        <v>12.7</v>
      </c>
      <c r="C262" s="5">
        <v>392</v>
      </c>
      <c r="D262" s="1">
        <v>2</v>
      </c>
      <c r="E262" s="4">
        <v>52</v>
      </c>
      <c r="F262" s="3">
        <v>2.9208758709847928</v>
      </c>
      <c r="G262" s="1">
        <v>30</v>
      </c>
      <c r="H262" s="1">
        <v>36.5</v>
      </c>
      <c r="I262" s="2">
        <v>2.6406277928437891E-2</v>
      </c>
      <c r="J262" s="3">
        <v>392.3</v>
      </c>
      <c r="K262" s="3">
        <v>0.2</v>
      </c>
    </row>
    <row r="263" spans="1:11" x14ac:dyDescent="0.3">
      <c r="A263" t="s">
        <v>62</v>
      </c>
      <c r="B263" s="1">
        <v>15.9</v>
      </c>
      <c r="C263" s="5">
        <v>392</v>
      </c>
      <c r="D263" s="1">
        <v>2</v>
      </c>
      <c r="E263" s="4">
        <v>46</v>
      </c>
      <c r="F263" s="3">
        <v>2.9208758709847928</v>
      </c>
      <c r="G263" s="1">
        <v>30</v>
      </c>
      <c r="H263" s="1">
        <v>38</v>
      </c>
      <c r="I263" s="2">
        <v>4.4034980538332921E-2</v>
      </c>
      <c r="J263" s="3">
        <v>260.02902224680844</v>
      </c>
      <c r="K263" s="3">
        <v>0.15</v>
      </c>
    </row>
    <row r="264" spans="1:11" x14ac:dyDescent="0.3">
      <c r="B264" s="1">
        <v>15.9</v>
      </c>
      <c r="C264" s="5">
        <v>392</v>
      </c>
      <c r="D264" s="1">
        <v>2</v>
      </c>
      <c r="E264" s="4">
        <v>46</v>
      </c>
      <c r="F264" s="3">
        <v>2.9208758709847928</v>
      </c>
      <c r="G264" s="1">
        <v>30</v>
      </c>
      <c r="H264" s="1">
        <v>38</v>
      </c>
      <c r="I264" s="2">
        <v>4.4034980538332921E-2</v>
      </c>
      <c r="J264" s="3">
        <v>365.37411331090004</v>
      </c>
      <c r="K264" s="3">
        <v>0.25</v>
      </c>
    </row>
    <row r="265" spans="1:11" x14ac:dyDescent="0.3">
      <c r="B265" s="1">
        <v>15.9</v>
      </c>
      <c r="C265" s="5">
        <v>392</v>
      </c>
      <c r="D265" s="1">
        <v>2</v>
      </c>
      <c r="E265" s="4">
        <v>46</v>
      </c>
      <c r="F265" s="3">
        <v>2.9208758709847928</v>
      </c>
      <c r="G265" s="1">
        <v>30</v>
      </c>
      <c r="H265" s="1">
        <v>38</v>
      </c>
      <c r="I265" s="2">
        <v>4.4034980538332921E-2</v>
      </c>
      <c r="J265" s="3">
        <v>392.3</v>
      </c>
      <c r="K265" s="3">
        <v>0.3</v>
      </c>
    </row>
    <row r="266" spans="1:11" x14ac:dyDescent="0.3">
      <c r="A266" t="s">
        <v>63</v>
      </c>
      <c r="B266" s="1">
        <v>15.9</v>
      </c>
      <c r="C266" s="5">
        <v>392</v>
      </c>
      <c r="D266" s="1">
        <v>2</v>
      </c>
      <c r="E266" s="4">
        <v>46</v>
      </c>
      <c r="F266" s="3">
        <v>2.9208758709847928</v>
      </c>
      <c r="G266" s="1">
        <v>30</v>
      </c>
      <c r="H266" s="1">
        <v>38</v>
      </c>
      <c r="I266" s="2">
        <v>4.4034980538332921E-2</v>
      </c>
      <c r="J266" s="3">
        <v>261.36250441217675</v>
      </c>
      <c r="K266" s="3">
        <v>0.15</v>
      </c>
    </row>
    <row r="267" spans="1:11" x14ac:dyDescent="0.3">
      <c r="B267" s="1">
        <v>15.9</v>
      </c>
      <c r="C267" s="5">
        <v>392</v>
      </c>
      <c r="D267" s="1">
        <v>2</v>
      </c>
      <c r="E267" s="4">
        <v>46</v>
      </c>
      <c r="F267" s="3">
        <v>2.9208758709847928</v>
      </c>
      <c r="G267" s="1">
        <v>30</v>
      </c>
      <c r="H267" s="1">
        <v>38</v>
      </c>
      <c r="I267" s="2">
        <v>4.4034980538332921E-2</v>
      </c>
      <c r="J267" s="3">
        <v>366.70759547626835</v>
      </c>
      <c r="K267" s="3">
        <v>0.25</v>
      </c>
    </row>
    <row r="268" spans="1:11" x14ac:dyDescent="0.3">
      <c r="A268" t="s">
        <v>64</v>
      </c>
      <c r="B268" s="1">
        <v>19.100000000000001</v>
      </c>
      <c r="C268" s="5">
        <v>392</v>
      </c>
      <c r="D268" s="1">
        <v>2</v>
      </c>
      <c r="E268" s="4">
        <v>40</v>
      </c>
      <c r="F268" s="3">
        <v>2.9208758709847928</v>
      </c>
      <c r="G268" s="1">
        <v>30</v>
      </c>
      <c r="H268" s="1">
        <v>39.5</v>
      </c>
      <c r="I268" s="2">
        <v>6.7418833961836511E-2</v>
      </c>
      <c r="J268" s="3">
        <v>187.02573904138569</v>
      </c>
      <c r="K268" s="3">
        <v>0.15</v>
      </c>
    </row>
    <row r="269" spans="1:11" x14ac:dyDescent="0.3">
      <c r="B269" s="1">
        <v>19.100000000000001</v>
      </c>
      <c r="C269" s="5">
        <v>392</v>
      </c>
      <c r="D269" s="1">
        <v>2</v>
      </c>
      <c r="E269" s="4">
        <v>40</v>
      </c>
      <c r="F269" s="3">
        <v>2.9208758709847928</v>
      </c>
      <c r="G269" s="1">
        <v>30</v>
      </c>
      <c r="H269" s="1">
        <v>39.5</v>
      </c>
      <c r="I269" s="2">
        <v>6.7418833961836511E-2</v>
      </c>
      <c r="J269" s="3">
        <v>261.07653927096982</v>
      </c>
      <c r="K269" s="3">
        <v>0.2</v>
      </c>
    </row>
    <row r="270" spans="1:11" x14ac:dyDescent="0.3">
      <c r="B270" s="1">
        <v>19.100000000000001</v>
      </c>
      <c r="C270" s="5">
        <v>392</v>
      </c>
      <c r="D270" s="1">
        <v>2</v>
      </c>
      <c r="E270" s="4">
        <v>40</v>
      </c>
      <c r="F270" s="3">
        <v>2.9208758709847928</v>
      </c>
      <c r="G270" s="1">
        <v>30</v>
      </c>
      <c r="H270" s="1">
        <v>39.5</v>
      </c>
      <c r="I270" s="2">
        <v>6.7418833961836511E-2</v>
      </c>
      <c r="J270" s="3">
        <v>336.07670873426662</v>
      </c>
      <c r="K270" s="3">
        <v>0.3</v>
      </c>
    </row>
    <row r="271" spans="1:11" x14ac:dyDescent="0.3">
      <c r="B271" s="1">
        <v>19.100000000000001</v>
      </c>
      <c r="C271" s="5">
        <v>392</v>
      </c>
      <c r="D271" s="1">
        <v>2</v>
      </c>
      <c r="E271" s="4">
        <v>40</v>
      </c>
      <c r="F271" s="3">
        <v>2.9208758709847928</v>
      </c>
      <c r="G271" s="1">
        <v>30</v>
      </c>
      <c r="H271" s="1">
        <v>39.5</v>
      </c>
      <c r="I271" s="2">
        <v>6.7418833961836511E-2</v>
      </c>
      <c r="J271" s="3">
        <v>392.3</v>
      </c>
      <c r="K271" s="3">
        <v>0.33</v>
      </c>
    </row>
    <row r="272" spans="1:11" x14ac:dyDescent="0.3">
      <c r="A272" t="s">
        <v>65</v>
      </c>
      <c r="B272" s="1">
        <v>19.100000000000001</v>
      </c>
      <c r="C272" s="5">
        <v>392</v>
      </c>
      <c r="D272" s="1">
        <v>2</v>
      </c>
      <c r="E272" s="4">
        <v>40</v>
      </c>
      <c r="F272" s="3">
        <v>2.9208758709847928</v>
      </c>
      <c r="G272" s="1">
        <v>30</v>
      </c>
      <c r="H272" s="1">
        <v>39.5</v>
      </c>
      <c r="I272" s="2">
        <v>6.7418833961836511E-2</v>
      </c>
      <c r="J272" s="3">
        <v>186.07636980767307</v>
      </c>
      <c r="K272" s="3">
        <v>0.15</v>
      </c>
    </row>
    <row r="273" spans="1:11" x14ac:dyDescent="0.3">
      <c r="B273" s="1">
        <v>19.100000000000001</v>
      </c>
      <c r="C273" s="5">
        <v>392</v>
      </c>
      <c r="D273" s="1">
        <v>2</v>
      </c>
      <c r="E273" s="4">
        <v>40</v>
      </c>
      <c r="F273" s="3">
        <v>2.9208758709847928</v>
      </c>
      <c r="G273" s="1">
        <v>30</v>
      </c>
      <c r="H273" s="1">
        <v>39.5</v>
      </c>
      <c r="I273" s="2">
        <v>6.7418833961836511E-2</v>
      </c>
      <c r="J273" s="3">
        <v>259.17780080354459</v>
      </c>
      <c r="K273" s="3">
        <v>0.25</v>
      </c>
    </row>
    <row r="274" spans="1:11" x14ac:dyDescent="0.3">
      <c r="B274" s="1">
        <v>19.100000000000001</v>
      </c>
      <c r="C274" s="5">
        <v>392</v>
      </c>
      <c r="D274" s="1">
        <v>2</v>
      </c>
      <c r="E274" s="4">
        <v>40</v>
      </c>
      <c r="F274" s="3">
        <v>2.9208758709847928</v>
      </c>
      <c r="G274" s="1">
        <v>30</v>
      </c>
      <c r="H274" s="1">
        <v>39.5</v>
      </c>
      <c r="I274" s="2">
        <v>6.7418833961836511E-2</v>
      </c>
      <c r="J274" s="3">
        <v>333.22860103312883</v>
      </c>
      <c r="K274" s="3">
        <v>0.28000000000000003</v>
      </c>
    </row>
    <row r="275" spans="1:11" x14ac:dyDescent="0.3">
      <c r="A275" t="s">
        <v>66</v>
      </c>
      <c r="B275" s="1">
        <v>15.9</v>
      </c>
      <c r="C275" s="5">
        <v>392</v>
      </c>
      <c r="D275" s="1">
        <v>2</v>
      </c>
      <c r="E275" s="4">
        <v>46</v>
      </c>
      <c r="F275" s="3">
        <v>3.3538794827423906</v>
      </c>
      <c r="G275" s="1">
        <v>30</v>
      </c>
      <c r="H275" s="1">
        <v>38</v>
      </c>
      <c r="I275" s="2">
        <v>4.3572731080932514E-2</v>
      </c>
      <c r="J275" s="3">
        <v>365.47269151625068</v>
      </c>
      <c r="K275" s="3">
        <v>0.2</v>
      </c>
    </row>
    <row r="276" spans="1:11" x14ac:dyDescent="0.3">
      <c r="B276" s="1">
        <v>15.9</v>
      </c>
      <c r="C276" s="5">
        <v>392</v>
      </c>
      <c r="D276" s="1">
        <v>2</v>
      </c>
      <c r="E276" s="4">
        <v>46</v>
      </c>
      <c r="F276" s="3">
        <v>3.3538794827423906</v>
      </c>
      <c r="G276" s="1">
        <v>30</v>
      </c>
      <c r="H276" s="1">
        <v>38</v>
      </c>
      <c r="I276" s="2">
        <v>4.3572731080932514E-2</v>
      </c>
      <c r="J276" s="3">
        <v>392.3</v>
      </c>
      <c r="K276" s="3">
        <v>0.22</v>
      </c>
    </row>
    <row r="277" spans="1:11" x14ac:dyDescent="0.3">
      <c r="A277" t="s">
        <v>67</v>
      </c>
      <c r="B277" s="1">
        <v>15.9</v>
      </c>
      <c r="C277" s="5">
        <v>392</v>
      </c>
      <c r="D277" s="1">
        <v>2</v>
      </c>
      <c r="E277" s="4">
        <v>46</v>
      </c>
      <c r="F277" s="3">
        <v>3.3538794827423906</v>
      </c>
      <c r="G277" s="1">
        <v>30</v>
      </c>
      <c r="H277" s="1">
        <v>38</v>
      </c>
      <c r="I277" s="2">
        <v>4.3572731080932514E-2</v>
      </c>
      <c r="J277" s="3">
        <v>365.47269151625068</v>
      </c>
      <c r="K277" s="3">
        <v>0.17</v>
      </c>
    </row>
    <row r="278" spans="1:11" x14ac:dyDescent="0.3">
      <c r="B278" s="1">
        <v>15.9</v>
      </c>
      <c r="C278" s="5">
        <v>392</v>
      </c>
      <c r="D278" s="1">
        <v>2</v>
      </c>
      <c r="E278" s="4">
        <v>46</v>
      </c>
      <c r="F278" s="3">
        <v>3.3538794827423906</v>
      </c>
      <c r="G278" s="1">
        <v>30</v>
      </c>
      <c r="H278" s="1">
        <v>38</v>
      </c>
      <c r="I278" s="2">
        <v>4.3572731080932514E-2</v>
      </c>
      <c r="J278" s="3">
        <v>392.3</v>
      </c>
      <c r="K278" s="3">
        <v>0.21</v>
      </c>
    </row>
    <row r="279" spans="1:11" x14ac:dyDescent="0.3">
      <c r="A279" t="s">
        <v>68</v>
      </c>
      <c r="B279" s="1">
        <v>19.100000000000001</v>
      </c>
      <c r="C279" s="5">
        <v>392</v>
      </c>
      <c r="D279" s="1">
        <v>2</v>
      </c>
      <c r="E279" s="4">
        <v>40</v>
      </c>
      <c r="F279" s="3">
        <v>3.3538794827423906</v>
      </c>
      <c r="G279" s="1">
        <v>30</v>
      </c>
      <c r="H279" s="1">
        <v>39.5</v>
      </c>
      <c r="I279" s="2">
        <v>6.6596536025101183E-2</v>
      </c>
      <c r="J279" s="3">
        <v>221.31013180149799</v>
      </c>
      <c r="K279" s="3">
        <v>0.17</v>
      </c>
    </row>
    <row r="280" spans="1:11" x14ac:dyDescent="0.3">
      <c r="B280" s="1">
        <v>19.100000000000001</v>
      </c>
      <c r="C280" s="5">
        <v>392</v>
      </c>
      <c r="D280" s="1">
        <v>2</v>
      </c>
      <c r="E280" s="4">
        <v>40</v>
      </c>
      <c r="F280" s="3">
        <v>3.3538794827423906</v>
      </c>
      <c r="G280" s="1">
        <v>30</v>
      </c>
      <c r="H280" s="1">
        <v>39.5</v>
      </c>
      <c r="I280" s="2">
        <v>6.6596536025101183E-2</v>
      </c>
      <c r="J280" s="3">
        <v>259.14092356243782</v>
      </c>
      <c r="K280" s="3">
        <v>0.18</v>
      </c>
    </row>
    <row r="281" spans="1:11" x14ac:dyDescent="0.3">
      <c r="B281" s="1">
        <v>19.100000000000001</v>
      </c>
      <c r="C281" s="5">
        <v>392</v>
      </c>
      <c r="D281" s="1">
        <v>2</v>
      </c>
      <c r="E281" s="4">
        <v>40</v>
      </c>
      <c r="F281" s="3">
        <v>3.3538794827423906</v>
      </c>
      <c r="G281" s="1">
        <v>30</v>
      </c>
      <c r="H281" s="1">
        <v>39.5</v>
      </c>
      <c r="I281" s="2">
        <v>6.6596536025101183E-2</v>
      </c>
      <c r="J281" s="3">
        <v>296.0259455293542</v>
      </c>
      <c r="K281" s="3">
        <v>0.2</v>
      </c>
    </row>
    <row r="282" spans="1:11" x14ac:dyDescent="0.3">
      <c r="B282" s="1">
        <v>19.100000000000001</v>
      </c>
      <c r="C282" s="5">
        <v>392</v>
      </c>
      <c r="D282" s="1">
        <v>2</v>
      </c>
      <c r="E282" s="4">
        <v>40</v>
      </c>
      <c r="F282" s="3">
        <v>3.3538794827423906</v>
      </c>
      <c r="G282" s="1">
        <v>30</v>
      </c>
      <c r="H282" s="1">
        <v>39.5</v>
      </c>
      <c r="I282" s="2">
        <v>6.6596536025101183E-2</v>
      </c>
      <c r="J282" s="3">
        <v>333.85673729029395</v>
      </c>
      <c r="K282" s="3">
        <v>0.2</v>
      </c>
    </row>
    <row r="283" spans="1:11" x14ac:dyDescent="0.3">
      <c r="B283" s="1">
        <v>19.100000000000001</v>
      </c>
      <c r="C283" s="5">
        <v>392</v>
      </c>
      <c r="D283" s="1">
        <v>2</v>
      </c>
      <c r="E283" s="4">
        <v>40</v>
      </c>
      <c r="F283" s="3">
        <v>3.3538794827423906</v>
      </c>
      <c r="G283" s="1">
        <v>30</v>
      </c>
      <c r="H283" s="1">
        <v>39.5</v>
      </c>
      <c r="I283" s="2">
        <v>6.6596536025101183E-2</v>
      </c>
      <c r="J283" s="3">
        <v>369.79598946318686</v>
      </c>
      <c r="K283" s="3">
        <v>0.25</v>
      </c>
    </row>
    <row r="284" spans="1:11" x14ac:dyDescent="0.3">
      <c r="B284" s="1">
        <v>19.100000000000001</v>
      </c>
      <c r="C284" s="5">
        <v>392</v>
      </c>
      <c r="D284" s="1">
        <v>2</v>
      </c>
      <c r="E284" s="4">
        <v>40</v>
      </c>
      <c r="F284" s="3">
        <v>3.3538794827423906</v>
      </c>
      <c r="G284" s="1">
        <v>30</v>
      </c>
      <c r="H284" s="1">
        <v>39.5</v>
      </c>
      <c r="I284" s="2">
        <v>6.6596536025101183E-2</v>
      </c>
      <c r="J284" s="3">
        <v>392.3</v>
      </c>
      <c r="K284" s="3">
        <v>0.27</v>
      </c>
    </row>
    <row r="285" spans="1:11" x14ac:dyDescent="0.3">
      <c r="A285" t="s">
        <v>69</v>
      </c>
      <c r="B285" s="1">
        <v>19.100000000000001</v>
      </c>
      <c r="C285" s="5">
        <v>392</v>
      </c>
      <c r="D285" s="1">
        <v>2</v>
      </c>
      <c r="E285" s="4">
        <v>40</v>
      </c>
      <c r="F285" s="3">
        <v>3.3538794827423906</v>
      </c>
      <c r="G285" s="1">
        <v>30</v>
      </c>
      <c r="H285" s="1">
        <v>39.5</v>
      </c>
      <c r="I285" s="2">
        <v>6.6596536025101183E-2</v>
      </c>
      <c r="J285" s="3">
        <v>296.0259455293542</v>
      </c>
      <c r="K285" s="3">
        <v>0.18</v>
      </c>
    </row>
    <row r="286" spans="1:11" x14ac:dyDescent="0.3">
      <c r="B286" s="1">
        <v>19.100000000000001</v>
      </c>
      <c r="C286" s="5">
        <v>392</v>
      </c>
      <c r="D286" s="1">
        <v>2</v>
      </c>
      <c r="E286" s="4">
        <v>40</v>
      </c>
      <c r="F286" s="3">
        <v>3.3538794827423906</v>
      </c>
      <c r="G286" s="1">
        <v>30</v>
      </c>
      <c r="H286" s="1">
        <v>39.5</v>
      </c>
      <c r="I286" s="2">
        <v>6.6596536025101183E-2</v>
      </c>
      <c r="J286" s="3">
        <v>331.965197702247</v>
      </c>
      <c r="K286" s="3">
        <v>0.19</v>
      </c>
    </row>
    <row r="287" spans="1:11" x14ac:dyDescent="0.3">
      <c r="B287" s="1">
        <v>19.100000000000001</v>
      </c>
      <c r="C287" s="5">
        <v>392</v>
      </c>
      <c r="D287" s="1">
        <v>2</v>
      </c>
      <c r="E287" s="4">
        <v>40</v>
      </c>
      <c r="F287" s="3">
        <v>3.3538794827423906</v>
      </c>
      <c r="G287" s="1">
        <v>30</v>
      </c>
      <c r="H287" s="1">
        <v>39.5</v>
      </c>
      <c r="I287" s="2">
        <v>6.6596536025101183E-2</v>
      </c>
      <c r="J287" s="3">
        <v>369.79598946318686</v>
      </c>
      <c r="K287" s="3">
        <v>0.21</v>
      </c>
    </row>
    <row r="288" spans="1:11" x14ac:dyDescent="0.3">
      <c r="B288" s="1">
        <v>19.100000000000001</v>
      </c>
      <c r="C288" s="5">
        <v>392</v>
      </c>
      <c r="D288" s="1">
        <v>2</v>
      </c>
      <c r="E288" s="4">
        <v>40</v>
      </c>
      <c r="F288" s="3">
        <v>3.3538794827423906</v>
      </c>
      <c r="G288" s="1">
        <v>30</v>
      </c>
      <c r="H288" s="1">
        <v>39.5</v>
      </c>
      <c r="I288" s="2">
        <v>6.6596536025101183E-2</v>
      </c>
      <c r="J288" s="3">
        <v>392.3</v>
      </c>
      <c r="K288" s="3">
        <v>0.26</v>
      </c>
    </row>
    <row r="289" spans="1:11" x14ac:dyDescent="0.3">
      <c r="A289" t="s">
        <v>70</v>
      </c>
      <c r="B289" s="1">
        <v>19.100000000000001</v>
      </c>
      <c r="C289" s="5">
        <v>276</v>
      </c>
      <c r="D289" s="1">
        <v>2</v>
      </c>
      <c r="E289" s="4">
        <v>69.8</v>
      </c>
      <c r="F289" s="3">
        <v>2.900328825179082</v>
      </c>
      <c r="G289" s="1">
        <v>31.8</v>
      </c>
      <c r="H289" s="1">
        <v>41.4</v>
      </c>
      <c r="I289" s="2">
        <v>4.0651443689720533E-2</v>
      </c>
      <c r="J289" s="3">
        <v>203.02249313738358</v>
      </c>
      <c r="K289" s="3">
        <v>0.17</v>
      </c>
    </row>
    <row r="290" spans="1:11" x14ac:dyDescent="0.3">
      <c r="B290" s="1">
        <v>19.100000000000001</v>
      </c>
      <c r="C290" s="5">
        <v>276</v>
      </c>
      <c r="D290" s="1">
        <v>2</v>
      </c>
      <c r="E290" s="4">
        <v>69.8</v>
      </c>
      <c r="F290" s="3">
        <v>2.900328825179082</v>
      </c>
      <c r="G290" s="1">
        <v>31.8</v>
      </c>
      <c r="H290" s="1">
        <v>41.4</v>
      </c>
      <c r="I290" s="2">
        <v>4.0651443689720533E-2</v>
      </c>
      <c r="J290" s="3">
        <v>244.50020678910712</v>
      </c>
      <c r="K290" s="3">
        <v>0.23</v>
      </c>
    </row>
    <row r="291" spans="1:11" x14ac:dyDescent="0.3">
      <c r="B291" s="1">
        <v>19.100000000000001</v>
      </c>
      <c r="C291" s="5">
        <v>276</v>
      </c>
      <c r="D291" s="1">
        <v>2</v>
      </c>
      <c r="E291" s="4">
        <v>69.8</v>
      </c>
      <c r="F291" s="3">
        <v>2.900328825179082</v>
      </c>
      <c r="G291" s="1">
        <v>31.8</v>
      </c>
      <c r="H291" s="1">
        <v>41.4</v>
      </c>
      <c r="I291" s="2">
        <v>4.0651443689720533E-2</v>
      </c>
      <c r="J291" s="3">
        <v>275.8</v>
      </c>
      <c r="K291" s="3">
        <v>0.27</v>
      </c>
    </row>
    <row r="292" spans="1:11" x14ac:dyDescent="0.3">
      <c r="A292" t="s">
        <v>71</v>
      </c>
      <c r="B292" s="1">
        <v>19.100000000000001</v>
      </c>
      <c r="C292" s="5">
        <v>276</v>
      </c>
      <c r="D292" s="1">
        <v>2</v>
      </c>
      <c r="E292" s="4">
        <v>69.8</v>
      </c>
      <c r="F292" s="3">
        <v>2.8466918957142089</v>
      </c>
      <c r="G292" s="1">
        <v>31.8</v>
      </c>
      <c r="H292" s="1">
        <v>41.4</v>
      </c>
      <c r="I292" s="2">
        <v>4.0711184462321949E-2</v>
      </c>
      <c r="J292" s="3">
        <v>275.8</v>
      </c>
      <c r="K292" s="3">
        <v>0.16</v>
      </c>
    </row>
    <row r="293" spans="1:11" x14ac:dyDescent="0.3">
      <c r="A293" t="s">
        <v>72</v>
      </c>
      <c r="B293" s="1">
        <v>19.100000000000001</v>
      </c>
      <c r="C293" s="5">
        <v>276</v>
      </c>
      <c r="D293" s="1">
        <v>2</v>
      </c>
      <c r="E293" s="4">
        <v>69.8</v>
      </c>
      <c r="F293" s="3">
        <v>2.711321473488328</v>
      </c>
      <c r="G293" s="1">
        <v>38.200000000000003</v>
      </c>
      <c r="H293" s="1">
        <v>47.7</v>
      </c>
      <c r="I293" s="2">
        <v>4.0691908981937738E-2</v>
      </c>
      <c r="J293" s="3">
        <v>249.74588434606099</v>
      </c>
      <c r="K293" s="3">
        <v>0.16</v>
      </c>
    </row>
    <row r="294" spans="1:11" x14ac:dyDescent="0.3">
      <c r="B294" s="1">
        <v>19.100000000000001</v>
      </c>
      <c r="C294" s="5">
        <v>276</v>
      </c>
      <c r="D294" s="1">
        <v>2</v>
      </c>
      <c r="E294" s="4">
        <v>69.8</v>
      </c>
      <c r="F294" s="3">
        <v>2.711321473488328</v>
      </c>
      <c r="G294" s="1">
        <v>38.200000000000003</v>
      </c>
      <c r="H294" s="1">
        <v>47.7</v>
      </c>
      <c r="I294" s="2">
        <v>4.0691908981937738E-2</v>
      </c>
      <c r="J294" s="3">
        <v>275.8</v>
      </c>
      <c r="K294" s="3">
        <v>0.2</v>
      </c>
    </row>
    <row r="295" spans="1:11" x14ac:dyDescent="0.3">
      <c r="A295" t="s">
        <v>73</v>
      </c>
      <c r="B295" s="1">
        <v>22.2</v>
      </c>
      <c r="C295" s="5">
        <v>276</v>
      </c>
      <c r="D295" s="1">
        <v>2</v>
      </c>
      <c r="E295" s="4">
        <v>63.6</v>
      </c>
      <c r="F295" s="3">
        <v>2.6879866270061714</v>
      </c>
      <c r="G295" s="1">
        <v>12.8</v>
      </c>
      <c r="H295" s="1">
        <v>23.9</v>
      </c>
      <c r="I295" s="2">
        <v>8.499983527163707E-2</v>
      </c>
      <c r="J295" s="3">
        <v>271.28943756037444</v>
      </c>
      <c r="K295" s="3">
        <v>0.17</v>
      </c>
    </row>
    <row r="296" spans="1:11" x14ac:dyDescent="0.3">
      <c r="A296" t="s">
        <v>74</v>
      </c>
      <c r="B296" s="1">
        <v>22.2</v>
      </c>
      <c r="C296" s="5">
        <v>276</v>
      </c>
      <c r="D296" s="1">
        <v>2</v>
      </c>
      <c r="E296" s="4">
        <v>63.6</v>
      </c>
      <c r="F296" s="3">
        <v>2.3846015710371389</v>
      </c>
      <c r="G296" s="1">
        <v>38</v>
      </c>
      <c r="H296" s="1">
        <v>49.1</v>
      </c>
      <c r="I296" s="2">
        <v>5.9022388890402282E-2</v>
      </c>
      <c r="J296" s="3">
        <v>195.11352598003063</v>
      </c>
      <c r="K296" s="3">
        <v>0.15</v>
      </c>
    </row>
    <row r="297" spans="1:11" x14ac:dyDescent="0.3">
      <c r="B297" s="1">
        <v>22.2</v>
      </c>
      <c r="C297" s="5">
        <v>276</v>
      </c>
      <c r="D297" s="1">
        <v>2</v>
      </c>
      <c r="E297" s="4">
        <v>63.6</v>
      </c>
      <c r="F297" s="3">
        <v>2.3846015710371389</v>
      </c>
      <c r="G297" s="1">
        <v>38</v>
      </c>
      <c r="H297" s="1">
        <v>49.1</v>
      </c>
      <c r="I297" s="2">
        <v>5.9022388890402282E-2</v>
      </c>
      <c r="J297" s="3">
        <v>226.947036463892</v>
      </c>
      <c r="K297" s="3">
        <v>0.19</v>
      </c>
    </row>
    <row r="298" spans="1:11" x14ac:dyDescent="0.3">
      <c r="B298" s="1">
        <v>22.2</v>
      </c>
      <c r="C298" s="5">
        <v>276</v>
      </c>
      <c r="D298" s="1">
        <v>2</v>
      </c>
      <c r="E298" s="4">
        <v>63.6</v>
      </c>
      <c r="F298" s="3">
        <v>2.3846015710371389</v>
      </c>
      <c r="G298" s="1">
        <v>38</v>
      </c>
      <c r="H298" s="1">
        <v>49.1</v>
      </c>
      <c r="I298" s="2">
        <v>5.9022388890402282E-2</v>
      </c>
      <c r="J298" s="3">
        <v>260.91293520983021</v>
      </c>
      <c r="K298" s="3">
        <v>0.22</v>
      </c>
    </row>
    <row r="299" spans="1:11" x14ac:dyDescent="0.3">
      <c r="B299" s="1">
        <v>22.2</v>
      </c>
      <c r="C299" s="5">
        <v>276</v>
      </c>
      <c r="D299" s="1">
        <v>2</v>
      </c>
      <c r="E299" s="4">
        <v>63.6</v>
      </c>
      <c r="F299" s="3">
        <v>2.3846015710371389</v>
      </c>
      <c r="G299" s="1">
        <v>38</v>
      </c>
      <c r="H299" s="1">
        <v>49.1</v>
      </c>
      <c r="I299" s="2">
        <v>5.9022388890402282E-2</v>
      </c>
      <c r="J299" s="3">
        <v>275.8</v>
      </c>
      <c r="K299" s="3">
        <v>0.27</v>
      </c>
    </row>
    <row r="300" spans="1:11" x14ac:dyDescent="0.3">
      <c r="A300" t="s">
        <v>75</v>
      </c>
      <c r="B300" s="1">
        <v>22.2</v>
      </c>
      <c r="C300" s="5">
        <v>276</v>
      </c>
      <c r="D300" s="1">
        <v>2</v>
      </c>
      <c r="E300" s="4">
        <v>63.6</v>
      </c>
      <c r="F300" s="3">
        <v>2.8648423476200775</v>
      </c>
      <c r="G300" s="1">
        <v>38</v>
      </c>
      <c r="H300" s="1">
        <v>49.1</v>
      </c>
      <c r="I300" s="2">
        <v>5.8054054206432525E-2</v>
      </c>
      <c r="J300" s="3">
        <v>259.63215176616467</v>
      </c>
      <c r="K300" s="3">
        <v>0.17</v>
      </c>
    </row>
    <row r="301" spans="1:11" x14ac:dyDescent="0.3">
      <c r="B301" s="1">
        <v>22.2</v>
      </c>
      <c r="C301" s="5">
        <v>276</v>
      </c>
      <c r="D301" s="1">
        <v>2</v>
      </c>
      <c r="E301" s="4">
        <v>63.6</v>
      </c>
      <c r="F301" s="3">
        <v>2.8648423476200775</v>
      </c>
      <c r="G301" s="1">
        <v>38</v>
      </c>
      <c r="H301" s="1">
        <v>49.1</v>
      </c>
      <c r="I301" s="2">
        <v>5.8054054206432525E-2</v>
      </c>
      <c r="J301" s="3">
        <v>275.8</v>
      </c>
      <c r="K301" s="3">
        <v>0.2</v>
      </c>
    </row>
    <row r="302" spans="1:11" x14ac:dyDescent="0.3">
      <c r="A302" t="s">
        <v>76</v>
      </c>
      <c r="B302" s="1">
        <v>22.2</v>
      </c>
      <c r="C302" s="5">
        <v>276</v>
      </c>
      <c r="D302" s="1">
        <v>2</v>
      </c>
      <c r="E302" s="4">
        <v>63.6</v>
      </c>
      <c r="F302" s="3">
        <v>2.8336917902498859</v>
      </c>
      <c r="G302" s="1">
        <v>38</v>
      </c>
      <c r="H302" s="1">
        <v>49.1</v>
      </c>
      <c r="I302" s="2">
        <v>5.8110239594394375E-2</v>
      </c>
      <c r="J302" s="3">
        <v>194.21192690601001</v>
      </c>
      <c r="K302" s="3">
        <v>0.15</v>
      </c>
    </row>
    <row r="303" spans="1:11" x14ac:dyDescent="0.3">
      <c r="B303" s="1">
        <v>22.2</v>
      </c>
      <c r="C303" s="5">
        <v>276</v>
      </c>
      <c r="D303" s="1">
        <v>2</v>
      </c>
      <c r="E303" s="4">
        <v>63.6</v>
      </c>
      <c r="F303" s="3">
        <v>2.8336917902498859</v>
      </c>
      <c r="G303" s="1">
        <v>38</v>
      </c>
      <c r="H303" s="1">
        <v>49.1</v>
      </c>
      <c r="I303" s="2">
        <v>5.8110239594394375E-2</v>
      </c>
      <c r="J303" s="3">
        <v>225.89833808739655</v>
      </c>
      <c r="K303" s="3">
        <v>0.18</v>
      </c>
    </row>
    <row r="304" spans="1:11" x14ac:dyDescent="0.3">
      <c r="B304" s="1">
        <v>22.2</v>
      </c>
      <c r="C304" s="5">
        <v>276</v>
      </c>
      <c r="D304" s="1">
        <v>2</v>
      </c>
      <c r="E304" s="4">
        <v>63.6</v>
      </c>
      <c r="F304" s="3">
        <v>2.8336917902498859</v>
      </c>
      <c r="G304" s="1">
        <v>38</v>
      </c>
      <c r="H304" s="1">
        <v>49.1</v>
      </c>
      <c r="I304" s="2">
        <v>5.8110239594394375E-2</v>
      </c>
      <c r="J304" s="3">
        <v>259.70728398906732</v>
      </c>
      <c r="K304" s="3">
        <v>0.22</v>
      </c>
    </row>
    <row r="305" spans="1:11" x14ac:dyDescent="0.3">
      <c r="B305" s="1">
        <v>22.2</v>
      </c>
      <c r="C305" s="5">
        <v>276</v>
      </c>
      <c r="D305" s="1">
        <v>2</v>
      </c>
      <c r="E305" s="4">
        <v>63.6</v>
      </c>
      <c r="F305" s="3">
        <v>2.8336917902498859</v>
      </c>
      <c r="G305" s="1">
        <v>38</v>
      </c>
      <c r="H305" s="1">
        <v>49.1</v>
      </c>
      <c r="I305" s="2">
        <v>5.8110239594394375E-2</v>
      </c>
      <c r="J305" s="3">
        <v>275.8</v>
      </c>
      <c r="K305" s="3">
        <v>0.25</v>
      </c>
    </row>
    <row r="306" spans="1:11" x14ac:dyDescent="0.3">
      <c r="A306" t="s">
        <v>77</v>
      </c>
      <c r="B306" s="1">
        <v>22.2</v>
      </c>
      <c r="C306" s="5">
        <v>276</v>
      </c>
      <c r="D306" s="1">
        <v>2</v>
      </c>
      <c r="E306" s="4">
        <v>63.6</v>
      </c>
      <c r="F306" s="3">
        <v>2.7563734268389184</v>
      </c>
      <c r="G306" s="1">
        <v>38</v>
      </c>
      <c r="H306" s="1">
        <v>49.1</v>
      </c>
      <c r="I306" s="2">
        <v>5.8253253556272706E-2</v>
      </c>
      <c r="J306" s="3">
        <v>194.35459603250266</v>
      </c>
      <c r="K306" s="3">
        <v>0.2</v>
      </c>
    </row>
    <row r="307" spans="1:11" x14ac:dyDescent="0.3">
      <c r="B307" s="1">
        <v>22.2</v>
      </c>
      <c r="C307" s="5">
        <v>276</v>
      </c>
      <c r="D307" s="1">
        <v>2</v>
      </c>
      <c r="E307" s="4">
        <v>63.6</v>
      </c>
      <c r="F307" s="3">
        <v>2.7563734268389184</v>
      </c>
      <c r="G307" s="1">
        <v>38</v>
      </c>
      <c r="H307" s="1">
        <v>49.1</v>
      </c>
      <c r="I307" s="2">
        <v>5.8253253556272706E-2</v>
      </c>
      <c r="J307" s="3">
        <v>226.06428422203666</v>
      </c>
      <c r="K307" s="3">
        <v>0.25</v>
      </c>
    </row>
    <row r="308" spans="1:11" x14ac:dyDescent="0.3">
      <c r="B308" s="1">
        <v>22.2</v>
      </c>
      <c r="C308" s="5">
        <v>276</v>
      </c>
      <c r="D308" s="1">
        <v>2</v>
      </c>
      <c r="E308" s="4">
        <v>63.6</v>
      </c>
      <c r="F308" s="3">
        <v>2.7563734268389184</v>
      </c>
      <c r="G308" s="1">
        <v>38</v>
      </c>
      <c r="H308" s="1">
        <v>49.1</v>
      </c>
      <c r="I308" s="2">
        <v>5.8253253556272706E-2</v>
      </c>
      <c r="J308" s="3">
        <v>259.8980663572811</v>
      </c>
      <c r="K308" s="3">
        <v>0.3</v>
      </c>
    </row>
    <row r="309" spans="1:11" x14ac:dyDescent="0.3">
      <c r="B309" s="1">
        <v>22.2</v>
      </c>
      <c r="C309" s="5">
        <v>276</v>
      </c>
      <c r="D309" s="1">
        <v>2</v>
      </c>
      <c r="E309" s="4">
        <v>63.6</v>
      </c>
      <c r="F309" s="3">
        <v>2.7563734268389184</v>
      </c>
      <c r="G309" s="1">
        <v>38</v>
      </c>
      <c r="H309" s="1">
        <v>49.1</v>
      </c>
      <c r="I309" s="2">
        <v>5.8253253556272706E-2</v>
      </c>
      <c r="J309" s="3">
        <v>275.8</v>
      </c>
      <c r="K309" s="3">
        <v>0.35</v>
      </c>
    </row>
    <row r="310" spans="1:11" x14ac:dyDescent="0.3">
      <c r="A310" t="s">
        <v>78</v>
      </c>
      <c r="B310" s="1">
        <v>28.7</v>
      </c>
      <c r="C310" s="5">
        <v>276</v>
      </c>
      <c r="D310" s="1">
        <v>2</v>
      </c>
      <c r="E310" s="4">
        <v>50.6</v>
      </c>
      <c r="F310" s="3">
        <v>2.7748174021560659</v>
      </c>
      <c r="G310" s="1">
        <v>22.2</v>
      </c>
      <c r="H310" s="1">
        <v>36.6</v>
      </c>
      <c r="I310" s="2">
        <v>0.10899285032170623</v>
      </c>
      <c r="J310" s="3">
        <v>234.11581828988642</v>
      </c>
      <c r="K310" s="3">
        <v>0.17</v>
      </c>
    </row>
    <row r="311" spans="1:11" x14ac:dyDescent="0.3">
      <c r="B311" s="1">
        <v>28.7</v>
      </c>
      <c r="C311" s="5">
        <v>276</v>
      </c>
      <c r="D311" s="1">
        <v>2</v>
      </c>
      <c r="E311" s="4">
        <v>50.6</v>
      </c>
      <c r="F311" s="3">
        <v>2.7748174021560659</v>
      </c>
      <c r="G311" s="1">
        <v>22.2</v>
      </c>
      <c r="H311" s="1">
        <v>36.6</v>
      </c>
      <c r="I311" s="2">
        <v>0.10899285032170623</v>
      </c>
      <c r="J311" s="3">
        <v>274.84728475140628</v>
      </c>
      <c r="K311" s="3">
        <v>0.2</v>
      </c>
    </row>
    <row r="312" spans="1:11" x14ac:dyDescent="0.3">
      <c r="A312" t="s">
        <v>79</v>
      </c>
      <c r="B312" s="1">
        <v>28.7</v>
      </c>
      <c r="C312" s="5">
        <v>276</v>
      </c>
      <c r="D312" s="1">
        <v>2</v>
      </c>
      <c r="E312" s="4">
        <v>50.6</v>
      </c>
      <c r="F312" s="3">
        <v>2.8017146470593879</v>
      </c>
      <c r="G312" s="1">
        <v>38.200000000000003</v>
      </c>
      <c r="H312" s="1">
        <v>52.5</v>
      </c>
      <c r="I312" s="2">
        <v>0.10686066770303645</v>
      </c>
      <c r="J312" s="3">
        <v>179.49560032260422</v>
      </c>
      <c r="K312" s="3">
        <v>0.17</v>
      </c>
    </row>
    <row r="313" spans="1:11" x14ac:dyDescent="0.3">
      <c r="B313" s="1">
        <v>28.7</v>
      </c>
      <c r="C313" s="5">
        <v>276</v>
      </c>
      <c r="D313" s="1">
        <v>2</v>
      </c>
      <c r="E313" s="4">
        <v>50.6</v>
      </c>
      <c r="F313" s="3">
        <v>2.8017146470593879</v>
      </c>
      <c r="G313" s="1">
        <v>38.200000000000003</v>
      </c>
      <c r="H313" s="1">
        <v>52.5</v>
      </c>
      <c r="I313" s="2">
        <v>0.10686066770303645</v>
      </c>
      <c r="J313" s="3">
        <v>212.74254265148761</v>
      </c>
      <c r="K313" s="3">
        <v>0.2</v>
      </c>
    </row>
    <row r="314" spans="1:11" x14ac:dyDescent="0.3">
      <c r="B314" s="1">
        <v>28.7</v>
      </c>
      <c r="C314" s="5">
        <v>276</v>
      </c>
      <c r="D314" s="1">
        <v>2</v>
      </c>
      <c r="E314" s="4">
        <v>50.6</v>
      </c>
      <c r="F314" s="3">
        <v>2.8017146470593879</v>
      </c>
      <c r="G314" s="1">
        <v>38.200000000000003</v>
      </c>
      <c r="H314" s="1">
        <v>52.5</v>
      </c>
      <c r="I314" s="2">
        <v>0.10686066770303645</v>
      </c>
      <c r="J314" s="3">
        <v>245.23171991304602</v>
      </c>
      <c r="K314" s="3">
        <v>0.25</v>
      </c>
    </row>
    <row r="315" spans="1:11" x14ac:dyDescent="0.3">
      <c r="B315" s="1">
        <v>28.7</v>
      </c>
      <c r="C315" s="5">
        <v>276</v>
      </c>
      <c r="D315" s="1">
        <v>2</v>
      </c>
      <c r="E315" s="4">
        <v>50.6</v>
      </c>
      <c r="F315" s="3">
        <v>2.8017146470593879</v>
      </c>
      <c r="G315" s="1">
        <v>38.200000000000003</v>
      </c>
      <c r="H315" s="1">
        <v>52.5</v>
      </c>
      <c r="I315" s="2">
        <v>0.10686066770303645</v>
      </c>
      <c r="J315" s="3">
        <v>275.8</v>
      </c>
      <c r="K315" s="3">
        <v>0.28999999999999998</v>
      </c>
    </row>
    <row r="316" spans="1:11" x14ac:dyDescent="0.3">
      <c r="A316" t="s">
        <v>80</v>
      </c>
      <c r="B316" s="1">
        <v>28.7</v>
      </c>
      <c r="C316" s="5">
        <v>276</v>
      </c>
      <c r="D316" s="1">
        <v>2</v>
      </c>
      <c r="E316" s="4">
        <v>50.6</v>
      </c>
      <c r="F316" s="3">
        <v>2.7153116457984496</v>
      </c>
      <c r="G316" s="1">
        <v>38.200000000000003</v>
      </c>
      <c r="H316" s="1">
        <v>52.5</v>
      </c>
      <c r="I316" s="2">
        <v>0.1072263869101954</v>
      </c>
      <c r="J316" s="3">
        <v>212.94749158826474</v>
      </c>
      <c r="K316" s="3">
        <v>0.17</v>
      </c>
    </row>
    <row r="317" spans="1:11" x14ac:dyDescent="0.3">
      <c r="A317" t="s">
        <v>81</v>
      </c>
      <c r="B317" s="1">
        <v>28.7</v>
      </c>
      <c r="C317" s="5">
        <v>276</v>
      </c>
      <c r="D317" s="1">
        <v>2</v>
      </c>
      <c r="E317" s="4">
        <v>50.6</v>
      </c>
      <c r="F317" s="3">
        <v>2.8017146470593879</v>
      </c>
      <c r="G317" s="1">
        <v>38.200000000000003</v>
      </c>
      <c r="H317" s="1">
        <v>52.5</v>
      </c>
      <c r="I317" s="2">
        <v>0.10686066770303645</v>
      </c>
      <c r="J317" s="3">
        <v>179.49560032260422</v>
      </c>
      <c r="K317" s="3">
        <v>0.15</v>
      </c>
    </row>
    <row r="318" spans="1:11" x14ac:dyDescent="0.3">
      <c r="B318" s="1">
        <v>28.7</v>
      </c>
      <c r="C318" s="5">
        <v>276</v>
      </c>
      <c r="D318" s="1">
        <v>2</v>
      </c>
      <c r="E318" s="4">
        <v>50.6</v>
      </c>
      <c r="F318" s="3">
        <v>2.8017146470593879</v>
      </c>
      <c r="G318" s="1">
        <v>38.200000000000003</v>
      </c>
      <c r="H318" s="1">
        <v>52.5</v>
      </c>
      <c r="I318" s="2">
        <v>0.10686066770303645</v>
      </c>
      <c r="J318" s="3">
        <v>212.74254265148761</v>
      </c>
      <c r="K318" s="3">
        <v>0.16</v>
      </c>
    </row>
    <row r="319" spans="1:11" x14ac:dyDescent="0.3">
      <c r="B319" s="1">
        <v>28.7</v>
      </c>
      <c r="C319" s="5">
        <v>276</v>
      </c>
      <c r="D319" s="1">
        <v>2</v>
      </c>
      <c r="E319" s="4">
        <v>50.6</v>
      </c>
      <c r="F319" s="3">
        <v>2.8017146470593879</v>
      </c>
      <c r="G319" s="1">
        <v>38.200000000000003</v>
      </c>
      <c r="H319" s="1">
        <v>52.5</v>
      </c>
      <c r="I319" s="2">
        <v>0.10686066770303645</v>
      </c>
      <c r="J319" s="3">
        <v>245.23171991304602</v>
      </c>
      <c r="K319" s="3">
        <v>0.22</v>
      </c>
    </row>
    <row r="320" spans="1:11" x14ac:dyDescent="0.3">
      <c r="B320" s="1">
        <v>28.7</v>
      </c>
      <c r="C320" s="5">
        <v>276</v>
      </c>
      <c r="D320" s="1">
        <v>2</v>
      </c>
      <c r="E320" s="4">
        <v>50.6</v>
      </c>
      <c r="F320" s="3">
        <v>2.8017146470593879</v>
      </c>
      <c r="G320" s="1">
        <v>38.200000000000003</v>
      </c>
      <c r="H320" s="1">
        <v>52.5</v>
      </c>
      <c r="I320" s="2">
        <v>0.10686066770303645</v>
      </c>
      <c r="J320" s="3">
        <v>275.8</v>
      </c>
      <c r="K320" s="3">
        <v>0.26</v>
      </c>
    </row>
    <row r="321" spans="1:11" x14ac:dyDescent="0.3">
      <c r="A321" t="s">
        <v>82</v>
      </c>
      <c r="B321" s="1">
        <v>28.7</v>
      </c>
      <c r="C321" s="5">
        <v>276</v>
      </c>
      <c r="D321" s="1">
        <v>2</v>
      </c>
      <c r="E321" s="4">
        <v>50.6</v>
      </c>
      <c r="F321" s="3">
        <v>2.524448068103379</v>
      </c>
      <c r="G321" s="1">
        <v>38.200000000000003</v>
      </c>
      <c r="H321" s="1">
        <v>52.5</v>
      </c>
      <c r="I321" s="2">
        <v>0.10809111803939714</v>
      </c>
      <c r="J321" s="3">
        <v>213.42811414487335</v>
      </c>
      <c r="K321" s="3">
        <v>0.17</v>
      </c>
    </row>
    <row r="322" spans="1:11" x14ac:dyDescent="0.3">
      <c r="B322" s="1">
        <v>28.7</v>
      </c>
      <c r="C322" s="5">
        <v>276</v>
      </c>
      <c r="D322" s="1">
        <v>2</v>
      </c>
      <c r="E322" s="4">
        <v>50.6</v>
      </c>
      <c r="F322" s="3">
        <v>2.524448068103379</v>
      </c>
      <c r="G322" s="1">
        <v>38.200000000000003</v>
      </c>
      <c r="H322" s="1">
        <v>52.5</v>
      </c>
      <c r="I322" s="2">
        <v>0.10809111803939714</v>
      </c>
      <c r="J322" s="3">
        <v>246.02198910110286</v>
      </c>
      <c r="K322" s="3">
        <v>0.2</v>
      </c>
    </row>
    <row r="323" spans="1:11" x14ac:dyDescent="0.3">
      <c r="B323" s="1">
        <v>28.7</v>
      </c>
      <c r="C323" s="5">
        <v>276</v>
      </c>
      <c r="D323" s="1">
        <v>2</v>
      </c>
      <c r="E323" s="4">
        <v>50.6</v>
      </c>
      <c r="F323" s="3">
        <v>2.524448068103379</v>
      </c>
      <c r="G323" s="1">
        <v>38.200000000000003</v>
      </c>
      <c r="H323" s="1">
        <v>52.5</v>
      </c>
      <c r="I323" s="2">
        <v>0.10809111803939714</v>
      </c>
      <c r="J323" s="3">
        <v>275.8</v>
      </c>
      <c r="K323" s="3">
        <v>0.24</v>
      </c>
    </row>
    <row r="324" spans="1:11" x14ac:dyDescent="0.3">
      <c r="A324" t="s">
        <v>83</v>
      </c>
      <c r="B324" s="1">
        <v>32.299999999999997</v>
      </c>
      <c r="C324" s="5">
        <v>276</v>
      </c>
      <c r="D324" s="1">
        <v>1</v>
      </c>
      <c r="E324" s="4">
        <v>60</v>
      </c>
      <c r="F324" s="3">
        <v>2.5382184533279259</v>
      </c>
      <c r="G324" s="1">
        <v>38.299999999999997</v>
      </c>
      <c r="H324" s="1">
        <v>54.4</v>
      </c>
      <c r="I324" s="2">
        <v>6.2449543908879294E-2</v>
      </c>
      <c r="J324" s="3">
        <v>170.80329915468195</v>
      </c>
      <c r="K324" s="3">
        <v>0.17</v>
      </c>
    </row>
    <row r="325" spans="1:11" x14ac:dyDescent="0.3">
      <c r="B325" s="1">
        <v>32.299999999999997</v>
      </c>
      <c r="C325" s="5">
        <v>276</v>
      </c>
      <c r="D325" s="1">
        <v>1</v>
      </c>
      <c r="E325" s="4">
        <v>60</v>
      </c>
      <c r="F325" s="3">
        <v>2.5382184533279259</v>
      </c>
      <c r="G325" s="1">
        <v>38.299999999999997</v>
      </c>
      <c r="H325" s="1">
        <v>54.4</v>
      </c>
      <c r="I325" s="2">
        <v>6.2449543908879294E-2</v>
      </c>
      <c r="J325" s="3">
        <v>210.24200084790894</v>
      </c>
      <c r="K325" s="3">
        <v>0.23</v>
      </c>
    </row>
    <row r="326" spans="1:11" x14ac:dyDescent="0.3">
      <c r="B326" s="1">
        <v>32.299999999999997</v>
      </c>
      <c r="C326" s="5">
        <v>276</v>
      </c>
      <c r="D326" s="1">
        <v>1</v>
      </c>
      <c r="E326" s="4">
        <v>60</v>
      </c>
      <c r="F326" s="3">
        <v>2.5382184533279259</v>
      </c>
      <c r="G326" s="1">
        <v>38.299999999999997</v>
      </c>
      <c r="H326" s="1">
        <v>54.4</v>
      </c>
      <c r="I326" s="2">
        <v>6.2449543908879294E-2</v>
      </c>
      <c r="J326" s="3">
        <v>245.13572204860782</v>
      </c>
      <c r="K326" s="3">
        <v>0.27</v>
      </c>
    </row>
    <row r="327" spans="1:11" x14ac:dyDescent="0.3">
      <c r="B327" s="1">
        <v>32.299999999999997</v>
      </c>
      <c r="C327" s="5">
        <v>276</v>
      </c>
      <c r="D327" s="1">
        <v>1</v>
      </c>
      <c r="E327" s="4">
        <v>60</v>
      </c>
      <c r="F327" s="3">
        <v>2.5382184533279259</v>
      </c>
      <c r="G327" s="1">
        <v>38.299999999999997</v>
      </c>
      <c r="H327" s="1">
        <v>54.4</v>
      </c>
      <c r="I327" s="2">
        <v>6.2449543908879294E-2</v>
      </c>
      <c r="J327" s="3">
        <v>270.05980862053565</v>
      </c>
      <c r="K327" s="3">
        <v>0.31</v>
      </c>
    </row>
    <row r="328" spans="1:11" x14ac:dyDescent="0.3">
      <c r="B328" s="1">
        <v>32.299999999999997</v>
      </c>
      <c r="C328" s="5">
        <v>276</v>
      </c>
      <c r="D328" s="1">
        <v>1</v>
      </c>
      <c r="E328" s="4">
        <v>60</v>
      </c>
      <c r="F328" s="3">
        <v>2.5382184533279259</v>
      </c>
      <c r="G328" s="1">
        <v>38.299999999999997</v>
      </c>
      <c r="H328" s="1">
        <v>54.4</v>
      </c>
      <c r="I328" s="2">
        <v>6.2449543908879294E-2</v>
      </c>
      <c r="J328" s="3">
        <v>275.8</v>
      </c>
      <c r="K328" s="3">
        <v>0.35</v>
      </c>
    </row>
    <row r="329" spans="1:11" x14ac:dyDescent="0.3">
      <c r="A329" t="s">
        <v>84</v>
      </c>
      <c r="B329" s="1">
        <v>32.299999999999997</v>
      </c>
      <c r="C329" s="5">
        <v>276</v>
      </c>
      <c r="D329" s="1">
        <v>1</v>
      </c>
      <c r="E329" s="4">
        <v>60</v>
      </c>
      <c r="F329" s="3">
        <v>2.8108695189494299</v>
      </c>
      <c r="G329" s="1">
        <v>38.299999999999997</v>
      </c>
      <c r="H329" s="1">
        <v>54.4</v>
      </c>
      <c r="I329" s="2">
        <v>6.1876058158272039E-2</v>
      </c>
      <c r="J329" s="3">
        <v>170.32772841920183</v>
      </c>
      <c r="K329" s="3">
        <v>0.19</v>
      </c>
    </row>
    <row r="330" spans="1:11" x14ac:dyDescent="0.3">
      <c r="B330" s="1">
        <v>32.299999999999997</v>
      </c>
      <c r="C330" s="5">
        <v>276</v>
      </c>
      <c r="D330" s="1">
        <v>1</v>
      </c>
      <c r="E330" s="4">
        <v>60</v>
      </c>
      <c r="F330" s="3">
        <v>2.8108695189494299</v>
      </c>
      <c r="G330" s="1">
        <v>38.299999999999997</v>
      </c>
      <c r="H330" s="1">
        <v>54.4</v>
      </c>
      <c r="I330" s="2">
        <v>6.1876058158272039E-2</v>
      </c>
      <c r="J330" s="3">
        <v>209.6566202172836</v>
      </c>
      <c r="K330" s="3">
        <v>0.24</v>
      </c>
    </row>
    <row r="331" spans="1:11" x14ac:dyDescent="0.3">
      <c r="B331" s="1">
        <v>32.299999999999997</v>
      </c>
      <c r="C331" s="5">
        <v>276</v>
      </c>
      <c r="D331" s="1">
        <v>1</v>
      </c>
      <c r="E331" s="4">
        <v>60</v>
      </c>
      <c r="F331" s="3">
        <v>2.8108695189494299</v>
      </c>
      <c r="G331" s="1">
        <v>38.299999999999997</v>
      </c>
      <c r="H331" s="1">
        <v>54.4</v>
      </c>
      <c r="I331" s="2">
        <v>6.1876058158272039E-2</v>
      </c>
      <c r="J331" s="3">
        <v>244.45318619476859</v>
      </c>
      <c r="K331" s="3">
        <v>0.28999999999999998</v>
      </c>
    </row>
    <row r="332" spans="1:11" x14ac:dyDescent="0.3">
      <c r="B332" s="1">
        <v>32.299999999999997</v>
      </c>
      <c r="C332" s="5">
        <v>276</v>
      </c>
      <c r="D332" s="1">
        <v>1</v>
      </c>
      <c r="E332" s="4">
        <v>60</v>
      </c>
      <c r="F332" s="3">
        <v>2.8108695189494299</v>
      </c>
      <c r="G332" s="1">
        <v>38.299999999999997</v>
      </c>
      <c r="H332" s="1">
        <v>54.4</v>
      </c>
      <c r="I332" s="2">
        <v>6.1876058158272039E-2</v>
      </c>
      <c r="J332" s="3">
        <v>269.30787617868646</v>
      </c>
      <c r="K332" s="3">
        <v>0.36</v>
      </c>
    </row>
    <row r="333" spans="1:11" x14ac:dyDescent="0.3">
      <c r="B333" s="1">
        <v>32.299999999999997</v>
      </c>
      <c r="C333" s="5">
        <v>276</v>
      </c>
      <c r="D333" s="1">
        <v>1</v>
      </c>
      <c r="E333" s="4">
        <v>60</v>
      </c>
      <c r="F333" s="3">
        <v>2.8108695189494299</v>
      </c>
      <c r="G333" s="1">
        <v>38.299999999999997</v>
      </c>
      <c r="H333" s="1">
        <v>54.4</v>
      </c>
      <c r="I333" s="2">
        <v>6.1876058158272039E-2</v>
      </c>
      <c r="J333" s="3">
        <v>275.8</v>
      </c>
      <c r="K333" s="3">
        <v>0.42</v>
      </c>
    </row>
    <row r="334" spans="1:11" x14ac:dyDescent="0.3">
      <c r="A334" t="s">
        <v>85</v>
      </c>
      <c r="B334" s="1">
        <v>28.7</v>
      </c>
      <c r="C334" s="5">
        <v>276</v>
      </c>
      <c r="D334" s="1">
        <v>2</v>
      </c>
      <c r="E334" s="4">
        <v>50.6</v>
      </c>
      <c r="F334" s="3">
        <v>2.5765786179080412</v>
      </c>
      <c r="G334" s="1">
        <v>38</v>
      </c>
      <c r="H334" s="1">
        <v>52.3</v>
      </c>
      <c r="I334" s="2">
        <v>6.5570477718494391E-2</v>
      </c>
      <c r="J334" s="3">
        <v>183.23030547751344</v>
      </c>
      <c r="K334" s="3">
        <v>0.18</v>
      </c>
    </row>
    <row r="335" spans="1:11" x14ac:dyDescent="0.3">
      <c r="B335" s="1">
        <v>28.7</v>
      </c>
      <c r="C335" s="5">
        <v>276</v>
      </c>
      <c r="D335" s="1">
        <v>2</v>
      </c>
      <c r="E335" s="4">
        <v>50.6</v>
      </c>
      <c r="F335" s="3">
        <v>2.5765786179080412</v>
      </c>
      <c r="G335" s="1">
        <v>38</v>
      </c>
      <c r="H335" s="1">
        <v>52.3</v>
      </c>
      <c r="I335" s="2">
        <v>6.5570477718494391E-2</v>
      </c>
      <c r="J335" s="3">
        <v>219.890332297519</v>
      </c>
      <c r="K335" s="3">
        <v>0.22</v>
      </c>
    </row>
    <row r="336" spans="1:11" x14ac:dyDescent="0.3">
      <c r="B336" s="1">
        <v>28.7</v>
      </c>
      <c r="C336" s="5">
        <v>276</v>
      </c>
      <c r="D336" s="1">
        <v>2</v>
      </c>
      <c r="E336" s="4">
        <v>50.6</v>
      </c>
      <c r="F336" s="3">
        <v>2.5765786179080412</v>
      </c>
      <c r="G336" s="1">
        <v>38</v>
      </c>
      <c r="H336" s="1">
        <v>52.3</v>
      </c>
      <c r="I336" s="2">
        <v>6.5570477718494391E-2</v>
      </c>
      <c r="J336" s="3">
        <v>248.170924415809</v>
      </c>
      <c r="K336" s="3">
        <v>0.27</v>
      </c>
    </row>
    <row r="337" spans="1:11" x14ac:dyDescent="0.3">
      <c r="B337" s="1">
        <v>28.7</v>
      </c>
      <c r="C337" s="5">
        <v>276</v>
      </c>
      <c r="D337" s="1">
        <v>2</v>
      </c>
      <c r="E337" s="4">
        <v>50.6</v>
      </c>
      <c r="F337" s="3">
        <v>2.5765786179080412</v>
      </c>
      <c r="G337" s="1">
        <v>38</v>
      </c>
      <c r="H337" s="1">
        <v>52.3</v>
      </c>
      <c r="I337" s="2">
        <v>6.5570477718494391E-2</v>
      </c>
      <c r="J337" s="3">
        <v>275.8</v>
      </c>
      <c r="K337" s="3">
        <v>0.32</v>
      </c>
    </row>
    <row r="338" spans="1:11" x14ac:dyDescent="0.3">
      <c r="A338" t="s">
        <v>86</v>
      </c>
      <c r="B338" s="1">
        <v>28.7</v>
      </c>
      <c r="C338" s="5">
        <v>276</v>
      </c>
      <c r="D338" s="1">
        <v>2</v>
      </c>
      <c r="E338" s="4">
        <v>50.6</v>
      </c>
      <c r="F338" s="3">
        <v>2.5765786179080412</v>
      </c>
      <c r="G338" s="1">
        <v>38</v>
      </c>
      <c r="H338" s="1">
        <v>52.3</v>
      </c>
      <c r="I338" s="2">
        <v>6.5570477718494391E-2</v>
      </c>
      <c r="J338" s="3">
        <v>219.890332297519</v>
      </c>
      <c r="K338" s="3">
        <v>0.16</v>
      </c>
    </row>
    <row r="339" spans="1:11" x14ac:dyDescent="0.3">
      <c r="B339" s="1">
        <v>28.7</v>
      </c>
      <c r="C339" s="5">
        <v>276</v>
      </c>
      <c r="D339" s="1">
        <v>2</v>
      </c>
      <c r="E339" s="4">
        <v>50.6</v>
      </c>
      <c r="F339" s="3">
        <v>2.5765786179080412</v>
      </c>
      <c r="G339" s="1">
        <v>38</v>
      </c>
      <c r="H339" s="1">
        <v>52.3</v>
      </c>
      <c r="I339" s="2">
        <v>6.5570477718494391E-2</v>
      </c>
      <c r="J339" s="3">
        <v>248.170924415809</v>
      </c>
      <c r="K339" s="3">
        <v>0.19</v>
      </c>
    </row>
    <row r="340" spans="1:11" x14ac:dyDescent="0.3">
      <c r="B340" s="1">
        <v>28.7</v>
      </c>
      <c r="C340" s="5">
        <v>276</v>
      </c>
      <c r="D340" s="1">
        <v>2</v>
      </c>
      <c r="E340" s="4">
        <v>50.6</v>
      </c>
      <c r="F340" s="3">
        <v>2.5765786179080412</v>
      </c>
      <c r="G340" s="1">
        <v>38</v>
      </c>
      <c r="H340" s="1">
        <v>52.3</v>
      </c>
      <c r="I340" s="2">
        <v>6.5570477718494391E-2</v>
      </c>
      <c r="J340" s="3">
        <v>275.8</v>
      </c>
      <c r="K340" s="3">
        <v>0.22</v>
      </c>
    </row>
    <row r="341" spans="1:11" x14ac:dyDescent="0.3">
      <c r="A341" t="s">
        <v>87</v>
      </c>
      <c r="B341" s="1">
        <v>35.799999999999997</v>
      </c>
      <c r="C341" s="5">
        <v>276</v>
      </c>
      <c r="D341" s="1">
        <v>2</v>
      </c>
      <c r="E341" s="4">
        <v>36.4</v>
      </c>
      <c r="F341" s="3">
        <v>2.5478355335404417</v>
      </c>
      <c r="G341" s="1">
        <v>38</v>
      </c>
      <c r="H341" s="1">
        <v>55.9</v>
      </c>
      <c r="I341" s="2">
        <v>0.1124434908513556</v>
      </c>
      <c r="J341" s="3">
        <v>184.08648071345613</v>
      </c>
      <c r="K341" s="3">
        <v>0.17</v>
      </c>
    </row>
    <row r="342" spans="1:11" x14ac:dyDescent="0.3">
      <c r="A342" t="s">
        <v>88</v>
      </c>
      <c r="B342" s="1">
        <v>35.799999999999997</v>
      </c>
      <c r="C342" s="5">
        <v>276</v>
      </c>
      <c r="D342" s="1">
        <v>2</v>
      </c>
      <c r="E342" s="4">
        <v>36.4</v>
      </c>
      <c r="F342" s="3">
        <v>2.7563734268389184</v>
      </c>
      <c r="G342" s="1">
        <v>38</v>
      </c>
      <c r="H342" s="1">
        <v>55.9</v>
      </c>
      <c r="I342" s="2">
        <v>0.11141006190487932</v>
      </c>
      <c r="J342" s="3">
        <v>143.79287698695691</v>
      </c>
      <c r="K342" s="3">
        <v>0.19</v>
      </c>
    </row>
    <row r="343" spans="1:11" x14ac:dyDescent="0.3">
      <c r="B343" s="1">
        <v>35.799999999999997</v>
      </c>
      <c r="C343" s="5">
        <v>276</v>
      </c>
      <c r="D343" s="1">
        <v>2</v>
      </c>
      <c r="E343" s="4">
        <v>36.4</v>
      </c>
      <c r="F343" s="3">
        <v>2.7563734268389184</v>
      </c>
      <c r="G343" s="1">
        <v>38</v>
      </c>
      <c r="H343" s="1">
        <v>55.9</v>
      </c>
      <c r="I343" s="2">
        <v>0.11141006190487932</v>
      </c>
      <c r="J343" s="3">
        <v>183.6429902945176</v>
      </c>
      <c r="K343" s="3">
        <v>0.25</v>
      </c>
    </row>
  </sheetData>
  <mergeCells count="1">
    <mergeCell ref="B1:J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931D9-244F-4D1A-9264-E8B0B5009F5A}">
  <dimension ref="A1:AR355"/>
  <sheetViews>
    <sheetView topLeftCell="K1" zoomScale="120" zoomScaleNormal="120" workbookViewId="0">
      <selection activeCell="AO37" sqref="AO37"/>
    </sheetView>
  </sheetViews>
  <sheetFormatPr defaultRowHeight="14.4" x14ac:dyDescent="0.3"/>
  <cols>
    <col min="1" max="1" width="32.88671875" style="1" customWidth="1"/>
    <col min="2" max="2" width="24.77734375" style="4" bestFit="1" customWidth="1"/>
    <col min="3" max="3" width="24.77734375" style="5" customWidth="1"/>
    <col min="4" max="4" width="29.6640625" style="5" bestFit="1" customWidth="1"/>
    <col min="5" max="5" width="29.33203125" style="4" bestFit="1" customWidth="1"/>
    <col min="6" max="6" width="36.77734375" style="3" bestFit="1" customWidth="1"/>
    <col min="7" max="7" width="16.44140625" style="4" bestFit="1" customWidth="1"/>
    <col min="8" max="8" width="44.5546875" style="4" bestFit="1" customWidth="1"/>
    <col min="9" max="9" width="20.44140625" style="4" bestFit="1" customWidth="1"/>
    <col min="10" max="10" width="19.77734375" style="4" bestFit="1" customWidth="1"/>
    <col min="11" max="11" width="29.77734375" style="5" bestFit="1" customWidth="1"/>
    <col min="12" max="12" width="31.21875" style="3" bestFit="1" customWidth="1"/>
    <col min="13" max="13" width="30.6640625" style="5" bestFit="1" customWidth="1"/>
    <col min="14" max="14" width="16.33203125" style="8" bestFit="1" customWidth="1"/>
    <col min="15" max="15" width="22.6640625" style="8" bestFit="1" customWidth="1"/>
    <col min="16" max="16" width="42.88671875" style="5" bestFit="1" customWidth="1"/>
    <col min="17" max="17" width="9.6640625" style="3" bestFit="1" customWidth="1"/>
    <col min="18" max="18" width="42.88671875" style="12" bestFit="1" customWidth="1"/>
    <col min="22" max="23" width="8.88671875" style="1"/>
    <col min="28" max="28" width="66.44140625" customWidth="1"/>
    <col min="31" max="31" width="10.5546875" customWidth="1"/>
    <col min="32" max="32" width="15.44140625" customWidth="1"/>
    <col min="33" max="33" width="8.88671875" style="6"/>
    <col min="41" max="41" width="80.5546875" customWidth="1"/>
    <col min="42" max="42" width="17.88671875" bestFit="1" customWidth="1"/>
  </cols>
  <sheetData>
    <row r="1" spans="1:44" ht="61.8" customHeight="1" x14ac:dyDescent="0.3">
      <c r="V1" s="14" t="s">
        <v>121</v>
      </c>
      <c r="X1" s="20"/>
      <c r="Y1" s="14" t="s">
        <v>122</v>
      </c>
      <c r="AB1" s="18" t="s">
        <v>128</v>
      </c>
      <c r="AO1" s="21" t="s">
        <v>132</v>
      </c>
    </row>
    <row r="2" spans="1:44" x14ac:dyDescent="0.3">
      <c r="V2" s="1" t="s">
        <v>109</v>
      </c>
      <c r="W2" s="1">
        <v>0.51500000000000001</v>
      </c>
      <c r="Y2" s="1" t="s">
        <v>109</v>
      </c>
      <c r="Z2" s="1">
        <v>0.39100000000000001</v>
      </c>
      <c r="AB2" s="19" t="s">
        <v>109</v>
      </c>
      <c r="AC2" s="1">
        <v>1.22</v>
      </c>
      <c r="AO2" s="19" t="s">
        <v>109</v>
      </c>
      <c r="AP2" s="3">
        <v>7.37</v>
      </c>
    </row>
    <row r="3" spans="1:44" x14ac:dyDescent="0.3">
      <c r="V3" s="1" t="s">
        <v>110</v>
      </c>
      <c r="W3" s="1">
        <v>-1.6900000000000001E-3</v>
      </c>
      <c r="Y3" s="1" t="s">
        <v>110</v>
      </c>
      <c r="Z3" s="1">
        <v>0.70099999999999996</v>
      </c>
      <c r="AB3" s="19" t="s">
        <v>110</v>
      </c>
      <c r="AC3" s="1">
        <v>1.93</v>
      </c>
      <c r="AO3" s="19" t="s">
        <v>110</v>
      </c>
      <c r="AP3" s="3">
        <v>4.87</v>
      </c>
    </row>
    <row r="4" spans="1:44" x14ac:dyDescent="0.3">
      <c r="V4" s="1" t="s">
        <v>111</v>
      </c>
      <c r="W4" s="1">
        <v>1</v>
      </c>
      <c r="Y4" s="1" t="s">
        <v>111</v>
      </c>
      <c r="Z4" s="1">
        <v>0.628</v>
      </c>
      <c r="AB4" s="19" t="s">
        <v>111</v>
      </c>
      <c r="AC4" s="1">
        <v>-1.05</v>
      </c>
      <c r="AO4" s="19" t="s">
        <v>111</v>
      </c>
      <c r="AP4" s="3">
        <v>-2.7</v>
      </c>
    </row>
    <row r="5" spans="1:44" x14ac:dyDescent="0.3">
      <c r="V5" s="1" t="s">
        <v>112</v>
      </c>
      <c r="W5" s="1">
        <v>0.67200000000000004</v>
      </c>
      <c r="Y5" s="1" t="s">
        <v>112</v>
      </c>
      <c r="Z5" s="1">
        <v>0.38900000000000001</v>
      </c>
      <c r="AB5" s="19" t="s">
        <v>112</v>
      </c>
      <c r="AC5" s="1">
        <v>0.56799999999999995</v>
      </c>
      <c r="AO5" s="19" t="s">
        <v>112</v>
      </c>
      <c r="AP5" s="3">
        <v>0.09</v>
      </c>
    </row>
    <row r="6" spans="1:44" x14ac:dyDescent="0.3">
      <c r="V6" s="1" t="s">
        <v>113</v>
      </c>
      <c r="W6" s="1">
        <v>-0.41699999999999998</v>
      </c>
      <c r="Y6" s="1" t="s">
        <v>113</v>
      </c>
      <c r="Z6" s="1">
        <v>-0.63100000000000001</v>
      </c>
      <c r="AB6" s="19" t="s">
        <v>113</v>
      </c>
      <c r="AC6" s="1">
        <v>0.08</v>
      </c>
      <c r="AO6" s="19" t="s">
        <v>113</v>
      </c>
      <c r="AP6" s="3">
        <v>1.6E-2</v>
      </c>
      <c r="AR6" s="20"/>
    </row>
    <row r="7" spans="1:44" x14ac:dyDescent="0.3">
      <c r="V7" s="1" t="s">
        <v>114</v>
      </c>
      <c r="W7" s="1">
        <v>0.61699999999999999</v>
      </c>
      <c r="Y7" s="1" t="s">
        <v>114</v>
      </c>
      <c r="Z7" s="1">
        <v>2.0110000000000001</v>
      </c>
      <c r="AB7" s="1"/>
      <c r="AC7" s="1"/>
      <c r="AO7" s="19" t="s">
        <v>114</v>
      </c>
      <c r="AP7" s="3">
        <v>0.82</v>
      </c>
    </row>
    <row r="8" spans="1:44" x14ac:dyDescent="0.3">
      <c r="Y8" s="1"/>
      <c r="Z8" s="1"/>
      <c r="AB8" s="1"/>
      <c r="AC8" s="1"/>
      <c r="AO8" s="19" t="s">
        <v>131</v>
      </c>
      <c r="AP8" s="3">
        <v>2</v>
      </c>
    </row>
    <row r="9" spans="1:44" x14ac:dyDescent="0.3">
      <c r="A9" s="1" t="s">
        <v>0</v>
      </c>
      <c r="B9" s="28" t="s">
        <v>1</v>
      </c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3" t="s">
        <v>2</v>
      </c>
    </row>
    <row r="10" spans="1:44" ht="16.8" x14ac:dyDescent="0.35">
      <c r="B10" s="4" t="s">
        <v>95</v>
      </c>
      <c r="C10" s="5" t="s">
        <v>130</v>
      </c>
      <c r="D10" s="5" t="s">
        <v>3</v>
      </c>
      <c r="E10" s="4" t="s">
        <v>4</v>
      </c>
      <c r="F10" s="3" t="s">
        <v>90</v>
      </c>
      <c r="G10" s="4" t="s">
        <v>91</v>
      </c>
      <c r="H10" s="4" t="s">
        <v>92</v>
      </c>
      <c r="I10" s="1" t="s">
        <v>125</v>
      </c>
      <c r="J10" s="9" t="s">
        <v>117</v>
      </c>
      <c r="K10" s="10" t="s">
        <v>118</v>
      </c>
      <c r="L10" s="11" t="s">
        <v>119</v>
      </c>
      <c r="M10" s="10" t="s">
        <v>120</v>
      </c>
      <c r="N10" s="8" t="s">
        <v>93</v>
      </c>
      <c r="O10" s="8" t="s">
        <v>126</v>
      </c>
      <c r="P10" s="5" t="s">
        <v>89</v>
      </c>
      <c r="Q10" s="3" t="s">
        <v>94</v>
      </c>
      <c r="R10" s="13" t="s">
        <v>124</v>
      </c>
      <c r="AB10" s="15"/>
      <c r="AD10" s="6" t="s">
        <v>129</v>
      </c>
      <c r="AE10" s="6" t="s">
        <v>133</v>
      </c>
      <c r="AF10" t="s">
        <v>134</v>
      </c>
      <c r="AQ10" s="6" t="s">
        <v>129</v>
      </c>
    </row>
    <row r="11" spans="1:44" x14ac:dyDescent="0.3">
      <c r="A11" s="1" t="s">
        <v>5</v>
      </c>
      <c r="B11" s="4">
        <v>20</v>
      </c>
      <c r="C11" s="5">
        <v>500</v>
      </c>
      <c r="D11" s="5">
        <v>2</v>
      </c>
      <c r="E11" s="4">
        <v>126</v>
      </c>
      <c r="F11" s="3">
        <v>4.1203405239014401</v>
      </c>
      <c r="G11" s="4">
        <v>25</v>
      </c>
      <c r="H11" s="4">
        <v>39</v>
      </c>
      <c r="I11" s="1">
        <v>216</v>
      </c>
      <c r="J11" s="4">
        <v>201</v>
      </c>
      <c r="K11" s="5">
        <v>628</v>
      </c>
      <c r="L11" s="3">
        <v>29484</v>
      </c>
      <c r="M11" s="5">
        <v>57.361776585620262</v>
      </c>
      <c r="N11" s="8">
        <v>2.1299687966354633E-2</v>
      </c>
      <c r="O11" s="3">
        <v>20.8</v>
      </c>
      <c r="P11" s="5">
        <v>120.52774592049144</v>
      </c>
      <c r="Q11" s="3">
        <v>0.16</v>
      </c>
      <c r="R11" s="12">
        <f>P11/200000</f>
        <v>6.0263872960245718E-4</v>
      </c>
      <c r="V11" s="3">
        <f t="shared" ref="V11:V74" si="0">$W$2*($W$3*$G11+$W$4*$B11^$W$5*$N11^$W$6)*$R11^$W$7</f>
        <v>0.19768346047824845</v>
      </c>
      <c r="W11" s="3">
        <f>V11/$Q11</f>
        <v>1.2355216279890529</v>
      </c>
      <c r="Y11" s="3">
        <f t="shared" ref="Y11:Y74" si="1">$Z$2*$B11^$Z$3*$R11^$Z$4*($Z$5*$N11^$Z$6+$Z$7)</f>
        <v>0.19493440174973206</v>
      </c>
      <c r="Z11" s="3">
        <f>Y11/$Q11</f>
        <v>1.2183400109358253</v>
      </c>
      <c r="AB11" s="3">
        <f>$AC$2*($AC$3+$AC$4*$F11/($N11*'Dataset sem TS MC2020'!P3))*($AC$5*$G11+$AC$6*$B11/$N11)*'Dataset sem TS MC2020'!R3*($J11-$M11)/($J11-$M11-$H11)</f>
        <v>0.18269773331707687</v>
      </c>
      <c r="AC11" s="3">
        <f>AB11/$Q11</f>
        <v>1.1418608332317304</v>
      </c>
      <c r="AD11" s="16">
        <f>AB11-$Q11</f>
        <v>2.2697733317076862E-2</v>
      </c>
      <c r="AE11" s="17">
        <f>1/AC11</f>
        <v>0.87576346512365133</v>
      </c>
      <c r="AF11" s="17">
        <f>AB11*(14.068*'Dataset sem TS MC2020'!$P3^-0.457)/$Q11</f>
        <v>1.3334577980813467</v>
      </c>
      <c r="AG11" s="17"/>
      <c r="AO11" s="3">
        <f>$AP$2*($AP$3+$AP$4*$F11/($N11*'Dataset sem TS MC2020'!P3))*($AP$5*$G11+$AP$6*$B11/$N11)*('Dataset sem TS MC2020'!P3^$AP$7/200000)*($J11-$M11)/($J11-$M11-$H11)+('Dataset sem TS MC2020'!P3-$C11/$AP$8)*($AP$5*$G11+$AP$6*$B11/$N11)/200000</f>
        <v>0.19730926261359402</v>
      </c>
      <c r="AP11" s="3">
        <f>AO11/$Q11</f>
        <v>1.2331828913349625</v>
      </c>
      <c r="AQ11" s="16">
        <f>AO11-$Q11</f>
        <v>3.7309262613594019E-2</v>
      </c>
    </row>
    <row r="12" spans="1:44" x14ac:dyDescent="0.3">
      <c r="B12" s="4">
        <v>20</v>
      </c>
      <c r="C12" s="5">
        <v>500</v>
      </c>
      <c r="D12" s="5">
        <v>2</v>
      </c>
      <c r="E12" s="4">
        <v>126</v>
      </c>
      <c r="F12" s="3">
        <v>4.1203405239014401</v>
      </c>
      <c r="G12" s="4">
        <v>25</v>
      </c>
      <c r="H12" s="4">
        <v>39</v>
      </c>
      <c r="I12" s="1">
        <v>216</v>
      </c>
      <c r="J12" s="4">
        <v>201</v>
      </c>
      <c r="K12" s="5">
        <v>628</v>
      </c>
      <c r="L12" s="3">
        <v>29484</v>
      </c>
      <c r="M12" s="5">
        <v>57.361776585620262</v>
      </c>
      <c r="N12" s="8">
        <v>2.1299687966354633E-2</v>
      </c>
      <c r="O12" s="3">
        <v>27.3</v>
      </c>
      <c r="P12" s="5">
        <v>223.84798261989135</v>
      </c>
      <c r="Q12" s="3">
        <v>0.23</v>
      </c>
      <c r="R12" s="12">
        <f t="shared" ref="R12:R75" si="2">P12/200000</f>
        <v>1.1192399130994567E-3</v>
      </c>
      <c r="V12" s="3">
        <f t="shared" si="0"/>
        <v>0.28964147436836951</v>
      </c>
      <c r="W12" s="3">
        <f t="shared" ref="W12:W75" si="3">V12/$Q12</f>
        <v>1.2593107581233456</v>
      </c>
      <c r="Y12" s="3">
        <f t="shared" si="1"/>
        <v>0.28756526858646031</v>
      </c>
      <c r="Z12" s="3">
        <f t="shared" ref="Z12:Z75" si="4">Y12/$Q12</f>
        <v>1.2502837764628709</v>
      </c>
      <c r="AB12" s="3">
        <f>$AC$2*($AC$3+$AC$4*$F12/($N12*'Dataset sem TS MC2020'!P4))*($AC$5*$G12+$AC$6*$B12/$N12)*'Dataset sem TS MC2020'!R4*($J12-$M12)/($J12-$M12-$H12)</f>
        <v>0.28726413526460931</v>
      </c>
      <c r="AC12" s="3">
        <f t="shared" ref="AC12:AC75" si="5">AB12/$Q12</f>
        <v>1.2489745011504751</v>
      </c>
      <c r="AD12" s="16">
        <f t="shared" ref="AD12:AD75" si="6">AB12-$Q12</f>
        <v>5.72641352646093E-2</v>
      </c>
      <c r="AE12" s="17">
        <f t="shared" ref="AE12:AE75" si="7">1/AC12</f>
        <v>0.80065685814951726</v>
      </c>
      <c r="AF12" s="17">
        <f>AB12*(14.068*'Dataset sem TS MC2020'!$P4^-0.457)/$Q12</f>
        <v>1.2880961592705129</v>
      </c>
      <c r="AG12" s="17"/>
      <c r="AO12" s="3">
        <f>$AP$2*($AP$3+$AP$4*$F12/($N12*'Dataset sem TS MC2020'!P4))*($AP$5*$G12+$AP$6*$B12/$N12)*('Dataset sem TS MC2020'!P4^$AP$7/200000)*($J12-$M12)/($J12-$M12-$H12)+('Dataset sem TS MC2020'!P4-$C12/$AP$8)*($AP$5*$G12+$AP$6*$B12/$N12)/200000</f>
        <v>0.30420252679311782</v>
      </c>
      <c r="AP12" s="3">
        <f t="shared" ref="AP12:AP75" si="8">AO12/$Q12</f>
        <v>1.322619681709208</v>
      </c>
      <c r="AQ12" s="16">
        <f t="shared" ref="AQ12:AQ75" si="9">AO12-$Q12</f>
        <v>7.4202526793117812E-2</v>
      </c>
    </row>
    <row r="13" spans="1:44" x14ac:dyDescent="0.3">
      <c r="B13" s="4">
        <v>20</v>
      </c>
      <c r="C13" s="5">
        <v>500</v>
      </c>
      <c r="D13" s="5">
        <v>2</v>
      </c>
      <c r="E13" s="4">
        <v>126</v>
      </c>
      <c r="F13" s="3">
        <v>4.1203405239014401</v>
      </c>
      <c r="G13" s="4">
        <v>25</v>
      </c>
      <c r="H13" s="4">
        <v>39</v>
      </c>
      <c r="I13" s="1">
        <v>216</v>
      </c>
      <c r="J13" s="4">
        <v>201</v>
      </c>
      <c r="K13" s="5">
        <v>628</v>
      </c>
      <c r="L13" s="3">
        <v>29484</v>
      </c>
      <c r="M13" s="5">
        <v>57.361776585620262</v>
      </c>
      <c r="N13" s="8">
        <v>2.1299687966354633E-2</v>
      </c>
      <c r="O13" s="3">
        <v>28.2</v>
      </c>
      <c r="P13" s="5">
        <v>242.0521982199154</v>
      </c>
      <c r="Q13" s="3">
        <v>0.24</v>
      </c>
      <c r="R13" s="12">
        <f t="shared" si="2"/>
        <v>1.2102609910995771E-3</v>
      </c>
      <c r="V13" s="3">
        <f t="shared" si="0"/>
        <v>0.30395655014392914</v>
      </c>
      <c r="W13" s="3">
        <f t="shared" si="3"/>
        <v>1.2664856255997048</v>
      </c>
      <c r="Y13" s="3">
        <f t="shared" si="1"/>
        <v>0.30203738626763893</v>
      </c>
      <c r="Z13" s="3">
        <f t="shared" si="4"/>
        <v>1.2584891094484956</v>
      </c>
      <c r="AB13" s="3">
        <f>$AC$2*($AC$3+$AC$4*$F13/($N13*'Dataset sem TS MC2020'!P5))*($AC$5*$G13+$AC$6*$B13/$N13)*'Dataset sem TS MC2020'!R5*($J13-$M13)/($J13-$M13-$H13)</f>
        <v>0.30174256014965223</v>
      </c>
      <c r="AC13" s="3">
        <f t="shared" si="5"/>
        <v>1.2572606672902176</v>
      </c>
      <c r="AD13" s="16">
        <f t="shared" si="6"/>
        <v>6.1742560149652237E-2</v>
      </c>
      <c r="AE13" s="17">
        <f t="shared" si="7"/>
        <v>0.79538000831228317</v>
      </c>
      <c r="AF13" s="17">
        <f>AB13*(14.068*'Dataset sem TS MC2020'!$P5^-0.457)/$Q13</f>
        <v>1.2775636003000219</v>
      </c>
      <c r="AG13" s="17"/>
      <c r="AO13" s="3">
        <f>$AP$2*($AP$3+$AP$4*$F13/($N13*'Dataset sem TS MC2020'!P5))*($AP$5*$G13+$AP$6*$B13/$N13)*('Dataset sem TS MC2020'!P5^$AP$7/200000)*($J13-$M13)/($J13-$M13-$H13)+('Dataset sem TS MC2020'!P5-$C13/$AP$8)*($AP$5*$G13+$AP$6*$B13/$N13)/200000</f>
        <v>0.31848620826748192</v>
      </c>
      <c r="AP13" s="3">
        <f t="shared" si="8"/>
        <v>1.3270258677811748</v>
      </c>
      <c r="AQ13" s="16">
        <f t="shared" si="9"/>
        <v>7.8486208267481927E-2</v>
      </c>
    </row>
    <row r="14" spans="1:44" x14ac:dyDescent="0.3">
      <c r="B14" s="4">
        <v>20</v>
      </c>
      <c r="C14" s="5">
        <v>500</v>
      </c>
      <c r="D14" s="5">
        <v>2</v>
      </c>
      <c r="E14" s="4">
        <v>126</v>
      </c>
      <c r="F14" s="3">
        <v>4.1203405239014401</v>
      </c>
      <c r="G14" s="4">
        <v>25</v>
      </c>
      <c r="H14" s="4">
        <v>39</v>
      </c>
      <c r="I14" s="1">
        <v>216</v>
      </c>
      <c r="J14" s="4">
        <v>201</v>
      </c>
      <c r="K14" s="5">
        <v>628</v>
      </c>
      <c r="L14" s="3">
        <v>29484</v>
      </c>
      <c r="M14" s="5">
        <v>57.361776585620262</v>
      </c>
      <c r="N14" s="8">
        <v>2.1299687966354633E-2</v>
      </c>
      <c r="O14" s="3">
        <v>32.6</v>
      </c>
      <c r="P14" s="5">
        <v>325.14719045768442</v>
      </c>
      <c r="Q14" s="3">
        <v>0.27</v>
      </c>
      <c r="R14" s="12">
        <f t="shared" si="2"/>
        <v>1.6257359522884221E-3</v>
      </c>
      <c r="V14" s="3">
        <f t="shared" si="0"/>
        <v>0.36466408950423429</v>
      </c>
      <c r="W14" s="3">
        <f t="shared" si="3"/>
        <v>1.3506077389045714</v>
      </c>
      <c r="Y14" s="3">
        <f t="shared" si="1"/>
        <v>0.36353989331169489</v>
      </c>
      <c r="Z14" s="3">
        <f t="shared" si="4"/>
        <v>1.3464440493025736</v>
      </c>
      <c r="AB14" s="3">
        <f>$AC$2*($AC$3+$AC$4*$F14/($N14*'Dataset sem TS MC2020'!P6))*($AC$5*$G14+$AC$6*$B14/$N14)*'Dataset sem TS MC2020'!R6*($J14-$M14)/($J14-$M14-$H14)</f>
        <v>0.37252597069875121</v>
      </c>
      <c r="AC14" s="3">
        <f t="shared" si="5"/>
        <v>1.3797258174027822</v>
      </c>
      <c r="AD14" s="16">
        <f t="shared" si="6"/>
        <v>0.10252597069875119</v>
      </c>
      <c r="AE14" s="17">
        <f t="shared" si="7"/>
        <v>0.72478168298859258</v>
      </c>
      <c r="AF14" s="17">
        <f>AB14*(14.068*'Dataset sem TS MC2020'!$P6^-0.457)/$Q14</f>
        <v>1.3121195026272663</v>
      </c>
      <c r="AG14" s="17"/>
      <c r="AO14" s="3">
        <f>$AP$2*($AP$3+$AP$4*$F14/($N14*'Dataset sem TS MC2020'!P6))*($AP$5*$G14+$AP$6*$B14/$N14)*('Dataset sem TS MC2020'!P6^$AP$7/200000)*($J14-$M14)/($J14-$M14-$H14)+('Dataset sem TS MC2020'!P6-$C14/$AP$8)*($AP$5*$G14+$AP$6*$B14/$N14)/200000</f>
        <v>0.38687098192123043</v>
      </c>
      <c r="AP14" s="3">
        <f t="shared" si="8"/>
        <v>1.4328554885971496</v>
      </c>
      <c r="AQ14" s="16">
        <f t="shared" si="9"/>
        <v>0.11687098192123041</v>
      </c>
    </row>
    <row r="15" spans="1:44" x14ac:dyDescent="0.3">
      <c r="B15" s="4">
        <v>20</v>
      </c>
      <c r="C15" s="5">
        <v>500</v>
      </c>
      <c r="D15" s="5">
        <v>2</v>
      </c>
      <c r="E15" s="4">
        <v>126</v>
      </c>
      <c r="F15" s="3">
        <v>4.1203405239014401</v>
      </c>
      <c r="G15" s="4">
        <v>25</v>
      </c>
      <c r="H15" s="4">
        <v>39</v>
      </c>
      <c r="I15" s="1">
        <v>216</v>
      </c>
      <c r="J15" s="4">
        <v>201</v>
      </c>
      <c r="K15" s="5">
        <v>628</v>
      </c>
      <c r="L15" s="3">
        <v>29484</v>
      </c>
      <c r="M15" s="5">
        <v>57.361776585620262</v>
      </c>
      <c r="N15" s="8">
        <v>2.1299687966354633E-2</v>
      </c>
      <c r="O15" s="3">
        <v>41.2</v>
      </c>
      <c r="P15" s="5">
        <v>447.78445698177279</v>
      </c>
      <c r="Q15" s="3">
        <v>0.35</v>
      </c>
      <c r="R15" s="12">
        <f t="shared" si="2"/>
        <v>2.2389222849088638E-3</v>
      </c>
      <c r="V15" s="3">
        <f t="shared" si="0"/>
        <v>0.44427227996804319</v>
      </c>
      <c r="W15" s="3">
        <f t="shared" si="3"/>
        <v>1.2693493713372663</v>
      </c>
      <c r="Y15" s="3">
        <f t="shared" si="1"/>
        <v>0.4444645963247677</v>
      </c>
      <c r="Z15" s="3">
        <f t="shared" si="4"/>
        <v>1.2698988466421934</v>
      </c>
      <c r="AB15" s="3">
        <f>$AC$2*($AC$3+$AC$4*$F15/($N15*'Dataset sem TS MC2020'!P7))*($AC$5*$G15+$AC$6*$B15/$N15)*'Dataset sem TS MC2020'!R7*($J15-$M15)/($J15-$M15-$H15)</f>
        <v>0.51087536404471734</v>
      </c>
      <c r="AC15" s="3">
        <f t="shared" si="5"/>
        <v>1.4596438972706212</v>
      </c>
      <c r="AD15" s="16">
        <f t="shared" si="6"/>
        <v>0.16087536404471736</v>
      </c>
      <c r="AE15" s="17">
        <f t="shared" si="7"/>
        <v>0.68509860649566212</v>
      </c>
      <c r="AF15" s="17">
        <f>AB15*(14.068*'Dataset sem TS MC2020'!$P7^-0.457)/$Q15</f>
        <v>1.2472684334561648</v>
      </c>
      <c r="AG15" s="17"/>
      <c r="AO15" s="3">
        <f>$AP$2*($AP$3+$AP$4*$F15/($N15*'Dataset sem TS MC2020'!P7))*($AP$5*$G15+$AP$6*$B15/$N15)*('Dataset sem TS MC2020'!P7^$AP$7/200000)*($J15-$M15)/($J15-$M15-$H15)+('Dataset sem TS MC2020'!P7-$C15/$AP$8)*($AP$5*$G15+$AP$6*$B15/$N15)/200000</f>
        <v>0.5149029480587789</v>
      </c>
      <c r="AP15" s="3">
        <f t="shared" si="8"/>
        <v>1.4711512801679398</v>
      </c>
      <c r="AQ15" s="16">
        <f t="shared" si="9"/>
        <v>0.16490294805877892</v>
      </c>
    </row>
    <row r="16" spans="1:44" x14ac:dyDescent="0.3">
      <c r="B16" s="4">
        <v>20</v>
      </c>
      <c r="C16" s="5">
        <v>500</v>
      </c>
      <c r="D16" s="5">
        <v>2</v>
      </c>
      <c r="E16" s="4">
        <v>126</v>
      </c>
      <c r="F16" s="3">
        <v>4.1203405239014401</v>
      </c>
      <c r="G16" s="4">
        <v>25</v>
      </c>
      <c r="H16" s="4">
        <v>39</v>
      </c>
      <c r="I16" s="1">
        <v>216</v>
      </c>
      <c r="J16" s="4">
        <v>201</v>
      </c>
      <c r="K16" s="5">
        <v>628</v>
      </c>
      <c r="L16" s="3">
        <v>29484</v>
      </c>
      <c r="M16" s="5">
        <v>57.361776585620262</v>
      </c>
      <c r="N16" s="8">
        <v>2.1299687966354633E-2</v>
      </c>
      <c r="O16" s="3">
        <v>44.9</v>
      </c>
      <c r="P16" s="5">
        <v>500</v>
      </c>
      <c r="Q16" s="3">
        <v>0.4</v>
      </c>
      <c r="R16" s="12">
        <f t="shared" si="2"/>
        <v>2.5000000000000001E-3</v>
      </c>
      <c r="V16" s="3">
        <f t="shared" si="0"/>
        <v>0.47555869563103903</v>
      </c>
      <c r="W16" s="3">
        <f t="shared" si="3"/>
        <v>1.1888967390775975</v>
      </c>
      <c r="Y16" s="3">
        <f t="shared" si="1"/>
        <v>0.47634213028661532</v>
      </c>
      <c r="Z16" s="3">
        <f t="shared" si="4"/>
        <v>1.1908553257165382</v>
      </c>
      <c r="AB16" s="3">
        <f>$AC$2*($AC$3+$AC$4*$F16/($N16*'Dataset sem TS MC2020'!P8))*($AC$5*$G16+$AC$6*$B16/$N16)*'Dataset sem TS MC2020'!R8*($J16-$M16)/($J16-$M16-$H16)</f>
        <v>0.56982079695789689</v>
      </c>
      <c r="AC16" s="3">
        <f t="shared" si="5"/>
        <v>1.4245519923947421</v>
      </c>
      <c r="AD16" s="16">
        <f t="shared" si="6"/>
        <v>0.16982079695789687</v>
      </c>
      <c r="AE16" s="17">
        <f t="shared" si="7"/>
        <v>0.70197508082449889</v>
      </c>
      <c r="AF16" s="17">
        <f>AB16*(14.068*'Dataset sem TS MC2020'!$P8^-0.457)/$Q16</f>
        <v>1.1707963831521644</v>
      </c>
      <c r="AG16" s="17"/>
      <c r="AO16" s="3">
        <f>$AP$2*($AP$3+$AP$4*$F16/($N16*'Dataset sem TS MC2020'!P8))*($AP$5*$G16+$AP$6*$B16/$N16)*('Dataset sem TS MC2020'!P8^$AP$7/200000)*($J16-$M16)/($J16-$M16-$H16)+('Dataset sem TS MC2020'!P8-$C16/$AP$8)*($AP$5*$G16+$AP$6*$B16/$N16)/200000</f>
        <v>0.56764368831311918</v>
      </c>
      <c r="AP16" s="3">
        <f t="shared" si="8"/>
        <v>1.4191092207827978</v>
      </c>
      <c r="AQ16" s="16">
        <f t="shared" si="9"/>
        <v>0.16764368831311915</v>
      </c>
    </row>
    <row r="17" spans="1:43" x14ac:dyDescent="0.3">
      <c r="A17" s="1" t="s">
        <v>6</v>
      </c>
      <c r="B17" s="4">
        <v>10</v>
      </c>
      <c r="C17" s="5">
        <v>500</v>
      </c>
      <c r="D17" s="5">
        <v>8</v>
      </c>
      <c r="E17" s="4">
        <v>87.7</v>
      </c>
      <c r="F17" s="3">
        <v>4.1311267633290143</v>
      </c>
      <c r="G17" s="4">
        <v>25</v>
      </c>
      <c r="H17" s="4">
        <v>53</v>
      </c>
      <c r="I17" s="1">
        <v>308</v>
      </c>
      <c r="J17" s="4">
        <v>604</v>
      </c>
      <c r="K17" s="5">
        <v>628</v>
      </c>
      <c r="L17" s="3">
        <v>43428</v>
      </c>
      <c r="M17" s="5">
        <v>99.696400381800601</v>
      </c>
      <c r="N17" s="8">
        <v>1.4460716588376162E-2</v>
      </c>
      <c r="O17" s="3">
        <v>105</v>
      </c>
      <c r="P17" s="5">
        <v>224.98496210052934</v>
      </c>
      <c r="Q17" s="3">
        <v>0.16</v>
      </c>
      <c r="R17" s="12">
        <f t="shared" si="2"/>
        <v>1.1249248105026468E-3</v>
      </c>
      <c r="V17" s="3">
        <f t="shared" si="0"/>
        <v>0.21423149710052675</v>
      </c>
      <c r="W17" s="3">
        <f t="shared" si="3"/>
        <v>1.3389468568782921</v>
      </c>
      <c r="Y17" s="3">
        <f t="shared" si="1"/>
        <v>0.21120240086096073</v>
      </c>
      <c r="Z17" s="3">
        <f t="shared" si="4"/>
        <v>1.3200150053810045</v>
      </c>
      <c r="AB17" s="3">
        <f>$AC$2*($AC$3+$AC$4*$F17/($N17*'Dataset sem TS MC2020'!P9))*($AC$5*$G17+$AC$6*$B17/$N17)*'Dataset sem TS MC2020'!R9*($J17-$M17)/($J17-$M17-$H17)</f>
        <v>0.15319516455233306</v>
      </c>
      <c r="AC17" s="3">
        <f t="shared" si="5"/>
        <v>0.95746977845208159</v>
      </c>
      <c r="AD17" s="16">
        <f t="shared" si="6"/>
        <v>-6.8048354476669404E-3</v>
      </c>
      <c r="AE17" s="17">
        <f t="shared" si="7"/>
        <v>1.0444193879588304</v>
      </c>
      <c r="AF17" s="17">
        <f>AB17*(14.068*'Dataset sem TS MC2020'!$P9^-0.457)/$Q17</f>
        <v>0.96095094875375575</v>
      </c>
      <c r="AG17" s="17"/>
      <c r="AO17" s="3">
        <f>$AP$2*($AP$3+$AP$4*$F17/($N17*'Dataset sem TS MC2020'!P9))*($AP$5*$G17+$AP$6*$B17/$N17)*('Dataset sem TS MC2020'!P9^$AP$7/200000)*($J17-$M17)/($J17-$M17-$H17)+('Dataset sem TS MC2020'!P9-$C17/$AP$8)*($AP$5*$G17+$AP$6*$B17/$N17)/200000</f>
        <v>0.16014113895564155</v>
      </c>
      <c r="AP17" s="3">
        <f t="shared" si="8"/>
        <v>1.0008821184727597</v>
      </c>
      <c r="AQ17" s="16">
        <f t="shared" si="9"/>
        <v>1.4113895564155099E-4</v>
      </c>
    </row>
    <row r="18" spans="1:43" x14ac:dyDescent="0.3">
      <c r="B18" s="4">
        <v>10</v>
      </c>
      <c r="C18" s="5">
        <v>500</v>
      </c>
      <c r="D18" s="5">
        <v>8</v>
      </c>
      <c r="E18" s="4">
        <v>87.7</v>
      </c>
      <c r="F18" s="3">
        <v>4.1311267633290143</v>
      </c>
      <c r="G18" s="4">
        <v>25</v>
      </c>
      <c r="H18" s="4">
        <v>53</v>
      </c>
      <c r="I18" s="1">
        <v>308</v>
      </c>
      <c r="J18" s="4">
        <v>604</v>
      </c>
      <c r="K18" s="5">
        <v>628</v>
      </c>
      <c r="L18" s="3">
        <v>43428</v>
      </c>
      <c r="M18" s="5">
        <v>99.696400381800601</v>
      </c>
      <c r="N18" s="8">
        <v>1.4460716588376162E-2</v>
      </c>
      <c r="O18" s="3">
        <v>119.6</v>
      </c>
      <c r="P18" s="5">
        <v>301.6538385298519</v>
      </c>
      <c r="Q18" s="3">
        <v>0.18</v>
      </c>
      <c r="R18" s="12">
        <f t="shared" si="2"/>
        <v>1.5082691926492594E-3</v>
      </c>
      <c r="V18" s="3">
        <f t="shared" si="0"/>
        <v>0.25672111065737491</v>
      </c>
      <c r="W18" s="3">
        <f t="shared" si="3"/>
        <v>1.4262283925409718</v>
      </c>
      <c r="Y18" s="3">
        <f t="shared" si="1"/>
        <v>0.25390895613117903</v>
      </c>
      <c r="Z18" s="3">
        <f t="shared" si="4"/>
        <v>1.4106053118398836</v>
      </c>
      <c r="AB18" s="3">
        <f>$AC$2*($AC$3+$AC$4*$F18/($N18*'Dataset sem TS MC2020'!P10))*($AC$5*$G18+$AC$6*$B18/$N18)*'Dataset sem TS MC2020'!R10*($J18-$M18)/($J18-$M18-$H18)</f>
        <v>0.19426213071118631</v>
      </c>
      <c r="AC18" s="3">
        <f t="shared" si="5"/>
        <v>1.0792340595065906</v>
      </c>
      <c r="AD18" s="16">
        <f t="shared" si="6"/>
        <v>1.4262130711186316E-2</v>
      </c>
      <c r="AE18" s="17">
        <f t="shared" si="7"/>
        <v>0.9265830624889515</v>
      </c>
      <c r="AF18" s="17">
        <f>AB18*(14.068*'Dataset sem TS MC2020'!$P10^-0.457)/$Q18</f>
        <v>1.0205919733985933</v>
      </c>
      <c r="AG18" s="17"/>
      <c r="AO18" s="3">
        <f>$AP$2*($AP$3+$AP$4*$F18/($N18*'Dataset sem TS MC2020'!P10))*($AP$5*$G18+$AP$6*$B18/$N18)*('Dataset sem TS MC2020'!P10^$AP$7/200000)*($J18-$M18)/($J18-$M18-$H18)+('Dataset sem TS MC2020'!P10-$C18/$AP$8)*($AP$5*$G18+$AP$6*$B18/$N18)/200000</f>
        <v>0.20092938484514619</v>
      </c>
      <c r="AP18" s="3">
        <f t="shared" si="8"/>
        <v>1.1162743602508123</v>
      </c>
      <c r="AQ18" s="16">
        <f t="shared" si="9"/>
        <v>2.0929384845146198E-2</v>
      </c>
    </row>
    <row r="19" spans="1:43" x14ac:dyDescent="0.3">
      <c r="B19" s="4">
        <v>10</v>
      </c>
      <c r="C19" s="5">
        <v>500</v>
      </c>
      <c r="D19" s="5">
        <v>8</v>
      </c>
      <c r="E19" s="4">
        <v>87.7</v>
      </c>
      <c r="F19" s="3">
        <v>4.1311267633290143</v>
      </c>
      <c r="G19" s="4">
        <v>25</v>
      </c>
      <c r="H19" s="4">
        <v>53</v>
      </c>
      <c r="I19" s="1">
        <v>308</v>
      </c>
      <c r="J19" s="4">
        <v>604</v>
      </c>
      <c r="K19" s="5">
        <v>628</v>
      </c>
      <c r="L19" s="3">
        <v>43428</v>
      </c>
      <c r="M19" s="5">
        <v>99.696400381800601</v>
      </c>
      <c r="N19" s="8">
        <v>1.4460716588376162E-2</v>
      </c>
      <c r="O19" s="3">
        <v>174.3</v>
      </c>
      <c r="P19" s="5">
        <v>497.36822294176966</v>
      </c>
      <c r="Q19" s="3">
        <v>0.26</v>
      </c>
      <c r="R19" s="12">
        <f t="shared" si="2"/>
        <v>2.4868411147088484E-3</v>
      </c>
      <c r="V19" s="3">
        <f t="shared" si="0"/>
        <v>0.34950626590263312</v>
      </c>
      <c r="W19" s="3">
        <f t="shared" si="3"/>
        <v>1.3442548688562812</v>
      </c>
      <c r="Y19" s="3">
        <f t="shared" si="1"/>
        <v>0.34758439003832614</v>
      </c>
      <c r="Z19" s="3">
        <f t="shared" si="4"/>
        <v>1.3368630386089466</v>
      </c>
      <c r="AB19" s="3">
        <f>$AC$2*($AC$3+$AC$4*$F19/($N19*'Dataset sem TS MC2020'!P11))*($AC$5*$G19+$AC$6*$B19/$N19)*'Dataset sem TS MC2020'!R11*($J19-$M19)/($J19-$M19-$H19)</f>
        <v>0.31515402521407115</v>
      </c>
      <c r="AC19" s="3">
        <f t="shared" si="5"/>
        <v>1.212130866207966</v>
      </c>
      <c r="AD19" s="16">
        <f t="shared" si="6"/>
        <v>5.5154025214071145E-2</v>
      </c>
      <c r="AE19" s="17">
        <f t="shared" si="7"/>
        <v>0.82499342923953678</v>
      </c>
      <c r="AF19" s="17">
        <f>AB19*(14.068*'Dataset sem TS MC2020'!$P11^-0.457)/$Q19</f>
        <v>0.99621385645441507</v>
      </c>
      <c r="AG19" s="17"/>
      <c r="AO19" s="3">
        <f>$AP$2*($AP$3+$AP$4*$F19/($N19*'Dataset sem TS MC2020'!P11))*($AP$5*$G19+$AP$6*$B19/$N19)*('Dataset sem TS MC2020'!P11^$AP$7/200000)*($J19-$M19)/($J19-$M19-$H19)+('Dataset sem TS MC2020'!P11-$C19/$AP$8)*($AP$5*$G19+$AP$6*$B19/$N19)/200000</f>
        <v>0.31465648993745332</v>
      </c>
      <c r="AP19" s="3">
        <f t="shared" si="8"/>
        <v>1.2102172689902051</v>
      </c>
      <c r="AQ19" s="16">
        <f t="shared" si="9"/>
        <v>5.4656489937453312E-2</v>
      </c>
    </row>
    <row r="20" spans="1:43" x14ac:dyDescent="0.3">
      <c r="A20" s="1" t="s">
        <v>7</v>
      </c>
      <c r="B20" s="4">
        <v>10</v>
      </c>
      <c r="C20" s="5">
        <v>628</v>
      </c>
      <c r="D20" s="5">
        <v>4</v>
      </c>
      <c r="E20" s="4">
        <v>32.466666666666669</v>
      </c>
      <c r="F20" s="3">
        <v>3.262</v>
      </c>
      <c r="G20" s="4">
        <v>25</v>
      </c>
      <c r="H20" s="4">
        <v>36</v>
      </c>
      <c r="I20" s="1">
        <v>200</v>
      </c>
      <c r="J20" s="4">
        <v>600</v>
      </c>
      <c r="K20" s="5">
        <v>314</v>
      </c>
      <c r="L20" s="3">
        <v>17200</v>
      </c>
      <c r="M20" s="5">
        <v>95.721926864521535</v>
      </c>
      <c r="N20" s="8">
        <v>1.8255813953488371E-2</v>
      </c>
      <c r="O20" s="3">
        <v>47.625</v>
      </c>
      <c r="P20" s="5">
        <v>178.11588447552145</v>
      </c>
      <c r="Q20" s="3">
        <v>0.16</v>
      </c>
      <c r="R20" s="12">
        <f t="shared" si="2"/>
        <v>8.9057942237760724E-4</v>
      </c>
      <c r="V20" s="3">
        <f t="shared" si="0"/>
        <v>0.16827313198239763</v>
      </c>
      <c r="W20" s="3">
        <f t="shared" si="3"/>
        <v>1.051707074889985</v>
      </c>
      <c r="Y20" s="3">
        <f t="shared" si="1"/>
        <v>0.16400318827505994</v>
      </c>
      <c r="Z20" s="3">
        <f t="shared" si="4"/>
        <v>1.0250199267191247</v>
      </c>
      <c r="AB20" s="3">
        <f>$AC$2*($AC$3+$AC$4*$F20/($N20*'Dataset sem TS MC2020'!P12))*($AC$5*$G20+$AC$6*$B20/$N20)*'Dataset sem TS MC2020'!R12*($J20-$M20)/($J20-$M20-$H20)</f>
        <v>0.13817360489879255</v>
      </c>
      <c r="AC20" s="3">
        <f t="shared" si="5"/>
        <v>0.8635850306174534</v>
      </c>
      <c r="AD20" s="16">
        <f t="shared" si="6"/>
        <v>-2.1826395101207458E-2</v>
      </c>
      <c r="AE20" s="17">
        <f t="shared" si="7"/>
        <v>1.1579635641495678</v>
      </c>
      <c r="AF20" s="17">
        <f>AB20*(14.068*'Dataset sem TS MC2020'!$P12^-0.457)/$Q20</f>
        <v>0.91757150406718102</v>
      </c>
      <c r="AG20" s="17"/>
      <c r="AO20" s="3">
        <f>$AP$2*($AP$3+$AP$4*$F20/($N20*'Dataset sem TS MC2020'!P12))*($AP$5*$G20+$AP$6*$B20/$N20)*('Dataset sem TS MC2020'!P12^$AP$7/200000)*($J20-$M20)/($J20-$M20-$H20)+('Dataset sem TS MC2020'!P12-$C20/$AP$8)*($AP$5*$G20+$AP$6*$B20/$N20)/200000</f>
        <v>0.14151898488958273</v>
      </c>
      <c r="AP20" s="3">
        <f t="shared" si="8"/>
        <v>0.88449365555989201</v>
      </c>
      <c r="AQ20" s="16">
        <f t="shared" si="9"/>
        <v>-1.8481015110417276E-2</v>
      </c>
    </row>
    <row r="21" spans="1:43" x14ac:dyDescent="0.3">
      <c r="B21" s="4">
        <v>10</v>
      </c>
      <c r="C21" s="5">
        <v>628</v>
      </c>
      <c r="D21" s="5">
        <v>4</v>
      </c>
      <c r="E21" s="4">
        <v>32.466666666666669</v>
      </c>
      <c r="F21" s="3">
        <v>3.262</v>
      </c>
      <c r="G21" s="4">
        <v>25</v>
      </c>
      <c r="H21" s="4">
        <v>36</v>
      </c>
      <c r="I21" s="1">
        <v>200</v>
      </c>
      <c r="J21" s="4">
        <v>600</v>
      </c>
      <c r="K21" s="5">
        <v>314</v>
      </c>
      <c r="L21" s="3">
        <v>17200</v>
      </c>
      <c r="M21" s="5">
        <v>95.721926864521535</v>
      </c>
      <c r="N21" s="8">
        <v>1.8255813953488371E-2</v>
      </c>
      <c r="O21" s="3">
        <v>54.300000000000004</v>
      </c>
      <c r="P21" s="5">
        <v>242.19703933436762</v>
      </c>
      <c r="Q21" s="3">
        <v>0.2</v>
      </c>
      <c r="R21" s="12">
        <f t="shared" si="2"/>
        <v>1.210985196671838E-3</v>
      </c>
      <c r="V21" s="3">
        <f t="shared" si="0"/>
        <v>0.20340583633703821</v>
      </c>
      <c r="W21" s="3">
        <f t="shared" si="3"/>
        <v>1.0170291816851911</v>
      </c>
      <c r="Y21" s="3">
        <f t="shared" si="1"/>
        <v>0.19891569467816975</v>
      </c>
      <c r="Z21" s="3">
        <f t="shared" si="4"/>
        <v>0.99457847339084871</v>
      </c>
      <c r="AB21" s="3">
        <f>$AC$2*($AC$3+$AC$4*$F21/($N21*'Dataset sem TS MC2020'!P13))*($AC$5*$G21+$AC$6*$B21/$N21)*'Dataset sem TS MC2020'!R13*($J21-$M21)/($J21-$M21-$H21)</f>
        <v>0.16756213432230332</v>
      </c>
      <c r="AC21" s="3">
        <f t="shared" si="5"/>
        <v>0.83781067161151657</v>
      </c>
      <c r="AD21" s="16">
        <f t="shared" si="6"/>
        <v>-3.2437865677696687E-2</v>
      </c>
      <c r="AE21" s="17">
        <f t="shared" si="7"/>
        <v>1.1935870882099349</v>
      </c>
      <c r="AF21" s="17">
        <f>AB21*(14.068*'Dataset sem TS MC2020'!$P13^-0.457)/$Q21</f>
        <v>0.83839323949465028</v>
      </c>
      <c r="AG21" s="17"/>
      <c r="AO21" s="3">
        <f>$AP$2*($AP$3+$AP$4*$F21/($N21*'Dataset sem TS MC2020'!P13))*($AP$5*$G21+$AP$6*$B21/$N21)*('Dataset sem TS MC2020'!P13^$AP$7/200000)*($J21-$M21)/($J21-$M21-$H21)+('Dataset sem TS MC2020'!P13-$C21/$AP$8)*($AP$5*$G21+$AP$6*$B21/$N21)/200000</f>
        <v>0.17040508544658209</v>
      </c>
      <c r="AP21" s="3">
        <f t="shared" si="8"/>
        <v>0.85202542723291042</v>
      </c>
      <c r="AQ21" s="16">
        <f t="shared" si="9"/>
        <v>-2.9594914553417923E-2</v>
      </c>
    </row>
    <row r="22" spans="1:43" x14ac:dyDescent="0.3">
      <c r="B22" s="4">
        <v>10</v>
      </c>
      <c r="C22" s="5">
        <v>628</v>
      </c>
      <c r="D22" s="5">
        <v>4</v>
      </c>
      <c r="E22" s="4">
        <v>32.466666666666669</v>
      </c>
      <c r="F22" s="3">
        <v>3.262</v>
      </c>
      <c r="G22" s="4">
        <v>25</v>
      </c>
      <c r="H22" s="4">
        <v>36</v>
      </c>
      <c r="I22" s="1">
        <v>200</v>
      </c>
      <c r="J22" s="4">
        <v>600</v>
      </c>
      <c r="K22" s="5">
        <v>314</v>
      </c>
      <c r="L22" s="3">
        <v>17200</v>
      </c>
      <c r="M22" s="5">
        <v>95.721926864521535</v>
      </c>
      <c r="N22" s="8">
        <v>1.8255813953488371E-2</v>
      </c>
      <c r="O22" s="3">
        <v>61.425000000000004</v>
      </c>
      <c r="P22" s="5">
        <v>308.13373014523648</v>
      </c>
      <c r="Q22" s="3">
        <v>0.2</v>
      </c>
      <c r="R22" s="12">
        <f t="shared" si="2"/>
        <v>1.5406686507261824E-3</v>
      </c>
      <c r="V22" s="3">
        <f t="shared" si="0"/>
        <v>0.23598443229794938</v>
      </c>
      <c r="W22" s="3">
        <f t="shared" si="3"/>
        <v>1.1799221614897468</v>
      </c>
      <c r="Y22" s="3">
        <f t="shared" si="1"/>
        <v>0.23138716720419869</v>
      </c>
      <c r="Z22" s="3">
        <f t="shared" si="4"/>
        <v>1.1569358360209934</v>
      </c>
      <c r="AB22" s="3">
        <f>$AC$2*($AC$3+$AC$4*$F22/($N22*'Dataset sem TS MC2020'!P14))*($AC$5*$G22+$AC$6*$B22/$N22)*'Dataset sem TS MC2020'!R14*($J22-$M22)/($J22-$M22-$H22)</f>
        <v>0.19893191292043275</v>
      </c>
      <c r="AC22" s="3">
        <f t="shared" si="5"/>
        <v>0.99465956460216365</v>
      </c>
      <c r="AD22" s="16">
        <f t="shared" si="6"/>
        <v>-1.0680870795672648E-3</v>
      </c>
      <c r="AE22" s="17">
        <f t="shared" si="7"/>
        <v>1.0053691087764007</v>
      </c>
      <c r="AF22" s="17">
        <f>AB22*(14.068*'Dataset sem TS MC2020'!$P14^-0.457)/$Q22</f>
        <v>0.94081909768351679</v>
      </c>
      <c r="AG22" s="17"/>
      <c r="AO22" s="3">
        <f>$AP$2*($AP$3+$AP$4*$F22/($N22*'Dataset sem TS MC2020'!P14))*($AP$5*$G22+$AP$6*$B22/$N22)*('Dataset sem TS MC2020'!P14^$AP$7/200000)*($J22-$M22)/($J22-$M22-$H22)+('Dataset sem TS MC2020'!P14-$C22/$AP$8)*($AP$5*$G22+$AP$6*$B22/$N22)/200000</f>
        <v>0.20037278789542834</v>
      </c>
      <c r="AP22" s="3">
        <f t="shared" si="8"/>
        <v>1.0018639394771416</v>
      </c>
      <c r="AQ22" s="16">
        <f t="shared" si="9"/>
        <v>3.7278789542832813E-4</v>
      </c>
    </row>
    <row r="23" spans="1:43" x14ac:dyDescent="0.3">
      <c r="B23" s="4">
        <v>10</v>
      </c>
      <c r="C23" s="5">
        <v>628</v>
      </c>
      <c r="D23" s="5">
        <v>4</v>
      </c>
      <c r="E23" s="4">
        <v>32.466666666666669</v>
      </c>
      <c r="F23" s="3">
        <v>3.262</v>
      </c>
      <c r="G23" s="4">
        <v>25</v>
      </c>
      <c r="H23" s="4">
        <v>36</v>
      </c>
      <c r="I23" s="1">
        <v>200</v>
      </c>
      <c r="J23" s="4">
        <v>600</v>
      </c>
      <c r="K23" s="5">
        <v>314</v>
      </c>
      <c r="L23" s="3">
        <v>17200</v>
      </c>
      <c r="M23" s="5">
        <v>95.721926864521535</v>
      </c>
      <c r="N23" s="8">
        <v>1.8255813953488371E-2</v>
      </c>
      <c r="O23" s="3">
        <v>68.625</v>
      </c>
      <c r="P23" s="5">
        <v>368.31936401396047</v>
      </c>
      <c r="Q23" s="3">
        <v>0.24</v>
      </c>
      <c r="R23" s="12">
        <f t="shared" si="2"/>
        <v>1.8415968200698022E-3</v>
      </c>
      <c r="V23" s="3">
        <f t="shared" si="0"/>
        <v>0.26344611018659114</v>
      </c>
      <c r="W23" s="3">
        <f t="shared" si="3"/>
        <v>1.0976921257774632</v>
      </c>
      <c r="Y23" s="3">
        <f t="shared" si="1"/>
        <v>0.25882131791410773</v>
      </c>
      <c r="Z23" s="3">
        <f t="shared" si="4"/>
        <v>1.0784221579754489</v>
      </c>
      <c r="AB23" s="3">
        <f>$AC$2*($AC$3+$AC$4*$F23/($N23*'Dataset sem TS MC2020'!P15))*($AC$5*$G23+$AC$6*$B23/$N23)*'Dataset sem TS MC2020'!R15*($J23-$M23)/($J23-$M23-$H23)</f>
        <v>0.23063189971433187</v>
      </c>
      <c r="AC23" s="3">
        <f t="shared" si="5"/>
        <v>0.96096624880971615</v>
      </c>
      <c r="AD23" s="16">
        <f t="shared" si="6"/>
        <v>-9.3681002856681184E-3</v>
      </c>
      <c r="AE23" s="17">
        <f t="shared" si="7"/>
        <v>1.0406192738180267</v>
      </c>
      <c r="AF23" s="17">
        <f>AB23*(14.068*'Dataset sem TS MC2020'!$P15^-0.457)/$Q23</f>
        <v>0.86405442593459425</v>
      </c>
      <c r="AG23" s="17"/>
      <c r="AO23" s="3">
        <f>$AP$2*($AP$3+$AP$4*$F23/($N23*'Dataset sem TS MC2020'!P15))*($AP$5*$G23+$AP$6*$B23/$N23)*('Dataset sem TS MC2020'!P15^$AP$7/200000)*($J23-$M23)/($J23-$M23-$H23)+('Dataset sem TS MC2020'!P15-$C23/$AP$8)*($AP$5*$G23+$AP$6*$B23/$N23)/200000</f>
        <v>0.22989655125608899</v>
      </c>
      <c r="AP23" s="3">
        <f t="shared" si="8"/>
        <v>0.95790229690037076</v>
      </c>
      <c r="AQ23" s="16">
        <f t="shared" si="9"/>
        <v>-1.0103448743911003E-2</v>
      </c>
    </row>
    <row r="24" spans="1:43" x14ac:dyDescent="0.3">
      <c r="B24" s="4">
        <v>10</v>
      </c>
      <c r="C24" s="5">
        <v>628</v>
      </c>
      <c r="D24" s="5">
        <v>4</v>
      </c>
      <c r="E24" s="4">
        <v>32.466666666666669</v>
      </c>
      <c r="F24" s="3">
        <v>3.262</v>
      </c>
      <c r="G24" s="4">
        <v>25</v>
      </c>
      <c r="H24" s="4">
        <v>36</v>
      </c>
      <c r="I24" s="1">
        <v>200</v>
      </c>
      <c r="J24" s="4">
        <v>600</v>
      </c>
      <c r="K24" s="5">
        <v>314</v>
      </c>
      <c r="L24" s="3">
        <v>17200</v>
      </c>
      <c r="M24" s="5">
        <v>95.721926864521535</v>
      </c>
      <c r="N24" s="8">
        <v>1.8255813953488371E-2</v>
      </c>
      <c r="O24" s="3">
        <v>73.275000000000006</v>
      </c>
      <c r="P24" s="5">
        <v>401.0102468551903</v>
      </c>
      <c r="Q24" s="3">
        <v>0.3</v>
      </c>
      <c r="R24" s="12">
        <f t="shared" si="2"/>
        <v>2.0050512342759514E-3</v>
      </c>
      <c r="V24" s="3">
        <f t="shared" si="0"/>
        <v>0.27763752676941189</v>
      </c>
      <c r="W24" s="3">
        <f t="shared" si="3"/>
        <v>0.92545842256470634</v>
      </c>
      <c r="Y24" s="3">
        <f t="shared" si="1"/>
        <v>0.27301886750187987</v>
      </c>
      <c r="Z24" s="3">
        <f t="shared" si="4"/>
        <v>0.91006289167293297</v>
      </c>
      <c r="AB24" s="3">
        <f>$AC$2*($AC$3+$AC$4*$F24/($N24*'Dataset sem TS MC2020'!P16))*($AC$5*$G24+$AC$6*$B24/$N24)*'Dataset sem TS MC2020'!R16*($J24-$M24)/($J24-$M24-$H24)</f>
        <v>0.25110480785205852</v>
      </c>
      <c r="AC24" s="3">
        <f t="shared" si="5"/>
        <v>0.83701602617352844</v>
      </c>
      <c r="AD24" s="16">
        <f t="shared" si="6"/>
        <v>-4.8895192147941469E-2</v>
      </c>
      <c r="AE24" s="17">
        <f t="shared" si="7"/>
        <v>1.1947202547262603</v>
      </c>
      <c r="AF24" s="17">
        <f>AB24*(14.068*'Dataset sem TS MC2020'!$P16^-0.457)/$Q24</f>
        <v>0.73038923280413148</v>
      </c>
      <c r="AG24" s="17"/>
      <c r="AO24" s="3">
        <f>$AP$2*($AP$3+$AP$4*$F24/($N24*'Dataset sem TS MC2020'!P16))*($AP$5*$G24+$AP$6*$B24/$N24)*('Dataset sem TS MC2020'!P16^$AP$7/200000)*($J24-$M24)/($J24-$M24-$H24)+('Dataset sem TS MC2020'!P16-$C24/$AP$8)*($AP$5*$G24+$AP$6*$B24/$N24)/200000</f>
        <v>0.24861265561382148</v>
      </c>
      <c r="AP24" s="3">
        <f t="shared" si="8"/>
        <v>0.82870885204607159</v>
      </c>
      <c r="AQ24" s="16">
        <f t="shared" si="9"/>
        <v>-5.1387344386178507E-2</v>
      </c>
    </row>
    <row r="25" spans="1:43" x14ac:dyDescent="0.3">
      <c r="B25" s="4">
        <v>10</v>
      </c>
      <c r="C25" s="5">
        <v>628</v>
      </c>
      <c r="D25" s="5">
        <v>4</v>
      </c>
      <c r="E25" s="4">
        <v>32.466666666666669</v>
      </c>
      <c r="F25" s="3">
        <v>3.262</v>
      </c>
      <c r="G25" s="4">
        <v>25</v>
      </c>
      <c r="H25" s="4">
        <v>36</v>
      </c>
      <c r="I25" s="1">
        <v>200</v>
      </c>
      <c r="J25" s="4">
        <v>600</v>
      </c>
      <c r="K25" s="5">
        <v>314</v>
      </c>
      <c r="L25" s="3">
        <v>17200</v>
      </c>
      <c r="M25" s="5">
        <v>95.721926864521535</v>
      </c>
      <c r="N25" s="8">
        <v>1.8255813953488371E-2</v>
      </c>
      <c r="O25" s="3">
        <v>83.25</v>
      </c>
      <c r="P25" s="5">
        <v>498.05772985669182</v>
      </c>
      <c r="Q25" s="3">
        <v>0.32</v>
      </c>
      <c r="R25" s="12">
        <f t="shared" si="2"/>
        <v>2.4902886492834593E-3</v>
      </c>
      <c r="V25" s="3">
        <f t="shared" si="0"/>
        <v>0.31736045302954391</v>
      </c>
      <c r="W25" s="3">
        <f t="shared" si="3"/>
        <v>0.99175141571732472</v>
      </c>
      <c r="Y25" s="3">
        <f t="shared" si="1"/>
        <v>0.31282587473453272</v>
      </c>
      <c r="Z25" s="3">
        <f t="shared" si="4"/>
        <v>0.97758085854541477</v>
      </c>
      <c r="AB25" s="3">
        <f>$AC$2*($AC$3+$AC$4*$F25/($N25*'Dataset sem TS MC2020'!P17))*($AC$5*$G25+$AC$6*$B25/$N25)*'Dataset sem TS MC2020'!R17*($J25-$M25)/($J25-$M25-$H25)</f>
        <v>0.29502249788943952</v>
      </c>
      <c r="AC25" s="3">
        <f t="shared" si="5"/>
        <v>0.92194530590449852</v>
      </c>
      <c r="AD25" s="16">
        <f t="shared" si="6"/>
        <v>-2.497750211056049E-2</v>
      </c>
      <c r="AE25" s="17">
        <f t="shared" si="7"/>
        <v>1.0846630419349268</v>
      </c>
      <c r="AF25" s="17">
        <f>AB25*(14.068*'Dataset sem TS MC2020'!$P17^-0.457)/$Q25</f>
        <v>0.75891818720122328</v>
      </c>
      <c r="AG25" s="17"/>
      <c r="AO25" s="3">
        <f>$AP$2*($AP$3+$AP$4*$F25/($N25*'Dataset sem TS MC2020'!P17))*($AP$5*$G25+$AP$6*$B25/$N25)*('Dataset sem TS MC2020'!P17^$AP$7/200000)*($J25-$M25)/($J25-$M25-$H25)+('Dataset sem TS MC2020'!P17-$C25/$AP$8)*($AP$5*$G25+$AP$6*$B25/$N25)/200000</f>
        <v>0.28795738027453738</v>
      </c>
      <c r="AP25" s="3">
        <f t="shared" si="8"/>
        <v>0.89986681335792928</v>
      </c>
      <c r="AQ25" s="16">
        <f t="shared" si="9"/>
        <v>-3.2042619725462629E-2</v>
      </c>
    </row>
    <row r="26" spans="1:43" x14ac:dyDescent="0.3">
      <c r="B26" s="4">
        <v>10</v>
      </c>
      <c r="C26" s="5">
        <v>628</v>
      </c>
      <c r="D26" s="5">
        <v>4</v>
      </c>
      <c r="E26" s="4">
        <v>32.466666666666669</v>
      </c>
      <c r="F26" s="3">
        <v>3.262</v>
      </c>
      <c r="G26" s="4">
        <v>25</v>
      </c>
      <c r="H26" s="4">
        <v>36</v>
      </c>
      <c r="I26" s="1">
        <v>200</v>
      </c>
      <c r="J26" s="4">
        <v>600</v>
      </c>
      <c r="K26" s="5">
        <v>314</v>
      </c>
      <c r="L26" s="3">
        <v>17200</v>
      </c>
      <c r="M26" s="5">
        <v>95.721926864521535</v>
      </c>
      <c r="N26" s="8">
        <v>1.8255813953488371E-2</v>
      </c>
      <c r="O26" s="3">
        <v>84</v>
      </c>
      <c r="P26" s="5">
        <v>502.76188353839768</v>
      </c>
      <c r="Q26" s="3">
        <v>0.38</v>
      </c>
      <c r="R26" s="12">
        <f t="shared" si="2"/>
        <v>2.5138094176919883E-3</v>
      </c>
      <c r="V26" s="3">
        <f t="shared" si="0"/>
        <v>0.31920656045189844</v>
      </c>
      <c r="W26" s="3">
        <f t="shared" si="3"/>
        <v>0.84001726434710111</v>
      </c>
      <c r="Y26" s="3">
        <f t="shared" si="1"/>
        <v>0.31467814256809323</v>
      </c>
      <c r="Z26" s="3">
        <f t="shared" si="4"/>
        <v>0.82810037517919266</v>
      </c>
      <c r="AB26" s="3">
        <f>$AC$2*($AC$3+$AC$4*$F26/($N26*'Dataset sem TS MC2020'!P18))*($AC$5*$G26+$AC$6*$B26/$N26)*'Dataset sem TS MC2020'!R18*($J26-$M26)/($J26-$M26-$H26)</f>
        <v>0.29832457984713745</v>
      </c>
      <c r="AC26" s="3">
        <f t="shared" si="5"/>
        <v>0.78506468380825645</v>
      </c>
      <c r="AD26" s="16">
        <f t="shared" si="6"/>
        <v>-8.1675420152862555E-2</v>
      </c>
      <c r="AE26" s="17">
        <f t="shared" si="7"/>
        <v>1.2737803911253753</v>
      </c>
      <c r="AF26" s="17">
        <f>AB26*(14.068*'Dataset sem TS MC2020'!$P18^-0.457)/$Q26</f>
        <v>0.64359877557019995</v>
      </c>
      <c r="AG26" s="17"/>
      <c r="AO26" s="3">
        <f>$AP$2*($AP$3+$AP$4*$F26/($N26*'Dataset sem TS MC2020'!P18))*($AP$5*$G26+$AP$6*$B26/$N26)*('Dataset sem TS MC2020'!P18^$AP$7/200000)*($J26-$M26)/($J26-$M26-$H26)+('Dataset sem TS MC2020'!P18-$C26/$AP$8)*($AP$5*$G26+$AP$6*$B26/$N26)/200000</f>
        <v>0.29087528896681553</v>
      </c>
      <c r="AP26" s="3">
        <f t="shared" si="8"/>
        <v>0.76546128675477765</v>
      </c>
      <c r="AQ26" s="16">
        <f t="shared" si="9"/>
        <v>-8.9124711033184478E-2</v>
      </c>
    </row>
    <row r="27" spans="1:43" x14ac:dyDescent="0.3">
      <c r="B27" s="4">
        <v>10</v>
      </c>
      <c r="C27" s="5">
        <v>628</v>
      </c>
      <c r="D27" s="5">
        <v>4</v>
      </c>
      <c r="E27" s="4">
        <v>32.466666666666669</v>
      </c>
      <c r="F27" s="3">
        <v>3.262</v>
      </c>
      <c r="G27" s="4">
        <v>25</v>
      </c>
      <c r="H27" s="4">
        <v>36</v>
      </c>
      <c r="I27" s="1">
        <v>200</v>
      </c>
      <c r="J27" s="4">
        <v>600</v>
      </c>
      <c r="K27" s="5">
        <v>314</v>
      </c>
      <c r="L27" s="3">
        <v>17200</v>
      </c>
      <c r="M27" s="5">
        <v>95.721926864521535</v>
      </c>
      <c r="N27" s="8">
        <v>1.8255813953488371E-2</v>
      </c>
      <c r="O27" s="3">
        <v>90</v>
      </c>
      <c r="P27" s="5">
        <v>538.67344664828317</v>
      </c>
      <c r="Q27" s="3">
        <v>0.42</v>
      </c>
      <c r="R27" s="12">
        <f t="shared" si="2"/>
        <v>2.6933672332414157E-3</v>
      </c>
      <c r="V27" s="3">
        <f t="shared" si="0"/>
        <v>0.33308810010395307</v>
      </c>
      <c r="W27" s="3">
        <f t="shared" si="3"/>
        <v>0.79306690500941213</v>
      </c>
      <c r="Y27" s="3">
        <f t="shared" si="1"/>
        <v>0.328612048185011</v>
      </c>
      <c r="Z27" s="3">
        <f t="shared" si="4"/>
        <v>0.78240963853574053</v>
      </c>
      <c r="AB27" s="3">
        <f>$AC$2*($AC$3+$AC$4*$F27/($N27*'Dataset sem TS MC2020'!P19))*($AC$5*$G27+$AC$6*$B27/$N27)*'Dataset sem TS MC2020'!R19*($J27-$M27)/($J27-$M27-$H27)</f>
        <v>0.32474123550872008</v>
      </c>
      <c r="AC27" s="3">
        <f t="shared" si="5"/>
        <v>0.77319341787790496</v>
      </c>
      <c r="AD27" s="16">
        <f t="shared" si="6"/>
        <v>-9.5258764491279901E-2</v>
      </c>
      <c r="AE27" s="17">
        <f t="shared" si="7"/>
        <v>1.2933374455573936</v>
      </c>
      <c r="AF27" s="17">
        <f>AB27*(14.068*'Dataset sem TS MC2020'!$P19^-0.457)/$Q27</f>
        <v>0.61419280327155867</v>
      </c>
      <c r="AG27" s="17"/>
      <c r="AO27" s="3">
        <f>$AP$2*($AP$3+$AP$4*$F27/($N27*'Dataset sem TS MC2020'!P19))*($AP$5*$G27+$AP$6*$B27/$N27)*('Dataset sem TS MC2020'!P19^$AP$7/200000)*($J27-$M27)/($J27-$M27-$H27)+('Dataset sem TS MC2020'!P19-$C27/$AP$8)*($AP$5*$G27+$AP$6*$B27/$N27)/200000</f>
        <v>0.31403393894188703</v>
      </c>
      <c r="AP27" s="3">
        <f t="shared" si="8"/>
        <v>0.74769985462354061</v>
      </c>
      <c r="AQ27" s="16">
        <f t="shared" si="9"/>
        <v>-0.10596606105811296</v>
      </c>
    </row>
    <row r="28" spans="1:43" x14ac:dyDescent="0.3">
      <c r="B28" s="4">
        <v>10</v>
      </c>
      <c r="C28" s="5">
        <v>628</v>
      </c>
      <c r="D28" s="5">
        <v>4</v>
      </c>
      <c r="E28" s="4">
        <v>32.466666666666669</v>
      </c>
      <c r="F28" s="3">
        <v>3.262</v>
      </c>
      <c r="G28" s="4">
        <v>25</v>
      </c>
      <c r="H28" s="4">
        <v>36</v>
      </c>
      <c r="I28" s="1">
        <v>200</v>
      </c>
      <c r="J28" s="4">
        <v>600</v>
      </c>
      <c r="K28" s="5">
        <v>314</v>
      </c>
      <c r="L28" s="3">
        <v>17200</v>
      </c>
      <c r="M28" s="5">
        <v>95.721926864521535</v>
      </c>
      <c r="N28" s="8">
        <v>1.8255813953488371E-2</v>
      </c>
      <c r="O28" s="3">
        <v>108</v>
      </c>
      <c r="P28" s="5">
        <v>628</v>
      </c>
      <c r="Q28" s="3">
        <v>0.44</v>
      </c>
      <c r="R28" s="12">
        <f t="shared" si="2"/>
        <v>3.14E-3</v>
      </c>
      <c r="V28" s="3">
        <f t="shared" si="0"/>
        <v>0.36616121636493937</v>
      </c>
      <c r="W28" s="3">
        <f t="shared" si="3"/>
        <v>0.83218458264758943</v>
      </c>
      <c r="Y28" s="3">
        <f t="shared" si="1"/>
        <v>0.36185092060825647</v>
      </c>
      <c r="Z28" s="3">
        <f t="shared" si="4"/>
        <v>0.82238845592785559</v>
      </c>
      <c r="AB28" s="3">
        <f>$AC$2*($AC$3+$AC$4*$F28/($N28*'Dataset sem TS MC2020'!P20))*($AC$5*$G28+$AC$6*$B28/$N28)*'Dataset sem TS MC2020'!R20*($J28-$M28)/($J28-$M28-$H28)</f>
        <v>0.39045012136556356</v>
      </c>
      <c r="AC28" s="3">
        <f t="shared" si="5"/>
        <v>0.88738663946718987</v>
      </c>
      <c r="AD28" s="16">
        <f t="shared" si="6"/>
        <v>-4.9549878634436439E-2</v>
      </c>
      <c r="AE28" s="17">
        <f t="shared" si="7"/>
        <v>1.1269045030928413</v>
      </c>
      <c r="AF28" s="17">
        <f>AB28*(14.068*'Dataset sem TS MC2020'!$P20^-0.457)/$Q28</f>
        <v>0.65716993732743112</v>
      </c>
      <c r="AG28" s="17"/>
      <c r="AO28" s="3">
        <f>$AP$2*($AP$3+$AP$4*$F28/($N28*'Dataset sem TS MC2020'!P20))*($AP$5*$G28+$AP$6*$B28/$N28)*('Dataset sem TS MC2020'!P20^$AP$7/200000)*($J28-$M28)/($J28-$M28-$H28)+('Dataset sem TS MC2020'!P20-$C28/$AP$8)*($AP$5*$G28+$AP$6*$B28/$N28)/200000</f>
        <v>0.3703625832909106</v>
      </c>
      <c r="AP28" s="3">
        <f t="shared" si="8"/>
        <v>0.84173314384297859</v>
      </c>
      <c r="AQ28" s="16">
        <f t="shared" si="9"/>
        <v>-6.9637416709089406E-2</v>
      </c>
    </row>
    <row r="29" spans="1:43" x14ac:dyDescent="0.3">
      <c r="B29" s="4">
        <v>10</v>
      </c>
      <c r="C29" s="5">
        <v>628</v>
      </c>
      <c r="D29" s="5">
        <v>4</v>
      </c>
      <c r="E29" s="4">
        <v>32.466666666666669</v>
      </c>
      <c r="F29" s="3">
        <v>3.262</v>
      </c>
      <c r="G29" s="4">
        <v>25</v>
      </c>
      <c r="H29" s="4">
        <v>36</v>
      </c>
      <c r="I29" s="1">
        <v>200</v>
      </c>
      <c r="J29" s="4">
        <v>600</v>
      </c>
      <c r="K29" s="5">
        <v>314</v>
      </c>
      <c r="L29" s="3">
        <v>17200</v>
      </c>
      <c r="M29" s="5">
        <v>95.721926864521535</v>
      </c>
      <c r="N29" s="8">
        <v>1.8255813953488371E-2</v>
      </c>
      <c r="O29" s="3">
        <v>120</v>
      </c>
      <c r="P29" s="5">
        <v>628</v>
      </c>
      <c r="Q29" s="3">
        <v>0.5</v>
      </c>
      <c r="R29" s="12">
        <f t="shared" si="2"/>
        <v>3.14E-3</v>
      </c>
      <c r="V29" s="3">
        <f t="shared" si="0"/>
        <v>0.36616121636493937</v>
      </c>
      <c r="W29" s="3">
        <f t="shared" si="3"/>
        <v>0.73232243272987874</v>
      </c>
      <c r="Y29" s="3">
        <f t="shared" si="1"/>
        <v>0.36185092060825647</v>
      </c>
      <c r="Z29" s="3">
        <f t="shared" si="4"/>
        <v>0.72370184121651293</v>
      </c>
      <c r="AB29" s="3">
        <f>$AC$2*($AC$3+$AC$4*$F29/($N29*'Dataset sem TS MC2020'!P21))*($AC$5*$G29+$AC$6*$B29/$N29)*'Dataset sem TS MC2020'!R21*($J29-$M29)/($J29-$M29-$H29)</f>
        <v>0.39045012136556356</v>
      </c>
      <c r="AC29" s="3">
        <f t="shared" si="5"/>
        <v>0.78090024273112713</v>
      </c>
      <c r="AD29" s="16">
        <f t="shared" si="6"/>
        <v>-0.10954987863443644</v>
      </c>
      <c r="AE29" s="17">
        <f t="shared" si="7"/>
        <v>1.2805732989691379</v>
      </c>
      <c r="AF29" s="17">
        <f>AB29*(14.068*'Dataset sem TS MC2020'!$P21^-0.457)/$Q29</f>
        <v>0.57830954484813935</v>
      </c>
      <c r="AG29" s="17"/>
      <c r="AO29" s="3">
        <f>$AP$2*($AP$3+$AP$4*$F29/($N29*'Dataset sem TS MC2020'!P21))*($AP$5*$G29+$AP$6*$B29/$N29)*('Dataset sem TS MC2020'!P21^$AP$7/200000)*($J29-$M29)/($J29-$M29-$H29)+('Dataset sem TS MC2020'!P21-$C29/$AP$8)*($AP$5*$G29+$AP$6*$B29/$N29)/200000</f>
        <v>0.3703625832909106</v>
      </c>
      <c r="AP29" s="3">
        <f t="shared" si="8"/>
        <v>0.74072516658182119</v>
      </c>
      <c r="AQ29" s="16">
        <f t="shared" si="9"/>
        <v>-0.1296374167090894</v>
      </c>
    </row>
    <row r="30" spans="1:43" x14ac:dyDescent="0.3">
      <c r="A30" s="1" t="s">
        <v>8</v>
      </c>
      <c r="B30" s="4">
        <v>10</v>
      </c>
      <c r="C30" s="5">
        <v>628</v>
      </c>
      <c r="D30" s="5">
        <v>4</v>
      </c>
      <c r="E30" s="4">
        <v>32.466666666666669</v>
      </c>
      <c r="F30" s="3">
        <v>3.5139999999999993</v>
      </c>
      <c r="G30" s="4">
        <v>25</v>
      </c>
      <c r="H30" s="4">
        <v>36</v>
      </c>
      <c r="I30" s="1">
        <v>200</v>
      </c>
      <c r="J30" s="4">
        <v>600</v>
      </c>
      <c r="K30" s="5">
        <v>314</v>
      </c>
      <c r="L30" s="3">
        <v>17200</v>
      </c>
      <c r="M30" s="5">
        <v>87.120678710097735</v>
      </c>
      <c r="N30" s="8">
        <v>1.8255813953488371E-2</v>
      </c>
      <c r="O30" s="3">
        <v>54</v>
      </c>
      <c r="P30" s="5">
        <v>249.68578408509896</v>
      </c>
      <c r="Q30" s="3">
        <v>0.24</v>
      </c>
      <c r="R30" s="12">
        <f t="shared" si="2"/>
        <v>1.2484289204254947E-3</v>
      </c>
      <c r="V30" s="3">
        <f t="shared" si="0"/>
        <v>0.20726369040432724</v>
      </c>
      <c r="W30" s="3">
        <f t="shared" si="3"/>
        <v>0.86359871001803024</v>
      </c>
      <c r="Y30" s="3">
        <f t="shared" si="1"/>
        <v>0.20275629295844136</v>
      </c>
      <c r="Z30" s="3">
        <f t="shared" si="4"/>
        <v>0.84481788732683905</v>
      </c>
      <c r="AB30" s="3">
        <f>$AC$2*($AC$3+$AC$4*$F30/($N30*'Dataset sem TS MC2020'!P22))*($AC$5*$G30+$AC$6*$B30/$N30)*'Dataset sem TS MC2020'!R22*($J30-$M30)/($J30-$M30-$H30)</f>
        <v>0.15923752597686713</v>
      </c>
      <c r="AC30" s="3">
        <f t="shared" si="5"/>
        <v>0.6634896915702797</v>
      </c>
      <c r="AD30" s="16">
        <f t="shared" si="6"/>
        <v>-8.0762474023132858E-2</v>
      </c>
      <c r="AE30" s="17">
        <f t="shared" si="7"/>
        <v>1.5071824215283618</v>
      </c>
      <c r="AF30" s="17">
        <f>AB30*(14.068*'Dataset sem TS MC2020'!$P22^-0.457)/$Q30</f>
        <v>0.66727091487144874</v>
      </c>
      <c r="AG30" s="17"/>
      <c r="AO30" s="3">
        <f>$AP$2*($AP$3+$AP$4*$F30/($N30*'Dataset sem TS MC2020'!P22))*($AP$5*$G30+$AP$6*$B30/$N30)*('Dataset sem TS MC2020'!P22^$AP$7/200000)*($J30-$M30)/($J30-$M30-$H30)+('Dataset sem TS MC2020'!P22-$C30/$AP$8)*($AP$5*$G30+$AP$6*$B30/$N30)/200000</f>
        <v>0.16191713508131053</v>
      </c>
      <c r="AP30" s="3">
        <f t="shared" si="8"/>
        <v>0.67465472950546057</v>
      </c>
      <c r="AQ30" s="16">
        <f t="shared" si="9"/>
        <v>-7.808286491868946E-2</v>
      </c>
    </row>
    <row r="31" spans="1:43" x14ac:dyDescent="0.3">
      <c r="B31" s="4">
        <v>10</v>
      </c>
      <c r="C31" s="5">
        <v>628</v>
      </c>
      <c r="D31" s="5">
        <v>4</v>
      </c>
      <c r="E31" s="4">
        <v>32.466666666666669</v>
      </c>
      <c r="F31" s="3">
        <v>3.5139999999999993</v>
      </c>
      <c r="G31" s="4">
        <v>25</v>
      </c>
      <c r="H31" s="4">
        <v>36</v>
      </c>
      <c r="I31" s="1">
        <v>200</v>
      </c>
      <c r="J31" s="4">
        <v>600</v>
      </c>
      <c r="K31" s="5">
        <v>314</v>
      </c>
      <c r="L31" s="3">
        <v>17200</v>
      </c>
      <c r="M31" s="5">
        <v>87.120678710097735</v>
      </c>
      <c r="N31" s="8">
        <v>1.8255813953488371E-2</v>
      </c>
      <c r="O31" s="3">
        <v>60</v>
      </c>
      <c r="P31" s="5">
        <v>336.5737959867003</v>
      </c>
      <c r="Q31" s="3">
        <v>0.3</v>
      </c>
      <c r="R31" s="12">
        <f t="shared" si="2"/>
        <v>1.6828689799335014E-3</v>
      </c>
      <c r="V31" s="3">
        <f t="shared" si="0"/>
        <v>0.24919526592601607</v>
      </c>
      <c r="W31" s="3">
        <f t="shared" si="3"/>
        <v>0.83065088642005358</v>
      </c>
      <c r="Y31" s="3">
        <f t="shared" si="1"/>
        <v>0.24457803675694847</v>
      </c>
      <c r="Z31" s="3">
        <f t="shared" si="4"/>
        <v>0.8152601225231616</v>
      </c>
      <c r="AB31" s="3">
        <f>$AC$2*($AC$3+$AC$4*$F31/($N31*'Dataset sem TS MC2020'!P23))*($AC$5*$G31+$AC$6*$B31/$N31)*'Dataset sem TS MC2020'!R23*($J31-$M31)/($J31-$M31-$H31)</f>
        <v>0.18547877112572234</v>
      </c>
      <c r="AC31" s="3">
        <f t="shared" si="5"/>
        <v>0.61826257041907451</v>
      </c>
      <c r="AD31" s="16">
        <f t="shared" si="6"/>
        <v>-0.11452122887427765</v>
      </c>
      <c r="AE31" s="17">
        <f t="shared" si="7"/>
        <v>1.6174357754217175</v>
      </c>
      <c r="AF31" s="17">
        <f>AB31*(14.068*'Dataset sem TS MC2020'!$P23^-0.457)/$Q31</f>
        <v>0.5925565421605723</v>
      </c>
      <c r="AG31" s="17"/>
      <c r="AO31" s="3">
        <f>$AP$2*($AP$3+$AP$4*$F31/($N31*'Dataset sem TS MC2020'!P23))*($AP$5*$G31+$AP$6*$B31/$N31)*('Dataset sem TS MC2020'!P23^$AP$7/200000)*($J31-$M31)/($J31-$M31-$H31)+('Dataset sem TS MC2020'!P23-$C31/$AP$8)*($AP$5*$G31+$AP$6*$B31/$N31)/200000</f>
        <v>0.18720800034671223</v>
      </c>
      <c r="AP31" s="3">
        <f t="shared" si="8"/>
        <v>0.62402666782237415</v>
      </c>
      <c r="AQ31" s="16">
        <f t="shared" si="9"/>
        <v>-0.11279199965328776</v>
      </c>
    </row>
    <row r="32" spans="1:43" x14ac:dyDescent="0.3">
      <c r="B32" s="4">
        <v>10</v>
      </c>
      <c r="C32" s="5">
        <v>628</v>
      </c>
      <c r="D32" s="5">
        <v>4</v>
      </c>
      <c r="E32" s="4">
        <v>32.466666666666669</v>
      </c>
      <c r="F32" s="3">
        <v>3.5139999999999993</v>
      </c>
      <c r="G32" s="4">
        <v>25</v>
      </c>
      <c r="H32" s="4">
        <v>36</v>
      </c>
      <c r="I32" s="1">
        <v>200</v>
      </c>
      <c r="J32" s="4">
        <v>600</v>
      </c>
      <c r="K32" s="5">
        <v>314</v>
      </c>
      <c r="L32" s="3">
        <v>17200</v>
      </c>
      <c r="M32" s="5">
        <v>87.120678710097735</v>
      </c>
      <c r="N32" s="8">
        <v>1.8255813953488371E-2</v>
      </c>
      <c r="O32" s="3">
        <v>62.25</v>
      </c>
      <c r="P32" s="5">
        <v>361.87936337741314</v>
      </c>
      <c r="Q32" s="3">
        <v>0.3</v>
      </c>
      <c r="R32" s="12">
        <f t="shared" si="2"/>
        <v>1.8093968168870658E-3</v>
      </c>
      <c r="V32" s="3">
        <f t="shared" si="0"/>
        <v>0.26059442318233855</v>
      </c>
      <c r="W32" s="3">
        <f t="shared" si="3"/>
        <v>0.86864807727446192</v>
      </c>
      <c r="Y32" s="3">
        <f t="shared" si="1"/>
        <v>0.25597002041614209</v>
      </c>
      <c r="Z32" s="3">
        <f t="shared" si="4"/>
        <v>0.85323340138714032</v>
      </c>
      <c r="AB32" s="3">
        <f>$AC$2*($AC$3+$AC$4*$F32/($N32*'Dataset sem TS MC2020'!P24))*($AC$5*$G32+$AC$6*$B32/$N32)*'Dataset sem TS MC2020'!R24*($J32-$M32)/($J32-$M32-$H32)</f>
        <v>0.19531923805654303</v>
      </c>
      <c r="AC32" s="3">
        <f t="shared" si="5"/>
        <v>0.65106412685514348</v>
      </c>
      <c r="AD32" s="16">
        <f t="shared" si="6"/>
        <v>-0.10468076194345696</v>
      </c>
      <c r="AE32" s="17">
        <f t="shared" si="7"/>
        <v>1.5359470115952065</v>
      </c>
      <c r="AF32" s="17">
        <f>AB32*(14.068*'Dataset sem TS MC2020'!$P24^-0.457)/$Q32</f>
        <v>0.61358402608315576</v>
      </c>
      <c r="AG32" s="17"/>
      <c r="AO32" s="3">
        <f>$AP$2*($AP$3+$AP$4*$F32/($N32*'Dataset sem TS MC2020'!P24))*($AP$5*$G32+$AP$6*$B32/$N32)*('Dataset sem TS MC2020'!P24^$AP$7/200000)*($J32-$M32)/($J32-$M32-$H32)+('Dataset sem TS MC2020'!P24-$C32/$AP$8)*($AP$5*$G32+$AP$6*$B32/$N32)/200000</f>
        <v>0.19654384630534838</v>
      </c>
      <c r="AP32" s="3">
        <f t="shared" si="8"/>
        <v>0.6551461543511613</v>
      </c>
      <c r="AQ32" s="16">
        <f t="shared" si="9"/>
        <v>-0.10345615369465161</v>
      </c>
    </row>
    <row r="33" spans="1:43" x14ac:dyDescent="0.3">
      <c r="B33" s="4">
        <v>10</v>
      </c>
      <c r="C33" s="5">
        <v>628</v>
      </c>
      <c r="D33" s="5">
        <v>4</v>
      </c>
      <c r="E33" s="4">
        <v>32.466666666666669</v>
      </c>
      <c r="F33" s="3">
        <v>3.5139999999999993</v>
      </c>
      <c r="G33" s="4">
        <v>25</v>
      </c>
      <c r="H33" s="4">
        <v>36</v>
      </c>
      <c r="I33" s="1">
        <v>200</v>
      </c>
      <c r="J33" s="4">
        <v>600</v>
      </c>
      <c r="K33" s="5">
        <v>314</v>
      </c>
      <c r="L33" s="3">
        <v>17200</v>
      </c>
      <c r="M33" s="5">
        <v>87.120678710097735</v>
      </c>
      <c r="N33" s="8">
        <v>1.8255813953488371E-2</v>
      </c>
      <c r="O33" s="3">
        <v>66</v>
      </c>
      <c r="P33" s="5">
        <v>392.91007120761441</v>
      </c>
      <c r="Q33" s="3">
        <v>0.3</v>
      </c>
      <c r="R33" s="12">
        <f t="shared" si="2"/>
        <v>1.9645503560380721E-3</v>
      </c>
      <c r="V33" s="3">
        <f t="shared" si="0"/>
        <v>0.27416380713925198</v>
      </c>
      <c r="W33" s="3">
        <f t="shared" si="3"/>
        <v>0.91387935713084001</v>
      </c>
      <c r="Y33" s="3">
        <f t="shared" si="1"/>
        <v>0.26954242463102263</v>
      </c>
      <c r="Z33" s="3">
        <f t="shared" si="4"/>
        <v>0.89847474877007549</v>
      </c>
      <c r="AB33" s="3">
        <f>$AC$2*($AC$3+$AC$4*$F33/($N33*'Dataset sem TS MC2020'!P25))*($AC$5*$G33+$AC$6*$B33/$N33)*'Dataset sem TS MC2020'!R25*($J33-$M33)/($J33-$M33-$H33)</f>
        <v>0.21172001627457751</v>
      </c>
      <c r="AC33" s="3">
        <f t="shared" si="5"/>
        <v>0.70573338758192505</v>
      </c>
      <c r="AD33" s="16">
        <f t="shared" si="6"/>
        <v>-8.8279983725422478E-2</v>
      </c>
      <c r="AE33" s="17">
        <f t="shared" si="7"/>
        <v>1.4169656949720477</v>
      </c>
      <c r="AF33" s="17">
        <f>AB33*(14.068*'Dataset sem TS MC2020'!$P25^-0.457)/$Q33</f>
        <v>0.64756154278084888</v>
      </c>
      <c r="AG33" s="17"/>
      <c r="AO33" s="3">
        <f>$AP$2*($AP$3+$AP$4*$F33/($N33*'Dataset sem TS MC2020'!P25))*($AP$5*$G33+$AP$6*$B33/$N33)*('Dataset sem TS MC2020'!P25^$AP$7/200000)*($J33-$M33)/($J33-$M33-$H33)+('Dataset sem TS MC2020'!P25-$C33/$AP$8)*($AP$5*$G33+$AP$6*$B33/$N33)/200000</f>
        <v>0.21194075033683274</v>
      </c>
      <c r="AP33" s="3">
        <f t="shared" si="8"/>
        <v>0.70646916778944246</v>
      </c>
      <c r="AQ33" s="16">
        <f t="shared" si="9"/>
        <v>-8.8059249663167249E-2</v>
      </c>
    </row>
    <row r="34" spans="1:43" x14ac:dyDescent="0.3">
      <c r="B34" s="4">
        <v>10</v>
      </c>
      <c r="C34" s="5">
        <v>628</v>
      </c>
      <c r="D34" s="5">
        <v>4</v>
      </c>
      <c r="E34" s="4">
        <v>32.466666666666669</v>
      </c>
      <c r="F34" s="3">
        <v>3.5139999999999993</v>
      </c>
      <c r="G34" s="4">
        <v>25</v>
      </c>
      <c r="H34" s="4">
        <v>36</v>
      </c>
      <c r="I34" s="1">
        <v>200</v>
      </c>
      <c r="J34" s="4">
        <v>600</v>
      </c>
      <c r="K34" s="5">
        <v>314</v>
      </c>
      <c r="L34" s="3">
        <v>17200</v>
      </c>
      <c r="M34" s="5">
        <v>87.120678710097735</v>
      </c>
      <c r="N34" s="8">
        <v>1.8255813953488371E-2</v>
      </c>
      <c r="O34" s="3">
        <v>71.25</v>
      </c>
      <c r="P34" s="5">
        <v>424.16428141731097</v>
      </c>
      <c r="Q34" s="3">
        <v>0.38</v>
      </c>
      <c r="R34" s="12">
        <f t="shared" si="2"/>
        <v>2.1208214070865547E-3</v>
      </c>
      <c r="V34" s="3">
        <f t="shared" si="0"/>
        <v>0.28742184839481721</v>
      </c>
      <c r="W34" s="3">
        <f t="shared" si="3"/>
        <v>0.75637328524951897</v>
      </c>
      <c r="Y34" s="3">
        <f t="shared" si="1"/>
        <v>0.28281499789010495</v>
      </c>
      <c r="Z34" s="3">
        <f t="shared" si="4"/>
        <v>0.74424999444764461</v>
      </c>
      <c r="AB34" s="3">
        <f>$AC$2*($AC$3+$AC$4*$F34/($N34*'Dataset sem TS MC2020'!P26))*($AC$5*$G34+$AC$6*$B34/$N34)*'Dataset sem TS MC2020'!R26*($J34-$M34)/($J34-$M34-$H34)</f>
        <v>0.23468110577982576</v>
      </c>
      <c r="AC34" s="3">
        <f t="shared" si="5"/>
        <v>0.617581857315331</v>
      </c>
      <c r="AD34" s="16">
        <f t="shared" si="6"/>
        <v>-0.14531889422017424</v>
      </c>
      <c r="AE34" s="17">
        <f t="shared" si="7"/>
        <v>1.6192185507959478</v>
      </c>
      <c r="AF34" s="17">
        <f>AB34*(14.068*'Dataset sem TS MC2020'!$P26^-0.457)/$Q34</f>
        <v>0.54719712625319727</v>
      </c>
      <c r="AG34" s="17"/>
      <c r="AO34" s="3">
        <f>$AP$2*($AP$3+$AP$4*$F34/($N34*'Dataset sem TS MC2020'!P26))*($AP$5*$G34+$AP$6*$B34/$N34)*('Dataset sem TS MC2020'!P26^$AP$7/200000)*($J34-$M34)/($J34-$M34-$H34)+('Dataset sem TS MC2020'!P26-$C34/$AP$8)*($AP$5*$G34+$AP$6*$B34/$N34)/200000</f>
        <v>0.23318211344068587</v>
      </c>
      <c r="AP34" s="3">
        <f t="shared" si="8"/>
        <v>0.61363714063338382</v>
      </c>
      <c r="AQ34" s="16">
        <f t="shared" si="9"/>
        <v>-0.14681788655931413</v>
      </c>
    </row>
    <row r="35" spans="1:43" x14ac:dyDescent="0.3">
      <c r="B35" s="4">
        <v>10</v>
      </c>
      <c r="C35" s="5">
        <v>628</v>
      </c>
      <c r="D35" s="5">
        <v>4</v>
      </c>
      <c r="E35" s="4">
        <v>32.466666666666669</v>
      </c>
      <c r="F35" s="3">
        <v>3.5139999999999993</v>
      </c>
      <c r="G35" s="4">
        <v>25</v>
      </c>
      <c r="H35" s="4">
        <v>36</v>
      </c>
      <c r="I35" s="1">
        <v>200</v>
      </c>
      <c r="J35" s="4">
        <v>600</v>
      </c>
      <c r="K35" s="5">
        <v>314</v>
      </c>
      <c r="L35" s="3">
        <v>17200</v>
      </c>
      <c r="M35" s="5">
        <v>87.120678710097735</v>
      </c>
      <c r="N35" s="8">
        <v>1.8255813953488371E-2</v>
      </c>
      <c r="O35" s="3">
        <v>82.5</v>
      </c>
      <c r="P35" s="5">
        <v>491.13758900951802</v>
      </c>
      <c r="Q35" s="3">
        <v>0.44</v>
      </c>
      <c r="R35" s="12">
        <f t="shared" si="2"/>
        <v>2.4556879450475903E-3</v>
      </c>
      <c r="V35" s="3">
        <f t="shared" si="0"/>
        <v>0.31463251388065483</v>
      </c>
      <c r="W35" s="3">
        <f t="shared" si="3"/>
        <v>0.71507389518330644</v>
      </c>
      <c r="Y35" s="3">
        <f t="shared" si="1"/>
        <v>0.31008918447738071</v>
      </c>
      <c r="Z35" s="3">
        <f t="shared" si="4"/>
        <v>0.70474814653950157</v>
      </c>
      <c r="AB35" s="3">
        <f>$AC$2*($AC$3+$AC$4*$F35/($N35*'Dataset sem TS MC2020'!P27))*($AC$5*$G35+$AC$6*$B35/$N35)*'Dataset sem TS MC2020'!R27*($J35-$M35)/($J35-$M35-$H35)</f>
        <v>0.28388344043392938</v>
      </c>
      <c r="AC35" s="3">
        <f t="shared" si="5"/>
        <v>0.64518963734983947</v>
      </c>
      <c r="AD35" s="16">
        <f t="shared" si="6"/>
        <v>-0.15611655956607062</v>
      </c>
      <c r="AE35" s="17">
        <f t="shared" si="7"/>
        <v>1.5499318992592137</v>
      </c>
      <c r="AF35" s="17">
        <f>AB35*(14.068*'Dataset sem TS MC2020'!$P27^-0.457)/$Q35</f>
        <v>0.53461346458446157</v>
      </c>
      <c r="AG35" s="17"/>
      <c r="AO35" s="3">
        <f>$AP$2*($AP$3+$AP$4*$F35/($N35*'Dataset sem TS MC2020'!P27))*($AP$5*$G35+$AP$6*$B35/$N35)*('Dataset sem TS MC2020'!P27^$AP$7/200000)*($J35-$M35)/($J35-$M35-$H35)+('Dataset sem TS MC2020'!P27-$C35/$AP$8)*($AP$5*$G35+$AP$6*$B35/$N35)/200000</f>
        <v>0.27762327956346416</v>
      </c>
      <c r="AP35" s="3">
        <f t="shared" si="8"/>
        <v>0.63096199900787309</v>
      </c>
      <c r="AQ35" s="16">
        <f t="shared" si="9"/>
        <v>-0.16237672043653584</v>
      </c>
    </row>
    <row r="36" spans="1:43" x14ac:dyDescent="0.3">
      <c r="A36" s="1" t="s">
        <v>9</v>
      </c>
      <c r="B36" s="4">
        <v>16</v>
      </c>
      <c r="C36" s="5">
        <v>571</v>
      </c>
      <c r="D36" s="5">
        <v>4</v>
      </c>
      <c r="E36" s="4">
        <v>37</v>
      </c>
      <c r="F36" s="3">
        <v>4.2587999999999999</v>
      </c>
      <c r="G36" s="4">
        <v>20</v>
      </c>
      <c r="H36" s="4">
        <v>54</v>
      </c>
      <c r="I36" s="1">
        <v>125</v>
      </c>
      <c r="J36" s="4">
        <v>250</v>
      </c>
      <c r="K36" s="5">
        <v>800</v>
      </c>
      <c r="L36" s="3">
        <v>16000</v>
      </c>
      <c r="M36" s="5">
        <v>87.082518617972042</v>
      </c>
      <c r="N36" s="8">
        <v>0.05</v>
      </c>
      <c r="O36" s="3">
        <v>18.2</v>
      </c>
      <c r="P36" s="5">
        <v>71.24508731307769</v>
      </c>
      <c r="Q36" s="3">
        <v>0.18</v>
      </c>
      <c r="R36" s="12">
        <f t="shared" si="2"/>
        <v>3.5622543656538844E-4</v>
      </c>
      <c r="V36" s="3">
        <f t="shared" si="0"/>
        <v>8.6152129998686683E-2</v>
      </c>
      <c r="W36" s="3">
        <f t="shared" si="3"/>
        <v>0.47862294443714826</v>
      </c>
      <c r="Y36" s="3">
        <f t="shared" si="1"/>
        <v>8.5556072926867205E-2</v>
      </c>
      <c r="Z36" s="3">
        <f t="shared" si="4"/>
        <v>0.47531151626037338</v>
      </c>
      <c r="AB36" s="3">
        <f>$AC$2*($AC$3+$AC$4*$F36/($N36*'Dataset sem TS MC2020'!P28))*($AC$5*$G36+$AC$6*$B36/$N36)*'Dataset sem TS MC2020'!R28*($J36-$M36)/($J36-$M36-$H36)</f>
        <v>5.8519504411190366E-2</v>
      </c>
      <c r="AC36" s="3">
        <f t="shared" si="5"/>
        <v>0.32510835783994652</v>
      </c>
      <c r="AD36" s="16">
        <f t="shared" si="6"/>
        <v>-0.12148049558880963</v>
      </c>
      <c r="AE36" s="17">
        <f t="shared" si="7"/>
        <v>3.0758975458031999</v>
      </c>
      <c r="AF36" s="17">
        <f>AB36*(14.068*'Dataset sem TS MC2020'!$P28^-0.457)/$Q36</f>
        <v>0.48402604186297293</v>
      </c>
      <c r="AG36" s="17"/>
      <c r="AO36" s="3">
        <f>$AP$2*($AP$3+$AP$4*$F36/($N36*'Dataset sem TS MC2020'!P28))*($AP$5*$G36+$AP$6*$B36/$N36)*('Dataset sem TS MC2020'!P28^$AP$7/200000)*($J36-$M36)/($J36-$M36-$H36)+('Dataset sem TS MC2020'!P28-$C36/$AP$8)*($AP$5*$G36+$AP$6*$B36/$N36)/200000</f>
        <v>6.3114542790663489E-2</v>
      </c>
      <c r="AP36" s="3">
        <f t="shared" si="8"/>
        <v>0.35063634883701938</v>
      </c>
      <c r="AQ36" s="16">
        <f t="shared" si="9"/>
        <v>-0.1168854572093365</v>
      </c>
    </row>
    <row r="37" spans="1:43" x14ac:dyDescent="0.3">
      <c r="B37" s="4">
        <v>16</v>
      </c>
      <c r="C37" s="5">
        <v>571</v>
      </c>
      <c r="D37" s="5">
        <v>4</v>
      </c>
      <c r="E37" s="4">
        <v>37</v>
      </c>
      <c r="F37" s="3">
        <v>4.2587999999999999</v>
      </c>
      <c r="G37" s="4">
        <v>20</v>
      </c>
      <c r="H37" s="4">
        <v>54</v>
      </c>
      <c r="I37" s="1">
        <v>125</v>
      </c>
      <c r="J37" s="4">
        <v>250</v>
      </c>
      <c r="K37" s="5">
        <v>800</v>
      </c>
      <c r="L37" s="3">
        <v>16000</v>
      </c>
      <c r="M37" s="5">
        <v>87.082518617972042</v>
      </c>
      <c r="N37" s="8">
        <v>0.05</v>
      </c>
      <c r="O37" s="3">
        <v>26.2</v>
      </c>
      <c r="P37" s="5">
        <v>137.56103381364986</v>
      </c>
      <c r="Q37" s="3">
        <v>0.2</v>
      </c>
      <c r="R37" s="12">
        <f t="shared" si="2"/>
        <v>6.878051690682493E-4</v>
      </c>
      <c r="V37" s="3">
        <f t="shared" si="0"/>
        <v>0.129290886332216</v>
      </c>
      <c r="W37" s="3">
        <f t="shared" si="3"/>
        <v>0.64645443166107996</v>
      </c>
      <c r="Y37" s="3">
        <f t="shared" si="1"/>
        <v>0.12932898852585481</v>
      </c>
      <c r="Z37" s="3">
        <f t="shared" si="4"/>
        <v>0.64664494262927397</v>
      </c>
      <c r="AB37" s="3">
        <f>$AC$2*($AC$3+$AC$4*$F37/($N37*'Dataset sem TS MC2020'!P29))*($AC$5*$G37+$AC$6*$B37/$N37)*'Dataset sem TS MC2020'!R29*($J37-$M37)/($J37-$M37-$H37)</f>
        <v>9.749972301955713E-2</v>
      </c>
      <c r="AC37" s="3">
        <f t="shared" si="5"/>
        <v>0.48749861509778564</v>
      </c>
      <c r="AD37" s="16">
        <f t="shared" si="6"/>
        <v>-0.10250027698044288</v>
      </c>
      <c r="AE37" s="17">
        <f t="shared" si="7"/>
        <v>2.0512878786320523</v>
      </c>
      <c r="AF37" s="17">
        <f>AB37*(14.068*'Dataset sem TS MC2020'!$P29^-0.457)/$Q37</f>
        <v>0.61447315532398428</v>
      </c>
      <c r="AG37" s="17"/>
      <c r="AO37" s="3">
        <f>$AP$2*($AP$3+$AP$4*$F37/($N37*'Dataset sem TS MC2020'!P29))*($AP$5*$G37+$AP$6*$B37/$N37)*('Dataset sem TS MC2020'!P29^$AP$7/200000)*($J37-$M37)/($J37-$M37-$H37)+('Dataset sem TS MC2020'!P29-$C37/$AP$8)*($AP$5*$G37+$AP$6*$B37/$N37)/200000</f>
        <v>0.103869213800844</v>
      </c>
      <c r="AP37" s="3">
        <f t="shared" si="8"/>
        <v>0.51934606900421998</v>
      </c>
      <c r="AQ37" s="16">
        <f t="shared" si="9"/>
        <v>-9.6130786199156007E-2</v>
      </c>
    </row>
    <row r="38" spans="1:43" x14ac:dyDescent="0.3">
      <c r="B38" s="4">
        <v>16</v>
      </c>
      <c r="C38" s="5">
        <v>571</v>
      </c>
      <c r="D38" s="5">
        <v>4</v>
      </c>
      <c r="E38" s="4">
        <v>37</v>
      </c>
      <c r="F38" s="3">
        <v>4.2587999999999999</v>
      </c>
      <c r="G38" s="4">
        <v>20</v>
      </c>
      <c r="H38" s="4">
        <v>54</v>
      </c>
      <c r="I38" s="1">
        <v>125</v>
      </c>
      <c r="J38" s="4">
        <v>250</v>
      </c>
      <c r="K38" s="5">
        <v>800</v>
      </c>
      <c r="L38" s="3">
        <v>16000</v>
      </c>
      <c r="M38" s="5">
        <v>87.082518617972042</v>
      </c>
      <c r="N38" s="8">
        <v>0.05</v>
      </c>
      <c r="O38" s="3">
        <v>31.7</v>
      </c>
      <c r="P38" s="5">
        <v>184.84745752793356</v>
      </c>
      <c r="Q38" s="3">
        <v>0.26</v>
      </c>
      <c r="R38" s="12">
        <f t="shared" si="2"/>
        <v>9.2423728763966779E-4</v>
      </c>
      <c r="V38" s="3">
        <f t="shared" si="0"/>
        <v>0.15514584525151842</v>
      </c>
      <c r="W38" s="3">
        <f t="shared" si="3"/>
        <v>0.59671478942891698</v>
      </c>
      <c r="Y38" s="3">
        <f t="shared" si="1"/>
        <v>0.15569677489602121</v>
      </c>
      <c r="Z38" s="3">
        <f t="shared" si="4"/>
        <v>0.59883374960008151</v>
      </c>
      <c r="AB38" s="3">
        <f>$AC$2*($AC$3+$AC$4*$F38/($N38*'Dataset sem TS MC2020'!P30))*($AC$5*$G38+$AC$6*$B38/$N38)*'Dataset sem TS MC2020'!R30*($J38-$M38)/($J38-$M38-$H38)</f>
        <v>0.12429862331280936</v>
      </c>
      <c r="AC38" s="3">
        <f t="shared" si="5"/>
        <v>0.47807162812618981</v>
      </c>
      <c r="AD38" s="16">
        <f t="shared" si="6"/>
        <v>-0.13570137668719065</v>
      </c>
      <c r="AE38" s="17">
        <f t="shared" si="7"/>
        <v>2.0917367632116504</v>
      </c>
      <c r="AF38" s="17">
        <f>AB38*(14.068*'Dataset sem TS MC2020'!$P30^-0.457)/$Q38</f>
        <v>0.55233441742483125</v>
      </c>
      <c r="AG38" s="17"/>
      <c r="AO38" s="3">
        <f>$AP$2*($AP$3+$AP$4*$F38/($N38*'Dataset sem TS MC2020'!P30))*($AP$5*$G38+$AP$6*$B38/$N38)*('Dataset sem TS MC2020'!P30^$AP$7/200000)*($J38-$M38)/($J38-$M38-$H38)+('Dataset sem TS MC2020'!P30-$C38/$AP$8)*($AP$5*$G38+$AP$6*$B38/$N38)/200000</f>
        <v>0.13026395640192098</v>
      </c>
      <c r="AP38" s="3">
        <f t="shared" si="8"/>
        <v>0.50101521693046525</v>
      </c>
      <c r="AQ38" s="16">
        <f t="shared" si="9"/>
        <v>-0.12973604359807903</v>
      </c>
    </row>
    <row r="39" spans="1:43" x14ac:dyDescent="0.3">
      <c r="B39" s="4">
        <v>16</v>
      </c>
      <c r="C39" s="5">
        <v>571</v>
      </c>
      <c r="D39" s="5">
        <v>4</v>
      </c>
      <c r="E39" s="4">
        <v>37</v>
      </c>
      <c r="F39" s="3">
        <v>4.2587999999999999</v>
      </c>
      <c r="G39" s="4">
        <v>20</v>
      </c>
      <c r="H39" s="4">
        <v>54</v>
      </c>
      <c r="I39" s="1">
        <v>125</v>
      </c>
      <c r="J39" s="4">
        <v>250</v>
      </c>
      <c r="K39" s="5">
        <v>800</v>
      </c>
      <c r="L39" s="3">
        <v>16000</v>
      </c>
      <c r="M39" s="5">
        <v>87.082518617972042</v>
      </c>
      <c r="N39" s="8">
        <v>0.05</v>
      </c>
      <c r="O39" s="3">
        <v>40.799999999999997</v>
      </c>
      <c r="P39" s="5">
        <v>273.63458288504472</v>
      </c>
      <c r="Q39" s="3">
        <v>0.44</v>
      </c>
      <c r="R39" s="12">
        <f t="shared" si="2"/>
        <v>1.3681729144252237E-3</v>
      </c>
      <c r="V39" s="3">
        <f t="shared" si="0"/>
        <v>0.19762902541862842</v>
      </c>
      <c r="W39" s="3">
        <f t="shared" si="3"/>
        <v>0.44915687595142822</v>
      </c>
      <c r="Y39" s="3">
        <f t="shared" si="1"/>
        <v>0.19918843910219505</v>
      </c>
      <c r="Z39" s="3">
        <f t="shared" si="4"/>
        <v>0.45270099795953422</v>
      </c>
      <c r="AB39" s="3">
        <f>$AC$2*($AC$3+$AC$4*$F39/($N39*'Dataset sem TS MC2020'!P31))*($AC$5*$G39+$AC$6*$B39/$N39)*'Dataset sem TS MC2020'!R31*($J39-$M39)/($J39-$M39-$H39)</f>
        <v>0.16863862197982654</v>
      </c>
      <c r="AC39" s="3">
        <f t="shared" si="5"/>
        <v>0.38326959540869671</v>
      </c>
      <c r="AD39" s="16">
        <f t="shared" si="6"/>
        <v>-0.27136137802017346</v>
      </c>
      <c r="AE39" s="17">
        <f t="shared" si="7"/>
        <v>2.6091294795603535</v>
      </c>
      <c r="AF39" s="17">
        <f>AB39*(14.068*'Dataset sem TS MC2020'!$P31^-0.457)/$Q39</f>
        <v>0.39457166281529804</v>
      </c>
      <c r="AG39" s="17"/>
      <c r="AO39" s="3">
        <f>$AP$2*($AP$3+$AP$4*$F39/($N39*'Dataset sem TS MC2020'!P31))*($AP$5*$G39+$AP$6*$B39/$N39)*('Dataset sem TS MC2020'!P31^$AP$7/200000)*($J39-$M39)/($J39-$M39-$H39)+('Dataset sem TS MC2020'!P31-$C39/$AP$8)*($AP$5*$G39+$AP$6*$B39/$N39)/200000</f>
        <v>0.17194378846540462</v>
      </c>
      <c r="AP39" s="3">
        <f t="shared" si="8"/>
        <v>0.39078133742137411</v>
      </c>
      <c r="AQ39" s="16">
        <f t="shared" si="9"/>
        <v>-0.26805621153459536</v>
      </c>
    </row>
    <row r="40" spans="1:43" x14ac:dyDescent="0.3">
      <c r="B40" s="4">
        <v>16</v>
      </c>
      <c r="C40" s="5">
        <v>571</v>
      </c>
      <c r="D40" s="5">
        <v>4</v>
      </c>
      <c r="E40" s="4">
        <v>37</v>
      </c>
      <c r="F40" s="3">
        <v>4.2587999999999999</v>
      </c>
      <c r="G40" s="4">
        <v>20</v>
      </c>
      <c r="H40" s="4">
        <v>54</v>
      </c>
      <c r="I40" s="1">
        <v>125</v>
      </c>
      <c r="J40" s="4">
        <v>250</v>
      </c>
      <c r="K40" s="5">
        <v>800</v>
      </c>
      <c r="L40" s="3">
        <v>16000</v>
      </c>
      <c r="M40" s="5">
        <v>87.082518617972042</v>
      </c>
      <c r="N40" s="8">
        <v>0.05</v>
      </c>
      <c r="O40" s="3">
        <v>54.1</v>
      </c>
      <c r="P40" s="5">
        <v>402.11974330309567</v>
      </c>
      <c r="Q40" s="3">
        <v>0.6</v>
      </c>
      <c r="R40" s="12">
        <f t="shared" si="2"/>
        <v>2.0105987165154782E-3</v>
      </c>
      <c r="V40" s="3">
        <f t="shared" si="0"/>
        <v>0.25061295162758584</v>
      </c>
      <c r="W40" s="3">
        <f t="shared" si="3"/>
        <v>0.41768825271264309</v>
      </c>
      <c r="Y40" s="3">
        <f t="shared" si="1"/>
        <v>0.25366230785718491</v>
      </c>
      <c r="Z40" s="3">
        <f t="shared" si="4"/>
        <v>0.42277051309530822</v>
      </c>
      <c r="AB40" s="3">
        <f>$AC$2*($AC$3+$AC$4*$F40/($N40*'Dataset sem TS MC2020'!P32))*($AC$5*$G40+$AC$6*$B40/$N40)*'Dataset sem TS MC2020'!R32*($J40-$M40)/($J40-$M40-$H40)</f>
        <v>0.23344323541623632</v>
      </c>
      <c r="AC40" s="3">
        <f t="shared" si="5"/>
        <v>0.38907205902706055</v>
      </c>
      <c r="AD40" s="16">
        <f t="shared" si="6"/>
        <v>-0.36655676458376363</v>
      </c>
      <c r="AE40" s="17">
        <f t="shared" si="7"/>
        <v>2.5702179758183266</v>
      </c>
      <c r="AF40" s="17">
        <f>AB40*(14.068*'Dataset sem TS MC2020'!$P32^-0.457)/$Q40</f>
        <v>0.35208871990012769</v>
      </c>
      <c r="AG40" s="17"/>
      <c r="AO40" s="3">
        <f>$AP$2*($AP$3+$AP$4*$F40/($N40*'Dataset sem TS MC2020'!P32))*($AP$5*$G40+$AP$6*$B40/$N40)*('Dataset sem TS MC2020'!P32^$AP$7/200000)*($J40-$M40)/($J40-$M40-$H40)+('Dataset sem TS MC2020'!P32-$C40/$AP$8)*($AP$5*$G40+$AP$6*$B40/$N40)/200000</f>
        <v>0.22967325094657121</v>
      </c>
      <c r="AP40" s="3">
        <f t="shared" si="8"/>
        <v>0.38278875157761871</v>
      </c>
      <c r="AQ40" s="16">
        <f t="shared" si="9"/>
        <v>-0.37032674905342877</v>
      </c>
    </row>
    <row r="41" spans="1:43" x14ac:dyDescent="0.3">
      <c r="A41" s="1" t="s">
        <v>10</v>
      </c>
      <c r="B41" s="4">
        <v>12</v>
      </c>
      <c r="C41" s="5">
        <v>500</v>
      </c>
      <c r="D41" s="5">
        <v>4</v>
      </c>
      <c r="E41" s="4">
        <v>79.3</v>
      </c>
      <c r="F41" s="3">
        <v>2.6933292113182881</v>
      </c>
      <c r="G41" s="4">
        <v>20</v>
      </c>
      <c r="H41" s="4">
        <v>38</v>
      </c>
      <c r="I41" s="1">
        <v>350</v>
      </c>
      <c r="J41" s="4">
        <v>450</v>
      </c>
      <c r="K41" s="5">
        <v>452</v>
      </c>
      <c r="L41" s="3">
        <v>34300</v>
      </c>
      <c r="M41" s="5">
        <v>76.169428201642418</v>
      </c>
      <c r="N41" s="8">
        <v>1.3177842565597668E-2</v>
      </c>
      <c r="O41" s="3">
        <v>52.5</v>
      </c>
      <c r="P41" s="5">
        <v>218.68198073933297</v>
      </c>
      <c r="Q41" s="3">
        <v>0.36</v>
      </c>
      <c r="R41" s="12">
        <f t="shared" si="2"/>
        <v>1.0934099036966649E-3</v>
      </c>
      <c r="V41" s="3">
        <f t="shared" si="0"/>
        <v>0.24746648686752301</v>
      </c>
      <c r="W41" s="3">
        <f t="shared" si="3"/>
        <v>0.68740690796534176</v>
      </c>
      <c r="Y41" s="3">
        <f t="shared" si="1"/>
        <v>0.24624096694955855</v>
      </c>
      <c r="Z41" s="3">
        <f t="shared" si="4"/>
        <v>0.684002685970996</v>
      </c>
      <c r="AB41" s="3">
        <f>$AC$2*($AC$3+$AC$4*$F41/($N41*'Dataset sem TS MC2020'!P33))*($AC$5*$G41+$AC$6*$B41/$N41)*'Dataset sem TS MC2020'!R33*($J41-$M41)/($J41-$M41-$H41)</f>
        <v>0.20884118508096564</v>
      </c>
      <c r="AC41" s="3">
        <f t="shared" si="5"/>
        <v>0.58011440300268236</v>
      </c>
      <c r="AD41" s="16">
        <f t="shared" si="6"/>
        <v>-0.15115881491903435</v>
      </c>
      <c r="AE41" s="17">
        <f t="shared" si="7"/>
        <v>1.7237979178313492</v>
      </c>
      <c r="AF41" s="17">
        <f>AB41*(14.068*'Dataset sem TS MC2020'!$P33^-0.457)/$Q41</f>
        <v>0.60174898692509105</v>
      </c>
      <c r="AG41" s="17"/>
      <c r="AO41" s="3">
        <f>$AP$2*($AP$3+$AP$4*$F41/($N41*'Dataset sem TS MC2020'!P33))*($AP$5*$G41+$AP$6*$B41/$N41)*('Dataset sem TS MC2020'!P33^$AP$7/200000)*($J41-$M41)/($J41-$M41-$H41)+('Dataset sem TS MC2020'!P33-$C41/$AP$8)*($AP$5*$G41+$AP$6*$B41/$N41)/200000</f>
        <v>0.22325335429527532</v>
      </c>
      <c r="AP41" s="3">
        <f t="shared" si="8"/>
        <v>0.62014820637576484</v>
      </c>
      <c r="AQ41" s="16">
        <f t="shared" si="9"/>
        <v>-0.13674664570472467</v>
      </c>
    </row>
    <row r="42" spans="1:43" x14ac:dyDescent="0.3">
      <c r="B42" s="4">
        <v>12</v>
      </c>
      <c r="C42" s="5">
        <v>500</v>
      </c>
      <c r="D42" s="5">
        <v>4</v>
      </c>
      <c r="E42" s="4">
        <v>79.3</v>
      </c>
      <c r="F42" s="3">
        <v>2.6933292113182881</v>
      </c>
      <c r="G42" s="4">
        <v>20</v>
      </c>
      <c r="H42" s="4">
        <v>38</v>
      </c>
      <c r="I42" s="1">
        <v>350</v>
      </c>
      <c r="J42" s="4">
        <v>450</v>
      </c>
      <c r="K42" s="5">
        <v>452</v>
      </c>
      <c r="L42" s="3">
        <v>34300</v>
      </c>
      <c r="M42" s="5">
        <v>76.169428201642418</v>
      </c>
      <c r="N42" s="8">
        <v>1.3177842565597668E-2</v>
      </c>
      <c r="O42" s="3">
        <v>67.5</v>
      </c>
      <c r="P42" s="5">
        <v>344.70483239558712</v>
      </c>
      <c r="Q42" s="3">
        <v>0.43</v>
      </c>
      <c r="R42" s="12">
        <f t="shared" si="2"/>
        <v>1.7235241619779356E-3</v>
      </c>
      <c r="V42" s="3">
        <f t="shared" si="0"/>
        <v>0.32768518055949614</v>
      </c>
      <c r="W42" s="3">
        <f t="shared" si="3"/>
        <v>0.76205855944068868</v>
      </c>
      <c r="Y42" s="3">
        <f t="shared" si="1"/>
        <v>0.32769868155421689</v>
      </c>
      <c r="Z42" s="3">
        <f t="shared" si="4"/>
        <v>0.76208995710283001</v>
      </c>
      <c r="AB42" s="3">
        <f>$AC$2*($AC$3+$AC$4*$F42/($N42*'Dataset sem TS MC2020'!P34))*($AC$5*$G42+$AC$6*$B42/$N42)*'Dataset sem TS MC2020'!R34*($J42-$M42)/($J42-$M42-$H42)</f>
        <v>0.30357011739127698</v>
      </c>
      <c r="AC42" s="3">
        <f t="shared" si="5"/>
        <v>0.70597701718901629</v>
      </c>
      <c r="AD42" s="16">
        <f t="shared" si="6"/>
        <v>-0.12642988260872301</v>
      </c>
      <c r="AE42" s="17">
        <f t="shared" si="7"/>
        <v>1.4164767062555279</v>
      </c>
      <c r="AF42" s="17">
        <f>AB42*(14.068*'Dataset sem TS MC2020'!$P34^-0.457)/$Q42</f>
        <v>0.65284977691856116</v>
      </c>
      <c r="AG42" s="17"/>
      <c r="AO42" s="3">
        <f>$AP$2*($AP$3+$AP$4*$F42/($N42*'Dataset sem TS MC2020'!P34))*($AP$5*$G42+$AP$6*$B42/$N42)*('Dataset sem TS MC2020'!P34^$AP$7/200000)*($J42-$M42)/($J42-$M42-$H42)+('Dataset sem TS MC2020'!P34-$C42/$AP$8)*($AP$5*$G42+$AP$6*$B42/$N42)/200000</f>
        <v>0.31666162849674356</v>
      </c>
      <c r="AP42" s="3">
        <f t="shared" si="8"/>
        <v>0.73642239185289204</v>
      </c>
      <c r="AQ42" s="16">
        <f t="shared" si="9"/>
        <v>-0.11333837150325643</v>
      </c>
    </row>
    <row r="43" spans="1:43" x14ac:dyDescent="0.3">
      <c r="B43" s="4">
        <v>12</v>
      </c>
      <c r="C43" s="5">
        <v>500</v>
      </c>
      <c r="D43" s="5">
        <v>4</v>
      </c>
      <c r="E43" s="4">
        <v>79.3</v>
      </c>
      <c r="F43" s="3">
        <v>2.6933292113182881</v>
      </c>
      <c r="G43" s="4">
        <v>20</v>
      </c>
      <c r="H43" s="4">
        <v>38</v>
      </c>
      <c r="I43" s="1">
        <v>350</v>
      </c>
      <c r="J43" s="4">
        <v>450</v>
      </c>
      <c r="K43" s="5">
        <v>452</v>
      </c>
      <c r="L43" s="3">
        <v>34300</v>
      </c>
      <c r="M43" s="5">
        <v>76.169428201642418</v>
      </c>
      <c r="N43" s="8">
        <v>1.3177842565597668E-2</v>
      </c>
      <c r="O43" s="3">
        <v>90</v>
      </c>
      <c r="P43" s="5">
        <v>500</v>
      </c>
      <c r="Q43" s="3">
        <v>0.56000000000000005</v>
      </c>
      <c r="R43" s="12">
        <f t="shared" si="2"/>
        <v>2.5000000000000001E-3</v>
      </c>
      <c r="V43" s="3">
        <f t="shared" si="0"/>
        <v>0.41220785679663829</v>
      </c>
      <c r="W43" s="3">
        <f t="shared" si="3"/>
        <v>0.73608545856542551</v>
      </c>
      <c r="Y43" s="3">
        <f t="shared" si="1"/>
        <v>0.41391475418065798</v>
      </c>
      <c r="Z43" s="3">
        <f t="shared" si="4"/>
        <v>0.73913348960831771</v>
      </c>
      <c r="AB43" s="3">
        <f>$AC$2*($AC$3+$AC$4*$F43/($N43*'Dataset sem TS MC2020'!P35))*($AC$5*$G43+$AC$6*$B43/$N43)*'Dataset sem TS MC2020'!R35*($J43-$M43)/($J43-$M43-$H43)</f>
        <v>0.42907902533650893</v>
      </c>
      <c r="AC43" s="3">
        <f t="shared" si="5"/>
        <v>0.76621254524376592</v>
      </c>
      <c r="AD43" s="16">
        <f t="shared" si="6"/>
        <v>-0.13092097466349112</v>
      </c>
      <c r="AE43" s="17">
        <f t="shared" si="7"/>
        <v>1.3051208913342134</v>
      </c>
      <c r="AF43" s="17">
        <f>AB43*(14.068*'Dataset sem TS MC2020'!$P35^-0.457)/$Q43</f>
        <v>0.62972701697547839</v>
      </c>
      <c r="AG43" s="17"/>
      <c r="AO43" s="3">
        <f>$AP$2*($AP$3+$AP$4*$F43/($N43*'Dataset sem TS MC2020'!P35))*($AP$5*$G43+$AP$6*$B43/$N43)*('Dataset sem TS MC2020'!P35^$AP$7/200000)*($J43-$M43)/($J43-$M43-$H43)+('Dataset sem TS MC2020'!P35-$C43/$AP$8)*($AP$5*$G43+$AP$6*$B43/$N43)/200000</f>
        <v>0.43361669779610845</v>
      </c>
      <c r="AP43" s="3">
        <f t="shared" si="8"/>
        <v>0.774315531778765</v>
      </c>
      <c r="AQ43" s="16">
        <f t="shared" si="9"/>
        <v>-0.1263833022038916</v>
      </c>
    </row>
    <row r="44" spans="1:43" x14ac:dyDescent="0.3">
      <c r="B44" s="4">
        <v>12</v>
      </c>
      <c r="C44" s="5">
        <v>500</v>
      </c>
      <c r="D44" s="5">
        <v>4</v>
      </c>
      <c r="E44" s="4">
        <v>79.3</v>
      </c>
      <c r="F44" s="3">
        <v>2.6933292113182881</v>
      </c>
      <c r="G44" s="4">
        <v>20</v>
      </c>
      <c r="H44" s="4">
        <v>38</v>
      </c>
      <c r="I44" s="1">
        <v>350</v>
      </c>
      <c r="J44" s="4">
        <v>450</v>
      </c>
      <c r="K44" s="5">
        <v>452</v>
      </c>
      <c r="L44" s="3">
        <v>34300</v>
      </c>
      <c r="M44" s="5">
        <v>76.169428201642418</v>
      </c>
      <c r="N44" s="8">
        <v>1.3177842565597668E-2</v>
      </c>
      <c r="O44" s="3">
        <v>112.5</v>
      </c>
      <c r="P44" s="5">
        <v>500</v>
      </c>
      <c r="Q44" s="3">
        <v>0.71</v>
      </c>
      <c r="R44" s="12">
        <f t="shared" si="2"/>
        <v>2.5000000000000001E-3</v>
      </c>
      <c r="V44" s="3">
        <f t="shared" si="0"/>
        <v>0.41220785679663829</v>
      </c>
      <c r="W44" s="3">
        <f t="shared" si="3"/>
        <v>0.58057444619244836</v>
      </c>
      <c r="Y44" s="3">
        <f t="shared" si="1"/>
        <v>0.41391475418065798</v>
      </c>
      <c r="Z44" s="3">
        <f t="shared" si="4"/>
        <v>0.58297852701501129</v>
      </c>
      <c r="AB44" s="3">
        <f>$AC$2*($AC$3+$AC$4*$F44/($N44*'Dataset sem TS MC2020'!P36))*($AC$5*$G44+$AC$6*$B44/$N44)*'Dataset sem TS MC2020'!R36*($J44-$M44)/($J44-$M44-$H44)</f>
        <v>0.42907902533650893</v>
      </c>
      <c r="AC44" s="3">
        <f t="shared" si="5"/>
        <v>0.60433665540353376</v>
      </c>
      <c r="AD44" s="16">
        <f t="shared" si="6"/>
        <v>-0.28092097466349103</v>
      </c>
      <c r="AE44" s="17">
        <f t="shared" si="7"/>
        <v>1.6547068443701631</v>
      </c>
      <c r="AF44" s="17">
        <f>AB44*(14.068*'Dataset sem TS MC2020'!$P36^-0.457)/$Q44</f>
        <v>0.49668609789615203</v>
      </c>
      <c r="AG44" s="17"/>
      <c r="AO44" s="3">
        <f>$AP$2*($AP$3+$AP$4*$F44/($N44*'Dataset sem TS MC2020'!P36))*($AP$5*$G44+$AP$6*$B44/$N44)*('Dataset sem TS MC2020'!P36^$AP$7/200000)*($J44-$M44)/($J44-$M44-$H44)+('Dataset sem TS MC2020'!P36-$C44/$AP$8)*($AP$5*$G44+$AP$6*$B44/$N44)/200000</f>
        <v>0.43361669779610845</v>
      </c>
      <c r="AP44" s="3">
        <f t="shared" si="8"/>
        <v>0.61072774337480062</v>
      </c>
      <c r="AQ44" s="16">
        <f t="shared" si="9"/>
        <v>-0.27638330220389151</v>
      </c>
    </row>
    <row r="45" spans="1:43" x14ac:dyDescent="0.3">
      <c r="B45" s="4">
        <v>12</v>
      </c>
      <c r="C45" s="5">
        <v>500</v>
      </c>
      <c r="D45" s="5">
        <v>4</v>
      </c>
      <c r="E45" s="4">
        <v>79.3</v>
      </c>
      <c r="F45" s="3">
        <v>2.6933292113182881</v>
      </c>
      <c r="G45" s="4">
        <v>20</v>
      </c>
      <c r="H45" s="4">
        <v>38</v>
      </c>
      <c r="I45" s="1">
        <v>350</v>
      </c>
      <c r="J45" s="4">
        <v>450</v>
      </c>
      <c r="K45" s="5">
        <v>452</v>
      </c>
      <c r="L45" s="3">
        <v>34300</v>
      </c>
      <c r="M45" s="5">
        <v>76.169428201642418</v>
      </c>
      <c r="N45" s="8">
        <v>1.3177842565597668E-2</v>
      </c>
      <c r="O45" s="3">
        <v>120</v>
      </c>
      <c r="P45" s="5">
        <v>500</v>
      </c>
      <c r="Q45" s="3">
        <v>0.79</v>
      </c>
      <c r="R45" s="12">
        <f t="shared" si="2"/>
        <v>2.5000000000000001E-3</v>
      </c>
      <c r="V45" s="3">
        <f t="shared" si="0"/>
        <v>0.41220785679663829</v>
      </c>
      <c r="W45" s="3">
        <f t="shared" si="3"/>
        <v>0.52178209721093449</v>
      </c>
      <c r="Y45" s="3">
        <f t="shared" si="1"/>
        <v>0.41391475418065798</v>
      </c>
      <c r="Z45" s="3">
        <f t="shared" si="4"/>
        <v>0.52394272681095944</v>
      </c>
      <c r="AB45" s="3">
        <f>$AC$2*($AC$3+$AC$4*$F45/($N45*'Dataset sem TS MC2020'!P37))*($AC$5*$G45+$AC$6*$B45/$N45)*'Dataset sem TS MC2020'!R37*($J45-$M45)/($J45-$M45-$H45)</f>
        <v>0.42907902533650893</v>
      </c>
      <c r="AC45" s="3">
        <f t="shared" si="5"/>
        <v>0.54313800675507462</v>
      </c>
      <c r="AD45" s="16">
        <f t="shared" si="6"/>
        <v>-0.3609209746634911</v>
      </c>
      <c r="AE45" s="17">
        <f t="shared" si="7"/>
        <v>1.8411526859893363</v>
      </c>
      <c r="AF45" s="17">
        <f>AB45*(14.068*'Dataset sem TS MC2020'!$P37^-0.457)/$Q45</f>
        <v>0.44638877152692141</v>
      </c>
      <c r="AG45" s="17"/>
      <c r="AO45" s="3">
        <f>$AP$2*($AP$3+$AP$4*$F45/($N45*'Dataset sem TS MC2020'!P37))*($AP$5*$G45+$AP$6*$B45/$N45)*('Dataset sem TS MC2020'!P37^$AP$7/200000)*($J45-$M45)/($J45-$M45-$H45)+('Dataset sem TS MC2020'!P37-$C45/$AP$8)*($AP$5*$G45+$AP$6*$B45/$N45)/200000</f>
        <v>0.43361669779610845</v>
      </c>
      <c r="AP45" s="3">
        <f t="shared" si="8"/>
        <v>0.54888189594444103</v>
      </c>
      <c r="AQ45" s="16">
        <f t="shared" si="9"/>
        <v>-0.35638330220389158</v>
      </c>
    </row>
    <row r="46" spans="1:43" x14ac:dyDescent="0.3">
      <c r="A46" s="1" t="s">
        <v>11</v>
      </c>
      <c r="B46" s="4">
        <v>25</v>
      </c>
      <c r="C46" s="5">
        <v>500</v>
      </c>
      <c r="D46" s="5">
        <v>4</v>
      </c>
      <c r="E46" s="4">
        <v>62</v>
      </c>
      <c r="F46" s="3">
        <v>2.6933292113182881</v>
      </c>
      <c r="G46" s="4">
        <v>20</v>
      </c>
      <c r="H46" s="4">
        <v>44.5</v>
      </c>
      <c r="I46" s="1">
        <v>350</v>
      </c>
      <c r="J46" s="4">
        <v>450</v>
      </c>
      <c r="K46" s="5">
        <v>1964</v>
      </c>
      <c r="L46" s="3">
        <v>54512.5</v>
      </c>
      <c r="M46" s="5">
        <v>140.9271689293702</v>
      </c>
      <c r="N46" s="8">
        <v>3.6028433845448293E-2</v>
      </c>
      <c r="O46" s="3">
        <v>75</v>
      </c>
      <c r="P46" s="5">
        <v>50.850362331918205</v>
      </c>
      <c r="Q46" s="3">
        <v>0.2</v>
      </c>
      <c r="R46" s="12">
        <f t="shared" si="2"/>
        <v>2.5425181165959103E-4</v>
      </c>
      <c r="V46" s="3">
        <f t="shared" si="0"/>
        <v>0.10832468027892288</v>
      </c>
      <c r="W46" s="3">
        <f t="shared" si="3"/>
        <v>0.5416234013946144</v>
      </c>
      <c r="Y46" s="3">
        <f t="shared" si="1"/>
        <v>0.10686518355559303</v>
      </c>
      <c r="Z46" s="3">
        <f t="shared" si="4"/>
        <v>0.53432591777796512</v>
      </c>
      <c r="AB46" s="3">
        <f>$AC$2*($AC$3+$AC$4*$F46/($N46*'Dataset sem TS MC2020'!P38))*($AC$5*$G46+$AC$6*$B46/$N46)*'Dataset sem TS MC2020'!R38*($J46-$M46)/($J46-$M46-$H46)</f>
        <v>6.0555185894665284E-2</v>
      </c>
      <c r="AC46" s="3">
        <f t="shared" si="5"/>
        <v>0.30277592947332638</v>
      </c>
      <c r="AD46" s="16">
        <f t="shared" si="6"/>
        <v>-0.13944481410533471</v>
      </c>
      <c r="AE46" s="17">
        <f t="shared" si="7"/>
        <v>3.3027724553252407</v>
      </c>
      <c r="AF46" s="17">
        <f>AB46*(14.068*'Dataset sem TS MC2020'!$P38^-0.457)/$Q46</f>
        <v>0.50446536246980256</v>
      </c>
      <c r="AG46" s="17"/>
      <c r="AO46" s="3">
        <f>$AP$2*($AP$3+$AP$4*$F46/($N46*'Dataset sem TS MC2020'!P38))*($AP$5*$G46+$AP$6*$B46/$N46)*('Dataset sem TS MC2020'!P38^$AP$7/200000)*($J46-$M46)/($J46-$M46-$H46)+('Dataset sem TS MC2020'!P38-$C46/$AP$8)*($AP$5*$G46+$AP$6*$B46/$N46)/200000</f>
        <v>6.6702388695028009E-2</v>
      </c>
      <c r="AP46" s="3">
        <f t="shared" si="8"/>
        <v>0.33351194347514002</v>
      </c>
      <c r="AQ46" s="16">
        <f t="shared" si="9"/>
        <v>-0.133297611304972</v>
      </c>
    </row>
    <row r="47" spans="1:43" x14ac:dyDescent="0.3">
      <c r="B47" s="4">
        <v>25</v>
      </c>
      <c r="C47" s="5">
        <v>500</v>
      </c>
      <c r="D47" s="5">
        <v>4</v>
      </c>
      <c r="E47" s="4">
        <v>62</v>
      </c>
      <c r="F47" s="3">
        <v>2.6933292113182881</v>
      </c>
      <c r="G47" s="4">
        <v>20</v>
      </c>
      <c r="H47" s="4">
        <v>44.5</v>
      </c>
      <c r="I47" s="1">
        <v>350</v>
      </c>
      <c r="J47" s="4">
        <v>450</v>
      </c>
      <c r="K47" s="5">
        <v>1964</v>
      </c>
      <c r="L47" s="3">
        <v>54512.5</v>
      </c>
      <c r="M47" s="5">
        <v>140.9271689293702</v>
      </c>
      <c r="N47" s="8">
        <v>3.6028433845448293E-2</v>
      </c>
      <c r="O47" s="3">
        <v>135</v>
      </c>
      <c r="P47" s="5">
        <v>136.39227558550306</v>
      </c>
      <c r="Q47" s="3">
        <v>0.25</v>
      </c>
      <c r="R47" s="12">
        <f t="shared" si="2"/>
        <v>6.8196137792751526E-4</v>
      </c>
      <c r="V47" s="3">
        <f t="shared" si="0"/>
        <v>0.19911742955835604</v>
      </c>
      <c r="W47" s="3">
        <f t="shared" si="3"/>
        <v>0.79646971823342416</v>
      </c>
      <c r="Y47" s="3">
        <f t="shared" si="1"/>
        <v>0.19857819114765696</v>
      </c>
      <c r="Z47" s="3">
        <f t="shared" si="4"/>
        <v>0.79431276459062783</v>
      </c>
      <c r="AB47" s="3">
        <f>$AC$2*($AC$3+$AC$4*$F47/($N47*'Dataset sem TS MC2020'!P39))*($AC$5*$G47+$AC$6*$B47/$N47)*'Dataset sem TS MC2020'!R39*($J47-$M47)/($J47-$M47-$H47)</f>
        <v>0.13892275255047118</v>
      </c>
      <c r="AC47" s="3">
        <f t="shared" si="5"/>
        <v>0.55569101020188472</v>
      </c>
      <c r="AD47" s="16">
        <f t="shared" si="6"/>
        <v>-0.11107724744952882</v>
      </c>
      <c r="AE47" s="17">
        <f t="shared" si="7"/>
        <v>1.7995612339251199</v>
      </c>
      <c r="AF47" s="17">
        <f>AB47*(14.068*'Dataset sem TS MC2020'!$P39^-0.457)/$Q47</f>
        <v>0.70775646030928341</v>
      </c>
      <c r="AG47" s="17"/>
      <c r="AO47" s="3">
        <f>$AP$2*($AP$3+$AP$4*$F47/($N47*'Dataset sem TS MC2020'!P39))*($AP$5*$G47+$AP$6*$B47/$N47)*('Dataset sem TS MC2020'!P39^$AP$7/200000)*($J47-$M47)/($J47-$M47-$H47)+('Dataset sem TS MC2020'!P39-$C47/$AP$8)*($AP$5*$G47+$AP$6*$B47/$N47)/200000</f>
        <v>0.15406051043356417</v>
      </c>
      <c r="AP47" s="3">
        <f t="shared" si="8"/>
        <v>0.61624204173425667</v>
      </c>
      <c r="AQ47" s="16">
        <f t="shared" si="9"/>
        <v>-9.5939489566435832E-2</v>
      </c>
    </row>
    <row r="48" spans="1:43" x14ac:dyDescent="0.3">
      <c r="B48" s="4">
        <v>25</v>
      </c>
      <c r="C48" s="5">
        <v>500</v>
      </c>
      <c r="D48" s="5">
        <v>4</v>
      </c>
      <c r="E48" s="4">
        <v>62</v>
      </c>
      <c r="F48" s="3">
        <v>2.6933292113182881</v>
      </c>
      <c r="G48" s="4">
        <v>20</v>
      </c>
      <c r="H48" s="4">
        <v>44.5</v>
      </c>
      <c r="I48" s="1">
        <v>350</v>
      </c>
      <c r="J48" s="4">
        <v>450</v>
      </c>
      <c r="K48" s="5">
        <v>1964</v>
      </c>
      <c r="L48" s="3">
        <v>54512.5</v>
      </c>
      <c r="M48" s="5">
        <v>140.9271689293702</v>
      </c>
      <c r="N48" s="8">
        <v>3.6028433845448293E-2</v>
      </c>
      <c r="O48" s="3">
        <v>195</v>
      </c>
      <c r="P48" s="5">
        <v>238.24239280430174</v>
      </c>
      <c r="Q48" s="3">
        <v>0.36</v>
      </c>
      <c r="R48" s="12">
        <f t="shared" si="2"/>
        <v>1.1912119640215086E-3</v>
      </c>
      <c r="V48" s="3">
        <f t="shared" si="0"/>
        <v>0.28090840576626891</v>
      </c>
      <c r="W48" s="3">
        <f t="shared" si="3"/>
        <v>0.78030112712852473</v>
      </c>
      <c r="Y48" s="3">
        <f t="shared" si="1"/>
        <v>0.28187173589718439</v>
      </c>
      <c r="Z48" s="3">
        <f t="shared" si="4"/>
        <v>0.78297704415884561</v>
      </c>
      <c r="AB48" s="3">
        <f>$AC$2*($AC$3+$AC$4*$F48/($N48*'Dataset sem TS MC2020'!P40))*($AC$5*$G48+$AC$6*$B48/$N48)*'Dataset sem TS MC2020'!R40*($J48-$M48)/($J48-$M48-$H48)</f>
        <v>0.21729031920627703</v>
      </c>
      <c r="AC48" s="3">
        <f t="shared" si="5"/>
        <v>0.60358422001743628</v>
      </c>
      <c r="AD48" s="16">
        <f t="shared" si="6"/>
        <v>-0.14270968079372295</v>
      </c>
      <c r="AE48" s="17">
        <f t="shared" si="7"/>
        <v>1.6567696219280088</v>
      </c>
      <c r="AF48" s="17">
        <f>AB48*(14.068*'Dataset sem TS MC2020'!$P40^-0.457)/$Q48</f>
        <v>0.64983793959411495</v>
      </c>
      <c r="AG48" s="17"/>
      <c r="AO48" s="3">
        <f>$AP$2*($AP$3+$AP$4*$F48/($N48*'Dataset sem TS MC2020'!P40))*($AP$5*$G48+$AP$6*$B48/$N48)*('Dataset sem TS MC2020'!P40^$AP$7/200000)*($J48-$M48)/($J48-$M48-$H48)+('Dataset sem TS MC2020'!P40-$C48/$AP$8)*($AP$5*$G48+$AP$6*$B48/$N48)/200000</f>
        <v>0.23320529341237145</v>
      </c>
      <c r="AP48" s="3">
        <f t="shared" si="8"/>
        <v>0.64779248170103187</v>
      </c>
      <c r="AQ48" s="16">
        <f t="shared" si="9"/>
        <v>-0.12679470658762854</v>
      </c>
    </row>
    <row r="49" spans="1:43" x14ac:dyDescent="0.3">
      <c r="B49" s="4">
        <v>25</v>
      </c>
      <c r="C49" s="5">
        <v>500</v>
      </c>
      <c r="D49" s="5">
        <v>4</v>
      </c>
      <c r="E49" s="4">
        <v>62</v>
      </c>
      <c r="F49" s="3">
        <v>2.6933292113182881</v>
      </c>
      <c r="G49" s="4">
        <v>20</v>
      </c>
      <c r="H49" s="4">
        <v>44.5</v>
      </c>
      <c r="I49" s="1">
        <v>350</v>
      </c>
      <c r="J49" s="4">
        <v>450</v>
      </c>
      <c r="K49" s="5">
        <v>1964</v>
      </c>
      <c r="L49" s="3">
        <v>54512.5</v>
      </c>
      <c r="M49" s="5">
        <v>140.9271689293702</v>
      </c>
      <c r="N49" s="8">
        <v>3.6028433845448293E-2</v>
      </c>
      <c r="O49" s="3">
        <v>255</v>
      </c>
      <c r="P49" s="5">
        <v>340.09251002310043</v>
      </c>
      <c r="Q49" s="3">
        <v>0.47</v>
      </c>
      <c r="R49" s="12">
        <f t="shared" si="2"/>
        <v>1.7004625501155022E-3</v>
      </c>
      <c r="V49" s="3">
        <f t="shared" si="0"/>
        <v>0.34989632133287085</v>
      </c>
      <c r="W49" s="3">
        <f t="shared" si="3"/>
        <v>0.74446025815504446</v>
      </c>
      <c r="Y49" s="3">
        <f t="shared" si="1"/>
        <v>0.35247354775628137</v>
      </c>
      <c r="Z49" s="3">
        <f t="shared" si="4"/>
        <v>0.74994371863038589</v>
      </c>
      <c r="AB49" s="3">
        <f>$AC$2*($AC$3+$AC$4*$F49/($N49*'Dataset sem TS MC2020'!P41))*($AC$5*$G49+$AC$6*$B49/$N49)*'Dataset sem TS MC2020'!R41*($J49-$M49)/($J49-$M49-$H49)</f>
        <v>0.29565788586208303</v>
      </c>
      <c r="AC49" s="3">
        <f t="shared" si="5"/>
        <v>0.62905933162145333</v>
      </c>
      <c r="AD49" s="16">
        <f t="shared" si="6"/>
        <v>-0.17434211413791695</v>
      </c>
      <c r="AE49" s="17">
        <f t="shared" si="7"/>
        <v>1.5896751701026608</v>
      </c>
      <c r="AF49" s="17">
        <f>AB49*(14.068*'Dataset sem TS MC2020'!$P41^-0.457)/$Q49</f>
        <v>0.59912266609084186</v>
      </c>
      <c r="AG49" s="17"/>
      <c r="AO49" s="3">
        <f>$AP$2*($AP$3+$AP$4*$F49/($N49*'Dataset sem TS MC2020'!P41))*($AP$5*$G49+$AP$6*$B49/$N49)*('Dataset sem TS MC2020'!P41^$AP$7/200000)*($J49-$M49)/($J49-$M49-$H49)+('Dataset sem TS MC2020'!P41-$C49/$AP$8)*($AP$5*$G49+$AP$6*$B49/$N49)/200000</f>
        <v>0.30759833986227969</v>
      </c>
      <c r="AP49" s="3">
        <f t="shared" si="8"/>
        <v>0.6544645528984675</v>
      </c>
      <c r="AQ49" s="16">
        <f t="shared" si="9"/>
        <v>-0.16240166013772028</v>
      </c>
    </row>
    <row r="50" spans="1:43" x14ac:dyDescent="0.3">
      <c r="B50" s="4">
        <v>25</v>
      </c>
      <c r="C50" s="5">
        <v>500</v>
      </c>
      <c r="D50" s="5">
        <v>4</v>
      </c>
      <c r="E50" s="4">
        <v>62</v>
      </c>
      <c r="F50" s="3">
        <v>2.6933292113182881</v>
      </c>
      <c r="G50" s="4">
        <v>20</v>
      </c>
      <c r="H50" s="4">
        <v>44.5</v>
      </c>
      <c r="I50" s="1">
        <v>350</v>
      </c>
      <c r="J50" s="4">
        <v>450</v>
      </c>
      <c r="K50" s="5">
        <v>1964</v>
      </c>
      <c r="L50" s="3">
        <v>54512.5</v>
      </c>
      <c r="M50" s="5">
        <v>140.9271689293702</v>
      </c>
      <c r="N50" s="8">
        <v>3.6028433845448293E-2</v>
      </c>
      <c r="O50" s="3">
        <v>300</v>
      </c>
      <c r="P50" s="5">
        <v>416.4800979371995</v>
      </c>
      <c r="Q50" s="3">
        <v>0.56999999999999995</v>
      </c>
      <c r="R50" s="12">
        <f t="shared" si="2"/>
        <v>2.0824004896859974E-3</v>
      </c>
      <c r="V50" s="3">
        <f t="shared" si="0"/>
        <v>0.39649127962857428</v>
      </c>
      <c r="W50" s="3">
        <f t="shared" si="3"/>
        <v>0.69559873619048129</v>
      </c>
      <c r="Y50" s="3">
        <f t="shared" si="1"/>
        <v>0.40030292392989675</v>
      </c>
      <c r="Z50" s="3">
        <f t="shared" si="4"/>
        <v>0.70228583145595924</v>
      </c>
      <c r="AB50" s="3">
        <f>$AC$2*($AC$3+$AC$4*$F50/($N50*'Dataset sem TS MC2020'!P42))*($AC$5*$G50+$AC$6*$B50/$N50)*'Dataset sem TS MC2020'!R42*($J50-$M50)/($J50-$M50-$H50)</f>
        <v>0.35443356085393751</v>
      </c>
      <c r="AC50" s="3">
        <f t="shared" si="5"/>
        <v>0.62181326465603082</v>
      </c>
      <c r="AD50" s="16">
        <f t="shared" si="6"/>
        <v>-0.21556643914606244</v>
      </c>
      <c r="AE50" s="17">
        <f t="shared" si="7"/>
        <v>1.608199851692085</v>
      </c>
      <c r="AF50" s="17">
        <f>AB50*(14.068*'Dataset sem TS MC2020'!$P42^-0.457)/$Q50</f>
        <v>0.54983017734171424</v>
      </c>
      <c r="AG50" s="17"/>
      <c r="AO50" s="3">
        <f>$AP$2*($AP$3+$AP$4*$F50/($N50*'Dataset sem TS MC2020'!P42))*($AP$5*$G50+$AP$6*$B50/$N50)*('Dataset sem TS MC2020'!P42^$AP$7/200000)*($J50-$M50)/($J50-$M50-$H50)+('Dataset sem TS MC2020'!P42-$C50/$AP$8)*($AP$5*$G50+$AP$6*$B50/$N50)/200000</f>
        <v>0.36119170125099542</v>
      </c>
      <c r="AP50" s="3">
        <f t="shared" si="8"/>
        <v>0.63366965131753583</v>
      </c>
      <c r="AQ50" s="16">
        <f t="shared" si="9"/>
        <v>-0.20880829874900453</v>
      </c>
    </row>
    <row r="51" spans="1:43" x14ac:dyDescent="0.3">
      <c r="B51" s="4">
        <v>25</v>
      </c>
      <c r="C51" s="5">
        <v>500</v>
      </c>
      <c r="D51" s="5">
        <v>4</v>
      </c>
      <c r="E51" s="4">
        <v>62</v>
      </c>
      <c r="F51" s="3">
        <v>2.6933292113182881</v>
      </c>
      <c r="G51" s="4">
        <v>20</v>
      </c>
      <c r="H51" s="4">
        <v>44.5</v>
      </c>
      <c r="I51" s="1">
        <v>350</v>
      </c>
      <c r="J51" s="4">
        <v>450</v>
      </c>
      <c r="K51" s="5">
        <v>1964</v>
      </c>
      <c r="L51" s="3">
        <v>54512.5</v>
      </c>
      <c r="M51" s="5">
        <v>140.9271689293702</v>
      </c>
      <c r="N51" s="8">
        <v>3.6028433845448293E-2</v>
      </c>
      <c r="O51" s="3">
        <v>360</v>
      </c>
      <c r="P51" s="5">
        <v>500</v>
      </c>
      <c r="Q51" s="3">
        <v>0.78</v>
      </c>
      <c r="R51" s="12">
        <f t="shared" si="2"/>
        <v>2.5000000000000001E-3</v>
      </c>
      <c r="V51" s="3">
        <f t="shared" si="0"/>
        <v>0.4438216448096528</v>
      </c>
      <c r="W51" s="3">
        <f t="shared" si="3"/>
        <v>0.56900210873032409</v>
      </c>
      <c r="Y51" s="3">
        <f t="shared" si="1"/>
        <v>0.44899006805270952</v>
      </c>
      <c r="Z51" s="3">
        <f t="shared" si="4"/>
        <v>0.57562829237526858</v>
      </c>
      <c r="AB51" s="3">
        <f>$AC$2*($AC$3+$AC$4*$F51/($N51*'Dataset sem TS MC2020'!P43))*($AC$5*$G51+$AC$6*$B51/$N51)*'Dataset sem TS MC2020'!R43*($J51-$M51)/($J51-$M51-$H51)</f>
        <v>0.42244464464448361</v>
      </c>
      <c r="AC51" s="3">
        <f t="shared" si="5"/>
        <v>0.54159569826215848</v>
      </c>
      <c r="AD51" s="16">
        <f t="shared" si="6"/>
        <v>-0.35755535535551641</v>
      </c>
      <c r="AE51" s="17">
        <f t="shared" si="7"/>
        <v>1.8463957583281094</v>
      </c>
      <c r="AF51" s="17">
        <f>AB51*(14.068*'Dataset sem TS MC2020'!$P43^-0.457)/$Q51</f>
        <v>0.44512119462214617</v>
      </c>
      <c r="AG51" s="17"/>
      <c r="AO51" s="3">
        <f>$AP$2*($AP$3+$AP$4*$F51/($N51*'Dataset sem TS MC2020'!P43))*($AP$5*$G51+$AP$6*$B51/$N51)*('Dataset sem TS MC2020'!P43^$AP$7/200000)*($J51-$M51)/($J51-$M51-$H51)+('Dataset sem TS MC2020'!P43-$C51/$AP$8)*($AP$5*$G51+$AP$6*$B51/$N51)/200000</f>
        <v>0.4213814697196811</v>
      </c>
      <c r="AP51" s="3">
        <f t="shared" si="8"/>
        <v>0.54023265348677063</v>
      </c>
      <c r="AQ51" s="16">
        <f t="shared" si="9"/>
        <v>-0.35861853028031893</v>
      </c>
    </row>
    <row r="52" spans="1:43" x14ac:dyDescent="0.3">
      <c r="A52" s="1" t="s">
        <v>12</v>
      </c>
      <c r="B52" s="4">
        <v>12</v>
      </c>
      <c r="C52" s="5">
        <v>500</v>
      </c>
      <c r="D52" s="5">
        <v>4</v>
      </c>
      <c r="E52" s="4">
        <v>79.3</v>
      </c>
      <c r="F52" s="3">
        <v>2.6933292113182881</v>
      </c>
      <c r="G52" s="4">
        <v>20</v>
      </c>
      <c r="H52" s="4">
        <v>34</v>
      </c>
      <c r="I52" s="1">
        <v>350</v>
      </c>
      <c r="J52" s="4">
        <v>450</v>
      </c>
      <c r="K52" s="5">
        <v>452</v>
      </c>
      <c r="L52" s="3">
        <v>32900</v>
      </c>
      <c r="M52" s="5">
        <v>76.575869689672942</v>
      </c>
      <c r="N52" s="8">
        <v>1.3738601823708207E-2</v>
      </c>
      <c r="O52" s="3">
        <v>37.5</v>
      </c>
      <c r="P52" s="5">
        <v>94.152135862731086</v>
      </c>
      <c r="Q52" s="3">
        <v>0.21</v>
      </c>
      <c r="R52" s="12">
        <f t="shared" si="2"/>
        <v>4.7076067931365543E-4</v>
      </c>
      <c r="V52" s="3">
        <f t="shared" si="0"/>
        <v>0.14459392894446282</v>
      </c>
      <c r="W52" s="3">
        <f t="shared" si="3"/>
        <v>0.68854251878315631</v>
      </c>
      <c r="Y52" s="3">
        <f t="shared" si="1"/>
        <v>0.14223527221134519</v>
      </c>
      <c r="Z52" s="3">
        <f t="shared" si="4"/>
        <v>0.67731082005402476</v>
      </c>
      <c r="AB52" s="3">
        <f>$AC$2*($AC$3+$AC$4*$F52/($N52*'Dataset sem TS MC2020'!P44))*($AC$5*$G52+$AC$6*$B52/$N52)*'Dataset sem TS MC2020'!R44*($J52-$M52)/($J52-$M52-$H52)</f>
        <v>0.11133971701354324</v>
      </c>
      <c r="AC52" s="3">
        <f t="shared" si="5"/>
        <v>0.53018912863592016</v>
      </c>
      <c r="AD52" s="16">
        <f t="shared" si="6"/>
        <v>-9.8660282986456752E-2</v>
      </c>
      <c r="AE52" s="17">
        <f t="shared" si="7"/>
        <v>1.8861193977568296</v>
      </c>
      <c r="AF52" s="17">
        <f>AB52*(14.068*'Dataset sem TS MC2020'!$P44^-0.457)/$Q52</f>
        <v>0.64429849043314746</v>
      </c>
      <c r="AG52" s="17"/>
      <c r="AO52" s="3">
        <f>$AP$2*($AP$3+$AP$4*$F52/($N52*'Dataset sem TS MC2020'!P44))*($AP$5*$G52+$AP$6*$B52/$N52)*('Dataset sem TS MC2020'!P44^$AP$7/200000)*($J52-$M52)/($J52-$M52-$H52)+('Dataset sem TS MC2020'!P44-$C52/$AP$8)*($AP$5*$G52+$AP$6*$B52/$N52)/200000</f>
        <v>0.12024086709942797</v>
      </c>
      <c r="AP52" s="3">
        <f t="shared" si="8"/>
        <v>0.57257555761632373</v>
      </c>
      <c r="AQ52" s="16">
        <f t="shared" si="9"/>
        <v>-8.9759132900572025E-2</v>
      </c>
    </row>
    <row r="53" spans="1:43" x14ac:dyDescent="0.3">
      <c r="B53" s="4">
        <v>12</v>
      </c>
      <c r="C53" s="5">
        <v>500</v>
      </c>
      <c r="D53" s="5">
        <v>4</v>
      </c>
      <c r="E53" s="4">
        <v>79.3</v>
      </c>
      <c r="F53" s="3">
        <v>2.6933292113182881</v>
      </c>
      <c r="G53" s="4">
        <v>20</v>
      </c>
      <c r="H53" s="4">
        <v>34</v>
      </c>
      <c r="I53" s="1">
        <v>350</v>
      </c>
      <c r="J53" s="4">
        <v>450</v>
      </c>
      <c r="K53" s="5">
        <v>452</v>
      </c>
      <c r="L53" s="3">
        <v>32900</v>
      </c>
      <c r="M53" s="5">
        <v>76.575869689672942</v>
      </c>
      <c r="N53" s="8">
        <v>1.3738601823708207E-2</v>
      </c>
      <c r="O53" s="3">
        <v>45</v>
      </c>
      <c r="P53" s="5">
        <v>155.79372902207814</v>
      </c>
      <c r="Q53" s="3">
        <v>0.31</v>
      </c>
      <c r="R53" s="12">
        <f t="shared" si="2"/>
        <v>7.7896864511039067E-4</v>
      </c>
      <c r="V53" s="3">
        <f t="shared" si="0"/>
        <v>0.19728777404733772</v>
      </c>
      <c r="W53" s="3">
        <f t="shared" si="3"/>
        <v>0.63641217434625075</v>
      </c>
      <c r="Y53" s="3">
        <f t="shared" si="1"/>
        <v>0.19514765645076043</v>
      </c>
      <c r="Z53" s="3">
        <f t="shared" si="4"/>
        <v>0.6295085691960014</v>
      </c>
      <c r="AB53" s="3">
        <f>$AC$2*($AC$3+$AC$4*$F53/($N53*'Dataset sem TS MC2020'!P45))*($AC$5*$G53+$AC$6*$B53/$N53)*'Dataset sem TS MC2020'!R45*($J53-$M53)/($J53-$M53-$H53)</f>
        <v>0.15605189489633922</v>
      </c>
      <c r="AC53" s="3">
        <f t="shared" si="5"/>
        <v>0.50339320934302978</v>
      </c>
      <c r="AD53" s="16">
        <f t="shared" si="6"/>
        <v>-0.15394810510366078</v>
      </c>
      <c r="AE53" s="17">
        <f t="shared" si="7"/>
        <v>1.9865186526951437</v>
      </c>
      <c r="AF53" s="17">
        <f>AB53*(14.068*'Dataset sem TS MC2020'!$P45^-0.457)/$Q53</f>
        <v>0.5628307523116749</v>
      </c>
      <c r="AG53" s="17"/>
      <c r="AO53" s="3">
        <f>$AP$2*($AP$3+$AP$4*$F53/($N53*'Dataset sem TS MC2020'!P45))*($AP$5*$G53+$AP$6*$B53/$N53)*('Dataset sem TS MC2020'!P45^$AP$7/200000)*($J53-$M53)/($J53-$M53-$H53)+('Dataset sem TS MC2020'!P45-$C53/$AP$8)*($AP$5*$G53+$AP$6*$B53/$N53)/200000</f>
        <v>0.16843137797500654</v>
      </c>
      <c r="AP53" s="3">
        <f t="shared" si="8"/>
        <v>0.54332702572582758</v>
      </c>
      <c r="AQ53" s="16">
        <f t="shared" si="9"/>
        <v>-0.14156862202499346</v>
      </c>
    </row>
    <row r="54" spans="1:43" x14ac:dyDescent="0.3">
      <c r="B54" s="4">
        <v>12</v>
      </c>
      <c r="C54" s="5">
        <v>500</v>
      </c>
      <c r="D54" s="5">
        <v>4</v>
      </c>
      <c r="E54" s="4">
        <v>79.3</v>
      </c>
      <c r="F54" s="3">
        <v>2.6933292113182881</v>
      </c>
      <c r="G54" s="4">
        <v>20</v>
      </c>
      <c r="H54" s="4">
        <v>34</v>
      </c>
      <c r="I54" s="1">
        <v>350</v>
      </c>
      <c r="J54" s="4">
        <v>450</v>
      </c>
      <c r="K54" s="5">
        <v>452</v>
      </c>
      <c r="L54" s="3">
        <v>32900</v>
      </c>
      <c r="M54" s="5">
        <v>76.575869689672942</v>
      </c>
      <c r="N54" s="8">
        <v>1.3738601823708207E-2</v>
      </c>
      <c r="O54" s="3">
        <v>52.5</v>
      </c>
      <c r="P54" s="5">
        <v>217.43532218142514</v>
      </c>
      <c r="Q54" s="3">
        <v>0.38</v>
      </c>
      <c r="R54" s="12">
        <f t="shared" si="2"/>
        <v>1.0871766109071257E-3</v>
      </c>
      <c r="V54" s="3">
        <f t="shared" si="0"/>
        <v>0.2423424583508875</v>
      </c>
      <c r="W54" s="3">
        <f t="shared" si="3"/>
        <v>0.63774331144970398</v>
      </c>
      <c r="Y54" s="3">
        <f t="shared" si="1"/>
        <v>0.24059425774653773</v>
      </c>
      <c r="Z54" s="3">
        <f t="shared" si="4"/>
        <v>0.63314278354352027</v>
      </c>
      <c r="AB54" s="3">
        <f>$AC$2*($AC$3+$AC$4*$F54/($N54*'Dataset sem TS MC2020'!P46))*($AC$5*$G54+$AC$6*$B54/$N54)*'Dataset sem TS MC2020'!R46*($J54-$M54)/($J54-$M54-$H54)</f>
        <v>0.20076407277913519</v>
      </c>
      <c r="AC54" s="3">
        <f t="shared" si="5"/>
        <v>0.5283265073135136</v>
      </c>
      <c r="AD54" s="16">
        <f t="shared" si="6"/>
        <v>-0.17923592722086482</v>
      </c>
      <c r="AE54" s="17">
        <f t="shared" si="7"/>
        <v>1.8927689339020637</v>
      </c>
      <c r="AF54" s="17">
        <f>AB54*(14.068*'Dataset sem TS MC2020'!$P46^-0.457)/$Q54</f>
        <v>0.55052644289006114</v>
      </c>
      <c r="AG54" s="17"/>
      <c r="AO54" s="3">
        <f>$AP$2*($AP$3+$AP$4*$F54/($N54*'Dataset sem TS MC2020'!P46))*($AP$5*$G54+$AP$6*$B54/$N54)*('Dataset sem TS MC2020'!P46^$AP$7/200000)*($J54-$M54)/($J54-$M54-$H54)+('Dataset sem TS MC2020'!P46-$C54/$AP$8)*($AP$5*$G54+$AP$6*$B54/$N54)/200000</f>
        <v>0.21466504112730833</v>
      </c>
      <c r="AP54" s="3">
        <f t="shared" si="8"/>
        <v>0.56490800296660082</v>
      </c>
      <c r="AQ54" s="16">
        <f t="shared" si="9"/>
        <v>-0.16533495887269167</v>
      </c>
    </row>
    <row r="55" spans="1:43" x14ac:dyDescent="0.3">
      <c r="B55" s="4">
        <v>12</v>
      </c>
      <c r="C55" s="5">
        <v>500</v>
      </c>
      <c r="D55" s="5">
        <v>4</v>
      </c>
      <c r="E55" s="4">
        <v>79.3</v>
      </c>
      <c r="F55" s="3">
        <v>2.6933292113182881</v>
      </c>
      <c r="G55" s="4">
        <v>20</v>
      </c>
      <c r="H55" s="4">
        <v>34</v>
      </c>
      <c r="I55" s="1">
        <v>350</v>
      </c>
      <c r="J55" s="4">
        <v>450</v>
      </c>
      <c r="K55" s="5">
        <v>452</v>
      </c>
      <c r="L55" s="3">
        <v>32900</v>
      </c>
      <c r="M55" s="5">
        <v>76.575869689672942</v>
      </c>
      <c r="N55" s="8">
        <v>1.3738601823708207E-2</v>
      </c>
      <c r="O55" s="3">
        <v>67.5</v>
      </c>
      <c r="P55" s="5">
        <v>340.71850850011936</v>
      </c>
      <c r="Q55" s="3">
        <v>0.52</v>
      </c>
      <c r="R55" s="12">
        <f t="shared" si="2"/>
        <v>1.7035925425005968E-3</v>
      </c>
      <c r="V55" s="3">
        <f t="shared" si="0"/>
        <v>0.31973118894321201</v>
      </c>
      <c r="W55" s="3">
        <f t="shared" si="3"/>
        <v>0.61486767104463846</v>
      </c>
      <c r="Y55" s="3">
        <f t="shared" si="1"/>
        <v>0.31899690783406282</v>
      </c>
      <c r="Z55" s="3">
        <f t="shared" si="4"/>
        <v>0.61345559198858235</v>
      </c>
      <c r="AB55" s="3">
        <f>$AC$2*($AC$3+$AC$4*$F55/($N55*'Dataset sem TS MC2020'!P47))*($AC$5*$G55+$AC$6*$B55/$N55)*'Dataset sem TS MC2020'!R47*($J55-$M55)/($J55-$M55-$H55)</f>
        <v>0.29018842854472726</v>
      </c>
      <c r="AC55" s="3">
        <f t="shared" si="5"/>
        <v>0.55805467027832167</v>
      </c>
      <c r="AD55" s="16">
        <f t="shared" si="6"/>
        <v>-0.22981157145527276</v>
      </c>
      <c r="AE55" s="17">
        <f t="shared" si="7"/>
        <v>1.7919391293710785</v>
      </c>
      <c r="AF55" s="17">
        <f>AB55*(14.068*'Dataset sem TS MC2020'!$P47^-0.457)/$Q55</f>
        <v>0.51841016380015992</v>
      </c>
      <c r="AG55" s="17"/>
      <c r="AO55" s="3">
        <f>$AP$2*($AP$3+$AP$4*$F55/($N55*'Dataset sem TS MC2020'!P47))*($AP$5*$G55+$AP$6*$B55/$N55)*('Dataset sem TS MC2020'!P47^$AP$7/200000)*($J55-$M55)/($J55-$M55-$H55)+('Dataset sem TS MC2020'!P47-$C55/$AP$8)*($AP$5*$G55+$AP$6*$B55/$N55)/200000</f>
        <v>0.30280064382959709</v>
      </c>
      <c r="AP55" s="3">
        <f t="shared" si="8"/>
        <v>0.58230893044153287</v>
      </c>
      <c r="AQ55" s="16">
        <f t="shared" si="9"/>
        <v>-0.21719935617040292</v>
      </c>
    </row>
    <row r="56" spans="1:43" x14ac:dyDescent="0.3">
      <c r="B56" s="4">
        <v>12</v>
      </c>
      <c r="C56" s="5">
        <v>500</v>
      </c>
      <c r="D56" s="5">
        <v>4</v>
      </c>
      <c r="E56" s="4">
        <v>79.3</v>
      </c>
      <c r="F56" s="3">
        <v>2.6933292113182881</v>
      </c>
      <c r="G56" s="4">
        <v>20</v>
      </c>
      <c r="H56" s="4">
        <v>34</v>
      </c>
      <c r="I56" s="1">
        <v>350</v>
      </c>
      <c r="J56" s="4">
        <v>450</v>
      </c>
      <c r="K56" s="5">
        <v>452</v>
      </c>
      <c r="L56" s="3">
        <v>32900</v>
      </c>
      <c r="M56" s="5">
        <v>76.575869689672942</v>
      </c>
      <c r="N56" s="8">
        <v>1.3738601823708207E-2</v>
      </c>
      <c r="O56" s="3">
        <v>90</v>
      </c>
      <c r="P56" s="5">
        <v>500</v>
      </c>
      <c r="Q56" s="3">
        <v>0.74</v>
      </c>
      <c r="R56" s="12">
        <f t="shared" si="2"/>
        <v>2.5000000000000001E-3</v>
      </c>
      <c r="V56" s="3">
        <f t="shared" si="0"/>
        <v>0.40509915044458422</v>
      </c>
      <c r="W56" s="3">
        <f t="shared" si="3"/>
        <v>0.54743128438457322</v>
      </c>
      <c r="Y56" s="3">
        <f t="shared" si="1"/>
        <v>0.4058776340561745</v>
      </c>
      <c r="Z56" s="3">
        <f t="shared" si="4"/>
        <v>0.5484832892651007</v>
      </c>
      <c r="AB56" s="3">
        <f>$AC$2*($AC$3+$AC$4*$F56/($N56*'Dataset sem TS MC2020'!P48))*($AC$5*$G56+$AC$6*$B56/$N56)*'Dataset sem TS MC2020'!R48*($J56-$M56)/($J56-$M56-$H56)</f>
        <v>0.41387593179882992</v>
      </c>
      <c r="AC56" s="3">
        <f t="shared" si="5"/>
        <v>0.55929179972814858</v>
      </c>
      <c r="AD56" s="16">
        <f t="shared" si="6"/>
        <v>-0.32612406820117007</v>
      </c>
      <c r="AE56" s="17">
        <f t="shared" si="7"/>
        <v>1.7879754369473388</v>
      </c>
      <c r="AF56" s="17">
        <f>AB56*(14.068*'Dataset sem TS MC2020'!$P48^-0.457)/$Q56</f>
        <v>0.45966508751119833</v>
      </c>
      <c r="AG56" s="17"/>
      <c r="AO56" s="3">
        <f>$AP$2*($AP$3+$AP$4*$F56/($N56*'Dataset sem TS MC2020'!P48))*($AP$5*$G56+$AP$6*$B56/$N56)*('Dataset sem TS MC2020'!P48^$AP$7/200000)*($J56-$M56)/($J56-$M56-$H56)+('Dataset sem TS MC2020'!P48-$C56/$AP$8)*($AP$5*$G56+$AP$6*$B56/$N56)/200000</f>
        <v>0.41792714618673799</v>
      </c>
      <c r="AP56" s="3">
        <f t="shared" si="8"/>
        <v>0.56476641376586212</v>
      </c>
      <c r="AQ56" s="16">
        <f t="shared" si="9"/>
        <v>-0.32207285381326201</v>
      </c>
    </row>
    <row r="57" spans="1:43" x14ac:dyDescent="0.3">
      <c r="A57" s="1" t="s">
        <v>13</v>
      </c>
      <c r="B57" s="4">
        <v>12</v>
      </c>
      <c r="C57" s="5">
        <v>500</v>
      </c>
      <c r="D57" s="5">
        <v>4</v>
      </c>
      <c r="E57" s="4">
        <v>79.3</v>
      </c>
      <c r="F57" s="3">
        <v>2.6933292113182881</v>
      </c>
      <c r="G57" s="4">
        <v>20</v>
      </c>
      <c r="H57" s="4">
        <v>34</v>
      </c>
      <c r="I57" s="1">
        <v>350</v>
      </c>
      <c r="J57" s="4">
        <v>450</v>
      </c>
      <c r="K57" s="5">
        <v>452</v>
      </c>
      <c r="L57" s="3">
        <v>32900</v>
      </c>
      <c r="M57" s="5">
        <v>76.575869689672942</v>
      </c>
      <c r="N57" s="8">
        <v>1.3738601823708207E-2</v>
      </c>
      <c r="O57" s="3">
        <v>37.5</v>
      </c>
      <c r="P57" s="5">
        <v>94.152135862731086</v>
      </c>
      <c r="Q57" s="3">
        <v>0.17</v>
      </c>
      <c r="R57" s="12">
        <f t="shared" si="2"/>
        <v>4.7076067931365543E-4</v>
      </c>
      <c r="V57" s="3">
        <f t="shared" si="0"/>
        <v>0.14459392894446282</v>
      </c>
      <c r="W57" s="3">
        <f t="shared" si="3"/>
        <v>0.85055252320272245</v>
      </c>
      <c r="Y57" s="3">
        <f t="shared" si="1"/>
        <v>0.14223527221134519</v>
      </c>
      <c r="Z57" s="3">
        <f t="shared" si="4"/>
        <v>0.83667807183144227</v>
      </c>
      <c r="AB57" s="3">
        <f>$AC$2*($AC$3+$AC$4*$F57/($N57*'Dataset sem TS MC2020'!P49))*($AC$5*$G57+$AC$6*$B57/$N57)*'Dataset sem TS MC2020'!R49*($J57-$M57)/($J57-$M57-$H57)</f>
        <v>0.11133971701354324</v>
      </c>
      <c r="AC57" s="3">
        <f t="shared" si="5"/>
        <v>0.65493951184437194</v>
      </c>
      <c r="AD57" s="16">
        <f t="shared" si="6"/>
        <v>-5.8660282986456772E-2</v>
      </c>
      <c r="AE57" s="17">
        <f t="shared" si="7"/>
        <v>1.5268585600888622</v>
      </c>
      <c r="AF57" s="17">
        <f>AB57*(14.068*'Dataset sem TS MC2020'!$P49^-0.457)/$Q57</f>
        <v>0.79589813524094677</v>
      </c>
      <c r="AG57" s="17"/>
      <c r="AO57" s="3">
        <f>$AP$2*($AP$3+$AP$4*$F57/($N57*'Dataset sem TS MC2020'!P49))*($AP$5*$G57+$AP$6*$B57/$N57)*('Dataset sem TS MC2020'!P49^$AP$7/200000)*($J57-$M57)/($J57-$M57-$H57)+('Dataset sem TS MC2020'!P49-$C57/$AP$8)*($AP$5*$G57+$AP$6*$B57/$N57)/200000</f>
        <v>0.12024086709942797</v>
      </c>
      <c r="AP57" s="3">
        <f t="shared" si="8"/>
        <v>0.70729921823192921</v>
      </c>
      <c r="AQ57" s="16">
        <f t="shared" si="9"/>
        <v>-4.9759132900572045E-2</v>
      </c>
    </row>
    <row r="58" spans="1:43" x14ac:dyDescent="0.3">
      <c r="B58" s="4">
        <v>12</v>
      </c>
      <c r="C58" s="5">
        <v>500</v>
      </c>
      <c r="D58" s="5">
        <v>4</v>
      </c>
      <c r="E58" s="4">
        <v>79.3</v>
      </c>
      <c r="F58" s="3">
        <v>2.6933292113182881</v>
      </c>
      <c r="G58" s="4">
        <v>20</v>
      </c>
      <c r="H58" s="4">
        <v>34</v>
      </c>
      <c r="I58" s="1">
        <v>350</v>
      </c>
      <c r="J58" s="4">
        <v>450</v>
      </c>
      <c r="K58" s="5">
        <v>452</v>
      </c>
      <c r="L58" s="3">
        <v>32900</v>
      </c>
      <c r="M58" s="5">
        <v>76.575869689672942</v>
      </c>
      <c r="N58" s="8">
        <v>1.3738601823708207E-2</v>
      </c>
      <c r="O58" s="3">
        <v>52.5</v>
      </c>
      <c r="P58" s="5">
        <v>217.43532218142514</v>
      </c>
      <c r="Q58" s="3">
        <v>0.36</v>
      </c>
      <c r="R58" s="12">
        <f t="shared" si="2"/>
        <v>1.0871766109071257E-3</v>
      </c>
      <c r="V58" s="3">
        <f t="shared" si="0"/>
        <v>0.2423424583508875</v>
      </c>
      <c r="W58" s="3">
        <f t="shared" si="3"/>
        <v>0.67317349541913196</v>
      </c>
      <c r="Y58" s="3">
        <f t="shared" si="1"/>
        <v>0.24059425774653773</v>
      </c>
      <c r="Z58" s="3">
        <f t="shared" si="4"/>
        <v>0.66831738262927154</v>
      </c>
      <c r="AB58" s="3">
        <f>$AC$2*($AC$3+$AC$4*$F58/($N58*'Dataset sem TS MC2020'!P50))*($AC$5*$G58+$AC$6*$B58/$N58)*'Dataset sem TS MC2020'!R50*($J58-$M58)/($J58-$M58-$H58)</f>
        <v>0.20076407277913519</v>
      </c>
      <c r="AC58" s="3">
        <f t="shared" si="5"/>
        <v>0.55767797994204216</v>
      </c>
      <c r="AD58" s="16">
        <f t="shared" si="6"/>
        <v>-0.1592359272208648</v>
      </c>
      <c r="AE58" s="17">
        <f t="shared" si="7"/>
        <v>1.7931495163282709</v>
      </c>
      <c r="AF58" s="17">
        <f>AB58*(14.068*'Dataset sem TS MC2020'!$P50^-0.457)/$Q58</f>
        <v>0.58111124527284241</v>
      </c>
      <c r="AG58" s="17"/>
      <c r="AO58" s="3">
        <f>$AP$2*($AP$3+$AP$4*$F58/($N58*'Dataset sem TS MC2020'!P50))*($AP$5*$G58+$AP$6*$B58/$N58)*('Dataset sem TS MC2020'!P50^$AP$7/200000)*($J58-$M58)/($J58-$M58-$H58)+('Dataset sem TS MC2020'!P50-$C58/$AP$8)*($AP$5*$G58+$AP$6*$B58/$N58)/200000</f>
        <v>0.21466504112730833</v>
      </c>
      <c r="AP58" s="3">
        <f t="shared" si="8"/>
        <v>0.59629178090918988</v>
      </c>
      <c r="AQ58" s="16">
        <f t="shared" si="9"/>
        <v>-0.14533495887269166</v>
      </c>
    </row>
    <row r="59" spans="1:43" x14ac:dyDescent="0.3">
      <c r="B59" s="4">
        <v>12</v>
      </c>
      <c r="C59" s="5">
        <v>500</v>
      </c>
      <c r="D59" s="5">
        <v>4</v>
      </c>
      <c r="E59" s="4">
        <v>79.3</v>
      </c>
      <c r="F59" s="3">
        <v>2.6933292113182881</v>
      </c>
      <c r="G59" s="4">
        <v>20</v>
      </c>
      <c r="H59" s="4">
        <v>34</v>
      </c>
      <c r="I59" s="1">
        <v>350</v>
      </c>
      <c r="J59" s="4">
        <v>450</v>
      </c>
      <c r="K59" s="5">
        <v>452</v>
      </c>
      <c r="L59" s="3">
        <v>32900</v>
      </c>
      <c r="M59" s="5">
        <v>76.575869689672942</v>
      </c>
      <c r="N59" s="8">
        <v>1.3738601823708207E-2</v>
      </c>
      <c r="O59" s="3">
        <v>67.5</v>
      </c>
      <c r="P59" s="5">
        <v>340.71850850011936</v>
      </c>
      <c r="Q59" s="3">
        <v>0.56000000000000005</v>
      </c>
      <c r="R59" s="12">
        <f t="shared" si="2"/>
        <v>1.7035925425005968E-3</v>
      </c>
      <c r="V59" s="3">
        <f t="shared" si="0"/>
        <v>0.31973118894321201</v>
      </c>
      <c r="W59" s="3">
        <f t="shared" si="3"/>
        <v>0.57094855168430714</v>
      </c>
      <c r="Y59" s="3">
        <f t="shared" si="1"/>
        <v>0.31899690783406282</v>
      </c>
      <c r="Z59" s="3">
        <f t="shared" si="4"/>
        <v>0.56963733541796924</v>
      </c>
      <c r="AB59" s="3">
        <f>$AC$2*($AC$3+$AC$4*$F59/($N59*'Dataset sem TS MC2020'!P51))*($AC$5*$G59+$AC$6*$B59/$N59)*'Dataset sem TS MC2020'!R51*($J59-$M59)/($J59-$M59-$H59)</f>
        <v>0.29018842854472726</v>
      </c>
      <c r="AC59" s="3">
        <f t="shared" si="5"/>
        <v>0.51819362240129863</v>
      </c>
      <c r="AD59" s="16">
        <f t="shared" si="6"/>
        <v>-0.26981157145527279</v>
      </c>
      <c r="AE59" s="17">
        <f t="shared" si="7"/>
        <v>1.9297806008611618</v>
      </c>
      <c r="AF59" s="17">
        <f>AB59*(14.068*'Dataset sem TS MC2020'!$P51^-0.457)/$Q59</f>
        <v>0.48138086638586269</v>
      </c>
      <c r="AG59" s="17"/>
      <c r="AO59" s="3">
        <f>$AP$2*($AP$3+$AP$4*$F59/($N59*'Dataset sem TS MC2020'!P51))*($AP$5*$G59+$AP$6*$B59/$N59)*('Dataset sem TS MC2020'!P51^$AP$7/200000)*($J59-$M59)/($J59-$M59-$H59)+('Dataset sem TS MC2020'!P51-$C59/$AP$8)*($AP$5*$G59+$AP$6*$B59/$N59)/200000</f>
        <v>0.30280064382959709</v>
      </c>
      <c r="AP59" s="3">
        <f t="shared" si="8"/>
        <v>0.54071543540999478</v>
      </c>
      <c r="AQ59" s="16">
        <f t="shared" si="9"/>
        <v>-0.25719935617040296</v>
      </c>
    </row>
    <row r="60" spans="1:43" x14ac:dyDescent="0.3">
      <c r="B60" s="4">
        <v>12</v>
      </c>
      <c r="C60" s="5">
        <v>500</v>
      </c>
      <c r="D60" s="5">
        <v>4</v>
      </c>
      <c r="E60" s="4">
        <v>79.3</v>
      </c>
      <c r="F60" s="3">
        <v>2.6933292113182881</v>
      </c>
      <c r="G60" s="4">
        <v>20</v>
      </c>
      <c r="H60" s="4">
        <v>34</v>
      </c>
      <c r="I60" s="1">
        <v>350</v>
      </c>
      <c r="J60" s="4">
        <v>450</v>
      </c>
      <c r="K60" s="5">
        <v>452</v>
      </c>
      <c r="L60" s="3">
        <v>32900</v>
      </c>
      <c r="M60" s="5">
        <v>76.575869689672942</v>
      </c>
      <c r="N60" s="8">
        <v>1.3738601823708207E-2</v>
      </c>
      <c r="O60" s="3">
        <v>90</v>
      </c>
      <c r="P60" s="5">
        <v>500</v>
      </c>
      <c r="Q60" s="3">
        <v>0.78</v>
      </c>
      <c r="R60" s="12">
        <f t="shared" si="2"/>
        <v>2.5000000000000001E-3</v>
      </c>
      <c r="V60" s="3">
        <f t="shared" si="0"/>
        <v>0.40509915044458422</v>
      </c>
      <c r="W60" s="3">
        <f t="shared" si="3"/>
        <v>0.51935788518536441</v>
      </c>
      <c r="Y60" s="3">
        <f t="shared" si="1"/>
        <v>0.4058776340561745</v>
      </c>
      <c r="Z60" s="3">
        <f t="shared" si="4"/>
        <v>0.52035594109765959</v>
      </c>
      <c r="AB60" s="3">
        <f>$AC$2*($AC$3+$AC$4*$F60/($N60*'Dataset sem TS MC2020'!P52))*($AC$5*$G60+$AC$6*$B60/$N60)*'Dataset sem TS MC2020'!R52*($J60-$M60)/($J60-$M60-$H60)</f>
        <v>0.41387593179882992</v>
      </c>
      <c r="AC60" s="3">
        <f t="shared" si="5"/>
        <v>0.53061016897285884</v>
      </c>
      <c r="AD60" s="16">
        <f t="shared" si="6"/>
        <v>-0.36612406820117011</v>
      </c>
      <c r="AE60" s="17">
        <f t="shared" si="7"/>
        <v>1.8846227578634114</v>
      </c>
      <c r="AF60" s="17">
        <f>AB60*(14.068*'Dataset sem TS MC2020'!$P52^-0.457)/$Q60</f>
        <v>0.43609251892088041</v>
      </c>
      <c r="AG60" s="17"/>
      <c r="AO60" s="3">
        <f>$AP$2*($AP$3+$AP$4*$F60/($N60*'Dataset sem TS MC2020'!P52))*($AP$5*$G60+$AP$6*$B60/$N60)*('Dataset sem TS MC2020'!P52^$AP$7/200000)*($J60-$M60)/($J60-$M60-$H60)+('Dataset sem TS MC2020'!P52-$C60/$AP$8)*($AP$5*$G60+$AP$6*$B60/$N60)/200000</f>
        <v>0.41792714618673799</v>
      </c>
      <c r="AP60" s="3">
        <f t="shared" si="8"/>
        <v>0.53580403357274098</v>
      </c>
      <c r="AQ60" s="16">
        <f t="shared" si="9"/>
        <v>-0.36207285381326204</v>
      </c>
    </row>
    <row r="61" spans="1:43" x14ac:dyDescent="0.3">
      <c r="A61" s="1" t="s">
        <v>14</v>
      </c>
      <c r="B61" s="4">
        <v>12</v>
      </c>
      <c r="C61" s="5">
        <v>500</v>
      </c>
      <c r="D61" s="5">
        <v>4</v>
      </c>
      <c r="E61" s="4">
        <v>46</v>
      </c>
      <c r="F61" s="3">
        <v>2.6933292113182881</v>
      </c>
      <c r="G61" s="4">
        <v>70</v>
      </c>
      <c r="H61" s="4">
        <v>88</v>
      </c>
      <c r="I61" s="1">
        <v>350</v>
      </c>
      <c r="J61" s="4">
        <v>450</v>
      </c>
      <c r="K61" s="5">
        <v>452</v>
      </c>
      <c r="L61" s="3">
        <v>42000</v>
      </c>
      <c r="M61" s="5">
        <v>70.913891854445922</v>
      </c>
      <c r="N61" s="8">
        <v>1.0761904761904762E-2</v>
      </c>
      <c r="O61" s="3">
        <v>37.5</v>
      </c>
      <c r="P61" s="5">
        <v>115.38349719943332</v>
      </c>
      <c r="Q61" s="3">
        <v>0.31</v>
      </c>
      <c r="R61" s="12">
        <f t="shared" si="2"/>
        <v>5.7691748599716659E-4</v>
      </c>
      <c r="V61" s="3">
        <f t="shared" si="0"/>
        <v>0.18107656453246981</v>
      </c>
      <c r="W61" s="3">
        <f t="shared" si="3"/>
        <v>0.58411795010474132</v>
      </c>
      <c r="Y61" s="3">
        <f t="shared" si="1"/>
        <v>0.1816191597291725</v>
      </c>
      <c r="Z61" s="3">
        <f t="shared" si="4"/>
        <v>0.58586825719087909</v>
      </c>
      <c r="AB61" s="3">
        <f>$AC$2*($AC$3+$AC$4*$F61/($N61*'Dataset sem TS MC2020'!P53))*($AC$5*$G61+$AC$6*$B61/$N61)*'Dataset sem TS MC2020'!R53*($J61-$M61)/($J61-$M61-$H61)</f>
        <v>0.21560411261512683</v>
      </c>
      <c r="AC61" s="3">
        <f t="shared" si="5"/>
        <v>0.69549713746815101</v>
      </c>
      <c r="AD61" s="16">
        <f t="shared" si="6"/>
        <v>-9.4395887384873173E-2</v>
      </c>
      <c r="AE61" s="17">
        <f t="shared" si="7"/>
        <v>1.4378204396934604</v>
      </c>
      <c r="AF61" s="17">
        <f>AB61*(14.068*'Dataset sem TS MC2020'!$P53^-0.457)/$Q61</f>
        <v>0.79162789013068724</v>
      </c>
      <c r="AG61" s="17"/>
      <c r="AO61" s="3">
        <f>$AP$2*($AP$3+$AP$4*$F61/($N61*'Dataset sem TS MC2020'!P53))*($AP$5*$G61+$AP$6*$B61/$N61)*('Dataset sem TS MC2020'!P53^$AP$7/200000)*($J61-$M61)/($J61-$M61-$H61)+('Dataset sem TS MC2020'!P53-$C61/$AP$8)*($AP$5*$G61+$AP$6*$B61/$N61)/200000</f>
        <v>0.22249063072916961</v>
      </c>
      <c r="AP61" s="3">
        <f t="shared" si="8"/>
        <v>0.7177117120295794</v>
      </c>
      <c r="AQ61" s="16">
        <f t="shared" si="9"/>
        <v>-8.7509369270830389E-2</v>
      </c>
    </row>
    <row r="62" spans="1:43" x14ac:dyDescent="0.3">
      <c r="B62" s="4">
        <v>12</v>
      </c>
      <c r="C62" s="5">
        <v>500</v>
      </c>
      <c r="D62" s="5">
        <v>4</v>
      </c>
      <c r="E62" s="4">
        <v>46</v>
      </c>
      <c r="F62" s="3">
        <v>2.6933292113182881</v>
      </c>
      <c r="G62" s="4">
        <v>70</v>
      </c>
      <c r="H62" s="4">
        <v>88</v>
      </c>
      <c r="I62" s="1">
        <v>350</v>
      </c>
      <c r="J62" s="4">
        <v>450</v>
      </c>
      <c r="K62" s="5">
        <v>452</v>
      </c>
      <c r="L62" s="3">
        <v>42000</v>
      </c>
      <c r="M62" s="5">
        <v>70.913891854445922</v>
      </c>
      <c r="N62" s="8">
        <v>1.0761904761904762E-2</v>
      </c>
      <c r="O62" s="3">
        <v>45</v>
      </c>
      <c r="P62" s="5">
        <v>192.11618378673876</v>
      </c>
      <c r="Q62" s="3">
        <v>0.44</v>
      </c>
      <c r="R62" s="12">
        <f t="shared" si="2"/>
        <v>9.6058091893369384E-4</v>
      </c>
      <c r="V62" s="3">
        <f t="shared" si="0"/>
        <v>0.24801533958264407</v>
      </c>
      <c r="W62" s="3">
        <f t="shared" si="3"/>
        <v>0.56367122632419109</v>
      </c>
      <c r="Y62" s="3">
        <f t="shared" si="1"/>
        <v>0.25015753053376039</v>
      </c>
      <c r="Z62" s="3">
        <f t="shared" si="4"/>
        <v>0.56853984212218267</v>
      </c>
      <c r="AB62" s="3">
        <f>$AC$2*($AC$3+$AC$4*$F62/($N62*'Dataset sem TS MC2020'!P54))*($AC$5*$G62+$AC$6*$B62/$N62)*'Dataset sem TS MC2020'!R54*($J62-$M62)/($J62-$M62-$H62)</f>
        <v>0.3125683706000803</v>
      </c>
      <c r="AC62" s="3">
        <f t="shared" si="5"/>
        <v>0.71038266045472798</v>
      </c>
      <c r="AD62" s="16">
        <f t="shared" si="6"/>
        <v>-0.1274316293999197</v>
      </c>
      <c r="AE62" s="17">
        <f t="shared" si="7"/>
        <v>1.4076920168066644</v>
      </c>
      <c r="AF62" s="17">
        <f>AB62*(14.068*'Dataset sem TS MC2020'!$P54^-0.457)/$Q62</f>
        <v>0.74393032550266114</v>
      </c>
      <c r="AG62" s="17"/>
      <c r="AO62" s="3">
        <f>$AP$2*($AP$3+$AP$4*$F62/($N62*'Dataset sem TS MC2020'!P54))*($AP$5*$G62+$AP$6*$B62/$N62)*('Dataset sem TS MC2020'!P54^$AP$7/200000)*($J62-$M62)/($J62-$M62-$H62)+('Dataset sem TS MC2020'!P54-$C62/$AP$8)*($AP$5*$G62+$AP$6*$B62/$N62)/200000</f>
        <v>0.32065897936384735</v>
      </c>
      <c r="AP62" s="3">
        <f t="shared" si="8"/>
        <v>0.72877040764510759</v>
      </c>
      <c r="AQ62" s="16">
        <f t="shared" si="9"/>
        <v>-0.11934102063615265</v>
      </c>
    </row>
    <row r="63" spans="1:43" x14ac:dyDescent="0.3">
      <c r="A63" s="1" t="s">
        <v>15</v>
      </c>
      <c r="B63" s="4">
        <v>12</v>
      </c>
      <c r="C63" s="5">
        <v>500</v>
      </c>
      <c r="D63" s="5">
        <v>4</v>
      </c>
      <c r="E63" s="4">
        <v>46</v>
      </c>
      <c r="F63" s="3">
        <v>2.6933292113182881</v>
      </c>
      <c r="G63" s="4">
        <v>70</v>
      </c>
      <c r="H63" s="4">
        <v>84</v>
      </c>
      <c r="I63" s="1">
        <v>350</v>
      </c>
      <c r="J63" s="4">
        <v>450</v>
      </c>
      <c r="K63" s="5">
        <v>452</v>
      </c>
      <c r="L63" s="3">
        <v>42000</v>
      </c>
      <c r="M63" s="5">
        <v>71.347043658761123</v>
      </c>
      <c r="N63" s="8">
        <v>1.0761904761904762E-2</v>
      </c>
      <c r="O63" s="3">
        <v>30</v>
      </c>
      <c r="P63" s="5">
        <v>35.192756624476772</v>
      </c>
      <c r="Q63" s="3">
        <v>0.14000000000000001</v>
      </c>
      <c r="R63" s="12">
        <f t="shared" si="2"/>
        <v>1.7596378312238387E-4</v>
      </c>
      <c r="V63" s="3">
        <f t="shared" si="0"/>
        <v>8.7032460598936975E-2</v>
      </c>
      <c r="W63" s="3">
        <f t="shared" si="3"/>
        <v>0.62166043284954975</v>
      </c>
      <c r="Y63" s="3">
        <f t="shared" si="1"/>
        <v>8.6160474775248574E-2</v>
      </c>
      <c r="Z63" s="3">
        <f t="shared" si="4"/>
        <v>0.61543196268034694</v>
      </c>
      <c r="AB63" s="3">
        <f>$AC$2*($AC$3+$AC$4*$F63/($N63*'Dataset sem TS MC2020'!P55))*($AC$5*$G63+$AC$6*$B63/$N63)*'Dataset sem TS MC2020'!R55*($J63-$M63)/($J63-$M63-$H63)</f>
        <v>0.11275778530277164</v>
      </c>
      <c r="AC63" s="3">
        <f t="shared" si="5"/>
        <v>0.80541275216265451</v>
      </c>
      <c r="AD63" s="16">
        <f t="shared" si="6"/>
        <v>-2.7242214697228373E-2</v>
      </c>
      <c r="AE63" s="17">
        <f t="shared" si="7"/>
        <v>1.2415994126177534</v>
      </c>
      <c r="AF63" s="17">
        <f>AB63*(14.068*'Dataset sem TS MC2020'!$P55^-0.457)/$Q63</f>
        <v>1.0204245830554883</v>
      </c>
      <c r="AG63" s="17"/>
      <c r="AO63" s="3">
        <f>$AP$2*($AP$3+$AP$4*$F63/($N63*'Dataset sem TS MC2020'!P55))*($AP$5*$G63+$AP$6*$B63/$N63)*('Dataset sem TS MC2020'!P55^$AP$7/200000)*($J63-$M63)/($J63-$M63-$H63)+('Dataset sem TS MC2020'!P55-$C63/$AP$8)*($AP$5*$G63+$AP$6*$B63/$N63)/200000</f>
        <v>0.11229392507295555</v>
      </c>
      <c r="AP63" s="3">
        <f t="shared" si="8"/>
        <v>0.80209946480682526</v>
      </c>
      <c r="AQ63" s="16">
        <f t="shared" si="9"/>
        <v>-2.7706074927044466E-2</v>
      </c>
    </row>
    <row r="64" spans="1:43" x14ac:dyDescent="0.3">
      <c r="B64" s="4">
        <v>12</v>
      </c>
      <c r="C64" s="5">
        <v>500</v>
      </c>
      <c r="D64" s="5">
        <v>4</v>
      </c>
      <c r="E64" s="4">
        <v>46</v>
      </c>
      <c r="F64" s="3">
        <v>2.6933292113182881</v>
      </c>
      <c r="G64" s="4">
        <v>70</v>
      </c>
      <c r="H64" s="4">
        <v>84</v>
      </c>
      <c r="I64" s="1">
        <v>350</v>
      </c>
      <c r="J64" s="4">
        <v>450</v>
      </c>
      <c r="K64" s="5">
        <v>452</v>
      </c>
      <c r="L64" s="3">
        <v>42000</v>
      </c>
      <c r="M64" s="5">
        <v>71.347043658761123</v>
      </c>
      <c r="N64" s="8">
        <v>1.0761904761904762E-2</v>
      </c>
      <c r="O64" s="3">
        <v>37.5</v>
      </c>
      <c r="P64" s="5">
        <v>111.06092971486939</v>
      </c>
      <c r="Q64" s="3">
        <v>0.31</v>
      </c>
      <c r="R64" s="12">
        <f t="shared" si="2"/>
        <v>5.5530464857434696E-4</v>
      </c>
      <c r="V64" s="3">
        <f t="shared" si="0"/>
        <v>0.17686052489948342</v>
      </c>
      <c r="W64" s="3">
        <f t="shared" si="3"/>
        <v>0.57051782225639813</v>
      </c>
      <c r="Y64" s="3">
        <f t="shared" si="1"/>
        <v>0.17731599731022216</v>
      </c>
      <c r="Z64" s="3">
        <f t="shared" si="4"/>
        <v>0.57198708809749088</v>
      </c>
      <c r="AB64" s="3">
        <f>$AC$2*($AC$3+$AC$4*$F64/($N64*'Dataset sem TS MC2020'!P56))*($AC$5*$G64+$AC$6*$B64/$N64)*'Dataset sem TS MC2020'!R56*($J64-$M64)/($J64-$M64-$H64)</f>
        <v>0.20736081815751928</v>
      </c>
      <c r="AC64" s="3">
        <f t="shared" si="5"/>
        <v>0.66890586502425575</v>
      </c>
      <c r="AD64" s="16">
        <f t="shared" si="6"/>
        <v>-0.10263918184248072</v>
      </c>
      <c r="AE64" s="17">
        <f t="shared" si="7"/>
        <v>1.4949786693285134</v>
      </c>
      <c r="AF64" s="17">
        <f>AB64*(14.068*'Dataset sem TS MC2020'!$P56^-0.457)/$Q64</f>
        <v>0.76531379039150127</v>
      </c>
      <c r="AG64" s="17"/>
      <c r="AO64" s="3">
        <f>$AP$2*($AP$3+$AP$4*$F64/($N64*'Dataset sem TS MC2020'!P56))*($AP$5*$G64+$AP$6*$B64/$N64)*('Dataset sem TS MC2020'!P56^$AP$7/200000)*($J64-$M64)/($J64-$M64-$H64)+('Dataset sem TS MC2020'!P56-$C64/$AP$8)*($AP$5*$G64+$AP$6*$B64/$N64)/200000</f>
        <v>0.21393013684432272</v>
      </c>
      <c r="AP64" s="3">
        <f t="shared" si="8"/>
        <v>0.69009721562684745</v>
      </c>
      <c r="AQ64" s="16">
        <f t="shared" si="9"/>
        <v>-9.6069863155677282E-2</v>
      </c>
    </row>
    <row r="65" spans="1:43" x14ac:dyDescent="0.3">
      <c r="B65" s="4">
        <v>12</v>
      </c>
      <c r="C65" s="5">
        <v>500</v>
      </c>
      <c r="D65" s="5">
        <v>4</v>
      </c>
      <c r="E65" s="4">
        <v>46</v>
      </c>
      <c r="F65" s="3">
        <v>2.6933292113182881</v>
      </c>
      <c r="G65" s="4">
        <v>70</v>
      </c>
      <c r="H65" s="4">
        <v>84</v>
      </c>
      <c r="I65" s="1">
        <v>350</v>
      </c>
      <c r="J65" s="4">
        <v>450</v>
      </c>
      <c r="K65" s="5">
        <v>452</v>
      </c>
      <c r="L65" s="3">
        <v>42000</v>
      </c>
      <c r="M65" s="5">
        <v>71.347043658761123</v>
      </c>
      <c r="N65" s="8">
        <v>1.0761904761904762E-2</v>
      </c>
      <c r="O65" s="3">
        <v>45</v>
      </c>
      <c r="P65" s="5">
        <v>186.92910280526198</v>
      </c>
      <c r="Q65" s="3">
        <v>0.4</v>
      </c>
      <c r="R65" s="12">
        <f t="shared" si="2"/>
        <v>9.3464551402630991E-4</v>
      </c>
      <c r="V65" s="3">
        <f t="shared" si="0"/>
        <v>0.24386206394937932</v>
      </c>
      <c r="W65" s="3">
        <f t="shared" si="3"/>
        <v>0.6096551598734482</v>
      </c>
      <c r="Y65" s="3">
        <f t="shared" si="1"/>
        <v>0.24589433669669788</v>
      </c>
      <c r="Z65" s="3">
        <f t="shared" si="4"/>
        <v>0.61473584174174467</v>
      </c>
      <c r="AB65" s="3">
        <f>$AC$2*($AC$3+$AC$4*$F65/($N65*'Dataset sem TS MC2020'!P57))*($AC$5*$G65+$AC$6*$B65/$N65)*'Dataset sem TS MC2020'!R57*($J65-$M65)/($J65-$M65-$H65)</f>
        <v>0.30196385101226686</v>
      </c>
      <c r="AC65" s="3">
        <f t="shared" si="5"/>
        <v>0.75490962753066715</v>
      </c>
      <c r="AD65" s="16">
        <f t="shared" si="6"/>
        <v>-9.8036148987733163E-2</v>
      </c>
      <c r="AE65" s="17">
        <f t="shared" si="7"/>
        <v>1.3246618714759686</v>
      </c>
      <c r="AF65" s="17">
        <f>AB65*(14.068*'Dataset sem TS MC2020'!$P57^-0.457)/$Q65</f>
        <v>0.79466423933826702</v>
      </c>
      <c r="AG65" s="17"/>
      <c r="AO65" s="3">
        <f>$AP$2*($AP$3+$AP$4*$F65/($N65*'Dataset sem TS MC2020'!P57))*($AP$5*$G65+$AP$6*$B65/$N65)*('Dataset sem TS MC2020'!P57^$AP$7/200000)*($J65-$M65)/($J65-$M65-$H65)+('Dataset sem TS MC2020'!P57-$C65/$AP$8)*($AP$5*$G65+$AP$6*$B65/$N65)/200000</f>
        <v>0.31007371873965323</v>
      </c>
      <c r="AP65" s="3">
        <f t="shared" si="8"/>
        <v>0.77518429684913304</v>
      </c>
      <c r="AQ65" s="16">
        <f t="shared" si="9"/>
        <v>-8.9926281260346796E-2</v>
      </c>
    </row>
    <row r="66" spans="1:43" x14ac:dyDescent="0.3">
      <c r="A66" s="1" t="s">
        <v>16</v>
      </c>
      <c r="B66" s="4">
        <v>12</v>
      </c>
      <c r="C66" s="5">
        <v>500</v>
      </c>
      <c r="D66" s="5">
        <v>4</v>
      </c>
      <c r="E66" s="4">
        <v>46</v>
      </c>
      <c r="F66" s="3">
        <v>2.6933292113182881</v>
      </c>
      <c r="G66" s="4">
        <v>70</v>
      </c>
      <c r="H66" s="4">
        <v>84</v>
      </c>
      <c r="I66" s="1">
        <v>350</v>
      </c>
      <c r="J66" s="4">
        <v>450</v>
      </c>
      <c r="K66" s="5">
        <v>452</v>
      </c>
      <c r="L66" s="3">
        <v>42000</v>
      </c>
      <c r="M66" s="5">
        <v>71.347043658761123</v>
      </c>
      <c r="N66" s="8">
        <v>1.0761904761904762E-2</v>
      </c>
      <c r="O66" s="3">
        <v>30</v>
      </c>
      <c r="P66" s="5">
        <v>35.192756624476772</v>
      </c>
      <c r="Q66" s="3">
        <v>0.25</v>
      </c>
      <c r="R66" s="12">
        <f t="shared" si="2"/>
        <v>1.7596378312238387E-4</v>
      </c>
      <c r="V66" s="3">
        <f t="shared" si="0"/>
        <v>8.7032460598936975E-2</v>
      </c>
      <c r="W66" s="3">
        <f t="shared" si="3"/>
        <v>0.3481298423957479</v>
      </c>
      <c r="Y66" s="3">
        <f t="shared" si="1"/>
        <v>8.6160474775248574E-2</v>
      </c>
      <c r="Z66" s="3">
        <f t="shared" si="4"/>
        <v>0.3446418991009943</v>
      </c>
      <c r="AB66" s="3">
        <f>$AC$2*($AC$3+$AC$4*$F66/($N66*'Dataset sem TS MC2020'!P58))*($AC$5*$G66+$AC$6*$B66/$N66)*'Dataset sem TS MC2020'!R58*($J66-$M66)/($J66-$M66-$H66)</f>
        <v>0.11275778530277164</v>
      </c>
      <c r="AC66" s="3">
        <f t="shared" si="5"/>
        <v>0.45103114121108656</v>
      </c>
      <c r="AD66" s="16">
        <f t="shared" si="6"/>
        <v>-0.13724221469722836</v>
      </c>
      <c r="AE66" s="17">
        <f t="shared" si="7"/>
        <v>2.2171418082459882</v>
      </c>
      <c r="AF66" s="17">
        <f>AB66*(14.068*'Dataset sem TS MC2020'!$P58^-0.457)/$Q66</f>
        <v>0.57143776651107347</v>
      </c>
      <c r="AG66" s="17"/>
      <c r="AO66" s="3">
        <f>$AP$2*($AP$3+$AP$4*$F66/($N66*'Dataset sem TS MC2020'!P58))*($AP$5*$G66+$AP$6*$B66/$N66)*('Dataset sem TS MC2020'!P58^$AP$7/200000)*($J66-$M66)/($J66-$M66-$H66)+('Dataset sem TS MC2020'!P58-$C66/$AP$8)*($AP$5*$G66+$AP$6*$B66/$N66)/200000</f>
        <v>0.11229392507295555</v>
      </c>
      <c r="AP66" s="3">
        <f t="shared" si="8"/>
        <v>0.44917570029182219</v>
      </c>
      <c r="AQ66" s="16">
        <f t="shared" si="9"/>
        <v>-0.13770607492704445</v>
      </c>
    </row>
    <row r="67" spans="1:43" x14ac:dyDescent="0.3">
      <c r="B67" s="4">
        <v>12</v>
      </c>
      <c r="C67" s="5">
        <v>500</v>
      </c>
      <c r="D67" s="5">
        <v>4</v>
      </c>
      <c r="E67" s="4">
        <v>46</v>
      </c>
      <c r="F67" s="3">
        <v>2.6933292113182881</v>
      </c>
      <c r="G67" s="4">
        <v>70</v>
      </c>
      <c r="H67" s="4">
        <v>84</v>
      </c>
      <c r="I67" s="1">
        <v>350</v>
      </c>
      <c r="J67" s="4">
        <v>450</v>
      </c>
      <c r="K67" s="5">
        <v>452</v>
      </c>
      <c r="L67" s="3">
        <v>42000</v>
      </c>
      <c r="M67" s="5">
        <v>71.347043658761123</v>
      </c>
      <c r="N67" s="8">
        <v>1.0761904761904762E-2</v>
      </c>
      <c r="O67" s="3">
        <v>37.5</v>
      </c>
      <c r="P67" s="5">
        <v>111.06092971486939</v>
      </c>
      <c r="Q67" s="3">
        <v>0.44</v>
      </c>
      <c r="R67" s="12">
        <f t="shared" si="2"/>
        <v>5.5530464857434696E-4</v>
      </c>
      <c r="V67" s="3">
        <f t="shared" si="0"/>
        <v>0.17686052489948342</v>
      </c>
      <c r="W67" s="3">
        <f t="shared" si="3"/>
        <v>0.40195573840791687</v>
      </c>
      <c r="Y67" s="3">
        <f t="shared" si="1"/>
        <v>0.17731599731022216</v>
      </c>
      <c r="Z67" s="3">
        <f t="shared" si="4"/>
        <v>0.40299090297777762</v>
      </c>
      <c r="AB67" s="3">
        <f>$AC$2*($AC$3+$AC$4*$F67/($N67*'Dataset sem TS MC2020'!P59))*($AC$5*$G67+$AC$6*$B67/$N67)*'Dataset sem TS MC2020'!R59*($J67-$M67)/($J67-$M67-$H67)</f>
        <v>0.20736081815751928</v>
      </c>
      <c r="AC67" s="3">
        <f t="shared" si="5"/>
        <v>0.47127458672163475</v>
      </c>
      <c r="AD67" s="16">
        <f t="shared" si="6"/>
        <v>-0.23263918184248072</v>
      </c>
      <c r="AE67" s="17">
        <f t="shared" si="7"/>
        <v>2.12190520807918</v>
      </c>
      <c r="AF67" s="17">
        <f>AB67*(14.068*'Dataset sem TS MC2020'!$P59^-0.457)/$Q67</f>
        <v>0.53919835232128499</v>
      </c>
      <c r="AG67" s="17"/>
      <c r="AO67" s="3">
        <f>$AP$2*($AP$3+$AP$4*$F67/($N67*'Dataset sem TS MC2020'!P59))*($AP$5*$G67+$AP$6*$B67/$N67)*('Dataset sem TS MC2020'!P59^$AP$7/200000)*($J67-$M67)/($J67-$M67-$H67)+('Dataset sem TS MC2020'!P59-$C67/$AP$8)*($AP$5*$G67+$AP$6*$B67/$N67)/200000</f>
        <v>0.21393013684432272</v>
      </c>
      <c r="AP67" s="3">
        <f t="shared" si="8"/>
        <v>0.48620485646436978</v>
      </c>
      <c r="AQ67" s="16">
        <f t="shared" si="9"/>
        <v>-0.22606986315567729</v>
      </c>
    </row>
    <row r="68" spans="1:43" x14ac:dyDescent="0.3">
      <c r="B68" s="4">
        <v>12</v>
      </c>
      <c r="C68" s="5">
        <v>500</v>
      </c>
      <c r="D68" s="5">
        <v>4</v>
      </c>
      <c r="E68" s="4">
        <v>46</v>
      </c>
      <c r="F68" s="3">
        <v>2.6933292113182881</v>
      </c>
      <c r="G68" s="4">
        <v>70</v>
      </c>
      <c r="H68" s="4">
        <v>84</v>
      </c>
      <c r="I68" s="1">
        <v>350</v>
      </c>
      <c r="J68" s="4">
        <v>450</v>
      </c>
      <c r="K68" s="5">
        <v>452</v>
      </c>
      <c r="L68" s="3">
        <v>42000</v>
      </c>
      <c r="M68" s="5">
        <v>71.347043658761123</v>
      </c>
      <c r="N68" s="8">
        <v>1.0761904761904762E-2</v>
      </c>
      <c r="O68" s="3">
        <v>45</v>
      </c>
      <c r="P68" s="5">
        <v>186.92910280526198</v>
      </c>
      <c r="Q68" s="3">
        <v>0.56000000000000005</v>
      </c>
      <c r="R68" s="12">
        <f t="shared" si="2"/>
        <v>9.3464551402630991E-4</v>
      </c>
      <c r="V68" s="3">
        <f t="shared" si="0"/>
        <v>0.24386206394937932</v>
      </c>
      <c r="W68" s="3">
        <f t="shared" si="3"/>
        <v>0.43546797133817733</v>
      </c>
      <c r="Y68" s="3">
        <f t="shared" si="1"/>
        <v>0.24589433669669788</v>
      </c>
      <c r="Z68" s="3">
        <f t="shared" si="4"/>
        <v>0.43909702981553189</v>
      </c>
      <c r="AB68" s="3">
        <f>$AC$2*($AC$3+$AC$4*$F68/($N68*'Dataset sem TS MC2020'!P60))*($AC$5*$G68+$AC$6*$B68/$N68)*'Dataset sem TS MC2020'!R60*($J68-$M68)/($J68-$M68-$H68)</f>
        <v>0.30196385101226686</v>
      </c>
      <c r="AC68" s="3">
        <f t="shared" si="5"/>
        <v>0.53922116252190511</v>
      </c>
      <c r="AD68" s="16">
        <f t="shared" si="6"/>
        <v>-0.25803614898773319</v>
      </c>
      <c r="AE68" s="17">
        <f t="shared" si="7"/>
        <v>1.8545266200663562</v>
      </c>
      <c r="AF68" s="17">
        <f>AB68*(14.068*'Dataset sem TS MC2020'!$P60^-0.457)/$Q68</f>
        <v>0.56761731381304781</v>
      </c>
      <c r="AG68" s="17"/>
      <c r="AO68" s="3">
        <f>$AP$2*($AP$3+$AP$4*$F68/($N68*'Dataset sem TS MC2020'!P60))*($AP$5*$G68+$AP$6*$B68/$N68)*('Dataset sem TS MC2020'!P60^$AP$7/200000)*($J68-$M68)/($J68-$M68-$H68)+('Dataset sem TS MC2020'!P60-$C68/$AP$8)*($AP$5*$G68+$AP$6*$B68/$N68)/200000</f>
        <v>0.31007371873965323</v>
      </c>
      <c r="AP68" s="3">
        <f t="shared" si="8"/>
        <v>0.55370306917795209</v>
      </c>
      <c r="AQ68" s="16">
        <f t="shared" si="9"/>
        <v>-0.24992628126034683</v>
      </c>
    </row>
    <row r="69" spans="1:43" x14ac:dyDescent="0.3">
      <c r="A69" s="1" t="s">
        <v>17</v>
      </c>
      <c r="B69" s="4">
        <v>25</v>
      </c>
      <c r="C69" s="5">
        <v>500</v>
      </c>
      <c r="D69" s="5">
        <v>4</v>
      </c>
      <c r="E69" s="4">
        <v>62</v>
      </c>
      <c r="F69" s="3">
        <v>2.6933292113182881</v>
      </c>
      <c r="G69" s="4">
        <v>20</v>
      </c>
      <c r="H69" s="4">
        <v>40.5</v>
      </c>
      <c r="I69" s="1">
        <v>350</v>
      </c>
      <c r="J69" s="4">
        <v>450</v>
      </c>
      <c r="K69" s="5">
        <v>1964</v>
      </c>
      <c r="L69" s="3">
        <v>49612.5</v>
      </c>
      <c r="M69" s="5">
        <v>141.76646013770139</v>
      </c>
      <c r="N69" s="8">
        <v>3.9586797682035775E-2</v>
      </c>
      <c r="O69" s="3">
        <v>150</v>
      </c>
      <c r="P69" s="5">
        <v>162.97717278922829</v>
      </c>
      <c r="Q69" s="3">
        <v>0.23</v>
      </c>
      <c r="R69" s="12">
        <f t="shared" si="2"/>
        <v>8.1488586394614141E-4</v>
      </c>
      <c r="V69" s="3">
        <f t="shared" si="0"/>
        <v>0.21367411032441672</v>
      </c>
      <c r="W69" s="3">
        <f t="shared" si="3"/>
        <v>0.92901787097572486</v>
      </c>
      <c r="Y69" s="3">
        <f t="shared" si="1"/>
        <v>0.21423707325165578</v>
      </c>
      <c r="Z69" s="3">
        <f t="shared" si="4"/>
        <v>0.93146553587676417</v>
      </c>
      <c r="AB69" s="3">
        <f>$AC$2*($AC$3+$AC$4*$F69/($N69*'Dataset sem TS MC2020'!P61))*($AC$5*$G69+$AC$6*$B69/$N69)*'Dataset sem TS MC2020'!R61*($J69-$M69)/($J69-$M69-$H69)</f>
        <v>0.14579257158923956</v>
      </c>
      <c r="AC69" s="3">
        <f t="shared" si="5"/>
        <v>0.63388074604017197</v>
      </c>
      <c r="AD69" s="16">
        <f t="shared" si="6"/>
        <v>-8.4207428410760454E-2</v>
      </c>
      <c r="AE69" s="17">
        <f t="shared" si="7"/>
        <v>1.5775838061764149</v>
      </c>
      <c r="AF69" s="17">
        <f>AB69*(14.068*'Dataset sem TS MC2020'!$P61^-0.457)/$Q69</f>
        <v>0.77302885030803836</v>
      </c>
      <c r="AG69" s="17"/>
      <c r="AO69" s="3">
        <f>$AP$2*($AP$3+$AP$4*$F69/($N69*'Dataset sem TS MC2020'!P61))*($AP$5*$G69+$AP$6*$B69/$N69)*('Dataset sem TS MC2020'!P61^$AP$7/200000)*($J69-$M69)/($J69-$M69-$H69)+('Dataset sem TS MC2020'!P61-$C69/$AP$8)*($AP$5*$G69+$AP$6*$B69/$N69)/200000</f>
        <v>0.16017905203150987</v>
      </c>
      <c r="AP69" s="3">
        <f t="shared" si="8"/>
        <v>0.69643066100656459</v>
      </c>
      <c r="AQ69" s="16">
        <f t="shared" si="9"/>
        <v>-6.9820947968490144E-2</v>
      </c>
    </row>
    <row r="70" spans="1:43" x14ac:dyDescent="0.3">
      <c r="B70" s="4">
        <v>25</v>
      </c>
      <c r="C70" s="5">
        <v>500</v>
      </c>
      <c r="D70" s="5">
        <v>4</v>
      </c>
      <c r="E70" s="4">
        <v>62</v>
      </c>
      <c r="F70" s="3">
        <v>2.6933292113182881</v>
      </c>
      <c r="G70" s="4">
        <v>20</v>
      </c>
      <c r="H70" s="4">
        <v>40.5</v>
      </c>
      <c r="I70" s="1">
        <v>350</v>
      </c>
      <c r="J70" s="4">
        <v>450</v>
      </c>
      <c r="K70" s="5">
        <v>1964</v>
      </c>
      <c r="L70" s="3">
        <v>49612.5</v>
      </c>
      <c r="M70" s="5">
        <v>141.76646013770139</v>
      </c>
      <c r="N70" s="8">
        <v>3.9586797682035775E-2</v>
      </c>
      <c r="O70" s="3">
        <v>225</v>
      </c>
      <c r="P70" s="5">
        <v>287.49119849251957</v>
      </c>
      <c r="Q70" s="3">
        <v>0.35</v>
      </c>
      <c r="R70" s="12">
        <f t="shared" si="2"/>
        <v>1.4374559924625978E-3</v>
      </c>
      <c r="V70" s="3">
        <f t="shared" si="0"/>
        <v>0.30327808608916634</v>
      </c>
      <c r="W70" s="3">
        <f t="shared" si="3"/>
        <v>0.8665088173976182</v>
      </c>
      <c r="Y70" s="3">
        <f t="shared" si="1"/>
        <v>0.30598154173052489</v>
      </c>
      <c r="Z70" s="3">
        <f t="shared" si="4"/>
        <v>0.87423297637292829</v>
      </c>
      <c r="AB70" s="3">
        <f>$AC$2*($AC$3+$AC$4*$F70/($N70*'Dataset sem TS MC2020'!P62))*($AC$5*$G70+$AC$6*$B70/$N70)*'Dataset sem TS MC2020'!R62*($J70-$M70)/($J70-$M70-$H70)</f>
        <v>0.23421161657772385</v>
      </c>
      <c r="AC70" s="3">
        <f t="shared" si="5"/>
        <v>0.66917604736492531</v>
      </c>
      <c r="AD70" s="16">
        <f t="shared" si="6"/>
        <v>-0.11578838342227613</v>
      </c>
      <c r="AE70" s="17">
        <f t="shared" si="7"/>
        <v>1.4943750660798305</v>
      </c>
      <c r="AF70" s="17">
        <f>AB70*(14.068*'Dataset sem TS MC2020'!$P62^-0.457)/$Q70</f>
        <v>0.67803923332147753</v>
      </c>
      <c r="AG70" s="17"/>
      <c r="AO70" s="3">
        <f>$AP$2*($AP$3+$AP$4*$F70/($N70*'Dataset sem TS MC2020'!P62))*($AP$5*$G70+$AP$6*$B70/$N70)*('Dataset sem TS MC2020'!P62^$AP$7/200000)*($J70-$M70)/($J70-$M70-$H70)+('Dataset sem TS MC2020'!P62-$C70/$AP$8)*($AP$5*$G70+$AP$6*$B70/$N70)/200000</f>
        <v>0.24701002390651849</v>
      </c>
      <c r="AP70" s="3">
        <f t="shared" si="8"/>
        <v>0.70574292544719575</v>
      </c>
      <c r="AQ70" s="16">
        <f t="shared" si="9"/>
        <v>-0.10298997609348148</v>
      </c>
    </row>
    <row r="71" spans="1:43" x14ac:dyDescent="0.3">
      <c r="B71" s="4">
        <v>25</v>
      </c>
      <c r="C71" s="5">
        <v>500</v>
      </c>
      <c r="D71" s="5">
        <v>4</v>
      </c>
      <c r="E71" s="4">
        <v>62</v>
      </c>
      <c r="F71" s="3">
        <v>2.6933292113182881</v>
      </c>
      <c r="G71" s="4">
        <v>20</v>
      </c>
      <c r="H71" s="4">
        <v>40.5</v>
      </c>
      <c r="I71" s="1">
        <v>350</v>
      </c>
      <c r="J71" s="4">
        <v>450</v>
      </c>
      <c r="K71" s="5">
        <v>1964</v>
      </c>
      <c r="L71" s="3">
        <v>49612.5</v>
      </c>
      <c r="M71" s="5">
        <v>141.76646013770139</v>
      </c>
      <c r="N71" s="8">
        <v>3.9586797682035775E-2</v>
      </c>
      <c r="O71" s="3">
        <v>300</v>
      </c>
      <c r="P71" s="5">
        <v>412.00522419581085</v>
      </c>
      <c r="Q71" s="3">
        <v>0.49</v>
      </c>
      <c r="R71" s="12">
        <f t="shared" si="2"/>
        <v>2.0600261209790544E-3</v>
      </c>
      <c r="V71" s="3">
        <f t="shared" si="0"/>
        <v>0.37867327987464783</v>
      </c>
      <c r="W71" s="3">
        <f t="shared" si="3"/>
        <v>0.77280261198907718</v>
      </c>
      <c r="Y71" s="3">
        <f t="shared" si="1"/>
        <v>0.38356407065181264</v>
      </c>
      <c r="Z71" s="3">
        <f t="shared" si="4"/>
        <v>0.78278381765676053</v>
      </c>
      <c r="AB71" s="3">
        <f>$AC$2*($AC$3+$AC$4*$F71/($N71*'Dataset sem TS MC2020'!P63))*($AC$5*$G71+$AC$6*$B71/$N71)*'Dataset sem TS MC2020'!R63*($J71-$M71)/($J71-$M71-$H71)</f>
        <v>0.32263066156620812</v>
      </c>
      <c r="AC71" s="3">
        <f t="shared" si="5"/>
        <v>0.65842992156369007</v>
      </c>
      <c r="AD71" s="16">
        <f t="shared" si="6"/>
        <v>-0.16736933843379187</v>
      </c>
      <c r="AE71" s="17">
        <f t="shared" si="7"/>
        <v>1.5187645142631474</v>
      </c>
      <c r="AF71" s="17">
        <f>AB71*(14.068*'Dataset sem TS MC2020'!$P63^-0.457)/$Q71</f>
        <v>0.58496110865107687</v>
      </c>
      <c r="AG71" s="17"/>
      <c r="AO71" s="3">
        <f>$AP$2*($AP$3+$AP$4*$F71/($N71*'Dataset sem TS MC2020'!P63))*($AP$5*$G71+$AP$6*$B71/$N71)*('Dataset sem TS MC2020'!P63^$AP$7/200000)*($J71-$M71)/($J71-$M71-$H71)+('Dataset sem TS MC2020'!P63-$C71/$AP$8)*($AP$5*$G71+$AP$6*$B71/$N71)/200000</f>
        <v>0.32837030982354404</v>
      </c>
      <c r="AP71" s="3">
        <f t="shared" si="8"/>
        <v>0.67014348943580415</v>
      </c>
      <c r="AQ71" s="16">
        <f t="shared" si="9"/>
        <v>-0.16162969017645595</v>
      </c>
    </row>
    <row r="72" spans="1:43" x14ac:dyDescent="0.3">
      <c r="B72" s="4">
        <v>25</v>
      </c>
      <c r="C72" s="5">
        <v>500</v>
      </c>
      <c r="D72" s="5">
        <v>4</v>
      </c>
      <c r="E72" s="4">
        <v>62</v>
      </c>
      <c r="F72" s="3">
        <v>2.6933292113182881</v>
      </c>
      <c r="G72" s="4">
        <v>20</v>
      </c>
      <c r="H72" s="4">
        <v>40.5</v>
      </c>
      <c r="I72" s="1">
        <v>350</v>
      </c>
      <c r="J72" s="4">
        <v>450</v>
      </c>
      <c r="K72" s="5">
        <v>1964</v>
      </c>
      <c r="L72" s="3">
        <v>49612.5</v>
      </c>
      <c r="M72" s="5">
        <v>141.76646013770139</v>
      </c>
      <c r="N72" s="8">
        <v>3.9586797682035775E-2</v>
      </c>
      <c r="O72" s="3">
        <v>375</v>
      </c>
      <c r="P72" s="5">
        <v>500</v>
      </c>
      <c r="Q72" s="3">
        <v>0.67</v>
      </c>
      <c r="R72" s="12">
        <f t="shared" si="2"/>
        <v>2.5000000000000001E-3</v>
      </c>
      <c r="V72" s="3">
        <f t="shared" si="0"/>
        <v>0.42671132960634667</v>
      </c>
      <c r="W72" s="3">
        <f t="shared" si="3"/>
        <v>0.63688258150200994</v>
      </c>
      <c r="Y72" s="3">
        <f t="shared" si="1"/>
        <v>0.43314386927416509</v>
      </c>
      <c r="Z72" s="3">
        <f t="shared" si="4"/>
        <v>0.64648338697636576</v>
      </c>
      <c r="AB72" s="3">
        <f>$AC$2*($AC$3+$AC$4*$F72/($N72*'Dataset sem TS MC2020'!P64))*($AC$5*$G72+$AC$6*$B72/$N72)*'Dataset sem TS MC2020'!R64*($J72-$M72)/($J72-$M72-$H72)</f>
        <v>0.38832496516805304</v>
      </c>
      <c r="AC72" s="3">
        <f t="shared" si="5"/>
        <v>0.57958950025082534</v>
      </c>
      <c r="AD72" s="16">
        <f t="shared" si="6"/>
        <v>-0.281675034831947</v>
      </c>
      <c r="AE72" s="17">
        <f t="shared" si="7"/>
        <v>1.7253590680425306</v>
      </c>
      <c r="AF72" s="17">
        <f>AB72*(14.068*'Dataset sem TS MC2020'!$P64^-0.457)/$Q72</f>
        <v>0.47634715631958668</v>
      </c>
      <c r="AG72" s="17"/>
      <c r="AO72" s="3">
        <f>$AP$2*($AP$3+$AP$4*$F72/($N72*'Dataset sem TS MC2020'!P64))*($AP$5*$G72+$AP$6*$B72/$N72)*('Dataset sem TS MC2020'!P64^$AP$7/200000)*($J72-$M72)/($J72-$M72-$H72)+('Dataset sem TS MC2020'!P64-$C72/$AP$8)*($AP$5*$G72+$AP$6*$B72/$N72)/200000</f>
        <v>0.38636491633700892</v>
      </c>
      <c r="AP72" s="3">
        <f t="shared" si="8"/>
        <v>0.57666405423434164</v>
      </c>
      <c r="AQ72" s="16">
        <f t="shared" si="9"/>
        <v>-0.28363508366299112</v>
      </c>
    </row>
    <row r="73" spans="1:43" x14ac:dyDescent="0.3">
      <c r="A73" s="1" t="s">
        <v>18</v>
      </c>
      <c r="B73" s="4">
        <v>25</v>
      </c>
      <c r="C73" s="5">
        <v>500</v>
      </c>
      <c r="D73" s="5">
        <v>4</v>
      </c>
      <c r="E73" s="4">
        <v>62</v>
      </c>
      <c r="F73" s="3">
        <v>2.6933292113182881</v>
      </c>
      <c r="G73" s="4">
        <v>20</v>
      </c>
      <c r="H73" s="4">
        <v>40.5</v>
      </c>
      <c r="I73" s="1">
        <v>350</v>
      </c>
      <c r="J73" s="4">
        <v>450</v>
      </c>
      <c r="K73" s="5">
        <v>1964</v>
      </c>
      <c r="L73" s="3">
        <v>49612.5</v>
      </c>
      <c r="M73" s="5">
        <v>141.76646013770139</v>
      </c>
      <c r="N73" s="8">
        <v>3.9586797682035775E-2</v>
      </c>
      <c r="O73" s="3">
        <v>150</v>
      </c>
      <c r="P73" s="5">
        <v>162.97717278922829</v>
      </c>
      <c r="Q73" s="3">
        <v>0.27</v>
      </c>
      <c r="R73" s="12">
        <f t="shared" si="2"/>
        <v>8.1488586394614141E-4</v>
      </c>
      <c r="V73" s="3">
        <f t="shared" si="0"/>
        <v>0.21367411032441672</v>
      </c>
      <c r="W73" s="3">
        <f t="shared" si="3"/>
        <v>0.79138559379413598</v>
      </c>
      <c r="Y73" s="3">
        <f t="shared" si="1"/>
        <v>0.21423707325165578</v>
      </c>
      <c r="Z73" s="3">
        <f t="shared" si="4"/>
        <v>0.79347064167279913</v>
      </c>
      <c r="AB73" s="3">
        <f>$AC$2*($AC$3+$AC$4*$F73/($N73*'Dataset sem TS MC2020'!P65))*($AC$5*$G73+$AC$6*$B73/$N73)*'Dataset sem TS MC2020'!R65*($J73-$M73)/($J73-$M73-$H73)</f>
        <v>0.14579257158923956</v>
      </c>
      <c r="AC73" s="3">
        <f t="shared" si="5"/>
        <v>0.53997248736755388</v>
      </c>
      <c r="AD73" s="16">
        <f t="shared" si="6"/>
        <v>-0.12420742841076046</v>
      </c>
      <c r="AE73" s="17">
        <f t="shared" si="7"/>
        <v>1.8519462072505741</v>
      </c>
      <c r="AF73" s="17">
        <f>AB73*(14.068*'Dataset sem TS MC2020'!$P65^-0.457)/$Q73</f>
        <v>0.65850605766981041</v>
      </c>
      <c r="AG73" s="17"/>
      <c r="AO73" s="3">
        <f>$AP$2*($AP$3+$AP$4*$F73/($N73*'Dataset sem TS MC2020'!P65))*($AP$5*$G73+$AP$6*$B73/$N73)*('Dataset sem TS MC2020'!P65^$AP$7/200000)*($J73-$M73)/($J73-$M73-$H73)+('Dataset sem TS MC2020'!P65-$C73/$AP$8)*($AP$5*$G73+$AP$6*$B73/$N73)/200000</f>
        <v>0.16017905203150987</v>
      </c>
      <c r="AP73" s="3">
        <f t="shared" si="8"/>
        <v>0.59325574826485128</v>
      </c>
      <c r="AQ73" s="16">
        <f t="shared" si="9"/>
        <v>-0.10982094796849015</v>
      </c>
    </row>
    <row r="74" spans="1:43" x14ac:dyDescent="0.3">
      <c r="B74" s="4">
        <v>25</v>
      </c>
      <c r="C74" s="5">
        <v>500</v>
      </c>
      <c r="D74" s="5">
        <v>4</v>
      </c>
      <c r="E74" s="4">
        <v>62</v>
      </c>
      <c r="F74" s="3">
        <v>2.6933292113182881</v>
      </c>
      <c r="G74" s="4">
        <v>20</v>
      </c>
      <c r="H74" s="4">
        <v>40.5</v>
      </c>
      <c r="I74" s="1">
        <v>350</v>
      </c>
      <c r="J74" s="4">
        <v>450</v>
      </c>
      <c r="K74" s="5">
        <v>1964</v>
      </c>
      <c r="L74" s="3">
        <v>49612.5</v>
      </c>
      <c r="M74" s="5">
        <v>141.76646013770139</v>
      </c>
      <c r="N74" s="8">
        <v>3.9586797682035775E-2</v>
      </c>
      <c r="O74" s="3">
        <v>225</v>
      </c>
      <c r="P74" s="5">
        <v>287.49119849251957</v>
      </c>
      <c r="Q74" s="3">
        <v>0.4</v>
      </c>
      <c r="R74" s="12">
        <f t="shared" si="2"/>
        <v>1.4374559924625978E-3</v>
      </c>
      <c r="V74" s="3">
        <f t="shared" si="0"/>
        <v>0.30327808608916634</v>
      </c>
      <c r="W74" s="3">
        <f t="shared" si="3"/>
        <v>0.75819521522291577</v>
      </c>
      <c r="Y74" s="3">
        <f t="shared" si="1"/>
        <v>0.30598154173052489</v>
      </c>
      <c r="Z74" s="3">
        <f t="shared" si="4"/>
        <v>0.76495385432631213</v>
      </c>
      <c r="AB74" s="3">
        <f>$AC$2*($AC$3+$AC$4*$F74/($N74*'Dataset sem TS MC2020'!P66))*($AC$5*$G74+$AC$6*$B74/$N74)*'Dataset sem TS MC2020'!R66*($J74-$M74)/($J74-$M74-$H74)</f>
        <v>0.23421161657772385</v>
      </c>
      <c r="AC74" s="3">
        <f t="shared" si="5"/>
        <v>0.58552904144430962</v>
      </c>
      <c r="AD74" s="16">
        <f t="shared" si="6"/>
        <v>-0.16578838342227617</v>
      </c>
      <c r="AE74" s="17">
        <f t="shared" si="7"/>
        <v>1.7078572183769491</v>
      </c>
      <c r="AF74" s="17">
        <f>AB74*(14.068*'Dataset sem TS MC2020'!$P66^-0.457)/$Q74</f>
        <v>0.59328432915629281</v>
      </c>
      <c r="AG74" s="17"/>
      <c r="AO74" s="3">
        <f>$AP$2*($AP$3+$AP$4*$F74/($N74*'Dataset sem TS MC2020'!P66))*($AP$5*$G74+$AP$6*$B74/$N74)*('Dataset sem TS MC2020'!P66^$AP$7/200000)*($J74-$M74)/($J74-$M74-$H74)+('Dataset sem TS MC2020'!P66-$C74/$AP$8)*($AP$5*$G74+$AP$6*$B74/$N74)/200000</f>
        <v>0.24701002390651849</v>
      </c>
      <c r="AP74" s="3">
        <f t="shared" si="8"/>
        <v>0.61752505976629624</v>
      </c>
      <c r="AQ74" s="16">
        <f t="shared" si="9"/>
        <v>-0.15298997609348153</v>
      </c>
    </row>
    <row r="75" spans="1:43" x14ac:dyDescent="0.3">
      <c r="B75" s="4">
        <v>25</v>
      </c>
      <c r="C75" s="5">
        <v>500</v>
      </c>
      <c r="D75" s="5">
        <v>4</v>
      </c>
      <c r="E75" s="4">
        <v>62</v>
      </c>
      <c r="F75" s="3">
        <v>2.6933292113182881</v>
      </c>
      <c r="G75" s="4">
        <v>20</v>
      </c>
      <c r="H75" s="4">
        <v>40.5</v>
      </c>
      <c r="I75" s="1">
        <v>350</v>
      </c>
      <c r="J75" s="4">
        <v>450</v>
      </c>
      <c r="K75" s="5">
        <v>1964</v>
      </c>
      <c r="L75" s="3">
        <v>49612.5</v>
      </c>
      <c r="M75" s="5">
        <v>141.76646013770139</v>
      </c>
      <c r="N75" s="8">
        <v>3.9586797682035775E-2</v>
      </c>
      <c r="O75" s="3">
        <v>300</v>
      </c>
      <c r="P75" s="5">
        <v>412.00522419581085</v>
      </c>
      <c r="Q75" s="3">
        <v>0.53</v>
      </c>
      <c r="R75" s="12">
        <f t="shared" si="2"/>
        <v>2.0600261209790544E-3</v>
      </c>
      <c r="V75" s="3">
        <f t="shared" ref="V75:V138" si="10">$W$2*($W$3*$G75+$W$4*$B75^$W$5*$N75^$W$6)*$R75^$W$7</f>
        <v>0.37867327987464783</v>
      </c>
      <c r="W75" s="3">
        <f t="shared" si="3"/>
        <v>0.71447788655593925</v>
      </c>
      <c r="Y75" s="3">
        <f t="shared" ref="Y75:Y138" si="11">$Z$2*$B75^$Z$3*$R75^$Z$4*($Z$5*$N75^$Z$6+$Z$7)</f>
        <v>0.38356407065181264</v>
      </c>
      <c r="Z75" s="3">
        <f t="shared" si="4"/>
        <v>0.7237057936826653</v>
      </c>
      <c r="AB75" s="3">
        <f>$AC$2*($AC$3+$AC$4*$F75/($N75*'Dataset sem TS MC2020'!P67))*($AC$5*$G75+$AC$6*$B75/$N75)*'Dataset sem TS MC2020'!R67*($J75-$M75)/($J75-$M75-$H75)</f>
        <v>0.32263066156620812</v>
      </c>
      <c r="AC75" s="3">
        <f t="shared" si="5"/>
        <v>0.60873709729473224</v>
      </c>
      <c r="AD75" s="16">
        <f t="shared" si="6"/>
        <v>-0.20736933843379191</v>
      </c>
      <c r="AE75" s="17">
        <f t="shared" si="7"/>
        <v>1.6427452909376903</v>
      </c>
      <c r="AF75" s="17">
        <f>AB75*(14.068*'Dataset sem TS MC2020'!$P67^-0.457)/$Q75</f>
        <v>0.54081310045099551</v>
      </c>
      <c r="AG75" s="17"/>
      <c r="AO75" s="3">
        <f>$AP$2*($AP$3+$AP$4*$F75/($N75*'Dataset sem TS MC2020'!P67))*($AP$5*$G75+$AP$6*$B75/$N75)*('Dataset sem TS MC2020'!P67^$AP$7/200000)*($J75-$M75)/($J75-$M75-$H75)+('Dataset sem TS MC2020'!P67-$C75/$AP$8)*($AP$5*$G75+$AP$6*$B75/$N75)/200000</f>
        <v>0.32837030982354404</v>
      </c>
      <c r="AP75" s="3">
        <f t="shared" si="8"/>
        <v>0.61956662230857362</v>
      </c>
      <c r="AQ75" s="16">
        <f t="shared" si="9"/>
        <v>-0.20162969017645599</v>
      </c>
    </row>
    <row r="76" spans="1:43" x14ac:dyDescent="0.3">
      <c r="B76" s="4">
        <v>25</v>
      </c>
      <c r="C76" s="5">
        <v>500</v>
      </c>
      <c r="D76" s="5">
        <v>4</v>
      </c>
      <c r="E76" s="4">
        <v>62</v>
      </c>
      <c r="F76" s="3">
        <v>2.6933292113182881</v>
      </c>
      <c r="G76" s="4">
        <v>20</v>
      </c>
      <c r="H76" s="4">
        <v>40.5</v>
      </c>
      <c r="I76" s="1">
        <v>350</v>
      </c>
      <c r="J76" s="4">
        <v>450</v>
      </c>
      <c r="K76" s="5">
        <v>1964</v>
      </c>
      <c r="L76" s="3">
        <v>49612.5</v>
      </c>
      <c r="M76" s="5">
        <v>141.76646013770139</v>
      </c>
      <c r="N76" s="8">
        <v>3.9586797682035775E-2</v>
      </c>
      <c r="O76" s="3">
        <v>375</v>
      </c>
      <c r="P76" s="5">
        <v>500</v>
      </c>
      <c r="Q76" s="3">
        <v>0.72</v>
      </c>
      <c r="R76" s="12">
        <f t="shared" ref="R76:R139" si="12">P76/200000</f>
        <v>2.5000000000000001E-3</v>
      </c>
      <c r="V76" s="3">
        <f t="shared" si="10"/>
        <v>0.42671132960634667</v>
      </c>
      <c r="W76" s="3">
        <f t="shared" ref="W76:W139" si="13">V76/$Q76</f>
        <v>0.59265462445325934</v>
      </c>
      <c r="Y76" s="3">
        <f t="shared" si="11"/>
        <v>0.43314386927416509</v>
      </c>
      <c r="Z76" s="3">
        <f t="shared" ref="Z76:Z139" si="14">Y76/$Q76</f>
        <v>0.60158870732522929</v>
      </c>
      <c r="AB76" s="3">
        <f>$AC$2*($AC$3+$AC$4*$F76/($N76*'Dataset sem TS MC2020'!P68))*($AC$5*$G76+$AC$6*$B76/$N76)*'Dataset sem TS MC2020'!R68*($J76-$M76)/($J76-$M76-$H76)</f>
        <v>0.38832496516805304</v>
      </c>
      <c r="AC76" s="3">
        <f t="shared" ref="AC76:AC139" si="15">AB76/$Q76</f>
        <v>0.53934022940007365</v>
      </c>
      <c r="AD76" s="16">
        <f t="shared" ref="AD76:AD139" si="16">AB76-$Q76</f>
        <v>-0.33167503483194694</v>
      </c>
      <c r="AE76" s="17">
        <f t="shared" ref="AE76:AE139" si="17">1/AC76</f>
        <v>1.8541172074486894</v>
      </c>
      <c r="AF76" s="17">
        <f>AB76*(14.068*'Dataset sem TS MC2020'!$P68^-0.457)/$Q76</f>
        <v>0.44326749268628213</v>
      </c>
      <c r="AG76" s="17"/>
      <c r="AO76" s="3">
        <f>$AP$2*($AP$3+$AP$4*$F76/($N76*'Dataset sem TS MC2020'!P68))*($AP$5*$G76+$AP$6*$B76/$N76)*('Dataset sem TS MC2020'!P68^$AP$7/200000)*($J76-$M76)/($J76-$M76-$H76)+('Dataset sem TS MC2020'!P68-$C76/$AP$8)*($AP$5*$G76+$AP$6*$B76/$N76)/200000</f>
        <v>0.38636491633700892</v>
      </c>
      <c r="AP76" s="3">
        <f t="shared" ref="AP76:AP139" si="18">AO76/$Q76</f>
        <v>0.5366179393569569</v>
      </c>
      <c r="AQ76" s="16">
        <f t="shared" ref="AQ76:AQ139" si="19">AO76-$Q76</f>
        <v>-0.33363508366299105</v>
      </c>
    </row>
    <row r="77" spans="1:43" x14ac:dyDescent="0.3">
      <c r="A77" s="1" t="s">
        <v>19</v>
      </c>
      <c r="B77" s="4">
        <v>25</v>
      </c>
      <c r="C77" s="5">
        <v>500</v>
      </c>
      <c r="D77" s="5">
        <v>4</v>
      </c>
      <c r="E77" s="4">
        <v>28.7</v>
      </c>
      <c r="F77" s="3">
        <v>2.6933292113182881</v>
      </c>
      <c r="G77" s="4">
        <v>70</v>
      </c>
      <c r="H77" s="4">
        <v>94.5</v>
      </c>
      <c r="I77" s="1">
        <v>350</v>
      </c>
      <c r="J77" s="4">
        <v>450</v>
      </c>
      <c r="K77" s="5">
        <v>1964</v>
      </c>
      <c r="L77" s="3">
        <v>76825</v>
      </c>
      <c r="M77" s="5">
        <v>130.08181306692575</v>
      </c>
      <c r="N77" s="8">
        <v>2.5564594858444516E-2</v>
      </c>
      <c r="O77" s="3">
        <v>75</v>
      </c>
      <c r="P77" s="5">
        <v>48.319539729677246</v>
      </c>
      <c r="Q77" s="3">
        <v>0.3</v>
      </c>
      <c r="R77" s="12">
        <f t="shared" si="12"/>
        <v>2.4159769864838624E-4</v>
      </c>
      <c r="V77" s="3">
        <f t="shared" si="10"/>
        <v>0.12087137706521978</v>
      </c>
      <c r="W77" s="3">
        <f t="shared" si="13"/>
        <v>0.40290459021739927</v>
      </c>
      <c r="Y77" s="3">
        <f t="shared" si="11"/>
        <v>0.11879479636131014</v>
      </c>
      <c r="Z77" s="3">
        <f t="shared" si="14"/>
        <v>0.39598265453770048</v>
      </c>
      <c r="AB77" s="3">
        <f>$AC$2*($AC$3+$AC$4*$F77/($N77*'Dataset sem TS MC2020'!P69))*($AC$5*$G77+$AC$6*$B77/$N77)*'Dataset sem TS MC2020'!R69*($J77-$M77)/($J77-$M77-$H77)</f>
        <v>0.12819380353917109</v>
      </c>
      <c r="AC77" s="3">
        <f t="shared" si="15"/>
        <v>0.42731267846390364</v>
      </c>
      <c r="AD77" s="16">
        <f t="shared" si="16"/>
        <v>-0.1718061964608289</v>
      </c>
      <c r="AE77" s="17">
        <f t="shared" si="17"/>
        <v>2.3402067160627742</v>
      </c>
      <c r="AF77" s="17">
        <f>AB77*(14.068*'Dataset sem TS MC2020'!$P69^-0.457)/$Q77</f>
        <v>0.66827944345946566</v>
      </c>
      <c r="AG77" s="17"/>
      <c r="AO77" s="3">
        <f>$AP$2*($AP$3+$AP$4*$F77/($N77*'Dataset sem TS MC2020'!P69))*($AP$5*$G77+$AP$6*$B77/$N77)*('Dataset sem TS MC2020'!P69^$AP$7/200000)*($J77-$M77)/($J77-$M77-$H77)+('Dataset sem TS MC2020'!P69-$C77/$AP$8)*($AP$5*$G77+$AP$6*$B77/$N77)/200000</f>
        <v>0.13642113244691284</v>
      </c>
      <c r="AP77" s="3">
        <f t="shared" si="18"/>
        <v>0.45473710815637614</v>
      </c>
      <c r="AQ77" s="16">
        <f t="shared" si="19"/>
        <v>-0.16357886755308715</v>
      </c>
    </row>
    <row r="78" spans="1:43" x14ac:dyDescent="0.3">
      <c r="B78" s="4">
        <v>25</v>
      </c>
      <c r="C78" s="5">
        <v>500</v>
      </c>
      <c r="D78" s="5">
        <v>4</v>
      </c>
      <c r="E78" s="4">
        <v>28.7</v>
      </c>
      <c r="F78" s="3">
        <v>2.6933292113182881</v>
      </c>
      <c r="G78" s="4">
        <v>70</v>
      </c>
      <c r="H78" s="4">
        <v>94.5</v>
      </c>
      <c r="I78" s="1">
        <v>350</v>
      </c>
      <c r="J78" s="4">
        <v>450</v>
      </c>
      <c r="K78" s="5">
        <v>1964</v>
      </c>
      <c r="L78" s="3">
        <v>76825</v>
      </c>
      <c r="M78" s="5">
        <v>130.08181306692575</v>
      </c>
      <c r="N78" s="8">
        <v>2.5564594858444516E-2</v>
      </c>
      <c r="O78" s="3">
        <v>150</v>
      </c>
      <c r="P78" s="5">
        <v>184.85444613865786</v>
      </c>
      <c r="Q78" s="3">
        <v>0.56999999999999995</v>
      </c>
      <c r="R78" s="12">
        <f t="shared" si="12"/>
        <v>9.242722306932893E-4</v>
      </c>
      <c r="V78" s="3">
        <f t="shared" si="10"/>
        <v>0.27660100776063695</v>
      </c>
      <c r="W78" s="3">
        <f t="shared" si="13"/>
        <v>0.48526492589585435</v>
      </c>
      <c r="Y78" s="3">
        <f t="shared" si="11"/>
        <v>0.27589096848928923</v>
      </c>
      <c r="Z78" s="3">
        <f t="shared" si="14"/>
        <v>0.48401924296366539</v>
      </c>
      <c r="AB78" s="3">
        <f>$AC$2*($AC$3+$AC$4*$F78/($N78*'Dataset sem TS MC2020'!P70))*($AC$5*$G78+$AC$6*$B78/$N78)*'Dataset sem TS MC2020'!R70*($J78-$M78)/($J78-$M78-$H78)</f>
        <v>0.36938712973074794</v>
      </c>
      <c r="AC78" s="3">
        <f t="shared" si="15"/>
        <v>0.64804759601885609</v>
      </c>
      <c r="AD78" s="16">
        <f t="shared" si="16"/>
        <v>-0.20061287026925201</v>
      </c>
      <c r="AE78" s="17">
        <f t="shared" si="17"/>
        <v>1.5430965351052752</v>
      </c>
      <c r="AF78" s="17">
        <f>AB78*(14.068*'Dataset sem TS MC2020'!$P70^-0.457)/$Q78</f>
        <v>0.73832660733302147</v>
      </c>
      <c r="AG78" s="17"/>
      <c r="AO78" s="3">
        <f>$AP$2*($AP$3+$AP$4*$F78/($N78*'Dataset sem TS MC2020'!P70))*($AP$5*$G78+$AP$6*$B78/$N78)*('Dataset sem TS MC2020'!P70^$AP$7/200000)*($J78-$M78)/($J78-$M78-$H78)+('Dataset sem TS MC2020'!P70-$C78/$AP$8)*($AP$5*$G78+$AP$6*$B78/$N78)/200000</f>
        <v>0.38630266035467681</v>
      </c>
      <c r="AP78" s="3">
        <f t="shared" si="18"/>
        <v>0.67772396553452074</v>
      </c>
      <c r="AQ78" s="16">
        <f t="shared" si="19"/>
        <v>-0.18369733964532314</v>
      </c>
    </row>
    <row r="79" spans="1:43" x14ac:dyDescent="0.3">
      <c r="A79" s="1" t="s">
        <v>20</v>
      </c>
      <c r="B79" s="4">
        <v>25</v>
      </c>
      <c r="C79" s="5">
        <v>500</v>
      </c>
      <c r="D79" s="5">
        <v>4</v>
      </c>
      <c r="E79" s="4">
        <v>28.7</v>
      </c>
      <c r="F79" s="3">
        <v>2.6933292113182881</v>
      </c>
      <c r="G79" s="4">
        <v>70</v>
      </c>
      <c r="H79" s="4">
        <v>90.5</v>
      </c>
      <c r="I79" s="1">
        <v>350</v>
      </c>
      <c r="J79" s="4">
        <v>450</v>
      </c>
      <c r="K79" s="5">
        <v>1964</v>
      </c>
      <c r="L79" s="3">
        <v>75425</v>
      </c>
      <c r="M79" s="5">
        <v>130.97513055188566</v>
      </c>
      <c r="N79" s="8">
        <v>2.60391117003646E-2</v>
      </c>
      <c r="O79" s="3">
        <v>75</v>
      </c>
      <c r="P79" s="5">
        <v>48.037420676818257</v>
      </c>
      <c r="Q79" s="3">
        <v>0.26</v>
      </c>
      <c r="R79" s="12">
        <f t="shared" si="12"/>
        <v>2.401871033840913E-4</v>
      </c>
      <c r="V79" s="3">
        <f t="shared" si="10"/>
        <v>0.11951262964829629</v>
      </c>
      <c r="W79" s="3">
        <f t="shared" si="13"/>
        <v>0.45966396018575495</v>
      </c>
      <c r="Y79" s="3">
        <f t="shared" si="11"/>
        <v>0.11745515179791614</v>
      </c>
      <c r="Z79" s="3">
        <f t="shared" si="14"/>
        <v>0.45175058383813899</v>
      </c>
      <c r="AB79" s="3">
        <f>$AC$2*($AC$3+$AC$4*$F79/($N79*'Dataset sem TS MC2020'!P71))*($AC$5*$G79+$AC$6*$B79/$N79)*'Dataset sem TS MC2020'!R71*($J79-$M79)/($J79-$M79-$H79)</f>
        <v>0.12382807460609485</v>
      </c>
      <c r="AC79" s="3">
        <f t="shared" si="15"/>
        <v>0.47626182540805712</v>
      </c>
      <c r="AD79" s="16">
        <f t="shared" si="16"/>
        <v>-0.13617192539390516</v>
      </c>
      <c r="AE79" s="17">
        <f t="shared" si="17"/>
        <v>2.0996853970884786</v>
      </c>
      <c r="AF79" s="17">
        <f>AB79*(14.068*'Dataset sem TS MC2020'!$P71^-0.457)/$Q79</f>
        <v>0.74885596109970387</v>
      </c>
      <c r="AG79" s="17"/>
      <c r="AO79" s="3">
        <f>$AP$2*($AP$3+$AP$4*$F79/($N79*'Dataset sem TS MC2020'!P71))*($AP$5*$G79+$AP$6*$B79/$N79)*('Dataset sem TS MC2020'!P71^$AP$7/200000)*($J79-$M79)/($J79-$M79-$H79)+('Dataset sem TS MC2020'!P71-$C79/$AP$8)*($AP$5*$G79+$AP$6*$B79/$N79)/200000</f>
        <v>0.13153010046107144</v>
      </c>
      <c r="AP79" s="3">
        <f t="shared" si="18"/>
        <v>0.50588500177335172</v>
      </c>
      <c r="AQ79" s="16">
        <f t="shared" si="19"/>
        <v>-0.12846989953892857</v>
      </c>
    </row>
    <row r="80" spans="1:43" x14ac:dyDescent="0.3">
      <c r="B80" s="4">
        <v>25</v>
      </c>
      <c r="C80" s="5">
        <v>500</v>
      </c>
      <c r="D80" s="5">
        <v>4</v>
      </c>
      <c r="E80" s="4">
        <v>28.7</v>
      </c>
      <c r="F80" s="3">
        <v>2.6933292113182881</v>
      </c>
      <c r="G80" s="4">
        <v>70</v>
      </c>
      <c r="H80" s="4">
        <v>90.5</v>
      </c>
      <c r="I80" s="1">
        <v>350</v>
      </c>
      <c r="J80" s="4">
        <v>450</v>
      </c>
      <c r="K80" s="5">
        <v>1964</v>
      </c>
      <c r="L80" s="3">
        <v>75425</v>
      </c>
      <c r="M80" s="5">
        <v>130.97513055188566</v>
      </c>
      <c r="N80" s="8">
        <v>2.60391117003646E-2</v>
      </c>
      <c r="O80" s="3">
        <v>150</v>
      </c>
      <c r="P80" s="5">
        <v>182.18415273931618</v>
      </c>
      <c r="Q80" s="3">
        <v>0.6</v>
      </c>
      <c r="R80" s="12">
        <f t="shared" si="12"/>
        <v>9.1092076369658087E-4</v>
      </c>
      <c r="V80" s="3">
        <f t="shared" si="10"/>
        <v>0.27202835674335124</v>
      </c>
      <c r="W80" s="3">
        <f t="shared" si="13"/>
        <v>0.4533805945722521</v>
      </c>
      <c r="Y80" s="3">
        <f t="shared" si="11"/>
        <v>0.27129431070799553</v>
      </c>
      <c r="Z80" s="3">
        <f t="shared" si="14"/>
        <v>0.45215718451332593</v>
      </c>
      <c r="AB80" s="3">
        <f>$AC$2*($AC$3+$AC$4*$F80/($N80*'Dataset sem TS MC2020'!P72))*($AC$5*$G80+$AC$6*$B80/$N80)*'Dataset sem TS MC2020'!R72*($J80-$M80)/($J80-$M80-$H80)</f>
        <v>0.35546417572503608</v>
      </c>
      <c r="AC80" s="3">
        <f t="shared" si="15"/>
        <v>0.59244029287506017</v>
      </c>
      <c r="AD80" s="16">
        <f t="shared" si="16"/>
        <v>-0.2445358242749639</v>
      </c>
      <c r="AE80" s="17">
        <f t="shared" si="17"/>
        <v>1.6879338087338536</v>
      </c>
      <c r="AF80" s="17">
        <f>AB80*(14.068*'Dataset sem TS MC2020'!$P72^-0.457)/$Q80</f>
        <v>0.67861960022327883</v>
      </c>
      <c r="AG80" s="17"/>
      <c r="AO80" s="3">
        <f>$AP$2*($AP$3+$AP$4*$F80/($N80*'Dataset sem TS MC2020'!P72))*($AP$5*$G80+$AP$6*$B80/$N80)*('Dataset sem TS MC2020'!P72^$AP$7/200000)*($J80-$M80)/($J80-$M80-$H80)+('Dataset sem TS MC2020'!P72-$C80/$AP$8)*($AP$5*$G80+$AP$6*$B80/$N80)/200000</f>
        <v>0.37188335546601636</v>
      </c>
      <c r="AP80" s="3">
        <f t="shared" si="18"/>
        <v>0.61980559244336064</v>
      </c>
      <c r="AQ80" s="16">
        <f t="shared" si="19"/>
        <v>-0.22811664453398361</v>
      </c>
    </row>
    <row r="81" spans="1:43" x14ac:dyDescent="0.3">
      <c r="A81" s="1" t="s">
        <v>21</v>
      </c>
      <c r="B81" s="4">
        <v>25</v>
      </c>
      <c r="C81" s="5">
        <v>500</v>
      </c>
      <c r="D81" s="5">
        <v>4</v>
      </c>
      <c r="E81" s="4">
        <v>28.7</v>
      </c>
      <c r="F81" s="3">
        <v>2.6933292113182881</v>
      </c>
      <c r="G81" s="4">
        <v>70</v>
      </c>
      <c r="H81" s="4">
        <v>90.5</v>
      </c>
      <c r="I81" s="1">
        <v>350</v>
      </c>
      <c r="J81" s="4">
        <v>450</v>
      </c>
      <c r="K81" s="5">
        <v>1964</v>
      </c>
      <c r="L81" s="3">
        <v>75425</v>
      </c>
      <c r="M81" s="5">
        <v>130.97513055188566</v>
      </c>
      <c r="N81" s="8">
        <v>2.60391117003646E-2</v>
      </c>
      <c r="O81" s="3">
        <v>75</v>
      </c>
      <c r="P81" s="5">
        <v>48.037420676818257</v>
      </c>
      <c r="Q81" s="3">
        <v>0.27</v>
      </c>
      <c r="R81" s="12">
        <f t="shared" si="12"/>
        <v>2.401871033840913E-4</v>
      </c>
      <c r="V81" s="3">
        <f t="shared" si="10"/>
        <v>0.11951262964829629</v>
      </c>
      <c r="W81" s="3">
        <f t="shared" si="13"/>
        <v>0.44263936906776402</v>
      </c>
      <c r="Y81" s="3">
        <f t="shared" si="11"/>
        <v>0.11745515179791614</v>
      </c>
      <c r="Z81" s="3">
        <f t="shared" si="14"/>
        <v>0.4350190807330227</v>
      </c>
      <c r="AB81" s="3">
        <f>$AC$2*($AC$3+$AC$4*$F81/($N81*'Dataset sem TS MC2020'!P73))*($AC$5*$G81+$AC$6*$B81/$N81)*'Dataset sem TS MC2020'!R73*($J81-$M81)/($J81-$M81-$H81)</f>
        <v>0.12382807460609485</v>
      </c>
      <c r="AC81" s="3">
        <f t="shared" si="15"/>
        <v>0.45862249854109199</v>
      </c>
      <c r="AD81" s="16">
        <f t="shared" si="16"/>
        <v>-0.14617192539390517</v>
      </c>
      <c r="AE81" s="17">
        <f t="shared" si="17"/>
        <v>2.1804425277457278</v>
      </c>
      <c r="AF81" s="17">
        <f>AB81*(14.068*'Dataset sem TS MC2020'!$P73^-0.457)/$Q81</f>
        <v>0.72112055513304807</v>
      </c>
      <c r="AG81" s="17"/>
      <c r="AO81" s="3">
        <f>$AP$2*($AP$3+$AP$4*$F81/($N81*'Dataset sem TS MC2020'!P73))*($AP$5*$G81+$AP$6*$B81/$N81)*('Dataset sem TS MC2020'!P73^$AP$7/200000)*($J81-$M81)/($J81-$M81-$H81)+('Dataset sem TS MC2020'!P73-$C81/$AP$8)*($AP$5*$G81+$AP$6*$B81/$N81)/200000</f>
        <v>0.13153010046107144</v>
      </c>
      <c r="AP81" s="3">
        <f t="shared" si="18"/>
        <v>0.48714852022619048</v>
      </c>
      <c r="AQ81" s="16">
        <f t="shared" si="19"/>
        <v>-0.13846989953892858</v>
      </c>
    </row>
    <row r="82" spans="1:43" x14ac:dyDescent="0.3">
      <c r="B82" s="4">
        <v>25</v>
      </c>
      <c r="C82" s="5">
        <v>500</v>
      </c>
      <c r="D82" s="5">
        <v>4</v>
      </c>
      <c r="E82" s="4">
        <v>28.7</v>
      </c>
      <c r="F82" s="3">
        <v>2.6933292113182881</v>
      </c>
      <c r="G82" s="4">
        <v>70</v>
      </c>
      <c r="H82" s="4">
        <v>90.5</v>
      </c>
      <c r="I82" s="1">
        <v>350</v>
      </c>
      <c r="J82" s="4">
        <v>450</v>
      </c>
      <c r="K82" s="5">
        <v>1964</v>
      </c>
      <c r="L82" s="3">
        <v>75425</v>
      </c>
      <c r="M82" s="5">
        <v>130.97513055188566</v>
      </c>
      <c r="N82" s="8">
        <v>2.60391117003646E-2</v>
      </c>
      <c r="O82" s="3">
        <v>150</v>
      </c>
      <c r="P82" s="5">
        <v>182.18415273931618</v>
      </c>
      <c r="Q82" s="3">
        <v>0.59</v>
      </c>
      <c r="R82" s="12">
        <f t="shared" si="12"/>
        <v>9.1092076369658087E-4</v>
      </c>
      <c r="V82" s="3">
        <f t="shared" si="10"/>
        <v>0.27202835674335124</v>
      </c>
      <c r="W82" s="3">
        <f t="shared" si="13"/>
        <v>0.46106501142940892</v>
      </c>
      <c r="Y82" s="3">
        <f t="shared" si="11"/>
        <v>0.27129431070799553</v>
      </c>
      <c r="Z82" s="3">
        <f t="shared" si="14"/>
        <v>0.4598208656067721</v>
      </c>
      <c r="AB82" s="3">
        <f>$AC$2*($AC$3+$AC$4*$F82/($N82*'Dataset sem TS MC2020'!P74))*($AC$5*$G82+$AC$6*$B82/$N82)*'Dataset sem TS MC2020'!R74*($J82-$M82)/($J82-$M82-$H82)</f>
        <v>0.35546417572503608</v>
      </c>
      <c r="AC82" s="3">
        <f t="shared" si="15"/>
        <v>0.60248165377124763</v>
      </c>
      <c r="AD82" s="16">
        <f t="shared" si="16"/>
        <v>-0.23453582427496389</v>
      </c>
      <c r="AE82" s="17">
        <f t="shared" si="17"/>
        <v>1.6598015785882894</v>
      </c>
      <c r="AF82" s="17">
        <f>AB82*(14.068*'Dataset sem TS MC2020'!$P74^-0.457)/$Q82</f>
        <v>0.69012162734570726</v>
      </c>
      <c r="AG82" s="17"/>
      <c r="AO82" s="3">
        <f>$AP$2*($AP$3+$AP$4*$F82/($N82*'Dataset sem TS MC2020'!P74))*($AP$5*$G82+$AP$6*$B82/$N82)*('Dataset sem TS MC2020'!P74^$AP$7/200000)*($J82-$M82)/($J82-$M82-$H82)+('Dataset sem TS MC2020'!P74-$C82/$AP$8)*($AP$5*$G82+$AP$6*$B82/$N82)/200000</f>
        <v>0.37188335546601636</v>
      </c>
      <c r="AP82" s="3">
        <f t="shared" si="18"/>
        <v>0.63031077197629892</v>
      </c>
      <c r="AQ82" s="16">
        <f t="shared" si="19"/>
        <v>-0.21811664453398361</v>
      </c>
    </row>
    <row r="83" spans="1:43" x14ac:dyDescent="0.3">
      <c r="A83" s="1" t="s">
        <v>22</v>
      </c>
      <c r="B83" s="4">
        <v>9.52</v>
      </c>
      <c r="C83" s="5">
        <v>434</v>
      </c>
      <c r="D83" s="5">
        <v>3</v>
      </c>
      <c r="E83" s="4">
        <v>22.2</v>
      </c>
      <c r="F83" s="3">
        <v>3.5641600019995088</v>
      </c>
      <c r="G83" s="4">
        <v>20.64</v>
      </c>
      <c r="H83" s="4">
        <v>25.4</v>
      </c>
      <c r="I83" s="1">
        <v>114.3</v>
      </c>
      <c r="J83" s="4">
        <v>228.6</v>
      </c>
      <c r="K83" s="5">
        <v>212.9</v>
      </c>
      <c r="L83" s="3">
        <v>8343.9</v>
      </c>
      <c r="M83" s="5">
        <v>56.390968153098974</v>
      </c>
      <c r="N83" s="8">
        <v>2.5515646160668273E-2</v>
      </c>
      <c r="O83" s="3">
        <v>11.6</v>
      </c>
      <c r="P83" s="5">
        <v>234.83059233149012</v>
      </c>
      <c r="Q83" s="3">
        <v>0.15</v>
      </c>
      <c r="R83" s="12">
        <f t="shared" si="12"/>
        <v>1.1741529616574506E-3</v>
      </c>
      <c r="V83" s="3">
        <f t="shared" si="10"/>
        <v>0.16792320465079261</v>
      </c>
      <c r="W83" s="3">
        <f t="shared" si="13"/>
        <v>1.1194880310052842</v>
      </c>
      <c r="Y83" s="3">
        <f t="shared" si="11"/>
        <v>0.16308664038043591</v>
      </c>
      <c r="Z83" s="3">
        <f t="shared" si="14"/>
        <v>1.0872442692029061</v>
      </c>
      <c r="AB83" s="3">
        <f>$AC$2*($AC$3+$AC$4*$F83/($N83*'Dataset sem TS MC2020'!P75))*($AC$5*$G83+$AC$6*$B83/$N83)*'Dataset sem TS MC2020'!R75*($J83-$M83)/($J83-$M83-$H83)</f>
        <v>0.12600187918843497</v>
      </c>
      <c r="AC83" s="3">
        <f t="shared" si="15"/>
        <v>0.84001252792289982</v>
      </c>
      <c r="AD83" s="16">
        <f t="shared" si="16"/>
        <v>-2.3998120811565021E-2</v>
      </c>
      <c r="AE83" s="17">
        <f t="shared" si="17"/>
        <v>1.190458435748216</v>
      </c>
      <c r="AF83" s="17">
        <f>AB83*(14.068*'Dataset sem TS MC2020'!$P75^-0.457)/$Q83</f>
        <v>0.87799709363401224</v>
      </c>
      <c r="AG83" s="17"/>
      <c r="AO83" s="3">
        <f>$AP$2*($AP$3+$AP$4*$F83/($N83*'Dataset sem TS MC2020'!P75))*($AP$5*$G83+$AP$6*$B83/$N83)*('Dataset sem TS MC2020'!P75^$AP$7/200000)*($J83-$M83)/($J83-$M83-$H83)+('Dataset sem TS MC2020'!P75-$C83/$AP$8)*($AP$5*$G83+$AP$6*$B83/$N83)/200000</f>
        <v>0.13210314950482521</v>
      </c>
      <c r="AP83" s="3">
        <f t="shared" si="18"/>
        <v>0.88068766336550142</v>
      </c>
      <c r="AQ83" s="16">
        <f t="shared" si="19"/>
        <v>-1.7896850495174782E-2</v>
      </c>
    </row>
    <row r="84" spans="1:43" x14ac:dyDescent="0.3">
      <c r="B84" s="4">
        <v>9.52</v>
      </c>
      <c r="C84" s="5">
        <v>434</v>
      </c>
      <c r="D84" s="5">
        <v>3</v>
      </c>
      <c r="E84" s="4">
        <v>22.2</v>
      </c>
      <c r="F84" s="3">
        <v>3.5641600019995088</v>
      </c>
      <c r="G84" s="4">
        <v>20.64</v>
      </c>
      <c r="H84" s="4">
        <v>25.4</v>
      </c>
      <c r="I84" s="1">
        <v>114.3</v>
      </c>
      <c r="J84" s="4">
        <v>228.6</v>
      </c>
      <c r="K84" s="5">
        <v>212.9</v>
      </c>
      <c r="L84" s="3">
        <v>8343.9</v>
      </c>
      <c r="M84" s="5">
        <v>56.390968153098974</v>
      </c>
      <c r="N84" s="8">
        <v>2.5515646160668273E-2</v>
      </c>
      <c r="O84" s="3">
        <v>13.5</v>
      </c>
      <c r="P84" s="5">
        <v>299.56808231341813</v>
      </c>
      <c r="Q84" s="3">
        <v>0.17</v>
      </c>
      <c r="R84" s="12">
        <f t="shared" si="12"/>
        <v>1.4978404115670906E-3</v>
      </c>
      <c r="V84" s="3">
        <f t="shared" si="10"/>
        <v>0.1951429328841599</v>
      </c>
      <c r="W84" s="3">
        <f t="shared" si="13"/>
        <v>1.1478996052009405</v>
      </c>
      <c r="Y84" s="3">
        <f t="shared" si="11"/>
        <v>0.19003064828363644</v>
      </c>
      <c r="Z84" s="3">
        <f t="shared" si="14"/>
        <v>1.1178273428449201</v>
      </c>
      <c r="AB84" s="3">
        <f>$AC$2*($AC$3+$AC$4*$F84/($N84*'Dataset sem TS MC2020'!P76))*($AC$5*$G84+$AC$6*$B84/$N84)*'Dataset sem TS MC2020'!R76*($J84-$M84)/($J84-$M84-$H84)</f>
        <v>0.15378620180541228</v>
      </c>
      <c r="AC84" s="3">
        <f t="shared" si="15"/>
        <v>0.90462471650242504</v>
      </c>
      <c r="AD84" s="16">
        <f t="shared" si="16"/>
        <v>-1.6213798194587736E-2</v>
      </c>
      <c r="AE84" s="17">
        <f t="shared" si="17"/>
        <v>1.1054307733999653</v>
      </c>
      <c r="AF84" s="17">
        <f>AB84*(14.068*'Dataset sem TS MC2020'!$P76^-0.457)/$Q84</f>
        <v>0.88220706928707215</v>
      </c>
      <c r="AG84" s="17"/>
      <c r="AO84" s="3">
        <f>$AP$2*($AP$3+$AP$4*$F84/($N84*'Dataset sem TS MC2020'!P76))*($AP$5*$G84+$AP$6*$B84/$N84)*('Dataset sem TS MC2020'!P76^$AP$7/200000)*($J84-$M84)/($J84-$M84-$H84)+('Dataset sem TS MC2020'!P76-$C84/$AP$8)*($AP$5*$G84+$AP$6*$B84/$N84)/200000</f>
        <v>0.15839203455804923</v>
      </c>
      <c r="AP84" s="3">
        <f t="shared" si="18"/>
        <v>0.93171785034146604</v>
      </c>
      <c r="AQ84" s="16">
        <f t="shared" si="19"/>
        <v>-1.1607965441950779E-2</v>
      </c>
    </row>
    <row r="85" spans="1:43" x14ac:dyDescent="0.3">
      <c r="A85" s="1" t="s">
        <v>23</v>
      </c>
      <c r="B85" s="4">
        <v>12.7</v>
      </c>
      <c r="C85" s="5">
        <v>434</v>
      </c>
      <c r="D85" s="5">
        <v>3</v>
      </c>
      <c r="E85" s="4">
        <v>19.05</v>
      </c>
      <c r="F85" s="3">
        <v>3.9766081638229425</v>
      </c>
      <c r="G85" s="4">
        <v>19.05</v>
      </c>
      <c r="H85" s="4">
        <v>25.4</v>
      </c>
      <c r="I85" s="1">
        <v>114.3</v>
      </c>
      <c r="J85" s="4">
        <v>228.6</v>
      </c>
      <c r="K85" s="5">
        <v>387.1</v>
      </c>
      <c r="L85" s="3">
        <v>10161.269999999999</v>
      </c>
      <c r="M85" s="5">
        <v>70.373657577616456</v>
      </c>
      <c r="N85" s="8">
        <v>3.8095631746819056E-2</v>
      </c>
      <c r="O85" s="3">
        <v>21.1</v>
      </c>
      <c r="P85" s="5">
        <v>257.58927994397021</v>
      </c>
      <c r="Q85" s="3">
        <v>0.15</v>
      </c>
      <c r="R85" s="12">
        <f t="shared" si="12"/>
        <v>1.2879463997198511E-3</v>
      </c>
      <c r="V85" s="3">
        <f t="shared" si="10"/>
        <v>0.18259805371417187</v>
      </c>
      <c r="W85" s="3">
        <f t="shared" si="13"/>
        <v>1.2173203580944791</v>
      </c>
      <c r="Y85" s="3">
        <f t="shared" si="11"/>
        <v>0.18024745109643958</v>
      </c>
      <c r="Z85" s="3">
        <f t="shared" si="14"/>
        <v>1.2016496739762639</v>
      </c>
      <c r="AB85" s="3">
        <f>$AC$2*($AC$3+$AC$4*$F85/($N85*'Dataset sem TS MC2020'!P77))*($AC$5*$G85+$AC$6*$B85/$N85)*'Dataset sem TS MC2020'!R77*($J85-$M85)/($J85-$M85-$H85)</f>
        <v>0.12958543249716012</v>
      </c>
      <c r="AC85" s="3">
        <f t="shared" si="15"/>
        <v>0.86390288331440079</v>
      </c>
      <c r="AD85" s="16">
        <f t="shared" si="16"/>
        <v>-2.0414567502839875E-2</v>
      </c>
      <c r="AE85" s="17">
        <f t="shared" si="17"/>
        <v>1.1575375187584243</v>
      </c>
      <c r="AF85" s="17">
        <f>AB85*(14.068*'Dataset sem TS MC2020'!$P77^-0.457)/$Q85</f>
        <v>0.89229892503517427</v>
      </c>
      <c r="AG85" s="17"/>
      <c r="AO85" s="3">
        <f>$AP$2*($AP$3+$AP$4*$F85/($N85*'Dataset sem TS MC2020'!P77))*($AP$5*$G85+$AP$6*$B85/$N85)*('Dataset sem TS MC2020'!P77^$AP$7/200000)*($J85-$M85)/($J85-$M85-$H85)+('Dataset sem TS MC2020'!P77-$C85/$AP$8)*($AP$5*$G85+$AP$6*$B85/$N85)/200000</f>
        <v>0.13522236491061829</v>
      </c>
      <c r="AP85" s="3">
        <f t="shared" si="18"/>
        <v>0.90148243273745532</v>
      </c>
      <c r="AQ85" s="16">
        <f t="shared" si="19"/>
        <v>-1.4777635089381708E-2</v>
      </c>
    </row>
    <row r="86" spans="1:43" x14ac:dyDescent="0.3">
      <c r="B86" s="4">
        <v>12.7</v>
      </c>
      <c r="C86" s="5">
        <v>434</v>
      </c>
      <c r="D86" s="5">
        <v>3</v>
      </c>
      <c r="E86" s="4">
        <v>19.05</v>
      </c>
      <c r="F86" s="3">
        <v>3.9766081638229425</v>
      </c>
      <c r="G86" s="4">
        <v>19.05</v>
      </c>
      <c r="H86" s="4">
        <v>25.4</v>
      </c>
      <c r="I86" s="1">
        <v>114.3</v>
      </c>
      <c r="J86" s="4">
        <v>228.6</v>
      </c>
      <c r="K86" s="5">
        <v>387.1</v>
      </c>
      <c r="L86" s="3">
        <v>10161.269999999999</v>
      </c>
      <c r="M86" s="5">
        <v>70.373657577616456</v>
      </c>
      <c r="N86" s="8">
        <v>3.8095631746819056E-2</v>
      </c>
      <c r="O86" s="3">
        <v>24.2</v>
      </c>
      <c r="P86" s="5">
        <v>313.98635621928372</v>
      </c>
      <c r="Q86" s="3">
        <v>0.17</v>
      </c>
      <c r="R86" s="12">
        <f t="shared" si="12"/>
        <v>1.5699317810964186E-3</v>
      </c>
      <c r="V86" s="3">
        <f t="shared" si="10"/>
        <v>0.20632300291574029</v>
      </c>
      <c r="W86" s="3">
        <f t="shared" si="13"/>
        <v>1.2136647230337663</v>
      </c>
      <c r="Y86" s="3">
        <f t="shared" si="11"/>
        <v>0.20411101899832601</v>
      </c>
      <c r="Z86" s="3">
        <f t="shared" si="14"/>
        <v>1.2006530529313293</v>
      </c>
      <c r="AB86" s="3">
        <f>$AC$2*($AC$3+$AC$4*$F86/($N86*'Dataset sem TS MC2020'!P78))*($AC$5*$G86+$AC$6*$B86/$N86)*'Dataset sem TS MC2020'!R78*($J86-$M86)/($J86-$M86-$H86)</f>
        <v>0.15301084664718706</v>
      </c>
      <c r="AC86" s="3">
        <f t="shared" si="15"/>
        <v>0.90006380380698259</v>
      </c>
      <c r="AD86" s="16">
        <f t="shared" si="16"/>
        <v>-1.6989153352812952E-2</v>
      </c>
      <c r="AE86" s="17">
        <f t="shared" si="17"/>
        <v>1.1110323465628984</v>
      </c>
      <c r="AF86" s="17">
        <f>AB86*(14.068*'Dataset sem TS MC2020'!$P78^-0.457)/$Q86</f>
        <v>0.87319693566503898</v>
      </c>
      <c r="AG86" s="17"/>
      <c r="AO86" s="3">
        <f>$AP$2*($AP$3+$AP$4*$F86/($N86*'Dataset sem TS MC2020'!P78))*($AP$5*$G86+$AP$6*$B86/$N86)*('Dataset sem TS MC2020'!P78^$AP$7/200000)*($J86-$M86)/($J86-$M86-$H86)+('Dataset sem TS MC2020'!P78-$C86/$AP$8)*($AP$5*$G86+$AP$6*$B86/$N86)/200000</f>
        <v>0.15698633832209818</v>
      </c>
      <c r="AP86" s="3">
        <f t="shared" si="18"/>
        <v>0.92344904895351865</v>
      </c>
      <c r="AQ86" s="16">
        <f t="shared" si="19"/>
        <v>-1.3013661677901828E-2</v>
      </c>
    </row>
    <row r="87" spans="1:43" x14ac:dyDescent="0.3">
      <c r="B87" s="4">
        <v>12.7</v>
      </c>
      <c r="C87" s="5">
        <v>434</v>
      </c>
      <c r="D87" s="5">
        <v>3</v>
      </c>
      <c r="E87" s="4">
        <v>19.05</v>
      </c>
      <c r="F87" s="3">
        <v>3.9766081638229425</v>
      </c>
      <c r="G87" s="4">
        <v>19.05</v>
      </c>
      <c r="H87" s="4">
        <v>25.4</v>
      </c>
      <c r="I87" s="1">
        <v>114.3</v>
      </c>
      <c r="J87" s="4">
        <v>228.6</v>
      </c>
      <c r="K87" s="5">
        <v>387.1</v>
      </c>
      <c r="L87" s="3">
        <v>10161.269999999999</v>
      </c>
      <c r="M87" s="5">
        <v>70.373657577616456</v>
      </c>
      <c r="N87" s="8">
        <v>3.8095631746819056E-2</v>
      </c>
      <c r="O87" s="3">
        <v>28.6</v>
      </c>
      <c r="P87" s="5">
        <v>394.03381931972882</v>
      </c>
      <c r="Q87" s="3">
        <v>0.2</v>
      </c>
      <c r="R87" s="12">
        <f t="shared" si="12"/>
        <v>1.9701690965986439E-3</v>
      </c>
      <c r="V87" s="3">
        <f t="shared" si="10"/>
        <v>0.23735471820141041</v>
      </c>
      <c r="W87" s="3">
        <f t="shared" si="13"/>
        <v>1.186773591007052</v>
      </c>
      <c r="Y87" s="3">
        <f t="shared" si="11"/>
        <v>0.23539732314067024</v>
      </c>
      <c r="Z87" s="3">
        <f t="shared" si="14"/>
        <v>1.1769866157033511</v>
      </c>
      <c r="AB87" s="3">
        <f>$AC$2*($AC$3+$AC$4*$F87/($N87*'Dataset sem TS MC2020'!P79))*($AC$5*$G87+$AC$6*$B87/$N87)*'Dataset sem TS MC2020'!R79*($J87-$M87)/($J87-$M87-$H87)</f>
        <v>0.18625982156980606</v>
      </c>
      <c r="AC87" s="3">
        <f t="shared" si="15"/>
        <v>0.93129910784903025</v>
      </c>
      <c r="AD87" s="16">
        <f t="shared" si="16"/>
        <v>-1.3740178430193956E-2</v>
      </c>
      <c r="AE87" s="17">
        <f t="shared" si="17"/>
        <v>1.0737688800214191</v>
      </c>
      <c r="AF87" s="17">
        <f>AB87*(14.068*'Dataset sem TS MC2020'!$P79^-0.457)/$Q87</f>
        <v>0.83709054804756233</v>
      </c>
      <c r="AG87" s="17"/>
      <c r="AO87" s="3">
        <f>$AP$2*($AP$3+$AP$4*$F87/($N87*'Dataset sem TS MC2020'!P79))*($AP$5*$G87+$AP$6*$B87/$N87)*('Dataset sem TS MC2020'!P79^$AP$7/200000)*($J87-$M87)/($J87-$M87-$H87)+('Dataset sem TS MC2020'!P79-$C87/$AP$8)*($AP$5*$G87+$AP$6*$B87/$N87)/200000</f>
        <v>0.18695154473791123</v>
      </c>
      <c r="AP87" s="3">
        <f t="shared" si="18"/>
        <v>0.93475772368955612</v>
      </c>
      <c r="AQ87" s="16">
        <f t="shared" si="19"/>
        <v>-1.3048455262088782E-2</v>
      </c>
    </row>
    <row r="88" spans="1:43" x14ac:dyDescent="0.3">
      <c r="A88" s="1" t="s">
        <v>24</v>
      </c>
      <c r="B88" s="4">
        <v>15.9</v>
      </c>
      <c r="C88" s="5">
        <v>540</v>
      </c>
      <c r="D88" s="5">
        <v>3</v>
      </c>
      <c r="E88" s="4">
        <v>15.9</v>
      </c>
      <c r="F88" s="3">
        <v>3.9766081638229425</v>
      </c>
      <c r="G88" s="4">
        <v>17.46</v>
      </c>
      <c r="H88" s="4">
        <v>25.4</v>
      </c>
      <c r="I88" s="1">
        <v>114.3</v>
      </c>
      <c r="J88" s="4">
        <v>228.6</v>
      </c>
      <c r="K88" s="5">
        <v>600</v>
      </c>
      <c r="L88" s="3">
        <v>10161.269999999999</v>
      </c>
      <c r="M88" s="5">
        <v>83.256822362436324</v>
      </c>
      <c r="N88" s="8">
        <v>5.9047737143093339E-2</v>
      </c>
      <c r="O88" s="3">
        <v>30.5</v>
      </c>
      <c r="P88" s="5">
        <v>254.92345959961153</v>
      </c>
      <c r="Q88" s="3">
        <v>0.16</v>
      </c>
      <c r="R88" s="12">
        <f t="shared" si="12"/>
        <v>1.2746172979980577E-3</v>
      </c>
      <c r="V88" s="3">
        <f t="shared" si="10"/>
        <v>0.17577598007389419</v>
      </c>
      <c r="W88" s="3">
        <f t="shared" si="13"/>
        <v>1.0985998754618387</v>
      </c>
      <c r="Y88" s="3">
        <f t="shared" si="11"/>
        <v>0.17907421355992623</v>
      </c>
      <c r="Z88" s="3">
        <f t="shared" si="14"/>
        <v>1.1192138347495388</v>
      </c>
      <c r="AB88" s="3">
        <f>$AC$2*($AC$3+$AC$4*$F88/($N88*'Dataset sem TS MC2020'!P80))*($AC$5*$G88+$AC$6*$B88/$N88)*'Dataset sem TS MC2020'!R80*($J88-$M88)/($J88-$M88-$H88)</f>
        <v>0.11358970940306713</v>
      </c>
      <c r="AC88" s="3">
        <f t="shared" si="15"/>
        <v>0.7099356837691696</v>
      </c>
      <c r="AD88" s="16">
        <f t="shared" si="16"/>
        <v>-4.6410290596932871E-2</v>
      </c>
      <c r="AE88" s="17">
        <f t="shared" si="17"/>
        <v>1.4085783020383331</v>
      </c>
      <c r="AF88" s="17">
        <f>AB88*(14.068*'Dataset sem TS MC2020'!$P80^-0.457)/$Q88</f>
        <v>0.74871576720115762</v>
      </c>
      <c r="AG88" s="17"/>
      <c r="AO88" s="3">
        <f>$AP$2*($AP$3+$AP$4*$F88/($N88*'Dataset sem TS MC2020'!P80))*($AP$5*$G88+$AP$6*$B88/$N88)*('Dataset sem TS MC2020'!P80^$AP$7/200000)*($J88-$M88)/($J88-$M88-$H88)+('Dataset sem TS MC2020'!P80-$C88/$AP$8)*($AP$5*$G88+$AP$6*$B88/$N88)/200000</f>
        <v>0.11690474377625064</v>
      </c>
      <c r="AP88" s="3">
        <f t="shared" si="18"/>
        <v>0.73065464860156648</v>
      </c>
      <c r="AQ88" s="16">
        <f t="shared" si="19"/>
        <v>-4.3095256223749365E-2</v>
      </c>
    </row>
    <row r="89" spans="1:43" x14ac:dyDescent="0.3">
      <c r="B89" s="4">
        <v>15.9</v>
      </c>
      <c r="C89" s="5">
        <v>540</v>
      </c>
      <c r="D89" s="5">
        <v>3</v>
      </c>
      <c r="E89" s="4">
        <v>15.9</v>
      </c>
      <c r="F89" s="3">
        <v>3.9766081638229425</v>
      </c>
      <c r="G89" s="4">
        <v>17.46</v>
      </c>
      <c r="H89" s="4">
        <v>25.4</v>
      </c>
      <c r="I89" s="1">
        <v>114.3</v>
      </c>
      <c r="J89" s="4">
        <v>228.6</v>
      </c>
      <c r="K89" s="5">
        <v>600</v>
      </c>
      <c r="L89" s="3">
        <v>10161.269999999999</v>
      </c>
      <c r="M89" s="5">
        <v>83.256822362436324</v>
      </c>
      <c r="N89" s="8">
        <v>5.9047737143093339E-2</v>
      </c>
      <c r="O89" s="3">
        <v>40</v>
      </c>
      <c r="P89" s="5">
        <v>362.12049823275697</v>
      </c>
      <c r="Q89" s="3">
        <v>0.21</v>
      </c>
      <c r="R89" s="12">
        <f t="shared" si="12"/>
        <v>1.8106024911637849E-3</v>
      </c>
      <c r="V89" s="3">
        <f t="shared" si="10"/>
        <v>0.21828155934945867</v>
      </c>
      <c r="W89" s="3">
        <f t="shared" si="13"/>
        <v>1.0394359969021842</v>
      </c>
      <c r="Y89" s="3">
        <f t="shared" si="11"/>
        <v>0.22323765324614028</v>
      </c>
      <c r="Z89" s="3">
        <f t="shared" si="14"/>
        <v>1.0630364440292395</v>
      </c>
      <c r="AB89" s="3">
        <f>$AC$2*($AC$3+$AC$4*$F89/($N89*'Dataset sem TS MC2020'!P81))*($AC$5*$G89+$AC$6*$B89/$N89)*'Dataset sem TS MC2020'!R81*($J89-$M89)/($J89-$M89-$H89)</f>
        <v>0.15409186610153575</v>
      </c>
      <c r="AC89" s="3">
        <f t="shared" si="15"/>
        <v>0.73377079095969411</v>
      </c>
      <c r="AD89" s="16">
        <f t="shared" si="16"/>
        <v>-5.5908133898464246E-2</v>
      </c>
      <c r="AE89" s="17">
        <f t="shared" si="17"/>
        <v>1.3628233943355887</v>
      </c>
      <c r="AF89" s="17">
        <f>AB89*(14.068*'Dataset sem TS MC2020'!$P81^-0.457)/$Q89</f>
        <v>0.68366288544544573</v>
      </c>
      <c r="AG89" s="17"/>
      <c r="AO89" s="3">
        <f>$AP$2*($AP$3+$AP$4*$F89/($N89*'Dataset sem TS MC2020'!P81))*($AP$5*$G89+$AP$6*$B89/$N89)*('Dataset sem TS MC2020'!P81^$AP$7/200000)*($J89-$M89)/($J89-$M89-$H89)+('Dataset sem TS MC2020'!P81-$C89/$AP$8)*($AP$5*$G89+$AP$6*$B89/$N89)/200000</f>
        <v>0.15362751959739573</v>
      </c>
      <c r="AP89" s="3">
        <f t="shared" si="18"/>
        <v>0.73155961713045592</v>
      </c>
      <c r="AQ89" s="16">
        <f t="shared" si="19"/>
        <v>-5.6372480402604258E-2</v>
      </c>
    </row>
    <row r="90" spans="1:43" x14ac:dyDescent="0.3">
      <c r="A90" s="1" t="s">
        <v>25</v>
      </c>
      <c r="B90" s="4">
        <v>16</v>
      </c>
      <c r="C90" s="5">
        <v>500</v>
      </c>
      <c r="D90" s="5">
        <v>2</v>
      </c>
      <c r="E90" s="4">
        <v>138</v>
      </c>
      <c r="F90" s="3">
        <v>3.2689999999999997</v>
      </c>
      <c r="G90" s="4">
        <v>40</v>
      </c>
      <c r="H90" s="4">
        <v>48</v>
      </c>
      <c r="I90" s="1">
        <v>250</v>
      </c>
      <c r="J90" s="4">
        <v>348</v>
      </c>
      <c r="K90" s="5">
        <v>400</v>
      </c>
      <c r="L90" s="3">
        <v>32000</v>
      </c>
      <c r="M90" s="5">
        <v>73.386285342529078</v>
      </c>
      <c r="N90" s="8">
        <v>1.2500000000000001E-2</v>
      </c>
      <c r="O90" s="3">
        <v>20.420000000000002</v>
      </c>
      <c r="P90" s="5">
        <v>13.79531018126869</v>
      </c>
      <c r="Q90" s="3">
        <v>0.15</v>
      </c>
      <c r="R90" s="12">
        <f t="shared" si="12"/>
        <v>6.8976550906343451E-5</v>
      </c>
      <c r="V90" s="3">
        <f t="shared" si="10"/>
        <v>5.5758334408786955E-2</v>
      </c>
      <c r="W90" s="3">
        <f t="shared" si="13"/>
        <v>0.37172222939191307</v>
      </c>
      <c r="Y90" s="3">
        <f t="shared" si="11"/>
        <v>5.4470787898027125E-2</v>
      </c>
      <c r="Z90" s="3">
        <f t="shared" si="14"/>
        <v>0.36313858598684751</v>
      </c>
      <c r="AB90" s="3">
        <f>$AC$2*($AC$3+$AC$4*$F90/($N90*'Dataset sem TS MC2020'!P82))*($AC$5*$G90+$AC$6*$B90/$N90)*'Dataset sem TS MC2020'!R82*($J90-$M90)/($J90-$M90-$H90)</f>
        <v>7.6750362292226232E-2</v>
      </c>
      <c r="AC90" s="3">
        <f t="shared" si="15"/>
        <v>0.51166908194817495</v>
      </c>
      <c r="AD90" s="16">
        <f t="shared" si="16"/>
        <v>-7.3249637707773763E-2</v>
      </c>
      <c r="AE90" s="17">
        <f t="shared" si="17"/>
        <v>1.9543881686040319</v>
      </c>
      <c r="AF90" s="17">
        <f>AB90*(14.068*'Dataset sem TS MC2020'!$P82^-0.457)/$Q90</f>
        <v>0.66195788006992762</v>
      </c>
      <c r="AG90" s="17"/>
      <c r="AO90" s="3">
        <f>$AP$2*($AP$3+$AP$4*$F90/($N90*'Dataset sem TS MC2020'!P82))*($AP$5*$G90+$AP$6*$B90/$N90)*('Dataset sem TS MC2020'!P82^$AP$7/200000)*($J90-$M90)/($J90-$M90-$H90)+('Dataset sem TS MC2020'!P82-$C90/$AP$8)*($AP$5*$G90+$AP$6*$B90/$N90)/200000</f>
        <v>7.461673693072092E-2</v>
      </c>
      <c r="AP90" s="3">
        <f t="shared" si="18"/>
        <v>0.4974449128714728</v>
      </c>
      <c r="AQ90" s="16">
        <f t="shared" si="19"/>
        <v>-7.5383263069279074E-2</v>
      </c>
    </row>
    <row r="91" spans="1:43" x14ac:dyDescent="0.3">
      <c r="B91" s="4">
        <v>16</v>
      </c>
      <c r="C91" s="5">
        <v>500</v>
      </c>
      <c r="D91" s="5">
        <v>2</v>
      </c>
      <c r="E91" s="4">
        <v>138</v>
      </c>
      <c r="F91" s="3">
        <v>3.2689999999999997</v>
      </c>
      <c r="G91" s="4">
        <v>40</v>
      </c>
      <c r="H91" s="4">
        <v>48</v>
      </c>
      <c r="I91" s="1">
        <v>250</v>
      </c>
      <c r="J91" s="4">
        <v>348</v>
      </c>
      <c r="K91" s="5">
        <v>400</v>
      </c>
      <c r="L91" s="3">
        <v>32000</v>
      </c>
      <c r="M91" s="5">
        <v>73.386285342529078</v>
      </c>
      <c r="N91" s="8">
        <v>1.2500000000000001E-2</v>
      </c>
      <c r="O91" s="3">
        <v>23.34</v>
      </c>
      <c r="P91" s="5">
        <v>53.37013231707499</v>
      </c>
      <c r="Q91" s="3">
        <v>0.2</v>
      </c>
      <c r="R91" s="12">
        <f t="shared" si="12"/>
        <v>2.6685066158537493E-4</v>
      </c>
      <c r="V91" s="3">
        <f t="shared" si="10"/>
        <v>0.12848088332501847</v>
      </c>
      <c r="W91" s="3">
        <f t="shared" si="13"/>
        <v>0.64240441662509229</v>
      </c>
      <c r="Y91" s="3">
        <f t="shared" si="11"/>
        <v>0.12739594764741027</v>
      </c>
      <c r="Z91" s="3">
        <f t="shared" si="14"/>
        <v>0.63697973823705134</v>
      </c>
      <c r="AB91" s="3">
        <f>$AC$2*($AC$3+$AC$4*$F91/($N91*'Dataset sem TS MC2020'!P83))*($AC$5*$G91+$AC$6*$B91/$N91)*'Dataset sem TS MC2020'!R83*($J91-$M91)/($J91-$M91-$H91)</f>
        <v>0.12404276956957699</v>
      </c>
      <c r="AC91" s="3">
        <f t="shared" si="15"/>
        <v>0.62021384784788491</v>
      </c>
      <c r="AD91" s="16">
        <f t="shared" si="16"/>
        <v>-7.5957230430423017E-2</v>
      </c>
      <c r="AE91" s="17">
        <f t="shared" si="17"/>
        <v>1.6123471016810678</v>
      </c>
      <c r="AF91" s="17">
        <f>AB91*(14.068*'Dataset sem TS MC2020'!$P83^-0.457)/$Q91</f>
        <v>0.7548419414640386</v>
      </c>
      <c r="AG91" s="17"/>
      <c r="AO91" s="3">
        <f>$AP$2*($AP$3+$AP$4*$F91/($N91*'Dataset sem TS MC2020'!P83))*($AP$5*$G91+$AP$6*$B91/$N91)*('Dataset sem TS MC2020'!P83^$AP$7/200000)*($J91-$M91)/($J91-$M91-$H91)+('Dataset sem TS MC2020'!P83-$C91/$AP$8)*($AP$5*$G91+$AP$6*$B91/$N91)/200000</f>
        <v>0.12875861561640478</v>
      </c>
      <c r="AP91" s="3">
        <f t="shared" si="18"/>
        <v>0.64379307808202391</v>
      </c>
      <c r="AQ91" s="16">
        <f t="shared" si="19"/>
        <v>-7.124138438359523E-2</v>
      </c>
    </row>
    <row r="92" spans="1:43" x14ac:dyDescent="0.3">
      <c r="B92" s="4">
        <v>16</v>
      </c>
      <c r="C92" s="5">
        <v>500</v>
      </c>
      <c r="D92" s="5">
        <v>2</v>
      </c>
      <c r="E92" s="4">
        <v>138</v>
      </c>
      <c r="F92" s="3">
        <v>3.2689999999999997</v>
      </c>
      <c r="G92" s="4">
        <v>40</v>
      </c>
      <c r="H92" s="4">
        <v>48</v>
      </c>
      <c r="I92" s="1">
        <v>250</v>
      </c>
      <c r="J92" s="4">
        <v>348</v>
      </c>
      <c r="K92" s="5">
        <v>400</v>
      </c>
      <c r="L92" s="3">
        <v>32000</v>
      </c>
      <c r="M92" s="5">
        <v>73.386285342529078</v>
      </c>
      <c r="N92" s="8">
        <v>1.2500000000000001E-2</v>
      </c>
      <c r="O92" s="3">
        <v>26.26</v>
      </c>
      <c r="P92" s="5">
        <v>95.802447537233263</v>
      </c>
      <c r="Q92" s="3">
        <v>0.25</v>
      </c>
      <c r="R92" s="12">
        <f t="shared" si="12"/>
        <v>4.7901223768616634E-4</v>
      </c>
      <c r="V92" s="3">
        <f t="shared" si="10"/>
        <v>0.18433374236535513</v>
      </c>
      <c r="W92" s="3">
        <f t="shared" si="13"/>
        <v>0.73733496946142052</v>
      </c>
      <c r="Y92" s="3">
        <f t="shared" si="11"/>
        <v>0.18395720473358329</v>
      </c>
      <c r="Z92" s="3">
        <f t="shared" si="14"/>
        <v>0.73582881893433316</v>
      </c>
      <c r="AB92" s="3">
        <f>$AC$2*($AC$3+$AC$4*$F92/($N92*'Dataset sem TS MC2020'!P84))*($AC$5*$G92+$AC$6*$B92/$N92)*'Dataset sem TS MC2020'!R84*($J92-$M92)/($J92-$M92-$H92)</f>
        <v>0.17133517684692789</v>
      </c>
      <c r="AC92" s="3">
        <f t="shared" si="15"/>
        <v>0.68534070738771158</v>
      </c>
      <c r="AD92" s="16">
        <f t="shared" si="16"/>
        <v>-7.8664823153072105E-2</v>
      </c>
      <c r="AE92" s="17">
        <f t="shared" si="17"/>
        <v>1.459128268933074</v>
      </c>
      <c r="AF92" s="17">
        <f>AB92*(14.068*'Dataset sem TS MC2020'!$P84^-0.457)/$Q92</f>
        <v>0.79036098559074119</v>
      </c>
      <c r="AG92" s="17"/>
      <c r="AO92" s="3">
        <f>$AP$2*($AP$3+$AP$4*$F92/($N92*'Dataset sem TS MC2020'!P84))*($AP$5*$G92+$AP$6*$B92/$N92)*('Dataset sem TS MC2020'!P84^$AP$7/200000)*($J92-$M92)/($J92-$M92-$H92)+('Dataset sem TS MC2020'!P84-$C92/$AP$8)*($AP$5*$G92+$AP$6*$B92/$N92)/200000</f>
        <v>0.18094870855339648</v>
      </c>
      <c r="AP92" s="3">
        <f t="shared" si="18"/>
        <v>0.72379483421358592</v>
      </c>
      <c r="AQ92" s="16">
        <f t="shared" si="19"/>
        <v>-6.9051291446603519E-2</v>
      </c>
    </row>
    <row r="93" spans="1:43" x14ac:dyDescent="0.3">
      <c r="B93" s="4">
        <v>16</v>
      </c>
      <c r="C93" s="5">
        <v>500</v>
      </c>
      <c r="D93" s="5">
        <v>2</v>
      </c>
      <c r="E93" s="4">
        <v>138</v>
      </c>
      <c r="F93" s="3">
        <v>3.2689999999999997</v>
      </c>
      <c r="G93" s="4">
        <v>40</v>
      </c>
      <c r="H93" s="4">
        <v>48</v>
      </c>
      <c r="I93" s="1">
        <v>250</v>
      </c>
      <c r="J93" s="4">
        <v>348</v>
      </c>
      <c r="K93" s="5">
        <v>400</v>
      </c>
      <c r="L93" s="3">
        <v>32000</v>
      </c>
      <c r="M93" s="5">
        <v>73.386285342529078</v>
      </c>
      <c r="N93" s="8">
        <v>1.2500000000000001E-2</v>
      </c>
      <c r="O93" s="3">
        <v>29.175000000000001</v>
      </c>
      <c r="P93" s="5">
        <v>138.16210468338426</v>
      </c>
      <c r="Q93" s="3">
        <v>0.28000000000000003</v>
      </c>
      <c r="R93" s="12">
        <f t="shared" si="12"/>
        <v>6.9081052341692128E-4</v>
      </c>
      <c r="V93" s="3">
        <f t="shared" si="10"/>
        <v>0.23105504283664749</v>
      </c>
      <c r="W93" s="3">
        <f t="shared" si="13"/>
        <v>0.82519658155945519</v>
      </c>
      <c r="Y93" s="3">
        <f t="shared" si="11"/>
        <v>0.23151362158818836</v>
      </c>
      <c r="Z93" s="3">
        <f t="shared" si="14"/>
        <v>0.82683436281495837</v>
      </c>
      <c r="AB93" s="3">
        <f>$AC$2*($AC$3+$AC$4*$F93/($N93*'Dataset sem TS MC2020'!P85))*($AC$5*$G93+$AC$6*$B93/$N93)*'Dataset sem TS MC2020'!R85*($J93-$M93)/($J93-$M93-$H93)</f>
        <v>0.21854660397483128</v>
      </c>
      <c r="AC93" s="3">
        <f t="shared" si="15"/>
        <v>0.78052358562439739</v>
      </c>
      <c r="AD93" s="16">
        <f t="shared" si="16"/>
        <v>-6.1453396025168749E-2</v>
      </c>
      <c r="AE93" s="17">
        <f t="shared" si="17"/>
        <v>1.2811912649635404</v>
      </c>
      <c r="AF93" s="17">
        <f>AB93*(14.068*'Dataset sem TS MC2020'!$P85^-0.457)/$Q93</f>
        <v>0.85785269361305061</v>
      </c>
      <c r="AG93" s="17"/>
      <c r="AO93" s="3">
        <f>$AP$2*($AP$3+$AP$4*$F93/($N93*'Dataset sem TS MC2020'!P85))*($AP$5*$G93+$AP$6*$B93/$N93)*('Dataset sem TS MC2020'!P85^$AP$7/200000)*($J93-$M93)/($J93-$M93-$H93)+('Dataset sem TS MC2020'!P85-$C93/$AP$8)*($AP$5*$G93+$AP$6*$B93/$N93)/200000</f>
        <v>0.23145110013602213</v>
      </c>
      <c r="AP93" s="3">
        <f t="shared" si="18"/>
        <v>0.82661107191436467</v>
      </c>
      <c r="AQ93" s="16">
        <f t="shared" si="19"/>
        <v>-4.8548899863977896E-2</v>
      </c>
    </row>
    <row r="94" spans="1:43" x14ac:dyDescent="0.3">
      <c r="B94" s="4">
        <v>16</v>
      </c>
      <c r="C94" s="5">
        <v>500</v>
      </c>
      <c r="D94" s="5">
        <v>2</v>
      </c>
      <c r="E94" s="4">
        <v>138</v>
      </c>
      <c r="F94" s="3">
        <v>3.2689999999999997</v>
      </c>
      <c r="G94" s="4">
        <v>40</v>
      </c>
      <c r="H94" s="4">
        <v>48</v>
      </c>
      <c r="I94" s="1">
        <v>250</v>
      </c>
      <c r="J94" s="4">
        <v>348</v>
      </c>
      <c r="K94" s="5">
        <v>400</v>
      </c>
      <c r="L94" s="3">
        <v>32000</v>
      </c>
      <c r="M94" s="5">
        <v>73.386285342529078</v>
      </c>
      <c r="N94" s="8">
        <v>1.2500000000000001E-2</v>
      </c>
      <c r="O94" s="3">
        <v>32.090000000000003</v>
      </c>
      <c r="P94" s="5">
        <v>180.52176182953536</v>
      </c>
      <c r="Q94" s="3">
        <v>0.28000000000000003</v>
      </c>
      <c r="R94" s="12">
        <f t="shared" si="12"/>
        <v>9.0260880914767687E-4</v>
      </c>
      <c r="V94" s="3">
        <f t="shared" si="10"/>
        <v>0.27250483730416758</v>
      </c>
      <c r="W94" s="3">
        <f t="shared" si="13"/>
        <v>0.97323156180059844</v>
      </c>
      <c r="Y94" s="3">
        <f t="shared" si="11"/>
        <v>0.27385007234140035</v>
      </c>
      <c r="Z94" s="3">
        <f t="shared" si="14"/>
        <v>0.97803597264785835</v>
      </c>
      <c r="AB94" s="3">
        <f>$AC$2*($AC$3+$AC$4*$F94/($N94*'Dataset sem TS MC2020'!P86))*($AC$5*$G94+$AC$6*$B94/$N94)*'Dataset sem TS MC2020'!R86*($J94-$M94)/($J94-$M94-$H94)</f>
        <v>0.26575803110273477</v>
      </c>
      <c r="AC94" s="3">
        <f t="shared" si="15"/>
        <v>0.94913582536690977</v>
      </c>
      <c r="AD94" s="16">
        <f t="shared" si="16"/>
        <v>-1.4241968897265256E-2</v>
      </c>
      <c r="AE94" s="17">
        <f t="shared" si="17"/>
        <v>1.0535899849881101</v>
      </c>
      <c r="AF94" s="17">
        <f>AB94*(14.068*'Dataset sem TS MC2020'!$P86^-0.457)/$Q94</f>
        <v>0.99874371421182273</v>
      </c>
      <c r="AG94" s="17"/>
      <c r="AO94" s="3">
        <f>$AP$2*($AP$3+$AP$4*$F94/($N94*'Dataset sem TS MC2020'!P86))*($AP$5*$G94+$AP$6*$B94/$N94)*('Dataset sem TS MC2020'!P86^$AP$7/200000)*($J94-$M94)/($J94-$M94-$H94)+('Dataset sem TS MC2020'!P86-$C94/$AP$8)*($AP$5*$G94+$AP$6*$B94/$N94)/200000</f>
        <v>0.28061035680379182</v>
      </c>
      <c r="AP94" s="3">
        <f t="shared" si="18"/>
        <v>1.0021798457278279</v>
      </c>
      <c r="AQ94" s="16">
        <f t="shared" si="19"/>
        <v>6.1035680379178947E-4</v>
      </c>
    </row>
    <row r="95" spans="1:43" x14ac:dyDescent="0.3">
      <c r="B95" s="4">
        <v>16</v>
      </c>
      <c r="C95" s="5">
        <v>500</v>
      </c>
      <c r="D95" s="5">
        <v>2</v>
      </c>
      <c r="E95" s="4">
        <v>138</v>
      </c>
      <c r="F95" s="3">
        <v>3.2689999999999997</v>
      </c>
      <c r="G95" s="4">
        <v>40</v>
      </c>
      <c r="H95" s="4">
        <v>48</v>
      </c>
      <c r="I95" s="1">
        <v>250</v>
      </c>
      <c r="J95" s="4">
        <v>348</v>
      </c>
      <c r="K95" s="5">
        <v>400</v>
      </c>
      <c r="L95" s="3">
        <v>32000</v>
      </c>
      <c r="M95" s="5">
        <v>73.386285342529078</v>
      </c>
      <c r="N95" s="8">
        <v>1.2500000000000001E-2</v>
      </c>
      <c r="O95" s="3">
        <v>35.01</v>
      </c>
      <c r="P95" s="5">
        <v>222.95407704969347</v>
      </c>
      <c r="Q95" s="3">
        <v>0.3</v>
      </c>
      <c r="R95" s="12">
        <f t="shared" si="12"/>
        <v>1.1147703852484674E-3</v>
      </c>
      <c r="V95" s="3">
        <f t="shared" si="10"/>
        <v>0.31041620742317744</v>
      </c>
      <c r="W95" s="3">
        <f t="shared" si="13"/>
        <v>1.0347206914105915</v>
      </c>
      <c r="Y95" s="3">
        <f t="shared" si="11"/>
        <v>0.31267386134438807</v>
      </c>
      <c r="Z95" s="3">
        <f t="shared" si="14"/>
        <v>1.0422462044812937</v>
      </c>
      <c r="AB95" s="3">
        <f>$AC$2*($AC$3+$AC$4*$F95/($N95*'Dataset sem TS MC2020'!P87))*($AC$5*$G95+$AC$6*$B95/$N95)*'Dataset sem TS MC2020'!R87*($J95-$M95)/($J95-$M95-$H95)</f>
        <v>0.31305043838008545</v>
      </c>
      <c r="AC95" s="3">
        <f t="shared" si="15"/>
        <v>1.0435014612669515</v>
      </c>
      <c r="AD95" s="16">
        <f t="shared" si="16"/>
        <v>1.3050438380085461E-2</v>
      </c>
      <c r="AE95" s="17">
        <f t="shared" si="17"/>
        <v>0.95831202649765823</v>
      </c>
      <c r="AF95" s="17">
        <f>AB95*(14.068*'Dataset sem TS MC2020'!$P87^-0.457)/$Q95</f>
        <v>1.0551979053082876</v>
      </c>
      <c r="AG95" s="17"/>
      <c r="AO95" s="3">
        <f>$AP$2*($AP$3+$AP$4*$F95/($N95*'Dataset sem TS MC2020'!P87))*($AP$5*$G95+$AP$6*$B95/$N95)*('Dataset sem TS MC2020'!P87^$AP$7/200000)*($J95-$M95)/($J95-$M95-$H95)+('Dataset sem TS MC2020'!P87-$C95/$AP$8)*($AP$5*$G95+$AP$6*$B95/$N95)/200000</f>
        <v>0.3286995841083491</v>
      </c>
      <c r="AP95" s="3">
        <f t="shared" si="18"/>
        <v>1.0956652803611637</v>
      </c>
      <c r="AQ95" s="16">
        <f t="shared" si="19"/>
        <v>2.8699584108349108E-2</v>
      </c>
    </row>
    <row r="96" spans="1:43" x14ac:dyDescent="0.3">
      <c r="B96" s="4">
        <v>16</v>
      </c>
      <c r="C96" s="5">
        <v>500</v>
      </c>
      <c r="D96" s="5">
        <v>2</v>
      </c>
      <c r="E96" s="4">
        <v>138</v>
      </c>
      <c r="F96" s="3">
        <v>3.2689999999999997</v>
      </c>
      <c r="G96" s="4">
        <v>40</v>
      </c>
      <c r="H96" s="4">
        <v>48</v>
      </c>
      <c r="I96" s="1">
        <v>250</v>
      </c>
      <c r="J96" s="4">
        <v>348</v>
      </c>
      <c r="K96" s="5">
        <v>400</v>
      </c>
      <c r="L96" s="3">
        <v>32000</v>
      </c>
      <c r="M96" s="5">
        <v>73.386285342529078</v>
      </c>
      <c r="N96" s="8">
        <v>1.2500000000000001E-2</v>
      </c>
      <c r="O96" s="3">
        <v>37.93</v>
      </c>
      <c r="P96" s="5">
        <v>265.38639226985168</v>
      </c>
      <c r="Q96" s="3">
        <v>0.33</v>
      </c>
      <c r="R96" s="12">
        <f t="shared" si="12"/>
        <v>1.3269319613492584E-3</v>
      </c>
      <c r="V96" s="3">
        <f t="shared" si="10"/>
        <v>0.34564366598472118</v>
      </c>
      <c r="W96" s="3">
        <f t="shared" si="13"/>
        <v>1.0474050484385491</v>
      </c>
      <c r="Y96" s="3">
        <f t="shared" si="11"/>
        <v>0.34882538860049117</v>
      </c>
      <c r="Z96" s="3">
        <f t="shared" si="14"/>
        <v>1.0570466321227006</v>
      </c>
      <c r="AB96" s="3">
        <f>$AC$2*($AC$3+$AC$4*$F96/($N96*'Dataset sem TS MC2020'!P88))*($AC$5*$G96+$AC$6*$B96/$N96)*'Dataset sem TS MC2020'!R88*($J96-$M96)/($J96-$M96-$H96)</f>
        <v>0.36034284565743646</v>
      </c>
      <c r="AC96" s="3">
        <f t="shared" si="15"/>
        <v>1.0919480171437468</v>
      </c>
      <c r="AD96" s="16">
        <f t="shared" si="16"/>
        <v>3.0342845657436446E-2</v>
      </c>
      <c r="AE96" s="17">
        <f t="shared" si="17"/>
        <v>0.915794510635901</v>
      </c>
      <c r="AF96" s="17">
        <f>AB96*(14.068*'Dataset sem TS MC2020'!$P88^-0.457)/$Q96</f>
        <v>1.0644945894095921</v>
      </c>
      <c r="AG96" s="17"/>
      <c r="AO96" s="3">
        <f>$AP$2*($AP$3+$AP$4*$F96/($N96*'Dataset sem TS MC2020'!P88))*($AP$5*$G96+$AP$6*$B96/$N96)*('Dataset sem TS MC2020'!P88^$AP$7/200000)*($J96-$M96)/($J96-$M96-$H96)+('Dataset sem TS MC2020'!P88-$C96/$AP$8)*($AP$5*$G96+$AP$6*$B96/$N96)/200000</f>
        <v>0.37578305653769911</v>
      </c>
      <c r="AP96" s="3">
        <f t="shared" si="18"/>
        <v>1.1387365349627245</v>
      </c>
      <c r="AQ96" s="16">
        <f t="shared" si="19"/>
        <v>4.5783056537699096E-2</v>
      </c>
    </row>
    <row r="97" spans="1:43" x14ac:dyDescent="0.3">
      <c r="B97" s="4">
        <v>16</v>
      </c>
      <c r="C97" s="5">
        <v>500</v>
      </c>
      <c r="D97" s="5">
        <v>2</v>
      </c>
      <c r="E97" s="4">
        <v>138</v>
      </c>
      <c r="F97" s="3">
        <v>3.2689999999999997</v>
      </c>
      <c r="G97" s="4">
        <v>40</v>
      </c>
      <c r="H97" s="4">
        <v>48</v>
      </c>
      <c r="I97" s="1">
        <v>250</v>
      </c>
      <c r="J97" s="4">
        <v>348</v>
      </c>
      <c r="K97" s="5">
        <v>400</v>
      </c>
      <c r="L97" s="3">
        <v>32000</v>
      </c>
      <c r="M97" s="5">
        <v>73.386285342529078</v>
      </c>
      <c r="N97" s="8">
        <v>1.2500000000000001E-2</v>
      </c>
      <c r="O97" s="3">
        <v>40.840000000000003</v>
      </c>
      <c r="P97" s="5">
        <v>307.67339134199574</v>
      </c>
      <c r="Q97" s="3">
        <v>0.33</v>
      </c>
      <c r="R97" s="12">
        <f t="shared" si="12"/>
        <v>1.5383669567099786E-3</v>
      </c>
      <c r="V97" s="3">
        <f t="shared" si="10"/>
        <v>0.37865785240713123</v>
      </c>
      <c r="W97" s="3">
        <f t="shared" si="13"/>
        <v>1.1474480375973672</v>
      </c>
      <c r="Y97" s="3">
        <f t="shared" si="11"/>
        <v>0.38276549048585096</v>
      </c>
      <c r="Z97" s="3">
        <f t="shared" si="14"/>
        <v>1.1598954257146998</v>
      </c>
      <c r="AB97" s="3">
        <f>$AC$2*($AC$3+$AC$4*$F97/($N97*'Dataset sem TS MC2020'!P89))*($AC$5*$G97+$AC$6*$B97/$N97)*'Dataset sem TS MC2020'!R89*($J97-$M97)/($J97-$M97-$H97)</f>
        <v>0.40747329263589244</v>
      </c>
      <c r="AC97" s="3">
        <f t="shared" si="15"/>
        <v>1.2347675534420983</v>
      </c>
      <c r="AD97" s="16">
        <f t="shared" si="16"/>
        <v>7.7473292635892421E-2</v>
      </c>
      <c r="AE97" s="17">
        <f t="shared" si="17"/>
        <v>0.8098690293669859</v>
      </c>
      <c r="AF97" s="17">
        <f>AB97*(14.068*'Dataset sem TS MC2020'!$P89^-0.457)/$Q97</f>
        <v>1.1637392496560466</v>
      </c>
      <c r="AG97" s="17"/>
      <c r="AO97" s="3">
        <f>$AP$2*($AP$3+$AP$4*$F97/($N97*'Dataset sem TS MC2020'!P89))*($AP$5*$G97+$AP$6*$B97/$N97)*('Dataset sem TS MC2020'!P89^$AP$7/200000)*($J97-$M97)/($J97-$M97-$H97)+('Dataset sem TS MC2020'!P89-$C97/$AP$8)*($AP$5*$G97+$AP$6*$B97/$N97)/200000</f>
        <v>0.42182297351882103</v>
      </c>
      <c r="AP97" s="3">
        <f t="shared" si="18"/>
        <v>1.2782514349055183</v>
      </c>
      <c r="AQ97" s="16">
        <f t="shared" si="19"/>
        <v>9.1822973518821016E-2</v>
      </c>
    </row>
    <row r="98" spans="1:43" x14ac:dyDescent="0.3">
      <c r="A98" s="1" t="s">
        <v>26</v>
      </c>
      <c r="B98" s="4">
        <v>16</v>
      </c>
      <c r="C98" s="5">
        <v>500</v>
      </c>
      <c r="D98" s="5">
        <v>2</v>
      </c>
      <c r="E98" s="4">
        <v>138</v>
      </c>
      <c r="F98" s="3">
        <v>3.2689999999999997</v>
      </c>
      <c r="G98" s="4">
        <v>40</v>
      </c>
      <c r="H98" s="4">
        <v>48</v>
      </c>
      <c r="I98" s="1">
        <v>250</v>
      </c>
      <c r="J98" s="4">
        <v>348</v>
      </c>
      <c r="K98" s="5">
        <v>400</v>
      </c>
      <c r="L98" s="3">
        <v>32000</v>
      </c>
      <c r="M98" s="5">
        <v>73.386285342529078</v>
      </c>
      <c r="N98" s="8">
        <v>1.2500000000000001E-2</v>
      </c>
      <c r="O98" s="3">
        <v>23.34</v>
      </c>
      <c r="P98" s="5">
        <v>53.37013231707499</v>
      </c>
      <c r="Q98" s="3">
        <v>0.15</v>
      </c>
      <c r="R98" s="12">
        <f t="shared" si="12"/>
        <v>2.6685066158537493E-4</v>
      </c>
      <c r="V98" s="3">
        <f t="shared" si="10"/>
        <v>0.12848088332501847</v>
      </c>
      <c r="W98" s="3">
        <f t="shared" si="13"/>
        <v>0.8565392221667899</v>
      </c>
      <c r="Y98" s="3">
        <f t="shared" si="11"/>
        <v>0.12739594764741027</v>
      </c>
      <c r="Z98" s="3">
        <f t="shared" si="14"/>
        <v>0.8493063176494019</v>
      </c>
      <c r="AB98" s="3">
        <f>$AC$2*($AC$3+$AC$4*$F98/($N98*'Dataset sem TS MC2020'!P90))*($AC$5*$G98+$AC$6*$B98/$N98)*'Dataset sem TS MC2020'!R90*($J98-$M98)/($J98-$M98-$H98)</f>
        <v>0.12404276956957699</v>
      </c>
      <c r="AC98" s="3">
        <f t="shared" si="15"/>
        <v>0.82695179713051337</v>
      </c>
      <c r="AD98" s="16">
        <f t="shared" si="16"/>
        <v>-2.5957230430423001E-2</v>
      </c>
      <c r="AE98" s="17">
        <f t="shared" si="17"/>
        <v>1.2092603262608006</v>
      </c>
      <c r="AF98" s="17">
        <f>AB98*(14.068*'Dataset sem TS MC2020'!$P90^-0.457)/$Q98</f>
        <v>1.0064559219520517</v>
      </c>
      <c r="AG98" s="17"/>
      <c r="AO98" s="3">
        <f>$AP$2*($AP$3+$AP$4*$F98/($N98*'Dataset sem TS MC2020'!P90))*($AP$5*$G98+$AP$6*$B98/$N98)*('Dataset sem TS MC2020'!P90^$AP$7/200000)*($J98-$M98)/($J98-$M98-$H98)+('Dataset sem TS MC2020'!P90-$C98/$AP$8)*($AP$5*$G98+$AP$6*$B98/$N98)/200000</f>
        <v>0.12875861561640478</v>
      </c>
      <c r="AP98" s="3">
        <f t="shared" si="18"/>
        <v>0.85839077077603188</v>
      </c>
      <c r="AQ98" s="16">
        <f t="shared" si="19"/>
        <v>-2.1241384383595213E-2</v>
      </c>
    </row>
    <row r="99" spans="1:43" x14ac:dyDescent="0.3">
      <c r="B99" s="4">
        <v>16</v>
      </c>
      <c r="C99" s="5">
        <v>500</v>
      </c>
      <c r="D99" s="5">
        <v>2</v>
      </c>
      <c r="E99" s="4">
        <v>138</v>
      </c>
      <c r="F99" s="3">
        <v>3.2689999999999997</v>
      </c>
      <c r="G99" s="4">
        <v>40</v>
      </c>
      <c r="H99" s="4">
        <v>48</v>
      </c>
      <c r="I99" s="1">
        <v>250</v>
      </c>
      <c r="J99" s="4">
        <v>348</v>
      </c>
      <c r="K99" s="5">
        <v>400</v>
      </c>
      <c r="L99" s="3">
        <v>32000</v>
      </c>
      <c r="M99" s="5">
        <v>73.386285342529078</v>
      </c>
      <c r="N99" s="8">
        <v>1.2500000000000001E-2</v>
      </c>
      <c r="O99" s="3">
        <v>26.26</v>
      </c>
      <c r="P99" s="5">
        <v>95.802447537233263</v>
      </c>
      <c r="Q99" s="3">
        <v>0.18</v>
      </c>
      <c r="R99" s="12">
        <f t="shared" si="12"/>
        <v>4.7901223768616634E-4</v>
      </c>
      <c r="V99" s="3">
        <f t="shared" si="10"/>
        <v>0.18433374236535513</v>
      </c>
      <c r="W99" s="3">
        <f t="shared" si="13"/>
        <v>1.0240763464741951</v>
      </c>
      <c r="Y99" s="3">
        <f t="shared" si="11"/>
        <v>0.18395720473358329</v>
      </c>
      <c r="Z99" s="3">
        <f t="shared" si="14"/>
        <v>1.0219844707421295</v>
      </c>
      <c r="AB99" s="3">
        <f>$AC$2*($AC$3+$AC$4*$F99/($N99*'Dataset sem TS MC2020'!P91))*($AC$5*$G99+$AC$6*$B99/$N99)*'Dataset sem TS MC2020'!R91*($J99-$M99)/($J99-$M99-$H99)</f>
        <v>0.17133517684692789</v>
      </c>
      <c r="AC99" s="3">
        <f t="shared" si="15"/>
        <v>0.95186209359404395</v>
      </c>
      <c r="AD99" s="16">
        <f t="shared" si="16"/>
        <v>-8.6648231530720987E-3</v>
      </c>
      <c r="AE99" s="17">
        <f t="shared" si="17"/>
        <v>1.0505723536318132</v>
      </c>
      <c r="AF99" s="17">
        <f>AB99*(14.068*'Dataset sem TS MC2020'!$P91^-0.457)/$Q99</f>
        <v>1.0977235910982517</v>
      </c>
      <c r="AG99" s="17"/>
      <c r="AO99" s="3">
        <f>$AP$2*($AP$3+$AP$4*$F99/($N99*'Dataset sem TS MC2020'!P91))*($AP$5*$G99+$AP$6*$B99/$N99)*('Dataset sem TS MC2020'!P91^$AP$7/200000)*($J99-$M99)/($J99-$M99-$H99)+('Dataset sem TS MC2020'!P91-$C99/$AP$8)*($AP$5*$G99+$AP$6*$B99/$N99)/200000</f>
        <v>0.18094870855339648</v>
      </c>
      <c r="AP99" s="3">
        <f t="shared" si="18"/>
        <v>1.005270603074425</v>
      </c>
      <c r="AQ99" s="16">
        <f t="shared" si="19"/>
        <v>9.4870855339648785E-4</v>
      </c>
    </row>
    <row r="100" spans="1:43" x14ac:dyDescent="0.3">
      <c r="B100" s="4">
        <v>16</v>
      </c>
      <c r="C100" s="5">
        <v>500</v>
      </c>
      <c r="D100" s="5">
        <v>2</v>
      </c>
      <c r="E100" s="4">
        <v>138</v>
      </c>
      <c r="F100" s="3">
        <v>3.2689999999999997</v>
      </c>
      <c r="G100" s="4">
        <v>40</v>
      </c>
      <c r="H100" s="4">
        <v>48</v>
      </c>
      <c r="I100" s="1">
        <v>250</v>
      </c>
      <c r="J100" s="4">
        <v>348</v>
      </c>
      <c r="K100" s="5">
        <v>400</v>
      </c>
      <c r="L100" s="3">
        <v>32000</v>
      </c>
      <c r="M100" s="5">
        <v>73.386285342529078</v>
      </c>
      <c r="N100" s="8">
        <v>1.2500000000000001E-2</v>
      </c>
      <c r="O100" s="3">
        <v>29.175000000000001</v>
      </c>
      <c r="P100" s="5">
        <v>138.16210468338426</v>
      </c>
      <c r="Q100" s="3">
        <v>0.2</v>
      </c>
      <c r="R100" s="12">
        <f t="shared" si="12"/>
        <v>6.9081052341692128E-4</v>
      </c>
      <c r="V100" s="3">
        <f t="shared" si="10"/>
        <v>0.23105504283664749</v>
      </c>
      <c r="W100" s="3">
        <f t="shared" si="13"/>
        <v>1.1552752141832374</v>
      </c>
      <c r="Y100" s="3">
        <f t="shared" si="11"/>
        <v>0.23151362158818836</v>
      </c>
      <c r="Z100" s="3">
        <f t="shared" si="14"/>
        <v>1.1575681079409417</v>
      </c>
      <c r="AB100" s="3">
        <f>$AC$2*($AC$3+$AC$4*$F100/($N100*'Dataset sem TS MC2020'!P92))*($AC$5*$G100+$AC$6*$B100/$N100)*'Dataset sem TS MC2020'!R92*($J100-$M100)/($J100-$M100-$H100)</f>
        <v>0.21854660397483128</v>
      </c>
      <c r="AC100" s="3">
        <f t="shared" si="15"/>
        <v>1.0927330198741563</v>
      </c>
      <c r="AD100" s="16">
        <f t="shared" si="16"/>
        <v>1.8546603974831266E-2</v>
      </c>
      <c r="AE100" s="17">
        <f t="shared" si="17"/>
        <v>0.91513661783110045</v>
      </c>
      <c r="AF100" s="17">
        <f>AB100*(14.068*'Dataset sem TS MC2020'!$P92^-0.457)/$Q100</f>
        <v>1.2009937710582708</v>
      </c>
      <c r="AG100" s="17"/>
      <c r="AO100" s="3">
        <f>$AP$2*($AP$3+$AP$4*$F100/($N100*'Dataset sem TS MC2020'!P92))*($AP$5*$G100+$AP$6*$B100/$N100)*('Dataset sem TS MC2020'!P92^$AP$7/200000)*($J100-$M100)/($J100-$M100-$H100)+('Dataset sem TS MC2020'!P92-$C100/$AP$8)*($AP$5*$G100+$AP$6*$B100/$N100)/200000</f>
        <v>0.23145110013602213</v>
      </c>
      <c r="AP100" s="3">
        <f t="shared" si="18"/>
        <v>1.1572555006801106</v>
      </c>
      <c r="AQ100" s="16">
        <f t="shared" si="19"/>
        <v>3.145110013602212E-2</v>
      </c>
    </row>
    <row r="101" spans="1:43" x14ac:dyDescent="0.3">
      <c r="B101" s="4">
        <v>16</v>
      </c>
      <c r="C101" s="5">
        <v>500</v>
      </c>
      <c r="D101" s="5">
        <v>2</v>
      </c>
      <c r="E101" s="4">
        <v>138</v>
      </c>
      <c r="F101" s="3">
        <v>3.2689999999999997</v>
      </c>
      <c r="G101" s="4">
        <v>40</v>
      </c>
      <c r="H101" s="4">
        <v>48</v>
      </c>
      <c r="I101" s="1">
        <v>250</v>
      </c>
      <c r="J101" s="4">
        <v>348</v>
      </c>
      <c r="K101" s="5">
        <v>400</v>
      </c>
      <c r="L101" s="3">
        <v>32000</v>
      </c>
      <c r="M101" s="5">
        <v>73.386285342529078</v>
      </c>
      <c r="N101" s="8">
        <v>1.2500000000000001E-2</v>
      </c>
      <c r="O101" s="3">
        <v>32.090000000000003</v>
      </c>
      <c r="P101" s="5">
        <v>180.52176182953536</v>
      </c>
      <c r="Q101" s="3">
        <v>0.25</v>
      </c>
      <c r="R101" s="12">
        <f t="shared" si="12"/>
        <v>9.0260880914767687E-4</v>
      </c>
      <c r="V101" s="3">
        <f t="shared" si="10"/>
        <v>0.27250483730416758</v>
      </c>
      <c r="W101" s="3">
        <f t="shared" si="13"/>
        <v>1.0900193492166703</v>
      </c>
      <c r="Y101" s="3">
        <f t="shared" si="11"/>
        <v>0.27385007234140035</v>
      </c>
      <c r="Z101" s="3">
        <f t="shared" si="14"/>
        <v>1.0954002893656014</v>
      </c>
      <c r="AB101" s="3">
        <f>$AC$2*($AC$3+$AC$4*$F101/($N101*'Dataset sem TS MC2020'!P93))*($AC$5*$G101+$AC$6*$B101/$N101)*'Dataset sem TS MC2020'!R93*($J101-$M101)/($J101-$M101-$H101)</f>
        <v>0.26575803110273477</v>
      </c>
      <c r="AC101" s="3">
        <f t="shared" si="15"/>
        <v>1.0630321244109391</v>
      </c>
      <c r="AD101" s="16">
        <f t="shared" si="16"/>
        <v>1.5758031102734771E-2</v>
      </c>
      <c r="AE101" s="17">
        <f t="shared" si="17"/>
        <v>0.94070534373938397</v>
      </c>
      <c r="AF101" s="17">
        <f>AB101*(14.068*'Dataset sem TS MC2020'!$P93^-0.457)/$Q101</f>
        <v>1.1185929599172415</v>
      </c>
      <c r="AG101" s="17"/>
      <c r="AO101" s="3">
        <f>$AP$2*($AP$3+$AP$4*$F101/($N101*'Dataset sem TS MC2020'!P93))*($AP$5*$G101+$AP$6*$B101/$N101)*('Dataset sem TS MC2020'!P93^$AP$7/200000)*($J101-$M101)/($J101-$M101-$H101)+('Dataset sem TS MC2020'!P93-$C101/$AP$8)*($AP$5*$G101+$AP$6*$B101/$N101)/200000</f>
        <v>0.28061035680379182</v>
      </c>
      <c r="AP101" s="3">
        <f t="shared" si="18"/>
        <v>1.1224414272151673</v>
      </c>
      <c r="AQ101" s="16">
        <f t="shared" si="19"/>
        <v>3.0610356803791816E-2</v>
      </c>
    </row>
    <row r="102" spans="1:43" x14ac:dyDescent="0.3">
      <c r="B102" s="4">
        <v>16</v>
      </c>
      <c r="C102" s="5">
        <v>500</v>
      </c>
      <c r="D102" s="5">
        <v>2</v>
      </c>
      <c r="E102" s="4">
        <v>138</v>
      </c>
      <c r="F102" s="3">
        <v>3.2689999999999997</v>
      </c>
      <c r="G102" s="4">
        <v>40</v>
      </c>
      <c r="H102" s="4">
        <v>48</v>
      </c>
      <c r="I102" s="1">
        <v>250</v>
      </c>
      <c r="J102" s="4">
        <v>348</v>
      </c>
      <c r="K102" s="5">
        <v>400</v>
      </c>
      <c r="L102" s="3">
        <v>32000</v>
      </c>
      <c r="M102" s="5">
        <v>73.386285342529078</v>
      </c>
      <c r="N102" s="8">
        <v>1.2500000000000001E-2</v>
      </c>
      <c r="O102" s="3">
        <v>35.01</v>
      </c>
      <c r="P102" s="5">
        <v>222.95407704969347</v>
      </c>
      <c r="Q102" s="3">
        <v>0.3</v>
      </c>
      <c r="R102" s="12">
        <f t="shared" si="12"/>
        <v>1.1147703852484674E-3</v>
      </c>
      <c r="V102" s="3">
        <f t="shared" si="10"/>
        <v>0.31041620742317744</v>
      </c>
      <c r="W102" s="3">
        <f t="shared" si="13"/>
        <v>1.0347206914105915</v>
      </c>
      <c r="Y102" s="3">
        <f t="shared" si="11"/>
        <v>0.31267386134438807</v>
      </c>
      <c r="Z102" s="3">
        <f t="shared" si="14"/>
        <v>1.0422462044812937</v>
      </c>
      <c r="AB102" s="3">
        <f>$AC$2*($AC$3+$AC$4*$F102/($N102*'Dataset sem TS MC2020'!P94))*($AC$5*$G102+$AC$6*$B102/$N102)*'Dataset sem TS MC2020'!R94*($J102-$M102)/($J102-$M102-$H102)</f>
        <v>0.31305043838008545</v>
      </c>
      <c r="AC102" s="3">
        <f t="shared" si="15"/>
        <v>1.0435014612669515</v>
      </c>
      <c r="AD102" s="16">
        <f t="shared" si="16"/>
        <v>1.3050438380085461E-2</v>
      </c>
      <c r="AE102" s="17">
        <f t="shared" si="17"/>
        <v>0.95831202649765823</v>
      </c>
      <c r="AF102" s="17">
        <f>AB102*(14.068*'Dataset sem TS MC2020'!$P94^-0.457)/$Q102</f>
        <v>1.0551979053082876</v>
      </c>
      <c r="AG102" s="17"/>
      <c r="AO102" s="3">
        <f>$AP$2*($AP$3+$AP$4*$F102/($N102*'Dataset sem TS MC2020'!P94))*($AP$5*$G102+$AP$6*$B102/$N102)*('Dataset sem TS MC2020'!P94^$AP$7/200000)*($J102-$M102)/($J102-$M102-$H102)+('Dataset sem TS MC2020'!P94-$C102/$AP$8)*($AP$5*$G102+$AP$6*$B102/$N102)/200000</f>
        <v>0.3286995841083491</v>
      </c>
      <c r="AP102" s="3">
        <f t="shared" si="18"/>
        <v>1.0956652803611637</v>
      </c>
      <c r="AQ102" s="16">
        <f t="shared" si="19"/>
        <v>2.8699584108349108E-2</v>
      </c>
    </row>
    <row r="103" spans="1:43" x14ac:dyDescent="0.3">
      <c r="B103" s="4">
        <v>16</v>
      </c>
      <c r="C103" s="5">
        <v>500</v>
      </c>
      <c r="D103" s="5">
        <v>2</v>
      </c>
      <c r="E103" s="4">
        <v>138</v>
      </c>
      <c r="F103" s="3">
        <v>3.2689999999999997</v>
      </c>
      <c r="G103" s="4">
        <v>40</v>
      </c>
      <c r="H103" s="4">
        <v>48</v>
      </c>
      <c r="I103" s="1">
        <v>250</v>
      </c>
      <c r="J103" s="4">
        <v>348</v>
      </c>
      <c r="K103" s="5">
        <v>400</v>
      </c>
      <c r="L103" s="3">
        <v>32000</v>
      </c>
      <c r="M103" s="5">
        <v>73.386285342529078</v>
      </c>
      <c r="N103" s="8">
        <v>1.2500000000000001E-2</v>
      </c>
      <c r="O103" s="3">
        <v>37.93</v>
      </c>
      <c r="P103" s="5">
        <v>265.38639226985168</v>
      </c>
      <c r="Q103" s="3">
        <v>0.33</v>
      </c>
      <c r="R103" s="12">
        <f t="shared" si="12"/>
        <v>1.3269319613492584E-3</v>
      </c>
      <c r="V103" s="3">
        <f t="shared" si="10"/>
        <v>0.34564366598472118</v>
      </c>
      <c r="W103" s="3">
        <f t="shared" si="13"/>
        <v>1.0474050484385491</v>
      </c>
      <c r="Y103" s="3">
        <f t="shared" si="11"/>
        <v>0.34882538860049117</v>
      </c>
      <c r="Z103" s="3">
        <f t="shared" si="14"/>
        <v>1.0570466321227006</v>
      </c>
      <c r="AB103" s="3">
        <f>$AC$2*($AC$3+$AC$4*$F103/($N103*'Dataset sem TS MC2020'!P95))*($AC$5*$G103+$AC$6*$B103/$N103)*'Dataset sem TS MC2020'!R95*($J103-$M103)/($J103-$M103-$H103)</f>
        <v>0.36034284565743646</v>
      </c>
      <c r="AC103" s="3">
        <f t="shared" si="15"/>
        <v>1.0919480171437468</v>
      </c>
      <c r="AD103" s="16">
        <f t="shared" si="16"/>
        <v>3.0342845657436446E-2</v>
      </c>
      <c r="AE103" s="17">
        <f t="shared" si="17"/>
        <v>0.915794510635901</v>
      </c>
      <c r="AF103" s="17">
        <f>AB103*(14.068*'Dataset sem TS MC2020'!$P95^-0.457)/$Q103</f>
        <v>1.0644945894095921</v>
      </c>
      <c r="AG103" s="17"/>
      <c r="AO103" s="3">
        <f>$AP$2*($AP$3+$AP$4*$F103/($N103*'Dataset sem TS MC2020'!P95))*($AP$5*$G103+$AP$6*$B103/$N103)*('Dataset sem TS MC2020'!P95^$AP$7/200000)*($J103-$M103)/($J103-$M103-$H103)+('Dataset sem TS MC2020'!P95-$C103/$AP$8)*($AP$5*$G103+$AP$6*$B103/$N103)/200000</f>
        <v>0.37578305653769911</v>
      </c>
      <c r="AP103" s="3">
        <f t="shared" si="18"/>
        <v>1.1387365349627245</v>
      </c>
      <c r="AQ103" s="16">
        <f t="shared" si="19"/>
        <v>4.5783056537699096E-2</v>
      </c>
    </row>
    <row r="104" spans="1:43" x14ac:dyDescent="0.3">
      <c r="B104" s="4">
        <v>16</v>
      </c>
      <c r="C104" s="5">
        <v>500</v>
      </c>
      <c r="D104" s="5">
        <v>2</v>
      </c>
      <c r="E104" s="4">
        <v>138</v>
      </c>
      <c r="F104" s="3">
        <v>3.2689999999999997</v>
      </c>
      <c r="G104" s="4">
        <v>40</v>
      </c>
      <c r="H104" s="4">
        <v>48</v>
      </c>
      <c r="I104" s="1">
        <v>250</v>
      </c>
      <c r="J104" s="4">
        <v>348</v>
      </c>
      <c r="K104" s="5">
        <v>400</v>
      </c>
      <c r="L104" s="3">
        <v>32000</v>
      </c>
      <c r="M104" s="5">
        <v>73.386285342529078</v>
      </c>
      <c r="N104" s="8">
        <v>1.2500000000000001E-2</v>
      </c>
      <c r="O104" s="3">
        <v>40.840000000000003</v>
      </c>
      <c r="P104" s="5">
        <v>307.67339134199574</v>
      </c>
      <c r="Q104" s="3">
        <v>0.38</v>
      </c>
      <c r="R104" s="12">
        <f t="shared" si="12"/>
        <v>1.5383669567099786E-3</v>
      </c>
      <c r="V104" s="3">
        <f t="shared" si="10"/>
        <v>0.37865785240713123</v>
      </c>
      <c r="W104" s="3">
        <f t="shared" si="13"/>
        <v>0.99646803265034534</v>
      </c>
      <c r="Y104" s="3">
        <f t="shared" si="11"/>
        <v>0.38276549048585096</v>
      </c>
      <c r="Z104" s="3">
        <f t="shared" si="14"/>
        <v>1.0072776065417131</v>
      </c>
      <c r="AB104" s="3">
        <f>$AC$2*($AC$3+$AC$4*$F104/($N104*'Dataset sem TS MC2020'!P96))*($AC$5*$G104+$AC$6*$B104/$N104)*'Dataset sem TS MC2020'!R96*($J104-$M104)/($J104-$M104-$H104)</f>
        <v>0.40747329263589244</v>
      </c>
      <c r="AC104" s="3">
        <f t="shared" si="15"/>
        <v>1.0722981385155064</v>
      </c>
      <c r="AD104" s="16">
        <f t="shared" si="16"/>
        <v>2.7473292635892432E-2</v>
      </c>
      <c r="AE104" s="17">
        <f t="shared" si="17"/>
        <v>0.93257645805895351</v>
      </c>
      <c r="AF104" s="17">
        <f>AB104*(14.068*'Dataset sem TS MC2020'!$P96^-0.457)/$Q104</f>
        <v>1.0106156641749879</v>
      </c>
      <c r="AG104" s="17"/>
      <c r="AO104" s="3">
        <f>$AP$2*($AP$3+$AP$4*$F104/($N104*'Dataset sem TS MC2020'!P96))*($AP$5*$G104+$AP$6*$B104/$N104)*('Dataset sem TS MC2020'!P96^$AP$7/200000)*($J104-$M104)/($J104-$M104-$H104)+('Dataset sem TS MC2020'!P96-$C104/$AP$8)*($AP$5*$G104+$AP$6*$B104/$N104)/200000</f>
        <v>0.42182297351882103</v>
      </c>
      <c r="AP104" s="3">
        <f t="shared" si="18"/>
        <v>1.1100604566284764</v>
      </c>
      <c r="AQ104" s="16">
        <f t="shared" si="19"/>
        <v>4.1822973518821027E-2</v>
      </c>
    </row>
    <row r="105" spans="1:43" x14ac:dyDescent="0.3">
      <c r="A105" s="1" t="s">
        <v>27</v>
      </c>
      <c r="B105" s="4">
        <v>16</v>
      </c>
      <c r="C105" s="5">
        <v>500</v>
      </c>
      <c r="D105" s="5">
        <v>2</v>
      </c>
      <c r="E105" s="4">
        <v>168</v>
      </c>
      <c r="F105" s="3">
        <v>3.2689999999999997</v>
      </c>
      <c r="G105" s="4">
        <v>25</v>
      </c>
      <c r="H105" s="4">
        <v>33</v>
      </c>
      <c r="I105" s="1">
        <v>250</v>
      </c>
      <c r="J105" s="4">
        <v>333</v>
      </c>
      <c r="K105" s="5">
        <v>400</v>
      </c>
      <c r="L105" s="3">
        <v>12769</v>
      </c>
      <c r="M105" s="5">
        <v>73.386285342529078</v>
      </c>
      <c r="N105" s="8">
        <v>1.5746098349890107E-2</v>
      </c>
      <c r="O105" s="3">
        <v>23.34</v>
      </c>
      <c r="P105" s="5">
        <v>83.250300076909014</v>
      </c>
      <c r="Q105" s="3">
        <v>0.15</v>
      </c>
      <c r="R105" s="12">
        <f t="shared" si="12"/>
        <v>4.1625150038454507E-4</v>
      </c>
      <c r="V105" s="3">
        <f t="shared" si="10"/>
        <v>0.15360052698610233</v>
      </c>
      <c r="W105" s="3">
        <f t="shared" si="13"/>
        <v>1.0240035132406822</v>
      </c>
      <c r="Y105" s="3">
        <f t="shared" si="11"/>
        <v>0.15120323277073514</v>
      </c>
      <c r="Z105" s="3">
        <f t="shared" si="14"/>
        <v>1.0080215518049009</v>
      </c>
      <c r="AB105" s="3">
        <f>$AC$2*($AC$3+$AC$4*$F105/($N105*'Dataset sem TS MC2020'!P97))*($AC$5*$G105+$AC$6*$B105/$N105)*'Dataset sem TS MC2020'!R97*($J105-$M105)/($J105-$M105-$H105)</f>
        <v>0.12727254002103353</v>
      </c>
      <c r="AC105" s="3">
        <f t="shared" si="15"/>
        <v>0.8484836001402235</v>
      </c>
      <c r="AD105" s="16">
        <f t="shared" si="16"/>
        <v>-2.2727459978966469E-2</v>
      </c>
      <c r="AE105" s="17">
        <f t="shared" si="17"/>
        <v>1.1785731625628784</v>
      </c>
      <c r="AF105" s="17">
        <f>AB105*(14.068*'Dataset sem TS MC2020'!$P97^-0.457)/$Q105</f>
        <v>1.0326615735083147</v>
      </c>
      <c r="AG105" s="17"/>
      <c r="AO105" s="3">
        <f>$AP$2*($AP$3+$AP$4*$F105/($N105*'Dataset sem TS MC2020'!P97))*($AP$5*$G105+$AP$6*$B105/$N105)*('Dataset sem TS MC2020'!P97^$AP$7/200000)*($J105-$M105)/($J105-$M105-$H105)+('Dataset sem TS MC2020'!P97-$C105/$AP$8)*($AP$5*$G105+$AP$6*$B105/$N105)/200000</f>
        <v>0.13674069036387548</v>
      </c>
      <c r="AP105" s="3">
        <f t="shared" si="18"/>
        <v>0.91160460242583663</v>
      </c>
      <c r="AQ105" s="16">
        <f t="shared" si="19"/>
        <v>-1.3259309636124511E-2</v>
      </c>
    </row>
    <row r="106" spans="1:43" x14ac:dyDescent="0.3">
      <c r="B106" s="4">
        <v>16</v>
      </c>
      <c r="C106" s="5">
        <v>500</v>
      </c>
      <c r="D106" s="5">
        <v>2</v>
      </c>
      <c r="E106" s="4">
        <v>168</v>
      </c>
      <c r="F106" s="3">
        <v>3.2689999999999997</v>
      </c>
      <c r="G106" s="4">
        <v>25</v>
      </c>
      <c r="H106" s="4">
        <v>33</v>
      </c>
      <c r="I106" s="1">
        <v>250</v>
      </c>
      <c r="J106" s="4">
        <v>333</v>
      </c>
      <c r="K106" s="5">
        <v>400</v>
      </c>
      <c r="L106" s="3">
        <v>12769</v>
      </c>
      <c r="M106" s="5">
        <v>73.386285342529078</v>
      </c>
      <c r="N106" s="8">
        <v>1.5746098349890107E-2</v>
      </c>
      <c r="O106" s="3">
        <v>26.26</v>
      </c>
      <c r="P106" s="5">
        <v>122.67593514835909</v>
      </c>
      <c r="Q106" s="3">
        <v>0.18</v>
      </c>
      <c r="R106" s="12">
        <f t="shared" si="12"/>
        <v>6.1337967574179547E-4</v>
      </c>
      <c r="V106" s="3">
        <f t="shared" si="10"/>
        <v>0.19510985141694789</v>
      </c>
      <c r="W106" s="3">
        <f t="shared" si="13"/>
        <v>1.0839436189830438</v>
      </c>
      <c r="Y106" s="3">
        <f t="shared" si="11"/>
        <v>0.19288554316725148</v>
      </c>
      <c r="Z106" s="3">
        <f t="shared" si="14"/>
        <v>1.071586350929175</v>
      </c>
      <c r="AB106" s="3">
        <f>$AC$2*($AC$3+$AC$4*$F106/($N106*'Dataset sem TS MC2020'!P98))*($AC$5*$G106+$AC$6*$B106/$N106)*'Dataset sem TS MC2020'!R98*($J106-$M106)/($J106-$M106-$H106)</f>
        <v>0.16139402239487066</v>
      </c>
      <c r="AC106" s="3">
        <f t="shared" si="15"/>
        <v>0.89663345774928149</v>
      </c>
      <c r="AD106" s="16">
        <f t="shared" si="16"/>
        <v>-1.8605977605129331E-2</v>
      </c>
      <c r="AE106" s="17">
        <f t="shared" si="17"/>
        <v>1.1152829412703247</v>
      </c>
      <c r="AF106" s="17">
        <f>AB106*(14.068*'Dataset sem TS MC2020'!$P98^-0.457)/$Q106</f>
        <v>1.0340318264203883</v>
      </c>
      <c r="AG106" s="17"/>
      <c r="AO106" s="3">
        <f>$AP$2*($AP$3+$AP$4*$F106/($N106*'Dataset sem TS MC2020'!P98))*($AP$5*$G106+$AP$6*$B106/$N106)*('Dataset sem TS MC2020'!P98^$AP$7/200000)*($J106-$M106)/($J106-$M106-$H106)+('Dataset sem TS MC2020'!P98-$C106/$AP$8)*($AP$5*$G106+$AP$6*$B106/$N106)/200000</f>
        <v>0.17388641627409229</v>
      </c>
      <c r="AP106" s="3">
        <f t="shared" si="18"/>
        <v>0.96603564596717939</v>
      </c>
      <c r="AQ106" s="16">
        <f t="shared" si="19"/>
        <v>-6.1135837259077008E-3</v>
      </c>
    </row>
    <row r="107" spans="1:43" x14ac:dyDescent="0.3">
      <c r="B107" s="4">
        <v>16</v>
      </c>
      <c r="C107" s="5">
        <v>500</v>
      </c>
      <c r="D107" s="5">
        <v>2</v>
      </c>
      <c r="E107" s="4">
        <v>168</v>
      </c>
      <c r="F107" s="3">
        <v>3.2689999999999997</v>
      </c>
      <c r="G107" s="4">
        <v>25</v>
      </c>
      <c r="H107" s="4">
        <v>33</v>
      </c>
      <c r="I107" s="1">
        <v>250</v>
      </c>
      <c r="J107" s="4">
        <v>333</v>
      </c>
      <c r="K107" s="5">
        <v>400</v>
      </c>
      <c r="L107" s="3">
        <v>12769</v>
      </c>
      <c r="M107" s="5">
        <v>73.386285342529078</v>
      </c>
      <c r="N107" s="8">
        <v>1.5746098349890107E-2</v>
      </c>
      <c r="O107" s="3">
        <v>29.175000000000001</v>
      </c>
      <c r="P107" s="5">
        <v>162.03406057071425</v>
      </c>
      <c r="Q107" s="3">
        <v>0.2</v>
      </c>
      <c r="R107" s="12">
        <f t="shared" si="12"/>
        <v>8.1017030285357125E-4</v>
      </c>
      <c r="V107" s="3">
        <f t="shared" si="10"/>
        <v>0.23165504306845591</v>
      </c>
      <c r="W107" s="3">
        <f t="shared" si="13"/>
        <v>1.1582752153422795</v>
      </c>
      <c r="Y107" s="3">
        <f t="shared" si="11"/>
        <v>0.22971616408421336</v>
      </c>
      <c r="Z107" s="3">
        <f t="shared" si="14"/>
        <v>1.1485808204210668</v>
      </c>
      <c r="AB107" s="3">
        <f>$AC$2*($AC$3+$AC$4*$F107/($N107*'Dataset sem TS MC2020'!P99))*($AC$5*$G107+$AC$6*$B107/$N107)*'Dataset sem TS MC2020'!R99*($J107-$M107)/($J107-$M107-$H107)</f>
        <v>0.19545707757286218</v>
      </c>
      <c r="AC107" s="3">
        <f t="shared" si="15"/>
        <v>0.97728538786431085</v>
      </c>
      <c r="AD107" s="16">
        <f t="shared" si="16"/>
        <v>-4.5429224271378299E-3</v>
      </c>
      <c r="AE107" s="17">
        <f t="shared" si="17"/>
        <v>1.0232425578216493</v>
      </c>
      <c r="AF107" s="17">
        <f>AB107*(14.068*'Dataset sem TS MC2020'!$P99^-0.457)/$Q107</f>
        <v>1.0741083521997654</v>
      </c>
      <c r="AG107" s="17"/>
      <c r="AO107" s="3">
        <f>$AP$2*($AP$3+$AP$4*$F107/($N107*'Dataset sem TS MC2020'!P99))*($AP$5*$G107+$AP$6*$B107/$N107)*('Dataset sem TS MC2020'!P99^$AP$7/200000)*($J107-$M107)/($J107-$M107-$H107)+('Dataset sem TS MC2020'!P99-$C107/$AP$8)*($AP$5*$G107+$AP$6*$B107/$N107)/200000</f>
        <v>0.20991920264550451</v>
      </c>
      <c r="AP107" s="3">
        <f t="shared" si="18"/>
        <v>1.0495960132275224</v>
      </c>
      <c r="AQ107" s="16">
        <f t="shared" si="19"/>
        <v>9.919202645504499E-3</v>
      </c>
    </row>
    <row r="108" spans="1:43" x14ac:dyDescent="0.3">
      <c r="B108" s="4">
        <v>16</v>
      </c>
      <c r="C108" s="5">
        <v>500</v>
      </c>
      <c r="D108" s="5">
        <v>2</v>
      </c>
      <c r="E108" s="4">
        <v>168</v>
      </c>
      <c r="F108" s="3">
        <v>3.2689999999999997</v>
      </c>
      <c r="G108" s="4">
        <v>25</v>
      </c>
      <c r="H108" s="4">
        <v>33</v>
      </c>
      <c r="I108" s="1">
        <v>250</v>
      </c>
      <c r="J108" s="4">
        <v>333</v>
      </c>
      <c r="K108" s="5">
        <v>400</v>
      </c>
      <c r="L108" s="3">
        <v>12769</v>
      </c>
      <c r="M108" s="5">
        <v>73.386285342529078</v>
      </c>
      <c r="N108" s="8">
        <v>1.5746098349890107E-2</v>
      </c>
      <c r="O108" s="3">
        <v>32.090000000000003</v>
      </c>
      <c r="P108" s="5">
        <v>201.3921859930694</v>
      </c>
      <c r="Q108" s="3">
        <v>0.23</v>
      </c>
      <c r="R108" s="12">
        <f t="shared" si="12"/>
        <v>1.006960929965347E-3</v>
      </c>
      <c r="V108" s="3">
        <f t="shared" si="10"/>
        <v>0.26491646816940401</v>
      </c>
      <c r="W108" s="3">
        <f t="shared" si="13"/>
        <v>1.1518107311713217</v>
      </c>
      <c r="Y108" s="3">
        <f t="shared" si="11"/>
        <v>0.26332831020345865</v>
      </c>
      <c r="Z108" s="3">
        <f t="shared" si="14"/>
        <v>1.1449056965367768</v>
      </c>
      <c r="AB108" s="3">
        <f>$AC$2*($AC$3+$AC$4*$F108/($N108*'Dataset sem TS MC2020'!P100))*($AC$5*$G108+$AC$6*$B108/$N108)*'Dataset sem TS MC2020'!R100*($J108-$M108)/($J108-$M108-$H108)</f>
        <v>0.22952013275085378</v>
      </c>
      <c r="AC108" s="3">
        <f t="shared" si="15"/>
        <v>0.99791362065588596</v>
      </c>
      <c r="AD108" s="16">
        <f t="shared" si="16"/>
        <v>-4.7986724914622636E-4</v>
      </c>
      <c r="AE108" s="17">
        <f t="shared" si="17"/>
        <v>1.0020907414238347</v>
      </c>
      <c r="AF108" s="17">
        <f>AB108*(14.068*'Dataset sem TS MC2020'!$P100^-0.457)/$Q108</f>
        <v>1.0500709480343828</v>
      </c>
      <c r="AG108" s="17"/>
      <c r="AO108" s="3">
        <f>$AP$2*($AP$3+$AP$4*$F108/($N108*'Dataset sem TS MC2020'!P100))*($AP$5*$G108+$AP$6*$B108/$N108)*('Dataset sem TS MC2020'!P100^$AP$7/200000)*($J108-$M108)/($J108-$M108-$H108)+('Dataset sem TS MC2020'!P100-$C108/$AP$8)*($AP$5*$G108+$AP$6*$B108/$N108)/200000</f>
        <v>0.24506490148205531</v>
      </c>
      <c r="AP108" s="3">
        <f t="shared" si="18"/>
        <v>1.06549957166111</v>
      </c>
      <c r="AQ108" s="16">
        <f t="shared" si="19"/>
        <v>1.5064901482055304E-2</v>
      </c>
    </row>
    <row r="109" spans="1:43" x14ac:dyDescent="0.3">
      <c r="B109" s="4">
        <v>16</v>
      </c>
      <c r="C109" s="5">
        <v>500</v>
      </c>
      <c r="D109" s="5">
        <v>2</v>
      </c>
      <c r="E109" s="4">
        <v>168</v>
      </c>
      <c r="F109" s="3">
        <v>3.2689999999999997</v>
      </c>
      <c r="G109" s="4">
        <v>25</v>
      </c>
      <c r="H109" s="4">
        <v>33</v>
      </c>
      <c r="I109" s="1">
        <v>250</v>
      </c>
      <c r="J109" s="4">
        <v>333</v>
      </c>
      <c r="K109" s="5">
        <v>400</v>
      </c>
      <c r="L109" s="3">
        <v>12769</v>
      </c>
      <c r="M109" s="5">
        <v>73.386285342529078</v>
      </c>
      <c r="N109" s="8">
        <v>1.5746098349890107E-2</v>
      </c>
      <c r="O109" s="3">
        <v>35.01</v>
      </c>
      <c r="P109" s="5">
        <v>240.81782106451948</v>
      </c>
      <c r="Q109" s="3">
        <v>0.25</v>
      </c>
      <c r="R109" s="12">
        <f t="shared" si="12"/>
        <v>1.2040891053225974E-3</v>
      </c>
      <c r="V109" s="3">
        <f t="shared" si="10"/>
        <v>0.29581251411645676</v>
      </c>
      <c r="W109" s="3">
        <f t="shared" si="13"/>
        <v>1.183250056465827</v>
      </c>
      <c r="Y109" s="3">
        <f t="shared" si="11"/>
        <v>0.29461797788409488</v>
      </c>
      <c r="Z109" s="3">
        <f t="shared" si="14"/>
        <v>1.1784719115363795</v>
      </c>
      <c r="AB109" s="3">
        <f>$AC$2*($AC$3+$AC$4*$F109/($N109*'Dataset sem TS MC2020'!P101))*($AC$5*$G109+$AC$6*$B109/$N109)*'Dataset sem TS MC2020'!R101*($J109-$M109)/($J109-$M109-$H109)</f>
        <v>0.26364161512469098</v>
      </c>
      <c r="AC109" s="3">
        <f t="shared" si="15"/>
        <v>1.0545664604987639</v>
      </c>
      <c r="AD109" s="16">
        <f t="shared" si="16"/>
        <v>1.3641615124690976E-2</v>
      </c>
      <c r="AE109" s="17">
        <f t="shared" si="17"/>
        <v>0.94825697332251935</v>
      </c>
      <c r="AF109" s="17">
        <f>AB109*(14.068*'Dataset sem TS MC2020'!$P101^-0.457)/$Q109</f>
        <v>1.0663869303791966</v>
      </c>
      <c r="AG109" s="17"/>
      <c r="AO109" s="3">
        <f>$AP$2*($AP$3+$AP$4*$F109/($N109*'Dataset sem TS MC2020'!P101))*($AP$5*$G109+$AP$6*$B109/$N109)*('Dataset sem TS MC2020'!P101^$AP$7/200000)*($J109-$M109)/($J109-$M109-$H109)+('Dataset sem TS MC2020'!P101-$C109/$AP$8)*($AP$5*$G109+$AP$6*$B109/$N109)/200000</f>
        <v>0.27950441759998046</v>
      </c>
      <c r="AP109" s="3">
        <f t="shared" si="18"/>
        <v>1.1180176703999218</v>
      </c>
      <c r="AQ109" s="16">
        <f t="shared" si="19"/>
        <v>2.9504417599980459E-2</v>
      </c>
    </row>
    <row r="110" spans="1:43" x14ac:dyDescent="0.3">
      <c r="B110" s="4">
        <v>16</v>
      </c>
      <c r="C110" s="5">
        <v>500</v>
      </c>
      <c r="D110" s="5">
        <v>2</v>
      </c>
      <c r="E110" s="4">
        <v>168</v>
      </c>
      <c r="F110" s="3">
        <v>3.2689999999999997</v>
      </c>
      <c r="G110" s="4">
        <v>25</v>
      </c>
      <c r="H110" s="4">
        <v>33</v>
      </c>
      <c r="I110" s="1">
        <v>250</v>
      </c>
      <c r="J110" s="4">
        <v>333</v>
      </c>
      <c r="K110" s="5">
        <v>400</v>
      </c>
      <c r="L110" s="3">
        <v>12769</v>
      </c>
      <c r="M110" s="5">
        <v>73.386285342529078</v>
      </c>
      <c r="N110" s="8">
        <v>1.5746098349890107E-2</v>
      </c>
      <c r="O110" s="3">
        <v>37.93</v>
      </c>
      <c r="P110" s="5">
        <v>280.24345613596955</v>
      </c>
      <c r="Q110" s="3">
        <v>0.3</v>
      </c>
      <c r="R110" s="12">
        <f t="shared" si="12"/>
        <v>1.4012172806798478E-3</v>
      </c>
      <c r="V110" s="3">
        <f t="shared" si="10"/>
        <v>0.32482096614990652</v>
      </c>
      <c r="W110" s="3">
        <f t="shared" si="13"/>
        <v>1.0827365538330218</v>
      </c>
      <c r="Y110" s="3">
        <f t="shared" si="11"/>
        <v>0.32404928764612906</v>
      </c>
      <c r="Z110" s="3">
        <f t="shared" si="14"/>
        <v>1.0801642921537635</v>
      </c>
      <c r="AB110" s="3">
        <f>$AC$2*($AC$3+$AC$4*$F110/($N110*'Dataset sem TS MC2020'!P102))*($AC$5*$G110+$AC$6*$B110/$N110)*'Dataset sem TS MC2020'!R102*($J110-$M110)/($J110-$M110-$H110)</f>
        <v>0.29776309749852803</v>
      </c>
      <c r="AC110" s="3">
        <f t="shared" si="15"/>
        <v>0.99254365832842684</v>
      </c>
      <c r="AD110" s="16">
        <f t="shared" si="16"/>
        <v>-2.2369025014719601E-3</v>
      </c>
      <c r="AE110" s="17">
        <f t="shared" si="17"/>
        <v>1.0075123563674071</v>
      </c>
      <c r="AF110" s="17">
        <f>AB110*(14.068*'Dataset sem TS MC2020'!$P102^-0.457)/$Q110</f>
        <v>0.96758942500494982</v>
      </c>
      <c r="AG110" s="17"/>
      <c r="AO110" s="3">
        <f>$AP$2*($AP$3+$AP$4*$F110/($N110*'Dataset sem TS MC2020'!P102))*($AP$5*$G110+$AP$6*$B110/$N110)*('Dataset sem TS MC2020'!P102^$AP$7/200000)*($J110-$M110)/($J110-$M110-$H110)+('Dataset sem TS MC2020'!P102-$C110/$AP$8)*($AP$5*$G110+$AP$6*$B110/$N110)/200000</f>
        <v>0.31327294837574082</v>
      </c>
      <c r="AP110" s="3">
        <f t="shared" si="18"/>
        <v>1.0442431612524694</v>
      </c>
      <c r="AQ110" s="16">
        <f t="shared" si="19"/>
        <v>1.3272948375740834E-2</v>
      </c>
    </row>
    <row r="111" spans="1:43" x14ac:dyDescent="0.3">
      <c r="B111" s="4">
        <v>16</v>
      </c>
      <c r="C111" s="5">
        <v>500</v>
      </c>
      <c r="D111" s="5">
        <v>2</v>
      </c>
      <c r="E111" s="4">
        <v>168</v>
      </c>
      <c r="F111" s="3">
        <v>3.2689999999999997</v>
      </c>
      <c r="G111" s="4">
        <v>25</v>
      </c>
      <c r="H111" s="4">
        <v>33</v>
      </c>
      <c r="I111" s="1">
        <v>250</v>
      </c>
      <c r="J111" s="4">
        <v>333</v>
      </c>
      <c r="K111" s="5">
        <v>400</v>
      </c>
      <c r="L111" s="3">
        <v>12769</v>
      </c>
      <c r="M111" s="5">
        <v>73.386285342529078</v>
      </c>
      <c r="N111" s="8">
        <v>1.5746098349890107E-2</v>
      </c>
      <c r="O111" s="3">
        <v>40.840000000000003</v>
      </c>
      <c r="P111" s="5">
        <v>319.53407190922991</v>
      </c>
      <c r="Q111" s="3">
        <v>0.3</v>
      </c>
      <c r="R111" s="12">
        <f t="shared" si="12"/>
        <v>1.5976703595461496E-3</v>
      </c>
      <c r="V111" s="3">
        <f t="shared" si="10"/>
        <v>0.35221006186183812</v>
      </c>
      <c r="W111" s="3">
        <f t="shared" si="13"/>
        <v>1.1740335395394605</v>
      </c>
      <c r="Y111" s="3">
        <f t="shared" si="11"/>
        <v>0.35188080315931164</v>
      </c>
      <c r="Z111" s="3">
        <f t="shared" si="14"/>
        <v>1.1729360105310389</v>
      </c>
      <c r="AB111" s="3">
        <f>$AC$2*($AC$3+$AC$4*$F111/($N111*'Dataset sem TS MC2020'!P103))*($AC$5*$G111+$AC$6*$B111/$N111)*'Dataset sem TS MC2020'!R103*($J111-$M111)/($J111-$M111-$H111)</f>
        <v>0.33176772548067412</v>
      </c>
      <c r="AC111" s="3">
        <f t="shared" si="15"/>
        <v>1.1058924182689138</v>
      </c>
      <c r="AD111" s="16">
        <f t="shared" si="16"/>
        <v>3.1767725480674136E-2</v>
      </c>
      <c r="AE111" s="17">
        <f t="shared" si="17"/>
        <v>0.90424708902998863</v>
      </c>
      <c r="AF111" s="17">
        <f>AB111*(14.068*'Dataset sem TS MC2020'!$P103^-0.457)/$Q111</f>
        <v>1.0422774792299614</v>
      </c>
      <c r="AG111" s="17"/>
      <c r="AO111" s="3">
        <f>$AP$2*($AP$3+$AP$4*$F111/($N111*'Dataset sem TS MC2020'!P103))*($AP$5*$G111+$AP$6*$B111/$N111)*('Dataset sem TS MC2020'!P103^$AP$7/200000)*($J111-$M111)/($J111-$M111-$H111)+('Dataset sem TS MC2020'!P103-$C111/$AP$8)*($AP$5*$G111+$AP$6*$B111/$N111)/200000</f>
        <v>0.34633468166019843</v>
      </c>
      <c r="AP111" s="3">
        <f t="shared" si="18"/>
        <v>1.1544489388673282</v>
      </c>
      <c r="AQ111" s="16">
        <f t="shared" si="19"/>
        <v>4.633468166019844E-2</v>
      </c>
    </row>
    <row r="112" spans="1:43" x14ac:dyDescent="0.3">
      <c r="A112" s="1" t="s">
        <v>28</v>
      </c>
      <c r="B112" s="4">
        <v>16</v>
      </c>
      <c r="C112" s="5">
        <v>500</v>
      </c>
      <c r="D112" s="5">
        <v>2</v>
      </c>
      <c r="E112" s="4">
        <v>168</v>
      </c>
      <c r="F112" s="3">
        <v>3.2689999999999997</v>
      </c>
      <c r="G112" s="4">
        <v>25</v>
      </c>
      <c r="H112" s="4">
        <v>33</v>
      </c>
      <c r="I112" s="1">
        <v>250</v>
      </c>
      <c r="J112" s="4">
        <v>333</v>
      </c>
      <c r="K112" s="5">
        <v>400</v>
      </c>
      <c r="L112" s="3">
        <v>12769</v>
      </c>
      <c r="M112" s="5">
        <v>73.386285342529078</v>
      </c>
      <c r="N112" s="8">
        <v>1.5746098349890107E-2</v>
      </c>
      <c r="O112" s="3">
        <v>20.420000000000002</v>
      </c>
      <c r="P112" s="5">
        <v>46.143119331178525</v>
      </c>
      <c r="Q112" s="3">
        <v>0.15</v>
      </c>
      <c r="R112" s="12">
        <f t="shared" si="12"/>
        <v>2.3071559665589262E-4</v>
      </c>
      <c r="V112" s="3">
        <f t="shared" si="10"/>
        <v>0.1067256111916282</v>
      </c>
      <c r="W112" s="3">
        <f t="shared" si="13"/>
        <v>0.71150407461085463</v>
      </c>
      <c r="Y112" s="3">
        <f t="shared" si="11"/>
        <v>0.10438015899408666</v>
      </c>
      <c r="Z112" s="3">
        <f t="shared" si="14"/>
        <v>0.69586772662724439</v>
      </c>
      <c r="AB112" s="3">
        <f>$AC$2*($AC$3+$AC$4*$F112/($N112*'Dataset sem TS MC2020'!P104))*($AC$5*$G112+$AC$6*$B112/$N112)*'Dataset sem TS MC2020'!R104*($J112-$M112)/($J112-$M112-$H112)</f>
        <v>9.3151057647196334E-2</v>
      </c>
      <c r="AC112" s="3">
        <f t="shared" si="15"/>
        <v>0.62100705098130893</v>
      </c>
      <c r="AD112" s="16">
        <f t="shared" si="16"/>
        <v>-5.6848942352803661E-2</v>
      </c>
      <c r="AE112" s="17">
        <f t="shared" si="17"/>
        <v>1.6102876745438079</v>
      </c>
      <c r="AF112" s="17">
        <f>AB112*(14.068*'Dataset sem TS MC2020'!$P104^-0.457)/$Q112</f>
        <v>0.80341088699532093</v>
      </c>
      <c r="AG112" s="17"/>
      <c r="AO112" s="3">
        <f>$AP$2*($AP$3+$AP$4*$F112/($N112*'Dataset sem TS MC2020'!P104))*($AP$5*$G112+$AP$6*$B112/$N112)*('Dataset sem TS MC2020'!P104^$AP$7/200000)*($J112-$M112)/($J112-$M112-$H112)+('Dataset sem TS MC2020'!P104-$C112/$AP$8)*($AP$5*$G112+$AP$6*$B112/$N112)/200000</f>
        <v>9.8322271577257481E-2</v>
      </c>
      <c r="AP112" s="3">
        <f t="shared" si="18"/>
        <v>0.65548181051504995</v>
      </c>
      <c r="AQ112" s="16">
        <f t="shared" si="19"/>
        <v>-5.1677728422742514E-2</v>
      </c>
    </row>
    <row r="113" spans="1:43" x14ac:dyDescent="0.3">
      <c r="B113" s="4">
        <v>16</v>
      </c>
      <c r="C113" s="5">
        <v>500</v>
      </c>
      <c r="D113" s="5">
        <v>2</v>
      </c>
      <c r="E113" s="4">
        <v>168</v>
      </c>
      <c r="F113" s="3">
        <v>3.2689999999999997</v>
      </c>
      <c r="G113" s="4">
        <v>25</v>
      </c>
      <c r="H113" s="4">
        <v>33</v>
      </c>
      <c r="I113" s="1">
        <v>250</v>
      </c>
      <c r="J113" s="4">
        <v>333</v>
      </c>
      <c r="K113" s="5">
        <v>400</v>
      </c>
      <c r="L113" s="3">
        <v>12769</v>
      </c>
      <c r="M113" s="5">
        <v>73.386285342529078</v>
      </c>
      <c r="N113" s="8">
        <v>1.5746098349890107E-2</v>
      </c>
      <c r="O113" s="3">
        <v>23.34</v>
      </c>
      <c r="P113" s="5">
        <v>83.250300076909014</v>
      </c>
      <c r="Q113" s="3">
        <v>0.18</v>
      </c>
      <c r="R113" s="12">
        <f t="shared" si="12"/>
        <v>4.1625150038454507E-4</v>
      </c>
      <c r="V113" s="3">
        <f t="shared" si="10"/>
        <v>0.15360052698610233</v>
      </c>
      <c r="W113" s="3">
        <f t="shared" si="13"/>
        <v>0.85333626103390181</v>
      </c>
      <c r="Y113" s="3">
        <f t="shared" si="11"/>
        <v>0.15120323277073514</v>
      </c>
      <c r="Z113" s="3">
        <f t="shared" si="14"/>
        <v>0.84001795983741745</v>
      </c>
      <c r="AB113" s="3">
        <f>$AC$2*($AC$3+$AC$4*$F113/($N113*'Dataset sem TS MC2020'!P105))*($AC$5*$G113+$AC$6*$B113/$N113)*'Dataset sem TS MC2020'!R105*($J113-$M113)/($J113-$M113-$H113)</f>
        <v>0.12727254002103353</v>
      </c>
      <c r="AC113" s="3">
        <f t="shared" si="15"/>
        <v>0.70706966678351957</v>
      </c>
      <c r="AD113" s="16">
        <f t="shared" si="16"/>
        <v>-5.2727459978966468E-2</v>
      </c>
      <c r="AE113" s="17">
        <f t="shared" si="17"/>
        <v>1.4142877950754542</v>
      </c>
      <c r="AF113" s="17">
        <f>AB113*(14.068*'Dataset sem TS MC2020'!$P105^-0.457)/$Q113</f>
        <v>0.86055131125692885</v>
      </c>
      <c r="AG113" s="17"/>
      <c r="AO113" s="3">
        <f>$AP$2*($AP$3+$AP$4*$F113/($N113*'Dataset sem TS MC2020'!P105))*($AP$5*$G113+$AP$6*$B113/$N113)*('Dataset sem TS MC2020'!P105^$AP$7/200000)*($J113-$M113)/($J113-$M113-$H113)+('Dataset sem TS MC2020'!P105-$C113/$AP$8)*($AP$5*$G113+$AP$6*$B113/$N113)/200000</f>
        <v>0.13674069036387548</v>
      </c>
      <c r="AP113" s="3">
        <f t="shared" si="18"/>
        <v>0.75967050202153052</v>
      </c>
      <c r="AQ113" s="16">
        <f t="shared" si="19"/>
        <v>-4.325930963612451E-2</v>
      </c>
    </row>
    <row r="114" spans="1:43" x14ac:dyDescent="0.3">
      <c r="B114" s="4">
        <v>16</v>
      </c>
      <c r="C114" s="5">
        <v>500</v>
      </c>
      <c r="D114" s="5">
        <v>2</v>
      </c>
      <c r="E114" s="4">
        <v>168</v>
      </c>
      <c r="F114" s="3">
        <v>3.2689999999999997</v>
      </c>
      <c r="G114" s="4">
        <v>25</v>
      </c>
      <c r="H114" s="4">
        <v>33</v>
      </c>
      <c r="I114" s="1">
        <v>250</v>
      </c>
      <c r="J114" s="4">
        <v>333</v>
      </c>
      <c r="K114" s="5">
        <v>400</v>
      </c>
      <c r="L114" s="3">
        <v>12769</v>
      </c>
      <c r="M114" s="5">
        <v>73.386285342529078</v>
      </c>
      <c r="N114" s="8">
        <v>1.5746098349890107E-2</v>
      </c>
      <c r="O114" s="3">
        <v>26.26</v>
      </c>
      <c r="P114" s="5">
        <v>122.67593514835909</v>
      </c>
      <c r="Q114" s="3">
        <v>0.18</v>
      </c>
      <c r="R114" s="12">
        <f t="shared" si="12"/>
        <v>6.1337967574179547E-4</v>
      </c>
      <c r="V114" s="3">
        <f t="shared" si="10"/>
        <v>0.19510985141694789</v>
      </c>
      <c r="W114" s="3">
        <f t="shared" si="13"/>
        <v>1.0839436189830438</v>
      </c>
      <c r="Y114" s="3">
        <f t="shared" si="11"/>
        <v>0.19288554316725148</v>
      </c>
      <c r="Z114" s="3">
        <f t="shared" si="14"/>
        <v>1.071586350929175</v>
      </c>
      <c r="AB114" s="3">
        <f>$AC$2*($AC$3+$AC$4*$F114/($N114*'Dataset sem TS MC2020'!P106))*($AC$5*$G114+$AC$6*$B114/$N114)*'Dataset sem TS MC2020'!R106*($J114-$M114)/($J114-$M114-$H114)</f>
        <v>0.16139402239487066</v>
      </c>
      <c r="AC114" s="3">
        <f t="shared" si="15"/>
        <v>0.89663345774928149</v>
      </c>
      <c r="AD114" s="16">
        <f t="shared" si="16"/>
        <v>-1.8605977605129331E-2</v>
      </c>
      <c r="AE114" s="17">
        <f t="shared" si="17"/>
        <v>1.1152829412703247</v>
      </c>
      <c r="AF114" s="17">
        <f>AB114*(14.068*'Dataset sem TS MC2020'!$P106^-0.457)/$Q114</f>
        <v>1.0340318264203883</v>
      </c>
      <c r="AG114" s="17"/>
      <c r="AO114" s="3">
        <f>$AP$2*($AP$3+$AP$4*$F114/($N114*'Dataset sem TS MC2020'!P106))*($AP$5*$G114+$AP$6*$B114/$N114)*('Dataset sem TS MC2020'!P106^$AP$7/200000)*($J114-$M114)/($J114-$M114-$H114)+('Dataset sem TS MC2020'!P106-$C114/$AP$8)*($AP$5*$G114+$AP$6*$B114/$N114)/200000</f>
        <v>0.17388641627409229</v>
      </c>
      <c r="AP114" s="3">
        <f t="shared" si="18"/>
        <v>0.96603564596717939</v>
      </c>
      <c r="AQ114" s="16">
        <f t="shared" si="19"/>
        <v>-6.1135837259077008E-3</v>
      </c>
    </row>
    <row r="115" spans="1:43" x14ac:dyDescent="0.3">
      <c r="B115" s="4">
        <v>16</v>
      </c>
      <c r="C115" s="5">
        <v>500</v>
      </c>
      <c r="D115" s="5">
        <v>2</v>
      </c>
      <c r="E115" s="4">
        <v>168</v>
      </c>
      <c r="F115" s="3">
        <v>3.2689999999999997</v>
      </c>
      <c r="G115" s="4">
        <v>25</v>
      </c>
      <c r="H115" s="4">
        <v>33</v>
      </c>
      <c r="I115" s="1">
        <v>250</v>
      </c>
      <c r="J115" s="4">
        <v>333</v>
      </c>
      <c r="K115" s="5">
        <v>400</v>
      </c>
      <c r="L115" s="3">
        <v>12769</v>
      </c>
      <c r="M115" s="5">
        <v>73.386285342529078</v>
      </c>
      <c r="N115" s="8">
        <v>1.5746098349890107E-2</v>
      </c>
      <c r="O115" s="3">
        <v>29.175000000000001</v>
      </c>
      <c r="P115" s="5">
        <v>162.03406057071425</v>
      </c>
      <c r="Q115" s="3">
        <v>0.25</v>
      </c>
      <c r="R115" s="12">
        <f t="shared" si="12"/>
        <v>8.1017030285357125E-4</v>
      </c>
      <c r="V115" s="3">
        <f t="shared" si="10"/>
        <v>0.23165504306845591</v>
      </c>
      <c r="W115" s="3">
        <f t="shared" si="13"/>
        <v>0.92662017227382365</v>
      </c>
      <c r="Y115" s="3">
        <f t="shared" si="11"/>
        <v>0.22971616408421336</v>
      </c>
      <c r="Z115" s="3">
        <f t="shared" si="14"/>
        <v>0.91886465633685344</v>
      </c>
      <c r="AB115" s="3">
        <f>$AC$2*($AC$3+$AC$4*$F115/($N115*'Dataset sem TS MC2020'!P107))*($AC$5*$G115+$AC$6*$B115/$N115)*'Dataset sem TS MC2020'!R107*($J115-$M115)/($J115-$M115-$H115)</f>
        <v>0.19545707757286218</v>
      </c>
      <c r="AC115" s="3">
        <f t="shared" si="15"/>
        <v>0.78182831029144872</v>
      </c>
      <c r="AD115" s="16">
        <f t="shared" si="16"/>
        <v>-5.4542922427137819E-2</v>
      </c>
      <c r="AE115" s="17">
        <f t="shared" si="17"/>
        <v>1.2790531972770616</v>
      </c>
      <c r="AF115" s="17">
        <f>AB115*(14.068*'Dataset sem TS MC2020'!$P107^-0.457)/$Q115</f>
        <v>0.85928668175981238</v>
      </c>
      <c r="AG115" s="17"/>
      <c r="AO115" s="3">
        <f>$AP$2*($AP$3+$AP$4*$F115/($N115*'Dataset sem TS MC2020'!P107))*($AP$5*$G115+$AP$6*$B115/$N115)*('Dataset sem TS MC2020'!P107^$AP$7/200000)*($J115-$M115)/($J115-$M115-$H115)+('Dataset sem TS MC2020'!P107-$C115/$AP$8)*($AP$5*$G115+$AP$6*$B115/$N115)/200000</f>
        <v>0.20991920264550451</v>
      </c>
      <c r="AP115" s="3">
        <f t="shared" si="18"/>
        <v>0.83967681058201804</v>
      </c>
      <c r="AQ115" s="16">
        <f t="shared" si="19"/>
        <v>-4.008079735449549E-2</v>
      </c>
    </row>
    <row r="116" spans="1:43" x14ac:dyDescent="0.3">
      <c r="B116" s="4">
        <v>16</v>
      </c>
      <c r="C116" s="5">
        <v>500</v>
      </c>
      <c r="D116" s="5">
        <v>2</v>
      </c>
      <c r="E116" s="4">
        <v>168</v>
      </c>
      <c r="F116" s="3">
        <v>3.2689999999999997</v>
      </c>
      <c r="G116" s="4">
        <v>25</v>
      </c>
      <c r="H116" s="4">
        <v>33</v>
      </c>
      <c r="I116" s="1">
        <v>250</v>
      </c>
      <c r="J116" s="4">
        <v>333</v>
      </c>
      <c r="K116" s="5">
        <v>400</v>
      </c>
      <c r="L116" s="3">
        <v>12769</v>
      </c>
      <c r="M116" s="5">
        <v>73.386285342529078</v>
      </c>
      <c r="N116" s="8">
        <v>1.5746098349890107E-2</v>
      </c>
      <c r="O116" s="3">
        <v>32.090000000000003</v>
      </c>
      <c r="P116" s="5">
        <v>201.3921859930694</v>
      </c>
      <c r="Q116" s="3">
        <v>0.28000000000000003</v>
      </c>
      <c r="R116" s="12">
        <f t="shared" si="12"/>
        <v>1.006960929965347E-3</v>
      </c>
      <c r="V116" s="3">
        <f t="shared" si="10"/>
        <v>0.26491646816940401</v>
      </c>
      <c r="W116" s="3">
        <f t="shared" si="13"/>
        <v>0.94613024346215713</v>
      </c>
      <c r="Y116" s="3">
        <f t="shared" si="11"/>
        <v>0.26332831020345865</v>
      </c>
      <c r="Z116" s="3">
        <f t="shared" si="14"/>
        <v>0.94045825072663791</v>
      </c>
      <c r="AB116" s="3">
        <f>$AC$2*($AC$3+$AC$4*$F116/($N116*'Dataset sem TS MC2020'!P108))*($AC$5*$G116+$AC$6*$B116/$N116)*'Dataset sem TS MC2020'!R108*($J116-$M116)/($J116-$M116-$H116)</f>
        <v>0.22952013275085378</v>
      </c>
      <c r="AC116" s="3">
        <f t="shared" si="15"/>
        <v>0.81971475982447772</v>
      </c>
      <c r="AD116" s="16">
        <f t="shared" si="16"/>
        <v>-5.0479867249146243E-2</v>
      </c>
      <c r="AE116" s="17">
        <f t="shared" si="17"/>
        <v>1.2199365547768422</v>
      </c>
      <c r="AF116" s="17">
        <f>AB116*(14.068*'Dataset sem TS MC2020'!$P108^-0.457)/$Q116</f>
        <v>0.86255827874252866</v>
      </c>
      <c r="AG116" s="17"/>
      <c r="AO116" s="3">
        <f>$AP$2*($AP$3+$AP$4*$F116/($N116*'Dataset sem TS MC2020'!P108))*($AP$5*$G116+$AP$6*$B116/$N116)*('Dataset sem TS MC2020'!P108^$AP$7/200000)*($J116-$M116)/($J116-$M116-$H116)+('Dataset sem TS MC2020'!P108-$C116/$AP$8)*($AP$5*$G116+$AP$6*$B116/$N116)/200000</f>
        <v>0.24506490148205531</v>
      </c>
      <c r="AP116" s="3">
        <f t="shared" si="18"/>
        <v>0.87523179100734028</v>
      </c>
      <c r="AQ116" s="16">
        <f t="shared" si="19"/>
        <v>-3.4935098517944713E-2</v>
      </c>
    </row>
    <row r="117" spans="1:43" x14ac:dyDescent="0.3">
      <c r="B117" s="4">
        <v>16</v>
      </c>
      <c r="C117" s="5">
        <v>500</v>
      </c>
      <c r="D117" s="5">
        <v>2</v>
      </c>
      <c r="E117" s="4">
        <v>168</v>
      </c>
      <c r="F117" s="3">
        <v>3.2689999999999997</v>
      </c>
      <c r="G117" s="4">
        <v>25</v>
      </c>
      <c r="H117" s="4">
        <v>33</v>
      </c>
      <c r="I117" s="1">
        <v>250</v>
      </c>
      <c r="J117" s="4">
        <v>333</v>
      </c>
      <c r="K117" s="5">
        <v>400</v>
      </c>
      <c r="L117" s="3">
        <v>12769</v>
      </c>
      <c r="M117" s="5">
        <v>73.386285342529078</v>
      </c>
      <c r="N117" s="8">
        <v>1.5746098349890107E-2</v>
      </c>
      <c r="O117" s="3">
        <v>35.01</v>
      </c>
      <c r="P117" s="5">
        <v>240.81782106451948</v>
      </c>
      <c r="Q117" s="3">
        <v>0.33</v>
      </c>
      <c r="R117" s="12">
        <f t="shared" si="12"/>
        <v>1.2040891053225974E-3</v>
      </c>
      <c r="V117" s="3">
        <f t="shared" si="10"/>
        <v>0.29581251411645676</v>
      </c>
      <c r="W117" s="3">
        <f t="shared" si="13"/>
        <v>0.89640155792865683</v>
      </c>
      <c r="Y117" s="3">
        <f t="shared" si="11"/>
        <v>0.29461797788409488</v>
      </c>
      <c r="Z117" s="3">
        <f t="shared" si="14"/>
        <v>0.89278175116392389</v>
      </c>
      <c r="AB117" s="3">
        <f>$AC$2*($AC$3+$AC$4*$F117/($N117*'Dataset sem TS MC2020'!P109))*($AC$5*$G117+$AC$6*$B117/$N117)*'Dataset sem TS MC2020'!R109*($J117-$M117)/($J117-$M117-$H117)</f>
        <v>0.26364161512469098</v>
      </c>
      <c r="AC117" s="3">
        <f t="shared" si="15"/>
        <v>0.79891398522633628</v>
      </c>
      <c r="AD117" s="16">
        <f t="shared" si="16"/>
        <v>-6.635838487530904E-2</v>
      </c>
      <c r="AE117" s="17">
        <f t="shared" si="17"/>
        <v>1.2516992047857256</v>
      </c>
      <c r="AF117" s="17">
        <f>AB117*(14.068*'Dataset sem TS MC2020'!$P109^-0.457)/$Q117</f>
        <v>0.8078688866509065</v>
      </c>
      <c r="AG117" s="17"/>
      <c r="AO117" s="3">
        <f>$AP$2*($AP$3+$AP$4*$F117/($N117*'Dataset sem TS MC2020'!P109))*($AP$5*$G117+$AP$6*$B117/$N117)*('Dataset sem TS MC2020'!P109^$AP$7/200000)*($J117-$M117)/($J117-$M117-$H117)+('Dataset sem TS MC2020'!P109-$C117/$AP$8)*($AP$5*$G117+$AP$6*$B117/$N117)/200000</f>
        <v>0.27950441759998046</v>
      </c>
      <c r="AP117" s="3">
        <f t="shared" si="18"/>
        <v>0.84698308363630437</v>
      </c>
      <c r="AQ117" s="16">
        <f t="shared" si="19"/>
        <v>-5.0495582400019556E-2</v>
      </c>
    </row>
    <row r="118" spans="1:43" x14ac:dyDescent="0.3">
      <c r="B118" s="4">
        <v>16</v>
      </c>
      <c r="C118" s="5">
        <v>500</v>
      </c>
      <c r="D118" s="5">
        <v>2</v>
      </c>
      <c r="E118" s="4">
        <v>168</v>
      </c>
      <c r="F118" s="3">
        <v>3.2689999999999997</v>
      </c>
      <c r="G118" s="4">
        <v>25</v>
      </c>
      <c r="H118" s="4">
        <v>33</v>
      </c>
      <c r="I118" s="1">
        <v>250</v>
      </c>
      <c r="J118" s="4">
        <v>333</v>
      </c>
      <c r="K118" s="5">
        <v>400</v>
      </c>
      <c r="L118" s="3">
        <v>12769</v>
      </c>
      <c r="M118" s="5">
        <v>73.386285342529078</v>
      </c>
      <c r="N118" s="8">
        <v>1.5746098349890107E-2</v>
      </c>
      <c r="O118" s="3">
        <v>37.93</v>
      </c>
      <c r="P118" s="5">
        <v>280.24345613596955</v>
      </c>
      <c r="Q118" s="3">
        <v>0.38</v>
      </c>
      <c r="R118" s="12">
        <f t="shared" si="12"/>
        <v>1.4012172806798478E-3</v>
      </c>
      <c r="V118" s="3">
        <f t="shared" si="10"/>
        <v>0.32482096614990652</v>
      </c>
      <c r="W118" s="3">
        <f t="shared" si="13"/>
        <v>0.8547920161839645</v>
      </c>
      <c r="Y118" s="3">
        <f t="shared" si="11"/>
        <v>0.32404928764612906</v>
      </c>
      <c r="Z118" s="3">
        <f t="shared" si="14"/>
        <v>0.85276128327928702</v>
      </c>
      <c r="AB118" s="3">
        <f>$AC$2*($AC$3+$AC$4*$F118/($N118*'Dataset sem TS MC2020'!P110))*($AC$5*$G118+$AC$6*$B118/$N118)*'Dataset sem TS MC2020'!R110*($J118-$M118)/($J118-$M118-$H118)</f>
        <v>0.29776309749852803</v>
      </c>
      <c r="AC118" s="3">
        <f t="shared" si="15"/>
        <v>0.78358709868033694</v>
      </c>
      <c r="AD118" s="16">
        <f t="shared" si="16"/>
        <v>-8.2236902501471976E-2</v>
      </c>
      <c r="AE118" s="17">
        <f t="shared" si="17"/>
        <v>1.2761823180653824</v>
      </c>
      <c r="AF118" s="17">
        <f>AB118*(14.068*'Dataset sem TS MC2020'!$P110^-0.457)/$Q118</f>
        <v>0.76388638816180243</v>
      </c>
      <c r="AG118" s="17"/>
      <c r="AO118" s="3">
        <f>$AP$2*($AP$3+$AP$4*$F118/($N118*'Dataset sem TS MC2020'!P110))*($AP$5*$G118+$AP$6*$B118/$N118)*('Dataset sem TS MC2020'!P110^$AP$7/200000)*($J118-$M118)/($J118-$M118-$H118)+('Dataset sem TS MC2020'!P110-$C118/$AP$8)*($AP$5*$G118+$AP$6*$B118/$N118)/200000</f>
        <v>0.31327294837574082</v>
      </c>
      <c r="AP118" s="3">
        <f t="shared" si="18"/>
        <v>0.82440249572563373</v>
      </c>
      <c r="AQ118" s="16">
        <f t="shared" si="19"/>
        <v>-6.6727051624259182E-2</v>
      </c>
    </row>
    <row r="119" spans="1:43" x14ac:dyDescent="0.3">
      <c r="B119" s="4">
        <v>16</v>
      </c>
      <c r="C119" s="5">
        <v>500</v>
      </c>
      <c r="D119" s="5">
        <v>2</v>
      </c>
      <c r="E119" s="4">
        <v>168</v>
      </c>
      <c r="F119" s="3">
        <v>3.2689999999999997</v>
      </c>
      <c r="G119" s="4">
        <v>25</v>
      </c>
      <c r="H119" s="4">
        <v>33</v>
      </c>
      <c r="I119" s="1">
        <v>250</v>
      </c>
      <c r="J119" s="4">
        <v>333</v>
      </c>
      <c r="K119" s="5">
        <v>400</v>
      </c>
      <c r="L119" s="3">
        <v>12769</v>
      </c>
      <c r="M119" s="5">
        <v>73.386285342529078</v>
      </c>
      <c r="N119" s="8">
        <v>1.5746098349890107E-2</v>
      </c>
      <c r="O119" s="3">
        <v>40.840000000000003</v>
      </c>
      <c r="P119" s="5">
        <v>319.53407190922991</v>
      </c>
      <c r="Q119" s="3">
        <v>0.43</v>
      </c>
      <c r="R119" s="12">
        <f t="shared" si="12"/>
        <v>1.5976703595461496E-3</v>
      </c>
      <c r="V119" s="3">
        <f t="shared" si="10"/>
        <v>0.35221006186183812</v>
      </c>
      <c r="W119" s="3">
        <f t="shared" si="13"/>
        <v>0.8190931671205538</v>
      </c>
      <c r="Y119" s="3">
        <f t="shared" si="11"/>
        <v>0.35188080315931164</v>
      </c>
      <c r="Z119" s="3">
        <f t="shared" si="14"/>
        <v>0.81832744920770151</v>
      </c>
      <c r="AB119" s="3">
        <f>$AC$2*($AC$3+$AC$4*$F119/($N119*'Dataset sem TS MC2020'!P111))*($AC$5*$G119+$AC$6*$B119/$N119)*'Dataset sem TS MC2020'!R111*($J119-$M119)/($J119-$M119-$H119)</f>
        <v>0.33176772548067412</v>
      </c>
      <c r="AC119" s="3">
        <f t="shared" si="15"/>
        <v>0.77155284995505613</v>
      </c>
      <c r="AD119" s="16">
        <f t="shared" si="16"/>
        <v>-9.8232274519325868E-2</v>
      </c>
      <c r="AE119" s="17">
        <f t="shared" si="17"/>
        <v>1.2960874942763172</v>
      </c>
      <c r="AF119" s="17">
        <f>AB119*(14.068*'Dataset sem TS MC2020'!$P111^-0.457)/$Q119</f>
        <v>0.72717033434648459</v>
      </c>
      <c r="AG119" s="17"/>
      <c r="AO119" s="3">
        <f>$AP$2*($AP$3+$AP$4*$F119/($N119*'Dataset sem TS MC2020'!P111))*($AP$5*$G119+$AP$6*$B119/$N119)*('Dataset sem TS MC2020'!P111^$AP$7/200000)*($J119-$M119)/($J119-$M119-$H119)+('Dataset sem TS MC2020'!P111-$C119/$AP$8)*($AP$5*$G119+$AP$6*$B119/$N119)/200000</f>
        <v>0.34633468166019843</v>
      </c>
      <c r="AP119" s="3">
        <f t="shared" si="18"/>
        <v>0.80542949223301963</v>
      </c>
      <c r="AQ119" s="16">
        <f t="shared" si="19"/>
        <v>-8.3665318339801564E-2</v>
      </c>
    </row>
    <row r="120" spans="1:43" x14ac:dyDescent="0.3">
      <c r="A120" s="1" t="s">
        <v>29</v>
      </c>
      <c r="B120" s="4">
        <v>16</v>
      </c>
      <c r="C120" s="5">
        <v>500</v>
      </c>
      <c r="D120" s="5">
        <v>3</v>
      </c>
      <c r="E120" s="4">
        <v>76</v>
      </c>
      <c r="F120" s="3">
        <v>3.2689999999999997</v>
      </c>
      <c r="G120" s="4">
        <v>25</v>
      </c>
      <c r="H120" s="4">
        <v>33</v>
      </c>
      <c r="I120" s="1">
        <v>250</v>
      </c>
      <c r="J120" s="4">
        <v>333</v>
      </c>
      <c r="K120" s="5">
        <v>600</v>
      </c>
      <c r="L120" s="3">
        <v>28250</v>
      </c>
      <c r="M120" s="5">
        <v>87.114505405349817</v>
      </c>
      <c r="N120" s="8">
        <v>2.1238938053097345E-2</v>
      </c>
      <c r="O120" s="3">
        <v>37.93</v>
      </c>
      <c r="P120" s="5">
        <v>142.62332221143583</v>
      </c>
      <c r="Q120" s="3">
        <v>0.15</v>
      </c>
      <c r="R120" s="12">
        <f t="shared" si="12"/>
        <v>7.1311661105717922E-4</v>
      </c>
      <c r="V120" s="3">
        <f t="shared" si="10"/>
        <v>0.18896869999146015</v>
      </c>
      <c r="W120" s="3">
        <f t="shared" si="13"/>
        <v>1.259791333276401</v>
      </c>
      <c r="Y120" s="3">
        <f t="shared" si="11"/>
        <v>0.18552456705375503</v>
      </c>
      <c r="Z120" s="3">
        <f t="shared" si="14"/>
        <v>1.2368304470250335</v>
      </c>
      <c r="AB120" s="3">
        <f>$AC$2*($AC$3+$AC$4*$F120/($N120*'Dataset sem TS MC2020'!P112))*($AC$5*$G120+$AC$6*$B120/$N120)*'Dataset sem TS MC2020'!R112*($J120-$M120)/($J120-$M120-$H120)</f>
        <v>0.15145217968812746</v>
      </c>
      <c r="AC120" s="3">
        <f t="shared" si="15"/>
        <v>1.0096811979208498</v>
      </c>
      <c r="AD120" s="16">
        <f t="shared" si="16"/>
        <v>1.4521796881274696E-3</v>
      </c>
      <c r="AE120" s="17">
        <f t="shared" si="17"/>
        <v>0.99041162899657298</v>
      </c>
      <c r="AF120" s="17">
        <f>AB120*(14.068*'Dataset sem TS MC2020'!$P112^-0.457)/$Q120</f>
        <v>1.1756433765295535</v>
      </c>
      <c r="AG120" s="17"/>
      <c r="AO120" s="3">
        <f>$AP$2*($AP$3+$AP$4*$F120/($N120*'Dataset sem TS MC2020'!P112))*($AP$5*$G120+$AP$6*$B120/$N120)*('Dataset sem TS MC2020'!P112^$AP$7/200000)*($J120-$M120)/($J120-$M120-$H120)+('Dataset sem TS MC2020'!P112-$C120/$AP$8)*($AP$5*$G120+$AP$6*$B120/$N120)/200000</f>
        <v>0.16322160576179501</v>
      </c>
      <c r="AP120" s="3">
        <f t="shared" si="18"/>
        <v>1.0881440384119667</v>
      </c>
      <c r="AQ120" s="16">
        <f t="shared" si="19"/>
        <v>1.3221605761795013E-2</v>
      </c>
    </row>
    <row r="121" spans="1:43" x14ac:dyDescent="0.3">
      <c r="B121" s="4">
        <v>16</v>
      </c>
      <c r="C121" s="5">
        <v>500</v>
      </c>
      <c r="D121" s="5">
        <v>3</v>
      </c>
      <c r="E121" s="4">
        <v>76</v>
      </c>
      <c r="F121" s="3">
        <v>3.2689999999999997</v>
      </c>
      <c r="G121" s="4">
        <v>25</v>
      </c>
      <c r="H121" s="4">
        <v>33</v>
      </c>
      <c r="I121" s="1">
        <v>250</v>
      </c>
      <c r="J121" s="4">
        <v>333</v>
      </c>
      <c r="K121" s="5">
        <v>600</v>
      </c>
      <c r="L121" s="3">
        <v>28250</v>
      </c>
      <c r="M121" s="5">
        <v>87.114505405349817</v>
      </c>
      <c r="N121" s="8">
        <v>2.1238938053097345E-2</v>
      </c>
      <c r="O121" s="3">
        <v>40.840000000000003</v>
      </c>
      <c r="P121" s="5">
        <v>167.2364517510201</v>
      </c>
      <c r="Q121" s="3">
        <v>0.18</v>
      </c>
      <c r="R121" s="12">
        <f t="shared" si="12"/>
        <v>8.3618225875510045E-4</v>
      </c>
      <c r="V121" s="3">
        <f t="shared" si="10"/>
        <v>0.20847284813155398</v>
      </c>
      <c r="W121" s="3">
        <f t="shared" si="13"/>
        <v>1.1581824896197443</v>
      </c>
      <c r="Y121" s="3">
        <f t="shared" si="11"/>
        <v>0.2050319751793391</v>
      </c>
      <c r="Z121" s="3">
        <f t="shared" si="14"/>
        <v>1.1390665287741062</v>
      </c>
      <c r="AB121" s="3">
        <f>$AC$2*($AC$3+$AC$4*$F121/($N121*'Dataset sem TS MC2020'!P113))*($AC$5*$G121+$AC$6*$B121/$N121)*'Dataset sem TS MC2020'!R113*($J121-$M121)/($J121-$M121-$H121)</f>
        <v>0.1695768249801328</v>
      </c>
      <c r="AC121" s="3">
        <f t="shared" si="15"/>
        <v>0.94209347211184891</v>
      </c>
      <c r="AD121" s="16">
        <f t="shared" si="16"/>
        <v>-1.0423175019867198E-2</v>
      </c>
      <c r="AE121" s="17">
        <f t="shared" si="17"/>
        <v>1.0614657988854808</v>
      </c>
      <c r="AF121" s="17">
        <f>AB121*(14.068*'Dataset sem TS MC2020'!$P113^-0.457)/$Q121</f>
        <v>1.0605088715385884</v>
      </c>
      <c r="AG121" s="17"/>
      <c r="AO121" s="3">
        <f>$AP$2*($AP$3+$AP$4*$F121/($N121*'Dataset sem TS MC2020'!P113))*($AP$5*$G121+$AP$6*$B121/$N121)*('Dataset sem TS MC2020'!P113^$AP$7/200000)*($J121-$M121)/($J121-$M121-$H121)+('Dataset sem TS MC2020'!P113-$C121/$AP$8)*($AP$5*$G121+$AP$6*$B121/$N121)/200000</f>
        <v>0.18195398997542622</v>
      </c>
      <c r="AP121" s="3">
        <f t="shared" si="18"/>
        <v>1.0108554998634791</v>
      </c>
      <c r="AQ121" s="16">
        <f t="shared" si="19"/>
        <v>1.9539899754262291E-3</v>
      </c>
    </row>
    <row r="122" spans="1:43" x14ac:dyDescent="0.3">
      <c r="B122" s="4">
        <v>16</v>
      </c>
      <c r="C122" s="5">
        <v>500</v>
      </c>
      <c r="D122" s="5">
        <v>3</v>
      </c>
      <c r="E122" s="4">
        <v>76</v>
      </c>
      <c r="F122" s="3">
        <v>3.2689999999999997</v>
      </c>
      <c r="G122" s="4">
        <v>25</v>
      </c>
      <c r="H122" s="4">
        <v>33</v>
      </c>
      <c r="I122" s="1">
        <v>250</v>
      </c>
      <c r="J122" s="4">
        <v>333</v>
      </c>
      <c r="K122" s="5">
        <v>600</v>
      </c>
      <c r="L122" s="3">
        <v>28250</v>
      </c>
      <c r="M122" s="5">
        <v>87.114505405349817</v>
      </c>
      <c r="N122" s="8">
        <v>2.1238938053097345E-2</v>
      </c>
      <c r="O122" s="3">
        <v>43.76</v>
      </c>
      <c r="P122" s="5">
        <v>191.93416249177125</v>
      </c>
      <c r="Q122" s="3">
        <v>0.18</v>
      </c>
      <c r="R122" s="12">
        <f t="shared" si="12"/>
        <v>9.5967081245885619E-4</v>
      </c>
      <c r="V122" s="3">
        <f t="shared" si="10"/>
        <v>0.22696519575802393</v>
      </c>
      <c r="W122" s="3">
        <f t="shared" si="13"/>
        <v>1.2609177542112442</v>
      </c>
      <c r="Y122" s="3">
        <f t="shared" si="11"/>
        <v>0.22355757775846263</v>
      </c>
      <c r="Z122" s="3">
        <f t="shared" si="14"/>
        <v>1.2419865431025703</v>
      </c>
      <c r="AB122" s="3">
        <f>$AC$2*($AC$3+$AC$4*$F122/($N122*'Dataset sem TS MC2020'!P114))*($AC$5*$G122+$AC$6*$B122/$N122)*'Dataset sem TS MC2020'!R114*($J122-$M122)/($J122-$M122-$H122)</f>
        <v>0.18776375427657785</v>
      </c>
      <c r="AC122" s="3">
        <f t="shared" si="15"/>
        <v>1.0431319682032103</v>
      </c>
      <c r="AD122" s="16">
        <f t="shared" si="16"/>
        <v>7.7637542765778556E-3</v>
      </c>
      <c r="AE122" s="17">
        <f t="shared" si="17"/>
        <v>0.95865147505976167</v>
      </c>
      <c r="AF122" s="17">
        <f>AB122*(14.068*'Dataset sem TS MC2020'!$P114^-0.457)/$Q122</f>
        <v>1.1377672128651271</v>
      </c>
      <c r="AG122" s="17"/>
      <c r="AO122" s="3">
        <f>$AP$2*($AP$3+$AP$4*$F122/($N122*'Dataset sem TS MC2020'!P114))*($AP$5*$G122+$AP$6*$B122/$N122)*('Dataset sem TS MC2020'!P114^$AP$7/200000)*($J122-$M122)/($J122-$M122-$H122)+('Dataset sem TS MC2020'!P114-$C122/$AP$8)*($AP$5*$G122+$AP$6*$B122/$N122)/200000</f>
        <v>0.20044137528883169</v>
      </c>
      <c r="AP122" s="3">
        <f t="shared" si="18"/>
        <v>1.1135631960490651</v>
      </c>
      <c r="AQ122" s="16">
        <f t="shared" si="19"/>
        <v>2.0441375288831692E-2</v>
      </c>
    </row>
    <row r="123" spans="1:43" x14ac:dyDescent="0.3">
      <c r="B123" s="4">
        <v>16</v>
      </c>
      <c r="C123" s="5">
        <v>500</v>
      </c>
      <c r="D123" s="5">
        <v>3</v>
      </c>
      <c r="E123" s="4">
        <v>76</v>
      </c>
      <c r="F123" s="3">
        <v>3.2689999999999997</v>
      </c>
      <c r="G123" s="4">
        <v>25</v>
      </c>
      <c r="H123" s="4">
        <v>33</v>
      </c>
      <c r="I123" s="1">
        <v>250</v>
      </c>
      <c r="J123" s="4">
        <v>333</v>
      </c>
      <c r="K123" s="5">
        <v>600</v>
      </c>
      <c r="L123" s="3">
        <v>28250</v>
      </c>
      <c r="M123" s="5">
        <v>87.114505405349817</v>
      </c>
      <c r="N123" s="8">
        <v>2.1238938053097345E-2</v>
      </c>
      <c r="O123" s="3">
        <v>46.68</v>
      </c>
      <c r="P123" s="5">
        <v>216.63187323252237</v>
      </c>
      <c r="Q123" s="3">
        <v>0.2</v>
      </c>
      <c r="R123" s="12">
        <f t="shared" si="12"/>
        <v>1.0831593661626119E-3</v>
      </c>
      <c r="V123" s="3">
        <f t="shared" si="10"/>
        <v>0.24456539154429413</v>
      </c>
      <c r="W123" s="3">
        <f t="shared" si="13"/>
        <v>1.2228269577214705</v>
      </c>
      <c r="Y123" s="3">
        <f t="shared" si="11"/>
        <v>0.24121449475219592</v>
      </c>
      <c r="Z123" s="3">
        <f t="shared" si="14"/>
        <v>1.2060724737609796</v>
      </c>
      <c r="AB123" s="3">
        <f>$AC$2*($AC$3+$AC$4*$F123/($N123*'Dataset sem TS MC2020'!P115))*($AC$5*$G123+$AC$6*$B123/$N123)*'Dataset sem TS MC2020'!R115*($J123-$M123)/($J123-$M123-$H123)</f>
        <v>0.2059506835730229</v>
      </c>
      <c r="AC123" s="3">
        <f t="shared" si="15"/>
        <v>1.0297534178651144</v>
      </c>
      <c r="AD123" s="16">
        <f t="shared" si="16"/>
        <v>5.9506835730228913E-3</v>
      </c>
      <c r="AE123" s="17">
        <f t="shared" si="17"/>
        <v>0.97110626937582856</v>
      </c>
      <c r="AF123" s="17">
        <f>AB123*(14.068*'Dataset sem TS MC2020'!$P115^-0.457)/$Q123</f>
        <v>1.0905031801073792</v>
      </c>
      <c r="AG123" s="17"/>
      <c r="AO123" s="3">
        <f>$AP$2*($AP$3+$AP$4*$F123/($N123*'Dataset sem TS MC2020'!P115))*($AP$5*$G123+$AP$6*$B123/$N123)*('Dataset sem TS MC2020'!P115^$AP$7/200000)*($J123-$M123)/($J123-$M123-$H123)+('Dataset sem TS MC2020'!P115-$C123/$AP$8)*($AP$5*$G123+$AP$6*$B123/$N123)/200000</f>
        <v>0.21864940119233997</v>
      </c>
      <c r="AP123" s="3">
        <f t="shared" si="18"/>
        <v>1.0932470059616999</v>
      </c>
      <c r="AQ123" s="16">
        <f t="shared" si="19"/>
        <v>1.8649401192339959E-2</v>
      </c>
    </row>
    <row r="124" spans="1:43" x14ac:dyDescent="0.3">
      <c r="B124" s="4">
        <v>16</v>
      </c>
      <c r="C124" s="5">
        <v>500</v>
      </c>
      <c r="D124" s="5">
        <v>3</v>
      </c>
      <c r="E124" s="4">
        <v>76</v>
      </c>
      <c r="F124" s="3">
        <v>3.2689999999999997</v>
      </c>
      <c r="G124" s="4">
        <v>25</v>
      </c>
      <c r="H124" s="4">
        <v>33</v>
      </c>
      <c r="I124" s="1">
        <v>250</v>
      </c>
      <c r="J124" s="4">
        <v>333</v>
      </c>
      <c r="K124" s="5">
        <v>600</v>
      </c>
      <c r="L124" s="3">
        <v>28250</v>
      </c>
      <c r="M124" s="5">
        <v>87.114505405349817</v>
      </c>
      <c r="N124" s="8">
        <v>2.1238938053097345E-2</v>
      </c>
      <c r="O124" s="3">
        <v>49.6</v>
      </c>
      <c r="P124" s="5">
        <v>241.32958397327369</v>
      </c>
      <c r="Q124" s="3">
        <v>0.2</v>
      </c>
      <c r="R124" s="12">
        <f t="shared" si="12"/>
        <v>1.2066479198663683E-3</v>
      </c>
      <c r="V124" s="3">
        <f t="shared" si="10"/>
        <v>0.26141170219763876</v>
      </c>
      <c r="W124" s="3">
        <f t="shared" si="13"/>
        <v>1.3070585109881938</v>
      </c>
      <c r="Y124" s="3">
        <f t="shared" si="11"/>
        <v>0.25813636885381563</v>
      </c>
      <c r="Z124" s="3">
        <f t="shared" si="14"/>
        <v>1.2906818442690782</v>
      </c>
      <c r="AB124" s="3">
        <f>$AC$2*($AC$3+$AC$4*$F124/($N124*'Dataset sem TS MC2020'!P116))*($AC$5*$G124+$AC$6*$B124/$N124)*'Dataset sem TS MC2020'!R116*($J124-$M124)/($J124-$M124-$H124)</f>
        <v>0.22413761286946809</v>
      </c>
      <c r="AC124" s="3">
        <f t="shared" si="15"/>
        <v>1.1206880643473405</v>
      </c>
      <c r="AD124" s="16">
        <f t="shared" si="16"/>
        <v>2.4137612869468084E-2</v>
      </c>
      <c r="AE124" s="17">
        <f t="shared" si="17"/>
        <v>0.89230895894512263</v>
      </c>
      <c r="AF124" s="17">
        <f>AB124*(14.068*'Dataset sem TS MC2020'!$P116^-0.457)/$Q124</f>
        <v>1.1543462913324816</v>
      </c>
      <c r="AG124" s="17"/>
      <c r="AO124" s="3">
        <f>$AP$2*($AP$3+$AP$4*$F124/($N124*'Dataset sem TS MC2020'!P116))*($AP$5*$G124+$AP$6*$B124/$N124)*('Dataset sem TS MC2020'!P116^$AP$7/200000)*($J124-$M124)/($J124-$M124-$H124)+('Dataset sem TS MC2020'!P116-$C124/$AP$8)*($AP$5*$G124+$AP$6*$B124/$N124)/200000</f>
        <v>0.2366036929112528</v>
      </c>
      <c r="AP124" s="3">
        <f t="shared" si="18"/>
        <v>1.183018464556264</v>
      </c>
      <c r="AQ124" s="16">
        <f t="shared" si="19"/>
        <v>3.6603692911252789E-2</v>
      </c>
    </row>
    <row r="125" spans="1:43" x14ac:dyDescent="0.3">
      <c r="A125" s="1" t="s">
        <v>30</v>
      </c>
      <c r="B125" s="4">
        <v>16</v>
      </c>
      <c r="C125" s="5">
        <v>500</v>
      </c>
      <c r="D125" s="5">
        <v>3</v>
      </c>
      <c r="E125" s="4">
        <v>76</v>
      </c>
      <c r="F125" s="3">
        <v>3.2689999999999997</v>
      </c>
      <c r="G125" s="4">
        <v>25</v>
      </c>
      <c r="H125" s="4">
        <v>33</v>
      </c>
      <c r="I125" s="1">
        <v>250</v>
      </c>
      <c r="J125" s="4">
        <v>333</v>
      </c>
      <c r="K125" s="5">
        <v>600</v>
      </c>
      <c r="L125" s="3">
        <v>28250</v>
      </c>
      <c r="M125" s="5">
        <v>87.114505405349817</v>
      </c>
      <c r="N125" s="8">
        <v>2.1238938053097345E-2</v>
      </c>
      <c r="O125" s="3">
        <v>40.840000000000003</v>
      </c>
      <c r="P125" s="5">
        <v>167.2364517510201</v>
      </c>
      <c r="Q125" s="3">
        <v>0.15</v>
      </c>
      <c r="R125" s="12">
        <f t="shared" si="12"/>
        <v>8.3618225875510045E-4</v>
      </c>
      <c r="V125" s="3">
        <f t="shared" si="10"/>
        <v>0.20847284813155398</v>
      </c>
      <c r="W125" s="3">
        <f t="shared" si="13"/>
        <v>1.3898189875436933</v>
      </c>
      <c r="Y125" s="3">
        <f t="shared" si="11"/>
        <v>0.2050319751793391</v>
      </c>
      <c r="Z125" s="3">
        <f t="shared" si="14"/>
        <v>1.3668798345289275</v>
      </c>
      <c r="AB125" s="3">
        <f>$AC$2*($AC$3+$AC$4*$F125/($N125*'Dataset sem TS MC2020'!P117))*($AC$5*$G125+$AC$6*$B125/$N125)*'Dataset sem TS MC2020'!R117*($J125-$M125)/($J125-$M125-$H125)</f>
        <v>0.1695768249801328</v>
      </c>
      <c r="AC125" s="3">
        <f t="shared" si="15"/>
        <v>1.1305121665342186</v>
      </c>
      <c r="AD125" s="16">
        <f t="shared" si="16"/>
        <v>1.9576824980132801E-2</v>
      </c>
      <c r="AE125" s="17">
        <f t="shared" si="17"/>
        <v>0.88455483240456734</v>
      </c>
      <c r="AF125" s="17">
        <f>AB125*(14.068*'Dataset sem TS MC2020'!$P117^-0.457)/$Q125</f>
        <v>1.272610645846306</v>
      </c>
      <c r="AG125" s="17"/>
      <c r="AO125" s="3">
        <f>$AP$2*($AP$3+$AP$4*$F125/($N125*'Dataset sem TS MC2020'!P117))*($AP$5*$G125+$AP$6*$B125/$N125)*('Dataset sem TS MC2020'!P117^$AP$7/200000)*($J125-$M125)/($J125-$M125-$H125)+('Dataset sem TS MC2020'!P117-$C125/$AP$8)*($AP$5*$G125+$AP$6*$B125/$N125)/200000</f>
        <v>0.18195398997542622</v>
      </c>
      <c r="AP125" s="3">
        <f t="shared" si="18"/>
        <v>1.2130265998361749</v>
      </c>
      <c r="AQ125" s="16">
        <f t="shared" si="19"/>
        <v>3.1953989975426228E-2</v>
      </c>
    </row>
    <row r="126" spans="1:43" x14ac:dyDescent="0.3">
      <c r="B126" s="4">
        <v>16</v>
      </c>
      <c r="C126" s="5">
        <v>500</v>
      </c>
      <c r="D126" s="5">
        <v>3</v>
      </c>
      <c r="E126" s="4">
        <v>76</v>
      </c>
      <c r="F126" s="3">
        <v>3.2689999999999997</v>
      </c>
      <c r="G126" s="4">
        <v>25</v>
      </c>
      <c r="H126" s="4">
        <v>33</v>
      </c>
      <c r="I126" s="1">
        <v>250</v>
      </c>
      <c r="J126" s="4">
        <v>333</v>
      </c>
      <c r="K126" s="5">
        <v>600</v>
      </c>
      <c r="L126" s="3">
        <v>28250</v>
      </c>
      <c r="M126" s="5">
        <v>87.114505405349817</v>
      </c>
      <c r="N126" s="8">
        <v>2.1238938053097345E-2</v>
      </c>
      <c r="O126" s="3">
        <v>43.76</v>
      </c>
      <c r="P126" s="5">
        <v>191.93416249177125</v>
      </c>
      <c r="Q126" s="3">
        <v>0.18</v>
      </c>
      <c r="R126" s="12">
        <f t="shared" si="12"/>
        <v>9.5967081245885619E-4</v>
      </c>
      <c r="V126" s="3">
        <f t="shared" si="10"/>
        <v>0.22696519575802393</v>
      </c>
      <c r="W126" s="3">
        <f t="shared" si="13"/>
        <v>1.2609177542112442</v>
      </c>
      <c r="Y126" s="3">
        <f t="shared" si="11"/>
        <v>0.22355757775846263</v>
      </c>
      <c r="Z126" s="3">
        <f t="shared" si="14"/>
        <v>1.2419865431025703</v>
      </c>
      <c r="AB126" s="3">
        <f>$AC$2*($AC$3+$AC$4*$F126/($N126*'Dataset sem TS MC2020'!P118))*($AC$5*$G126+$AC$6*$B126/$N126)*'Dataset sem TS MC2020'!R118*($J126-$M126)/($J126-$M126-$H126)</f>
        <v>0.18776375427657785</v>
      </c>
      <c r="AC126" s="3">
        <f t="shared" si="15"/>
        <v>1.0431319682032103</v>
      </c>
      <c r="AD126" s="16">
        <f t="shared" si="16"/>
        <v>7.7637542765778556E-3</v>
      </c>
      <c r="AE126" s="17">
        <f t="shared" si="17"/>
        <v>0.95865147505976167</v>
      </c>
      <c r="AF126" s="17">
        <f>AB126*(14.068*'Dataset sem TS MC2020'!$P118^-0.457)/$Q126</f>
        <v>1.1377672128651271</v>
      </c>
      <c r="AG126" s="17"/>
      <c r="AO126" s="3">
        <f>$AP$2*($AP$3+$AP$4*$F126/($N126*'Dataset sem TS MC2020'!P118))*($AP$5*$G126+$AP$6*$B126/$N126)*('Dataset sem TS MC2020'!P118^$AP$7/200000)*($J126-$M126)/($J126-$M126-$H126)+('Dataset sem TS MC2020'!P118-$C126/$AP$8)*($AP$5*$G126+$AP$6*$B126/$N126)/200000</f>
        <v>0.20044137528883169</v>
      </c>
      <c r="AP126" s="3">
        <f t="shared" si="18"/>
        <v>1.1135631960490651</v>
      </c>
      <c r="AQ126" s="16">
        <f t="shared" si="19"/>
        <v>2.0441375288831692E-2</v>
      </c>
    </row>
    <row r="127" spans="1:43" x14ac:dyDescent="0.3">
      <c r="B127" s="4">
        <v>16</v>
      </c>
      <c r="C127" s="5">
        <v>500</v>
      </c>
      <c r="D127" s="5">
        <v>3</v>
      </c>
      <c r="E127" s="4">
        <v>76</v>
      </c>
      <c r="F127" s="3">
        <v>3.2689999999999997</v>
      </c>
      <c r="G127" s="4">
        <v>25</v>
      </c>
      <c r="H127" s="4">
        <v>33</v>
      </c>
      <c r="I127" s="1">
        <v>250</v>
      </c>
      <c r="J127" s="4">
        <v>333</v>
      </c>
      <c r="K127" s="5">
        <v>600</v>
      </c>
      <c r="L127" s="3">
        <v>28250</v>
      </c>
      <c r="M127" s="5">
        <v>87.114505405349817</v>
      </c>
      <c r="N127" s="8">
        <v>2.1238938053097345E-2</v>
      </c>
      <c r="O127" s="3">
        <v>46.68</v>
      </c>
      <c r="P127" s="5">
        <v>216.63187323252237</v>
      </c>
      <c r="Q127" s="3">
        <v>0.2</v>
      </c>
      <c r="R127" s="12">
        <f t="shared" si="12"/>
        <v>1.0831593661626119E-3</v>
      </c>
      <c r="V127" s="3">
        <f t="shared" si="10"/>
        <v>0.24456539154429413</v>
      </c>
      <c r="W127" s="3">
        <f t="shared" si="13"/>
        <v>1.2228269577214705</v>
      </c>
      <c r="Y127" s="3">
        <f t="shared" si="11"/>
        <v>0.24121449475219592</v>
      </c>
      <c r="Z127" s="3">
        <f t="shared" si="14"/>
        <v>1.2060724737609796</v>
      </c>
      <c r="AB127" s="3">
        <f>$AC$2*($AC$3+$AC$4*$F127/($N127*'Dataset sem TS MC2020'!P119))*($AC$5*$G127+$AC$6*$B127/$N127)*'Dataset sem TS MC2020'!R119*($J127-$M127)/($J127-$M127-$H127)</f>
        <v>0.2059506835730229</v>
      </c>
      <c r="AC127" s="3">
        <f t="shared" si="15"/>
        <v>1.0297534178651144</v>
      </c>
      <c r="AD127" s="16">
        <f t="shared" si="16"/>
        <v>5.9506835730228913E-3</v>
      </c>
      <c r="AE127" s="17">
        <f t="shared" si="17"/>
        <v>0.97110626937582856</v>
      </c>
      <c r="AF127" s="17">
        <f>AB127*(14.068*'Dataset sem TS MC2020'!$P119^-0.457)/$Q127</f>
        <v>1.0905031801073792</v>
      </c>
      <c r="AG127" s="17"/>
      <c r="AO127" s="3">
        <f>$AP$2*($AP$3+$AP$4*$F127/($N127*'Dataset sem TS MC2020'!P119))*($AP$5*$G127+$AP$6*$B127/$N127)*('Dataset sem TS MC2020'!P119^$AP$7/200000)*($J127-$M127)/($J127-$M127-$H127)+('Dataset sem TS MC2020'!P119-$C127/$AP$8)*($AP$5*$G127+$AP$6*$B127/$N127)/200000</f>
        <v>0.21864940119233997</v>
      </c>
      <c r="AP127" s="3">
        <f t="shared" si="18"/>
        <v>1.0932470059616999</v>
      </c>
      <c r="AQ127" s="16">
        <f t="shared" si="19"/>
        <v>1.8649401192339959E-2</v>
      </c>
    </row>
    <row r="128" spans="1:43" x14ac:dyDescent="0.3">
      <c r="B128" s="4">
        <v>16</v>
      </c>
      <c r="C128" s="5">
        <v>500</v>
      </c>
      <c r="D128" s="5">
        <v>3</v>
      </c>
      <c r="E128" s="4">
        <v>76</v>
      </c>
      <c r="F128" s="3">
        <v>3.2689999999999997</v>
      </c>
      <c r="G128" s="4">
        <v>25</v>
      </c>
      <c r="H128" s="4">
        <v>33</v>
      </c>
      <c r="I128" s="1">
        <v>250</v>
      </c>
      <c r="J128" s="4">
        <v>333</v>
      </c>
      <c r="K128" s="5">
        <v>600</v>
      </c>
      <c r="L128" s="3">
        <v>28250</v>
      </c>
      <c r="M128" s="5">
        <v>87.114505405349817</v>
      </c>
      <c r="N128" s="8">
        <v>2.1238938053097345E-2</v>
      </c>
      <c r="O128" s="3">
        <v>49.6</v>
      </c>
      <c r="P128" s="5">
        <v>241.32958397327369</v>
      </c>
      <c r="Q128" s="3">
        <v>0.2</v>
      </c>
      <c r="R128" s="12">
        <f t="shared" si="12"/>
        <v>1.2066479198663683E-3</v>
      </c>
      <c r="V128" s="3">
        <f t="shared" si="10"/>
        <v>0.26141170219763876</v>
      </c>
      <c r="W128" s="3">
        <f t="shared" si="13"/>
        <v>1.3070585109881938</v>
      </c>
      <c r="Y128" s="3">
        <f t="shared" si="11"/>
        <v>0.25813636885381563</v>
      </c>
      <c r="Z128" s="3">
        <f t="shared" si="14"/>
        <v>1.2906818442690782</v>
      </c>
      <c r="AB128" s="3">
        <f>$AC$2*($AC$3+$AC$4*$F128/($N128*'Dataset sem TS MC2020'!P120))*($AC$5*$G128+$AC$6*$B128/$N128)*'Dataset sem TS MC2020'!R120*($J128-$M128)/($J128-$M128-$H128)</f>
        <v>0.22413761286946809</v>
      </c>
      <c r="AC128" s="3">
        <f t="shared" si="15"/>
        <v>1.1206880643473405</v>
      </c>
      <c r="AD128" s="16">
        <f t="shared" si="16"/>
        <v>2.4137612869468084E-2</v>
      </c>
      <c r="AE128" s="17">
        <f t="shared" si="17"/>
        <v>0.89230895894512263</v>
      </c>
      <c r="AF128" s="17">
        <f>AB128*(14.068*'Dataset sem TS MC2020'!$P120^-0.457)/$Q128</f>
        <v>1.1543462913324816</v>
      </c>
      <c r="AG128" s="17"/>
      <c r="AO128" s="3">
        <f>$AP$2*($AP$3+$AP$4*$F128/($N128*'Dataset sem TS MC2020'!P120))*($AP$5*$G128+$AP$6*$B128/$N128)*('Dataset sem TS MC2020'!P120^$AP$7/200000)*($J128-$M128)/($J128-$M128-$H128)+('Dataset sem TS MC2020'!P120-$C128/$AP$8)*($AP$5*$G128+$AP$6*$B128/$N128)/200000</f>
        <v>0.2366036929112528</v>
      </c>
      <c r="AP128" s="3">
        <f t="shared" si="18"/>
        <v>1.183018464556264</v>
      </c>
      <c r="AQ128" s="16">
        <f t="shared" si="19"/>
        <v>3.6603692911252789E-2</v>
      </c>
    </row>
    <row r="129" spans="1:43" x14ac:dyDescent="0.3">
      <c r="A129" s="1" t="s">
        <v>31</v>
      </c>
      <c r="B129" s="4">
        <v>12</v>
      </c>
      <c r="C129" s="5">
        <v>500</v>
      </c>
      <c r="D129" s="5">
        <v>2</v>
      </c>
      <c r="E129" s="4">
        <v>296</v>
      </c>
      <c r="F129" s="3">
        <v>3.2689999999999997</v>
      </c>
      <c r="G129" s="4">
        <v>25</v>
      </c>
      <c r="H129" s="4">
        <v>31</v>
      </c>
      <c r="I129" s="1">
        <v>400</v>
      </c>
      <c r="J129" s="4">
        <v>161</v>
      </c>
      <c r="K129" s="5">
        <v>220</v>
      </c>
      <c r="L129" s="3">
        <v>9646</v>
      </c>
      <c r="M129" s="5">
        <v>28.758860606294373</v>
      </c>
      <c r="N129" s="8">
        <v>1.1724791159986788E-2</v>
      </c>
      <c r="O129" s="3">
        <v>4.67</v>
      </c>
      <c r="P129" s="5">
        <v>0</v>
      </c>
      <c r="Q129" s="3">
        <v>0.2</v>
      </c>
      <c r="R129" s="12">
        <f t="shared" si="12"/>
        <v>0</v>
      </c>
      <c r="V129" s="3">
        <f t="shared" si="10"/>
        <v>0</v>
      </c>
      <c r="W129" s="3">
        <f t="shared" si="13"/>
        <v>0</v>
      </c>
      <c r="Y129" s="3">
        <f t="shared" si="11"/>
        <v>0</v>
      </c>
      <c r="Z129" s="3">
        <f t="shared" si="14"/>
        <v>0</v>
      </c>
      <c r="AB129" s="3">
        <f>$AC$2*($AC$3+$AC$4*$F129/($N129*'Dataset sem TS MC2020'!P121))*($AC$5*$G129+$AC$6*$B129/$N129)*'Dataset sem TS MC2020'!R121*($J129-$M129)/($J129-$M129-$H129)</f>
        <v>3.6348016957570041E-2</v>
      </c>
      <c r="AC129" s="3">
        <f t="shared" si="15"/>
        <v>0.1817400847878502</v>
      </c>
      <c r="AD129" s="16">
        <f t="shared" si="16"/>
        <v>-0.16365198304242998</v>
      </c>
      <c r="AE129" s="17">
        <f t="shared" si="17"/>
        <v>5.5023634503490264</v>
      </c>
      <c r="AF129" s="17">
        <f>AB129*(14.068*'Dataset sem TS MC2020'!$P121^-0.457)/$Q129</f>
        <v>0.24052562135693334</v>
      </c>
      <c r="AG129" s="17"/>
      <c r="AO129" s="3">
        <f>$AP$2*($AP$3+$AP$4*$F129/($N129*'Dataset sem TS MC2020'!P121))*($AP$5*$G129+$AP$6*$B129/$N129)*('Dataset sem TS MC2020'!P121^$AP$7/200000)*($J129-$M129)/($J129-$M129-$H129)+('Dataset sem TS MC2020'!P121-$C129/$AP$8)*($AP$5*$G129+$AP$6*$B129/$N129)/200000</f>
        <v>3.0495567956729898E-2</v>
      </c>
      <c r="AP129" s="3">
        <f t="shared" si="18"/>
        <v>0.15247783978364948</v>
      </c>
      <c r="AQ129" s="16">
        <f t="shared" si="19"/>
        <v>-0.16950443204327012</v>
      </c>
    </row>
    <row r="130" spans="1:43" x14ac:dyDescent="0.3">
      <c r="B130" s="4">
        <v>12</v>
      </c>
      <c r="C130" s="5">
        <v>500</v>
      </c>
      <c r="D130" s="5">
        <v>2</v>
      </c>
      <c r="E130" s="4">
        <v>296</v>
      </c>
      <c r="F130" s="3">
        <v>3.2689999999999997</v>
      </c>
      <c r="G130" s="4">
        <v>25</v>
      </c>
      <c r="H130" s="4">
        <v>31</v>
      </c>
      <c r="I130" s="1">
        <v>400</v>
      </c>
      <c r="J130" s="4">
        <v>161</v>
      </c>
      <c r="K130" s="5">
        <v>220</v>
      </c>
      <c r="L130" s="3">
        <v>9646</v>
      </c>
      <c r="M130" s="5">
        <v>28.758860606294373</v>
      </c>
      <c r="N130" s="8">
        <v>1.1724791159986788E-2</v>
      </c>
      <c r="O130" s="3">
        <v>6.42</v>
      </c>
      <c r="P130" s="5">
        <v>93.874962481384216</v>
      </c>
      <c r="Q130" s="3">
        <v>0.25</v>
      </c>
      <c r="R130" s="12">
        <f t="shared" si="12"/>
        <v>4.6937481240692108E-4</v>
      </c>
      <c r="V130" s="3">
        <f t="shared" si="10"/>
        <v>0.15416526530007313</v>
      </c>
      <c r="W130" s="3">
        <f t="shared" si="13"/>
        <v>0.61666106120029252</v>
      </c>
      <c r="Y130" s="3">
        <f t="shared" si="11"/>
        <v>0.15307091552800897</v>
      </c>
      <c r="Z130" s="3">
        <f t="shared" si="14"/>
        <v>0.61228366211203589</v>
      </c>
      <c r="AB130" s="3">
        <f>$AC$2*($AC$3+$AC$4*$F130/($N130*'Dataset sem TS MC2020'!P122))*($AC$5*$G130+$AC$6*$B130/$N130)*'Dataset sem TS MC2020'!R122*($J130-$M130)/($J130-$M130-$H130)</f>
        <v>0.13395010992863016</v>
      </c>
      <c r="AC130" s="3">
        <f t="shared" si="15"/>
        <v>0.53580043971452063</v>
      </c>
      <c r="AD130" s="16">
        <f t="shared" si="16"/>
        <v>-0.11604989007136984</v>
      </c>
      <c r="AE130" s="17">
        <f t="shared" si="17"/>
        <v>1.8663665161096343</v>
      </c>
      <c r="AF130" s="17">
        <f>AB130*(14.068*'Dataset sem TS MC2020'!$P122^-0.457)/$Q130</f>
        <v>0.61312354089136012</v>
      </c>
      <c r="AG130" s="17"/>
      <c r="AO130" s="3">
        <f>$AP$2*($AP$3+$AP$4*$F130/($N130*'Dataset sem TS MC2020'!P122))*($AP$5*$G130+$AP$6*$B130/$N130)*('Dataset sem TS MC2020'!P122^$AP$7/200000)*($J130-$M130)/($J130-$M130-$H130)+('Dataset sem TS MC2020'!P122-$C130/$AP$8)*($AP$5*$G130+$AP$6*$B130/$N130)/200000</f>
        <v>0.14192346588992016</v>
      </c>
      <c r="AP130" s="3">
        <f t="shared" si="18"/>
        <v>0.56769386355968066</v>
      </c>
      <c r="AQ130" s="16">
        <f t="shared" si="19"/>
        <v>-0.10807653411007984</v>
      </c>
    </row>
    <row r="131" spans="1:43" x14ac:dyDescent="0.3">
      <c r="B131" s="4">
        <v>12</v>
      </c>
      <c r="C131" s="5">
        <v>500</v>
      </c>
      <c r="D131" s="5">
        <v>2</v>
      </c>
      <c r="E131" s="4">
        <v>296</v>
      </c>
      <c r="F131" s="3">
        <v>3.2689999999999997</v>
      </c>
      <c r="G131" s="4">
        <v>25</v>
      </c>
      <c r="H131" s="4">
        <v>31</v>
      </c>
      <c r="I131" s="1">
        <v>400</v>
      </c>
      <c r="J131" s="4">
        <v>161</v>
      </c>
      <c r="K131" s="5">
        <v>220</v>
      </c>
      <c r="L131" s="3">
        <v>9646</v>
      </c>
      <c r="M131" s="5">
        <v>28.758860606294373</v>
      </c>
      <c r="N131" s="8">
        <v>1.1724791159986788E-2</v>
      </c>
      <c r="O131" s="3">
        <v>8.17</v>
      </c>
      <c r="P131" s="5">
        <v>202.08156648324484</v>
      </c>
      <c r="Q131" s="3">
        <v>0.33</v>
      </c>
      <c r="R131" s="12">
        <f t="shared" si="12"/>
        <v>1.0104078324162241E-3</v>
      </c>
      <c r="V131" s="3">
        <f t="shared" si="10"/>
        <v>0.24741914188280367</v>
      </c>
      <c r="W131" s="3">
        <f t="shared" si="13"/>
        <v>0.7497549754024353</v>
      </c>
      <c r="Y131" s="3">
        <f t="shared" si="11"/>
        <v>0.24774345367716769</v>
      </c>
      <c r="Z131" s="3">
        <f t="shared" si="14"/>
        <v>0.75073773841565961</v>
      </c>
      <c r="AB131" s="3">
        <f>$AC$2*($AC$3+$AC$4*$F131/($N131*'Dataset sem TS MC2020'!P123))*($AC$5*$G131+$AC$6*$B131/$N131)*'Dataset sem TS MC2020'!R123*($J131-$M131)/($J131-$M131-$H131)</f>
        <v>0.23155220289969042</v>
      </c>
      <c r="AC131" s="3">
        <f t="shared" si="15"/>
        <v>0.70167334212027399</v>
      </c>
      <c r="AD131" s="16">
        <f t="shared" si="16"/>
        <v>-9.8447797100309598E-2</v>
      </c>
      <c r="AE131" s="17">
        <f t="shared" si="17"/>
        <v>1.4251645886649484</v>
      </c>
      <c r="AF131" s="17">
        <f>AB131*(14.068*'Dataset sem TS MC2020'!$P123^-0.457)/$Q131</f>
        <v>0.71918054528409303</v>
      </c>
      <c r="AG131" s="17"/>
      <c r="AO131" s="3">
        <f>$AP$2*($AP$3+$AP$4*$F131/($N131*'Dataset sem TS MC2020'!P123))*($AP$5*$G131+$AP$6*$B131/$N131)*('Dataset sem TS MC2020'!P123^$AP$7/200000)*($J131-$M131)/($J131-$M131-$H131)+('Dataset sem TS MC2020'!P123-$C131/$AP$8)*($AP$5*$G131+$AP$6*$B131/$N131)/200000</f>
        <v>0.24481646965320855</v>
      </c>
      <c r="AP131" s="3">
        <f t="shared" si="18"/>
        <v>0.74186808985820774</v>
      </c>
      <c r="AQ131" s="16">
        <f t="shared" si="19"/>
        <v>-8.5183530346791464E-2</v>
      </c>
    </row>
    <row r="132" spans="1:43" x14ac:dyDescent="0.3">
      <c r="A132" s="1" t="s">
        <v>32</v>
      </c>
      <c r="B132" s="4">
        <v>12</v>
      </c>
      <c r="C132" s="5">
        <v>500</v>
      </c>
      <c r="D132" s="5">
        <v>2</v>
      </c>
      <c r="E132" s="4">
        <v>296</v>
      </c>
      <c r="F132" s="3">
        <v>3.2689999999999997</v>
      </c>
      <c r="G132" s="4">
        <v>25</v>
      </c>
      <c r="H132" s="4">
        <v>31</v>
      </c>
      <c r="I132" s="1">
        <v>400</v>
      </c>
      <c r="J132" s="4">
        <v>161</v>
      </c>
      <c r="K132" s="5">
        <v>220</v>
      </c>
      <c r="L132" s="3">
        <v>9646</v>
      </c>
      <c r="M132" s="5">
        <v>28.758860606294373</v>
      </c>
      <c r="N132" s="8">
        <v>1.1724791159986788E-2</v>
      </c>
      <c r="O132" s="3">
        <v>6.42</v>
      </c>
      <c r="P132" s="5">
        <v>93.874962481384216</v>
      </c>
      <c r="Q132" s="3">
        <v>0.23</v>
      </c>
      <c r="R132" s="12">
        <f t="shared" si="12"/>
        <v>4.6937481240692108E-4</v>
      </c>
      <c r="V132" s="3">
        <f t="shared" si="10"/>
        <v>0.15416526530007313</v>
      </c>
      <c r="W132" s="3">
        <f t="shared" si="13"/>
        <v>0.67028376217423091</v>
      </c>
      <c r="Y132" s="3">
        <f t="shared" si="11"/>
        <v>0.15307091552800897</v>
      </c>
      <c r="Z132" s="3">
        <f t="shared" si="14"/>
        <v>0.66552571968699548</v>
      </c>
      <c r="AB132" s="3">
        <f>$AC$2*($AC$3+$AC$4*$F132/($N132*'Dataset sem TS MC2020'!P124))*($AC$5*$G132+$AC$6*$B132/$N132)*'Dataset sem TS MC2020'!R124*($J132-$M132)/($J132-$M132-$H132)</f>
        <v>0.13395010992863016</v>
      </c>
      <c r="AC132" s="3">
        <f t="shared" si="15"/>
        <v>0.58239178229839195</v>
      </c>
      <c r="AD132" s="16">
        <f t="shared" si="16"/>
        <v>-9.6049890071369853E-2</v>
      </c>
      <c r="AE132" s="17">
        <f t="shared" si="17"/>
        <v>1.7170571948208637</v>
      </c>
      <c r="AF132" s="17">
        <f>AB132*(14.068*'Dataset sem TS MC2020'!$P124^-0.457)/$Q132</f>
        <v>0.66643863140365223</v>
      </c>
      <c r="AG132" s="17"/>
      <c r="AO132" s="3">
        <f>$AP$2*($AP$3+$AP$4*$F132/($N132*'Dataset sem TS MC2020'!P124))*($AP$5*$G132+$AP$6*$B132/$N132)*('Dataset sem TS MC2020'!P124^$AP$7/200000)*($J132-$M132)/($J132-$M132-$H132)+('Dataset sem TS MC2020'!P124-$C132/$AP$8)*($AP$5*$G132+$AP$6*$B132/$N132)/200000</f>
        <v>0.14192346588992016</v>
      </c>
      <c r="AP132" s="3">
        <f t="shared" si="18"/>
        <v>0.61705854734747889</v>
      </c>
      <c r="AQ132" s="16">
        <f t="shared" si="19"/>
        <v>-8.8076534110079846E-2</v>
      </c>
    </row>
    <row r="133" spans="1:43" x14ac:dyDescent="0.3">
      <c r="B133" s="4">
        <v>12</v>
      </c>
      <c r="C133" s="5">
        <v>500</v>
      </c>
      <c r="D133" s="5">
        <v>2</v>
      </c>
      <c r="E133" s="4">
        <v>296</v>
      </c>
      <c r="F133" s="3">
        <v>3.2689999999999997</v>
      </c>
      <c r="G133" s="4">
        <v>25</v>
      </c>
      <c r="H133" s="4">
        <v>31</v>
      </c>
      <c r="I133" s="1">
        <v>400</v>
      </c>
      <c r="J133" s="4">
        <v>161</v>
      </c>
      <c r="K133" s="5">
        <v>220</v>
      </c>
      <c r="L133" s="3">
        <v>9646</v>
      </c>
      <c r="M133" s="5">
        <v>28.758860606294373</v>
      </c>
      <c r="N133" s="8">
        <v>1.1724791159986788E-2</v>
      </c>
      <c r="O133" s="3">
        <v>8.17</v>
      </c>
      <c r="P133" s="5">
        <v>202.08156648324484</v>
      </c>
      <c r="Q133" s="3">
        <v>0.28000000000000003</v>
      </c>
      <c r="R133" s="12">
        <f t="shared" si="12"/>
        <v>1.0104078324162241E-3</v>
      </c>
      <c r="V133" s="3">
        <f t="shared" si="10"/>
        <v>0.24741914188280367</v>
      </c>
      <c r="W133" s="3">
        <f t="shared" si="13"/>
        <v>0.88363979243858448</v>
      </c>
      <c r="Y133" s="3">
        <f t="shared" si="11"/>
        <v>0.24774345367716769</v>
      </c>
      <c r="Z133" s="3">
        <f t="shared" si="14"/>
        <v>0.8847980488470274</v>
      </c>
      <c r="AB133" s="3">
        <f>$AC$2*($AC$3+$AC$4*$F133/($N133*'Dataset sem TS MC2020'!P125))*($AC$5*$G133+$AC$6*$B133/$N133)*'Dataset sem TS MC2020'!R125*($J133-$M133)/($J133-$M133-$H133)</f>
        <v>0.23155220289969042</v>
      </c>
      <c r="AC133" s="3">
        <f t="shared" si="15"/>
        <v>0.82697215321317996</v>
      </c>
      <c r="AD133" s="16">
        <f t="shared" si="16"/>
        <v>-4.8447797100309609E-2</v>
      </c>
      <c r="AE133" s="17">
        <f t="shared" si="17"/>
        <v>1.2092305600793505</v>
      </c>
      <c r="AF133" s="17">
        <f>AB133*(14.068*'Dataset sem TS MC2020'!$P125^-0.457)/$Q133</f>
        <v>0.84760564265625238</v>
      </c>
      <c r="AG133" s="17"/>
      <c r="AO133" s="3">
        <f>$AP$2*($AP$3+$AP$4*$F133/($N133*'Dataset sem TS MC2020'!P125))*($AP$5*$G133+$AP$6*$B133/$N133)*('Dataset sem TS MC2020'!P125^$AP$7/200000)*($J133-$M133)/($J133-$M133-$H133)+('Dataset sem TS MC2020'!P125-$C133/$AP$8)*($AP$5*$G133+$AP$6*$B133/$N133)/200000</f>
        <v>0.24481646965320855</v>
      </c>
      <c r="AP133" s="3">
        <f t="shared" si="18"/>
        <v>0.87434453447574478</v>
      </c>
      <c r="AQ133" s="16">
        <f t="shared" si="19"/>
        <v>-3.5183530346791475E-2</v>
      </c>
    </row>
    <row r="134" spans="1:43" x14ac:dyDescent="0.3">
      <c r="A134" s="1" t="s">
        <v>33</v>
      </c>
      <c r="B134" s="4">
        <v>12</v>
      </c>
      <c r="C134" s="5">
        <v>500</v>
      </c>
      <c r="D134" s="5">
        <v>3</v>
      </c>
      <c r="E134" s="4">
        <v>142</v>
      </c>
      <c r="F134" s="3">
        <v>3.2689999999999997</v>
      </c>
      <c r="G134" s="4">
        <v>25</v>
      </c>
      <c r="H134" s="4">
        <v>31</v>
      </c>
      <c r="I134" s="1">
        <v>400</v>
      </c>
      <c r="J134" s="4">
        <v>161</v>
      </c>
      <c r="K134" s="5">
        <v>330</v>
      </c>
      <c r="L134" s="3">
        <v>9646</v>
      </c>
      <c r="M134" s="5">
        <v>34.253185076505957</v>
      </c>
      <c r="N134" s="8">
        <v>1.1724791159986788E-2</v>
      </c>
      <c r="O134" s="3">
        <v>8.17</v>
      </c>
      <c r="P134" s="5">
        <v>38.892874431568629</v>
      </c>
      <c r="Q134" s="3">
        <v>0.18</v>
      </c>
      <c r="R134" s="12">
        <f t="shared" si="12"/>
        <v>1.9446437215784313E-4</v>
      </c>
      <c r="V134" s="3">
        <f t="shared" si="10"/>
        <v>8.9510325855280445E-2</v>
      </c>
      <c r="W134" s="3">
        <f t="shared" si="13"/>
        <v>0.49727958808489137</v>
      </c>
      <c r="Y134" s="3">
        <f t="shared" si="11"/>
        <v>8.8017657523047396E-2</v>
      </c>
      <c r="Z134" s="3">
        <f t="shared" si="14"/>
        <v>0.48898698623915221</v>
      </c>
      <c r="AB134" s="3">
        <f>$AC$2*($AC$3+$AC$4*$F134/($N134*'Dataset sem TS MC2020'!P126))*($AC$5*$G134+$AC$6*$B134/$N134)*'Dataset sem TS MC2020'!R126*($J134-$M134)/($J134-$M134-$H134)</f>
        <v>8.5491158219896723E-2</v>
      </c>
      <c r="AC134" s="3">
        <f t="shared" si="15"/>
        <v>0.47495087899942628</v>
      </c>
      <c r="AD134" s="16">
        <f t="shared" si="16"/>
        <v>-9.450884178010327E-2</v>
      </c>
      <c r="AE134" s="17">
        <f t="shared" si="17"/>
        <v>2.1054808912169798</v>
      </c>
      <c r="AF134" s="17">
        <f>AB134*(14.068*'Dataset sem TS MC2020'!$P126^-0.457)/$Q134</f>
        <v>0.58181307791948222</v>
      </c>
      <c r="AG134" s="17"/>
      <c r="AO134" s="3">
        <f>$AP$2*($AP$3+$AP$4*$F134/($N134*'Dataset sem TS MC2020'!P126))*($AP$5*$G134+$AP$6*$B134/$N134)*('Dataset sem TS MC2020'!P126^$AP$7/200000)*($J134-$M134)/($J134-$M134-$H134)+('Dataset sem TS MC2020'!P126-$C134/$AP$8)*($AP$5*$G134+$AP$6*$B134/$N134)/200000</f>
        <v>8.786066255648968E-2</v>
      </c>
      <c r="AP134" s="3">
        <f t="shared" si="18"/>
        <v>0.48811479198049823</v>
      </c>
      <c r="AQ134" s="16">
        <f t="shared" si="19"/>
        <v>-9.2139337443510314E-2</v>
      </c>
    </row>
    <row r="135" spans="1:43" x14ac:dyDescent="0.3">
      <c r="B135" s="4">
        <v>12</v>
      </c>
      <c r="C135" s="5">
        <v>500</v>
      </c>
      <c r="D135" s="5">
        <v>3</v>
      </c>
      <c r="E135" s="4">
        <v>142</v>
      </c>
      <c r="F135" s="3">
        <v>3.2689999999999997</v>
      </c>
      <c r="G135" s="4">
        <v>25</v>
      </c>
      <c r="H135" s="4">
        <v>31</v>
      </c>
      <c r="I135" s="1">
        <v>400</v>
      </c>
      <c r="J135" s="4">
        <v>161</v>
      </c>
      <c r="K135" s="5">
        <v>330</v>
      </c>
      <c r="L135" s="3">
        <v>9646</v>
      </c>
      <c r="M135" s="5">
        <v>34.253185076505957</v>
      </c>
      <c r="N135" s="8">
        <v>1.1724791159986788E-2</v>
      </c>
      <c r="O135" s="3">
        <v>9.92</v>
      </c>
      <c r="P135" s="5">
        <v>112.14474023386578</v>
      </c>
      <c r="Q135" s="3">
        <v>0.23</v>
      </c>
      <c r="R135" s="12">
        <f t="shared" si="12"/>
        <v>5.6072370116932893E-4</v>
      </c>
      <c r="V135" s="3">
        <f t="shared" si="10"/>
        <v>0.17204296143091055</v>
      </c>
      <c r="W135" s="3">
        <f t="shared" si="13"/>
        <v>0.74801287578656761</v>
      </c>
      <c r="Y135" s="3">
        <f t="shared" si="11"/>
        <v>0.17115617613708456</v>
      </c>
      <c r="Z135" s="3">
        <f t="shared" si="14"/>
        <v>0.74415728755254151</v>
      </c>
      <c r="AB135" s="3">
        <f>$AC$2*($AC$3+$AC$4*$F135/($N135*'Dataset sem TS MC2020'!P127))*($AC$5*$G135+$AC$6*$B135/$N135)*'Dataset sem TS MC2020'!R127*($J135-$M135)/($J135-$M135-$H135)</f>
        <v>0.15245297297663693</v>
      </c>
      <c r="AC135" s="3">
        <f t="shared" si="15"/>
        <v>0.66283901294189962</v>
      </c>
      <c r="AD135" s="16">
        <f t="shared" si="16"/>
        <v>-7.754702702336308E-2</v>
      </c>
      <c r="AE135" s="17">
        <f t="shared" si="17"/>
        <v>1.5086619533175454</v>
      </c>
      <c r="AF135" s="17">
        <f>AB135*(14.068*'Dataset sem TS MC2020'!$P127^-0.457)/$Q135</f>
        <v>0.74305761769371326</v>
      </c>
      <c r="AG135" s="17"/>
      <c r="AO135" s="3">
        <f>$AP$2*($AP$3+$AP$4*$F135/($N135*'Dataset sem TS MC2020'!P127))*($AP$5*$G135+$AP$6*$B135/$N135)*('Dataset sem TS MC2020'!P127^$AP$7/200000)*($J135-$M135)/($J135-$M135-$H135)+('Dataset sem TS MC2020'!P127-$C135/$AP$8)*($AP$5*$G135+$AP$6*$B135/$N135)/200000</f>
        <v>0.16193665736015014</v>
      </c>
      <c r="AP135" s="3">
        <f t="shared" si="18"/>
        <v>0.70407242330500064</v>
      </c>
      <c r="AQ135" s="16">
        <f t="shared" si="19"/>
        <v>-6.8063342639849866E-2</v>
      </c>
    </row>
    <row r="136" spans="1:43" x14ac:dyDescent="0.3">
      <c r="B136" s="4">
        <v>12</v>
      </c>
      <c r="C136" s="5">
        <v>500</v>
      </c>
      <c r="D136" s="5">
        <v>3</v>
      </c>
      <c r="E136" s="4">
        <v>142</v>
      </c>
      <c r="F136" s="3">
        <v>3.2689999999999997</v>
      </c>
      <c r="G136" s="4">
        <v>25</v>
      </c>
      <c r="H136" s="4">
        <v>31</v>
      </c>
      <c r="I136" s="1">
        <v>400</v>
      </c>
      <c r="J136" s="4">
        <v>161</v>
      </c>
      <c r="K136" s="5">
        <v>330</v>
      </c>
      <c r="L136" s="3">
        <v>9646</v>
      </c>
      <c r="M136" s="5">
        <v>34.253185076505957</v>
      </c>
      <c r="N136" s="8">
        <v>1.1724791159986788E-2</v>
      </c>
      <c r="O136" s="3">
        <v>11.67</v>
      </c>
      <c r="P136" s="5">
        <v>185.39660603616272</v>
      </c>
      <c r="Q136" s="3">
        <v>0.25</v>
      </c>
      <c r="R136" s="12">
        <f t="shared" si="12"/>
        <v>9.2698303018081362E-4</v>
      </c>
      <c r="V136" s="3">
        <f t="shared" si="10"/>
        <v>0.2346076236203086</v>
      </c>
      <c r="W136" s="3">
        <f t="shared" si="13"/>
        <v>0.93843049448123439</v>
      </c>
      <c r="Y136" s="3">
        <f t="shared" si="11"/>
        <v>0.23469256833739294</v>
      </c>
      <c r="Z136" s="3">
        <f t="shared" si="14"/>
        <v>0.93877027334957175</v>
      </c>
      <c r="AB136" s="3">
        <f>$AC$2*($AC$3+$AC$4*$F136/($N136*'Dataset sem TS MC2020'!P128))*($AC$5*$G136+$AC$6*$B136/$N136)*'Dataset sem TS MC2020'!R128*($J136-$M136)/($J136-$M136-$H136)</f>
        <v>0.21941478773337694</v>
      </c>
      <c r="AC136" s="3">
        <f t="shared" si="15"/>
        <v>0.87765915093350777</v>
      </c>
      <c r="AD136" s="16">
        <f t="shared" si="16"/>
        <v>-3.0585212266623057E-2</v>
      </c>
      <c r="AE136" s="17">
        <f t="shared" si="17"/>
        <v>1.1393944892346493</v>
      </c>
      <c r="AF136" s="17">
        <f>AB136*(14.068*'Dataset sem TS MC2020'!$P128^-0.457)/$Q136</f>
        <v>0.91347100614237398</v>
      </c>
      <c r="AG136" s="17"/>
      <c r="AO136" s="3">
        <f>$AP$2*($AP$3+$AP$4*$F136/($N136*'Dataset sem TS MC2020'!P128))*($AP$5*$G136+$AP$6*$B136/$N136)*('Dataset sem TS MC2020'!P128^$AP$7/200000)*($J136-$M136)/($J136-$M136-$H136)+('Dataset sem TS MC2020'!P128-$C136/$AP$8)*($AP$5*$G136+$AP$6*$B136/$N136)/200000</f>
        <v>0.23239747354718773</v>
      </c>
      <c r="AP136" s="3">
        <f t="shared" si="18"/>
        <v>0.92958989418875093</v>
      </c>
      <c r="AQ136" s="16">
        <f t="shared" si="19"/>
        <v>-1.7602526452812267E-2</v>
      </c>
    </row>
    <row r="137" spans="1:43" x14ac:dyDescent="0.3">
      <c r="A137" s="1" t="s">
        <v>34</v>
      </c>
      <c r="B137" s="4">
        <v>12</v>
      </c>
      <c r="C137" s="5">
        <v>500</v>
      </c>
      <c r="D137" s="5">
        <v>3</v>
      </c>
      <c r="E137" s="4">
        <v>142</v>
      </c>
      <c r="F137" s="3">
        <v>3.2689999999999997</v>
      </c>
      <c r="G137" s="4">
        <v>25</v>
      </c>
      <c r="H137" s="4">
        <v>31</v>
      </c>
      <c r="I137" s="1">
        <v>400</v>
      </c>
      <c r="J137" s="4">
        <v>161</v>
      </c>
      <c r="K137" s="5">
        <v>330</v>
      </c>
      <c r="L137" s="3">
        <v>9646</v>
      </c>
      <c r="M137" s="5">
        <v>34.253185076505957</v>
      </c>
      <c r="N137" s="8">
        <v>1.1724791159986788E-2</v>
      </c>
      <c r="O137" s="3">
        <v>8.17</v>
      </c>
      <c r="P137" s="5">
        <v>38.892874431568629</v>
      </c>
      <c r="Q137" s="3">
        <v>0.18</v>
      </c>
      <c r="R137" s="12">
        <f t="shared" si="12"/>
        <v>1.9446437215784313E-4</v>
      </c>
      <c r="V137" s="3">
        <f t="shared" si="10"/>
        <v>8.9510325855280445E-2</v>
      </c>
      <c r="W137" s="3">
        <f t="shared" si="13"/>
        <v>0.49727958808489137</v>
      </c>
      <c r="Y137" s="3">
        <f t="shared" si="11"/>
        <v>8.8017657523047396E-2</v>
      </c>
      <c r="Z137" s="3">
        <f t="shared" si="14"/>
        <v>0.48898698623915221</v>
      </c>
      <c r="AB137" s="3">
        <f>$AC$2*($AC$3+$AC$4*$F137/($N137*'Dataset sem TS MC2020'!P129))*($AC$5*$G137+$AC$6*$B137/$N137)*'Dataset sem TS MC2020'!R129*($J137-$M137)/($J137-$M137-$H137)</f>
        <v>8.5491158219896723E-2</v>
      </c>
      <c r="AC137" s="3">
        <f t="shared" si="15"/>
        <v>0.47495087899942628</v>
      </c>
      <c r="AD137" s="16">
        <f t="shared" si="16"/>
        <v>-9.450884178010327E-2</v>
      </c>
      <c r="AE137" s="17">
        <f t="shared" si="17"/>
        <v>2.1054808912169798</v>
      </c>
      <c r="AF137" s="17">
        <f>AB137*(14.068*'Dataset sem TS MC2020'!$P129^-0.457)/$Q137</f>
        <v>0.58181307791948222</v>
      </c>
      <c r="AG137" s="17"/>
      <c r="AO137" s="3">
        <f>$AP$2*($AP$3+$AP$4*$F137/($N137*'Dataset sem TS MC2020'!P129))*($AP$5*$G137+$AP$6*$B137/$N137)*('Dataset sem TS MC2020'!P129^$AP$7/200000)*($J137-$M137)/($J137-$M137-$H137)+('Dataset sem TS MC2020'!P129-$C137/$AP$8)*($AP$5*$G137+$AP$6*$B137/$N137)/200000</f>
        <v>8.786066255648968E-2</v>
      </c>
      <c r="AP137" s="3">
        <f t="shared" si="18"/>
        <v>0.48811479198049823</v>
      </c>
      <c r="AQ137" s="16">
        <f t="shared" si="19"/>
        <v>-9.2139337443510314E-2</v>
      </c>
    </row>
    <row r="138" spans="1:43" x14ac:dyDescent="0.3">
      <c r="B138" s="4">
        <v>12</v>
      </c>
      <c r="C138" s="5">
        <v>500</v>
      </c>
      <c r="D138" s="5">
        <v>3</v>
      </c>
      <c r="E138" s="4">
        <v>142</v>
      </c>
      <c r="F138" s="3">
        <v>3.2689999999999997</v>
      </c>
      <c r="G138" s="4">
        <v>25</v>
      </c>
      <c r="H138" s="4">
        <v>31</v>
      </c>
      <c r="I138" s="1">
        <v>400</v>
      </c>
      <c r="J138" s="4">
        <v>161</v>
      </c>
      <c r="K138" s="5">
        <v>330</v>
      </c>
      <c r="L138" s="3">
        <v>9646</v>
      </c>
      <c r="M138" s="5">
        <v>34.253185076505957</v>
      </c>
      <c r="N138" s="8">
        <v>1.1724791159986788E-2</v>
      </c>
      <c r="O138" s="3">
        <v>9.92</v>
      </c>
      <c r="P138" s="5">
        <v>112.14474023386578</v>
      </c>
      <c r="Q138" s="3">
        <v>0.23</v>
      </c>
      <c r="R138" s="12">
        <f t="shared" si="12"/>
        <v>5.6072370116932893E-4</v>
      </c>
      <c r="V138" s="3">
        <f t="shared" si="10"/>
        <v>0.17204296143091055</v>
      </c>
      <c r="W138" s="3">
        <f t="shared" si="13"/>
        <v>0.74801287578656761</v>
      </c>
      <c r="Y138" s="3">
        <f t="shared" si="11"/>
        <v>0.17115617613708456</v>
      </c>
      <c r="Z138" s="3">
        <f t="shared" si="14"/>
        <v>0.74415728755254151</v>
      </c>
      <c r="AB138" s="3">
        <f>$AC$2*($AC$3+$AC$4*$F138/($N138*'Dataset sem TS MC2020'!P130))*($AC$5*$G138+$AC$6*$B138/$N138)*'Dataset sem TS MC2020'!R130*($J138-$M138)/($J138-$M138-$H138)</f>
        <v>0.15245297297663693</v>
      </c>
      <c r="AC138" s="3">
        <f t="shared" si="15"/>
        <v>0.66283901294189962</v>
      </c>
      <c r="AD138" s="16">
        <f t="shared" si="16"/>
        <v>-7.754702702336308E-2</v>
      </c>
      <c r="AE138" s="17">
        <f t="shared" si="17"/>
        <v>1.5086619533175454</v>
      </c>
      <c r="AF138" s="17">
        <f>AB138*(14.068*'Dataset sem TS MC2020'!$P130^-0.457)/$Q138</f>
        <v>0.74305761769371326</v>
      </c>
      <c r="AG138" s="17"/>
      <c r="AO138" s="3">
        <f>$AP$2*($AP$3+$AP$4*$F138/($N138*'Dataset sem TS MC2020'!P130))*($AP$5*$G138+$AP$6*$B138/$N138)*('Dataset sem TS MC2020'!P130^$AP$7/200000)*($J138-$M138)/($J138-$M138-$H138)+('Dataset sem TS MC2020'!P130-$C138/$AP$8)*($AP$5*$G138+$AP$6*$B138/$N138)/200000</f>
        <v>0.16193665736015014</v>
      </c>
      <c r="AP138" s="3">
        <f t="shared" si="18"/>
        <v>0.70407242330500064</v>
      </c>
      <c r="AQ138" s="16">
        <f t="shared" si="19"/>
        <v>-6.8063342639849866E-2</v>
      </c>
    </row>
    <row r="139" spans="1:43" x14ac:dyDescent="0.3">
      <c r="B139" s="4">
        <v>12</v>
      </c>
      <c r="C139" s="5">
        <v>500</v>
      </c>
      <c r="D139" s="5">
        <v>3</v>
      </c>
      <c r="E139" s="4">
        <v>142</v>
      </c>
      <c r="F139" s="3">
        <v>3.2689999999999997</v>
      </c>
      <c r="G139" s="4">
        <v>25</v>
      </c>
      <c r="H139" s="4">
        <v>31</v>
      </c>
      <c r="I139" s="1">
        <v>400</v>
      </c>
      <c r="J139" s="4">
        <v>161</v>
      </c>
      <c r="K139" s="5">
        <v>330</v>
      </c>
      <c r="L139" s="3">
        <v>9646</v>
      </c>
      <c r="M139" s="5">
        <v>34.253185076505957</v>
      </c>
      <c r="N139" s="8">
        <v>1.1724791159986788E-2</v>
      </c>
      <c r="O139" s="3">
        <v>11.67</v>
      </c>
      <c r="P139" s="5">
        <v>185.39660603616272</v>
      </c>
      <c r="Q139" s="3">
        <v>0.25</v>
      </c>
      <c r="R139" s="12">
        <f t="shared" si="12"/>
        <v>9.2698303018081362E-4</v>
      </c>
      <c r="V139" s="3">
        <f t="shared" ref="V139:V202" si="20">$W$2*($W$3*$G139+$W$4*$B139^$W$5*$N139^$W$6)*$R139^$W$7</f>
        <v>0.2346076236203086</v>
      </c>
      <c r="W139" s="3">
        <f t="shared" si="13"/>
        <v>0.93843049448123439</v>
      </c>
      <c r="Y139" s="3">
        <f t="shared" ref="Y139:Y202" si="21">$Z$2*$B139^$Z$3*$R139^$Z$4*($Z$5*$N139^$Z$6+$Z$7)</f>
        <v>0.23469256833739294</v>
      </c>
      <c r="Z139" s="3">
        <f t="shared" si="14"/>
        <v>0.93877027334957175</v>
      </c>
      <c r="AB139" s="3">
        <f>$AC$2*($AC$3+$AC$4*$F139/($N139*'Dataset sem TS MC2020'!P131))*($AC$5*$G139+$AC$6*$B139/$N139)*'Dataset sem TS MC2020'!R131*($J139-$M139)/($J139-$M139-$H139)</f>
        <v>0.21941478773337694</v>
      </c>
      <c r="AC139" s="3">
        <f t="shared" si="15"/>
        <v>0.87765915093350777</v>
      </c>
      <c r="AD139" s="16">
        <f t="shared" si="16"/>
        <v>-3.0585212266623057E-2</v>
      </c>
      <c r="AE139" s="17">
        <f t="shared" si="17"/>
        <v>1.1393944892346493</v>
      </c>
      <c r="AF139" s="17">
        <f>AB139*(14.068*'Dataset sem TS MC2020'!$P131^-0.457)/$Q139</f>
        <v>0.91347100614237398</v>
      </c>
      <c r="AG139" s="17"/>
      <c r="AO139" s="3">
        <f>$AP$2*($AP$3+$AP$4*$F139/($N139*'Dataset sem TS MC2020'!P131))*($AP$5*$G139+$AP$6*$B139/$N139)*('Dataset sem TS MC2020'!P131^$AP$7/200000)*($J139-$M139)/($J139-$M139-$H139)+('Dataset sem TS MC2020'!P131-$C139/$AP$8)*($AP$5*$G139+$AP$6*$B139/$N139)/200000</f>
        <v>0.23239747354718773</v>
      </c>
      <c r="AP139" s="3">
        <f t="shared" si="18"/>
        <v>0.92958989418875093</v>
      </c>
      <c r="AQ139" s="16">
        <f t="shared" si="19"/>
        <v>-1.7602526452812267E-2</v>
      </c>
    </row>
    <row r="140" spans="1:43" x14ac:dyDescent="0.3">
      <c r="A140" s="1" t="s">
        <v>35</v>
      </c>
      <c r="B140" s="4">
        <v>12</v>
      </c>
      <c r="C140" s="5">
        <v>500</v>
      </c>
      <c r="D140" s="5">
        <v>4</v>
      </c>
      <c r="E140" s="4">
        <v>90.67</v>
      </c>
      <c r="F140" s="3">
        <v>3.2689999999999997</v>
      </c>
      <c r="G140" s="4">
        <v>25</v>
      </c>
      <c r="H140" s="4">
        <v>31</v>
      </c>
      <c r="I140" s="1">
        <v>400</v>
      </c>
      <c r="J140" s="4">
        <v>161</v>
      </c>
      <c r="K140" s="5">
        <v>440</v>
      </c>
      <c r="L140" s="3">
        <v>36400</v>
      </c>
      <c r="M140" s="5">
        <v>38.636261189159299</v>
      </c>
      <c r="N140" s="8">
        <v>1.2087912087912088E-2</v>
      </c>
      <c r="O140" s="3">
        <v>11.67</v>
      </c>
      <c r="P140" s="5">
        <v>72.228463882630962</v>
      </c>
      <c r="Q140" s="3">
        <v>0.15</v>
      </c>
      <c r="R140" s="12">
        <f t="shared" ref="R140:R203" si="22">P140/200000</f>
        <v>3.6114231941315479E-4</v>
      </c>
      <c r="V140" s="3">
        <f t="shared" si="20"/>
        <v>0.1294839092125849</v>
      </c>
      <c r="W140" s="3">
        <f t="shared" ref="W140:W203" si="23">V140/$Q140</f>
        <v>0.86322606141723268</v>
      </c>
      <c r="Y140" s="3">
        <f t="shared" si="21"/>
        <v>0.12795210309949079</v>
      </c>
      <c r="Z140" s="3">
        <f t="shared" ref="Z140:Z203" si="24">Y140/$Q140</f>
        <v>0.85301402066327192</v>
      </c>
      <c r="AB140" s="3">
        <f>$AC$2*($AC$3+$AC$4*$F140/($N140*'Dataset sem TS MC2020'!P132))*($AC$5*$G140+$AC$6*$B140/$N140)*'Dataset sem TS MC2020'!R132*($J140-$M140)/($J140-$M140-$H140)</f>
        <v>0.11709770334748304</v>
      </c>
      <c r="AC140" s="3">
        <f t="shared" ref="AC140:AC203" si="25">AB140/$Q140</f>
        <v>0.78065135564988697</v>
      </c>
      <c r="AD140" s="16">
        <f t="shared" ref="AD140:AD203" si="26">AB140-$Q140</f>
        <v>-3.2902296652516955E-2</v>
      </c>
      <c r="AE140" s="17">
        <f t="shared" ref="AE140:AE203" si="27">1/AC140</f>
        <v>1.2809815710465355</v>
      </c>
      <c r="AF140" s="17">
        <f>AB140*(14.068*'Dataset sem TS MC2020'!$P132^-0.457)/$Q140</f>
        <v>0.92143027563432089</v>
      </c>
      <c r="AG140" s="17"/>
      <c r="AO140" s="3">
        <f>$AP$2*($AP$3+$AP$4*$F140/($N140*'Dataset sem TS MC2020'!P132))*($AP$5*$G140+$AP$6*$B140/$N140)*('Dataset sem TS MC2020'!P132^$AP$7/200000)*($J140-$M140)/($J140-$M140-$H140)+('Dataset sem TS MC2020'!P132-$C140/$AP$8)*($AP$5*$G140+$AP$6*$B140/$N140)/200000</f>
        <v>0.12353161239129912</v>
      </c>
      <c r="AP140" s="3">
        <f t="shared" ref="AP140:AP203" si="28">AO140/$Q140</f>
        <v>0.82354408260866085</v>
      </c>
      <c r="AQ140" s="16">
        <f t="shared" ref="AQ140:AQ203" si="29">AO140-$Q140</f>
        <v>-2.6468387608700877E-2</v>
      </c>
    </row>
    <row r="141" spans="1:43" x14ac:dyDescent="0.3">
      <c r="B141" s="4">
        <v>12</v>
      </c>
      <c r="C141" s="5">
        <v>500</v>
      </c>
      <c r="D141" s="5">
        <v>4</v>
      </c>
      <c r="E141" s="4">
        <v>90.67</v>
      </c>
      <c r="F141" s="3">
        <v>3.2689999999999997</v>
      </c>
      <c r="G141" s="4">
        <v>25</v>
      </c>
      <c r="H141" s="4">
        <v>31</v>
      </c>
      <c r="I141" s="1">
        <v>400</v>
      </c>
      <c r="J141" s="4">
        <v>161</v>
      </c>
      <c r="K141" s="5">
        <v>440</v>
      </c>
      <c r="L141" s="3">
        <v>36400</v>
      </c>
      <c r="M141" s="5">
        <v>38.636261189159299</v>
      </c>
      <c r="N141" s="8">
        <v>1.2087912087912088E-2</v>
      </c>
      <c r="O141" s="3">
        <v>13.42</v>
      </c>
      <c r="P141" s="5">
        <v>127.25399363913766</v>
      </c>
      <c r="Q141" s="3">
        <v>0.15</v>
      </c>
      <c r="R141" s="12">
        <f t="shared" si="22"/>
        <v>6.362699681956883E-4</v>
      </c>
      <c r="V141" s="3">
        <f t="shared" si="20"/>
        <v>0.18364326250984425</v>
      </c>
      <c r="W141" s="3">
        <f t="shared" si="23"/>
        <v>1.2242884167322952</v>
      </c>
      <c r="Y141" s="3">
        <f t="shared" si="21"/>
        <v>0.18260481251419783</v>
      </c>
      <c r="Z141" s="3">
        <f t="shared" si="24"/>
        <v>1.2173654167613188</v>
      </c>
      <c r="AB141" s="3">
        <f>$AC$2*($AC$3+$AC$4*$F141/($N141*'Dataset sem TS MC2020'!P133))*($AC$5*$G141+$AC$6*$B141/$N141)*'Dataset sem TS MC2020'!R133*($J141-$M141)/($J141-$M141-$H141)</f>
        <v>0.16722518749364804</v>
      </c>
      <c r="AC141" s="3">
        <f t="shared" si="25"/>
        <v>1.1148345832909869</v>
      </c>
      <c r="AD141" s="16">
        <f t="shared" si="26"/>
        <v>1.7225187493648042E-2</v>
      </c>
      <c r="AE141" s="17">
        <f t="shared" si="27"/>
        <v>0.89699406081214694</v>
      </c>
      <c r="AF141" s="17">
        <f>AB141*(14.068*'Dataset sem TS MC2020'!$P133^-0.457)/$Q141</f>
        <v>1.2344806121571572</v>
      </c>
      <c r="AG141" s="17"/>
      <c r="AO141" s="3">
        <f>$AP$2*($AP$3+$AP$4*$F141/($N141*'Dataset sem TS MC2020'!P133))*($AP$5*$G141+$AP$6*$B141/$N141)*('Dataset sem TS MC2020'!P133^$AP$7/200000)*($J141-$M141)/($J141-$M141-$H141)+('Dataset sem TS MC2020'!P133-$C141/$AP$8)*($AP$5*$G141+$AP$6*$B141/$N141)/200000</f>
        <v>0.17787207557027554</v>
      </c>
      <c r="AP141" s="3">
        <f t="shared" si="28"/>
        <v>1.1858138371351703</v>
      </c>
      <c r="AQ141" s="16">
        <f t="shared" si="29"/>
        <v>2.7872075570275545E-2</v>
      </c>
    </row>
    <row r="142" spans="1:43" x14ac:dyDescent="0.3">
      <c r="B142" s="4">
        <v>12</v>
      </c>
      <c r="C142" s="5">
        <v>500</v>
      </c>
      <c r="D142" s="5">
        <v>4</v>
      </c>
      <c r="E142" s="4">
        <v>90.67</v>
      </c>
      <c r="F142" s="3">
        <v>3.2689999999999997</v>
      </c>
      <c r="G142" s="4">
        <v>25</v>
      </c>
      <c r="H142" s="4">
        <v>31</v>
      </c>
      <c r="I142" s="1">
        <v>400</v>
      </c>
      <c r="J142" s="4">
        <v>161</v>
      </c>
      <c r="K142" s="5">
        <v>440</v>
      </c>
      <c r="L142" s="3">
        <v>36400</v>
      </c>
      <c r="M142" s="5">
        <v>38.636261189159299</v>
      </c>
      <c r="N142" s="8">
        <v>1.2087912087912088E-2</v>
      </c>
      <c r="O142" s="3">
        <v>15.17</v>
      </c>
      <c r="P142" s="5">
        <v>182.27952339564447</v>
      </c>
      <c r="Q142" s="3">
        <v>0.18</v>
      </c>
      <c r="R142" s="12">
        <f t="shared" si="22"/>
        <v>9.1139761697822241E-4</v>
      </c>
      <c r="V142" s="3">
        <f t="shared" si="20"/>
        <v>0.22922818073355714</v>
      </c>
      <c r="W142" s="3">
        <f t="shared" si="23"/>
        <v>1.2734898929642064</v>
      </c>
      <c r="Y142" s="3">
        <f t="shared" si="21"/>
        <v>0.22883474090739978</v>
      </c>
      <c r="Z142" s="3">
        <f t="shared" si="24"/>
        <v>1.2713041161522209</v>
      </c>
      <c r="AB142" s="3">
        <f>$AC$2*($AC$3+$AC$4*$F142/($N142*'Dataset sem TS MC2020'!P134))*($AC$5*$G142+$AC$6*$B142/$N142)*'Dataset sem TS MC2020'!R134*($J142-$M142)/($J142-$M142-$H142)</f>
        <v>0.21735267163981317</v>
      </c>
      <c r="AC142" s="3">
        <f t="shared" si="25"/>
        <v>1.2075148424434066</v>
      </c>
      <c r="AD142" s="16">
        <f t="shared" si="26"/>
        <v>3.7352671639813179E-2</v>
      </c>
      <c r="AE142" s="17">
        <f t="shared" si="27"/>
        <v>0.8281471704120007</v>
      </c>
      <c r="AF142" s="17">
        <f>AB142*(14.068*'Dataset sem TS MC2020'!$P134^-0.457)/$Q142</f>
        <v>1.2642670175127435</v>
      </c>
      <c r="AG142" s="17"/>
      <c r="AO142" s="3">
        <f>$AP$2*($AP$3+$AP$4*$F142/($N142*'Dataset sem TS MC2020'!P134))*($AP$5*$G142+$AP$6*$B142/$N142)*('Dataset sem TS MC2020'!P134^$AP$7/200000)*($J142-$M142)/($J142-$M142-$H142)+('Dataset sem TS MC2020'!P134-$C142/$AP$8)*($AP$5*$G142+$AP$6*$B142/$N142)/200000</f>
        <v>0.23028611378162558</v>
      </c>
      <c r="AP142" s="3">
        <f t="shared" si="28"/>
        <v>1.2793672987868088</v>
      </c>
      <c r="AQ142" s="16">
        <f t="shared" si="29"/>
        <v>5.0286113781625591E-2</v>
      </c>
    </row>
    <row r="143" spans="1:43" x14ac:dyDescent="0.3">
      <c r="A143" s="1" t="s">
        <v>36</v>
      </c>
      <c r="B143" s="4">
        <v>12</v>
      </c>
      <c r="C143" s="5">
        <v>500</v>
      </c>
      <c r="D143" s="5">
        <v>4</v>
      </c>
      <c r="E143" s="4">
        <v>90.67</v>
      </c>
      <c r="F143" s="3">
        <v>3.2689999999999997</v>
      </c>
      <c r="G143" s="4">
        <v>25</v>
      </c>
      <c r="H143" s="4">
        <v>31</v>
      </c>
      <c r="I143" s="1">
        <v>400</v>
      </c>
      <c r="J143" s="4">
        <v>161</v>
      </c>
      <c r="K143" s="5">
        <v>440</v>
      </c>
      <c r="L143" s="3">
        <v>36400</v>
      </c>
      <c r="M143" s="5">
        <v>38.636261189159299</v>
      </c>
      <c r="N143" s="8">
        <v>1.2087912087912088E-2</v>
      </c>
      <c r="O143" s="3">
        <v>11.67</v>
      </c>
      <c r="P143" s="5">
        <v>72.228463882630962</v>
      </c>
      <c r="Q143" s="3">
        <v>0.18</v>
      </c>
      <c r="R143" s="12">
        <f t="shared" si="22"/>
        <v>3.6114231941315479E-4</v>
      </c>
      <c r="V143" s="3">
        <f t="shared" si="20"/>
        <v>0.1294839092125849</v>
      </c>
      <c r="W143" s="3">
        <f t="shared" si="23"/>
        <v>0.71935505118102727</v>
      </c>
      <c r="Y143" s="3">
        <f t="shared" si="21"/>
        <v>0.12795210309949079</v>
      </c>
      <c r="Z143" s="3">
        <f t="shared" si="24"/>
        <v>0.7108450172193933</v>
      </c>
      <c r="AB143" s="3">
        <f>$AC$2*($AC$3+$AC$4*$F143/($N143*'Dataset sem TS MC2020'!P135))*($AC$5*$G143+$AC$6*$B143/$N143)*'Dataset sem TS MC2020'!R135*($J143-$M143)/($J143-$M143-$H143)</f>
        <v>0.11709770334748304</v>
      </c>
      <c r="AC143" s="3">
        <f t="shared" si="25"/>
        <v>0.65054279637490575</v>
      </c>
      <c r="AD143" s="16">
        <f t="shared" si="26"/>
        <v>-6.2902296652516954E-2</v>
      </c>
      <c r="AE143" s="17">
        <f t="shared" si="27"/>
        <v>1.5371778852558429</v>
      </c>
      <c r="AF143" s="17">
        <f>AB143*(14.068*'Dataset sem TS MC2020'!$P135^-0.457)/$Q143</f>
        <v>0.76785856302860078</v>
      </c>
      <c r="AG143" s="17"/>
      <c r="AO143" s="3">
        <f>$AP$2*($AP$3+$AP$4*$F143/($N143*'Dataset sem TS MC2020'!P135))*($AP$5*$G143+$AP$6*$B143/$N143)*('Dataset sem TS MC2020'!P135^$AP$7/200000)*($J143-$M143)/($J143-$M143-$H143)+('Dataset sem TS MC2020'!P135-$C143/$AP$8)*($AP$5*$G143+$AP$6*$B143/$N143)/200000</f>
        <v>0.12353161239129912</v>
      </c>
      <c r="AP143" s="3">
        <f t="shared" si="28"/>
        <v>0.6862867355072173</v>
      </c>
      <c r="AQ143" s="16">
        <f t="shared" si="29"/>
        <v>-5.6468387608700876E-2</v>
      </c>
    </row>
    <row r="144" spans="1:43" x14ac:dyDescent="0.3">
      <c r="B144" s="4">
        <v>12</v>
      </c>
      <c r="C144" s="5">
        <v>500</v>
      </c>
      <c r="D144" s="5">
        <v>4</v>
      </c>
      <c r="E144" s="4">
        <v>90.67</v>
      </c>
      <c r="F144" s="3">
        <v>3.2689999999999997</v>
      </c>
      <c r="G144" s="4">
        <v>25</v>
      </c>
      <c r="H144" s="4">
        <v>31</v>
      </c>
      <c r="I144" s="1">
        <v>400</v>
      </c>
      <c r="J144" s="4">
        <v>161</v>
      </c>
      <c r="K144" s="5">
        <v>440</v>
      </c>
      <c r="L144" s="3">
        <v>36400</v>
      </c>
      <c r="M144" s="5">
        <v>38.636261189159299</v>
      </c>
      <c r="N144" s="8">
        <v>1.2087912087912088E-2</v>
      </c>
      <c r="O144" s="3">
        <v>13.42</v>
      </c>
      <c r="P144" s="5">
        <v>127.25399363913766</v>
      </c>
      <c r="Q144" s="3">
        <v>0.2</v>
      </c>
      <c r="R144" s="12">
        <f t="shared" si="22"/>
        <v>6.362699681956883E-4</v>
      </c>
      <c r="V144" s="3">
        <f t="shared" si="20"/>
        <v>0.18364326250984425</v>
      </c>
      <c r="W144" s="3">
        <f t="shared" si="23"/>
        <v>0.9182163125492212</v>
      </c>
      <c r="Y144" s="3">
        <f t="shared" si="21"/>
        <v>0.18260481251419783</v>
      </c>
      <c r="Z144" s="3">
        <f t="shared" si="24"/>
        <v>0.91302406257098911</v>
      </c>
      <c r="AB144" s="3">
        <f>$AC$2*($AC$3+$AC$4*$F144/($N144*'Dataset sem TS MC2020'!P136))*($AC$5*$G144+$AC$6*$B144/$N144)*'Dataset sem TS MC2020'!R136*($J144-$M144)/($J144-$M144-$H144)</f>
        <v>0.16722518749364804</v>
      </c>
      <c r="AC144" s="3">
        <f t="shared" si="25"/>
        <v>0.83612593746824015</v>
      </c>
      <c r="AD144" s="16">
        <f t="shared" si="26"/>
        <v>-3.2774812506351975E-2</v>
      </c>
      <c r="AE144" s="17">
        <f t="shared" si="27"/>
        <v>1.1959920810828626</v>
      </c>
      <c r="AF144" s="17">
        <f>AB144*(14.068*'Dataset sem TS MC2020'!$P136^-0.457)/$Q144</f>
        <v>0.92586045911786785</v>
      </c>
      <c r="AG144" s="17"/>
      <c r="AO144" s="3">
        <f>$AP$2*($AP$3+$AP$4*$F144/($N144*'Dataset sem TS MC2020'!P136))*($AP$5*$G144+$AP$6*$B144/$N144)*('Dataset sem TS MC2020'!P136^$AP$7/200000)*($J144-$M144)/($J144-$M144-$H144)+('Dataset sem TS MC2020'!P136-$C144/$AP$8)*($AP$5*$G144+$AP$6*$B144/$N144)/200000</f>
        <v>0.17787207557027554</v>
      </c>
      <c r="AP144" s="3">
        <f t="shared" si="28"/>
        <v>0.88936037785137767</v>
      </c>
      <c r="AQ144" s="16">
        <f t="shared" si="29"/>
        <v>-2.2127924429724471E-2</v>
      </c>
    </row>
    <row r="145" spans="1:43" x14ac:dyDescent="0.3">
      <c r="B145" s="4">
        <v>12</v>
      </c>
      <c r="C145" s="5">
        <v>500</v>
      </c>
      <c r="D145" s="5">
        <v>4</v>
      </c>
      <c r="E145" s="4">
        <v>90.67</v>
      </c>
      <c r="F145" s="3">
        <v>3.2689999999999997</v>
      </c>
      <c r="G145" s="4">
        <v>25</v>
      </c>
      <c r="H145" s="4">
        <v>31</v>
      </c>
      <c r="I145" s="1">
        <v>400</v>
      </c>
      <c r="J145" s="4">
        <v>161</v>
      </c>
      <c r="K145" s="5">
        <v>440</v>
      </c>
      <c r="L145" s="3">
        <v>36400</v>
      </c>
      <c r="M145" s="5">
        <v>38.636261189159299</v>
      </c>
      <c r="N145" s="8">
        <v>1.2087912087912088E-2</v>
      </c>
      <c r="O145" s="3">
        <v>15.17</v>
      </c>
      <c r="P145" s="5">
        <v>182.27952339564447</v>
      </c>
      <c r="Q145" s="3">
        <v>0.23</v>
      </c>
      <c r="R145" s="12">
        <f t="shared" si="22"/>
        <v>9.1139761697822241E-4</v>
      </c>
      <c r="V145" s="3">
        <f t="shared" si="20"/>
        <v>0.22922818073355714</v>
      </c>
      <c r="W145" s="3">
        <f t="shared" si="23"/>
        <v>0.99664426405894402</v>
      </c>
      <c r="Y145" s="3">
        <f t="shared" si="21"/>
        <v>0.22883474090739978</v>
      </c>
      <c r="Z145" s="3">
        <f t="shared" si="24"/>
        <v>0.99493365611912943</v>
      </c>
      <c r="AB145" s="3">
        <f>$AC$2*($AC$3+$AC$4*$F145/($N145*'Dataset sem TS MC2020'!P137))*($AC$5*$G145+$AC$6*$B145/$N145)*'Dataset sem TS MC2020'!R137*($J145-$M145)/($J145-$M145-$H145)</f>
        <v>0.21735267163981317</v>
      </c>
      <c r="AC145" s="3">
        <f t="shared" si="25"/>
        <v>0.9450116158252746</v>
      </c>
      <c r="AD145" s="16">
        <f t="shared" si="26"/>
        <v>-1.2647328360186838E-2</v>
      </c>
      <c r="AE145" s="17">
        <f t="shared" si="27"/>
        <v>1.058188051082001</v>
      </c>
      <c r="AF145" s="17">
        <f>AB145*(14.068*'Dataset sem TS MC2020'!$P137^-0.457)/$Q145</f>
        <v>0.98942636153171226</v>
      </c>
      <c r="AG145" s="17"/>
      <c r="AO145" s="3">
        <f>$AP$2*($AP$3+$AP$4*$F145/($N145*'Dataset sem TS MC2020'!P137))*($AP$5*$G145+$AP$6*$B145/$N145)*('Dataset sem TS MC2020'!P137^$AP$7/200000)*($J145-$M145)/($J145-$M145-$H145)+('Dataset sem TS MC2020'!P137-$C145/$AP$8)*($AP$5*$G145+$AP$6*$B145/$N145)/200000</f>
        <v>0.23028611378162558</v>
      </c>
      <c r="AP145" s="3">
        <f t="shared" si="28"/>
        <v>1.0012439729635894</v>
      </c>
      <c r="AQ145" s="16">
        <f t="shared" si="29"/>
        <v>2.8611378162557433E-4</v>
      </c>
    </row>
    <row r="146" spans="1:43" x14ac:dyDescent="0.3">
      <c r="A146" s="1" t="s">
        <v>37</v>
      </c>
      <c r="B146" s="4">
        <v>10</v>
      </c>
      <c r="C146" s="5">
        <v>528</v>
      </c>
      <c r="D146" s="5">
        <v>1</v>
      </c>
      <c r="E146" s="4">
        <v>45</v>
      </c>
      <c r="F146" s="3">
        <v>2.8</v>
      </c>
      <c r="G146" s="4">
        <v>40</v>
      </c>
      <c r="H146" s="4">
        <v>45</v>
      </c>
      <c r="I146" s="1">
        <v>100</v>
      </c>
      <c r="J146" s="4">
        <v>250</v>
      </c>
      <c r="K146" s="5">
        <v>78.5</v>
      </c>
      <c r="L146" s="3">
        <v>9500</v>
      </c>
      <c r="M146" s="5">
        <v>43.445968908792679</v>
      </c>
      <c r="N146" s="8">
        <v>8.263157894736842E-3</v>
      </c>
      <c r="O146" s="3">
        <v>4.0999999999999996</v>
      </c>
      <c r="P146" s="5">
        <v>99.781101172276635</v>
      </c>
      <c r="Q146" s="3">
        <v>0.16</v>
      </c>
      <c r="R146" s="12">
        <f t="shared" si="22"/>
        <v>4.9890550586138317E-4</v>
      </c>
      <c r="V146" s="3">
        <f t="shared" si="20"/>
        <v>0.16375258304938023</v>
      </c>
      <c r="W146" s="3">
        <f t="shared" si="23"/>
        <v>1.0234536440586264</v>
      </c>
      <c r="Y146" s="3">
        <f t="shared" si="21"/>
        <v>0.16631112893456276</v>
      </c>
      <c r="Z146" s="3">
        <f t="shared" si="24"/>
        <v>1.0394445558410172</v>
      </c>
      <c r="AB146" s="3">
        <f>$AC$2*($AC$3+$AC$4*$F146/($N146*'Dataset sem TS MC2020'!P138))*($AC$5*$G146+$AC$6*$B146/$N146)*'Dataset sem TS MC2020'!R138*($J146-$M146)/($J146-$M146-$H146)</f>
        <v>0.16156340102515138</v>
      </c>
      <c r="AC146" s="3">
        <f t="shared" si="25"/>
        <v>1.0097712564071961</v>
      </c>
      <c r="AD146" s="16">
        <f t="shared" si="26"/>
        <v>1.563401025151373E-3</v>
      </c>
      <c r="AE146" s="17">
        <f t="shared" si="27"/>
        <v>0.99032329713764822</v>
      </c>
      <c r="AF146" s="17">
        <f>AB146*(14.068*'Dataset sem TS MC2020'!$P138^-0.457)/$Q146</f>
        <v>1.0921928861600285</v>
      </c>
      <c r="AG146" s="17"/>
      <c r="AO146" s="3">
        <f>$AP$2*($AP$3+$AP$4*$F146/($N146*'Dataset sem TS MC2020'!P138))*($AP$5*$G146+$AP$6*$B146/$N146)*('Dataset sem TS MC2020'!P138^$AP$7/200000)*($J146-$M146)/($J146-$M146-$H146)+('Dataset sem TS MC2020'!P138-$C146/$AP$8)*($AP$5*$G146+$AP$6*$B146/$N146)/200000</f>
        <v>0.1666567372072314</v>
      </c>
      <c r="AP146" s="3">
        <f t="shared" si="28"/>
        <v>1.0416046075451961</v>
      </c>
      <c r="AQ146" s="16">
        <f t="shared" si="29"/>
        <v>6.6567372072313946E-3</v>
      </c>
    </row>
    <row r="147" spans="1:43" x14ac:dyDescent="0.3">
      <c r="B147" s="4">
        <v>10</v>
      </c>
      <c r="C147" s="5">
        <v>528</v>
      </c>
      <c r="D147" s="5">
        <v>1</v>
      </c>
      <c r="E147" s="4">
        <v>45</v>
      </c>
      <c r="F147" s="3">
        <v>2.8</v>
      </c>
      <c r="G147" s="4">
        <v>40</v>
      </c>
      <c r="H147" s="4">
        <v>45</v>
      </c>
      <c r="I147" s="1">
        <v>100</v>
      </c>
      <c r="J147" s="4">
        <v>250</v>
      </c>
      <c r="K147" s="5">
        <v>78.5</v>
      </c>
      <c r="L147" s="3">
        <v>9500</v>
      </c>
      <c r="M147" s="5">
        <v>43.445968908792679</v>
      </c>
      <c r="N147" s="8">
        <v>8.263157894736842E-3</v>
      </c>
      <c r="O147" s="3">
        <v>4.4000000000000004</v>
      </c>
      <c r="P147" s="5">
        <v>133.40098997661681</v>
      </c>
      <c r="Q147" s="3">
        <v>0.18</v>
      </c>
      <c r="R147" s="12">
        <f t="shared" si="22"/>
        <v>6.6700494988308409E-4</v>
      </c>
      <c r="V147" s="3">
        <f t="shared" si="20"/>
        <v>0.19588379001613349</v>
      </c>
      <c r="W147" s="3">
        <f t="shared" si="23"/>
        <v>1.0882432778674083</v>
      </c>
      <c r="Y147" s="3">
        <f t="shared" si="21"/>
        <v>0.19958085045743973</v>
      </c>
      <c r="Z147" s="3">
        <f t="shared" si="24"/>
        <v>1.1087825025413318</v>
      </c>
      <c r="AB147" s="3">
        <f>$AC$2*($AC$3+$AC$4*$F147/($N147*'Dataset sem TS MC2020'!P139))*($AC$5*$G147+$AC$6*$B147/$N147)*'Dataset sem TS MC2020'!R139*($J147-$M147)/($J147-$M147-$H147)</f>
        <v>0.19765571343460209</v>
      </c>
      <c r="AC147" s="3">
        <f t="shared" si="25"/>
        <v>1.0980872968589006</v>
      </c>
      <c r="AD147" s="16">
        <f t="shared" si="26"/>
        <v>1.7655713434602094E-2</v>
      </c>
      <c r="AE147" s="17">
        <f t="shared" si="27"/>
        <v>0.91067440891131224</v>
      </c>
      <c r="AF147" s="17">
        <f>AB147*(14.068*'Dataset sem TS MC2020'!$P139^-0.457)/$Q147</f>
        <v>1.1499992475264189</v>
      </c>
      <c r="AG147" s="17"/>
      <c r="AO147" s="3">
        <f>$AP$2*($AP$3+$AP$4*$F147/($N147*'Dataset sem TS MC2020'!P139))*($AP$5*$G147+$AP$6*$B147/$N147)*('Dataset sem TS MC2020'!P139^$AP$7/200000)*($J147-$M147)/($J147-$M147-$H147)+('Dataset sem TS MC2020'!P139-$C147/$AP$8)*($AP$5*$G147+$AP$6*$B147/$N147)/200000</f>
        <v>0.20485972844566724</v>
      </c>
      <c r="AP147" s="3">
        <f t="shared" si="28"/>
        <v>1.1381096024759292</v>
      </c>
      <c r="AQ147" s="16">
        <f t="shared" si="29"/>
        <v>2.4859728445667251E-2</v>
      </c>
    </row>
    <row r="148" spans="1:43" x14ac:dyDescent="0.3">
      <c r="B148" s="4">
        <v>10</v>
      </c>
      <c r="C148" s="5">
        <v>528</v>
      </c>
      <c r="D148" s="5">
        <v>1</v>
      </c>
      <c r="E148" s="4">
        <v>45</v>
      </c>
      <c r="F148" s="3">
        <v>2.8</v>
      </c>
      <c r="G148" s="4">
        <v>40</v>
      </c>
      <c r="H148" s="4">
        <v>45</v>
      </c>
      <c r="I148" s="1">
        <v>100</v>
      </c>
      <c r="J148" s="4">
        <v>250</v>
      </c>
      <c r="K148" s="5">
        <v>78.5</v>
      </c>
      <c r="L148" s="3">
        <v>9500</v>
      </c>
      <c r="M148" s="5">
        <v>43.445968908792679</v>
      </c>
      <c r="N148" s="8">
        <v>8.263157894736842E-3</v>
      </c>
      <c r="O148" s="3">
        <v>4.74</v>
      </c>
      <c r="P148" s="5">
        <v>171.50353062153567</v>
      </c>
      <c r="Q148" s="3">
        <v>0.2</v>
      </c>
      <c r="R148" s="12">
        <f t="shared" si="22"/>
        <v>8.5751765310767842E-4</v>
      </c>
      <c r="V148" s="3">
        <f t="shared" si="20"/>
        <v>0.22872932270180638</v>
      </c>
      <c r="W148" s="3">
        <f t="shared" si="23"/>
        <v>1.1436466135090317</v>
      </c>
      <c r="Y148" s="3">
        <f t="shared" si="21"/>
        <v>0.23369125922761319</v>
      </c>
      <c r="Z148" s="3">
        <f t="shared" si="24"/>
        <v>1.1684562961380658</v>
      </c>
      <c r="AB148" s="3">
        <f>$AC$2*($AC$3+$AC$4*$F148/($N148*'Dataset sem TS MC2020'!P140))*($AC$5*$G148+$AC$6*$B148/$N148)*'Dataset sem TS MC2020'!R140*($J148-$M148)/($J148-$M148-$H148)</f>
        <v>0.23856033416531275</v>
      </c>
      <c r="AC148" s="3">
        <f t="shared" si="25"/>
        <v>1.1928016708265636</v>
      </c>
      <c r="AD148" s="16">
        <f t="shared" si="26"/>
        <v>3.8560334165312737E-2</v>
      </c>
      <c r="AE148" s="17">
        <f t="shared" si="27"/>
        <v>0.8383623400753959</v>
      </c>
      <c r="AF148" s="17">
        <f>AB148*(14.068*'Dataset sem TS MC2020'!$P140^-0.457)/$Q148</f>
        <v>1.2074136978117804</v>
      </c>
      <c r="AG148" s="17"/>
      <c r="AO148" s="3">
        <f>$AP$2*($AP$3+$AP$4*$F148/($N148*'Dataset sem TS MC2020'!P140))*($AP$5*$G148+$AP$6*$B148/$N148)*('Dataset sem TS MC2020'!P140^$AP$7/200000)*($J148-$M148)/($J148-$M148-$H148)+('Dataset sem TS MC2020'!P140-$C148/$AP$8)*($AP$5*$G148+$AP$6*$B148/$N148)/200000</f>
        <v>0.24727220696289581</v>
      </c>
      <c r="AP148" s="3">
        <f t="shared" si="28"/>
        <v>1.2363610348144789</v>
      </c>
      <c r="AQ148" s="16">
        <f t="shared" si="29"/>
        <v>4.7272206962895802E-2</v>
      </c>
    </row>
    <row r="149" spans="1:43" x14ac:dyDescent="0.3">
      <c r="B149" s="4">
        <v>10</v>
      </c>
      <c r="C149" s="5">
        <v>528</v>
      </c>
      <c r="D149" s="5">
        <v>1</v>
      </c>
      <c r="E149" s="4">
        <v>45</v>
      </c>
      <c r="F149" s="3">
        <v>2.8</v>
      </c>
      <c r="G149" s="4">
        <v>40</v>
      </c>
      <c r="H149" s="4">
        <v>45</v>
      </c>
      <c r="I149" s="1">
        <v>100</v>
      </c>
      <c r="J149" s="4">
        <v>250</v>
      </c>
      <c r="K149" s="5">
        <v>78.5</v>
      </c>
      <c r="L149" s="3">
        <v>9500</v>
      </c>
      <c r="M149" s="5">
        <v>43.445968908792679</v>
      </c>
      <c r="N149" s="8">
        <v>8.263157894736842E-3</v>
      </c>
      <c r="O149" s="3">
        <v>5.04</v>
      </c>
      <c r="P149" s="5">
        <v>205.1234194258758</v>
      </c>
      <c r="Q149" s="3">
        <v>0.22</v>
      </c>
      <c r="R149" s="12">
        <f t="shared" si="22"/>
        <v>1.0256170971293789E-3</v>
      </c>
      <c r="V149" s="3">
        <f t="shared" si="20"/>
        <v>0.25543992067546406</v>
      </c>
      <c r="W149" s="3">
        <f t="shared" si="23"/>
        <v>1.1610905485248366</v>
      </c>
      <c r="Y149" s="3">
        <f t="shared" si="21"/>
        <v>0.26149570461453986</v>
      </c>
      <c r="Z149" s="3">
        <f t="shared" si="24"/>
        <v>1.1886168391569993</v>
      </c>
      <c r="AB149" s="3">
        <f>$AC$2*($AC$3+$AC$4*$F149/($N149*'Dataset sem TS MC2020'!P141))*($AC$5*$G149+$AC$6*$B149/$N149)*'Dataset sem TS MC2020'!R141*($J149-$M149)/($J149-$M149-$H149)</f>
        <v>0.27465264657476329</v>
      </c>
      <c r="AC149" s="3">
        <f t="shared" si="25"/>
        <v>1.2484211207943785</v>
      </c>
      <c r="AD149" s="16">
        <f t="shared" si="26"/>
        <v>5.4652646574763292E-2</v>
      </c>
      <c r="AE149" s="17">
        <f t="shared" si="27"/>
        <v>0.80101176064987867</v>
      </c>
      <c r="AF149" s="17">
        <f>AB149*(14.068*'Dataset sem TS MC2020'!$P141^-0.457)/$Q149</f>
        <v>1.2287652311393868</v>
      </c>
      <c r="AG149" s="17"/>
      <c r="AO149" s="3">
        <f>$AP$2*($AP$3+$AP$4*$F149/($N149*'Dataset sem TS MC2020'!P141))*($AP$5*$G149+$AP$6*$B149/$N149)*('Dataset sem TS MC2020'!P141^$AP$7/200000)*($J149-$M149)/($J149-$M149-$H149)+('Dataset sem TS MC2020'!P141-$C149/$AP$8)*($AP$5*$G149+$AP$6*$B149/$N149)/200000</f>
        <v>0.28399842882801629</v>
      </c>
      <c r="AP149" s="3">
        <f t="shared" si="28"/>
        <v>1.2909019492182559</v>
      </c>
      <c r="AQ149" s="16">
        <f t="shared" si="29"/>
        <v>6.3998428828016291E-2</v>
      </c>
    </row>
    <row r="150" spans="1:43" x14ac:dyDescent="0.3">
      <c r="B150" s="4">
        <v>10</v>
      </c>
      <c r="C150" s="5">
        <v>528</v>
      </c>
      <c r="D150" s="5">
        <v>1</v>
      </c>
      <c r="E150" s="4">
        <v>45</v>
      </c>
      <c r="F150" s="3">
        <v>2.8</v>
      </c>
      <c r="G150" s="4">
        <v>40</v>
      </c>
      <c r="H150" s="4">
        <v>45</v>
      </c>
      <c r="I150" s="1">
        <v>100</v>
      </c>
      <c r="J150" s="4">
        <v>250</v>
      </c>
      <c r="K150" s="5">
        <v>78.5</v>
      </c>
      <c r="L150" s="3">
        <v>9500</v>
      </c>
      <c r="M150" s="5">
        <v>43.445968908792679</v>
      </c>
      <c r="N150" s="8">
        <v>8.263157894736842E-3</v>
      </c>
      <c r="O150" s="3">
        <v>5.38</v>
      </c>
      <c r="P150" s="5">
        <v>243.2259600707946</v>
      </c>
      <c r="Q150" s="3">
        <v>0.24</v>
      </c>
      <c r="R150" s="12">
        <f t="shared" si="22"/>
        <v>1.216129800353973E-3</v>
      </c>
      <c r="V150" s="3">
        <f t="shared" si="20"/>
        <v>0.28375497682236306</v>
      </c>
      <c r="W150" s="3">
        <f t="shared" si="23"/>
        <v>1.1823124034265129</v>
      </c>
      <c r="Y150" s="3">
        <f t="shared" si="21"/>
        <v>0.29102695657094624</v>
      </c>
      <c r="Z150" s="3">
        <f t="shared" si="24"/>
        <v>1.2126123190456093</v>
      </c>
      <c r="AB150" s="3">
        <f>$AC$2*($AC$3+$AC$4*$F150/($N150*'Dataset sem TS MC2020'!P142))*($AC$5*$G150+$AC$6*$B150/$N150)*'Dataset sem TS MC2020'!R142*($J150-$M150)/($J150-$M150-$H150)</f>
        <v>0.3155572673054739</v>
      </c>
      <c r="AC150" s="3">
        <f t="shared" si="25"/>
        <v>1.3148219471061413</v>
      </c>
      <c r="AD150" s="16">
        <f t="shared" si="26"/>
        <v>7.5557267305473907E-2</v>
      </c>
      <c r="AE150" s="17">
        <f t="shared" si="27"/>
        <v>0.76055925458268403</v>
      </c>
      <c r="AF150" s="17">
        <f>AB150*(14.068*'Dataset sem TS MC2020'!$P142^-0.457)/$Q150</f>
        <v>1.2560820420472767</v>
      </c>
      <c r="AG150" s="17"/>
      <c r="AO150" s="3">
        <f>$AP$2*($AP$3+$AP$4*$F150/($N150*'Dataset sem TS MC2020'!P142))*($AP$5*$G150+$AP$6*$B150/$N150)*('Dataset sem TS MC2020'!P142^$AP$7/200000)*($J150-$M150)/($J150-$M150-$H150)+('Dataset sem TS MC2020'!P142-$C150/$AP$8)*($AP$5*$G150+$AP$6*$B150/$N150)/200000</f>
        <v>0.32491383464716456</v>
      </c>
      <c r="AP150" s="3">
        <f t="shared" si="28"/>
        <v>1.3538076443631857</v>
      </c>
      <c r="AQ150" s="16">
        <f t="shared" si="29"/>
        <v>8.4913834647164566E-2</v>
      </c>
    </row>
    <row r="151" spans="1:43" x14ac:dyDescent="0.3">
      <c r="B151" s="4">
        <v>10</v>
      </c>
      <c r="C151" s="5">
        <v>528</v>
      </c>
      <c r="D151" s="5">
        <v>1</v>
      </c>
      <c r="E151" s="4">
        <v>45</v>
      </c>
      <c r="F151" s="3">
        <v>2.8</v>
      </c>
      <c r="G151" s="4">
        <v>40</v>
      </c>
      <c r="H151" s="4">
        <v>45</v>
      </c>
      <c r="I151" s="1">
        <v>100</v>
      </c>
      <c r="J151" s="4">
        <v>250</v>
      </c>
      <c r="K151" s="5">
        <v>78.5</v>
      </c>
      <c r="L151" s="3">
        <v>9500</v>
      </c>
      <c r="M151" s="5">
        <v>43.445968908792679</v>
      </c>
      <c r="N151" s="8">
        <v>8.263157894736842E-3</v>
      </c>
      <c r="O151" s="3">
        <v>5.68</v>
      </c>
      <c r="P151" s="5">
        <v>276.84584887513478</v>
      </c>
      <c r="Q151" s="3">
        <v>0.26</v>
      </c>
      <c r="R151" s="12">
        <f t="shared" si="22"/>
        <v>1.3842292443756738E-3</v>
      </c>
      <c r="V151" s="3">
        <f t="shared" si="20"/>
        <v>0.30735212399192768</v>
      </c>
      <c r="W151" s="3">
        <f t="shared" si="23"/>
        <v>1.1821235538151065</v>
      </c>
      <c r="Y151" s="3">
        <f t="shared" si="21"/>
        <v>0.31567810287262527</v>
      </c>
      <c r="Z151" s="3">
        <f t="shared" si="24"/>
        <v>1.2141465495100972</v>
      </c>
      <c r="AB151" s="3">
        <f>$AC$2*($AC$3+$AC$4*$F151/($N151*'Dataset sem TS MC2020'!P143))*($AC$5*$G151+$AC$6*$B151/$N151)*'Dataset sem TS MC2020'!R143*($J151-$M151)/($J151-$M151-$H151)</f>
        <v>0.35164957971492444</v>
      </c>
      <c r="AC151" s="3">
        <f t="shared" si="25"/>
        <v>1.3524983835189401</v>
      </c>
      <c r="AD151" s="16">
        <f t="shared" si="26"/>
        <v>9.1649579714924434E-2</v>
      </c>
      <c r="AE151" s="17">
        <f t="shared" si="27"/>
        <v>0.73937241787911989</v>
      </c>
      <c r="AF151" s="17">
        <f>AB151*(14.068*'Dataset sem TS MC2020'!$P143^-0.457)/$Q151</f>
        <v>1.2604282462425385</v>
      </c>
      <c r="AG151" s="17"/>
      <c r="AO151" s="3">
        <f>$AP$2*($AP$3+$AP$4*$F151/($N151*'Dataset sem TS MC2020'!P143))*($AP$5*$G151+$AP$6*$B151/$N151)*('Dataset sem TS MC2020'!P143^$AP$7/200000)*($J151-$M151)/($J151-$M151-$H151)+('Dataset sem TS MC2020'!P143-$C151/$AP$8)*($AP$5*$G151+$AP$6*$B151/$N151)/200000</f>
        <v>0.36044925555195823</v>
      </c>
      <c r="AP151" s="3">
        <f t="shared" si="28"/>
        <v>1.3863432905844546</v>
      </c>
      <c r="AQ151" s="16">
        <f t="shared" si="29"/>
        <v>0.10044925555195822</v>
      </c>
    </row>
    <row r="152" spans="1:43" x14ac:dyDescent="0.3">
      <c r="B152" s="4">
        <v>10</v>
      </c>
      <c r="C152" s="5">
        <v>528</v>
      </c>
      <c r="D152" s="5">
        <v>1</v>
      </c>
      <c r="E152" s="4">
        <v>45</v>
      </c>
      <c r="F152" s="3">
        <v>2.8</v>
      </c>
      <c r="G152" s="4">
        <v>40</v>
      </c>
      <c r="H152" s="4">
        <v>45</v>
      </c>
      <c r="I152" s="1">
        <v>100</v>
      </c>
      <c r="J152" s="4">
        <v>250</v>
      </c>
      <c r="K152" s="5">
        <v>78.5</v>
      </c>
      <c r="L152" s="3">
        <v>9500</v>
      </c>
      <c r="M152" s="5">
        <v>43.445968908792679</v>
      </c>
      <c r="N152" s="8">
        <v>8.263157894736842E-3</v>
      </c>
      <c r="O152" s="3">
        <v>6.04</v>
      </c>
      <c r="P152" s="5">
        <v>317.18971544034304</v>
      </c>
      <c r="Q152" s="3">
        <v>0.28000000000000003</v>
      </c>
      <c r="R152" s="12">
        <f t="shared" si="22"/>
        <v>1.5859485772017152E-3</v>
      </c>
      <c r="V152" s="3">
        <f t="shared" si="20"/>
        <v>0.33426372293468537</v>
      </c>
      <c r="W152" s="3">
        <f t="shared" si="23"/>
        <v>1.193799010481019</v>
      </c>
      <c r="Y152" s="3">
        <f t="shared" si="21"/>
        <v>0.34383285788028395</v>
      </c>
      <c r="Z152" s="3">
        <f t="shared" si="24"/>
        <v>1.2279744924295855</v>
      </c>
      <c r="AB152" s="3">
        <f>$AC$2*($AC$3+$AC$4*$F152/($N152*'Dataset sem TS MC2020'!P144))*($AC$5*$G152+$AC$6*$B152/$N152)*'Dataset sem TS MC2020'!R144*($J152-$M152)/($J152-$M152-$H152)</f>
        <v>0.39496035460626527</v>
      </c>
      <c r="AC152" s="3">
        <f t="shared" si="25"/>
        <v>1.4105726950223758</v>
      </c>
      <c r="AD152" s="16">
        <f t="shared" si="26"/>
        <v>0.11496035460626525</v>
      </c>
      <c r="AE152" s="17">
        <f t="shared" si="27"/>
        <v>0.70893191363252428</v>
      </c>
      <c r="AF152" s="17">
        <f>AB152*(14.068*'Dataset sem TS MC2020'!$P144^-0.457)/$Q152</f>
        <v>1.2781450831954391</v>
      </c>
      <c r="AG152" s="17"/>
      <c r="AO152" s="3">
        <f>$AP$2*($AP$3+$AP$4*$F152/($N152*'Dataset sem TS MC2020'!P144))*($AP$5*$G152+$AP$6*$B152/$N152)*('Dataset sem TS MC2020'!P144^$AP$7/200000)*($J152-$M152)/($J152-$M152-$H152)+('Dataset sem TS MC2020'!P144-$C152/$AP$8)*($AP$5*$G152+$AP$6*$B152/$N152)/200000</f>
        <v>0.40245540624847853</v>
      </c>
      <c r="AP152" s="3">
        <f t="shared" si="28"/>
        <v>1.4373407366017088</v>
      </c>
      <c r="AQ152" s="16">
        <f t="shared" si="29"/>
        <v>0.1224554062484785</v>
      </c>
    </row>
    <row r="153" spans="1:43" x14ac:dyDescent="0.3">
      <c r="A153" s="1" t="s">
        <v>38</v>
      </c>
      <c r="B153" s="4">
        <v>10</v>
      </c>
      <c r="C153" s="5">
        <v>528</v>
      </c>
      <c r="D153" s="5">
        <v>1</v>
      </c>
      <c r="E153" s="4">
        <v>45</v>
      </c>
      <c r="F153" s="3">
        <v>2.8</v>
      </c>
      <c r="G153" s="4">
        <v>40</v>
      </c>
      <c r="H153" s="4">
        <v>45</v>
      </c>
      <c r="I153" s="1">
        <v>100</v>
      </c>
      <c r="J153" s="4">
        <v>250</v>
      </c>
      <c r="K153" s="5">
        <v>78.5</v>
      </c>
      <c r="L153" s="3">
        <v>9500</v>
      </c>
      <c r="M153" s="5">
        <v>43.445968908792679</v>
      </c>
      <c r="N153" s="8">
        <v>8.263157894736842E-3</v>
      </c>
      <c r="O153" s="3">
        <v>3.76</v>
      </c>
      <c r="P153" s="5">
        <v>61.678560527357803</v>
      </c>
      <c r="Q153" s="3">
        <v>0.15</v>
      </c>
      <c r="R153" s="12">
        <f t="shared" si="22"/>
        <v>3.0839280263678901E-4</v>
      </c>
      <c r="V153" s="3">
        <f t="shared" si="20"/>
        <v>0.12169932864824018</v>
      </c>
      <c r="W153" s="3">
        <f t="shared" si="23"/>
        <v>0.81132885765493457</v>
      </c>
      <c r="Y153" s="3">
        <f t="shared" si="21"/>
        <v>0.12294851286036425</v>
      </c>
      <c r="Z153" s="3">
        <f t="shared" si="24"/>
        <v>0.8196567524024283</v>
      </c>
      <c r="AB153" s="3">
        <f>$AC$2*($AC$3+$AC$4*$F153/($N153*'Dataset sem TS MC2020'!P145))*($AC$5*$G153+$AC$6*$B153/$N153)*'Dataset sem TS MC2020'!R145*($J153-$M153)/($J153-$M153-$H153)</f>
        <v>0.12065878029444076</v>
      </c>
      <c r="AC153" s="3">
        <f t="shared" si="25"/>
        <v>0.8043918686296051</v>
      </c>
      <c r="AD153" s="16">
        <f t="shared" si="26"/>
        <v>-2.9341219705559238E-2</v>
      </c>
      <c r="AE153" s="17">
        <f t="shared" si="27"/>
        <v>1.243175172448773</v>
      </c>
      <c r="AF153" s="17">
        <f>AB153*(14.068*'Dataset sem TS MC2020'!$P145^-0.457)/$Q153</f>
        <v>0.90516007244462759</v>
      </c>
      <c r="AG153" s="17"/>
      <c r="AO153" s="3">
        <f>$AP$2*($AP$3+$AP$4*$F153/($N153*'Dataset sem TS MC2020'!P145))*($AP$5*$G153+$AP$6*$B153/$N153)*('Dataset sem TS MC2020'!P145^$AP$7/200000)*($J153-$M153)/($J153-$M153-$H153)+('Dataset sem TS MC2020'!P145-$C153/$AP$8)*($AP$5*$G153+$AP$6*$B153/$N153)/200000</f>
        <v>0.12235437543208355</v>
      </c>
      <c r="AP153" s="3">
        <f t="shared" si="28"/>
        <v>0.81569583621389041</v>
      </c>
      <c r="AQ153" s="16">
        <f t="shared" si="29"/>
        <v>-2.7645624567916444E-2</v>
      </c>
    </row>
    <row r="154" spans="1:43" x14ac:dyDescent="0.3">
      <c r="B154" s="4">
        <v>10</v>
      </c>
      <c r="C154" s="5">
        <v>528</v>
      </c>
      <c r="D154" s="5">
        <v>1</v>
      </c>
      <c r="E154" s="4">
        <v>45</v>
      </c>
      <c r="F154" s="3">
        <v>2.8</v>
      </c>
      <c r="G154" s="4">
        <v>40</v>
      </c>
      <c r="H154" s="4">
        <v>45</v>
      </c>
      <c r="I154" s="1">
        <v>100</v>
      </c>
      <c r="J154" s="4">
        <v>250</v>
      </c>
      <c r="K154" s="5">
        <v>78.5</v>
      </c>
      <c r="L154" s="3">
        <v>9500</v>
      </c>
      <c r="M154" s="5">
        <v>43.445968908792679</v>
      </c>
      <c r="N154" s="8">
        <v>8.263157894736842E-3</v>
      </c>
      <c r="O154" s="3">
        <v>4.0999999999999996</v>
      </c>
      <c r="P154" s="5">
        <v>99.781101172276635</v>
      </c>
      <c r="Q154" s="3">
        <v>0.17</v>
      </c>
      <c r="R154" s="12">
        <f t="shared" si="22"/>
        <v>4.9890550586138317E-4</v>
      </c>
      <c r="V154" s="3">
        <f t="shared" si="20"/>
        <v>0.16375258304938023</v>
      </c>
      <c r="W154" s="3">
        <f t="shared" si="23"/>
        <v>0.963250488525766</v>
      </c>
      <c r="Y154" s="3">
        <f t="shared" si="21"/>
        <v>0.16631112893456276</v>
      </c>
      <c r="Z154" s="3">
        <f t="shared" si="24"/>
        <v>0.97830075843860442</v>
      </c>
      <c r="AB154" s="3">
        <f>$AC$2*($AC$3+$AC$4*$F154/($N154*'Dataset sem TS MC2020'!P146))*($AC$5*$G154+$AC$6*$B154/$N154)*'Dataset sem TS MC2020'!R146*($J154-$M154)/($J154-$M154-$H154)</f>
        <v>0.16156340102515138</v>
      </c>
      <c r="AC154" s="3">
        <f t="shared" si="25"/>
        <v>0.95037294720677279</v>
      </c>
      <c r="AD154" s="16">
        <f t="shared" si="26"/>
        <v>-8.4365989748486359E-3</v>
      </c>
      <c r="AE154" s="17">
        <f t="shared" si="27"/>
        <v>1.0522185032087512</v>
      </c>
      <c r="AF154" s="17">
        <f>AB154*(14.068*'Dataset sem TS MC2020'!$P146^-0.457)/$Q154</f>
        <v>1.0279462457976738</v>
      </c>
      <c r="AG154" s="17"/>
      <c r="AO154" s="3">
        <f>$AP$2*($AP$3+$AP$4*$F154/($N154*'Dataset sem TS MC2020'!P146))*($AP$5*$G154+$AP$6*$B154/$N154)*('Dataset sem TS MC2020'!P146^$AP$7/200000)*($J154-$M154)/($J154-$M154-$H154)+('Dataset sem TS MC2020'!P146-$C154/$AP$8)*($AP$5*$G154+$AP$6*$B154/$N154)/200000</f>
        <v>0.1666567372072314</v>
      </c>
      <c r="AP154" s="3">
        <f t="shared" si="28"/>
        <v>0.98033374827783171</v>
      </c>
      <c r="AQ154" s="16">
        <f t="shared" si="29"/>
        <v>-3.3432627927686143E-3</v>
      </c>
    </row>
    <row r="155" spans="1:43" x14ac:dyDescent="0.3">
      <c r="B155" s="4">
        <v>10</v>
      </c>
      <c r="C155" s="5">
        <v>528</v>
      </c>
      <c r="D155" s="5">
        <v>1</v>
      </c>
      <c r="E155" s="4">
        <v>45</v>
      </c>
      <c r="F155" s="3">
        <v>2.8</v>
      </c>
      <c r="G155" s="4">
        <v>40</v>
      </c>
      <c r="H155" s="4">
        <v>45</v>
      </c>
      <c r="I155" s="1">
        <v>100</v>
      </c>
      <c r="J155" s="4">
        <v>250</v>
      </c>
      <c r="K155" s="5">
        <v>78.5</v>
      </c>
      <c r="L155" s="3">
        <v>9500</v>
      </c>
      <c r="M155" s="5">
        <v>43.445968908792679</v>
      </c>
      <c r="N155" s="8">
        <v>8.263157894736842E-3</v>
      </c>
      <c r="O155" s="3">
        <v>4.42</v>
      </c>
      <c r="P155" s="5">
        <v>135.6423158969061</v>
      </c>
      <c r="Q155" s="3">
        <v>0.19</v>
      </c>
      <c r="R155" s="12">
        <f t="shared" si="22"/>
        <v>6.7821157948453053E-4</v>
      </c>
      <c r="V155" s="3">
        <f t="shared" si="20"/>
        <v>0.19790793115101837</v>
      </c>
      <c r="W155" s="3">
        <f t="shared" si="23"/>
        <v>1.0416206902685177</v>
      </c>
      <c r="Y155" s="3">
        <f t="shared" si="21"/>
        <v>0.20168015530533973</v>
      </c>
      <c r="Z155" s="3">
        <f t="shared" si="24"/>
        <v>1.0614745016070513</v>
      </c>
      <c r="AB155" s="3">
        <f>$AC$2*($AC$3+$AC$4*$F155/($N155*'Dataset sem TS MC2020'!P147))*($AC$5*$G155+$AC$6*$B155/$N155)*'Dataset sem TS MC2020'!R147*($J155-$M155)/($J155-$M155-$H155)</f>
        <v>0.20006186759523198</v>
      </c>
      <c r="AC155" s="3">
        <f t="shared" si="25"/>
        <v>1.0529571978696419</v>
      </c>
      <c r="AD155" s="16">
        <f t="shared" si="26"/>
        <v>1.0061867595231977E-2</v>
      </c>
      <c r="AE155" s="17">
        <f t="shared" si="27"/>
        <v>0.94970621980002068</v>
      </c>
      <c r="AF155" s="17">
        <f>AB155*(14.068*'Dataset sem TS MC2020'!$P147^-0.457)/$Q155</f>
        <v>1.1004525028075789</v>
      </c>
      <c r="AG155" s="17"/>
      <c r="AO155" s="3">
        <f>$AP$2*($AP$3+$AP$4*$F155/($N155*'Dataset sem TS MC2020'!P147))*($AP$5*$G155+$AP$6*$B155/$N155)*('Dataset sem TS MC2020'!P147^$AP$7/200000)*($J155-$M155)/($J155-$M155-$H155)+('Dataset sem TS MC2020'!P147-$C155/$AP$8)*($AP$5*$G155+$AP$6*$B155/$N155)/200000</f>
        <v>0.20737954531758862</v>
      </c>
      <c r="AP155" s="3">
        <f t="shared" si="28"/>
        <v>1.0914712911452034</v>
      </c>
      <c r="AQ155" s="16">
        <f t="shared" si="29"/>
        <v>1.7379545317588618E-2</v>
      </c>
    </row>
    <row r="156" spans="1:43" x14ac:dyDescent="0.3">
      <c r="B156" s="4">
        <v>10</v>
      </c>
      <c r="C156" s="5">
        <v>528</v>
      </c>
      <c r="D156" s="5">
        <v>1</v>
      </c>
      <c r="E156" s="4">
        <v>45</v>
      </c>
      <c r="F156" s="3">
        <v>2.8</v>
      </c>
      <c r="G156" s="4">
        <v>40</v>
      </c>
      <c r="H156" s="4">
        <v>45</v>
      </c>
      <c r="I156" s="1">
        <v>100</v>
      </c>
      <c r="J156" s="4">
        <v>250</v>
      </c>
      <c r="K156" s="5">
        <v>78.5</v>
      </c>
      <c r="L156" s="3">
        <v>9500</v>
      </c>
      <c r="M156" s="5">
        <v>43.445968908792679</v>
      </c>
      <c r="N156" s="8">
        <v>8.263157894736842E-3</v>
      </c>
      <c r="O156" s="3">
        <v>4.71</v>
      </c>
      <c r="P156" s="5">
        <v>168.14154174110175</v>
      </c>
      <c r="Q156" s="3">
        <v>0.2</v>
      </c>
      <c r="R156" s="12">
        <f t="shared" si="22"/>
        <v>8.4070770870550877E-4</v>
      </c>
      <c r="V156" s="3">
        <f t="shared" si="20"/>
        <v>0.22595234528568336</v>
      </c>
      <c r="W156" s="3">
        <f t="shared" si="23"/>
        <v>1.1297617264284168</v>
      </c>
      <c r="Y156" s="3">
        <f t="shared" si="21"/>
        <v>0.23080377074756953</v>
      </c>
      <c r="Z156" s="3">
        <f t="shared" si="24"/>
        <v>1.1540188537378475</v>
      </c>
      <c r="AB156" s="3">
        <f>$AC$2*($AC$3+$AC$4*$F156/($N156*'Dataset sem TS MC2020'!P148))*($AC$5*$G156+$AC$6*$B156/$N156)*'Dataset sem TS MC2020'!R148*($J156-$M156)/($J156-$M156-$H156)</f>
        <v>0.23495110292436769</v>
      </c>
      <c r="AC156" s="3">
        <f t="shared" si="25"/>
        <v>1.1747555146218385</v>
      </c>
      <c r="AD156" s="16">
        <f t="shared" si="26"/>
        <v>3.4951102924367677E-2</v>
      </c>
      <c r="AE156" s="17">
        <f t="shared" si="27"/>
        <v>0.85124094975787923</v>
      </c>
      <c r="AF156" s="17">
        <f>AB156*(14.068*'Dataset sem TS MC2020'!$P148^-0.457)/$Q156</f>
        <v>1.192601907681444</v>
      </c>
      <c r="AG156" s="17"/>
      <c r="AO156" s="3">
        <f>$AP$2*($AP$3+$AP$4*$F156/($N156*'Dataset sem TS MC2020'!P148))*($AP$5*$G156+$AP$6*$B156/$N156)*('Dataset sem TS MC2020'!P148^$AP$7/200000)*($J156-$M156)/($J156-$M156-$H156)+('Dataset sem TS MC2020'!P148-$C156/$AP$8)*($AP$5*$G156+$AP$6*$B156/$N156)/200000</f>
        <v>0.24356496139696177</v>
      </c>
      <c r="AP156" s="3">
        <f t="shared" si="28"/>
        <v>1.2178248069848088</v>
      </c>
      <c r="AQ156" s="16">
        <f t="shared" si="29"/>
        <v>4.3564961396961754E-2</v>
      </c>
    </row>
    <row r="157" spans="1:43" x14ac:dyDescent="0.3">
      <c r="B157" s="4">
        <v>10</v>
      </c>
      <c r="C157" s="5">
        <v>528</v>
      </c>
      <c r="D157" s="5">
        <v>1</v>
      </c>
      <c r="E157" s="4">
        <v>45</v>
      </c>
      <c r="F157" s="3">
        <v>2.8</v>
      </c>
      <c r="G157" s="4">
        <v>40</v>
      </c>
      <c r="H157" s="4">
        <v>45</v>
      </c>
      <c r="I157" s="1">
        <v>100</v>
      </c>
      <c r="J157" s="4">
        <v>250</v>
      </c>
      <c r="K157" s="5">
        <v>78.5</v>
      </c>
      <c r="L157" s="3">
        <v>9500</v>
      </c>
      <c r="M157" s="5">
        <v>43.445968908792679</v>
      </c>
      <c r="N157" s="8">
        <v>8.263157894736842E-3</v>
      </c>
      <c r="O157" s="3">
        <v>5.04</v>
      </c>
      <c r="P157" s="5">
        <v>205.1234194258758</v>
      </c>
      <c r="Q157" s="3">
        <v>0.22</v>
      </c>
      <c r="R157" s="12">
        <f t="shared" si="22"/>
        <v>1.0256170971293789E-3</v>
      </c>
      <c r="V157" s="3">
        <f t="shared" si="20"/>
        <v>0.25543992067546406</v>
      </c>
      <c r="W157" s="3">
        <f t="shared" si="23"/>
        <v>1.1610905485248366</v>
      </c>
      <c r="Y157" s="3">
        <f t="shared" si="21"/>
        <v>0.26149570461453986</v>
      </c>
      <c r="Z157" s="3">
        <f t="shared" si="24"/>
        <v>1.1886168391569993</v>
      </c>
      <c r="AB157" s="3">
        <f>$AC$2*($AC$3+$AC$4*$F157/($N157*'Dataset sem TS MC2020'!P149))*($AC$5*$G157+$AC$6*$B157/$N157)*'Dataset sem TS MC2020'!R149*($J157-$M157)/($J157-$M157-$H157)</f>
        <v>0.27465264657476329</v>
      </c>
      <c r="AC157" s="3">
        <f t="shared" si="25"/>
        <v>1.2484211207943785</v>
      </c>
      <c r="AD157" s="16">
        <f t="shared" si="26"/>
        <v>5.4652646574763292E-2</v>
      </c>
      <c r="AE157" s="17">
        <f t="shared" si="27"/>
        <v>0.80101176064987867</v>
      </c>
      <c r="AF157" s="17">
        <f>AB157*(14.068*'Dataset sem TS MC2020'!$P149^-0.457)/$Q157</f>
        <v>1.2287652311393868</v>
      </c>
      <c r="AG157" s="17"/>
      <c r="AO157" s="3">
        <f>$AP$2*($AP$3+$AP$4*$F157/($N157*'Dataset sem TS MC2020'!P149))*($AP$5*$G157+$AP$6*$B157/$N157)*('Dataset sem TS MC2020'!P149^$AP$7/200000)*($J157-$M157)/($J157-$M157-$H157)+('Dataset sem TS MC2020'!P149-$C157/$AP$8)*($AP$5*$G157+$AP$6*$B157/$N157)/200000</f>
        <v>0.28399842882801629</v>
      </c>
      <c r="AP157" s="3">
        <f t="shared" si="28"/>
        <v>1.2909019492182559</v>
      </c>
      <c r="AQ157" s="16">
        <f t="shared" si="29"/>
        <v>6.3998428828016291E-2</v>
      </c>
    </row>
    <row r="158" spans="1:43" x14ac:dyDescent="0.3">
      <c r="B158" s="4">
        <v>10</v>
      </c>
      <c r="C158" s="5">
        <v>528</v>
      </c>
      <c r="D158" s="5">
        <v>1</v>
      </c>
      <c r="E158" s="4">
        <v>45</v>
      </c>
      <c r="F158" s="3">
        <v>2.8</v>
      </c>
      <c r="G158" s="4">
        <v>40</v>
      </c>
      <c r="H158" s="4">
        <v>45</v>
      </c>
      <c r="I158" s="1">
        <v>100</v>
      </c>
      <c r="J158" s="4">
        <v>250</v>
      </c>
      <c r="K158" s="5">
        <v>78.5</v>
      </c>
      <c r="L158" s="3">
        <v>9500</v>
      </c>
      <c r="M158" s="5">
        <v>43.445968908792679</v>
      </c>
      <c r="N158" s="8">
        <v>8.263157894736842E-3</v>
      </c>
      <c r="O158" s="3">
        <v>5.37</v>
      </c>
      <c r="P158" s="5">
        <v>242.10529711064999</v>
      </c>
      <c r="Q158" s="3">
        <v>0.24</v>
      </c>
      <c r="R158" s="12">
        <f t="shared" si="22"/>
        <v>1.2105264855532499E-3</v>
      </c>
      <c r="V158" s="3">
        <f t="shared" si="20"/>
        <v>0.28294759757331728</v>
      </c>
      <c r="W158" s="3">
        <f t="shared" si="23"/>
        <v>1.1789483232221554</v>
      </c>
      <c r="Y158" s="3">
        <f t="shared" si="21"/>
        <v>0.29018414446051505</v>
      </c>
      <c r="Z158" s="3">
        <f t="shared" si="24"/>
        <v>1.2091006019188126</v>
      </c>
      <c r="AB158" s="3">
        <f>$AC$2*($AC$3+$AC$4*$F158/($N158*'Dataset sem TS MC2020'!P150))*($AC$5*$G158+$AC$6*$B158/$N158)*'Dataset sem TS MC2020'!R150*($J158-$M158)/($J158-$M158-$H158)</f>
        <v>0.31435419022515898</v>
      </c>
      <c r="AC158" s="3">
        <f t="shared" si="25"/>
        <v>1.3098091259381626</v>
      </c>
      <c r="AD158" s="16">
        <f t="shared" si="26"/>
        <v>7.4354190225158989E-2</v>
      </c>
      <c r="AE158" s="17">
        <f t="shared" si="27"/>
        <v>0.76347002032356504</v>
      </c>
      <c r="AF158" s="17">
        <f>AB158*(14.068*'Dataset sem TS MC2020'!$P150^-0.457)/$Q158</f>
        <v>1.2523575124642121</v>
      </c>
      <c r="AG158" s="17"/>
      <c r="AO158" s="3">
        <f>$AP$2*($AP$3+$AP$4*$F158/($N158*'Dataset sem TS MC2020'!P150))*($AP$5*$G158+$AP$6*$B158/$N158)*('Dataset sem TS MC2020'!P150^$AP$7/200000)*($J158-$M158)/($J158-$M158-$H158)+('Dataset sem TS MC2020'!P150-$C158/$AP$8)*($AP$5*$G158+$AP$6*$B158/$N158)/200000</f>
        <v>0.32372047726413938</v>
      </c>
      <c r="AP158" s="3">
        <f t="shared" si="28"/>
        <v>1.3488353219339142</v>
      </c>
      <c r="AQ158" s="16">
        <f t="shared" si="29"/>
        <v>8.3720477264139392E-2</v>
      </c>
    </row>
    <row r="159" spans="1:43" x14ac:dyDescent="0.3">
      <c r="B159" s="4">
        <v>10</v>
      </c>
      <c r="C159" s="5">
        <v>528</v>
      </c>
      <c r="D159" s="5">
        <v>1</v>
      </c>
      <c r="E159" s="4">
        <v>45</v>
      </c>
      <c r="F159" s="3">
        <v>2.8</v>
      </c>
      <c r="G159" s="4">
        <v>40</v>
      </c>
      <c r="H159" s="4">
        <v>45</v>
      </c>
      <c r="I159" s="1">
        <v>100</v>
      </c>
      <c r="J159" s="4">
        <v>250</v>
      </c>
      <c r="K159" s="5">
        <v>78.5</v>
      </c>
      <c r="L159" s="3">
        <v>9500</v>
      </c>
      <c r="M159" s="5">
        <v>43.445968908792679</v>
      </c>
      <c r="N159" s="8">
        <v>8.263157894736842E-3</v>
      </c>
      <c r="O159" s="3">
        <v>5.65</v>
      </c>
      <c r="P159" s="5">
        <v>273.48385999470082</v>
      </c>
      <c r="Q159" s="3">
        <v>0.26</v>
      </c>
      <c r="R159" s="12">
        <f t="shared" si="22"/>
        <v>1.3674192999735041E-3</v>
      </c>
      <c r="V159" s="3">
        <f t="shared" si="20"/>
        <v>0.30504381403016806</v>
      </c>
      <c r="W159" s="3">
        <f t="shared" si="23"/>
        <v>1.1732454385775695</v>
      </c>
      <c r="Y159" s="3">
        <f t="shared" si="21"/>
        <v>0.31326515634924573</v>
      </c>
      <c r="Z159" s="3">
        <f t="shared" si="24"/>
        <v>1.2048659859586375</v>
      </c>
      <c r="AB159" s="3">
        <f>$AC$2*($AC$3+$AC$4*$F159/($N159*'Dataset sem TS MC2020'!P151))*($AC$5*$G159+$AC$6*$B159/$N159)*'Dataset sem TS MC2020'!R151*($J159-$M159)/($J159-$M159-$H159)</f>
        <v>0.34804034847397947</v>
      </c>
      <c r="AC159" s="3">
        <f t="shared" si="25"/>
        <v>1.338616724899921</v>
      </c>
      <c r="AD159" s="16">
        <f t="shared" si="26"/>
        <v>8.8040348473979457E-2</v>
      </c>
      <c r="AE159" s="17">
        <f t="shared" si="27"/>
        <v>0.74703982207809561</v>
      </c>
      <c r="AF159" s="17">
        <f>AB159*(14.068*'Dataset sem TS MC2020'!$P151^-0.457)/$Q159</f>
        <v>1.2505143163628505</v>
      </c>
      <c r="AG159" s="17"/>
      <c r="AO159" s="3">
        <f>$AP$2*($AP$3+$AP$4*$F159/($N159*'Dataset sem TS MC2020'!P151))*($AP$5*$G159+$AP$6*$B159/$N159)*('Dataset sem TS MC2020'!P151^$AP$7/200000)*($J159-$M159)/($J159-$M159-$H159)+('Dataset sem TS MC2020'!P151-$C159/$AP$8)*($AP$5*$G159+$AP$6*$B159/$N159)/200000</f>
        <v>0.35691820173068428</v>
      </c>
      <c r="AP159" s="3">
        <f t="shared" si="28"/>
        <v>1.3727623143487857</v>
      </c>
      <c r="AQ159" s="16">
        <f t="shared" si="29"/>
        <v>9.6918201730684272E-2</v>
      </c>
    </row>
    <row r="160" spans="1:43" x14ac:dyDescent="0.3">
      <c r="B160" s="4">
        <v>10</v>
      </c>
      <c r="C160" s="5">
        <v>528</v>
      </c>
      <c r="D160" s="5">
        <v>1</v>
      </c>
      <c r="E160" s="4">
        <v>45</v>
      </c>
      <c r="F160" s="3">
        <v>2.8</v>
      </c>
      <c r="G160" s="4">
        <v>40</v>
      </c>
      <c r="H160" s="4">
        <v>45</v>
      </c>
      <c r="I160" s="1">
        <v>100</v>
      </c>
      <c r="J160" s="4">
        <v>250</v>
      </c>
      <c r="K160" s="5">
        <v>78.5</v>
      </c>
      <c r="L160" s="3">
        <v>9500</v>
      </c>
      <c r="M160" s="5">
        <v>43.445968908792679</v>
      </c>
      <c r="N160" s="8">
        <v>8.263157894736842E-3</v>
      </c>
      <c r="O160" s="3">
        <v>5.92</v>
      </c>
      <c r="P160" s="5">
        <v>303.74175991860687</v>
      </c>
      <c r="Q160" s="3">
        <v>0.28999999999999998</v>
      </c>
      <c r="R160" s="12">
        <f t="shared" si="22"/>
        <v>1.5187087995930343E-3</v>
      </c>
      <c r="V160" s="3">
        <f t="shared" si="20"/>
        <v>0.32544727720584327</v>
      </c>
      <c r="W160" s="3">
        <f t="shared" si="23"/>
        <v>1.1222319903649769</v>
      </c>
      <c r="Y160" s="3">
        <f t="shared" si="21"/>
        <v>0.33460452749989067</v>
      </c>
      <c r="Z160" s="3">
        <f t="shared" si="24"/>
        <v>1.1538087155168644</v>
      </c>
      <c r="AB160" s="3">
        <f>$AC$2*($AC$3+$AC$4*$F160/($N160*'Dataset sem TS MC2020'!P152))*($AC$5*$G160+$AC$6*$B160/$N160)*'Dataset sem TS MC2020'!R152*($J160-$M160)/($J160-$M160-$H160)</f>
        <v>0.38052342964248498</v>
      </c>
      <c r="AC160" s="3">
        <f t="shared" si="25"/>
        <v>1.3121497573878793</v>
      </c>
      <c r="AD160" s="16">
        <f t="shared" si="26"/>
        <v>9.0523429642484998E-2</v>
      </c>
      <c r="AE160" s="17">
        <f t="shared" si="27"/>
        <v>0.76210813161351221</v>
      </c>
      <c r="AF160" s="17">
        <f>AB160*(14.068*'Dataset sem TS MC2020'!$P152^-0.457)/$Q160</f>
        <v>1.1999162818107421</v>
      </c>
      <c r="AG160" s="17"/>
      <c r="AO160" s="3">
        <f>$AP$2*($AP$3+$AP$4*$F160/($N160*'Dataset sem TS MC2020'!P152))*($AP$5*$G160+$AP$6*$B160/$N160)*('Dataset sem TS MC2020'!P152^$AP$7/200000)*($J160-$M160)/($J160-$M160-$H160)+('Dataset sem TS MC2020'!P152-$C160/$AP$8)*($AP$5*$G160+$AP$6*$B160/$N160)/200000</f>
        <v>0.38852670283858093</v>
      </c>
      <c r="AP160" s="3">
        <f t="shared" si="28"/>
        <v>1.3397472511675206</v>
      </c>
      <c r="AQ160" s="16">
        <f t="shared" si="29"/>
        <v>9.8526702838580948E-2</v>
      </c>
    </row>
    <row r="161" spans="1:43" x14ac:dyDescent="0.3">
      <c r="A161" s="1" t="s">
        <v>39</v>
      </c>
      <c r="B161" s="4">
        <v>20</v>
      </c>
      <c r="C161" s="5">
        <v>598</v>
      </c>
      <c r="D161" s="5">
        <v>1</v>
      </c>
      <c r="E161" s="4">
        <v>40</v>
      </c>
      <c r="F161" s="3">
        <v>2.8</v>
      </c>
      <c r="G161" s="4">
        <v>40</v>
      </c>
      <c r="H161" s="4">
        <v>50</v>
      </c>
      <c r="I161" s="1">
        <v>100</v>
      </c>
      <c r="J161" s="4">
        <v>250</v>
      </c>
      <c r="K161" s="5">
        <v>315</v>
      </c>
      <c r="L161" s="3">
        <v>15000</v>
      </c>
      <c r="M161" s="5">
        <v>75.400393066082174</v>
      </c>
      <c r="N161" s="8">
        <v>2.1000000000000001E-2</v>
      </c>
      <c r="O161" s="3">
        <v>11.09</v>
      </c>
      <c r="P161" s="5">
        <v>109.16524353049461</v>
      </c>
      <c r="Q161" s="3">
        <v>0.17</v>
      </c>
      <c r="R161" s="12">
        <f t="shared" si="22"/>
        <v>5.4582621765247299E-4</v>
      </c>
      <c r="V161" s="3">
        <f t="shared" si="20"/>
        <v>0.18694451042711902</v>
      </c>
      <c r="W161" s="3">
        <f t="shared" si="23"/>
        <v>1.0996735907477588</v>
      </c>
      <c r="Y161" s="3">
        <f t="shared" si="21"/>
        <v>0.18431221703682621</v>
      </c>
      <c r="Z161" s="3">
        <f t="shared" si="24"/>
        <v>1.0841895119813305</v>
      </c>
      <c r="AB161" s="3">
        <f>$AC$2*($AC$3+$AC$4*$F161/($N161*'Dataset sem TS MC2020'!P153))*($AC$5*$G161+$AC$6*$B161/$N161)*'Dataset sem TS MC2020'!R153*($J161-$M161)/($J161-$M161-$H161)</f>
        <v>0.21016048809803237</v>
      </c>
      <c r="AC161" s="3">
        <f t="shared" si="25"/>
        <v>1.2362381652825432</v>
      </c>
      <c r="AD161" s="16">
        <f t="shared" si="26"/>
        <v>4.0160488098032354E-2</v>
      </c>
      <c r="AE161" s="17">
        <f t="shared" si="27"/>
        <v>0.80890562035952773</v>
      </c>
      <c r="AF161" s="17">
        <f>AB161*(14.068*'Dataset sem TS MC2020'!$P153^-0.457)/$Q161</f>
        <v>1.5397339221202411</v>
      </c>
      <c r="AG161" s="17"/>
      <c r="AO161" s="3">
        <f>$AP$2*($AP$3+$AP$4*$F161/($N161*'Dataset sem TS MC2020'!P153))*($AP$5*$G161+$AP$6*$B161/$N161)*('Dataset sem TS MC2020'!P153^$AP$7/200000)*($J161-$M161)/($J161-$M161-$H161)+('Dataset sem TS MC2020'!P153-$C161/$AP$8)*($AP$5*$G161+$AP$6*$B161/$N161)/200000</f>
        <v>0.22309114806131375</v>
      </c>
      <c r="AP161" s="3">
        <f t="shared" si="28"/>
        <v>1.3123008709489044</v>
      </c>
      <c r="AQ161" s="16">
        <f t="shared" si="29"/>
        <v>5.3091148061313737E-2</v>
      </c>
    </row>
    <row r="162" spans="1:43" x14ac:dyDescent="0.3">
      <c r="B162" s="4">
        <v>20</v>
      </c>
      <c r="C162" s="5">
        <v>598</v>
      </c>
      <c r="D162" s="5">
        <v>1</v>
      </c>
      <c r="E162" s="4">
        <v>40</v>
      </c>
      <c r="F162" s="3">
        <v>2.8</v>
      </c>
      <c r="G162" s="4">
        <v>40</v>
      </c>
      <c r="H162" s="4">
        <v>50</v>
      </c>
      <c r="I162" s="1">
        <v>100</v>
      </c>
      <c r="J162" s="4">
        <v>250</v>
      </c>
      <c r="K162" s="5">
        <v>315</v>
      </c>
      <c r="L162" s="3">
        <v>15000</v>
      </c>
      <c r="M162" s="5">
        <v>75.400393066082174</v>
      </c>
      <c r="N162" s="8">
        <v>2.1000000000000001E-2</v>
      </c>
      <c r="O162" s="3">
        <v>12.96</v>
      </c>
      <c r="P162" s="5">
        <v>151.46653733588147</v>
      </c>
      <c r="Q162" s="3">
        <v>0.2</v>
      </c>
      <c r="R162" s="12">
        <f t="shared" si="22"/>
        <v>7.5733268667940734E-4</v>
      </c>
      <c r="V162" s="3">
        <f t="shared" si="20"/>
        <v>0.22880739230353872</v>
      </c>
      <c r="W162" s="3">
        <f t="shared" si="23"/>
        <v>1.1440369615176935</v>
      </c>
      <c r="Y162" s="3">
        <f t="shared" si="21"/>
        <v>0.22639978669059013</v>
      </c>
      <c r="Z162" s="3">
        <f t="shared" si="24"/>
        <v>1.1319989334529506</v>
      </c>
      <c r="AB162" s="3">
        <f>$AC$2*($AC$3+$AC$4*$F162/($N162*'Dataset sem TS MC2020'!P154))*($AC$5*$G162+$AC$6*$B162/$N162)*'Dataset sem TS MC2020'!R154*($J162-$M162)/($J162-$M162-$H162)</f>
        <v>0.26555673888762138</v>
      </c>
      <c r="AC162" s="3">
        <f t="shared" si="25"/>
        <v>1.3277836944381067</v>
      </c>
      <c r="AD162" s="16">
        <f t="shared" si="26"/>
        <v>6.5556738887621369E-2</v>
      </c>
      <c r="AE162" s="17">
        <f t="shared" si="27"/>
        <v>0.75313471929867415</v>
      </c>
      <c r="AF162" s="17">
        <f>AB162*(14.068*'Dataset sem TS MC2020'!$P154^-0.457)/$Q162</f>
        <v>1.5400828788097534</v>
      </c>
      <c r="AG162" s="17"/>
      <c r="AO162" s="3">
        <f>$AP$2*($AP$3+$AP$4*$F162/($N162*'Dataset sem TS MC2020'!P154))*($AP$5*$G162+$AP$6*$B162/$N162)*('Dataset sem TS MC2020'!P154^$AP$7/200000)*($J162-$M162)/($J162-$M162-$H162)+('Dataset sem TS MC2020'!P154-$C162/$AP$8)*($AP$5*$G162+$AP$6*$B162/$N162)/200000</f>
        <v>0.28004624468214617</v>
      </c>
      <c r="AP162" s="3">
        <f t="shared" si="28"/>
        <v>1.4002312234107308</v>
      </c>
      <c r="AQ162" s="16">
        <f t="shared" si="29"/>
        <v>8.0046244682146162E-2</v>
      </c>
    </row>
    <row r="163" spans="1:43" x14ac:dyDescent="0.3">
      <c r="B163" s="4">
        <v>20</v>
      </c>
      <c r="C163" s="5">
        <v>598</v>
      </c>
      <c r="D163" s="5">
        <v>1</v>
      </c>
      <c r="E163" s="4">
        <v>40</v>
      </c>
      <c r="F163" s="3">
        <v>2.8</v>
      </c>
      <c r="G163" s="4">
        <v>40</v>
      </c>
      <c r="H163" s="4">
        <v>50</v>
      </c>
      <c r="I163" s="1">
        <v>100</v>
      </c>
      <c r="J163" s="4">
        <v>250</v>
      </c>
      <c r="K163" s="5">
        <v>315</v>
      </c>
      <c r="L163" s="3">
        <v>15000</v>
      </c>
      <c r="M163" s="5">
        <v>75.400393066082174</v>
      </c>
      <c r="N163" s="8">
        <v>2.1000000000000001E-2</v>
      </c>
      <c r="O163" s="3">
        <v>14.77</v>
      </c>
      <c r="P163" s="5">
        <v>194.07401281353179</v>
      </c>
      <c r="Q163" s="3">
        <v>0.24</v>
      </c>
      <c r="R163" s="12">
        <f t="shared" si="22"/>
        <v>9.7037006406765897E-4</v>
      </c>
      <c r="V163" s="3">
        <f t="shared" si="20"/>
        <v>0.26661865079535574</v>
      </c>
      <c r="W163" s="3">
        <f t="shared" si="23"/>
        <v>1.110911044980649</v>
      </c>
      <c r="Y163" s="3">
        <f t="shared" si="21"/>
        <v>0.26453348033249041</v>
      </c>
      <c r="Z163" s="3">
        <f t="shared" si="24"/>
        <v>1.1022228347187102</v>
      </c>
      <c r="AB163" s="3">
        <f>$AC$2*($AC$3+$AC$4*$F163/($N163*'Dataset sem TS MC2020'!P155))*($AC$5*$G163+$AC$6*$B163/$N163)*'Dataset sem TS MC2020'!R155*($J163-$M163)/($J163-$M163-$H163)</f>
        <v>0.31917556986577966</v>
      </c>
      <c r="AC163" s="3">
        <f t="shared" si="25"/>
        <v>1.329898207774082</v>
      </c>
      <c r="AD163" s="16">
        <f t="shared" si="26"/>
        <v>7.9175569865779671E-2</v>
      </c>
      <c r="AE163" s="17">
        <f t="shared" si="27"/>
        <v>0.75193724914762516</v>
      </c>
      <c r="AF163" s="17">
        <f>AB163*(14.068*'Dataset sem TS MC2020'!$P155^-0.457)/$Q163</f>
        <v>1.4530774457043854</v>
      </c>
      <c r="AG163" s="17"/>
      <c r="AO163" s="3">
        <f>$AP$2*($AP$3+$AP$4*$F163/($N163*'Dataset sem TS MC2020'!P155))*($AP$5*$G163+$AP$6*$B163/$N163)*('Dataset sem TS MC2020'!P155^$AP$7/200000)*($J163-$M163)/($J163-$M163-$H163)+('Dataset sem TS MC2020'!P155-$C163/$AP$8)*($AP$5*$G163+$AP$6*$B163/$N163)/200000</f>
        <v>0.33338530336697769</v>
      </c>
      <c r="AP163" s="3">
        <f t="shared" si="28"/>
        <v>1.3891054306957404</v>
      </c>
      <c r="AQ163" s="16">
        <f t="shared" si="29"/>
        <v>9.3385303366977701E-2</v>
      </c>
    </row>
    <row r="164" spans="1:43" x14ac:dyDescent="0.3">
      <c r="B164" s="4">
        <v>20</v>
      </c>
      <c r="C164" s="5">
        <v>598</v>
      </c>
      <c r="D164" s="5">
        <v>1</v>
      </c>
      <c r="E164" s="4">
        <v>40</v>
      </c>
      <c r="F164" s="3">
        <v>2.8</v>
      </c>
      <c r="G164" s="4">
        <v>40</v>
      </c>
      <c r="H164" s="4">
        <v>50</v>
      </c>
      <c r="I164" s="1">
        <v>100</v>
      </c>
      <c r="J164" s="4">
        <v>250</v>
      </c>
      <c r="K164" s="5">
        <v>315</v>
      </c>
      <c r="L164" s="3">
        <v>15000</v>
      </c>
      <c r="M164" s="5">
        <v>75.400393066082174</v>
      </c>
      <c r="N164" s="8">
        <v>2.1000000000000001E-2</v>
      </c>
      <c r="O164" s="3">
        <v>16.57</v>
      </c>
      <c r="P164" s="5">
        <v>236.44608787417852</v>
      </c>
      <c r="Q164" s="3">
        <v>0.27</v>
      </c>
      <c r="R164" s="12">
        <f t="shared" si="22"/>
        <v>1.1822304393708926E-3</v>
      </c>
      <c r="V164" s="3">
        <f t="shared" si="20"/>
        <v>0.30116699475999031</v>
      </c>
      <c r="W164" s="3">
        <f t="shared" si="23"/>
        <v>1.1154333139258901</v>
      </c>
      <c r="Y164" s="3">
        <f t="shared" si="21"/>
        <v>0.29946143881751913</v>
      </c>
      <c r="Z164" s="3">
        <f t="shared" si="24"/>
        <v>1.1091164400648856</v>
      </c>
      <c r="AB164" s="3">
        <f>$AC$2*($AC$3+$AC$4*$F164/($N164*'Dataset sem TS MC2020'!P156))*($AC$5*$G164+$AC$6*$B164/$N164)*'Dataset sem TS MC2020'!R156*($J164-$M164)/($J164-$M164-$H164)</f>
        <v>0.37249816420869947</v>
      </c>
      <c r="AC164" s="3">
        <f t="shared" si="25"/>
        <v>1.3796228304025906</v>
      </c>
      <c r="AD164" s="16">
        <f t="shared" si="26"/>
        <v>0.10249816420869945</v>
      </c>
      <c r="AE164" s="17">
        <f t="shared" si="27"/>
        <v>0.724835786972435</v>
      </c>
      <c r="AF164" s="17">
        <f>AB164*(14.068*'Dataset sem TS MC2020'!$P156^-0.457)/$Q164</f>
        <v>1.4302344467187618</v>
      </c>
      <c r="AG164" s="17"/>
      <c r="AO164" s="3">
        <f>$AP$2*($AP$3+$AP$4*$F164/($N164*'Dataset sem TS MC2020'!P156))*($AP$5*$G164+$AP$6*$B164/$N164)*('Dataset sem TS MC2020'!P156^$AP$7/200000)*($J164-$M164)/($J164-$M164-$H164)+('Dataset sem TS MC2020'!P156-$C164/$AP$8)*($AP$5*$G164+$AP$6*$B164/$N164)/200000</f>
        <v>0.3849968609198145</v>
      </c>
      <c r="AP164" s="3">
        <f t="shared" si="28"/>
        <v>1.4259142997030165</v>
      </c>
      <c r="AQ164" s="16">
        <f t="shared" si="29"/>
        <v>0.11499686091981448</v>
      </c>
    </row>
    <row r="165" spans="1:43" x14ac:dyDescent="0.3">
      <c r="B165" s="4">
        <v>20</v>
      </c>
      <c r="C165" s="5">
        <v>598</v>
      </c>
      <c r="D165" s="5">
        <v>1</v>
      </c>
      <c r="E165" s="4">
        <v>40</v>
      </c>
      <c r="F165" s="3">
        <v>2.8</v>
      </c>
      <c r="G165" s="4">
        <v>40</v>
      </c>
      <c r="H165" s="4">
        <v>50</v>
      </c>
      <c r="I165" s="1">
        <v>100</v>
      </c>
      <c r="J165" s="4">
        <v>250</v>
      </c>
      <c r="K165" s="5">
        <v>315</v>
      </c>
      <c r="L165" s="3">
        <v>15000</v>
      </c>
      <c r="M165" s="5">
        <v>75.400393066082174</v>
      </c>
      <c r="N165" s="8">
        <v>2.1000000000000001E-2</v>
      </c>
      <c r="O165" s="3">
        <v>18.350000000000001</v>
      </c>
      <c r="P165" s="5">
        <v>278.34736210081826</v>
      </c>
      <c r="Q165" s="3">
        <v>0.32</v>
      </c>
      <c r="R165" s="12">
        <f t="shared" si="22"/>
        <v>1.3917368105040913E-3</v>
      </c>
      <c r="V165" s="3">
        <f t="shared" si="20"/>
        <v>0.33306185470397004</v>
      </c>
      <c r="W165" s="3">
        <f t="shared" si="23"/>
        <v>1.0408182959499064</v>
      </c>
      <c r="Y165" s="3">
        <f t="shared" si="21"/>
        <v>0.33177054981788312</v>
      </c>
      <c r="Z165" s="3">
        <f t="shared" si="24"/>
        <v>1.0367829681808847</v>
      </c>
      <c r="AB165" s="3">
        <f>$AC$2*($AC$3+$AC$4*$F165/($N165*'Dataset sem TS MC2020'!P157))*($AC$5*$G165+$AC$6*$B165/$N165)*'Dataset sem TS MC2020'!R157*($J165-$M165)/($J165-$M165-$H165)</f>
        <v>0.42522828528114265</v>
      </c>
      <c r="AC165" s="3">
        <f t="shared" si="25"/>
        <v>1.3288383915035709</v>
      </c>
      <c r="AD165" s="16">
        <f t="shared" si="26"/>
        <v>0.10522828528114264</v>
      </c>
      <c r="AE165" s="17">
        <f t="shared" si="27"/>
        <v>0.7525369573861479</v>
      </c>
      <c r="AF165" s="17">
        <f>AB165*(14.068*'Dataset sem TS MC2020'!$P157^-0.457)/$Q165</f>
        <v>1.3148243272463718</v>
      </c>
      <c r="AG165" s="17"/>
      <c r="AO165" s="3">
        <f>$AP$2*($AP$3+$AP$4*$F165/($N165*'Dataset sem TS MC2020'!P157))*($AP$5*$G165+$AP$6*$B165/$N165)*('Dataset sem TS MC2020'!P157^$AP$7/200000)*($J165-$M165)/($J165-$M165-$H165)+('Dataset sem TS MC2020'!P157-$C165/$AP$8)*($AP$5*$G165+$AP$6*$B165/$N165)/200000</f>
        <v>0.43484705512344168</v>
      </c>
      <c r="AP165" s="3">
        <f t="shared" si="28"/>
        <v>1.3588970472607553</v>
      </c>
      <c r="AQ165" s="16">
        <f t="shared" si="29"/>
        <v>0.11484705512344168</v>
      </c>
    </row>
    <row r="166" spans="1:43" x14ac:dyDescent="0.3">
      <c r="B166" s="4">
        <v>20</v>
      </c>
      <c r="C166" s="5">
        <v>598</v>
      </c>
      <c r="D166" s="5">
        <v>1</v>
      </c>
      <c r="E166" s="4">
        <v>40</v>
      </c>
      <c r="F166" s="3">
        <v>2.8</v>
      </c>
      <c r="G166" s="4">
        <v>40</v>
      </c>
      <c r="H166" s="4">
        <v>50</v>
      </c>
      <c r="I166" s="1">
        <v>100</v>
      </c>
      <c r="J166" s="4">
        <v>250</v>
      </c>
      <c r="K166" s="5">
        <v>315</v>
      </c>
      <c r="L166" s="3">
        <v>15000</v>
      </c>
      <c r="M166" s="5">
        <v>75.400393066082174</v>
      </c>
      <c r="N166" s="8">
        <v>2.1000000000000001E-2</v>
      </c>
      <c r="O166" s="3">
        <v>20.18</v>
      </c>
      <c r="P166" s="5">
        <v>321.42563841247556</v>
      </c>
      <c r="Q166" s="3">
        <v>0.34</v>
      </c>
      <c r="R166" s="12">
        <f t="shared" si="22"/>
        <v>1.6071281920623779E-3</v>
      </c>
      <c r="V166" s="3">
        <f t="shared" si="20"/>
        <v>0.363984866494449</v>
      </c>
      <c r="W166" s="3">
        <f t="shared" si="23"/>
        <v>1.0705437249836736</v>
      </c>
      <c r="Y166" s="3">
        <f t="shared" si="21"/>
        <v>0.36314802874042706</v>
      </c>
      <c r="Z166" s="3">
        <f t="shared" si="24"/>
        <v>1.0680824374718443</v>
      </c>
      <c r="AB166" s="3">
        <f>$AC$2*($AC$3+$AC$4*$F166/($N166*'Dataset sem TS MC2020'!P158))*($AC$5*$G166+$AC$6*$B166/$N166)*'Dataset sem TS MC2020'!R158*($J166-$M166)/($J166-$M166-$H166)</f>
        <v>0.47943958952977778</v>
      </c>
      <c r="AC166" s="3">
        <f t="shared" si="25"/>
        <v>1.410116439793464</v>
      </c>
      <c r="AD166" s="16">
        <f t="shared" si="26"/>
        <v>0.13943958952977775</v>
      </c>
      <c r="AE166" s="17">
        <f t="shared" si="27"/>
        <v>0.70916129461370392</v>
      </c>
      <c r="AF166" s="17">
        <f>AB166*(14.068*'Dataset sem TS MC2020'!$P158^-0.457)/$Q166</f>
        <v>1.3359286147565153</v>
      </c>
      <c r="AG166" s="17"/>
      <c r="AO166" s="3">
        <f>$AP$2*($AP$3+$AP$4*$F166/($N166*'Dataset sem TS MC2020'!P158))*($AP$5*$G166+$AP$6*$B166/$N166)*('Dataset sem TS MC2020'!P158^$AP$7/200000)*($J166-$M166)/($J166-$M166-$H166)+('Dataset sem TS MC2020'!P158-$C166/$AP$8)*($AP$5*$G166+$AP$6*$B166/$N166)/200000</f>
        <v>0.48503613131199569</v>
      </c>
      <c r="AP166" s="3">
        <f t="shared" si="28"/>
        <v>1.4265768567999872</v>
      </c>
      <c r="AQ166" s="16">
        <f t="shared" si="29"/>
        <v>0.14503613131199566</v>
      </c>
    </row>
    <row r="167" spans="1:43" x14ac:dyDescent="0.3">
      <c r="A167" s="1" t="s">
        <v>40</v>
      </c>
      <c r="B167" s="4">
        <v>20</v>
      </c>
      <c r="C167" s="5">
        <v>598</v>
      </c>
      <c r="D167" s="5">
        <v>1</v>
      </c>
      <c r="E167" s="4">
        <v>40</v>
      </c>
      <c r="F167" s="3">
        <v>2.8</v>
      </c>
      <c r="G167" s="4">
        <v>40</v>
      </c>
      <c r="H167" s="4">
        <v>50</v>
      </c>
      <c r="I167" s="1">
        <v>100</v>
      </c>
      <c r="J167" s="4">
        <v>250</v>
      </c>
      <c r="K167" s="5">
        <v>315</v>
      </c>
      <c r="L167" s="3">
        <v>15000</v>
      </c>
      <c r="M167" s="5">
        <v>75.400393066082174</v>
      </c>
      <c r="N167" s="8">
        <v>2.1000000000000001E-2</v>
      </c>
      <c r="O167" s="3">
        <v>9.35</v>
      </c>
      <c r="P167" s="5">
        <v>77.576526435790342</v>
      </c>
      <c r="Q167" s="3">
        <v>0.16</v>
      </c>
      <c r="R167" s="12">
        <f t="shared" si="22"/>
        <v>3.8788263217895169E-4</v>
      </c>
      <c r="V167" s="3">
        <f t="shared" si="20"/>
        <v>0.15141826403744404</v>
      </c>
      <c r="W167" s="3">
        <f t="shared" si="23"/>
        <v>0.94636415023402531</v>
      </c>
      <c r="Y167" s="3">
        <f t="shared" si="21"/>
        <v>0.14872630029544698</v>
      </c>
      <c r="Z167" s="3">
        <f t="shared" si="24"/>
        <v>0.92953937684654364</v>
      </c>
      <c r="AB167" s="3">
        <f>$AC$2*($AC$3+$AC$4*$F167/($N167*'Dataset sem TS MC2020'!P159))*($AC$5*$G167+$AC$6*$B167/$N167)*'Dataset sem TS MC2020'!R159*($J167-$M167)/($J167-$M167-$H167)</f>
        <v>0.15861531356654301</v>
      </c>
      <c r="AC167" s="3">
        <f t="shared" si="25"/>
        <v>0.99134570979089387</v>
      </c>
      <c r="AD167" s="16">
        <f t="shared" si="26"/>
        <v>-1.3846864334569886E-3</v>
      </c>
      <c r="AE167" s="17">
        <f t="shared" si="27"/>
        <v>1.0087298407847365</v>
      </c>
      <c r="AF167" s="17">
        <f>AB167*(14.068*'Dataset sem TS MC2020'!$P159^-0.457)/$Q167</f>
        <v>1.3348776838984378</v>
      </c>
      <c r="AG167" s="17"/>
      <c r="AO167" s="3">
        <f>$AP$2*($AP$3+$AP$4*$F167/($N167*'Dataset sem TS MC2020'!P159))*($AP$5*$G167+$AP$6*$B167/$N167)*('Dataset sem TS MC2020'!P159^$AP$7/200000)*($J167-$M167)/($J167-$M167-$H167)+('Dataset sem TS MC2020'!P159-$C167/$AP$8)*($AP$5*$G167+$AP$6*$B167/$N167)/200000</f>
        <v>0.16797448286405259</v>
      </c>
      <c r="AP167" s="3">
        <f t="shared" si="28"/>
        <v>1.0498405179003287</v>
      </c>
      <c r="AQ167" s="16">
        <f t="shared" si="29"/>
        <v>7.9744828640525844E-3</v>
      </c>
    </row>
    <row r="168" spans="1:43" x14ac:dyDescent="0.3">
      <c r="B168" s="4">
        <v>20</v>
      </c>
      <c r="C168" s="5">
        <v>598</v>
      </c>
      <c r="D168" s="5">
        <v>1</v>
      </c>
      <c r="E168" s="4">
        <v>40</v>
      </c>
      <c r="F168" s="3">
        <v>2.8</v>
      </c>
      <c r="G168" s="4">
        <v>40</v>
      </c>
      <c r="H168" s="4">
        <v>50</v>
      </c>
      <c r="I168" s="1">
        <v>100</v>
      </c>
      <c r="J168" s="4">
        <v>250</v>
      </c>
      <c r="K168" s="5">
        <v>315</v>
      </c>
      <c r="L168" s="3">
        <v>15000</v>
      </c>
      <c r="M168" s="5">
        <v>75.400393066082174</v>
      </c>
      <c r="N168" s="8">
        <v>2.1000000000000001E-2</v>
      </c>
      <c r="O168" s="3">
        <v>11.12</v>
      </c>
      <c r="P168" s="5">
        <v>109.70987658385157</v>
      </c>
      <c r="Q168" s="3">
        <v>0.2</v>
      </c>
      <c r="R168" s="12">
        <f t="shared" si="22"/>
        <v>5.4854938291925789E-4</v>
      </c>
      <c r="V168" s="3">
        <f t="shared" si="20"/>
        <v>0.18751942499534943</v>
      </c>
      <c r="W168" s="3">
        <f t="shared" si="23"/>
        <v>0.93759712497674708</v>
      </c>
      <c r="Y168" s="3">
        <f t="shared" si="21"/>
        <v>0.18488915762551456</v>
      </c>
      <c r="Z168" s="3">
        <f t="shared" si="24"/>
        <v>0.92444578812757272</v>
      </c>
      <c r="AB168" s="3">
        <f>$AC$2*($AC$3+$AC$4*$F168/($N168*'Dataset sem TS MC2020'!P160))*($AC$5*$G168+$AC$6*$B168/$N168)*'Dataset sem TS MC2020'!R160*($J168-$M168)/($J168-$M168-$H168)</f>
        <v>0.21104919800374769</v>
      </c>
      <c r="AC168" s="3">
        <f t="shared" si="25"/>
        <v>1.0552459900187383</v>
      </c>
      <c r="AD168" s="16">
        <f t="shared" si="26"/>
        <v>1.1049198003747679E-2</v>
      </c>
      <c r="AE168" s="17">
        <f t="shared" si="27"/>
        <v>0.94764633977167989</v>
      </c>
      <c r="AF168" s="17">
        <f>AB168*(14.068*'Dataset sem TS MC2020'!$P160^-0.457)/$Q168</f>
        <v>1.3126866549885814</v>
      </c>
      <c r="AG168" s="17"/>
      <c r="AO168" s="3">
        <f>$AP$2*($AP$3+$AP$4*$F168/($N168*'Dataset sem TS MC2020'!P160))*($AP$5*$G168+$AP$6*$B168/$N168)*('Dataset sem TS MC2020'!P160^$AP$7/200000)*($J168-$M168)/($J168-$M168-$H168)+('Dataset sem TS MC2020'!P160-$C168/$AP$8)*($AP$5*$G168+$AP$6*$B168/$N168)/200000</f>
        <v>0.22402199141759546</v>
      </c>
      <c r="AP168" s="3">
        <f t="shared" si="28"/>
        <v>1.1201099570879773</v>
      </c>
      <c r="AQ168" s="16">
        <f t="shared" si="29"/>
        <v>2.4021991417595451E-2</v>
      </c>
    </row>
    <row r="169" spans="1:43" x14ac:dyDescent="0.3">
      <c r="B169" s="4">
        <v>20</v>
      </c>
      <c r="C169" s="5">
        <v>598</v>
      </c>
      <c r="D169" s="5">
        <v>1</v>
      </c>
      <c r="E169" s="4">
        <v>40</v>
      </c>
      <c r="F169" s="3">
        <v>2.8</v>
      </c>
      <c r="G169" s="4">
        <v>40</v>
      </c>
      <c r="H169" s="4">
        <v>50</v>
      </c>
      <c r="I169" s="1">
        <v>100</v>
      </c>
      <c r="J169" s="4">
        <v>250</v>
      </c>
      <c r="K169" s="5">
        <v>315</v>
      </c>
      <c r="L169" s="3">
        <v>15000</v>
      </c>
      <c r="M169" s="5">
        <v>75.400393066082174</v>
      </c>
      <c r="N169" s="8">
        <v>2.1000000000000001E-2</v>
      </c>
      <c r="O169" s="3">
        <v>12.93</v>
      </c>
      <c r="P169" s="5">
        <v>150.76033608487063</v>
      </c>
      <c r="Q169" s="3">
        <v>0.24</v>
      </c>
      <c r="R169" s="12">
        <f t="shared" si="22"/>
        <v>7.5380168042435316E-4</v>
      </c>
      <c r="V169" s="3">
        <f t="shared" si="20"/>
        <v>0.22814858952122932</v>
      </c>
      <c r="W169" s="3">
        <f t="shared" si="23"/>
        <v>0.95061912300512219</v>
      </c>
      <c r="Y169" s="3">
        <f t="shared" si="21"/>
        <v>0.22573631146807477</v>
      </c>
      <c r="Z169" s="3">
        <f t="shared" si="24"/>
        <v>0.94056796445031154</v>
      </c>
      <c r="AB169" s="3">
        <f>$AC$2*($AC$3+$AC$4*$F169/($N169*'Dataset sem TS MC2020'!P161))*($AC$5*$G169+$AC$6*$B169/$N169)*'Dataset sem TS MC2020'!R161*($J169-$M169)/($J169-$M169-$H169)</f>
        <v>0.264668028981906</v>
      </c>
      <c r="AC169" s="3">
        <f t="shared" si="25"/>
        <v>1.1027834540912751</v>
      </c>
      <c r="AD169" s="16">
        <f t="shared" si="26"/>
        <v>2.4668028981906009E-2</v>
      </c>
      <c r="AE169" s="17">
        <f t="shared" si="27"/>
        <v>0.90679634001584508</v>
      </c>
      <c r="AF169" s="17">
        <f>AB169*(14.068*'Dataset sem TS MC2020'!$P161^-0.457)/$Q169</f>
        <v>1.2804627915105249</v>
      </c>
      <c r="AG169" s="17"/>
      <c r="AO169" s="3">
        <f>$AP$2*($AP$3+$AP$4*$F169/($N169*'Dataset sem TS MC2020'!P161))*($AP$5*$G169+$AP$6*$B169/$N169)*('Dataset sem TS MC2020'!P161^$AP$7/200000)*($J169-$M169)/($J169-$M169-$H169)+('Dataset sem TS MC2020'!P161-$C169/$AP$8)*($AP$5*$G169+$AP$6*$B169/$N169)/200000</f>
        <v>0.27914840127838508</v>
      </c>
      <c r="AP169" s="3">
        <f t="shared" si="28"/>
        <v>1.163118338659938</v>
      </c>
      <c r="AQ169" s="16">
        <f t="shared" si="29"/>
        <v>3.9148401278385092E-2</v>
      </c>
    </row>
    <row r="170" spans="1:43" x14ac:dyDescent="0.3">
      <c r="B170" s="4">
        <v>20</v>
      </c>
      <c r="C170" s="5">
        <v>598</v>
      </c>
      <c r="D170" s="5">
        <v>1</v>
      </c>
      <c r="E170" s="4">
        <v>40</v>
      </c>
      <c r="F170" s="3">
        <v>2.8</v>
      </c>
      <c r="G170" s="4">
        <v>40</v>
      </c>
      <c r="H170" s="4">
        <v>50</v>
      </c>
      <c r="I170" s="1">
        <v>100</v>
      </c>
      <c r="J170" s="4">
        <v>250</v>
      </c>
      <c r="K170" s="5">
        <v>315</v>
      </c>
      <c r="L170" s="3">
        <v>15000</v>
      </c>
      <c r="M170" s="5">
        <v>75.400393066082174</v>
      </c>
      <c r="N170" s="8">
        <v>2.1000000000000001E-2</v>
      </c>
      <c r="O170" s="3">
        <v>14.72</v>
      </c>
      <c r="P170" s="5">
        <v>192.89701072851383</v>
      </c>
      <c r="Q170" s="3">
        <v>0.27</v>
      </c>
      <c r="R170" s="12">
        <f t="shared" si="22"/>
        <v>9.6448505364256918E-4</v>
      </c>
      <c r="V170" s="3">
        <f t="shared" si="20"/>
        <v>0.26561982202404405</v>
      </c>
      <c r="W170" s="3">
        <f t="shared" si="23"/>
        <v>0.98377711860757044</v>
      </c>
      <c r="Y170" s="3">
        <f t="shared" si="21"/>
        <v>0.26352482887222128</v>
      </c>
      <c r="Z170" s="3">
        <f t="shared" si="24"/>
        <v>0.97601788471193063</v>
      </c>
      <c r="AB170" s="3">
        <f>$AC$2*($AC$3+$AC$4*$F170/($N170*'Dataset sem TS MC2020'!P162))*($AC$5*$G170+$AC$6*$B170/$N170)*'Dataset sem TS MC2020'!R162*($J170-$M170)/($J170-$M170-$H170)</f>
        <v>0.31769438668958749</v>
      </c>
      <c r="AC170" s="3">
        <f t="shared" si="25"/>
        <v>1.1766458766281018</v>
      </c>
      <c r="AD170" s="16">
        <f t="shared" si="26"/>
        <v>4.7694386689587476E-2</v>
      </c>
      <c r="AE170" s="17">
        <f t="shared" si="27"/>
        <v>0.84987337300300281</v>
      </c>
      <c r="AF170" s="17">
        <f>AB170*(14.068*'Dataset sem TS MC2020'!$P162^-0.457)/$Q170</f>
        <v>1.287624274523927</v>
      </c>
      <c r="AG170" s="17"/>
      <c r="AO170" s="3">
        <f>$AP$2*($AP$3+$AP$4*$F170/($N170*'Dataset sem TS MC2020'!P162))*($AP$5*$G170+$AP$6*$B170/$N170)*('Dataset sem TS MC2020'!P162^$AP$7/200000)*($J170-$M170)/($J170-$M170-$H170)+('Dataset sem TS MC2020'!P162-$C170/$AP$8)*($AP$5*$G170+$AP$6*$B170/$N170)/200000</f>
        <v>0.33193244448156545</v>
      </c>
      <c r="AP170" s="3">
        <f t="shared" si="28"/>
        <v>1.2293794240057978</v>
      </c>
      <c r="AQ170" s="16">
        <f t="shared" si="29"/>
        <v>6.193244448156543E-2</v>
      </c>
    </row>
    <row r="171" spans="1:43" x14ac:dyDescent="0.3">
      <c r="B171" s="4">
        <v>20</v>
      </c>
      <c r="C171" s="5">
        <v>598</v>
      </c>
      <c r="D171" s="5">
        <v>1</v>
      </c>
      <c r="E171" s="4">
        <v>40</v>
      </c>
      <c r="F171" s="3">
        <v>2.8</v>
      </c>
      <c r="G171" s="4">
        <v>40</v>
      </c>
      <c r="H171" s="4">
        <v>50</v>
      </c>
      <c r="I171" s="1">
        <v>100</v>
      </c>
      <c r="J171" s="4">
        <v>250</v>
      </c>
      <c r="K171" s="5">
        <v>315</v>
      </c>
      <c r="L171" s="3">
        <v>15000</v>
      </c>
      <c r="M171" s="5">
        <v>75.400393066082174</v>
      </c>
      <c r="N171" s="8">
        <v>2.1000000000000001E-2</v>
      </c>
      <c r="O171" s="3">
        <v>16.579999999999998</v>
      </c>
      <c r="P171" s="5">
        <v>236.68148829118212</v>
      </c>
      <c r="Q171" s="3">
        <v>0.28999999999999998</v>
      </c>
      <c r="R171" s="12">
        <f t="shared" si="22"/>
        <v>1.1834074414559107E-3</v>
      </c>
      <c r="V171" s="3">
        <f t="shared" si="20"/>
        <v>0.30135195776172979</v>
      </c>
      <c r="W171" s="3">
        <f t="shared" si="23"/>
        <v>1.0391446819369994</v>
      </c>
      <c r="Y171" s="3">
        <f t="shared" si="21"/>
        <v>0.29964863425235644</v>
      </c>
      <c r="Z171" s="3">
        <f t="shared" si="24"/>
        <v>1.0332711525943326</v>
      </c>
      <c r="AB171" s="3">
        <f>$AC$2*($AC$3+$AC$4*$F171/($N171*'Dataset sem TS MC2020'!P163))*($AC$5*$G171+$AC$6*$B171/$N171)*'Dataset sem TS MC2020'!R163*($J171-$M171)/($J171-$M171-$H171)</f>
        <v>0.37279440084393789</v>
      </c>
      <c r="AC171" s="3">
        <f t="shared" si="25"/>
        <v>1.2854979339446135</v>
      </c>
      <c r="AD171" s="16">
        <f t="shared" si="26"/>
        <v>8.279440084393791E-2</v>
      </c>
      <c r="AE171" s="17">
        <f t="shared" si="27"/>
        <v>0.77790867927064722</v>
      </c>
      <c r="AF171" s="17">
        <f>AB171*(14.068*'Dataset sem TS MC2020'!$P163^-0.457)/$Q171</f>
        <v>1.3322891833235446</v>
      </c>
      <c r="AG171" s="17"/>
      <c r="AO171" s="3">
        <f>$AP$2*($AP$3+$AP$4*$F171/($N171*'Dataset sem TS MC2020'!P163))*($AP$5*$G171+$AP$6*$B171/$N171)*('Dataset sem TS MC2020'!P163^$AP$7/200000)*($J171-$M171)/($J171-$M171-$H171)+('Dataset sem TS MC2020'!P163-$C171/$AP$8)*($AP$5*$G171+$AP$6*$B171/$N171)/200000</f>
        <v>0.38528004426212203</v>
      </c>
      <c r="AP171" s="3">
        <f t="shared" si="28"/>
        <v>1.3285518767659381</v>
      </c>
      <c r="AQ171" s="16">
        <f t="shared" si="29"/>
        <v>9.5280044262122054E-2</v>
      </c>
    </row>
    <row r="172" spans="1:43" x14ac:dyDescent="0.3">
      <c r="B172" s="4">
        <v>20</v>
      </c>
      <c r="C172" s="5">
        <v>598</v>
      </c>
      <c r="D172" s="5">
        <v>1</v>
      </c>
      <c r="E172" s="4">
        <v>40</v>
      </c>
      <c r="F172" s="3">
        <v>2.8</v>
      </c>
      <c r="G172" s="4">
        <v>40</v>
      </c>
      <c r="H172" s="4">
        <v>50</v>
      </c>
      <c r="I172" s="1">
        <v>100</v>
      </c>
      <c r="J172" s="4">
        <v>250</v>
      </c>
      <c r="K172" s="5">
        <v>315</v>
      </c>
      <c r="L172" s="3">
        <v>15000</v>
      </c>
      <c r="M172" s="5">
        <v>75.400393066082174</v>
      </c>
      <c r="N172" s="8">
        <v>2.1000000000000001E-2</v>
      </c>
      <c r="O172" s="3">
        <v>18.350000000000001</v>
      </c>
      <c r="P172" s="5">
        <v>278.34736210081826</v>
      </c>
      <c r="Q172" s="3">
        <v>0.32</v>
      </c>
      <c r="R172" s="12">
        <f t="shared" si="22"/>
        <v>1.3917368105040913E-3</v>
      </c>
      <c r="V172" s="3">
        <f t="shared" si="20"/>
        <v>0.33306185470397004</v>
      </c>
      <c r="W172" s="3">
        <f t="shared" si="23"/>
        <v>1.0408182959499064</v>
      </c>
      <c r="Y172" s="3">
        <f t="shared" si="21"/>
        <v>0.33177054981788312</v>
      </c>
      <c r="Z172" s="3">
        <f t="shared" si="24"/>
        <v>1.0367829681808847</v>
      </c>
      <c r="AB172" s="3">
        <f>$AC$2*($AC$3+$AC$4*$F172/($N172*'Dataset sem TS MC2020'!P164))*($AC$5*$G172+$AC$6*$B172/$N172)*'Dataset sem TS MC2020'!R164*($J172-$M172)/($J172-$M172-$H172)</f>
        <v>0.42522828528114265</v>
      </c>
      <c r="AC172" s="3">
        <f t="shared" si="25"/>
        <v>1.3288383915035709</v>
      </c>
      <c r="AD172" s="16">
        <f t="shared" si="26"/>
        <v>0.10522828528114264</v>
      </c>
      <c r="AE172" s="17">
        <f t="shared" si="27"/>
        <v>0.7525369573861479</v>
      </c>
      <c r="AF172" s="17">
        <f>AB172*(14.068*'Dataset sem TS MC2020'!$P164^-0.457)/$Q172</f>
        <v>1.3148243272463718</v>
      </c>
      <c r="AG172" s="17"/>
      <c r="AO172" s="3">
        <f>$AP$2*($AP$3+$AP$4*$F172/($N172*'Dataset sem TS MC2020'!P164))*($AP$5*$G172+$AP$6*$B172/$N172)*('Dataset sem TS MC2020'!P164^$AP$7/200000)*($J172-$M172)/($J172-$M172-$H172)+('Dataset sem TS MC2020'!P164-$C172/$AP$8)*($AP$5*$G172+$AP$6*$B172/$N172)/200000</f>
        <v>0.43484705512344168</v>
      </c>
      <c r="AP172" s="3">
        <f t="shared" si="28"/>
        <v>1.3588970472607553</v>
      </c>
      <c r="AQ172" s="16">
        <f t="shared" si="29"/>
        <v>0.11484705512344168</v>
      </c>
    </row>
    <row r="173" spans="1:43" x14ac:dyDescent="0.3">
      <c r="B173" s="4">
        <v>20</v>
      </c>
      <c r="C173" s="5">
        <v>598</v>
      </c>
      <c r="D173" s="5">
        <v>1</v>
      </c>
      <c r="E173" s="4">
        <v>40</v>
      </c>
      <c r="F173" s="3">
        <v>2.8</v>
      </c>
      <c r="G173" s="4">
        <v>40</v>
      </c>
      <c r="H173" s="4">
        <v>50</v>
      </c>
      <c r="I173" s="1">
        <v>100</v>
      </c>
      <c r="J173" s="4">
        <v>250</v>
      </c>
      <c r="K173" s="5">
        <v>315</v>
      </c>
      <c r="L173" s="3">
        <v>15000</v>
      </c>
      <c r="M173" s="5">
        <v>75.400393066082174</v>
      </c>
      <c r="N173" s="8">
        <v>2.1000000000000001E-2</v>
      </c>
      <c r="O173" s="3">
        <v>19.21</v>
      </c>
      <c r="P173" s="5">
        <v>298.59179796312708</v>
      </c>
      <c r="Q173" s="3">
        <v>0.33</v>
      </c>
      <c r="R173" s="12">
        <f t="shared" si="22"/>
        <v>1.4929589898156354E-3</v>
      </c>
      <c r="V173" s="3">
        <f t="shared" si="20"/>
        <v>0.34780650279429842</v>
      </c>
      <c r="W173" s="3">
        <f t="shared" si="23"/>
        <v>1.0539590993766619</v>
      </c>
      <c r="Y173" s="3">
        <f t="shared" si="21"/>
        <v>0.34672569896096894</v>
      </c>
      <c r="Z173" s="3">
        <f t="shared" si="24"/>
        <v>1.0506839362453604</v>
      </c>
      <c r="AB173" s="3">
        <f>$AC$2*($AC$3+$AC$4*$F173/($N173*'Dataset sem TS MC2020'!P165))*($AC$5*$G173+$AC$6*$B173/$N173)*'Dataset sem TS MC2020'!R165*($J173-$M173)/($J173-$M173-$H173)</f>
        <v>0.45070463591164867</v>
      </c>
      <c r="AC173" s="3">
        <f t="shared" si="25"/>
        <v>1.3657716239746929</v>
      </c>
      <c r="AD173" s="16">
        <f t="shared" si="26"/>
        <v>0.12070463591164865</v>
      </c>
      <c r="AE173" s="17">
        <f t="shared" si="27"/>
        <v>0.73218683302980203</v>
      </c>
      <c r="AF173" s="17">
        <f>AB173*(14.068*'Dataset sem TS MC2020'!$P165^-0.457)/$Q173</f>
        <v>1.3233762217187193</v>
      </c>
      <c r="AG173" s="17"/>
      <c r="AO173" s="3">
        <f>$AP$2*($AP$3+$AP$4*$F173/($N173*'Dataset sem TS MC2020'!P165))*($AP$5*$G173+$AP$6*$B173/$N173)*('Dataset sem TS MC2020'!P165^$AP$7/200000)*($J173-$M173)/($J173-$M173-$H173)+('Dataset sem TS MC2020'!P165-$C173/$AP$8)*($AP$5*$G173+$AP$6*$B173/$N173)/200000</f>
        <v>0.45855831983960615</v>
      </c>
      <c r="AP173" s="3">
        <f t="shared" si="28"/>
        <v>1.3895706661806246</v>
      </c>
      <c r="AQ173" s="16">
        <f t="shared" si="29"/>
        <v>0.12855831983960614</v>
      </c>
    </row>
    <row r="174" spans="1:43" x14ac:dyDescent="0.3">
      <c r="A174" s="1" t="s">
        <v>41</v>
      </c>
      <c r="B174" s="4">
        <v>10</v>
      </c>
      <c r="C174" s="5">
        <v>528</v>
      </c>
      <c r="D174" s="5">
        <v>1</v>
      </c>
      <c r="E174" s="4">
        <v>45</v>
      </c>
      <c r="F174" s="3">
        <v>2.8</v>
      </c>
      <c r="G174" s="4">
        <v>40</v>
      </c>
      <c r="H174" s="4">
        <v>45</v>
      </c>
      <c r="I174" s="1">
        <v>100</v>
      </c>
      <c r="J174" s="4">
        <v>350</v>
      </c>
      <c r="K174" s="5">
        <v>78.5</v>
      </c>
      <c r="L174" s="3">
        <v>9500</v>
      </c>
      <c r="M174" s="5">
        <v>54.13865484956586</v>
      </c>
      <c r="N174" s="8">
        <v>8.263157894736842E-3</v>
      </c>
      <c r="O174" s="3">
        <v>6.99</v>
      </c>
      <c r="P174" s="5">
        <v>160.39662300030426</v>
      </c>
      <c r="Q174" s="3">
        <v>0.15</v>
      </c>
      <c r="R174" s="12">
        <f t="shared" si="22"/>
        <v>8.0198311500152125E-4</v>
      </c>
      <c r="V174" s="3">
        <f t="shared" si="20"/>
        <v>0.21947285534346089</v>
      </c>
      <c r="W174" s="3">
        <f t="shared" si="23"/>
        <v>1.4631523689564061</v>
      </c>
      <c r="Y174" s="3">
        <f t="shared" si="21"/>
        <v>0.22406890011024494</v>
      </c>
      <c r="Z174" s="3">
        <f t="shared" si="24"/>
        <v>1.4937926674016331</v>
      </c>
      <c r="AB174" s="3">
        <f>$AC$2*($AC$3+$AC$4*$F174/($N174*'Dataset sem TS MC2020'!P166))*($AC$5*$G174+$AC$6*$B174/$N174)*'Dataset sem TS MC2020'!R166*($J174-$M174)/($J174-$M174-$H174)</f>
        <v>0.2090589126893842</v>
      </c>
      <c r="AC174" s="3">
        <f t="shared" si="25"/>
        <v>1.3937260845958948</v>
      </c>
      <c r="AD174" s="16">
        <f t="shared" si="26"/>
        <v>5.9058912689384208E-2</v>
      </c>
      <c r="AE174" s="17">
        <f t="shared" si="27"/>
        <v>0.71750110086369367</v>
      </c>
      <c r="AF174" s="17">
        <f>AB174*(14.068*'Dataset sem TS MC2020'!$P166^-0.457)/$Q174</f>
        <v>1.4244893743294886</v>
      </c>
      <c r="AG174" s="17"/>
      <c r="AO174" s="3">
        <f>$AP$2*($AP$3+$AP$4*$F174/($N174*'Dataset sem TS MC2020'!P166))*($AP$5*$G174+$AP$6*$B174/$N174)*('Dataset sem TS MC2020'!P166^$AP$7/200000)*($J174-$M174)/($J174-$M174-$H174)+('Dataset sem TS MC2020'!P166-$C174/$AP$8)*($AP$5*$G174+$AP$6*$B174/$N174)/200000</f>
        <v>0.21718567498774791</v>
      </c>
      <c r="AP174" s="3">
        <f t="shared" si="28"/>
        <v>1.4479044999183195</v>
      </c>
      <c r="AQ174" s="16">
        <f t="shared" si="29"/>
        <v>6.7185674987747912E-2</v>
      </c>
    </row>
    <row r="175" spans="1:43" x14ac:dyDescent="0.3">
      <c r="B175" s="4">
        <v>10</v>
      </c>
      <c r="C175" s="5">
        <v>528</v>
      </c>
      <c r="D175" s="5">
        <v>1</v>
      </c>
      <c r="E175" s="4">
        <v>45</v>
      </c>
      <c r="F175" s="3">
        <v>2.8</v>
      </c>
      <c r="G175" s="4">
        <v>40</v>
      </c>
      <c r="H175" s="4">
        <v>45</v>
      </c>
      <c r="I175" s="1">
        <v>100</v>
      </c>
      <c r="J175" s="4">
        <v>350</v>
      </c>
      <c r="K175" s="5">
        <v>78.5</v>
      </c>
      <c r="L175" s="3">
        <v>9500</v>
      </c>
      <c r="M175" s="5">
        <v>54.13865484956586</v>
      </c>
      <c r="N175" s="8">
        <v>8.263157894736842E-3</v>
      </c>
      <c r="O175" s="3">
        <v>7.44</v>
      </c>
      <c r="P175" s="5">
        <v>193.87864030635646</v>
      </c>
      <c r="Q175" s="3">
        <v>0.19</v>
      </c>
      <c r="R175" s="12">
        <f t="shared" si="22"/>
        <v>9.6939320153178229E-4</v>
      </c>
      <c r="V175" s="3">
        <f t="shared" si="20"/>
        <v>0.24670693140548516</v>
      </c>
      <c r="W175" s="3">
        <f t="shared" si="23"/>
        <v>1.2984575337130797</v>
      </c>
      <c r="Y175" s="3">
        <f t="shared" si="21"/>
        <v>0.25239910009932337</v>
      </c>
      <c r="Z175" s="3">
        <f t="shared" si="24"/>
        <v>1.3284163163122282</v>
      </c>
      <c r="AB175" s="3">
        <f>$AC$2*($AC$3+$AC$4*$F175/($N175*'Dataset sem TS MC2020'!P167))*($AC$5*$G175+$AC$6*$B175/$N175)*'Dataset sem TS MC2020'!R167*($J175-$M175)/($J175-$M175-$H175)</f>
        <v>0.242215410878619</v>
      </c>
      <c r="AC175" s="3">
        <f t="shared" si="25"/>
        <v>1.2748179519927316</v>
      </c>
      <c r="AD175" s="16">
        <f t="shared" si="26"/>
        <v>5.2215410878619001E-2</v>
      </c>
      <c r="AE175" s="17">
        <f t="shared" si="27"/>
        <v>0.78442572795343057</v>
      </c>
      <c r="AF175" s="17">
        <f>AB175*(14.068*'Dataset sem TS MC2020'!$P167^-0.457)/$Q175</f>
        <v>1.2663308703997347</v>
      </c>
      <c r="AG175" s="17"/>
      <c r="AO175" s="3">
        <f>$AP$2*($AP$3+$AP$4*$F175/($N175*'Dataset sem TS MC2020'!P167))*($AP$5*$G175+$AP$6*$B175/$N175)*('Dataset sem TS MC2020'!P167^$AP$7/200000)*($J175-$M175)/($J175-$M175-$H175)+('Dataset sem TS MC2020'!P167-$C175/$AP$8)*($AP$5*$G175+$AP$6*$B175/$N175)/200000</f>
        <v>0.25129402824805491</v>
      </c>
      <c r="AP175" s="3">
        <f t="shared" si="28"/>
        <v>1.3226001486739731</v>
      </c>
      <c r="AQ175" s="16">
        <f t="shared" si="29"/>
        <v>6.129402824805491E-2</v>
      </c>
    </row>
    <row r="176" spans="1:43" x14ac:dyDescent="0.3">
      <c r="B176" s="4">
        <v>10</v>
      </c>
      <c r="C176" s="5">
        <v>528</v>
      </c>
      <c r="D176" s="5">
        <v>1</v>
      </c>
      <c r="E176" s="4">
        <v>45</v>
      </c>
      <c r="F176" s="3">
        <v>2.8</v>
      </c>
      <c r="G176" s="4">
        <v>40</v>
      </c>
      <c r="H176" s="4">
        <v>45</v>
      </c>
      <c r="I176" s="1">
        <v>100</v>
      </c>
      <c r="J176" s="4">
        <v>350</v>
      </c>
      <c r="K176" s="5">
        <v>78.5</v>
      </c>
      <c r="L176" s="3">
        <v>9500</v>
      </c>
      <c r="M176" s="5">
        <v>54.13865484956586</v>
      </c>
      <c r="N176" s="8">
        <v>8.263157894736842E-3</v>
      </c>
      <c r="O176" s="3">
        <v>7.53</v>
      </c>
      <c r="P176" s="5">
        <v>200.57504376756697</v>
      </c>
      <c r="Q176" s="3">
        <v>0.2</v>
      </c>
      <c r="R176" s="12">
        <f t="shared" si="22"/>
        <v>1.0028752188378349E-3</v>
      </c>
      <c r="V176" s="3">
        <f t="shared" si="20"/>
        <v>0.25193018610652296</v>
      </c>
      <c r="W176" s="3">
        <f t="shared" si="23"/>
        <v>1.2596509305326147</v>
      </c>
      <c r="Y176" s="3">
        <f t="shared" si="21"/>
        <v>0.25783915807458391</v>
      </c>
      <c r="Z176" s="3">
        <f t="shared" si="24"/>
        <v>1.2891957903729194</v>
      </c>
      <c r="AB176" s="3">
        <f>$AC$2*($AC$3+$AC$4*$F176/($N176*'Dataset sem TS MC2020'!P168))*($AC$5*$G176+$AC$6*$B176/$N176)*'Dataset sem TS MC2020'!R168*($J176-$M176)/($J176-$M176-$H176)</f>
        <v>0.24884671051646598</v>
      </c>
      <c r="AC176" s="3">
        <f t="shared" si="25"/>
        <v>1.2442335525823298</v>
      </c>
      <c r="AD176" s="16">
        <f t="shared" si="26"/>
        <v>4.8846710516465969E-2</v>
      </c>
      <c r="AE176" s="17">
        <f t="shared" si="27"/>
        <v>0.80370763023112646</v>
      </c>
      <c r="AF176" s="17">
        <f>AB176*(14.068*'Dataset sem TS MC2020'!$P168^-0.457)/$Q176</f>
        <v>1.2291770970288676</v>
      </c>
      <c r="AG176" s="17"/>
      <c r="AO176" s="3">
        <f>$AP$2*($AP$3+$AP$4*$F176/($N176*'Dataset sem TS MC2020'!P168))*($AP$5*$G176+$AP$6*$B176/$N176)*('Dataset sem TS MC2020'!P168^$AP$7/200000)*($J176-$M176)/($J176-$M176-$H176)+('Dataset sem TS MC2020'!P168-$C176/$AP$8)*($AP$5*$G176+$AP$6*$B176/$N176)/200000</f>
        <v>0.25804727783868664</v>
      </c>
      <c r="AP176" s="3">
        <f t="shared" si="28"/>
        <v>1.2902363891934332</v>
      </c>
      <c r="AQ176" s="16">
        <f t="shared" si="29"/>
        <v>5.8047277838686628E-2</v>
      </c>
    </row>
    <row r="177" spans="1:43" x14ac:dyDescent="0.3">
      <c r="B177" s="4">
        <v>10</v>
      </c>
      <c r="C177" s="5">
        <v>528</v>
      </c>
      <c r="D177" s="5">
        <v>1</v>
      </c>
      <c r="E177" s="4">
        <v>45</v>
      </c>
      <c r="F177" s="3">
        <v>2.8</v>
      </c>
      <c r="G177" s="4">
        <v>40</v>
      </c>
      <c r="H177" s="4">
        <v>45</v>
      </c>
      <c r="I177" s="1">
        <v>100</v>
      </c>
      <c r="J177" s="4">
        <v>350</v>
      </c>
      <c r="K177" s="5">
        <v>78.5</v>
      </c>
      <c r="L177" s="3">
        <v>9500</v>
      </c>
      <c r="M177" s="5">
        <v>54.13865484956586</v>
      </c>
      <c r="N177" s="8">
        <v>8.263157894736842E-3</v>
      </c>
      <c r="O177" s="3">
        <v>7.91</v>
      </c>
      <c r="P177" s="5">
        <v>228.84874727045536</v>
      </c>
      <c r="Q177" s="3">
        <v>0.23</v>
      </c>
      <c r="R177" s="12">
        <f t="shared" si="22"/>
        <v>1.1442437363522768E-3</v>
      </c>
      <c r="V177" s="3">
        <f t="shared" si="20"/>
        <v>0.27328563983650556</v>
      </c>
      <c r="W177" s="3">
        <f t="shared" si="23"/>
        <v>1.1881984340717633</v>
      </c>
      <c r="Y177" s="3">
        <f t="shared" si="21"/>
        <v>0.28010152072094868</v>
      </c>
      <c r="Z177" s="3">
        <f t="shared" si="24"/>
        <v>1.2178326987867334</v>
      </c>
      <c r="AB177" s="3">
        <f>$AC$2*($AC$3+$AC$4*$F177/($N177*'Dataset sem TS MC2020'!P169))*($AC$5*$G177+$AC$6*$B177/$N177)*'Dataset sem TS MC2020'!R169*($J177-$M177)/($J177-$M177-$H177)</f>
        <v>0.27684553120959737</v>
      </c>
      <c r="AC177" s="3">
        <f t="shared" si="25"/>
        <v>1.2036762226504234</v>
      </c>
      <c r="AD177" s="16">
        <f t="shared" si="26"/>
        <v>4.6845531209597363E-2</v>
      </c>
      <c r="AE177" s="17">
        <f t="shared" si="27"/>
        <v>0.83078819800731751</v>
      </c>
      <c r="AF177" s="17">
        <f>AB177*(14.068*'Dataset sem TS MC2020'!$P169^-0.457)/$Q177</f>
        <v>1.1626550538527676</v>
      </c>
      <c r="AG177" s="17"/>
      <c r="AO177" s="3">
        <f>$AP$2*($AP$3+$AP$4*$F177/($N177*'Dataset sem TS MC2020'!P169))*($AP$5*$G177+$AP$6*$B177/$N177)*('Dataset sem TS MC2020'!P169^$AP$7/200000)*($J177-$M177)/($J177-$M177-$H177)+('Dataset sem TS MC2020'!P169-$C177/$AP$8)*($AP$5*$G177+$AP$6*$B177/$N177)/200000</f>
        <v>0.28632586601801147</v>
      </c>
      <c r="AP177" s="3">
        <f t="shared" si="28"/>
        <v>1.2448950696435281</v>
      </c>
      <c r="AQ177" s="16">
        <f t="shared" si="29"/>
        <v>5.6325866018011456E-2</v>
      </c>
    </row>
    <row r="178" spans="1:43" x14ac:dyDescent="0.3">
      <c r="B178" s="4">
        <v>10</v>
      </c>
      <c r="C178" s="5">
        <v>528</v>
      </c>
      <c r="D178" s="5">
        <v>1</v>
      </c>
      <c r="E178" s="4">
        <v>45</v>
      </c>
      <c r="F178" s="3">
        <v>2.8</v>
      </c>
      <c r="G178" s="4">
        <v>40</v>
      </c>
      <c r="H178" s="4">
        <v>45</v>
      </c>
      <c r="I178" s="1">
        <v>100</v>
      </c>
      <c r="J178" s="4">
        <v>350</v>
      </c>
      <c r="K178" s="5">
        <v>78.5</v>
      </c>
      <c r="L178" s="3">
        <v>9500</v>
      </c>
      <c r="M178" s="5">
        <v>54.13865484956586</v>
      </c>
      <c r="N178" s="8">
        <v>8.263157894736842E-3</v>
      </c>
      <c r="O178" s="3">
        <v>8.17</v>
      </c>
      <c r="P178" s="5">
        <v>248.19391282506325</v>
      </c>
      <c r="Q178" s="3">
        <v>0.25</v>
      </c>
      <c r="R178" s="12">
        <f t="shared" si="22"/>
        <v>1.2409695641253163E-3</v>
      </c>
      <c r="V178" s="3">
        <f t="shared" si="20"/>
        <v>0.28731710875647182</v>
      </c>
      <c r="W178" s="3">
        <f t="shared" si="23"/>
        <v>1.1492684350258873</v>
      </c>
      <c r="Y178" s="3">
        <f t="shared" si="21"/>
        <v>0.29474592600270827</v>
      </c>
      <c r="Z178" s="3">
        <f t="shared" si="24"/>
        <v>1.1789837040108331</v>
      </c>
      <c r="AB178" s="3">
        <f>$AC$2*($AC$3+$AC$4*$F178/($N178*'Dataset sem TS MC2020'!P170))*($AC$5*$G178+$AC$6*$B178/$N178)*'Dataset sem TS MC2020'!R170*($J178-$M178)/($J178-$M178-$H178)</f>
        <v>0.29600261905226621</v>
      </c>
      <c r="AC178" s="3">
        <f t="shared" si="25"/>
        <v>1.1840104762090649</v>
      </c>
      <c r="AD178" s="16">
        <f t="shared" si="26"/>
        <v>4.6002619052266214E-2</v>
      </c>
      <c r="AE178" s="17">
        <f t="shared" si="27"/>
        <v>0.84458712156143667</v>
      </c>
      <c r="AF178" s="17">
        <f>AB178*(14.068*'Dataset sem TS MC2020'!$P170^-0.457)/$Q178</f>
        <v>1.1268806468993906</v>
      </c>
      <c r="AG178" s="17"/>
      <c r="AO178" s="3">
        <f>$AP$2*($AP$3+$AP$4*$F178/($N178*'Dataset sem TS MC2020'!P170))*($AP$5*$G178+$AP$6*$B178/$N178)*('Dataset sem TS MC2020'!P170^$AP$7/200000)*($J178-$M178)/($J178-$M178-$H178)+('Dataset sem TS MC2020'!P170-$C178/$AP$8)*($AP$5*$G178+$AP$6*$B178/$N178)/200000</f>
        <v>0.30546612373892523</v>
      </c>
      <c r="AP178" s="3">
        <f t="shared" si="28"/>
        <v>1.2218644949557009</v>
      </c>
      <c r="AQ178" s="16">
        <f t="shared" si="29"/>
        <v>5.5466123738925233E-2</v>
      </c>
    </row>
    <row r="179" spans="1:43" x14ac:dyDescent="0.3">
      <c r="B179" s="4">
        <v>10</v>
      </c>
      <c r="C179" s="5">
        <v>528</v>
      </c>
      <c r="D179" s="5">
        <v>1</v>
      </c>
      <c r="E179" s="4">
        <v>45</v>
      </c>
      <c r="F179" s="3">
        <v>2.8</v>
      </c>
      <c r="G179" s="4">
        <v>40</v>
      </c>
      <c r="H179" s="4">
        <v>45</v>
      </c>
      <c r="I179" s="1">
        <v>100</v>
      </c>
      <c r="J179" s="4">
        <v>350</v>
      </c>
      <c r="K179" s="5">
        <v>78.5</v>
      </c>
      <c r="L179" s="3">
        <v>9500</v>
      </c>
      <c r="M179" s="5">
        <v>54.13865484956586</v>
      </c>
      <c r="N179" s="8">
        <v>8.263157894736842E-3</v>
      </c>
      <c r="O179" s="3">
        <v>8.4600000000000009</v>
      </c>
      <c r="P179" s="5">
        <v>269.77121286674145</v>
      </c>
      <c r="Q179" s="3">
        <v>0.28000000000000003</v>
      </c>
      <c r="R179" s="12">
        <f t="shared" si="22"/>
        <v>1.3488560643337073E-3</v>
      </c>
      <c r="V179" s="3">
        <f t="shared" si="20"/>
        <v>0.30248208005910926</v>
      </c>
      <c r="W179" s="3">
        <f t="shared" si="23"/>
        <v>1.0802931430682472</v>
      </c>
      <c r="Y179" s="3">
        <f t="shared" si="21"/>
        <v>0.31058767918979568</v>
      </c>
      <c r="Z179" s="3">
        <f t="shared" si="24"/>
        <v>1.1092417113921273</v>
      </c>
      <c r="AB179" s="3">
        <f>$AC$2*($AC$3+$AC$4*$F179/($N179*'Dataset sem TS MC2020'!P171))*($AC$5*$G179+$AC$6*$B179/$N179)*'Dataset sem TS MC2020'!R171*($J179-$M179)/($J179-$M179-$H179)</f>
        <v>0.31737014010755088</v>
      </c>
      <c r="AC179" s="3">
        <f t="shared" si="25"/>
        <v>1.133464786098396</v>
      </c>
      <c r="AD179" s="16">
        <f t="shared" si="26"/>
        <v>3.7370140107550853E-2</v>
      </c>
      <c r="AE179" s="17">
        <f t="shared" si="27"/>
        <v>0.88225061092739598</v>
      </c>
      <c r="AF179" s="17">
        <f>AB179*(14.068*'Dataset sem TS MC2020'!$P171^-0.457)/$Q179</f>
        <v>1.0617142135405653</v>
      </c>
      <c r="AG179" s="17"/>
      <c r="AO179" s="3">
        <f>$AP$2*($AP$3+$AP$4*$F179/($N179*'Dataset sem TS MC2020'!P171))*($AP$5*$G179+$AP$6*$B179/$N179)*('Dataset sem TS MC2020'!P171^$AP$7/200000)*($J179-$M179)/($J179-$M179-$H179)+('Dataset sem TS MC2020'!P171-$C179/$AP$8)*($AP$5*$G179+$AP$6*$B179/$N179)/200000</f>
        <v>0.32662734603143156</v>
      </c>
      <c r="AP179" s="3">
        <f t="shared" si="28"/>
        <v>1.1665262358265411</v>
      </c>
      <c r="AQ179" s="16">
        <f t="shared" si="29"/>
        <v>4.6627346031431538E-2</v>
      </c>
    </row>
    <row r="180" spans="1:43" x14ac:dyDescent="0.3">
      <c r="B180" s="4">
        <v>10</v>
      </c>
      <c r="C180" s="5">
        <v>528</v>
      </c>
      <c r="D180" s="5">
        <v>1</v>
      </c>
      <c r="E180" s="4">
        <v>45</v>
      </c>
      <c r="F180" s="3">
        <v>2.8</v>
      </c>
      <c r="G180" s="4">
        <v>40</v>
      </c>
      <c r="H180" s="4">
        <v>45</v>
      </c>
      <c r="I180" s="1">
        <v>100</v>
      </c>
      <c r="J180" s="4">
        <v>350</v>
      </c>
      <c r="K180" s="5">
        <v>78.5</v>
      </c>
      <c r="L180" s="3">
        <v>9500</v>
      </c>
      <c r="M180" s="5">
        <v>54.13865484956586</v>
      </c>
      <c r="N180" s="8">
        <v>8.263157894736842E-3</v>
      </c>
      <c r="O180" s="3">
        <v>8.7200000000000006</v>
      </c>
      <c r="P180" s="5">
        <v>289.11637842134928</v>
      </c>
      <c r="Q180" s="3">
        <v>0.31</v>
      </c>
      <c r="R180" s="12">
        <f t="shared" si="22"/>
        <v>1.4455818921067464E-3</v>
      </c>
      <c r="V180" s="3">
        <f t="shared" si="20"/>
        <v>0.31568737636236588</v>
      </c>
      <c r="W180" s="3">
        <f t="shared" si="23"/>
        <v>1.0183463753624706</v>
      </c>
      <c r="Y180" s="3">
        <f t="shared" si="21"/>
        <v>0.32439386822318156</v>
      </c>
      <c r="Z180" s="3">
        <f t="shared" si="24"/>
        <v>1.0464318329780051</v>
      </c>
      <c r="AB180" s="3">
        <f>$AC$2*($AC$3+$AC$4*$F180/($N180*'Dataset sem TS MC2020'!P172))*($AC$5*$G180+$AC$6*$B180/$N180)*'Dataset sem TS MC2020'!R172*($J180-$M180)/($J180-$M180-$H180)</f>
        <v>0.33652722795021978</v>
      </c>
      <c r="AC180" s="3">
        <f t="shared" si="25"/>
        <v>1.085571703065225</v>
      </c>
      <c r="AD180" s="16">
        <f t="shared" si="26"/>
        <v>2.6527227950219778E-2</v>
      </c>
      <c r="AE180" s="17">
        <f t="shared" si="27"/>
        <v>0.92117360573824436</v>
      </c>
      <c r="AF180" s="17">
        <f>AB180*(14.068*'Dataset sem TS MC2020'!$P172^-0.457)/$Q180</f>
        <v>1.00288315293221</v>
      </c>
      <c r="AG180" s="17"/>
      <c r="AO180" s="3">
        <f>$AP$2*($AP$3+$AP$4*$F180/($N180*'Dataset sem TS MC2020'!P172))*($AP$5*$G180+$AP$6*$B180/$N180)*('Dataset sem TS MC2020'!P172^$AP$7/200000)*($J180-$M180)/($J180-$M180-$H180)+('Dataset sem TS MC2020'!P172-$C180/$AP$8)*($AP$5*$G180+$AP$6*$B180/$N180)/200000</f>
        <v>0.34543988065121639</v>
      </c>
      <c r="AP180" s="3">
        <f t="shared" si="28"/>
        <v>1.1143221956490852</v>
      </c>
      <c r="AQ180" s="16">
        <f t="shared" si="29"/>
        <v>3.5439880651216393E-2</v>
      </c>
    </row>
    <row r="181" spans="1:43" x14ac:dyDescent="0.3">
      <c r="B181" s="4">
        <v>10</v>
      </c>
      <c r="C181" s="5">
        <v>528</v>
      </c>
      <c r="D181" s="5">
        <v>1</v>
      </c>
      <c r="E181" s="4">
        <v>45</v>
      </c>
      <c r="F181" s="3">
        <v>2.8</v>
      </c>
      <c r="G181" s="4">
        <v>40</v>
      </c>
      <c r="H181" s="4">
        <v>45</v>
      </c>
      <c r="I181" s="1">
        <v>100</v>
      </c>
      <c r="J181" s="4">
        <v>350</v>
      </c>
      <c r="K181" s="5">
        <v>78.5</v>
      </c>
      <c r="L181" s="3">
        <v>9500</v>
      </c>
      <c r="M181" s="5">
        <v>54.13865484956586</v>
      </c>
      <c r="N181" s="8">
        <v>8.263157894736842E-3</v>
      </c>
      <c r="O181" s="3">
        <v>9.0299999999999994</v>
      </c>
      <c r="P181" s="5">
        <v>312.1817681210739</v>
      </c>
      <c r="Q181" s="3">
        <v>0.36</v>
      </c>
      <c r="R181" s="12">
        <f t="shared" si="22"/>
        <v>1.5609088406053696E-3</v>
      </c>
      <c r="V181" s="3">
        <f t="shared" si="20"/>
        <v>0.33099757546249825</v>
      </c>
      <c r="W181" s="3">
        <f t="shared" si="23"/>
        <v>0.91943770961805071</v>
      </c>
      <c r="Y181" s="3">
        <f t="shared" si="21"/>
        <v>0.34041361107359203</v>
      </c>
      <c r="Z181" s="3">
        <f t="shared" si="24"/>
        <v>0.94559336409331118</v>
      </c>
      <c r="AB181" s="3">
        <f>$AC$2*($AC$3+$AC$4*$F181/($N181*'Dataset sem TS MC2020'!P173))*($AC$5*$G181+$AC$6*$B181/$N181)*'Dataset sem TS MC2020'!R173*($J181-$M181)/($J181-$M181-$H181)</f>
        <v>0.35936837114724779</v>
      </c>
      <c r="AC181" s="3">
        <f t="shared" si="25"/>
        <v>0.99824547540902164</v>
      </c>
      <c r="AD181" s="16">
        <f t="shared" si="26"/>
        <v>-6.3162885275219738E-4</v>
      </c>
      <c r="AE181" s="17">
        <f t="shared" si="27"/>
        <v>1.0017576083580639</v>
      </c>
      <c r="AF181" s="17">
        <f>AB181*(14.068*'Dataset sem TS MC2020'!$P173^-0.457)/$Q181</f>
        <v>0.90760296009582808</v>
      </c>
      <c r="AG181" s="17"/>
      <c r="AO181" s="3">
        <f>$AP$2*($AP$3+$AP$4*$F181/($N181*'Dataset sem TS MC2020'!P173))*($AP$5*$G181+$AP$6*$B181/$N181)*('Dataset sem TS MC2020'!P173^$AP$7/200000)*($J181-$M181)/($J181-$M181-$H181)+('Dataset sem TS MC2020'!P173-$C181/$AP$8)*($AP$5*$G181+$AP$6*$B181/$N181)/200000</f>
        <v>0.36768322220313843</v>
      </c>
      <c r="AP181" s="3">
        <f t="shared" si="28"/>
        <v>1.0213422838976067</v>
      </c>
      <c r="AQ181" s="16">
        <f t="shared" si="29"/>
        <v>7.6832222031384401E-3</v>
      </c>
    </row>
    <row r="182" spans="1:43" x14ac:dyDescent="0.3">
      <c r="A182" s="1" t="s">
        <v>42</v>
      </c>
      <c r="B182" s="4">
        <v>10</v>
      </c>
      <c r="C182" s="5">
        <v>528</v>
      </c>
      <c r="D182" s="5">
        <v>1</v>
      </c>
      <c r="E182" s="4">
        <v>45</v>
      </c>
      <c r="F182" s="3">
        <v>2.8</v>
      </c>
      <c r="G182" s="4">
        <v>40</v>
      </c>
      <c r="H182" s="4">
        <v>45</v>
      </c>
      <c r="I182" s="1">
        <v>100</v>
      </c>
      <c r="J182" s="4">
        <v>350</v>
      </c>
      <c r="K182" s="5">
        <v>78.5</v>
      </c>
      <c r="L182" s="3">
        <v>9500</v>
      </c>
      <c r="M182" s="5">
        <v>54.13865484956586</v>
      </c>
      <c r="N182" s="8">
        <v>8.263157894736842E-3</v>
      </c>
      <c r="O182" s="3">
        <v>6.96</v>
      </c>
      <c r="P182" s="5">
        <v>158.1644885132342</v>
      </c>
      <c r="Q182" s="3">
        <v>0.16</v>
      </c>
      <c r="R182" s="12">
        <f t="shared" si="22"/>
        <v>7.9082244256617105E-4</v>
      </c>
      <c r="V182" s="3">
        <f t="shared" si="20"/>
        <v>0.21758332257089508</v>
      </c>
      <c r="W182" s="3">
        <f t="shared" si="23"/>
        <v>1.3598957660680941</v>
      </c>
      <c r="Y182" s="3">
        <f t="shared" si="21"/>
        <v>0.22210555678011754</v>
      </c>
      <c r="Z182" s="3">
        <f t="shared" si="24"/>
        <v>1.3881597298757347</v>
      </c>
      <c r="AB182" s="3">
        <f>$AC$2*($AC$3+$AC$4*$F182/($N182*'Dataset sem TS MC2020'!P174))*($AC$5*$G182+$AC$6*$B182/$N182)*'Dataset sem TS MC2020'!R174*($J182-$M182)/($J182-$M182-$H182)</f>
        <v>0.20684847947676865</v>
      </c>
      <c r="AC182" s="3">
        <f t="shared" si="25"/>
        <v>1.292802996729804</v>
      </c>
      <c r="AD182" s="16">
        <f t="shared" si="26"/>
        <v>4.6848479476768651E-2</v>
      </c>
      <c r="AE182" s="17">
        <f t="shared" si="27"/>
        <v>0.77351305847026908</v>
      </c>
      <c r="AF182" s="17">
        <f>AB182*(14.068*'Dataset sem TS MC2020'!$P174^-0.457)/$Q182</f>
        <v>1.3239384120841717</v>
      </c>
      <c r="AG182" s="17"/>
      <c r="AO182" s="3">
        <f>$AP$2*($AP$3+$AP$4*$F182/($N182*'Dataset sem TS MC2020'!P174))*($AP$5*$G182+$AP$6*$B182/$N182)*('Dataset sem TS MC2020'!P174^$AP$7/200000)*($J182-$M182)/($J182-$M182-$H182)+('Dataset sem TS MC2020'!P174-$C182/$AP$8)*($AP$5*$G182+$AP$6*$B182/$N182)/200000</f>
        <v>0.21489062111837914</v>
      </c>
      <c r="AP182" s="3">
        <f t="shared" si="28"/>
        <v>1.3430663819898696</v>
      </c>
      <c r="AQ182" s="16">
        <f t="shared" si="29"/>
        <v>5.489062111837914E-2</v>
      </c>
    </row>
    <row r="183" spans="1:43" x14ac:dyDescent="0.3">
      <c r="B183" s="4">
        <v>10</v>
      </c>
      <c r="C183" s="5">
        <v>528</v>
      </c>
      <c r="D183" s="5">
        <v>1</v>
      </c>
      <c r="E183" s="4">
        <v>45</v>
      </c>
      <c r="F183" s="3">
        <v>2.8</v>
      </c>
      <c r="G183" s="4">
        <v>40</v>
      </c>
      <c r="H183" s="4">
        <v>45</v>
      </c>
      <c r="I183" s="1">
        <v>100</v>
      </c>
      <c r="J183" s="4">
        <v>350</v>
      </c>
      <c r="K183" s="5">
        <v>78.5</v>
      </c>
      <c r="L183" s="3">
        <v>9500</v>
      </c>
      <c r="M183" s="5">
        <v>54.13865484956586</v>
      </c>
      <c r="N183" s="8">
        <v>8.263157894736842E-3</v>
      </c>
      <c r="O183" s="3">
        <v>7.26</v>
      </c>
      <c r="P183" s="5">
        <v>180.48583338393567</v>
      </c>
      <c r="Q183" s="3">
        <v>0.18</v>
      </c>
      <c r="R183" s="12">
        <f t="shared" si="22"/>
        <v>9.0242916691967833E-4</v>
      </c>
      <c r="V183" s="3">
        <f t="shared" si="20"/>
        <v>0.23604824040447084</v>
      </c>
      <c r="W183" s="3">
        <f t="shared" si="23"/>
        <v>1.3113791133581714</v>
      </c>
      <c r="Y183" s="3">
        <f t="shared" si="21"/>
        <v>0.24130441207915473</v>
      </c>
      <c r="Z183" s="3">
        <f t="shared" si="24"/>
        <v>1.3405800671064152</v>
      </c>
      <c r="AB183" s="3">
        <f>$AC$2*($AC$3+$AC$4*$F183/($N183*'Dataset sem TS MC2020'!P175))*($AC$5*$G183+$AC$6*$B183/$N183)*'Dataset sem TS MC2020'!R175*($J183-$M183)/($J183-$M183-$H183)</f>
        <v>0.22895281160292513</v>
      </c>
      <c r="AC183" s="3">
        <f t="shared" si="25"/>
        <v>1.2719600644606952</v>
      </c>
      <c r="AD183" s="16">
        <f t="shared" si="26"/>
        <v>4.8952811602925139E-2</v>
      </c>
      <c r="AE183" s="17">
        <f t="shared" si="27"/>
        <v>0.78618820507072684</v>
      </c>
      <c r="AF183" s="17">
        <f>AB183*(14.068*'Dataset sem TS MC2020'!$P175^-0.457)/$Q183</f>
        <v>1.2777129470338431</v>
      </c>
      <c r="AG183" s="17"/>
      <c r="AO183" s="3">
        <f>$AP$2*($AP$3+$AP$4*$F183/($N183*'Dataset sem TS MC2020'!P175))*($AP$5*$G183+$AP$6*$B183/$N183)*('Dataset sem TS MC2020'!P175^$AP$7/200000)*($J183-$M183)/($J183-$M183-$H183)+('Dataset sem TS MC2020'!P175-$C183/$AP$8)*($AP$5*$G183+$AP$6*$B183/$N183)/200000</f>
        <v>0.23772049095144521</v>
      </c>
      <c r="AP183" s="3">
        <f t="shared" si="28"/>
        <v>1.3206693941746956</v>
      </c>
      <c r="AQ183" s="16">
        <f t="shared" si="29"/>
        <v>5.7720490951445214E-2</v>
      </c>
    </row>
    <row r="184" spans="1:43" x14ac:dyDescent="0.3">
      <c r="B184" s="4">
        <v>10</v>
      </c>
      <c r="C184" s="5">
        <v>528</v>
      </c>
      <c r="D184" s="5">
        <v>1</v>
      </c>
      <c r="E184" s="4">
        <v>45</v>
      </c>
      <c r="F184" s="3">
        <v>2.8</v>
      </c>
      <c r="G184" s="4">
        <v>40</v>
      </c>
      <c r="H184" s="4">
        <v>45</v>
      </c>
      <c r="I184" s="1">
        <v>100</v>
      </c>
      <c r="J184" s="4">
        <v>350</v>
      </c>
      <c r="K184" s="5">
        <v>78.5</v>
      </c>
      <c r="L184" s="3">
        <v>9500</v>
      </c>
      <c r="M184" s="5">
        <v>54.13865484956586</v>
      </c>
      <c r="N184" s="8">
        <v>8.263157894736842E-3</v>
      </c>
      <c r="O184" s="3">
        <v>7.54</v>
      </c>
      <c r="P184" s="5">
        <v>201.31908859659035</v>
      </c>
      <c r="Q184" s="3">
        <v>0.2</v>
      </c>
      <c r="R184" s="12">
        <f t="shared" si="22"/>
        <v>1.0065954429829516E-3</v>
      </c>
      <c r="V184" s="3">
        <f t="shared" si="20"/>
        <v>0.2525063943690124</v>
      </c>
      <c r="W184" s="3">
        <f t="shared" si="23"/>
        <v>1.2625319718450618</v>
      </c>
      <c r="Y184" s="3">
        <f t="shared" si="21"/>
        <v>0.25843940711694968</v>
      </c>
      <c r="Z184" s="3">
        <f t="shared" si="24"/>
        <v>1.2921970355847483</v>
      </c>
      <c r="AB184" s="3">
        <f>$AC$2*($AC$3+$AC$4*$F184/($N184*'Dataset sem TS MC2020'!P176))*($AC$5*$G184+$AC$6*$B184/$N184)*'Dataset sem TS MC2020'!R176*($J184-$M184)/($J184-$M184-$H184)</f>
        <v>0.24958352158733785</v>
      </c>
      <c r="AC184" s="3">
        <f t="shared" si="25"/>
        <v>1.2479176079366892</v>
      </c>
      <c r="AD184" s="16">
        <f t="shared" si="26"/>
        <v>4.9583521587337837E-2</v>
      </c>
      <c r="AE184" s="17">
        <f t="shared" si="27"/>
        <v>0.80133495484000994</v>
      </c>
      <c r="AF184" s="17">
        <f>AB184*(14.068*'Dataset sem TS MC2020'!$P176^-0.457)/$Q184</f>
        <v>1.2320690913285515</v>
      </c>
      <c r="AG184" s="17"/>
      <c r="AO184" s="3">
        <f>$AP$2*($AP$3+$AP$4*$F184/($N184*'Dataset sem TS MC2020'!P176))*($AP$5*$G184+$AP$6*$B184/$N184)*('Dataset sem TS MC2020'!P176^$AP$7/200000)*($J184-$M184)/($J184-$M184-$H184)+('Dataset sem TS MC2020'!P176-$C184/$AP$8)*($AP$5*$G184+$AP$6*$B184/$N184)/200000</f>
        <v>0.25879628751848904</v>
      </c>
      <c r="AP184" s="3">
        <f t="shared" si="28"/>
        <v>1.2939814375924452</v>
      </c>
      <c r="AQ184" s="16">
        <f t="shared" si="29"/>
        <v>5.8796287518489032E-2</v>
      </c>
    </row>
    <row r="185" spans="1:43" x14ac:dyDescent="0.3">
      <c r="B185" s="4">
        <v>10</v>
      </c>
      <c r="C185" s="5">
        <v>528</v>
      </c>
      <c r="D185" s="5">
        <v>1</v>
      </c>
      <c r="E185" s="4">
        <v>45</v>
      </c>
      <c r="F185" s="3">
        <v>2.8</v>
      </c>
      <c r="G185" s="4">
        <v>40</v>
      </c>
      <c r="H185" s="4">
        <v>45</v>
      </c>
      <c r="I185" s="1">
        <v>100</v>
      </c>
      <c r="J185" s="4">
        <v>350</v>
      </c>
      <c r="K185" s="5">
        <v>78.5</v>
      </c>
      <c r="L185" s="3">
        <v>9500</v>
      </c>
      <c r="M185" s="5">
        <v>54.13865484956586</v>
      </c>
      <c r="N185" s="8">
        <v>8.263157894736842E-3</v>
      </c>
      <c r="O185" s="3">
        <v>7.83</v>
      </c>
      <c r="P185" s="5">
        <v>222.89638863826832</v>
      </c>
      <c r="Q185" s="3">
        <v>0.23</v>
      </c>
      <c r="R185" s="12">
        <f t="shared" si="22"/>
        <v>1.1144819431913415E-3</v>
      </c>
      <c r="V185" s="3">
        <f t="shared" si="20"/>
        <v>0.26887779237219955</v>
      </c>
      <c r="W185" s="3">
        <f t="shared" si="23"/>
        <v>1.1690338798791284</v>
      </c>
      <c r="Y185" s="3">
        <f t="shared" si="21"/>
        <v>0.27550386006561917</v>
      </c>
      <c r="Z185" s="3">
        <f t="shared" si="24"/>
        <v>1.1978428698505181</v>
      </c>
      <c r="AB185" s="3">
        <f>$AC$2*($AC$3+$AC$4*$F185/($N185*'Dataset sem TS MC2020'!P177))*($AC$5*$G185+$AC$6*$B185/$N185)*'Dataset sem TS MC2020'!R177*($J185-$M185)/($J185-$M185-$H185)</f>
        <v>0.27095104264262226</v>
      </c>
      <c r="AC185" s="3">
        <f t="shared" si="25"/>
        <v>1.1780480114896619</v>
      </c>
      <c r="AD185" s="16">
        <f t="shared" si="26"/>
        <v>4.0951042642622254E-2</v>
      </c>
      <c r="AE185" s="17">
        <f t="shared" si="27"/>
        <v>0.84886183775776924</v>
      </c>
      <c r="AF185" s="17">
        <f>AB185*(14.068*'Dataset sem TS MC2020'!$P177^-0.457)/$Q185</f>
        <v>1.143198695993543</v>
      </c>
      <c r="AG185" s="17"/>
      <c r="AO185" s="3">
        <f>$AP$2*($AP$3+$AP$4*$F185/($N185*'Dataset sem TS MC2020'!P177))*($AP$5*$G185+$AP$6*$B185/$N185)*('Dataset sem TS MC2020'!P177^$AP$7/200000)*($J185-$M185)/($J185-$M185-$H185)+('Dataset sem TS MC2020'!P177-$C185/$AP$8)*($AP$5*$G185+$AP$6*$B185/$N185)/200000</f>
        <v>0.28040321683224501</v>
      </c>
      <c r="AP185" s="3">
        <f t="shared" si="28"/>
        <v>1.2191444210097608</v>
      </c>
      <c r="AQ185" s="16">
        <f t="shared" si="29"/>
        <v>5.0403216832244996E-2</v>
      </c>
    </row>
    <row r="186" spans="1:43" x14ac:dyDescent="0.3">
      <c r="B186" s="4">
        <v>10</v>
      </c>
      <c r="C186" s="5">
        <v>528</v>
      </c>
      <c r="D186" s="5">
        <v>1</v>
      </c>
      <c r="E186" s="4">
        <v>45</v>
      </c>
      <c r="F186" s="3">
        <v>2.8</v>
      </c>
      <c r="G186" s="4">
        <v>40</v>
      </c>
      <c r="H186" s="4">
        <v>45</v>
      </c>
      <c r="I186" s="1">
        <v>100</v>
      </c>
      <c r="J186" s="4">
        <v>350</v>
      </c>
      <c r="K186" s="5">
        <v>78.5</v>
      </c>
      <c r="L186" s="3">
        <v>9500</v>
      </c>
      <c r="M186" s="5">
        <v>54.13865484956586</v>
      </c>
      <c r="N186" s="8">
        <v>8.263157894736842E-3</v>
      </c>
      <c r="O186" s="3">
        <v>8.14</v>
      </c>
      <c r="P186" s="5">
        <v>245.96177833799325</v>
      </c>
      <c r="Q186" s="3">
        <v>0.24</v>
      </c>
      <c r="R186" s="12">
        <f t="shared" si="22"/>
        <v>1.2298088916899662E-3</v>
      </c>
      <c r="V186" s="3">
        <f t="shared" si="20"/>
        <v>0.28572003005107927</v>
      </c>
      <c r="W186" s="3">
        <f t="shared" si="23"/>
        <v>1.1905001252128302</v>
      </c>
      <c r="Y186" s="3">
        <f t="shared" si="21"/>
        <v>0.29307842707551618</v>
      </c>
      <c r="Z186" s="3">
        <f t="shared" si="24"/>
        <v>1.2211601128146508</v>
      </c>
      <c r="AB186" s="3">
        <f>$AC$2*($AC$3+$AC$4*$F186/($N186*'Dataset sem TS MC2020'!P178))*($AC$5*$G186+$AC$6*$B186/$N186)*'Dataset sem TS MC2020'!R178*($J186-$M186)/($J186-$M186-$H186)</f>
        <v>0.29379218583965072</v>
      </c>
      <c r="AC186" s="3">
        <f t="shared" si="25"/>
        <v>1.2241341076652115</v>
      </c>
      <c r="AD186" s="16">
        <f t="shared" si="26"/>
        <v>5.379218583965073E-2</v>
      </c>
      <c r="AE186" s="17">
        <f t="shared" si="27"/>
        <v>0.81690395989970244</v>
      </c>
      <c r="AF186" s="17">
        <f>AB186*(14.068*'Dataset sem TS MC2020'!$P178^-0.457)/$Q186</f>
        <v>1.1670286040604683</v>
      </c>
      <c r="AG186" s="17"/>
      <c r="AO186" s="3">
        <f>$AP$2*($AP$3+$AP$4*$F186/($N186*'Dataset sem TS MC2020'!P178))*($AP$5*$G186+$AP$6*$B186/$N186)*('Dataset sem TS MC2020'!P178^$AP$7/200000)*($J186-$M186)/($J186-$M186-$H186)+('Dataset sem TS MC2020'!P178-$C186/$AP$8)*($AP$5*$G186+$AP$6*$B186/$N186)/200000</f>
        <v>0.30326591548253612</v>
      </c>
      <c r="AP186" s="3">
        <f t="shared" si="28"/>
        <v>1.2636079811772338</v>
      </c>
      <c r="AQ186" s="16">
        <f t="shared" si="29"/>
        <v>6.3265915482536128E-2</v>
      </c>
    </row>
    <row r="187" spans="1:43" x14ac:dyDescent="0.3">
      <c r="B187" s="4">
        <v>10</v>
      </c>
      <c r="C187" s="5">
        <v>528</v>
      </c>
      <c r="D187" s="5">
        <v>1</v>
      </c>
      <c r="E187" s="4">
        <v>45</v>
      </c>
      <c r="F187" s="3">
        <v>2.8</v>
      </c>
      <c r="G187" s="4">
        <v>40</v>
      </c>
      <c r="H187" s="4">
        <v>45</v>
      </c>
      <c r="I187" s="1">
        <v>100</v>
      </c>
      <c r="J187" s="4">
        <v>350</v>
      </c>
      <c r="K187" s="5">
        <v>78.5</v>
      </c>
      <c r="L187" s="3">
        <v>9500</v>
      </c>
      <c r="M187" s="5">
        <v>54.13865484956586</v>
      </c>
      <c r="N187" s="8">
        <v>8.263157894736842E-3</v>
      </c>
      <c r="O187" s="3">
        <v>8.4600000000000009</v>
      </c>
      <c r="P187" s="5">
        <v>269.77121286674145</v>
      </c>
      <c r="Q187" s="3">
        <v>0.25</v>
      </c>
      <c r="R187" s="12">
        <f t="shared" si="22"/>
        <v>1.3488560643337073E-3</v>
      </c>
      <c r="V187" s="3">
        <f t="shared" si="20"/>
        <v>0.30248208005910926</v>
      </c>
      <c r="W187" s="3">
        <f t="shared" si="23"/>
        <v>1.209928320236437</v>
      </c>
      <c r="Y187" s="3">
        <f t="shared" si="21"/>
        <v>0.31058767918979568</v>
      </c>
      <c r="Z187" s="3">
        <f t="shared" si="24"/>
        <v>1.2423507167591827</v>
      </c>
      <c r="AB187" s="3">
        <f>$AC$2*($AC$3+$AC$4*$F187/($N187*'Dataset sem TS MC2020'!P179))*($AC$5*$G187+$AC$6*$B187/$N187)*'Dataset sem TS MC2020'!R179*($J187-$M187)/($J187-$M187-$H187)</f>
        <v>0.31737014010755088</v>
      </c>
      <c r="AC187" s="3">
        <f t="shared" si="25"/>
        <v>1.2694805604302035</v>
      </c>
      <c r="AD187" s="16">
        <f t="shared" si="26"/>
        <v>6.737014010755088E-2</v>
      </c>
      <c r="AE187" s="17">
        <f t="shared" si="27"/>
        <v>0.78772375975660347</v>
      </c>
      <c r="AF187" s="17">
        <f>AB187*(14.068*'Dataset sem TS MC2020'!$P179^-0.457)/$Q187</f>
        <v>1.1891199191654331</v>
      </c>
      <c r="AG187" s="17"/>
      <c r="AO187" s="3">
        <f>$AP$2*($AP$3+$AP$4*$F187/($N187*'Dataset sem TS MC2020'!P179))*($AP$5*$G187+$AP$6*$B187/$N187)*('Dataset sem TS MC2020'!P179^$AP$7/200000)*($J187-$M187)/($J187-$M187-$H187)+('Dataset sem TS MC2020'!P179-$C187/$AP$8)*($AP$5*$G187+$AP$6*$B187/$N187)/200000</f>
        <v>0.32662734603143156</v>
      </c>
      <c r="AP187" s="3">
        <f t="shared" si="28"/>
        <v>1.3065093841257263</v>
      </c>
      <c r="AQ187" s="16">
        <f t="shared" si="29"/>
        <v>7.6627346031431565E-2</v>
      </c>
    </row>
    <row r="188" spans="1:43" x14ac:dyDescent="0.3">
      <c r="B188" s="4">
        <v>10</v>
      </c>
      <c r="C188" s="5">
        <v>528</v>
      </c>
      <c r="D188" s="5">
        <v>1</v>
      </c>
      <c r="E188" s="4">
        <v>45</v>
      </c>
      <c r="F188" s="3">
        <v>2.8</v>
      </c>
      <c r="G188" s="4">
        <v>40</v>
      </c>
      <c r="H188" s="4">
        <v>45</v>
      </c>
      <c r="I188" s="1">
        <v>100</v>
      </c>
      <c r="J188" s="4">
        <v>350</v>
      </c>
      <c r="K188" s="5">
        <v>78.5</v>
      </c>
      <c r="L188" s="3">
        <v>9500</v>
      </c>
      <c r="M188" s="5">
        <v>54.13865484956586</v>
      </c>
      <c r="N188" s="8">
        <v>8.263157894736842E-3</v>
      </c>
      <c r="O188" s="3">
        <v>8.75</v>
      </c>
      <c r="P188" s="5">
        <v>291.34851290841937</v>
      </c>
      <c r="Q188" s="3">
        <v>0.27</v>
      </c>
      <c r="R188" s="12">
        <f t="shared" si="22"/>
        <v>1.4567425645420969E-3</v>
      </c>
      <c r="V188" s="3">
        <f t="shared" si="20"/>
        <v>0.31718896076363551</v>
      </c>
      <c r="W188" s="3">
        <f t="shared" si="23"/>
        <v>1.1747739287542056</v>
      </c>
      <c r="Y188" s="3">
        <f t="shared" si="21"/>
        <v>0.325964440885536</v>
      </c>
      <c r="Z188" s="3">
        <f t="shared" si="24"/>
        <v>1.2072757069834665</v>
      </c>
      <c r="AB188" s="3">
        <f>$AC$2*($AC$3+$AC$4*$F188/($N188*'Dataset sem TS MC2020'!P180))*($AC$5*$G188+$AC$6*$B188/$N188)*'Dataset sem TS MC2020'!R180*($J188-$M188)/($J188-$M188-$H188)</f>
        <v>0.33873766116283538</v>
      </c>
      <c r="AC188" s="3">
        <f t="shared" si="25"/>
        <v>1.2545839302327235</v>
      </c>
      <c r="AD188" s="16">
        <f t="shared" si="26"/>
        <v>6.8737661162835362E-2</v>
      </c>
      <c r="AE188" s="17">
        <f t="shared" si="27"/>
        <v>0.79707700369994494</v>
      </c>
      <c r="AF188" s="17">
        <f>AB188*(14.068*'Dataset sem TS MC2020'!$P180^-0.457)/$Q188</f>
        <v>1.1572039178128557</v>
      </c>
      <c r="AG188" s="17"/>
      <c r="AO188" s="3">
        <f>$AP$2*($AP$3+$AP$4*$F188/($N188*'Dataset sem TS MC2020'!P180))*($AP$5*$G188+$AP$6*$B188/$N188)*('Dataset sem TS MC2020'!P180^$AP$7/200000)*($J188-$M188)/($J188-$M188-$H188)+('Dataset sem TS MC2020'!P180-$C188/$AP$8)*($AP$5*$G188+$AP$6*$B188/$N188)/200000</f>
        <v>0.3476011948565545</v>
      </c>
      <c r="AP188" s="3">
        <f t="shared" si="28"/>
        <v>1.2874118328020536</v>
      </c>
      <c r="AQ188" s="16">
        <f t="shared" si="29"/>
        <v>7.7601194856554478E-2</v>
      </c>
    </row>
    <row r="189" spans="1:43" x14ac:dyDescent="0.3">
      <c r="B189" s="4">
        <v>10</v>
      </c>
      <c r="C189" s="5">
        <v>528</v>
      </c>
      <c r="D189" s="5">
        <v>1</v>
      </c>
      <c r="E189" s="4">
        <v>45</v>
      </c>
      <c r="F189" s="3">
        <v>2.8</v>
      </c>
      <c r="G189" s="4">
        <v>40</v>
      </c>
      <c r="H189" s="4">
        <v>45</v>
      </c>
      <c r="I189" s="1">
        <v>100</v>
      </c>
      <c r="J189" s="4">
        <v>350</v>
      </c>
      <c r="K189" s="5">
        <v>78.5</v>
      </c>
      <c r="L189" s="3">
        <v>9500</v>
      </c>
      <c r="M189" s="5">
        <v>54.13865484956586</v>
      </c>
      <c r="N189" s="8">
        <v>8.263157894736842E-3</v>
      </c>
      <c r="O189" s="3">
        <v>9.01</v>
      </c>
      <c r="P189" s="5">
        <v>310.69367846302725</v>
      </c>
      <c r="Q189" s="3">
        <v>0.28999999999999998</v>
      </c>
      <c r="R189" s="12">
        <f t="shared" si="22"/>
        <v>1.5534683923151362E-3</v>
      </c>
      <c r="V189" s="3">
        <f t="shared" si="20"/>
        <v>0.33002319477286318</v>
      </c>
      <c r="W189" s="3">
        <f t="shared" si="23"/>
        <v>1.1380110164581489</v>
      </c>
      <c r="Y189" s="3">
        <f t="shared" si="21"/>
        <v>0.33939367290454914</v>
      </c>
      <c r="Z189" s="3">
        <f t="shared" si="24"/>
        <v>1.1703230100156867</v>
      </c>
      <c r="AB189" s="3">
        <f>$AC$2*($AC$3+$AC$4*$F189/($N189*'Dataset sem TS MC2020'!P181))*($AC$5*$G189+$AC$6*$B189/$N189)*'Dataset sem TS MC2020'!R181*($J189-$M189)/($J189-$M189-$H189)</f>
        <v>0.35789474900550433</v>
      </c>
      <c r="AC189" s="3">
        <f t="shared" si="25"/>
        <v>1.2341198241569116</v>
      </c>
      <c r="AD189" s="16">
        <f t="shared" si="26"/>
        <v>6.7894749005504351E-2</v>
      </c>
      <c r="AE189" s="17">
        <f t="shared" si="27"/>
        <v>0.81029409010842979</v>
      </c>
      <c r="AF189" s="17">
        <f>AB189*(14.068*'Dataset sem TS MC2020'!$P181^-0.457)/$Q189</f>
        <v>1.123197050304046</v>
      </c>
      <c r="AG189" s="17"/>
      <c r="AO189" s="3">
        <f>$AP$2*($AP$3+$AP$4*$F189/($N189*'Dataset sem TS MC2020'!P181))*($AP$5*$G189+$AP$6*$B189/$N189)*('Dataset sem TS MC2020'!P181^$AP$7/200000)*($J189-$M189)/($J189-$M189-$H189)+('Dataset sem TS MC2020'!P181-$C189/$AP$8)*($AP$5*$G189+$AP$6*$B189/$N189)/200000</f>
        <v>0.36625410498748612</v>
      </c>
      <c r="AP189" s="3">
        <f t="shared" si="28"/>
        <v>1.2629451896120212</v>
      </c>
      <c r="AQ189" s="16">
        <f t="shared" si="29"/>
        <v>7.6254104987486138E-2</v>
      </c>
    </row>
    <row r="190" spans="1:43" x14ac:dyDescent="0.3">
      <c r="A190" s="1" t="s">
        <v>43</v>
      </c>
      <c r="B190" s="4">
        <v>10</v>
      </c>
      <c r="C190" s="5">
        <v>528</v>
      </c>
      <c r="D190" s="5">
        <v>1</v>
      </c>
      <c r="E190" s="4">
        <v>45</v>
      </c>
      <c r="F190" s="3">
        <v>2.8</v>
      </c>
      <c r="G190" s="4">
        <v>40</v>
      </c>
      <c r="H190" s="4">
        <v>45</v>
      </c>
      <c r="I190" s="1">
        <v>100</v>
      </c>
      <c r="J190" s="4">
        <v>350</v>
      </c>
      <c r="K190" s="5">
        <v>78.5</v>
      </c>
      <c r="L190" s="3">
        <v>9500</v>
      </c>
      <c r="M190" s="5">
        <v>54.13865484956586</v>
      </c>
      <c r="N190" s="8">
        <v>8.263157894736842E-3</v>
      </c>
      <c r="O190" s="3">
        <v>7.29</v>
      </c>
      <c r="P190" s="5">
        <v>182.71796787100584</v>
      </c>
      <c r="Q190" s="3">
        <v>0.15</v>
      </c>
      <c r="R190" s="12">
        <f t="shared" si="22"/>
        <v>9.1358983935502919E-4</v>
      </c>
      <c r="V190" s="3">
        <f t="shared" si="20"/>
        <v>0.23784520377014459</v>
      </c>
      <c r="W190" s="3">
        <f t="shared" si="23"/>
        <v>1.5856346918009641</v>
      </c>
      <c r="Y190" s="3">
        <f t="shared" si="21"/>
        <v>0.24317426563941091</v>
      </c>
      <c r="Z190" s="3">
        <f t="shared" si="24"/>
        <v>1.6211617709294062</v>
      </c>
      <c r="AB190" s="3">
        <f>$AC$2*($AC$3+$AC$4*$F190/($N190*'Dataset sem TS MC2020'!P182))*($AC$5*$G190+$AC$6*$B190/$N190)*'Dataset sem TS MC2020'!R182*($J190-$M190)/($J190-$M190-$H190)</f>
        <v>0.23116324481554082</v>
      </c>
      <c r="AC190" s="3">
        <f t="shared" si="25"/>
        <v>1.5410882987702721</v>
      </c>
      <c r="AD190" s="16">
        <f t="shared" si="26"/>
        <v>8.1163244815540825E-2</v>
      </c>
      <c r="AE190" s="17">
        <f t="shared" si="27"/>
        <v>0.64889208541649479</v>
      </c>
      <c r="AF190" s="17">
        <f>AB190*(14.068*'Dataset sem TS MC2020'!$P182^-0.457)/$Q190</f>
        <v>1.5451437787209827</v>
      </c>
      <c r="AG190" s="17"/>
      <c r="AO190" s="3">
        <f>$AP$2*($AP$3+$AP$4*$F190/($N190*'Dataset sem TS MC2020'!P182))*($AP$5*$G190+$AP$6*$B190/$N190)*('Dataset sem TS MC2020'!P182^$AP$7/200000)*($J190-$M190)/($J190-$M190-$H190)+('Dataset sem TS MC2020'!P182-$C190/$AP$8)*($AP$5*$G190+$AP$6*$B190/$N190)/200000</f>
        <v>0.23998906496135886</v>
      </c>
      <c r="AP190" s="3">
        <f t="shared" si="28"/>
        <v>1.5999270997423924</v>
      </c>
      <c r="AQ190" s="16">
        <f t="shared" si="29"/>
        <v>8.9989064961358861E-2</v>
      </c>
    </row>
    <row r="191" spans="1:43" x14ac:dyDescent="0.3">
      <c r="B191" s="4">
        <v>10</v>
      </c>
      <c r="C191" s="5">
        <v>528</v>
      </c>
      <c r="D191" s="5">
        <v>1</v>
      </c>
      <c r="E191" s="4">
        <v>45</v>
      </c>
      <c r="F191" s="3">
        <v>2.8</v>
      </c>
      <c r="G191" s="4">
        <v>40</v>
      </c>
      <c r="H191" s="4">
        <v>45</v>
      </c>
      <c r="I191" s="1">
        <v>100</v>
      </c>
      <c r="J191" s="4">
        <v>350</v>
      </c>
      <c r="K191" s="5">
        <v>78.5</v>
      </c>
      <c r="L191" s="3">
        <v>9500</v>
      </c>
      <c r="M191" s="5">
        <v>54.13865484956586</v>
      </c>
      <c r="N191" s="8">
        <v>8.263157894736842E-3</v>
      </c>
      <c r="O191" s="3">
        <v>7.58</v>
      </c>
      <c r="P191" s="5">
        <v>204.29526791268381</v>
      </c>
      <c r="Q191" s="3">
        <v>0.16</v>
      </c>
      <c r="R191" s="12">
        <f t="shared" si="22"/>
        <v>1.0214763395634192E-3</v>
      </c>
      <c r="V191" s="3">
        <f t="shared" si="20"/>
        <v>0.25480311817872747</v>
      </c>
      <c r="W191" s="3">
        <f t="shared" si="23"/>
        <v>1.5925194886170466</v>
      </c>
      <c r="Y191" s="3">
        <f t="shared" si="21"/>
        <v>0.26083219783175282</v>
      </c>
      <c r="Z191" s="3">
        <f t="shared" si="24"/>
        <v>1.630201236448455</v>
      </c>
      <c r="AB191" s="3">
        <f>$AC$2*($AC$3+$AC$4*$F191/($N191*'Dataset sem TS MC2020'!P183))*($AC$5*$G191+$AC$6*$B191/$N191)*'Dataset sem TS MC2020'!R183*($J191-$M191)/($J191-$M191-$H191)</f>
        <v>0.25253076587082535</v>
      </c>
      <c r="AC191" s="3">
        <f t="shared" si="25"/>
        <v>1.5783172866926585</v>
      </c>
      <c r="AD191" s="16">
        <f t="shared" si="26"/>
        <v>9.2530765870825343E-2</v>
      </c>
      <c r="AE191" s="17">
        <f t="shared" si="27"/>
        <v>0.63358616700922399</v>
      </c>
      <c r="AF191" s="17">
        <f>AB191*(14.068*'Dataset sem TS MC2020'!$P183^-0.457)/$Q191</f>
        <v>1.5545093599723585</v>
      </c>
      <c r="AG191" s="17"/>
      <c r="AO191" s="3">
        <f>$AP$2*($AP$3+$AP$4*$F191/($N191*'Dataset sem TS MC2020'!P183))*($AP$5*$G191+$AP$6*$B191/$N191)*('Dataset sem TS MC2020'!P183^$AP$7/200000)*($J191-$M191)/($J191-$M191-$H191)+('Dataset sem TS MC2020'!P183-$C191/$AP$8)*($AP$5*$G191+$AP$6*$B191/$N191)/200000</f>
        <v>0.26178965063982707</v>
      </c>
      <c r="AP191" s="3">
        <f t="shared" si="28"/>
        <v>1.6361853164989191</v>
      </c>
      <c r="AQ191" s="16">
        <f t="shared" si="29"/>
        <v>0.10178965063982706</v>
      </c>
    </row>
    <row r="192" spans="1:43" x14ac:dyDescent="0.3">
      <c r="B192" s="4">
        <v>10</v>
      </c>
      <c r="C192" s="5">
        <v>528</v>
      </c>
      <c r="D192" s="5">
        <v>1</v>
      </c>
      <c r="E192" s="4">
        <v>45</v>
      </c>
      <c r="F192" s="3">
        <v>2.8</v>
      </c>
      <c r="G192" s="4">
        <v>40</v>
      </c>
      <c r="H192" s="4">
        <v>45</v>
      </c>
      <c r="I192" s="1">
        <v>100</v>
      </c>
      <c r="J192" s="4">
        <v>350</v>
      </c>
      <c r="K192" s="5">
        <v>78.5</v>
      </c>
      <c r="L192" s="3">
        <v>9500</v>
      </c>
      <c r="M192" s="5">
        <v>54.13865484956586</v>
      </c>
      <c r="N192" s="8">
        <v>8.263157894736842E-3</v>
      </c>
      <c r="O192" s="3">
        <v>7.99</v>
      </c>
      <c r="P192" s="5">
        <v>234.80110590264246</v>
      </c>
      <c r="Q192" s="3">
        <v>0.18</v>
      </c>
      <c r="R192" s="12">
        <f t="shared" si="22"/>
        <v>1.1740055295132122E-3</v>
      </c>
      <c r="V192" s="3">
        <f t="shared" si="20"/>
        <v>0.27764978920004102</v>
      </c>
      <c r="W192" s="3">
        <f t="shared" si="23"/>
        <v>1.5424988288891168</v>
      </c>
      <c r="Y192" s="3">
        <f t="shared" si="21"/>
        <v>0.28465490430864632</v>
      </c>
      <c r="Z192" s="3">
        <f t="shared" si="24"/>
        <v>1.5814161350480351</v>
      </c>
      <c r="AB192" s="3">
        <f>$AC$2*($AC$3+$AC$4*$F192/($N192*'Dataset sem TS MC2020'!P184))*($AC$5*$G192+$AC$6*$B192/$N192)*'Dataset sem TS MC2020'!R184*($J192-$M192)/($J192-$M192-$H192)</f>
        <v>0.28274001977657254</v>
      </c>
      <c r="AC192" s="3">
        <f t="shared" si="25"/>
        <v>1.5707778876476253</v>
      </c>
      <c r="AD192" s="16">
        <f t="shared" si="26"/>
        <v>0.10274001977657254</v>
      </c>
      <c r="AE192" s="17">
        <f t="shared" si="27"/>
        <v>0.63662724556021466</v>
      </c>
      <c r="AF192" s="17">
        <f>AB192*(14.068*'Dataset sem TS MC2020'!$P184^-0.457)/$Q192</f>
        <v>1.5102844674681368</v>
      </c>
      <c r="AG192" s="17"/>
      <c r="AO192" s="3">
        <f>$AP$2*($AP$3+$AP$4*$F192/($N192*'Dataset sem TS MC2020'!P184))*($AP$5*$G192+$AP$6*$B192/$N192)*('Dataset sem TS MC2020'!P184^$AP$7/200000)*($J192-$M192)/($J192-$M192-$H192)+('Dataset sem TS MC2020'!P184-$C192/$AP$8)*($AP$5*$G192+$AP$6*$B192/$N192)/200000</f>
        <v>0.292232635994298</v>
      </c>
      <c r="AP192" s="3">
        <f t="shared" si="28"/>
        <v>1.6235146444127666</v>
      </c>
      <c r="AQ192" s="16">
        <f t="shared" si="29"/>
        <v>0.112232635994298</v>
      </c>
    </row>
    <row r="193" spans="1:43" x14ac:dyDescent="0.3">
      <c r="B193" s="4">
        <v>10</v>
      </c>
      <c r="C193" s="5">
        <v>528</v>
      </c>
      <c r="D193" s="5">
        <v>1</v>
      </c>
      <c r="E193" s="4">
        <v>45</v>
      </c>
      <c r="F193" s="3">
        <v>2.8</v>
      </c>
      <c r="G193" s="4">
        <v>40</v>
      </c>
      <c r="H193" s="4">
        <v>45</v>
      </c>
      <c r="I193" s="1">
        <v>100</v>
      </c>
      <c r="J193" s="4">
        <v>350</v>
      </c>
      <c r="K193" s="5">
        <v>78.5</v>
      </c>
      <c r="L193" s="3">
        <v>9500</v>
      </c>
      <c r="M193" s="5">
        <v>54.13865484956586</v>
      </c>
      <c r="N193" s="8">
        <v>8.263157894736842E-3</v>
      </c>
      <c r="O193" s="3">
        <v>8.23</v>
      </c>
      <c r="P193" s="5">
        <v>252.65818179920353</v>
      </c>
      <c r="Q193" s="3">
        <v>0.18</v>
      </c>
      <c r="R193" s="12">
        <f t="shared" si="22"/>
        <v>1.2632909089960176E-3</v>
      </c>
      <c r="V193" s="3">
        <f t="shared" si="20"/>
        <v>0.29049485839636791</v>
      </c>
      <c r="W193" s="3">
        <f t="shared" si="23"/>
        <v>1.6138603244242662</v>
      </c>
      <c r="Y193" s="3">
        <f t="shared" si="21"/>
        <v>0.2980642832727633</v>
      </c>
      <c r="Z193" s="3">
        <f t="shared" si="24"/>
        <v>1.6559126848486851</v>
      </c>
      <c r="AB193" s="3">
        <f>$AC$2*($AC$3+$AC$4*$F193/($N193*'Dataset sem TS MC2020'!P185))*($AC$5*$G193+$AC$6*$B193/$N193)*'Dataset sem TS MC2020'!R185*($J193-$M193)/($J193-$M193-$H193)</f>
        <v>0.30042348547749753</v>
      </c>
      <c r="AC193" s="3">
        <f t="shared" si="25"/>
        <v>1.6690193637638753</v>
      </c>
      <c r="AD193" s="16">
        <f t="shared" si="26"/>
        <v>0.12042348547749754</v>
      </c>
      <c r="AE193" s="17">
        <f t="shared" si="27"/>
        <v>0.59915422295931797</v>
      </c>
      <c r="AF193" s="17">
        <f>AB193*(14.068*'Dataset sem TS MC2020'!$P185^-0.457)/$Q193</f>
        <v>1.5831844142140028</v>
      </c>
      <c r="AG193" s="17"/>
      <c r="AO193" s="3">
        <f>$AP$2*($AP$3+$AP$4*$F193/($N193*'Dataset sem TS MC2020'!P185))*($AP$5*$G193+$AP$6*$B193/$N193)*('Dataset sem TS MC2020'!P185^$AP$7/200000)*($J193-$M193)/($J193-$M193-$H193)+('Dataset sem TS MC2020'!P185-$C193/$AP$8)*($AP$5*$G193+$AP$6*$B193/$N193)/200000</f>
        <v>0.30986019396344466</v>
      </c>
      <c r="AP193" s="3">
        <f t="shared" si="28"/>
        <v>1.7214455220191371</v>
      </c>
      <c r="AQ193" s="16">
        <f t="shared" si="29"/>
        <v>0.12986019396344467</v>
      </c>
    </row>
    <row r="194" spans="1:43" x14ac:dyDescent="0.3">
      <c r="B194" s="4">
        <v>10</v>
      </c>
      <c r="C194" s="5">
        <v>528</v>
      </c>
      <c r="D194" s="5">
        <v>1</v>
      </c>
      <c r="E194" s="4">
        <v>45</v>
      </c>
      <c r="F194" s="3">
        <v>2.8</v>
      </c>
      <c r="G194" s="4">
        <v>40</v>
      </c>
      <c r="H194" s="4">
        <v>45</v>
      </c>
      <c r="I194" s="1">
        <v>100</v>
      </c>
      <c r="J194" s="4">
        <v>350</v>
      </c>
      <c r="K194" s="5">
        <v>78.5</v>
      </c>
      <c r="L194" s="3">
        <v>9500</v>
      </c>
      <c r="M194" s="5">
        <v>54.13865484956586</v>
      </c>
      <c r="N194" s="8">
        <v>8.263157894736842E-3</v>
      </c>
      <c r="O194" s="3">
        <v>8.4600000000000009</v>
      </c>
      <c r="P194" s="5">
        <v>269.77121286674145</v>
      </c>
      <c r="Q194" s="3">
        <v>0.19</v>
      </c>
      <c r="R194" s="12">
        <f t="shared" si="22"/>
        <v>1.3488560643337073E-3</v>
      </c>
      <c r="V194" s="3">
        <f t="shared" si="20"/>
        <v>0.30248208005910926</v>
      </c>
      <c r="W194" s="3">
        <f t="shared" si="23"/>
        <v>1.5920109476795223</v>
      </c>
      <c r="Y194" s="3">
        <f t="shared" si="21"/>
        <v>0.31058767918979568</v>
      </c>
      <c r="Z194" s="3">
        <f t="shared" si="24"/>
        <v>1.6346719957357667</v>
      </c>
      <c r="AB194" s="3">
        <f>$AC$2*($AC$3+$AC$4*$F194/($N194*'Dataset sem TS MC2020'!P186))*($AC$5*$G194+$AC$6*$B194/$N194)*'Dataset sem TS MC2020'!R186*($J194-$M194)/($J194-$M194-$H194)</f>
        <v>0.31737014010755088</v>
      </c>
      <c r="AC194" s="3">
        <f t="shared" si="25"/>
        <v>1.670369158460794</v>
      </c>
      <c r="AD194" s="16">
        <f t="shared" si="26"/>
        <v>0.12737014010755088</v>
      </c>
      <c r="AE194" s="17">
        <f t="shared" si="27"/>
        <v>0.59867005741501866</v>
      </c>
      <c r="AF194" s="17">
        <f>AB194*(14.068*'Dataset sem TS MC2020'!$P186^-0.457)/$Q194</f>
        <v>1.5646314725860961</v>
      </c>
      <c r="AG194" s="17"/>
      <c r="AO194" s="3">
        <f>$AP$2*($AP$3+$AP$4*$F194/($N194*'Dataset sem TS MC2020'!P186))*($AP$5*$G194+$AP$6*$B194/$N194)*('Dataset sem TS MC2020'!P186^$AP$7/200000)*($J194-$M194)/($J194-$M194-$H194)+('Dataset sem TS MC2020'!P186-$C194/$AP$8)*($AP$5*$G194+$AP$6*$B194/$N194)/200000</f>
        <v>0.32662734603143156</v>
      </c>
      <c r="AP194" s="3">
        <f t="shared" si="28"/>
        <v>1.7190912949022714</v>
      </c>
      <c r="AQ194" s="16">
        <f t="shared" si="29"/>
        <v>0.13662734603143156</v>
      </c>
    </row>
    <row r="195" spans="1:43" x14ac:dyDescent="0.3">
      <c r="B195" s="4">
        <v>10</v>
      </c>
      <c r="C195" s="5">
        <v>528</v>
      </c>
      <c r="D195" s="5">
        <v>1</v>
      </c>
      <c r="E195" s="4">
        <v>45</v>
      </c>
      <c r="F195" s="3">
        <v>2.8</v>
      </c>
      <c r="G195" s="4">
        <v>40</v>
      </c>
      <c r="H195" s="4">
        <v>45</v>
      </c>
      <c r="I195" s="1">
        <v>100</v>
      </c>
      <c r="J195" s="4">
        <v>350</v>
      </c>
      <c r="K195" s="5">
        <v>78.5</v>
      </c>
      <c r="L195" s="3">
        <v>9500</v>
      </c>
      <c r="M195" s="5">
        <v>54.13865484956586</v>
      </c>
      <c r="N195" s="8">
        <v>8.263157894736842E-3</v>
      </c>
      <c r="O195" s="3">
        <v>8.7100000000000009</v>
      </c>
      <c r="P195" s="5">
        <v>288.37233359232596</v>
      </c>
      <c r="Q195" s="3">
        <v>0.2</v>
      </c>
      <c r="R195" s="12">
        <f t="shared" si="22"/>
        <v>1.4418616679616298E-3</v>
      </c>
      <c r="V195" s="3">
        <f t="shared" si="20"/>
        <v>0.31518586240827823</v>
      </c>
      <c r="W195" s="3">
        <f t="shared" si="23"/>
        <v>1.5759293120413911</v>
      </c>
      <c r="Y195" s="3">
        <f t="shared" si="21"/>
        <v>0.32386934252769439</v>
      </c>
      <c r="Z195" s="3">
        <f t="shared" si="24"/>
        <v>1.619346712638472</v>
      </c>
      <c r="AB195" s="3">
        <f>$AC$2*($AC$3+$AC$4*$F195/($N195*'Dataset sem TS MC2020'!P187))*($AC$5*$G195+$AC$6*$B195/$N195)*'Dataset sem TS MC2020'!R187*($J195-$M195)/($J195-$M195-$H195)</f>
        <v>0.33579041687934796</v>
      </c>
      <c r="AC195" s="3">
        <f t="shared" si="25"/>
        <v>1.6789520843967398</v>
      </c>
      <c r="AD195" s="16">
        <f t="shared" si="26"/>
        <v>0.13579041687934795</v>
      </c>
      <c r="AE195" s="17">
        <f t="shared" si="27"/>
        <v>0.59560961226556242</v>
      </c>
      <c r="AF195" s="17">
        <f>AB195*(14.068*'Dataset sem TS MC2020'!$P187^-0.457)/$Q195</f>
        <v>1.551879014182566</v>
      </c>
      <c r="AG195" s="17"/>
      <c r="AO195" s="3">
        <f>$AP$2*($AP$3+$AP$4*$F195/($N195*'Dataset sem TS MC2020'!P187))*($AP$5*$G195+$AP$6*$B195/$N195)*('Dataset sem TS MC2020'!P187^$AP$7/200000)*($J195-$M195)/($J195-$M195-$H195)+('Dataset sem TS MC2020'!P187-$C195/$AP$8)*($AP$5*$G195+$AP$6*$B195/$N195)/200000</f>
        <v>0.34471901868466581</v>
      </c>
      <c r="AP195" s="3">
        <f t="shared" si="28"/>
        <v>1.7235950934233291</v>
      </c>
      <c r="AQ195" s="16">
        <f t="shared" si="29"/>
        <v>0.1447190186846658</v>
      </c>
    </row>
    <row r="196" spans="1:43" x14ac:dyDescent="0.3">
      <c r="B196" s="4">
        <v>10</v>
      </c>
      <c r="C196" s="5">
        <v>528</v>
      </c>
      <c r="D196" s="5">
        <v>1</v>
      </c>
      <c r="E196" s="4">
        <v>45</v>
      </c>
      <c r="F196" s="3">
        <v>2.8</v>
      </c>
      <c r="G196" s="4">
        <v>40</v>
      </c>
      <c r="H196" s="4">
        <v>45</v>
      </c>
      <c r="I196" s="1">
        <v>100</v>
      </c>
      <c r="J196" s="4">
        <v>350</v>
      </c>
      <c r="K196" s="5">
        <v>78.5</v>
      </c>
      <c r="L196" s="3">
        <v>9500</v>
      </c>
      <c r="M196" s="5">
        <v>54.13865484956586</v>
      </c>
      <c r="N196" s="8">
        <v>8.263157894736842E-3</v>
      </c>
      <c r="O196" s="3">
        <v>9.0399999999999991</v>
      </c>
      <c r="P196" s="5">
        <v>312.92581295009751</v>
      </c>
      <c r="Q196" s="3">
        <v>0.22</v>
      </c>
      <c r="R196" s="12">
        <f t="shared" si="22"/>
        <v>1.5646290647504876E-3</v>
      </c>
      <c r="V196" s="3">
        <f t="shared" si="20"/>
        <v>0.33148409859801603</v>
      </c>
      <c r="W196" s="3">
        <f t="shared" si="23"/>
        <v>1.5067459027182546</v>
      </c>
      <c r="Y196" s="3">
        <f t="shared" si="21"/>
        <v>0.34092290179999957</v>
      </c>
      <c r="Z196" s="3">
        <f t="shared" si="24"/>
        <v>1.5496495536363617</v>
      </c>
      <c r="AB196" s="3">
        <f>$AC$2*($AC$3+$AC$4*$F196/($N196*'Dataset sem TS MC2020'!P188))*($AC$5*$G196+$AC$6*$B196/$N196)*'Dataset sem TS MC2020'!R188*($J196-$M196)/($J196-$M196-$H196)</f>
        <v>0.36010518221811999</v>
      </c>
      <c r="AC196" s="3">
        <f t="shared" si="25"/>
        <v>1.6368417373550908</v>
      </c>
      <c r="AD196" s="16">
        <f t="shared" si="26"/>
        <v>0.14010518221811999</v>
      </c>
      <c r="AE196" s="17">
        <f t="shared" si="27"/>
        <v>0.61093261320172676</v>
      </c>
      <c r="AF196" s="17">
        <f>AB196*(14.068*'Dataset sem TS MC2020'!$P188^-0.457)/$Q196</f>
        <v>1.4874609491317059</v>
      </c>
      <c r="AG196" s="17"/>
      <c r="AO196" s="3">
        <f>$AP$2*($AP$3+$AP$4*$F196/($N196*'Dataset sem TS MC2020'!P188))*($AP$5*$G196+$AP$6*$B196/$N196)*('Dataset sem TS MC2020'!P188^$AP$7/200000)*($J196-$M196)/($J196-$M196-$H196)+('Dataset sem TS MC2020'!P188-$C196/$AP$8)*($AP$5*$G196+$AP$6*$B196/$N196)/200000</f>
        <v>0.36839747949112678</v>
      </c>
      <c r="AP196" s="3">
        <f t="shared" si="28"/>
        <v>1.67453399768694</v>
      </c>
      <c r="AQ196" s="16">
        <f t="shared" si="29"/>
        <v>0.14839747949112678</v>
      </c>
    </row>
    <row r="197" spans="1:43" x14ac:dyDescent="0.3">
      <c r="A197" s="1" t="s">
        <v>44</v>
      </c>
      <c r="B197" s="4">
        <v>20</v>
      </c>
      <c r="C197" s="5">
        <v>598</v>
      </c>
      <c r="D197" s="5">
        <v>1</v>
      </c>
      <c r="E197" s="4">
        <v>40</v>
      </c>
      <c r="F197" s="3">
        <v>2.8</v>
      </c>
      <c r="G197" s="4">
        <v>40</v>
      </c>
      <c r="H197" s="4">
        <v>50</v>
      </c>
      <c r="I197" s="1">
        <v>100</v>
      </c>
      <c r="J197" s="4">
        <v>350</v>
      </c>
      <c r="K197" s="5">
        <v>315</v>
      </c>
      <c r="L197" s="3">
        <v>15000</v>
      </c>
      <c r="M197" s="5">
        <v>96.386921369125758</v>
      </c>
      <c r="N197" s="8">
        <v>2.1000000000000001E-2</v>
      </c>
      <c r="O197" s="3">
        <v>18.98</v>
      </c>
      <c r="P197" s="5">
        <v>138.0526533066888</v>
      </c>
      <c r="Q197" s="3">
        <v>0.16</v>
      </c>
      <c r="R197" s="12">
        <f t="shared" si="22"/>
        <v>6.9026326653344396E-4</v>
      </c>
      <c r="V197" s="3">
        <f t="shared" si="20"/>
        <v>0.21608382806532644</v>
      </c>
      <c r="W197" s="3">
        <f t="shared" si="23"/>
        <v>1.3505239254082901</v>
      </c>
      <c r="Y197" s="3">
        <f t="shared" si="21"/>
        <v>0.21359212452444751</v>
      </c>
      <c r="Z197" s="3">
        <f t="shared" si="24"/>
        <v>1.334950778277797</v>
      </c>
      <c r="AB197" s="3">
        <f>$AC$2*($AC$3+$AC$4*$F197/($N197*'Dataset sem TS MC2020'!P189))*($AC$5*$G197+$AC$6*$B197/$N197)*'Dataset sem TS MC2020'!R189*($J197-$M197)/($J197-$M197-$H197)</f>
        <v>0.22104140045308979</v>
      </c>
      <c r="AC197" s="3">
        <f t="shared" si="25"/>
        <v>1.3815087528318111</v>
      </c>
      <c r="AD197" s="16">
        <f t="shared" si="26"/>
        <v>6.1041400453089784E-2</v>
      </c>
      <c r="AE197" s="17">
        <f t="shared" si="27"/>
        <v>0.72384630061170729</v>
      </c>
      <c r="AF197" s="17">
        <f>AB197*(14.068*'Dataset sem TS MC2020'!$P189^-0.457)/$Q197</f>
        <v>1.6356659775903919</v>
      </c>
      <c r="AG197" s="17"/>
      <c r="AO197" s="3">
        <f>$AP$2*($AP$3+$AP$4*$F197/($N197*'Dataset sem TS MC2020'!P189))*($AP$5*$G197+$AP$6*$B197/$N197)*('Dataset sem TS MC2020'!P189^$AP$7/200000)*($J197-$M197)/($J197-$M197-$H197)+('Dataset sem TS MC2020'!P189-$C197/$AP$8)*($AP$5*$G197+$AP$6*$B197/$N197)/200000</f>
        <v>0.23291678930232576</v>
      </c>
      <c r="AP197" s="3">
        <f t="shared" si="28"/>
        <v>1.4557299331395359</v>
      </c>
      <c r="AQ197" s="16">
        <f t="shared" si="29"/>
        <v>7.2916789302325757E-2</v>
      </c>
    </row>
    <row r="198" spans="1:43" x14ac:dyDescent="0.3">
      <c r="B198" s="4">
        <v>20</v>
      </c>
      <c r="C198" s="5">
        <v>598</v>
      </c>
      <c r="D198" s="5">
        <v>1</v>
      </c>
      <c r="E198" s="4">
        <v>40</v>
      </c>
      <c r="F198" s="3">
        <v>2.8</v>
      </c>
      <c r="G198" s="4">
        <v>40</v>
      </c>
      <c r="H198" s="4">
        <v>50</v>
      </c>
      <c r="I198" s="1">
        <v>100</v>
      </c>
      <c r="J198" s="4">
        <v>350</v>
      </c>
      <c r="K198" s="5">
        <v>315</v>
      </c>
      <c r="L198" s="3">
        <v>15000</v>
      </c>
      <c r="M198" s="5">
        <v>96.386921369125758</v>
      </c>
      <c r="N198" s="8">
        <v>2.1000000000000001E-2</v>
      </c>
      <c r="O198" s="3">
        <v>21.93</v>
      </c>
      <c r="P198" s="5">
        <v>183.38520949225352</v>
      </c>
      <c r="Q198" s="3">
        <v>0.2</v>
      </c>
      <c r="R198" s="12">
        <f t="shared" si="22"/>
        <v>9.1692604746126765E-4</v>
      </c>
      <c r="V198" s="3">
        <f t="shared" si="20"/>
        <v>0.25746039191501857</v>
      </c>
      <c r="W198" s="3">
        <f t="shared" si="23"/>
        <v>1.2873019595750927</v>
      </c>
      <c r="Y198" s="3">
        <f t="shared" si="21"/>
        <v>0.25528771229993324</v>
      </c>
      <c r="Z198" s="3">
        <f t="shared" si="24"/>
        <v>1.2764385614996661</v>
      </c>
      <c r="AB198" s="3">
        <f>$AC$2*($AC$3+$AC$4*$F198/($N198*'Dataset sem TS MC2020'!P190))*($AC$5*$G198+$AC$6*$B198/$N198)*'Dataset sem TS MC2020'!R190*($J198-$M198)/($J198-$M198-$H198)</f>
        <v>0.27174994354255089</v>
      </c>
      <c r="AC198" s="3">
        <f t="shared" si="25"/>
        <v>1.3587497177127543</v>
      </c>
      <c r="AD198" s="16">
        <f t="shared" si="26"/>
        <v>7.1749943542550876E-2</v>
      </c>
      <c r="AE198" s="17">
        <f t="shared" si="27"/>
        <v>0.7359707140792241</v>
      </c>
      <c r="AF198" s="17">
        <f>AB198*(14.068*'Dataset sem TS MC2020'!$P190^-0.457)/$Q198</f>
        <v>1.5059382309083493</v>
      </c>
      <c r="AG198" s="17"/>
      <c r="AO198" s="3">
        <f>$AP$2*($AP$3+$AP$4*$F198/($N198*'Dataset sem TS MC2020'!P190))*($AP$5*$G198+$AP$6*$B198/$N198)*('Dataset sem TS MC2020'!P190^$AP$7/200000)*($J198-$M198)/($J198-$M198-$H198)+('Dataset sem TS MC2020'!P190-$C198/$AP$8)*($AP$5*$G198+$AP$6*$B198/$N198)/200000</f>
        <v>0.28416354492939211</v>
      </c>
      <c r="AP198" s="3">
        <f t="shared" si="28"/>
        <v>1.4208177246469604</v>
      </c>
      <c r="AQ198" s="16">
        <f t="shared" si="29"/>
        <v>8.4163544929392098E-2</v>
      </c>
    </row>
    <row r="199" spans="1:43" x14ac:dyDescent="0.3">
      <c r="B199" s="4">
        <v>20</v>
      </c>
      <c r="C199" s="5">
        <v>598</v>
      </c>
      <c r="D199" s="5">
        <v>1</v>
      </c>
      <c r="E199" s="4">
        <v>40</v>
      </c>
      <c r="F199" s="3">
        <v>2.8</v>
      </c>
      <c r="G199" s="4">
        <v>40</v>
      </c>
      <c r="H199" s="4">
        <v>50</v>
      </c>
      <c r="I199" s="1">
        <v>100</v>
      </c>
      <c r="J199" s="4">
        <v>350</v>
      </c>
      <c r="K199" s="5">
        <v>315</v>
      </c>
      <c r="L199" s="3">
        <v>15000</v>
      </c>
      <c r="M199" s="5">
        <v>96.386921369125758</v>
      </c>
      <c r="N199" s="8">
        <v>2.1000000000000001E-2</v>
      </c>
      <c r="O199" s="3">
        <v>24.87</v>
      </c>
      <c r="P199" s="5">
        <v>228.56409599583338</v>
      </c>
      <c r="Q199" s="3">
        <v>0.23</v>
      </c>
      <c r="R199" s="12">
        <f t="shared" si="22"/>
        <v>1.142820479979167E-3</v>
      </c>
      <c r="V199" s="3">
        <f t="shared" si="20"/>
        <v>0.29493247253367594</v>
      </c>
      <c r="W199" s="3">
        <f t="shared" si="23"/>
        <v>1.282315097972504</v>
      </c>
      <c r="Y199" s="3">
        <f t="shared" si="21"/>
        <v>0.29315287514101002</v>
      </c>
      <c r="Z199" s="3">
        <f t="shared" si="24"/>
        <v>1.2745777180043913</v>
      </c>
      <c r="AB199" s="3">
        <f>$AC$2*($AC$3+$AC$4*$F199/($N199*'Dataset sem TS MC2020'!P191))*($AC$5*$G199+$AC$6*$B199/$N199)*'Dataset sem TS MC2020'!R191*($J199-$M199)/($J199-$M199-$H199)</f>
        <v>0.32228659326560716</v>
      </c>
      <c r="AC199" s="3">
        <f t="shared" si="25"/>
        <v>1.4012460576765529</v>
      </c>
      <c r="AD199" s="16">
        <f t="shared" si="26"/>
        <v>9.2286593265607147E-2</v>
      </c>
      <c r="AE199" s="17">
        <f t="shared" si="27"/>
        <v>0.71365053590811112</v>
      </c>
      <c r="AF199" s="17">
        <f>AB199*(14.068*'Dataset sem TS MC2020'!$P191^-0.457)/$Q199</f>
        <v>1.4662665140202888</v>
      </c>
      <c r="AG199" s="17"/>
      <c r="AO199" s="3">
        <f>$AP$2*($AP$3+$AP$4*$F199/($N199*'Dataset sem TS MC2020'!P191))*($AP$5*$G199+$AP$6*$B199/$N199)*('Dataset sem TS MC2020'!P191^$AP$7/200000)*($J199-$M199)/($J199-$M199-$H199)+('Dataset sem TS MC2020'!P191-$C199/$AP$8)*($AP$5*$G199+$AP$6*$B199/$N199)/200000</f>
        <v>0.3337210160404423</v>
      </c>
      <c r="AP199" s="3">
        <f t="shared" si="28"/>
        <v>1.4509609393062708</v>
      </c>
      <c r="AQ199" s="16">
        <f t="shared" si="29"/>
        <v>0.10372101604044229</v>
      </c>
    </row>
    <row r="200" spans="1:43" x14ac:dyDescent="0.3">
      <c r="A200" s="1" t="s">
        <v>45</v>
      </c>
      <c r="B200" s="4">
        <v>20</v>
      </c>
      <c r="C200" s="5">
        <v>598</v>
      </c>
      <c r="D200" s="5">
        <v>1</v>
      </c>
      <c r="E200" s="4">
        <v>40</v>
      </c>
      <c r="F200" s="3">
        <v>2.8</v>
      </c>
      <c r="G200" s="4">
        <v>40</v>
      </c>
      <c r="H200" s="4">
        <v>50</v>
      </c>
      <c r="I200" s="1">
        <v>100</v>
      </c>
      <c r="J200" s="4">
        <v>350</v>
      </c>
      <c r="K200" s="5">
        <v>315</v>
      </c>
      <c r="L200" s="3">
        <v>15000</v>
      </c>
      <c r="M200" s="5">
        <v>96.386921369125758</v>
      </c>
      <c r="N200" s="8">
        <v>2.1000000000000001E-2</v>
      </c>
      <c r="O200" s="3">
        <v>18.98</v>
      </c>
      <c r="P200" s="5">
        <v>152.45029192516247</v>
      </c>
      <c r="Q200" s="3">
        <v>0.14000000000000001</v>
      </c>
      <c r="R200" s="12">
        <f t="shared" si="22"/>
        <v>7.6225145962581238E-4</v>
      </c>
      <c r="V200" s="3">
        <f t="shared" si="20"/>
        <v>0.22972316228986381</v>
      </c>
      <c r="W200" s="3">
        <f t="shared" si="23"/>
        <v>1.6408797306418841</v>
      </c>
      <c r="Y200" s="3">
        <f t="shared" si="21"/>
        <v>0.22732210816672616</v>
      </c>
      <c r="Z200" s="3">
        <f t="shared" si="24"/>
        <v>1.6237293440480438</v>
      </c>
      <c r="AB200" s="3">
        <f>$AC$2*($AC$3+$AC$4*$F200/($N200*'Dataset sem TS MC2020'!P192))*($AC$5*$G200+$AC$6*$B200/$N200)*'Dataset sem TS MC2020'!R192*($J200-$M200)/($J200-$M200-$H200)</f>
        <v>0.22104140045308979</v>
      </c>
      <c r="AC200" s="3">
        <f t="shared" si="25"/>
        <v>1.5788671460934984</v>
      </c>
      <c r="AD200" s="16">
        <f t="shared" si="26"/>
        <v>8.1041400453089774E-2</v>
      </c>
      <c r="AE200" s="17">
        <f t="shared" si="27"/>
        <v>0.63336551303524391</v>
      </c>
      <c r="AF200" s="17">
        <f>AB200*(14.068*'Dataset sem TS MC2020'!$P192^-0.457)/$Q200</f>
        <v>1.8693325458175907</v>
      </c>
      <c r="AG200" s="17"/>
      <c r="AO200" s="3">
        <f>$AP$2*($AP$3+$AP$4*$F200/($N200*'Dataset sem TS MC2020'!P192))*($AP$5*$G200+$AP$6*$B200/$N200)*('Dataset sem TS MC2020'!P192^$AP$7/200000)*($J200-$M200)/($J200-$M200-$H200)+('Dataset sem TS MC2020'!P192-$C200/$AP$8)*($AP$5*$G200+$AP$6*$B200/$N200)/200000</f>
        <v>0.23291678930232576</v>
      </c>
      <c r="AP200" s="3">
        <f t="shared" si="28"/>
        <v>1.6636913521594696</v>
      </c>
      <c r="AQ200" s="16">
        <f t="shared" si="29"/>
        <v>9.2916789302325747E-2</v>
      </c>
    </row>
    <row r="201" spans="1:43" x14ac:dyDescent="0.3">
      <c r="B201" s="4">
        <v>20</v>
      </c>
      <c r="C201" s="5">
        <v>598</v>
      </c>
      <c r="D201" s="5">
        <v>1</v>
      </c>
      <c r="E201" s="4">
        <v>40</v>
      </c>
      <c r="F201" s="3">
        <v>2.8</v>
      </c>
      <c r="G201" s="4">
        <v>40</v>
      </c>
      <c r="H201" s="4">
        <v>50</v>
      </c>
      <c r="I201" s="1">
        <v>100</v>
      </c>
      <c r="J201" s="4">
        <v>350</v>
      </c>
      <c r="K201" s="5">
        <v>315</v>
      </c>
      <c r="L201" s="3">
        <v>15000</v>
      </c>
      <c r="M201" s="5">
        <v>96.386921369125758</v>
      </c>
      <c r="N201" s="8">
        <v>2.1000000000000001E-2</v>
      </c>
      <c r="O201" s="3">
        <v>21.89</v>
      </c>
      <c r="P201" s="5">
        <v>195.55434276626852</v>
      </c>
      <c r="Q201" s="3">
        <v>0.17</v>
      </c>
      <c r="R201" s="12">
        <f t="shared" si="22"/>
        <v>9.7777171383134267E-4</v>
      </c>
      <c r="V201" s="3">
        <f t="shared" si="20"/>
        <v>0.26787160217618017</v>
      </c>
      <c r="W201" s="3">
        <f t="shared" si="23"/>
        <v>1.5757153069187066</v>
      </c>
      <c r="Y201" s="3">
        <f t="shared" si="21"/>
        <v>0.26579884872746268</v>
      </c>
      <c r="Z201" s="3">
        <f t="shared" si="24"/>
        <v>1.5635226395733097</v>
      </c>
      <c r="AB201" s="3">
        <f>$AC$2*($AC$3+$AC$4*$F201/($N201*'Dataset sem TS MC2020'!P193))*($AC$5*$G201+$AC$6*$B201/$N201)*'Dataset sem TS MC2020'!R193*($J201-$M201)/($J201-$M201-$H201)</f>
        <v>0.27106237007693107</v>
      </c>
      <c r="AC201" s="3">
        <f t="shared" si="25"/>
        <v>1.5944845298643002</v>
      </c>
      <c r="AD201" s="16">
        <f t="shared" si="26"/>
        <v>0.10106237007693106</v>
      </c>
      <c r="AE201" s="17">
        <f t="shared" si="27"/>
        <v>0.62716193307005974</v>
      </c>
      <c r="AF201" s="17">
        <f>AB201*(14.068*'Dataset sem TS MC2020'!$P193^-0.457)/$Q201</f>
        <v>1.768684392601152</v>
      </c>
      <c r="AG201" s="17"/>
      <c r="AO201" s="3">
        <f>$AP$2*($AP$3+$AP$4*$F201/($N201*'Dataset sem TS MC2020'!P193))*($AP$5*$G201+$AP$6*$B201/$N201)*('Dataset sem TS MC2020'!P193^$AP$7/200000)*($J201-$M201)/($J201-$M201-$H201)+('Dataset sem TS MC2020'!P193-$C201/$AP$8)*($AP$5*$G201+$AP$6*$B201/$N201)/200000</f>
        <v>0.28347954252300583</v>
      </c>
      <c r="AP201" s="3">
        <f t="shared" si="28"/>
        <v>1.6675267207235636</v>
      </c>
      <c r="AQ201" s="16">
        <f t="shared" si="29"/>
        <v>0.11347954252300582</v>
      </c>
    </row>
    <row r="202" spans="1:43" x14ac:dyDescent="0.3">
      <c r="B202" s="4">
        <v>20</v>
      </c>
      <c r="C202" s="5">
        <v>598</v>
      </c>
      <c r="D202" s="5">
        <v>1</v>
      </c>
      <c r="E202" s="4">
        <v>40</v>
      </c>
      <c r="F202" s="3">
        <v>2.8</v>
      </c>
      <c r="G202" s="4">
        <v>40</v>
      </c>
      <c r="H202" s="4">
        <v>50</v>
      </c>
      <c r="I202" s="1">
        <v>100</v>
      </c>
      <c r="J202" s="4">
        <v>350</v>
      </c>
      <c r="K202" s="5">
        <v>315</v>
      </c>
      <c r="L202" s="3">
        <v>15000</v>
      </c>
      <c r="M202" s="5">
        <v>96.386921369125758</v>
      </c>
      <c r="N202" s="8">
        <v>2.1000000000000001E-2</v>
      </c>
      <c r="O202" s="3">
        <v>24.82</v>
      </c>
      <c r="P202" s="5">
        <v>237.91998936708421</v>
      </c>
      <c r="Q202" s="3">
        <v>0.21</v>
      </c>
      <c r="R202" s="12">
        <f t="shared" si="22"/>
        <v>1.189599946835421E-3</v>
      </c>
      <c r="V202" s="3">
        <f t="shared" si="20"/>
        <v>0.30232393682699743</v>
      </c>
      <c r="W202" s="3">
        <f t="shared" si="23"/>
        <v>1.4396377944142735</v>
      </c>
      <c r="Y202" s="3">
        <f t="shared" si="21"/>
        <v>0.30063237837208479</v>
      </c>
      <c r="Z202" s="3">
        <f t="shared" si="24"/>
        <v>1.4315827541527848</v>
      </c>
      <c r="AB202" s="3">
        <f>$AC$2*($AC$3+$AC$4*$F202/($N202*'Dataset sem TS MC2020'!P194))*($AC$5*$G202+$AC$6*$B202/$N202)*'Dataset sem TS MC2020'!R194*($J202-$M202)/($J202-$M202-$H202)</f>
        <v>0.32142712643358234</v>
      </c>
      <c r="AC202" s="3">
        <f t="shared" si="25"/>
        <v>1.5306053639694397</v>
      </c>
      <c r="AD202" s="16">
        <f t="shared" si="26"/>
        <v>0.11142712643358235</v>
      </c>
      <c r="AE202" s="17">
        <f t="shared" si="27"/>
        <v>0.6533362704326483</v>
      </c>
      <c r="AF202" s="17">
        <f>AB202*(14.068*'Dataset sem TS MC2020'!$P194^-0.457)/$Q202</f>
        <v>1.6031020348802245</v>
      </c>
      <c r="AG202" s="17"/>
      <c r="AO202" s="3">
        <f>$AP$2*($AP$3+$AP$4*$F202/($N202*'Dataset sem TS MC2020'!P194))*($AP$5*$G202+$AP$6*$B202/$N202)*('Dataset sem TS MC2020'!P194^$AP$7/200000)*($J202-$M202)/($J202-$M202-$H202)+('Dataset sem TS MC2020'!P194-$C202/$AP$8)*($AP$5*$G202+$AP$6*$B202/$N202)/200000</f>
        <v>0.33288932298033547</v>
      </c>
      <c r="AP202" s="3">
        <f t="shared" si="28"/>
        <v>1.5851872522873118</v>
      </c>
      <c r="AQ202" s="16">
        <f t="shared" si="29"/>
        <v>0.12288932298033547</v>
      </c>
    </row>
    <row r="203" spans="1:43" x14ac:dyDescent="0.3">
      <c r="A203" s="1" t="s">
        <v>46</v>
      </c>
      <c r="B203" s="4">
        <v>20</v>
      </c>
      <c r="C203" s="5">
        <v>598</v>
      </c>
      <c r="D203" s="5">
        <v>1</v>
      </c>
      <c r="E203" s="4">
        <v>40</v>
      </c>
      <c r="F203" s="3">
        <v>2.8</v>
      </c>
      <c r="G203" s="4">
        <v>40</v>
      </c>
      <c r="H203" s="4">
        <v>50</v>
      </c>
      <c r="I203" s="1">
        <v>100</v>
      </c>
      <c r="J203" s="4">
        <v>350</v>
      </c>
      <c r="K203" s="5">
        <v>315</v>
      </c>
      <c r="L203" s="3">
        <v>15000</v>
      </c>
      <c r="M203" s="5">
        <v>96.386921369125758</v>
      </c>
      <c r="N203" s="8">
        <v>2.1000000000000001E-2</v>
      </c>
      <c r="O203" s="3">
        <v>13.02</v>
      </c>
      <c r="P203" s="5">
        <v>62.135671537415831</v>
      </c>
      <c r="Q203" s="3">
        <v>0.21</v>
      </c>
      <c r="R203" s="12">
        <f t="shared" si="22"/>
        <v>3.1067835768707917E-4</v>
      </c>
      <c r="V203" s="3">
        <f t="shared" ref="V203:V266" si="30">$W$2*($W$3*$G203+$W$4*$B203^$W$5*$N203^$W$6)*$R203^$W$7</f>
        <v>0.13204016067669311</v>
      </c>
      <c r="W203" s="3">
        <f t="shared" si="23"/>
        <v>0.62876266988901486</v>
      </c>
      <c r="Y203" s="3">
        <f t="shared" ref="Y203:Y266" si="31">$Z$2*$B203^$Z$3*$R203^$Z$4*($Z$5*$N203^$Z$6+$Z$7)</f>
        <v>0.12937646281393275</v>
      </c>
      <c r="Z203" s="3">
        <f t="shared" si="24"/>
        <v>0.6160783943520608</v>
      </c>
      <c r="AB203" s="3">
        <f>$AC$2*($AC$3+$AC$4*$F203/($N203*'Dataset sem TS MC2020'!P195))*($AC$5*$G203+$AC$6*$B203/$N203)*'Dataset sem TS MC2020'!R195*($J203-$M203)/($J203-$M203-$H203)</f>
        <v>0.11859295407573774</v>
      </c>
      <c r="AC203" s="3">
        <f t="shared" si="25"/>
        <v>0.56472835274160826</v>
      </c>
      <c r="AD203" s="16">
        <f t="shared" si="26"/>
        <v>-9.1407045924262256E-2</v>
      </c>
      <c r="AE203" s="17">
        <f t="shared" si="27"/>
        <v>1.7707628723531621</v>
      </c>
      <c r="AF203" s="17">
        <f>AB203*(14.068*'Dataset sem TS MC2020'!$P195^-0.457)/$Q203</f>
        <v>0.7943002865908716</v>
      </c>
      <c r="AG203" s="17"/>
      <c r="AO203" s="3">
        <f>$AP$2*($AP$3+$AP$4*$F203/($N203*'Dataset sem TS MC2020'!P195))*($AP$5*$G203+$AP$6*$B203/$N203)*('Dataset sem TS MC2020'!P195^$AP$7/200000)*($J203-$M203)/($J203-$M203-$H203)+('Dataset sem TS MC2020'!P195-$C203/$AP$8)*($AP$5*$G203+$AP$6*$B203/$N203)/200000</f>
        <v>0.12302297969841286</v>
      </c>
      <c r="AP203" s="3">
        <f t="shared" si="28"/>
        <v>0.58582371284958512</v>
      </c>
      <c r="AQ203" s="16">
        <f t="shared" si="29"/>
        <v>-8.6977020301587132E-2</v>
      </c>
    </row>
    <row r="204" spans="1:43" x14ac:dyDescent="0.3">
      <c r="B204" s="4">
        <v>20</v>
      </c>
      <c r="C204" s="5">
        <v>598</v>
      </c>
      <c r="D204" s="5">
        <v>1</v>
      </c>
      <c r="E204" s="4">
        <v>40</v>
      </c>
      <c r="F204" s="3">
        <v>2.8</v>
      </c>
      <c r="G204" s="4">
        <v>40</v>
      </c>
      <c r="H204" s="4">
        <v>50</v>
      </c>
      <c r="I204" s="1">
        <v>100</v>
      </c>
      <c r="J204" s="4">
        <v>350</v>
      </c>
      <c r="K204" s="5">
        <v>315</v>
      </c>
      <c r="L204" s="3">
        <v>15000</v>
      </c>
      <c r="M204" s="5">
        <v>96.386921369125758</v>
      </c>
      <c r="N204" s="8">
        <v>2.1000000000000001E-2</v>
      </c>
      <c r="O204" s="3">
        <v>16.059999999999999</v>
      </c>
      <c r="P204" s="5">
        <v>98.163433805431069</v>
      </c>
      <c r="Q204" s="3">
        <v>0.25</v>
      </c>
      <c r="R204" s="12">
        <f t="shared" ref="R204:R267" si="32">P204/200000</f>
        <v>4.9081716902715539E-4</v>
      </c>
      <c r="V204" s="3">
        <f t="shared" si="30"/>
        <v>0.17508447573556057</v>
      </c>
      <c r="W204" s="3">
        <f t="shared" ref="W204:W267" si="33">V204/$Q204</f>
        <v>0.7003379029422423</v>
      </c>
      <c r="Y204" s="3">
        <f t="shared" si="31"/>
        <v>0.17241758802124679</v>
      </c>
      <c r="Z204" s="3">
        <f t="shared" ref="Z204:Z267" si="34">Y204/$Q204</f>
        <v>0.68967035208498717</v>
      </c>
      <c r="AB204" s="3">
        <f>$AC$2*($AC$3+$AC$4*$F204/($N204*'Dataset sem TS MC2020'!P196))*($AC$5*$G204+$AC$6*$B204/$N204)*'Dataset sem TS MC2020'!R196*($J204-$M204)/($J204-$M204-$H204)</f>
        <v>0.17084853746284351</v>
      </c>
      <c r="AC204" s="3">
        <f t="shared" ref="AC204:AC267" si="35">AB204/$Q204</f>
        <v>0.68339414985137403</v>
      </c>
      <c r="AD204" s="16">
        <f t="shared" ref="AD204:AD267" si="36">AB204-$Q204</f>
        <v>-7.9151462537156492E-2</v>
      </c>
      <c r="AE204" s="17">
        <f t="shared" ref="AE204:AE267" si="37">1/AC204</f>
        <v>1.4632844021528162</v>
      </c>
      <c r="AF204" s="17">
        <f>AB204*(14.068*'Dataset sem TS MC2020'!$P196^-0.457)/$Q204</f>
        <v>0.87330890998442523</v>
      </c>
      <c r="AG204" s="17"/>
      <c r="AO204" s="3">
        <f>$AP$2*($AP$3+$AP$4*$F204/($N204*'Dataset sem TS MC2020'!P196))*($AP$5*$G204+$AP$6*$B204/$N204)*('Dataset sem TS MC2020'!P196^$AP$7/200000)*($J204-$M204)/($J204-$M204-$H204)+('Dataset sem TS MC2020'!P196-$C204/$AP$8)*($AP$5*$G204+$AP$6*$B204/$N204)/200000</f>
        <v>0.18032976129732919</v>
      </c>
      <c r="AP204" s="3">
        <f t="shared" ref="AP204:AP267" si="38">AO204/$Q204</f>
        <v>0.72131904518931678</v>
      </c>
      <c r="AQ204" s="16">
        <f t="shared" ref="AQ204:AQ267" si="39">AO204-$Q204</f>
        <v>-6.9670238702670806E-2</v>
      </c>
    </row>
    <row r="205" spans="1:43" x14ac:dyDescent="0.3">
      <c r="B205" s="4">
        <v>20</v>
      </c>
      <c r="C205" s="5">
        <v>598</v>
      </c>
      <c r="D205" s="5">
        <v>1</v>
      </c>
      <c r="E205" s="4">
        <v>40</v>
      </c>
      <c r="F205" s="3">
        <v>2.8</v>
      </c>
      <c r="G205" s="4">
        <v>40</v>
      </c>
      <c r="H205" s="4">
        <v>50</v>
      </c>
      <c r="I205" s="1">
        <v>100</v>
      </c>
      <c r="J205" s="4">
        <v>350</v>
      </c>
      <c r="K205" s="5">
        <v>315</v>
      </c>
      <c r="L205" s="3">
        <v>15000</v>
      </c>
      <c r="M205" s="5">
        <v>96.386921369125758</v>
      </c>
      <c r="N205" s="8">
        <v>2.1000000000000001E-2</v>
      </c>
      <c r="O205" s="3">
        <v>18.93</v>
      </c>
      <c r="P205" s="5">
        <v>137.28430489676396</v>
      </c>
      <c r="Q205" s="3">
        <v>0.28999999999999998</v>
      </c>
      <c r="R205" s="12">
        <f t="shared" si="32"/>
        <v>6.8642152448381976E-4</v>
      </c>
      <c r="V205" s="3">
        <f t="shared" si="30"/>
        <v>0.21534100618148491</v>
      </c>
      <c r="W205" s="3">
        <f t="shared" si="33"/>
        <v>0.74255519372925838</v>
      </c>
      <c r="Y205" s="3">
        <f t="shared" si="31"/>
        <v>0.21284480071939674</v>
      </c>
      <c r="Z205" s="3">
        <f t="shared" si="34"/>
        <v>0.73394758868757504</v>
      </c>
      <c r="AB205" s="3">
        <f>$AC$2*($AC$3+$AC$4*$F205/($N205*'Dataset sem TS MC2020'!P197))*($AC$5*$G205+$AC$6*$B205/$N205)*'Dataset sem TS MC2020'!R197*($J205-$M205)/($J205-$M205-$H205)</f>
        <v>0.22018193362106497</v>
      </c>
      <c r="AC205" s="3">
        <f t="shared" si="35"/>
        <v>0.75924804696918957</v>
      </c>
      <c r="AD205" s="16">
        <f t="shared" si="36"/>
        <v>-6.9818066378935006E-2</v>
      </c>
      <c r="AE205" s="17">
        <f t="shared" si="37"/>
        <v>1.3170926207737486</v>
      </c>
      <c r="AF205" s="17">
        <f>AB205*(14.068*'Dataset sem TS MC2020'!$P197^-0.457)/$Q205</f>
        <v>0.90001179161803802</v>
      </c>
      <c r="AG205" s="17"/>
      <c r="AO205" s="3">
        <f>$AP$2*($AP$3+$AP$4*$F205/($N205*'Dataset sem TS MC2020'!P197))*($AP$5*$G205+$AP$6*$B205/$N205)*('Dataset sem TS MC2020'!P197^$AP$7/200000)*($J205-$M205)/($J205-$M205-$H205)+('Dataset sem TS MC2020'!P197-$C205/$AP$8)*($AP$5*$G205+$AP$6*$B205/$N205)/200000</f>
        <v>0.2320331496303315</v>
      </c>
      <c r="AP205" s="3">
        <f t="shared" si="38"/>
        <v>0.80011430907010872</v>
      </c>
      <c r="AQ205" s="16">
        <f t="shared" si="39"/>
        <v>-5.7966850369668477E-2</v>
      </c>
    </row>
    <row r="206" spans="1:43" x14ac:dyDescent="0.3">
      <c r="B206" s="4">
        <v>20</v>
      </c>
      <c r="C206" s="5">
        <v>598</v>
      </c>
      <c r="D206" s="5">
        <v>1</v>
      </c>
      <c r="E206" s="4">
        <v>40</v>
      </c>
      <c r="F206" s="3">
        <v>2.8</v>
      </c>
      <c r="G206" s="4">
        <v>40</v>
      </c>
      <c r="H206" s="4">
        <v>50</v>
      </c>
      <c r="I206" s="1">
        <v>100</v>
      </c>
      <c r="J206" s="4">
        <v>350</v>
      </c>
      <c r="K206" s="5">
        <v>315</v>
      </c>
      <c r="L206" s="3">
        <v>15000</v>
      </c>
      <c r="M206" s="5">
        <v>96.386921369125758</v>
      </c>
      <c r="N206" s="8">
        <v>2.1000000000000001E-2</v>
      </c>
      <c r="O206" s="3">
        <v>21.81</v>
      </c>
      <c r="P206" s="5">
        <v>181.54117330843388</v>
      </c>
      <c r="Q206" s="3">
        <v>0.33</v>
      </c>
      <c r="R206" s="12">
        <f t="shared" si="32"/>
        <v>9.0770586654216937E-4</v>
      </c>
      <c r="V206" s="3">
        <f t="shared" si="30"/>
        <v>0.25585994931102518</v>
      </c>
      <c r="W206" s="3">
        <f t="shared" si="33"/>
        <v>0.7753331797303793</v>
      </c>
      <c r="Y206" s="3">
        <f t="shared" si="31"/>
        <v>0.25367257311409347</v>
      </c>
      <c r="Z206" s="3">
        <f t="shared" si="34"/>
        <v>0.76870476701240442</v>
      </c>
      <c r="AB206" s="3">
        <f>$AC$2*($AC$3+$AC$4*$F206/($N206*'Dataset sem TS MC2020'!P198))*($AC$5*$G206+$AC$6*$B206/$N206)*'Dataset sem TS MC2020'!R198*($J206-$M206)/($J206-$M206-$H206)</f>
        <v>0.26968722314569138</v>
      </c>
      <c r="AC206" s="3">
        <f t="shared" si="35"/>
        <v>0.81723400953239811</v>
      </c>
      <c r="AD206" s="16">
        <f t="shared" si="36"/>
        <v>-6.0312776854308636E-2</v>
      </c>
      <c r="AE206" s="17">
        <f t="shared" si="37"/>
        <v>1.223639726609244</v>
      </c>
      <c r="AF206" s="17">
        <f>AB206*(14.068*'Dataset sem TS MC2020'!$P198^-0.457)/$Q206</f>
        <v>0.90803615092469248</v>
      </c>
      <c r="AG206" s="17"/>
      <c r="AO206" s="3">
        <f>$AP$2*($AP$3+$AP$4*$F206/($N206*'Dataset sem TS MC2020'!P198))*($AP$5*$G206+$AP$6*$B206/$N206)*('Dataset sem TS MC2020'!P198^$AP$7/200000)*($J206-$M206)/($J206-$M206-$H206)+('Dataset sem TS MC2020'!P198-$C206/$AP$8)*($AP$5*$G206+$AP$6*$B206/$N206)/200000</f>
        <v>0.28211069956993268</v>
      </c>
      <c r="AP206" s="3">
        <f t="shared" si="38"/>
        <v>0.85488090778767478</v>
      </c>
      <c r="AQ206" s="16">
        <f t="shared" si="39"/>
        <v>-4.7889300430067339E-2</v>
      </c>
    </row>
    <row r="207" spans="1:43" x14ac:dyDescent="0.3">
      <c r="B207" s="4">
        <v>20</v>
      </c>
      <c r="C207" s="5">
        <v>598</v>
      </c>
      <c r="D207" s="5">
        <v>1</v>
      </c>
      <c r="E207" s="4">
        <v>40</v>
      </c>
      <c r="F207" s="3">
        <v>2.8</v>
      </c>
      <c r="G207" s="4">
        <v>40</v>
      </c>
      <c r="H207" s="4">
        <v>50</v>
      </c>
      <c r="I207" s="1">
        <v>100</v>
      </c>
      <c r="J207" s="4">
        <v>350</v>
      </c>
      <c r="K207" s="5">
        <v>315</v>
      </c>
      <c r="L207" s="3">
        <v>15000</v>
      </c>
      <c r="M207" s="5">
        <v>96.386921369125758</v>
      </c>
      <c r="N207" s="8">
        <v>2.1000000000000001E-2</v>
      </c>
      <c r="O207" s="3">
        <v>25.88</v>
      </c>
      <c r="P207" s="5">
        <v>244.0847338763148</v>
      </c>
      <c r="Q207" s="3">
        <v>0.37</v>
      </c>
      <c r="R207" s="12">
        <f t="shared" si="32"/>
        <v>1.220423669381574E-3</v>
      </c>
      <c r="V207" s="3">
        <f t="shared" si="30"/>
        <v>0.30713351525090044</v>
      </c>
      <c r="W207" s="3">
        <f t="shared" si="33"/>
        <v>0.83009058175919037</v>
      </c>
      <c r="Y207" s="3">
        <f t="shared" si="31"/>
        <v>0.305500999441146</v>
      </c>
      <c r="Z207" s="3">
        <f t="shared" si="34"/>
        <v>0.82567837686796219</v>
      </c>
      <c r="AB207" s="3">
        <f>$AC$2*($AC$3+$AC$4*$F207/($N207*'Dataset sem TS MC2020'!P199))*($AC$5*$G207+$AC$6*$B207/$N207)*'Dataset sem TS MC2020'!R199*($J207-$M207)/($J207-$M207-$H207)</f>
        <v>0.33964782327250731</v>
      </c>
      <c r="AC207" s="3">
        <f t="shared" si="35"/>
        <v>0.91796708992569542</v>
      </c>
      <c r="AD207" s="16">
        <f t="shared" si="36"/>
        <v>-3.0352176727492686E-2</v>
      </c>
      <c r="AE207" s="17">
        <f t="shared" si="37"/>
        <v>1.0893636721562041</v>
      </c>
      <c r="AF207" s="17">
        <f>AB207*(14.068*'Dataset sem TS MC2020'!$P199^-0.457)/$Q207</f>
        <v>0.9432455953090364</v>
      </c>
      <c r="AG207" s="17"/>
      <c r="AO207" s="3">
        <f>$AP$2*($AP$3+$AP$4*$F207/($N207*'Dataset sem TS MC2020'!P199))*($AP$5*$G207+$AP$6*$B207/$N207)*('Dataset sem TS MC2020'!P199^$AP$7/200000)*($J207-$M207)/($J207-$M207-$H207)+('Dataset sem TS MC2020'!P199-$C207/$AP$8)*($AP$5*$G207+$AP$6*$B207/$N207)/200000</f>
        <v>0.35044509036913823</v>
      </c>
      <c r="AP207" s="3">
        <f t="shared" si="38"/>
        <v>0.94714889288956283</v>
      </c>
      <c r="AQ207" s="16">
        <f t="shared" si="39"/>
        <v>-1.9554909630861761E-2</v>
      </c>
    </row>
    <row r="208" spans="1:43" x14ac:dyDescent="0.3">
      <c r="A208" s="1" t="s">
        <v>47</v>
      </c>
      <c r="B208" s="4">
        <v>20</v>
      </c>
      <c r="C208" s="5">
        <v>430</v>
      </c>
      <c r="D208" s="5">
        <v>6</v>
      </c>
      <c r="E208" s="4">
        <v>84</v>
      </c>
      <c r="F208" s="3">
        <v>3.5088212858554391</v>
      </c>
      <c r="G208" s="4">
        <v>50</v>
      </c>
      <c r="H208" s="4">
        <v>64</v>
      </c>
      <c r="I208" s="1">
        <v>600</v>
      </c>
      <c r="J208" s="4">
        <v>400</v>
      </c>
      <c r="K208" s="5">
        <v>1884</v>
      </c>
      <c r="L208" s="3">
        <v>98400</v>
      </c>
      <c r="M208" s="5">
        <v>96.251010941284974</v>
      </c>
      <c r="N208" s="8">
        <v>1.9146341463414634E-2</v>
      </c>
      <c r="O208" s="3">
        <v>103</v>
      </c>
      <c r="P208" s="5">
        <v>56.975991001675538</v>
      </c>
      <c r="Q208" s="3">
        <v>0.15</v>
      </c>
      <c r="R208" s="12">
        <f t="shared" si="32"/>
        <v>2.848799550083777E-4</v>
      </c>
      <c r="V208" s="3">
        <f t="shared" si="30"/>
        <v>0.13003286424572211</v>
      </c>
      <c r="W208" s="3">
        <f t="shared" si="33"/>
        <v>0.86688576163814746</v>
      </c>
      <c r="Y208" s="3">
        <f t="shared" si="31"/>
        <v>0.12758924904879271</v>
      </c>
      <c r="Z208" s="3">
        <f t="shared" si="34"/>
        <v>0.85059499365861813</v>
      </c>
      <c r="AB208" s="3">
        <f>$AC$2*($AC$3+$AC$4*$F208/($N208*'Dataset sem TS MC2020'!P200))*($AC$5*$G208+$AC$6*$B208/$N208)*'Dataset sem TS MC2020'!R200*($J208-$M208)/($J208-$M208-$H208)</f>
        <v>0.13391496238739084</v>
      </c>
      <c r="AC208" s="3">
        <f t="shared" si="35"/>
        <v>0.89276641591593897</v>
      </c>
      <c r="AD208" s="16">
        <f t="shared" si="36"/>
        <v>-1.6085037612609154E-2</v>
      </c>
      <c r="AE208" s="17">
        <f t="shared" si="37"/>
        <v>1.1201138194407145</v>
      </c>
      <c r="AF208" s="17">
        <f>AB208*(14.068*'Dataset sem TS MC2020'!$P200^-0.457)/$Q208</f>
        <v>1.1706691060781451</v>
      </c>
      <c r="AG208" s="17"/>
      <c r="AO208" s="3">
        <f>$AP$2*($AP$3+$AP$4*$F208/($N208*'Dataset sem TS MC2020'!P200))*($AP$5*$G208+$AP$6*$B208/$N208)*('Dataset sem TS MC2020'!P200^$AP$7/200000)*($J208-$M208)/($J208-$M208-$H208)+('Dataset sem TS MC2020'!P200-$C208/$AP$8)*($AP$5*$G208+$AP$6*$B208/$N208)/200000</f>
        <v>0.14456440754871175</v>
      </c>
      <c r="AP208" s="3">
        <f t="shared" si="38"/>
        <v>0.96376271699141169</v>
      </c>
      <c r="AQ208" s="16">
        <f t="shared" si="39"/>
        <v>-5.4355924512882459E-3</v>
      </c>
    </row>
    <row r="209" spans="1:43" x14ac:dyDescent="0.3">
      <c r="B209" s="4">
        <v>20</v>
      </c>
      <c r="C209" s="5">
        <v>430</v>
      </c>
      <c r="D209" s="5">
        <v>6</v>
      </c>
      <c r="E209" s="4">
        <v>84</v>
      </c>
      <c r="F209" s="3">
        <v>3.5088212858554391</v>
      </c>
      <c r="G209" s="4">
        <v>50</v>
      </c>
      <c r="H209" s="4">
        <v>64</v>
      </c>
      <c r="I209" s="1">
        <v>600</v>
      </c>
      <c r="J209" s="4">
        <v>400</v>
      </c>
      <c r="K209" s="5">
        <v>1884</v>
      </c>
      <c r="L209" s="3">
        <v>98400</v>
      </c>
      <c r="M209" s="5">
        <v>96.251010941284974</v>
      </c>
      <c r="N209" s="8">
        <v>1.9146341463414634E-2</v>
      </c>
      <c r="O209" s="3">
        <v>129</v>
      </c>
      <c r="P209" s="5">
        <v>112.96861695658205</v>
      </c>
      <c r="Q209" s="3">
        <v>0.23</v>
      </c>
      <c r="R209" s="12">
        <f t="shared" si="32"/>
        <v>5.6484308478291028E-4</v>
      </c>
      <c r="V209" s="3">
        <f t="shared" si="30"/>
        <v>0.19836552867210624</v>
      </c>
      <c r="W209" s="3">
        <f t="shared" si="33"/>
        <v>0.8624588203135054</v>
      </c>
      <c r="Y209" s="3">
        <f t="shared" si="31"/>
        <v>0.19610879974205334</v>
      </c>
      <c r="Z209" s="3">
        <f t="shared" si="34"/>
        <v>0.85264695540023183</v>
      </c>
      <c r="AB209" s="3">
        <f>$AC$2*($AC$3+$AC$4*$F209/($N209*'Dataset sem TS MC2020'!P201))*($AC$5*$G209+$AC$6*$B209/$N209)*'Dataset sem TS MC2020'!R201*($J209-$M209)/($J209-$M209-$H209)</f>
        <v>0.20975057284249152</v>
      </c>
      <c r="AC209" s="3">
        <f t="shared" si="35"/>
        <v>0.91195901235865873</v>
      </c>
      <c r="AD209" s="16">
        <f t="shared" si="36"/>
        <v>-2.0249427157508493E-2</v>
      </c>
      <c r="AE209" s="17">
        <f t="shared" si="37"/>
        <v>1.0965405094398213</v>
      </c>
      <c r="AF209" s="17">
        <f>AB209*(14.068*'Dataset sem TS MC2020'!$P201^-0.457)/$Q209</f>
        <v>1.0789436081550525</v>
      </c>
      <c r="AG209" s="17"/>
      <c r="AO209" s="3">
        <f>$AP$2*($AP$3+$AP$4*$F209/($N209*'Dataset sem TS MC2020'!P201))*($AP$5*$G209+$AP$6*$B209/$N209)*('Dataset sem TS MC2020'!P201^$AP$7/200000)*($J209-$M209)/($J209-$M209-$H209)+('Dataset sem TS MC2020'!P201-$C209/$AP$8)*($AP$5*$G209+$AP$6*$B209/$N209)/200000</f>
        <v>0.22609231369600946</v>
      </c>
      <c r="AP209" s="3">
        <f t="shared" si="38"/>
        <v>0.98301005954786713</v>
      </c>
      <c r="AQ209" s="16">
        <f t="shared" si="39"/>
        <v>-3.9076863039905485E-3</v>
      </c>
    </row>
    <row r="210" spans="1:43" x14ac:dyDescent="0.3">
      <c r="B210" s="4">
        <v>20</v>
      </c>
      <c r="C210" s="5">
        <v>430</v>
      </c>
      <c r="D210" s="5">
        <v>6</v>
      </c>
      <c r="E210" s="4">
        <v>84</v>
      </c>
      <c r="F210" s="3">
        <v>3.5088212858554391</v>
      </c>
      <c r="G210" s="4">
        <v>50</v>
      </c>
      <c r="H210" s="4">
        <v>64</v>
      </c>
      <c r="I210" s="1">
        <v>600</v>
      </c>
      <c r="J210" s="4">
        <v>400</v>
      </c>
      <c r="K210" s="5">
        <v>1884</v>
      </c>
      <c r="L210" s="3">
        <v>98400</v>
      </c>
      <c r="M210" s="5">
        <v>96.251010941284974</v>
      </c>
      <c r="N210" s="8">
        <v>1.9146341463414634E-2</v>
      </c>
      <c r="O210" s="3">
        <v>155</v>
      </c>
      <c r="P210" s="5">
        <v>177.0257707720337</v>
      </c>
      <c r="Q210" s="3">
        <v>0.28000000000000003</v>
      </c>
      <c r="R210" s="12">
        <f t="shared" si="32"/>
        <v>8.8512885386016844E-4</v>
      </c>
      <c r="V210" s="3">
        <f t="shared" si="30"/>
        <v>0.26171568477890533</v>
      </c>
      <c r="W210" s="3">
        <f t="shared" si="33"/>
        <v>0.93469887421037612</v>
      </c>
      <c r="Y210" s="3">
        <f t="shared" si="31"/>
        <v>0.26001984438396802</v>
      </c>
      <c r="Z210" s="3">
        <f t="shared" si="34"/>
        <v>0.92864230137131432</v>
      </c>
      <c r="AB210" s="3">
        <f>$AC$2*($AC$3+$AC$4*$F210/($N210*'Dataset sem TS MC2020'!P202))*($AC$5*$G210+$AC$6*$B210/$N210)*'Dataset sem TS MC2020'!R202*($J210-$M210)/($J210-$M210-$H210)</f>
        <v>0.28558618329759211</v>
      </c>
      <c r="AC210" s="3">
        <f t="shared" si="35"/>
        <v>1.0199506546342574</v>
      </c>
      <c r="AD210" s="16">
        <f t="shared" si="36"/>
        <v>5.5861832975920844E-3</v>
      </c>
      <c r="AE210" s="17">
        <f t="shared" si="37"/>
        <v>0.98043958838242873</v>
      </c>
      <c r="AF210" s="17">
        <f>AB210*(14.068*'Dataset sem TS MC2020'!$P202^-0.457)/$Q210</f>
        <v>1.1095848019276371</v>
      </c>
      <c r="AG210" s="17"/>
      <c r="AO210" s="3">
        <f>$AP$2*($AP$3+$AP$4*$F210/($N210*'Dataset sem TS MC2020'!P202))*($AP$5*$G210+$AP$6*$B210/$N210)*('Dataset sem TS MC2020'!P202^$AP$7/200000)*($J210-$M210)/($J210-$M210-$H210)+('Dataset sem TS MC2020'!P202-$C210/$AP$8)*($AP$5*$G210+$AP$6*$B210/$N210)/200000</f>
        <v>0.30350796611662584</v>
      </c>
      <c r="AP210" s="3">
        <f t="shared" si="38"/>
        <v>1.0839570218450922</v>
      </c>
      <c r="AQ210" s="16">
        <f t="shared" si="39"/>
        <v>2.3507966116625811E-2</v>
      </c>
    </row>
    <row r="211" spans="1:43" x14ac:dyDescent="0.3">
      <c r="A211" s="1" t="s">
        <v>48</v>
      </c>
      <c r="B211" s="4">
        <v>20</v>
      </c>
      <c r="C211" s="5">
        <v>430</v>
      </c>
      <c r="D211" s="5">
        <v>9</v>
      </c>
      <c r="E211" s="4">
        <v>45</v>
      </c>
      <c r="F211" s="3">
        <v>3.5088212858554391</v>
      </c>
      <c r="G211" s="4">
        <v>50</v>
      </c>
      <c r="H211" s="4">
        <v>64</v>
      </c>
      <c r="I211" s="1">
        <v>600</v>
      </c>
      <c r="J211" s="4">
        <v>400</v>
      </c>
      <c r="K211" s="5">
        <v>2826</v>
      </c>
      <c r="L211" s="3">
        <v>98400</v>
      </c>
      <c r="M211" s="5">
        <v>113.55033398296069</v>
      </c>
      <c r="N211" s="8">
        <v>2.8719512195121952E-2</v>
      </c>
      <c r="O211" s="3">
        <v>149</v>
      </c>
      <c r="P211" s="5">
        <v>90.580179942323298</v>
      </c>
      <c r="Q211" s="3">
        <v>0.18</v>
      </c>
      <c r="R211" s="12">
        <f t="shared" si="32"/>
        <v>4.5290089971161646E-4</v>
      </c>
      <c r="V211" s="3">
        <f t="shared" si="30"/>
        <v>0.14610892262337707</v>
      </c>
      <c r="W211" s="3">
        <f t="shared" si="33"/>
        <v>0.81171623679653937</v>
      </c>
      <c r="Y211" s="3">
        <f t="shared" si="31"/>
        <v>0.1436860845770021</v>
      </c>
      <c r="Z211" s="3">
        <f t="shared" si="34"/>
        <v>0.79825602542778951</v>
      </c>
      <c r="AB211" s="3">
        <f>$AC$2*($AC$3+$AC$4*$F211/($N211*'Dataset sem TS MC2020'!P203))*($AC$5*$G211+$AC$6*$B211/$N211)*'Dataset sem TS MC2020'!R203*($J211-$M211)/($J211-$M211-$H211)</f>
        <v>0.14073849187619036</v>
      </c>
      <c r="AC211" s="3">
        <f t="shared" si="35"/>
        <v>0.78188051042327977</v>
      </c>
      <c r="AD211" s="16">
        <f t="shared" si="36"/>
        <v>-3.926150812380963E-2</v>
      </c>
      <c r="AE211" s="17">
        <f t="shared" si="37"/>
        <v>1.2789678047591169</v>
      </c>
      <c r="AF211" s="17">
        <f>AB211*(14.068*'Dataset sem TS MC2020'!$P203^-0.457)/$Q211</f>
        <v>1.0333059603613002</v>
      </c>
      <c r="AG211" s="17"/>
      <c r="AO211" s="3">
        <f>$AP$2*($AP$3+$AP$4*$F211/($N211*'Dataset sem TS MC2020'!P203))*($AP$5*$G211+$AP$6*$B211/$N211)*('Dataset sem TS MC2020'!P203^$AP$7/200000)*($J211-$M211)/($J211-$M211-$H211)+('Dataset sem TS MC2020'!P203-$C211/$AP$8)*($AP$5*$G211+$AP$6*$B211/$N211)/200000</f>
        <v>0.15238188526733742</v>
      </c>
      <c r="AP211" s="3">
        <f t="shared" si="38"/>
        <v>0.84656602926298574</v>
      </c>
      <c r="AQ211" s="16">
        <f t="shared" si="39"/>
        <v>-2.7618114732662569E-2</v>
      </c>
    </row>
    <row r="212" spans="1:43" x14ac:dyDescent="0.3">
      <c r="B212" s="4">
        <v>20</v>
      </c>
      <c r="C212" s="5">
        <v>430</v>
      </c>
      <c r="D212" s="5">
        <v>9</v>
      </c>
      <c r="E212" s="4">
        <v>45</v>
      </c>
      <c r="F212" s="3">
        <v>3.5088212858554391</v>
      </c>
      <c r="G212" s="4">
        <v>50</v>
      </c>
      <c r="H212" s="4">
        <v>64</v>
      </c>
      <c r="I212" s="1">
        <v>600</v>
      </c>
      <c r="J212" s="4">
        <v>400</v>
      </c>
      <c r="K212" s="5">
        <v>2826</v>
      </c>
      <c r="L212" s="3">
        <v>98400</v>
      </c>
      <c r="M212" s="5">
        <v>113.55033398296069</v>
      </c>
      <c r="N212" s="8">
        <v>2.8719512195121952E-2</v>
      </c>
      <c r="O212" s="3">
        <v>186</v>
      </c>
      <c r="P212" s="5">
        <v>140.61155696676525</v>
      </c>
      <c r="Q212" s="3">
        <v>0.26</v>
      </c>
      <c r="R212" s="12">
        <f t="shared" si="32"/>
        <v>7.0305778483382628E-4</v>
      </c>
      <c r="V212" s="3">
        <f t="shared" si="30"/>
        <v>0.19165327036371074</v>
      </c>
      <c r="W212" s="3">
        <f t="shared" si="33"/>
        <v>0.73712796293734895</v>
      </c>
      <c r="Y212" s="3">
        <f t="shared" si="31"/>
        <v>0.18938914035541635</v>
      </c>
      <c r="Z212" s="3">
        <f t="shared" si="34"/>
        <v>0.7284197705977552</v>
      </c>
      <c r="AB212" s="3">
        <f>$AC$2*($AC$3+$AC$4*$F212/($N212*'Dataset sem TS MC2020'!P204))*($AC$5*$G212+$AC$6*$B212/$N212)*'Dataset sem TS MC2020'!R204*($J212-$M212)/($J212-$M212-$H212)</f>
        <v>0.196733939682637</v>
      </c>
      <c r="AC212" s="3">
        <f t="shared" si="35"/>
        <v>0.75666899877937299</v>
      </c>
      <c r="AD212" s="16">
        <f t="shared" si="36"/>
        <v>-6.326606031736301E-2</v>
      </c>
      <c r="AE212" s="17">
        <f t="shared" si="37"/>
        <v>1.321581829853157</v>
      </c>
      <c r="AF212" s="17">
        <f>AB212*(14.068*'Dataset sem TS MC2020'!$P204^-0.457)/$Q212</f>
        <v>0.90359370537039163</v>
      </c>
      <c r="AG212" s="17"/>
      <c r="AO212" s="3">
        <f>$AP$2*($AP$3+$AP$4*$F212/($N212*'Dataset sem TS MC2020'!P204))*($AP$5*$G212+$AP$6*$B212/$N212)*('Dataset sem TS MC2020'!P204^$AP$7/200000)*($J212-$M212)/($J212-$M212-$H212)+('Dataset sem TS MC2020'!P204-$C212/$AP$8)*($AP$5*$G212+$AP$6*$B212/$N212)/200000</f>
        <v>0.20982182623588244</v>
      </c>
      <c r="AP212" s="3">
        <f t="shared" si="38"/>
        <v>0.80700702398416324</v>
      </c>
      <c r="AQ212" s="16">
        <f t="shared" si="39"/>
        <v>-5.0178173764117567E-2</v>
      </c>
    </row>
    <row r="213" spans="1:43" x14ac:dyDescent="0.3">
      <c r="B213" s="4">
        <v>20</v>
      </c>
      <c r="C213" s="5">
        <v>430</v>
      </c>
      <c r="D213" s="5">
        <v>9</v>
      </c>
      <c r="E213" s="4">
        <v>45</v>
      </c>
      <c r="F213" s="3">
        <v>3.5088212858554391</v>
      </c>
      <c r="G213" s="4">
        <v>50</v>
      </c>
      <c r="H213" s="4">
        <v>64</v>
      </c>
      <c r="I213" s="1">
        <v>600</v>
      </c>
      <c r="J213" s="4">
        <v>400</v>
      </c>
      <c r="K213" s="5">
        <v>2826</v>
      </c>
      <c r="L213" s="3">
        <v>98400</v>
      </c>
      <c r="M213" s="5">
        <v>113.55033398296069</v>
      </c>
      <c r="N213" s="8">
        <v>2.8719512195121952E-2</v>
      </c>
      <c r="O213" s="3">
        <v>223</v>
      </c>
      <c r="P213" s="5">
        <v>197.18121767408158</v>
      </c>
      <c r="Q213" s="3">
        <v>0.34</v>
      </c>
      <c r="R213" s="12">
        <f t="shared" si="32"/>
        <v>9.8590608837040793E-4</v>
      </c>
      <c r="V213" s="3">
        <f t="shared" si="30"/>
        <v>0.23611267834764585</v>
      </c>
      <c r="W213" s="3">
        <f t="shared" si="33"/>
        <v>0.69444905396366419</v>
      </c>
      <c r="Y213" s="3">
        <f t="shared" si="31"/>
        <v>0.23419274432514348</v>
      </c>
      <c r="Z213" s="3">
        <f t="shared" si="34"/>
        <v>0.68880218919159841</v>
      </c>
      <c r="AB213" s="3">
        <f>$AC$2*($AC$3+$AC$4*$F213/($N213*'Dataset sem TS MC2020'!P205))*($AC$5*$G213+$AC$6*$B213/$N213)*'Dataset sem TS MC2020'!R205*($J213-$M213)/($J213-$M213-$H213)</f>
        <v>0.25272938748908347</v>
      </c>
      <c r="AC213" s="3">
        <f t="shared" si="35"/>
        <v>0.74332172790906892</v>
      </c>
      <c r="AD213" s="16">
        <f t="shared" si="36"/>
        <v>-8.7270612510916556E-2</v>
      </c>
      <c r="AE213" s="17">
        <f t="shared" si="37"/>
        <v>1.3453124837517607</v>
      </c>
      <c r="AF213" s="17">
        <f>AB213*(14.068*'Dataset sem TS MC2020'!$P205^-0.457)/$Q213</f>
        <v>0.81702656352581882</v>
      </c>
      <c r="AG213" s="17"/>
      <c r="AO213" s="3">
        <f>$AP$2*($AP$3+$AP$4*$F213/($N213*'Dataset sem TS MC2020'!P205))*($AP$5*$G213+$AP$6*$B213/$N213)*('Dataset sem TS MC2020'!P205^$AP$7/200000)*($J213-$M213)/($J213-$M213-$H213)+('Dataset sem TS MC2020'!P205-$C213/$AP$8)*($AP$5*$G213+$AP$6*$B213/$N213)/200000</f>
        <v>0.26468500796447453</v>
      </c>
      <c r="AP213" s="3">
        <f t="shared" si="38"/>
        <v>0.77848531754257211</v>
      </c>
      <c r="AQ213" s="16">
        <f t="shared" si="39"/>
        <v>-7.5314992035525496E-2</v>
      </c>
    </row>
    <row r="214" spans="1:43" x14ac:dyDescent="0.3">
      <c r="A214" s="1" t="s">
        <v>49</v>
      </c>
      <c r="B214" s="4">
        <v>16</v>
      </c>
      <c r="C214" s="5">
        <v>528</v>
      </c>
      <c r="D214" s="5">
        <v>2</v>
      </c>
      <c r="E214" s="4">
        <v>52</v>
      </c>
      <c r="F214" s="3">
        <v>3.42</v>
      </c>
      <c r="G214" s="4">
        <v>27</v>
      </c>
      <c r="H214" s="4">
        <v>35</v>
      </c>
      <c r="I214" s="1">
        <v>150</v>
      </c>
      <c r="J214" s="4">
        <v>235</v>
      </c>
      <c r="K214" s="5">
        <v>402</v>
      </c>
      <c r="L214" s="3">
        <v>17250</v>
      </c>
      <c r="M214" s="5">
        <v>69.840426640711158</v>
      </c>
      <c r="N214" s="8">
        <v>2.3304347826086955E-2</v>
      </c>
      <c r="O214" s="3">
        <v>16.674999999999997</v>
      </c>
      <c r="P214" s="5">
        <v>148.38140865244287</v>
      </c>
      <c r="Q214" s="3">
        <v>0.15</v>
      </c>
      <c r="R214" s="12">
        <f t="shared" si="32"/>
        <v>7.4190704326221432E-4</v>
      </c>
      <c r="V214" s="3">
        <f t="shared" si="30"/>
        <v>0.18625951722514394</v>
      </c>
      <c r="W214" s="3">
        <f t="shared" si="33"/>
        <v>1.241730114834293</v>
      </c>
      <c r="Y214" s="3">
        <f t="shared" si="31"/>
        <v>0.18275811270502046</v>
      </c>
      <c r="Z214" s="3">
        <f t="shared" si="34"/>
        <v>1.2183874180334697</v>
      </c>
      <c r="AB214" s="3">
        <f>$AC$2*($AC$3+$AC$4*$F214/($N214*'Dataset sem TS MC2020'!P206))*($AC$5*$G214+$AC$6*$B214/$N214)*'Dataset sem TS MC2020'!R206*($J214-$M214)/($J214-$M214-$H214)</f>
        <v>0.16256723272017329</v>
      </c>
      <c r="AC214" s="3">
        <f t="shared" si="35"/>
        <v>1.083781551467822</v>
      </c>
      <c r="AD214" s="16">
        <f t="shared" si="36"/>
        <v>1.2567232720173294E-2</v>
      </c>
      <c r="AE214" s="17">
        <f t="shared" si="37"/>
        <v>0.92269516734774437</v>
      </c>
      <c r="AF214" s="17">
        <f>AB214*(14.068*'Dataset sem TS MC2020'!$P206^-0.457)/$Q214</f>
        <v>1.2584348488213331</v>
      </c>
      <c r="AG214" s="17"/>
      <c r="AO214" s="3">
        <f>$AP$2*($AP$3+$AP$4*$F214/($N214*'Dataset sem TS MC2020'!P206))*($AP$5*$G214+$AP$6*$B214/$N214)*('Dataset sem TS MC2020'!P206^$AP$7/200000)*($J214-$M214)/($J214-$M214-$H214)+('Dataset sem TS MC2020'!P206-$C214/$AP$8)*($AP$5*$G214+$AP$6*$B214/$N214)/200000</f>
        <v>0.17342392582193125</v>
      </c>
      <c r="AP214" s="3">
        <f t="shared" si="38"/>
        <v>1.1561595054795417</v>
      </c>
      <c r="AQ214" s="16">
        <f t="shared" si="39"/>
        <v>2.3423925821931257E-2</v>
      </c>
    </row>
    <row r="215" spans="1:43" x14ac:dyDescent="0.3">
      <c r="B215" s="4">
        <v>16</v>
      </c>
      <c r="C215" s="5">
        <v>528</v>
      </c>
      <c r="D215" s="5">
        <v>2</v>
      </c>
      <c r="E215" s="4">
        <v>52</v>
      </c>
      <c r="F215" s="3">
        <v>3.42</v>
      </c>
      <c r="G215" s="4">
        <v>27</v>
      </c>
      <c r="H215" s="4">
        <v>35</v>
      </c>
      <c r="I215" s="1">
        <v>150</v>
      </c>
      <c r="J215" s="4">
        <v>235</v>
      </c>
      <c r="K215" s="5">
        <v>402</v>
      </c>
      <c r="L215" s="3">
        <v>17250</v>
      </c>
      <c r="M215" s="5">
        <v>69.840426640711158</v>
      </c>
      <c r="N215" s="8">
        <v>2.3304347826086955E-2</v>
      </c>
      <c r="O215" s="3">
        <v>22.424999999999997</v>
      </c>
      <c r="P215" s="5">
        <v>258.39734230896727</v>
      </c>
      <c r="Q215" s="3">
        <v>0.19</v>
      </c>
      <c r="R215" s="12">
        <f t="shared" si="32"/>
        <v>1.2919867115448362E-3</v>
      </c>
      <c r="V215" s="3">
        <f t="shared" si="30"/>
        <v>0.26227630101819754</v>
      </c>
      <c r="W215" s="3">
        <f t="shared" si="33"/>
        <v>1.3804015843063029</v>
      </c>
      <c r="Y215" s="3">
        <f t="shared" si="31"/>
        <v>0.25892097617370696</v>
      </c>
      <c r="Z215" s="3">
        <f t="shared" si="34"/>
        <v>1.3627419798616156</v>
      </c>
      <c r="AB215" s="3">
        <f>$AC$2*($AC$3+$AC$4*$F215/($N215*'Dataset sem TS MC2020'!P207))*($AC$5*$G215+$AC$6*$B215/$N215)*'Dataset sem TS MC2020'!R207*($J215-$M215)/($J215-$M215-$H215)</f>
        <v>0.24752201891841677</v>
      </c>
      <c r="AC215" s="3">
        <f t="shared" si="35"/>
        <v>1.3027474679916673</v>
      </c>
      <c r="AD215" s="16">
        <f t="shared" si="36"/>
        <v>5.7522018918416767E-2</v>
      </c>
      <c r="AE215" s="17">
        <f t="shared" si="37"/>
        <v>0.76760847713763991</v>
      </c>
      <c r="AF215" s="17">
        <f>AB215*(14.068*'Dataset sem TS MC2020'!$P207^-0.457)/$Q215</f>
        <v>1.3211392025780562</v>
      </c>
      <c r="AG215" s="17"/>
      <c r="AO215" s="3">
        <f>$AP$2*($AP$3+$AP$4*$F215/($N215*'Dataset sem TS MC2020'!P207))*($AP$5*$G215+$AP$6*$B215/$N215)*('Dataset sem TS MC2020'!P207^$AP$7/200000)*($J215-$M215)/($J215-$M215-$H215)+('Dataset sem TS MC2020'!P207-$C215/$AP$8)*($AP$5*$G215+$AP$6*$B215/$N215)/200000</f>
        <v>0.25750230314273537</v>
      </c>
      <c r="AP215" s="3">
        <f t="shared" si="38"/>
        <v>1.3552752796986072</v>
      </c>
      <c r="AQ215" s="16">
        <f t="shared" si="39"/>
        <v>6.7502303142735365E-2</v>
      </c>
    </row>
    <row r="216" spans="1:43" x14ac:dyDescent="0.3">
      <c r="B216" s="4">
        <v>16</v>
      </c>
      <c r="C216" s="5">
        <v>528</v>
      </c>
      <c r="D216" s="5">
        <v>2</v>
      </c>
      <c r="E216" s="4">
        <v>52</v>
      </c>
      <c r="F216" s="3">
        <v>3.42</v>
      </c>
      <c r="G216" s="4">
        <v>27</v>
      </c>
      <c r="H216" s="4">
        <v>35</v>
      </c>
      <c r="I216" s="1">
        <v>150</v>
      </c>
      <c r="J216" s="4">
        <v>235</v>
      </c>
      <c r="K216" s="5">
        <v>402</v>
      </c>
      <c r="L216" s="3">
        <v>17250</v>
      </c>
      <c r="M216" s="5">
        <v>69.840426640711158</v>
      </c>
      <c r="N216" s="8">
        <v>2.3304347826086955E-2</v>
      </c>
      <c r="O216" s="3">
        <v>25.874999999999996</v>
      </c>
      <c r="P216" s="5">
        <v>324.40690250288185</v>
      </c>
      <c r="Q216" s="3">
        <v>0.22</v>
      </c>
      <c r="R216" s="12">
        <f t="shared" si="32"/>
        <v>1.6220345125144092E-3</v>
      </c>
      <c r="V216" s="3">
        <f t="shared" si="30"/>
        <v>0.30180046946898154</v>
      </c>
      <c r="W216" s="3">
        <f t="shared" si="33"/>
        <v>1.3718203157680979</v>
      </c>
      <c r="Y216" s="3">
        <f t="shared" si="31"/>
        <v>0.29868603599567517</v>
      </c>
      <c r="Z216" s="3">
        <f t="shared" si="34"/>
        <v>1.3576637999803416</v>
      </c>
      <c r="AB216" s="3">
        <f>$AC$2*($AC$3+$AC$4*$F216/($N216*'Dataset sem TS MC2020'!P208))*($AC$5*$G216+$AC$6*$B216/$N216)*'Dataset sem TS MC2020'!R208*($J216-$M216)/($J216-$M216-$H216)</f>
        <v>0.29849489063736284</v>
      </c>
      <c r="AC216" s="3">
        <f t="shared" si="35"/>
        <v>1.3567949574425584</v>
      </c>
      <c r="AD216" s="16">
        <f t="shared" si="36"/>
        <v>7.8494890637362841E-2</v>
      </c>
      <c r="AE216" s="17">
        <f t="shared" si="37"/>
        <v>0.73703104106821993</v>
      </c>
      <c r="AF216" s="17">
        <f>AB216*(14.068*'Dataset sem TS MC2020'!$P208^-0.457)/$Q216</f>
        <v>1.2888458261025204</v>
      </c>
      <c r="AG216" s="17"/>
      <c r="AO216" s="3">
        <f>$AP$2*($AP$3+$AP$4*$F216/($N216*'Dataset sem TS MC2020'!P208))*($AP$5*$G216+$AP$6*$B216/$N216)*('Dataset sem TS MC2020'!P208^$AP$7/200000)*($J216-$M216)/($J216-$M216-$H216)+('Dataset sem TS MC2020'!P208-$C216/$AP$8)*($AP$5*$G216+$AP$6*$B216/$N216)/200000</f>
        <v>0.3056152174045762</v>
      </c>
      <c r="AP216" s="3">
        <f t="shared" si="38"/>
        <v>1.38916007911171</v>
      </c>
      <c r="AQ216" s="16">
        <f t="shared" si="39"/>
        <v>8.5615217404576199E-2</v>
      </c>
    </row>
    <row r="217" spans="1:43" x14ac:dyDescent="0.3">
      <c r="B217" s="4">
        <v>16</v>
      </c>
      <c r="C217" s="5">
        <v>528</v>
      </c>
      <c r="D217" s="5">
        <v>2</v>
      </c>
      <c r="E217" s="4">
        <v>52</v>
      </c>
      <c r="F217" s="3">
        <v>3.42</v>
      </c>
      <c r="G217" s="4">
        <v>27</v>
      </c>
      <c r="H217" s="4">
        <v>35</v>
      </c>
      <c r="I217" s="1">
        <v>150</v>
      </c>
      <c r="J217" s="4">
        <v>235</v>
      </c>
      <c r="K217" s="5">
        <v>402</v>
      </c>
      <c r="L217" s="3">
        <v>17250</v>
      </c>
      <c r="M217" s="5">
        <v>69.840426640711158</v>
      </c>
      <c r="N217" s="8">
        <v>2.3304347826086955E-2</v>
      </c>
      <c r="O217" s="3">
        <v>28.749999999999996</v>
      </c>
      <c r="P217" s="5">
        <v>379.41486933114396</v>
      </c>
      <c r="Q217" s="3">
        <v>0.22</v>
      </c>
      <c r="R217" s="12">
        <f t="shared" si="32"/>
        <v>1.8970743466557199E-3</v>
      </c>
      <c r="V217" s="3">
        <f t="shared" si="30"/>
        <v>0.33242285865135529</v>
      </c>
      <c r="W217" s="3">
        <f t="shared" si="33"/>
        <v>1.5110129938697967</v>
      </c>
      <c r="Y217" s="3">
        <f t="shared" si="31"/>
        <v>0.32955974254221693</v>
      </c>
      <c r="Z217" s="3">
        <f t="shared" si="34"/>
        <v>1.4979988297373497</v>
      </c>
      <c r="AB217" s="3">
        <f>$AC$2*($AC$3+$AC$4*$F217/($N217*'Dataset sem TS MC2020'!P209))*($AC$5*$G217+$AC$6*$B217/$N217)*'Dataset sem TS MC2020'!R209*($J217-$M217)/($J217-$M217-$H217)</f>
        <v>0.34097228373648447</v>
      </c>
      <c r="AC217" s="3">
        <f t="shared" si="35"/>
        <v>1.5498740169840204</v>
      </c>
      <c r="AD217" s="16">
        <f t="shared" si="36"/>
        <v>0.12097228373648447</v>
      </c>
      <c r="AE217" s="17">
        <f t="shared" si="37"/>
        <v>0.64521373288517436</v>
      </c>
      <c r="AF217" s="17">
        <f>AB217*(14.068*'Dataset sem TS MC2020'!$P209^-0.457)/$Q217</f>
        <v>1.4030462034884272</v>
      </c>
      <c r="AG217" s="17"/>
      <c r="AO217" s="3">
        <f>$AP$2*($AP$3+$AP$4*$F217/($N217*'Dataset sem TS MC2020'!P209))*($AP$5*$G217+$AP$6*$B217/$N217)*('Dataset sem TS MC2020'!P209^$AP$7/200000)*($J217-$M217)/($J217-$M217-$H217)+('Dataset sem TS MC2020'!P209-$C217/$AP$8)*($AP$5*$G217+$AP$6*$B217/$N217)/200000</f>
        <v>0.34467421566798778</v>
      </c>
      <c r="AP217" s="3">
        <f t="shared" si="38"/>
        <v>1.5667009803090353</v>
      </c>
      <c r="AQ217" s="16">
        <f t="shared" si="39"/>
        <v>0.12467421566798778</v>
      </c>
    </row>
    <row r="218" spans="1:43" x14ac:dyDescent="0.3">
      <c r="B218" s="4">
        <v>16</v>
      </c>
      <c r="C218" s="5">
        <v>528</v>
      </c>
      <c r="D218" s="5">
        <v>2</v>
      </c>
      <c r="E218" s="4">
        <v>52</v>
      </c>
      <c r="F218" s="3">
        <v>3.42</v>
      </c>
      <c r="G218" s="4">
        <v>27</v>
      </c>
      <c r="H218" s="4">
        <v>35</v>
      </c>
      <c r="I218" s="1">
        <v>150</v>
      </c>
      <c r="J218" s="4">
        <v>235</v>
      </c>
      <c r="K218" s="5">
        <v>402</v>
      </c>
      <c r="L218" s="3">
        <v>17250</v>
      </c>
      <c r="M218" s="5">
        <v>69.840426640711158</v>
      </c>
      <c r="N218" s="8">
        <v>2.3304347826086955E-2</v>
      </c>
      <c r="O218" s="3">
        <v>33.349999999999994</v>
      </c>
      <c r="P218" s="5">
        <v>467.42761625636342</v>
      </c>
      <c r="Q218" s="3">
        <v>0.25</v>
      </c>
      <c r="R218" s="12">
        <f t="shared" si="32"/>
        <v>2.3371380812818171E-3</v>
      </c>
      <c r="V218" s="3">
        <f t="shared" si="30"/>
        <v>0.37808643199384773</v>
      </c>
      <c r="W218" s="3">
        <f t="shared" si="33"/>
        <v>1.5123457279753909</v>
      </c>
      <c r="Y218" s="3">
        <f t="shared" si="31"/>
        <v>0.37569115270818138</v>
      </c>
      <c r="Z218" s="3">
        <f t="shared" si="34"/>
        <v>1.5027646108327255</v>
      </c>
      <c r="AB218" s="3">
        <f>$AC$2*($AC$3+$AC$4*$F218/($N218*'Dataset sem TS MC2020'!P210))*($AC$5*$G218+$AC$6*$B218/$N218)*'Dataset sem TS MC2020'!R210*($J218-$M218)/($J218-$M218-$H218)</f>
        <v>0.40893611269507929</v>
      </c>
      <c r="AC218" s="3">
        <f t="shared" si="35"/>
        <v>1.6357444507803172</v>
      </c>
      <c r="AD218" s="16">
        <f t="shared" si="36"/>
        <v>0.15893611269507929</v>
      </c>
      <c r="AE218" s="17">
        <f t="shared" si="37"/>
        <v>0.61134243770349272</v>
      </c>
      <c r="AF218" s="17">
        <f>AB218*(14.068*'Dataset sem TS MC2020'!$P210^-0.457)/$Q218</f>
        <v>1.3836738393322077</v>
      </c>
      <c r="AG218" s="17"/>
      <c r="AO218" s="3">
        <f>$AP$2*($AP$3+$AP$4*$F218/($N218*'Dataset sem TS MC2020'!P210))*($AP$5*$G218+$AP$6*$B218/$N218)*('Dataset sem TS MC2020'!P210^$AP$7/200000)*($J218-$M218)/($J218-$M218-$H218)+('Dataset sem TS MC2020'!P210-$C218/$AP$8)*($AP$5*$G218+$AP$6*$B218/$N218)/200000</f>
        <v>0.40554539938563194</v>
      </c>
      <c r="AP218" s="3">
        <f t="shared" si="38"/>
        <v>1.6221815975425278</v>
      </c>
      <c r="AQ218" s="16">
        <f t="shared" si="39"/>
        <v>0.15554539938563194</v>
      </c>
    </row>
    <row r="219" spans="1:43" x14ac:dyDescent="0.3">
      <c r="B219" s="4">
        <v>16</v>
      </c>
      <c r="C219" s="5">
        <v>528</v>
      </c>
      <c r="D219" s="5">
        <v>2</v>
      </c>
      <c r="E219" s="4">
        <v>52</v>
      </c>
      <c r="F219" s="3">
        <v>3.42</v>
      </c>
      <c r="G219" s="4">
        <v>27</v>
      </c>
      <c r="H219" s="4">
        <v>35</v>
      </c>
      <c r="I219" s="1">
        <v>150</v>
      </c>
      <c r="J219" s="4">
        <v>235</v>
      </c>
      <c r="K219" s="5">
        <v>402</v>
      </c>
      <c r="L219" s="3">
        <v>17250</v>
      </c>
      <c r="M219" s="5">
        <v>69.840426640711158</v>
      </c>
      <c r="N219" s="8">
        <v>2.3304347826086955E-2</v>
      </c>
      <c r="O219" s="3">
        <v>37.375</v>
      </c>
      <c r="P219" s="5">
        <v>526.10180870720353</v>
      </c>
      <c r="Q219" s="3">
        <v>0.28999999999999998</v>
      </c>
      <c r="R219" s="12">
        <f t="shared" si="32"/>
        <v>2.6305090435360177E-3</v>
      </c>
      <c r="V219" s="3">
        <f t="shared" si="30"/>
        <v>0.40670301432119355</v>
      </c>
      <c r="W219" s="3">
        <f t="shared" si="33"/>
        <v>1.4024241873144605</v>
      </c>
      <c r="Y219" s="3">
        <f t="shared" si="31"/>
        <v>0.40465245185870541</v>
      </c>
      <c r="Z219" s="3">
        <f t="shared" si="34"/>
        <v>1.3953532822713981</v>
      </c>
      <c r="AB219" s="3">
        <f>$AC$2*($AC$3+$AC$4*$F219/($N219*'Dataset sem TS MC2020'!P211))*($AC$5*$G219+$AC$6*$B219/$N219)*'Dataset sem TS MC2020'!R211*($J219-$M219)/($J219-$M219-$H219)</f>
        <v>0.4684044630338498</v>
      </c>
      <c r="AC219" s="3">
        <f t="shared" si="35"/>
        <v>1.6151878035649994</v>
      </c>
      <c r="AD219" s="16">
        <f t="shared" si="36"/>
        <v>0.17840446303384982</v>
      </c>
      <c r="AE219" s="17">
        <f t="shared" si="37"/>
        <v>0.61912305045445903</v>
      </c>
      <c r="AF219" s="17">
        <f>AB219*(14.068*'Dataset sem TS MC2020'!$P211^-0.457)/$Q219</f>
        <v>1.296959724876233</v>
      </c>
      <c r="AG219" s="17"/>
      <c r="AO219" s="3">
        <f>$AP$2*($AP$3+$AP$4*$F219/($N219*'Dataset sem TS MC2020'!P211))*($AP$5*$G219+$AP$6*$B219/$N219)*('Dataset sem TS MC2020'!P211^$AP$7/200000)*($J219-$M219)/($J219-$M219-$H219)+('Dataset sem TS MC2020'!P211-$C219/$AP$8)*($AP$5*$G219+$AP$6*$B219/$N219)/200000</f>
        <v>0.45742612018575762</v>
      </c>
      <c r="AP219" s="3">
        <f t="shared" si="38"/>
        <v>1.5773314489164056</v>
      </c>
      <c r="AQ219" s="16">
        <f t="shared" si="39"/>
        <v>0.16742612018575764</v>
      </c>
    </row>
    <row r="220" spans="1:43" x14ac:dyDescent="0.3">
      <c r="A220" s="1" t="s">
        <v>50</v>
      </c>
      <c r="B220" s="4">
        <v>20</v>
      </c>
      <c r="C220" s="5">
        <v>528</v>
      </c>
      <c r="D220" s="5">
        <v>2</v>
      </c>
      <c r="E220" s="4">
        <v>44</v>
      </c>
      <c r="F220" s="3">
        <v>3.42</v>
      </c>
      <c r="G220" s="4">
        <v>25</v>
      </c>
      <c r="H220" s="4">
        <v>35</v>
      </c>
      <c r="I220" s="1">
        <v>150</v>
      </c>
      <c r="J220" s="4">
        <v>235</v>
      </c>
      <c r="K220" s="5">
        <v>628</v>
      </c>
      <c r="L220" s="3">
        <v>18375</v>
      </c>
      <c r="M220" s="5">
        <v>82.823824444556394</v>
      </c>
      <c r="N220" s="8">
        <v>3.4176870748299316E-2</v>
      </c>
      <c r="O220" s="3">
        <v>29.324999999999999</v>
      </c>
      <c r="P220" s="5">
        <v>217.58179225653259</v>
      </c>
      <c r="Q220" s="3">
        <v>0.17</v>
      </c>
      <c r="R220" s="12">
        <f t="shared" si="32"/>
        <v>1.0879089612826629E-3</v>
      </c>
      <c r="V220" s="3">
        <f t="shared" si="30"/>
        <v>0.23362030019985419</v>
      </c>
      <c r="W220" s="3">
        <f t="shared" si="33"/>
        <v>1.3742370599991423</v>
      </c>
      <c r="Y220" s="3">
        <f t="shared" si="31"/>
        <v>0.23242191950299912</v>
      </c>
      <c r="Z220" s="3">
        <f t="shared" si="34"/>
        <v>1.3671877617823476</v>
      </c>
      <c r="AB220" s="3">
        <f>$AC$2*($AC$3+$AC$4*$F220/($N220*'Dataset sem TS MC2020'!P212))*($AC$5*$G220+$AC$6*$B220/$N220)*'Dataset sem TS MC2020'!R212*($J220-$M220)/($J220-$M220-$H220)</f>
        <v>0.20190586756617948</v>
      </c>
      <c r="AC220" s="3">
        <f t="shared" si="35"/>
        <v>1.1876815739187028</v>
      </c>
      <c r="AD220" s="16">
        <f t="shared" si="36"/>
        <v>3.1905867566179469E-2</v>
      </c>
      <c r="AE220" s="17">
        <f t="shared" si="37"/>
        <v>0.84197652128301048</v>
      </c>
      <c r="AF220" s="17">
        <f>AB220*(14.068*'Dataset sem TS MC2020'!$P212^-0.457)/$Q220</f>
        <v>1.2916966875419336</v>
      </c>
      <c r="AG220" s="17"/>
      <c r="AO220" s="3">
        <f>$AP$2*($AP$3+$AP$4*$F220/($N220*'Dataset sem TS MC2020'!P212))*($AP$5*$G220+$AP$6*$B220/$N220)*('Dataset sem TS MC2020'!P212^$AP$7/200000)*($J220-$M220)/($J220-$M220-$H220)+('Dataset sem TS MC2020'!P212-$C220/$AP$8)*($AP$5*$G220+$AP$6*$B220/$N220)/200000</f>
        <v>0.2130909342494858</v>
      </c>
      <c r="AP220" s="3">
        <f t="shared" si="38"/>
        <v>1.2534760838205046</v>
      </c>
      <c r="AQ220" s="16">
        <f t="shared" si="39"/>
        <v>4.3090934249485791E-2</v>
      </c>
    </row>
    <row r="221" spans="1:43" x14ac:dyDescent="0.3">
      <c r="B221" s="4">
        <v>20</v>
      </c>
      <c r="C221" s="5">
        <v>528</v>
      </c>
      <c r="D221" s="5">
        <v>2</v>
      </c>
      <c r="E221" s="4">
        <v>44</v>
      </c>
      <c r="F221" s="3">
        <v>3.42</v>
      </c>
      <c r="G221" s="4">
        <v>25</v>
      </c>
      <c r="H221" s="4">
        <v>35</v>
      </c>
      <c r="I221" s="1">
        <v>150</v>
      </c>
      <c r="J221" s="4">
        <v>235</v>
      </c>
      <c r="K221" s="5">
        <v>628</v>
      </c>
      <c r="L221" s="3">
        <v>18375</v>
      </c>
      <c r="M221" s="5">
        <v>82.823824444556394</v>
      </c>
      <c r="N221" s="8">
        <v>3.4176870748299316E-2</v>
      </c>
      <c r="O221" s="3">
        <v>33.349999999999994</v>
      </c>
      <c r="P221" s="5">
        <v>264.4626500049194</v>
      </c>
      <c r="Q221" s="3">
        <v>0.19</v>
      </c>
      <c r="R221" s="12">
        <f t="shared" si="32"/>
        <v>1.322313250024597E-3</v>
      </c>
      <c r="V221" s="3">
        <f t="shared" si="30"/>
        <v>0.26350949308895494</v>
      </c>
      <c r="W221" s="3">
        <f t="shared" si="33"/>
        <v>1.3868920688892366</v>
      </c>
      <c r="Y221" s="3">
        <f t="shared" si="31"/>
        <v>0.2627210863311753</v>
      </c>
      <c r="Z221" s="3">
        <f t="shared" si="34"/>
        <v>1.3827425596377647</v>
      </c>
      <c r="AB221" s="3">
        <f>$AC$2*($AC$3+$AC$4*$F221/($N221*'Dataset sem TS MC2020'!P213))*($AC$5*$G221+$AC$6*$B221/$N221)*'Dataset sem TS MC2020'!R213*($J221-$M221)/($J221-$M221-$H221)</f>
        <v>0.23658930483632243</v>
      </c>
      <c r="AC221" s="3">
        <f t="shared" si="35"/>
        <v>1.2452068675595918</v>
      </c>
      <c r="AD221" s="16">
        <f t="shared" si="36"/>
        <v>4.6589304836322426E-2</v>
      </c>
      <c r="AE221" s="17">
        <f t="shared" si="37"/>
        <v>0.80307941278852857</v>
      </c>
      <c r="AF221" s="17">
        <f>AB221*(14.068*'Dataset sem TS MC2020'!$P213^-0.457)/$Q221</f>
        <v>1.2769532911640942</v>
      </c>
      <c r="AG221" s="17"/>
      <c r="AO221" s="3">
        <f>$AP$2*($AP$3+$AP$4*$F221/($N221*'Dataset sem TS MC2020'!P213))*($AP$5*$G221+$AP$6*$B221/$N221)*('Dataset sem TS MC2020'!P213^$AP$7/200000)*($J221-$M221)/($J221-$M221-$H221)+('Dataset sem TS MC2020'!P213-$C221/$AP$8)*($AP$5*$G221+$AP$6*$B221/$N221)/200000</f>
        <v>0.24625439601729096</v>
      </c>
      <c r="AP221" s="3">
        <f t="shared" si="38"/>
        <v>1.2960757685120576</v>
      </c>
      <c r="AQ221" s="16">
        <f t="shared" si="39"/>
        <v>5.6254396017290959E-2</v>
      </c>
    </row>
    <row r="222" spans="1:43" x14ac:dyDescent="0.3">
      <c r="B222" s="4">
        <v>20</v>
      </c>
      <c r="C222" s="5">
        <v>528</v>
      </c>
      <c r="D222" s="5">
        <v>2</v>
      </c>
      <c r="E222" s="4">
        <v>44</v>
      </c>
      <c r="F222" s="3">
        <v>3.42</v>
      </c>
      <c r="G222" s="4">
        <v>25</v>
      </c>
      <c r="H222" s="4">
        <v>35</v>
      </c>
      <c r="I222" s="1">
        <v>150</v>
      </c>
      <c r="J222" s="4">
        <v>235</v>
      </c>
      <c r="K222" s="5">
        <v>628</v>
      </c>
      <c r="L222" s="3">
        <v>18375</v>
      </c>
      <c r="M222" s="5">
        <v>82.823824444556394</v>
      </c>
      <c r="N222" s="8">
        <v>3.4176870748299316E-2</v>
      </c>
      <c r="O222" s="3">
        <v>38.524999999999999</v>
      </c>
      <c r="P222" s="5">
        <v>324.73803853855986</v>
      </c>
      <c r="Q222" s="3">
        <v>0.21</v>
      </c>
      <c r="R222" s="12">
        <f t="shared" si="32"/>
        <v>1.6236901926927993E-3</v>
      </c>
      <c r="V222" s="3">
        <f t="shared" si="30"/>
        <v>0.29909794290332026</v>
      </c>
      <c r="W222" s="3">
        <f t="shared" si="33"/>
        <v>1.4242759185872393</v>
      </c>
      <c r="Y222" s="3">
        <f t="shared" si="31"/>
        <v>0.29887731206612067</v>
      </c>
      <c r="Z222" s="3">
        <f t="shared" si="34"/>
        <v>1.4232252955529556</v>
      </c>
      <c r="AB222" s="3">
        <f>$AC$2*($AC$3+$AC$4*$F222/($N222*'Dataset sem TS MC2020'!P214))*($AC$5*$G222+$AC$6*$B222/$N222)*'Dataset sem TS MC2020'!R214*($J222-$M222)/($J222-$M222-$H222)</f>
        <v>0.28118229561222075</v>
      </c>
      <c r="AC222" s="3">
        <f t="shared" si="35"/>
        <v>1.3389633124391465</v>
      </c>
      <c r="AD222" s="16">
        <f t="shared" si="36"/>
        <v>7.1182295612220753E-2</v>
      </c>
      <c r="AE222" s="17">
        <f t="shared" si="37"/>
        <v>0.74684645255763737</v>
      </c>
      <c r="AF222" s="17">
        <f>AB222*(14.068*'Dataset sem TS MC2020'!$P214^-0.457)/$Q222</f>
        <v>1.2855015075372735</v>
      </c>
      <c r="AG222" s="17"/>
      <c r="AO222" s="3">
        <f>$AP$2*($AP$3+$AP$4*$F222/($N222*'Dataset sem TS MC2020'!P214))*($AP$5*$G222+$AP$6*$B222/$N222)*('Dataset sem TS MC2020'!P214^$AP$7/200000)*($J222-$M222)/($J222-$M222-$H222)+('Dataset sem TS MC2020'!P214-$C222/$AP$8)*($AP$5*$G222+$AP$6*$B222/$N222)/200000</f>
        <v>0.28772309279095948</v>
      </c>
      <c r="AP222" s="3">
        <f t="shared" si="38"/>
        <v>1.3701099656712357</v>
      </c>
      <c r="AQ222" s="16">
        <f t="shared" si="39"/>
        <v>7.7723092790959486E-2</v>
      </c>
    </row>
    <row r="223" spans="1:43" x14ac:dyDescent="0.3">
      <c r="B223" s="4">
        <v>20</v>
      </c>
      <c r="C223" s="5">
        <v>528</v>
      </c>
      <c r="D223" s="5">
        <v>2</v>
      </c>
      <c r="E223" s="4">
        <v>44</v>
      </c>
      <c r="F223" s="3">
        <v>3.42</v>
      </c>
      <c r="G223" s="4">
        <v>25</v>
      </c>
      <c r="H223" s="4">
        <v>35</v>
      </c>
      <c r="I223" s="1">
        <v>150</v>
      </c>
      <c r="J223" s="4">
        <v>235</v>
      </c>
      <c r="K223" s="5">
        <v>628</v>
      </c>
      <c r="L223" s="3">
        <v>18375</v>
      </c>
      <c r="M223" s="5">
        <v>82.823824444556394</v>
      </c>
      <c r="N223" s="8">
        <v>3.4176870748299316E-2</v>
      </c>
      <c r="O223" s="3">
        <v>40.824999999999996</v>
      </c>
      <c r="P223" s="5">
        <v>351.52710010906668</v>
      </c>
      <c r="Q223" s="3">
        <v>0.23</v>
      </c>
      <c r="R223" s="12">
        <f t="shared" si="32"/>
        <v>1.7576355005453335E-3</v>
      </c>
      <c r="V223" s="3">
        <f t="shared" si="30"/>
        <v>0.31408995775659643</v>
      </c>
      <c r="W223" s="3">
        <f t="shared" si="33"/>
        <v>1.3656085119852017</v>
      </c>
      <c r="Y223" s="3">
        <f t="shared" si="31"/>
        <v>0.31413205538054811</v>
      </c>
      <c r="Z223" s="3">
        <f t="shared" si="34"/>
        <v>1.3657915451328178</v>
      </c>
      <c r="AB223" s="3">
        <f>$AC$2*($AC$3+$AC$4*$F223/($N223*'Dataset sem TS MC2020'!P215))*($AC$5*$G223+$AC$6*$B223/$N223)*'Dataset sem TS MC2020'!R215*($J223-$M223)/($J223-$M223-$H223)</f>
        <v>0.30100140262373098</v>
      </c>
      <c r="AC223" s="3">
        <f t="shared" si="35"/>
        <v>1.3087017505379608</v>
      </c>
      <c r="AD223" s="16">
        <f t="shared" si="36"/>
        <v>7.1001402623730975E-2</v>
      </c>
      <c r="AE223" s="17">
        <f t="shared" si="37"/>
        <v>0.76411604064022653</v>
      </c>
      <c r="AF223" s="17">
        <f>AB223*(14.068*'Dataset sem TS MC2020'!$P215^-0.457)/$Q223</f>
        <v>1.2235894269074838</v>
      </c>
      <c r="AG223" s="17"/>
      <c r="AO223" s="3">
        <f>$AP$2*($AP$3+$AP$4*$F223/($N223*'Dataset sem TS MC2020'!P215))*($AP$5*$G223+$AP$6*$B223/$N223)*('Dataset sem TS MC2020'!P215^$AP$7/200000)*($J223-$M223)/($J223-$M223-$H223)+('Dataset sem TS MC2020'!P215-$C223/$AP$8)*($AP$5*$G223+$AP$6*$B223/$N223)/200000</f>
        <v>0.30579011976453535</v>
      </c>
      <c r="AP223" s="3">
        <f t="shared" si="38"/>
        <v>1.3295222598458059</v>
      </c>
      <c r="AQ223" s="16">
        <f t="shared" si="39"/>
        <v>7.5790119764535341E-2</v>
      </c>
    </row>
    <row r="224" spans="1:43" x14ac:dyDescent="0.3">
      <c r="B224" s="4">
        <v>20</v>
      </c>
      <c r="C224" s="5">
        <v>528</v>
      </c>
      <c r="D224" s="5">
        <v>2</v>
      </c>
      <c r="E224" s="4">
        <v>44</v>
      </c>
      <c r="F224" s="3">
        <v>3.42</v>
      </c>
      <c r="G224" s="4">
        <v>25</v>
      </c>
      <c r="H224" s="4">
        <v>35</v>
      </c>
      <c r="I224" s="1">
        <v>150</v>
      </c>
      <c r="J224" s="4">
        <v>235</v>
      </c>
      <c r="K224" s="5">
        <v>628</v>
      </c>
      <c r="L224" s="3">
        <v>18375</v>
      </c>
      <c r="M224" s="5">
        <v>82.823824444556394</v>
      </c>
      <c r="N224" s="8">
        <v>3.4176870748299316E-2</v>
      </c>
      <c r="O224" s="3">
        <v>46</v>
      </c>
      <c r="P224" s="5">
        <v>411.80248864270709</v>
      </c>
      <c r="Q224" s="3">
        <v>0.25</v>
      </c>
      <c r="R224" s="12">
        <f t="shared" si="32"/>
        <v>2.0590124432135356E-3</v>
      </c>
      <c r="V224" s="3">
        <f t="shared" si="30"/>
        <v>0.34630643132463557</v>
      </c>
      <c r="W224" s="3">
        <f t="shared" si="33"/>
        <v>1.3852257252985423</v>
      </c>
      <c r="Y224" s="3">
        <f t="shared" si="31"/>
        <v>0.34695631255614168</v>
      </c>
      <c r="Z224" s="3">
        <f t="shared" si="34"/>
        <v>1.3878252502245667</v>
      </c>
      <c r="AB224" s="3">
        <f>$AC$2*($AC$3+$AC$4*$F224/($N224*'Dataset sem TS MC2020'!P216))*($AC$5*$G224+$AC$6*$B224/$N224)*'Dataset sem TS MC2020'!R216*($J224-$M224)/($J224-$M224-$H224)</f>
        <v>0.34559439339962933</v>
      </c>
      <c r="AC224" s="3">
        <f t="shared" si="35"/>
        <v>1.3823775735985173</v>
      </c>
      <c r="AD224" s="16">
        <f t="shared" si="36"/>
        <v>9.5594393399629329E-2</v>
      </c>
      <c r="AE224" s="17">
        <f t="shared" si="37"/>
        <v>0.72339136506451251</v>
      </c>
      <c r="AF224" s="17">
        <f>AB224*(14.068*'Dataset sem TS MC2020'!$P216^-0.457)/$Q224</f>
        <v>1.2238682072623257</v>
      </c>
      <c r="AG224" s="17"/>
      <c r="AO224" s="3">
        <f>$AP$2*($AP$3+$AP$4*$F224/($N224*'Dataset sem TS MC2020'!P216))*($AP$5*$G224+$AP$6*$B224/$N224)*('Dataset sem TS MC2020'!P216^$AP$7/200000)*($J224-$M224)/($J224-$M224-$H224)+('Dataset sem TS MC2020'!P216-$C224/$AP$8)*($AP$5*$G224+$AP$6*$B224/$N224)/200000</f>
        <v>0.3457336427001082</v>
      </c>
      <c r="AP224" s="3">
        <f t="shared" si="38"/>
        <v>1.3829345708004328</v>
      </c>
      <c r="AQ224" s="16">
        <f t="shared" si="39"/>
        <v>9.5733642700108201E-2</v>
      </c>
    </row>
    <row r="225" spans="1:43" x14ac:dyDescent="0.3">
      <c r="B225" s="4">
        <v>20</v>
      </c>
      <c r="C225" s="5">
        <v>528</v>
      </c>
      <c r="D225" s="5">
        <v>2</v>
      </c>
      <c r="E225" s="4">
        <v>44</v>
      </c>
      <c r="F225" s="3">
        <v>3.42</v>
      </c>
      <c r="G225" s="4">
        <v>25</v>
      </c>
      <c r="H225" s="4">
        <v>35</v>
      </c>
      <c r="I225" s="1">
        <v>150</v>
      </c>
      <c r="J225" s="4">
        <v>235</v>
      </c>
      <c r="K225" s="5">
        <v>628</v>
      </c>
      <c r="L225" s="3">
        <v>18375</v>
      </c>
      <c r="M225" s="5">
        <v>82.823824444556394</v>
      </c>
      <c r="N225" s="8">
        <v>3.4176870748299316E-2</v>
      </c>
      <c r="O225" s="3">
        <v>56.924999999999997</v>
      </c>
      <c r="P225" s="5">
        <v>525.80672936787971</v>
      </c>
      <c r="Q225" s="3">
        <v>0.25</v>
      </c>
      <c r="R225" s="12">
        <f t="shared" si="32"/>
        <v>2.6290336468393987E-3</v>
      </c>
      <c r="V225" s="3">
        <f t="shared" si="30"/>
        <v>0.40266806971119901</v>
      </c>
      <c r="W225" s="3">
        <f t="shared" si="33"/>
        <v>1.610672278844796</v>
      </c>
      <c r="Y225" s="3">
        <f t="shared" si="31"/>
        <v>0.40450969805738524</v>
      </c>
      <c r="Z225" s="3">
        <f t="shared" si="34"/>
        <v>1.6180387922295409</v>
      </c>
      <c r="AB225" s="3">
        <f>$AC$2*($AC$3+$AC$4*$F225/($N225*'Dataset sem TS MC2020'!P217))*($AC$5*$G225+$AC$6*$B225/$N225)*'Dataset sem TS MC2020'!R217*($J225-$M225)/($J225-$M225-$H225)</f>
        <v>0.43973515170430333</v>
      </c>
      <c r="AC225" s="3">
        <f t="shared" si="35"/>
        <v>1.7589406068172133</v>
      </c>
      <c r="AD225" s="16">
        <f t="shared" si="36"/>
        <v>0.18973515170430333</v>
      </c>
      <c r="AE225" s="17">
        <f t="shared" si="37"/>
        <v>0.56852402868195229</v>
      </c>
      <c r="AF225" s="17">
        <f>AB225*(14.068*'Dataset sem TS MC2020'!$P217^-0.457)/$Q225</f>
        <v>1.4127521886822008</v>
      </c>
      <c r="AG225" s="17"/>
      <c r="AO225" s="3">
        <f>$AP$2*($AP$3+$AP$4*$F225/($N225*'Dataset sem TS MC2020'!P217))*($AP$5*$G225+$AP$6*$B225/$N225)*('Dataset sem TS MC2020'!P217^$AP$7/200000)*($J225-$M225)/($J225-$M225-$H225)+('Dataset sem TS MC2020'!P217-$C225/$AP$8)*($AP$5*$G225+$AP$6*$B225/$N225)/200000</f>
        <v>0.42736796480148681</v>
      </c>
      <c r="AP225" s="3">
        <f t="shared" si="38"/>
        <v>1.7094718592059472</v>
      </c>
      <c r="AQ225" s="16">
        <f t="shared" si="39"/>
        <v>0.17736796480148681</v>
      </c>
    </row>
    <row r="226" spans="1:43" x14ac:dyDescent="0.3">
      <c r="A226" s="1" t="s">
        <v>51</v>
      </c>
      <c r="B226" s="4">
        <v>20</v>
      </c>
      <c r="C226" s="5">
        <v>528</v>
      </c>
      <c r="D226" s="5">
        <v>3</v>
      </c>
      <c r="E226" s="4">
        <v>12</v>
      </c>
      <c r="F226" s="3">
        <v>3.42</v>
      </c>
      <c r="G226" s="4">
        <v>25</v>
      </c>
      <c r="H226" s="4">
        <v>35</v>
      </c>
      <c r="I226" s="1">
        <v>150</v>
      </c>
      <c r="J226" s="4">
        <v>235</v>
      </c>
      <c r="K226" s="5">
        <v>942</v>
      </c>
      <c r="L226" s="3">
        <v>18375</v>
      </c>
      <c r="M226" s="5">
        <v>95.701732145716321</v>
      </c>
      <c r="N226" s="8">
        <v>5.1265306122448978E-2</v>
      </c>
      <c r="O226" s="3">
        <v>39.099999999999994</v>
      </c>
      <c r="P226" s="5">
        <v>203.40215798464635</v>
      </c>
      <c r="Q226" s="3">
        <v>0.18</v>
      </c>
      <c r="R226" s="12">
        <f t="shared" si="32"/>
        <v>1.0170107899232317E-3</v>
      </c>
      <c r="V226" s="3">
        <f t="shared" si="30"/>
        <v>0.18919609149957287</v>
      </c>
      <c r="W226" s="3">
        <f t="shared" si="33"/>
        <v>1.0510893972198494</v>
      </c>
      <c r="Y226" s="3">
        <f t="shared" si="31"/>
        <v>0.19163258688014842</v>
      </c>
      <c r="Z226" s="3">
        <f t="shared" si="34"/>
        <v>1.0646254826674912</v>
      </c>
      <c r="AB226" s="3">
        <f>$AC$2*($AC$3+$AC$4*$F226/($N226*'Dataset sem TS MC2020'!P218))*($AC$5*$G226+$AC$6*$B226/$N226)*'Dataset sem TS MC2020'!R218*($J226-$M226)/($J226-$M226-$H226)</f>
        <v>0.15039211560330235</v>
      </c>
      <c r="AC226" s="3">
        <f t="shared" si="35"/>
        <v>0.83551175335167971</v>
      </c>
      <c r="AD226" s="16">
        <f t="shared" si="36"/>
        <v>-2.9607884396697648E-2</v>
      </c>
      <c r="AE226" s="17">
        <f t="shared" si="37"/>
        <v>1.1968712540409765</v>
      </c>
      <c r="AF226" s="17">
        <f>AB226*(14.068*'Dataset sem TS MC2020'!$P218^-0.457)/$Q226</f>
        <v>0.94794943275483334</v>
      </c>
      <c r="AG226" s="17"/>
      <c r="AO226" s="3">
        <f>$AP$2*($AP$3+$AP$4*$F226/($N226*'Dataset sem TS MC2020'!P218))*($AP$5*$G226+$AP$6*$B226/$N226)*('Dataset sem TS MC2020'!P218^$AP$7/200000)*($J226-$M226)/($J226-$M226-$H226)+('Dataset sem TS MC2020'!P218-$C226/$AP$8)*($AP$5*$G226+$AP$6*$B226/$N226)/200000</f>
        <v>0.15779083010307984</v>
      </c>
      <c r="AP226" s="3">
        <f t="shared" si="38"/>
        <v>0.87661572279488809</v>
      </c>
      <c r="AQ226" s="16">
        <f t="shared" si="39"/>
        <v>-2.220916989692015E-2</v>
      </c>
    </row>
    <row r="227" spans="1:43" x14ac:dyDescent="0.3">
      <c r="B227" s="4">
        <v>20</v>
      </c>
      <c r="C227" s="5">
        <v>528</v>
      </c>
      <c r="D227" s="5">
        <v>3</v>
      </c>
      <c r="E227" s="4">
        <v>12</v>
      </c>
      <c r="F227" s="3">
        <v>3.42</v>
      </c>
      <c r="G227" s="4">
        <v>25</v>
      </c>
      <c r="H227" s="4">
        <v>35</v>
      </c>
      <c r="I227" s="1">
        <v>150</v>
      </c>
      <c r="J227" s="4">
        <v>235</v>
      </c>
      <c r="K227" s="5">
        <v>942</v>
      </c>
      <c r="L227" s="3">
        <v>18375</v>
      </c>
      <c r="M227" s="5">
        <v>95.701732145716321</v>
      </c>
      <c r="N227" s="8">
        <v>5.1265306122448978E-2</v>
      </c>
      <c r="O227" s="3">
        <v>44.849999999999994</v>
      </c>
      <c r="P227" s="5">
        <v>246.64112990116564</v>
      </c>
      <c r="Q227" s="3">
        <v>0.19</v>
      </c>
      <c r="R227" s="12">
        <f t="shared" si="32"/>
        <v>1.2332056495058283E-3</v>
      </c>
      <c r="V227" s="3">
        <f t="shared" si="30"/>
        <v>0.2130890810050326</v>
      </c>
      <c r="W227" s="3">
        <f t="shared" si="33"/>
        <v>1.1215214789738557</v>
      </c>
      <c r="Y227" s="3">
        <f t="shared" si="31"/>
        <v>0.21629137809883828</v>
      </c>
      <c r="Z227" s="3">
        <f t="shared" si="34"/>
        <v>1.138375674204412</v>
      </c>
      <c r="AB227" s="3">
        <f>$AC$2*($AC$3+$AC$4*$F227/($N227*'Dataset sem TS MC2020'!P219))*($AC$5*$G227+$AC$6*$B227/$N227)*'Dataset sem TS MC2020'!R219*($J227-$M227)/($J227-$M227-$H227)</f>
        <v>0.17631956610148206</v>
      </c>
      <c r="AC227" s="3">
        <f t="shared" si="35"/>
        <v>0.92799771632358974</v>
      </c>
      <c r="AD227" s="16">
        <f t="shared" si="36"/>
        <v>-1.3680433898517946E-2</v>
      </c>
      <c r="AE227" s="17">
        <f t="shared" si="37"/>
        <v>1.0775888586899316</v>
      </c>
      <c r="AF227" s="17">
        <f>AB227*(14.068*'Dataset sem TS MC2020'!$P219^-0.457)/$Q227</f>
        <v>0.98889197964870212</v>
      </c>
      <c r="AG227" s="17"/>
      <c r="AO227" s="3">
        <f>$AP$2*($AP$3+$AP$4*$F227/($N227*'Dataset sem TS MC2020'!P219))*($AP$5*$G227+$AP$6*$B227/$N227)*('Dataset sem TS MC2020'!P219^$AP$7/200000)*($J227-$M227)/($J227-$M227-$H227)+('Dataset sem TS MC2020'!P219-$C227/$AP$8)*($AP$5*$G227+$AP$6*$B227/$N227)/200000</f>
        <v>0.18221509618973664</v>
      </c>
      <c r="AP227" s="3">
        <f t="shared" si="38"/>
        <v>0.95902682205124545</v>
      </c>
      <c r="AQ227" s="16">
        <f t="shared" si="39"/>
        <v>-7.7849038102633661E-3</v>
      </c>
    </row>
    <row r="228" spans="1:43" x14ac:dyDescent="0.3">
      <c r="B228" s="4">
        <v>20</v>
      </c>
      <c r="C228" s="5">
        <v>528</v>
      </c>
      <c r="D228" s="5">
        <v>3</v>
      </c>
      <c r="E228" s="4">
        <v>12</v>
      </c>
      <c r="F228" s="3">
        <v>3.42</v>
      </c>
      <c r="G228" s="4">
        <v>25</v>
      </c>
      <c r="H228" s="4">
        <v>35</v>
      </c>
      <c r="I228" s="1">
        <v>150</v>
      </c>
      <c r="J228" s="4">
        <v>235</v>
      </c>
      <c r="K228" s="5">
        <v>942</v>
      </c>
      <c r="L228" s="3">
        <v>18375</v>
      </c>
      <c r="M228" s="5">
        <v>95.701732145716321</v>
      </c>
      <c r="N228" s="8">
        <v>5.1265306122448978E-2</v>
      </c>
      <c r="O228" s="3">
        <v>50.024999999999999</v>
      </c>
      <c r="P228" s="5">
        <v>285.55620462603298</v>
      </c>
      <c r="Q228" s="3">
        <v>0.21</v>
      </c>
      <c r="R228" s="12">
        <f t="shared" si="32"/>
        <v>1.4277810231301648E-3</v>
      </c>
      <c r="V228" s="3">
        <f t="shared" si="30"/>
        <v>0.23324830688474291</v>
      </c>
      <c r="W228" s="3">
        <f t="shared" si="33"/>
        <v>1.1107062232606806</v>
      </c>
      <c r="Y228" s="3">
        <f t="shared" si="31"/>
        <v>0.23713540399265404</v>
      </c>
      <c r="Z228" s="3">
        <f t="shared" si="34"/>
        <v>1.1292162094888287</v>
      </c>
      <c r="AB228" s="3">
        <f>$AC$2*($AC$3+$AC$4*$F228/($N228*'Dataset sem TS MC2020'!P220))*($AC$5*$G228+$AC$6*$B228/$N228)*'Dataset sem TS MC2020'!R220*($J228-$M228)/($J228-$M228-$H228)</f>
        <v>0.1996542715498438</v>
      </c>
      <c r="AC228" s="3">
        <f t="shared" si="35"/>
        <v>0.95073462642782769</v>
      </c>
      <c r="AD228" s="16">
        <f t="shared" si="36"/>
        <v>-1.0345728450156189E-2</v>
      </c>
      <c r="AE228" s="17">
        <f t="shared" si="37"/>
        <v>1.0518182174107573</v>
      </c>
      <c r="AF228" s="17">
        <f>AB228*(14.068*'Dataset sem TS MC2020'!$P220^-0.457)/$Q228</f>
        <v>0.96380282205216872</v>
      </c>
      <c r="AG228" s="17"/>
      <c r="AO228" s="3">
        <f>$AP$2*($AP$3+$AP$4*$F228/($N228*'Dataset sem TS MC2020'!P220))*($AP$5*$G228+$AP$6*$B228/$N228)*('Dataset sem TS MC2020'!P220^$AP$7/200000)*($J228-$M228)/($J228-$M228-$H228)+('Dataset sem TS MC2020'!P220-$C228/$AP$8)*($AP$5*$G228+$AP$6*$B228/$N228)/200000</f>
        <v>0.20367774179366946</v>
      </c>
      <c r="AP228" s="3">
        <f t="shared" si="38"/>
        <v>0.96989400854128316</v>
      </c>
      <c r="AQ228" s="16">
        <f t="shared" si="39"/>
        <v>-6.3222582063305333E-3</v>
      </c>
    </row>
    <row r="229" spans="1:43" x14ac:dyDescent="0.3">
      <c r="B229" s="4">
        <v>20</v>
      </c>
      <c r="C229" s="5">
        <v>528</v>
      </c>
      <c r="D229" s="5">
        <v>3</v>
      </c>
      <c r="E229" s="4">
        <v>12</v>
      </c>
      <c r="F229" s="3">
        <v>3.42</v>
      </c>
      <c r="G229" s="4">
        <v>25</v>
      </c>
      <c r="H229" s="4">
        <v>35</v>
      </c>
      <c r="I229" s="1">
        <v>150</v>
      </c>
      <c r="J229" s="4">
        <v>235</v>
      </c>
      <c r="K229" s="5">
        <v>942</v>
      </c>
      <c r="L229" s="3">
        <v>18375</v>
      </c>
      <c r="M229" s="5">
        <v>95.701732145716321</v>
      </c>
      <c r="N229" s="8">
        <v>5.1265306122448978E-2</v>
      </c>
      <c r="O229" s="3">
        <v>56.349999999999994</v>
      </c>
      <c r="P229" s="5">
        <v>333.11907373420411</v>
      </c>
      <c r="Q229" s="3">
        <v>0.23</v>
      </c>
      <c r="R229" s="12">
        <f t="shared" si="32"/>
        <v>1.6655953686710205E-3</v>
      </c>
      <c r="V229" s="3">
        <f t="shared" si="30"/>
        <v>0.25650785781651031</v>
      </c>
      <c r="W229" s="3">
        <f t="shared" si="33"/>
        <v>1.1152515557239577</v>
      </c>
      <c r="Y229" s="3">
        <f t="shared" si="31"/>
        <v>0.26122489247513225</v>
      </c>
      <c r="Z229" s="3">
        <f t="shared" si="34"/>
        <v>1.1357604020657923</v>
      </c>
      <c r="AB229" s="3">
        <f>$AC$2*($AC$3+$AC$4*$F229/($N229*'Dataset sem TS MC2020'!P221))*($AC$5*$G229+$AC$6*$B229/$N229)*'Dataset sem TS MC2020'!R221*($J229-$M229)/($J229-$M229-$H229)</f>
        <v>0.22817446709784139</v>
      </c>
      <c r="AC229" s="3">
        <f t="shared" si="35"/>
        <v>0.99206290042539735</v>
      </c>
      <c r="AD229" s="16">
        <f t="shared" si="36"/>
        <v>-1.8255329021586164E-3</v>
      </c>
      <c r="AE229" s="17">
        <f t="shared" si="37"/>
        <v>1.0080006011425275</v>
      </c>
      <c r="AF229" s="17">
        <f>AB229*(14.068*'Dataset sem TS MC2020'!$P221^-0.457)/$Q229</f>
        <v>0.95244097916320525</v>
      </c>
      <c r="AG229" s="17"/>
      <c r="AO229" s="3">
        <f>$AP$2*($AP$3+$AP$4*$F229/($N229*'Dataset sem TS MC2020'!P221))*($AP$5*$G229+$AP$6*$B229/$N229)*('Dataset sem TS MC2020'!P221^$AP$7/200000)*($J229-$M229)/($J229-$M229-$H229)+('Dataset sem TS MC2020'!P221-$C229/$AP$8)*($AP$5*$G229+$AP$6*$B229/$N229)/200000</f>
        <v>0.22934169693423956</v>
      </c>
      <c r="AP229" s="3">
        <f t="shared" si="38"/>
        <v>0.9971378127575633</v>
      </c>
      <c r="AQ229" s="16">
        <f t="shared" si="39"/>
        <v>-6.5830306576045161E-4</v>
      </c>
    </row>
    <row r="230" spans="1:43" x14ac:dyDescent="0.3">
      <c r="B230" s="4">
        <v>20</v>
      </c>
      <c r="C230" s="5">
        <v>528</v>
      </c>
      <c r="D230" s="5">
        <v>3</v>
      </c>
      <c r="E230" s="4">
        <v>12</v>
      </c>
      <c r="F230" s="3">
        <v>3.42</v>
      </c>
      <c r="G230" s="4">
        <v>25</v>
      </c>
      <c r="H230" s="4">
        <v>35</v>
      </c>
      <c r="I230" s="1">
        <v>150</v>
      </c>
      <c r="J230" s="4">
        <v>235</v>
      </c>
      <c r="K230" s="5">
        <v>942</v>
      </c>
      <c r="L230" s="3">
        <v>18375</v>
      </c>
      <c r="M230" s="5">
        <v>95.701732145716321</v>
      </c>
      <c r="N230" s="8">
        <v>5.1265306122448978E-2</v>
      </c>
      <c r="O230" s="3">
        <v>62.674999999999997</v>
      </c>
      <c r="P230" s="5">
        <v>380.68194284237535</v>
      </c>
      <c r="Q230" s="3">
        <v>0.25</v>
      </c>
      <c r="R230" s="12">
        <f t="shared" si="32"/>
        <v>1.9034097142118767E-3</v>
      </c>
      <c r="V230" s="3">
        <f t="shared" si="30"/>
        <v>0.27852469484067688</v>
      </c>
      <c r="W230" s="3">
        <f t="shared" si="33"/>
        <v>1.1140987793627075</v>
      </c>
      <c r="Y230" s="3">
        <f t="shared" si="31"/>
        <v>0.28406333594905098</v>
      </c>
      <c r="Z230" s="3">
        <f t="shared" si="34"/>
        <v>1.1362533437962039</v>
      </c>
      <c r="AB230" s="3">
        <f>$AC$2*($AC$3+$AC$4*$F230/($N230*'Dataset sem TS MC2020'!P222))*($AC$5*$G230+$AC$6*$B230/$N230)*'Dataset sem TS MC2020'!R222*($J230-$M230)/($J230-$M230-$H230)</f>
        <v>0.25669466264583907</v>
      </c>
      <c r="AC230" s="3">
        <f t="shared" si="35"/>
        <v>1.0267786505833563</v>
      </c>
      <c r="AD230" s="16">
        <f t="shared" si="36"/>
        <v>6.6946626458390668E-3</v>
      </c>
      <c r="AE230" s="17">
        <f t="shared" si="37"/>
        <v>0.97391974349277499</v>
      </c>
      <c r="AF230" s="17">
        <f>AB230*(14.068*'Dataset sem TS MC2020'!$P222^-0.457)/$Q230</f>
        <v>0.93899245135913956</v>
      </c>
      <c r="AG230" s="17"/>
      <c r="AO230" s="3">
        <f>$AP$2*($AP$3+$AP$4*$F230/($N230*'Dataset sem TS MC2020'!P222))*($AP$5*$G230+$AP$6*$B230/$N230)*('Dataset sem TS MC2020'!P222^$AP$7/200000)*($J230-$M230)/($J230-$M230-$H230)+('Dataset sem TS MC2020'!P222-$C230/$AP$8)*($AP$5*$G230+$AP$6*$B230/$N230)/200000</f>
        <v>0.254466035040815</v>
      </c>
      <c r="AP230" s="3">
        <f t="shared" si="38"/>
        <v>1.01786414016326</v>
      </c>
      <c r="AQ230" s="16">
        <f t="shared" si="39"/>
        <v>4.4660350408149974E-3</v>
      </c>
    </row>
    <row r="231" spans="1:43" x14ac:dyDescent="0.3">
      <c r="B231" s="4">
        <v>20</v>
      </c>
      <c r="C231" s="5">
        <v>528</v>
      </c>
      <c r="D231" s="5">
        <v>3</v>
      </c>
      <c r="E231" s="4">
        <v>12</v>
      </c>
      <c r="F231" s="3">
        <v>3.42</v>
      </c>
      <c r="G231" s="4">
        <v>25</v>
      </c>
      <c r="H231" s="4">
        <v>35</v>
      </c>
      <c r="I231" s="1">
        <v>150</v>
      </c>
      <c r="J231" s="4">
        <v>235</v>
      </c>
      <c r="K231" s="5">
        <v>942</v>
      </c>
      <c r="L231" s="3">
        <v>18375</v>
      </c>
      <c r="M231" s="5">
        <v>95.701732145716321</v>
      </c>
      <c r="N231" s="8">
        <v>5.1265306122448978E-2</v>
      </c>
      <c r="O231" s="3">
        <v>68.424999999999997</v>
      </c>
      <c r="P231" s="5">
        <v>423.92091475889458</v>
      </c>
      <c r="Q231" s="3">
        <v>0.28999999999999998</v>
      </c>
      <c r="R231" s="12">
        <f t="shared" si="32"/>
        <v>2.1196045737944731E-3</v>
      </c>
      <c r="V231" s="3">
        <f t="shared" si="30"/>
        <v>0.29764016089866291</v>
      </c>
      <c r="W231" s="3">
        <f t="shared" si="33"/>
        <v>1.0263453824091826</v>
      </c>
      <c r="Y231" s="3">
        <f t="shared" si="31"/>
        <v>0.30391837240716807</v>
      </c>
      <c r="Z231" s="3">
        <f t="shared" si="34"/>
        <v>1.0479943876109243</v>
      </c>
      <c r="AB231" s="3">
        <f>$AC$2*($AC$3+$AC$4*$F231/($N231*'Dataset sem TS MC2020'!P223))*($AC$5*$G231+$AC$6*$B231/$N231)*'Dataset sem TS MC2020'!R223*($J231-$M231)/($J231-$M231-$H231)</f>
        <v>0.28262211314401881</v>
      </c>
      <c r="AC231" s="3">
        <f t="shared" si="35"/>
        <v>0.97455901084144425</v>
      </c>
      <c r="AD231" s="16">
        <f t="shared" si="36"/>
        <v>-7.377886855981175E-3</v>
      </c>
      <c r="AE231" s="17">
        <f t="shared" si="37"/>
        <v>1.0261051294744992</v>
      </c>
      <c r="AF231" s="17">
        <f>AB231*(14.068*'Dataset sem TS MC2020'!$P223^-0.457)/$Q231</f>
        <v>0.85619435576322855</v>
      </c>
      <c r="AG231" s="17"/>
      <c r="AO231" s="3">
        <f>$AP$2*($AP$3+$AP$4*$F231/($N231*'Dataset sem TS MC2020'!P223))*($AP$5*$G231+$AP$6*$B231/$N231)*('Dataset sem TS MC2020'!P223^$AP$7/200000)*($J231-$M231)/($J231-$M231-$H231)+('Dataset sem TS MC2020'!P223-$C231/$AP$8)*($AP$5*$G231+$AP$6*$B231/$N231)/200000</f>
        <v>0.27689748398149833</v>
      </c>
      <c r="AP231" s="3">
        <f t="shared" si="38"/>
        <v>0.95481891028102883</v>
      </c>
      <c r="AQ231" s="16">
        <f t="shared" si="39"/>
        <v>-1.3102516018501653E-2</v>
      </c>
    </row>
    <row r="232" spans="1:43" x14ac:dyDescent="0.3">
      <c r="B232" s="4">
        <v>20</v>
      </c>
      <c r="C232" s="5">
        <v>528</v>
      </c>
      <c r="D232" s="5">
        <v>3</v>
      </c>
      <c r="E232" s="4">
        <v>12</v>
      </c>
      <c r="F232" s="3">
        <v>3.42</v>
      </c>
      <c r="G232" s="4">
        <v>25</v>
      </c>
      <c r="H232" s="4">
        <v>35</v>
      </c>
      <c r="I232" s="1">
        <v>150</v>
      </c>
      <c r="J232" s="4">
        <v>235</v>
      </c>
      <c r="K232" s="5">
        <v>942</v>
      </c>
      <c r="L232" s="3">
        <v>18375</v>
      </c>
      <c r="M232" s="5">
        <v>95.701732145716321</v>
      </c>
      <c r="N232" s="8">
        <v>5.1265306122448978E-2</v>
      </c>
      <c r="O232" s="3">
        <v>74.174999999999997</v>
      </c>
      <c r="P232" s="5">
        <v>467.15988667541376</v>
      </c>
      <c r="Q232" s="3">
        <v>0.31</v>
      </c>
      <c r="R232" s="12">
        <f t="shared" si="32"/>
        <v>2.335799433377069E-3</v>
      </c>
      <c r="V232" s="3">
        <f t="shared" si="30"/>
        <v>0.31602178588390983</v>
      </c>
      <c r="W232" s="3">
        <f t="shared" si="33"/>
        <v>1.0194251157545478</v>
      </c>
      <c r="Y232" s="3">
        <f t="shared" si="31"/>
        <v>0.32303266091137955</v>
      </c>
      <c r="Z232" s="3">
        <f t="shared" si="34"/>
        <v>1.0420408416496114</v>
      </c>
      <c r="AB232" s="3">
        <f>$AC$2*($AC$3+$AC$4*$F232/($N232*'Dataset sem TS MC2020'!P224))*($AC$5*$G232+$AC$6*$B232/$N232)*'Dataset sem TS MC2020'!R224*($J232-$M232)/($J232-$M232-$H232)</f>
        <v>0.30854956364219849</v>
      </c>
      <c r="AC232" s="3">
        <f t="shared" si="35"/>
        <v>0.99532117303934997</v>
      </c>
      <c r="AD232" s="16">
        <f t="shared" si="36"/>
        <v>-1.45043635780151E-3</v>
      </c>
      <c r="AE232" s="17">
        <f t="shared" si="37"/>
        <v>1.004700821290039</v>
      </c>
      <c r="AF232" s="17">
        <f>AB232*(14.068*'Dataset sem TS MC2020'!$P224^-0.457)/$Q232</f>
        <v>0.84277748663801921</v>
      </c>
      <c r="AG232" s="17"/>
      <c r="AO232" s="3">
        <f>$AP$2*($AP$3+$AP$4*$F232/($N232*'Dataset sem TS MC2020'!P224))*($AP$5*$G232+$AP$6*$B232/$N232)*('Dataset sem TS MC2020'!P224^$AP$7/200000)*($J232-$M232)/($J232-$M232-$H232)+('Dataset sem TS MC2020'!P224-$C232/$AP$8)*($AP$5*$G232+$AP$6*$B232/$N232)/200000</f>
        <v>0.29898294804812542</v>
      </c>
      <c r="AP232" s="3">
        <f t="shared" si="38"/>
        <v>0.96446112273588847</v>
      </c>
      <c r="AQ232" s="16">
        <f t="shared" si="39"/>
        <v>-1.1017051951874579E-2</v>
      </c>
    </row>
    <row r="233" spans="1:43" x14ac:dyDescent="0.3">
      <c r="B233" s="4">
        <v>20</v>
      </c>
      <c r="C233" s="5">
        <v>528</v>
      </c>
      <c r="D233" s="5">
        <v>3</v>
      </c>
      <c r="E233" s="4">
        <v>12</v>
      </c>
      <c r="F233" s="3">
        <v>3.42</v>
      </c>
      <c r="G233" s="4">
        <v>25</v>
      </c>
      <c r="H233" s="4">
        <v>35</v>
      </c>
      <c r="I233" s="1">
        <v>150</v>
      </c>
      <c r="J233" s="4">
        <v>235</v>
      </c>
      <c r="K233" s="5">
        <v>942</v>
      </c>
      <c r="L233" s="3">
        <v>18375</v>
      </c>
      <c r="M233" s="5">
        <v>95.701732145716321</v>
      </c>
      <c r="N233" s="8">
        <v>5.1265306122448978E-2</v>
      </c>
      <c r="O233" s="3">
        <v>79.349999999999994</v>
      </c>
      <c r="P233" s="5">
        <v>501.10623509507292</v>
      </c>
      <c r="Q233" s="3">
        <v>0.37</v>
      </c>
      <c r="R233" s="12">
        <f t="shared" si="32"/>
        <v>2.5055311754753648E-3</v>
      </c>
      <c r="V233" s="3">
        <f t="shared" si="30"/>
        <v>0.32999964505085183</v>
      </c>
      <c r="W233" s="3">
        <f t="shared" si="33"/>
        <v>0.89189093256986984</v>
      </c>
      <c r="Y233" s="3">
        <f t="shared" si="31"/>
        <v>0.3375809969807318</v>
      </c>
      <c r="Z233" s="3">
        <f t="shared" si="34"/>
        <v>0.91238107292089676</v>
      </c>
      <c r="AB233" s="3">
        <f>$AC$2*($AC$3+$AC$4*$F233/($N233*'Dataset sem TS MC2020'!P225))*($AC$5*$G233+$AC$6*$B233/$N233)*'Dataset sem TS MC2020'!R225*($J233-$M233)/($J233-$M233-$H233)</f>
        <v>0.33188426909056012</v>
      </c>
      <c r="AC233" s="3">
        <f t="shared" si="35"/>
        <v>0.89698451105556787</v>
      </c>
      <c r="AD233" s="16">
        <f t="shared" si="36"/>
        <v>-3.8115730909439871E-2</v>
      </c>
      <c r="AE233" s="17">
        <f t="shared" si="37"/>
        <v>1.1148464523910273</v>
      </c>
      <c r="AF233" s="17">
        <f>AB233*(14.068*'Dataset sem TS MC2020'!$P225^-0.457)/$Q233</f>
        <v>0.73646037009872856</v>
      </c>
      <c r="AG233" s="17"/>
      <c r="AO233" s="3">
        <f>$AP$2*($AP$3+$AP$4*$F233/($N233*'Dataset sem TS MC2020'!P225))*($AP$5*$G233+$AP$6*$B233/$N233)*('Dataset sem TS MC2020'!P225^$AP$7/200000)*($J233-$M233)/($J233-$M233-$H233)+('Dataset sem TS MC2020'!P225-$C233/$AP$8)*($AP$5*$G233+$AP$6*$B233/$N233)/200000</f>
        <v>0.31859242818433842</v>
      </c>
      <c r="AP233" s="3">
        <f t="shared" si="38"/>
        <v>0.86106061671442813</v>
      </c>
      <c r="AQ233" s="16">
        <f t="shared" si="39"/>
        <v>-5.1407571815661579E-2</v>
      </c>
    </row>
    <row r="234" spans="1:43" x14ac:dyDescent="0.3">
      <c r="A234" s="1" t="s">
        <v>52</v>
      </c>
      <c r="B234" s="4">
        <v>16</v>
      </c>
      <c r="C234" s="5">
        <v>528</v>
      </c>
      <c r="D234" s="5">
        <v>2</v>
      </c>
      <c r="E234" s="4">
        <v>52</v>
      </c>
      <c r="F234" s="3">
        <v>2.98</v>
      </c>
      <c r="G234" s="4">
        <v>27</v>
      </c>
      <c r="H234" s="4">
        <v>35</v>
      </c>
      <c r="I234" s="1">
        <v>150</v>
      </c>
      <c r="J234" s="4">
        <v>235</v>
      </c>
      <c r="K234" s="5">
        <v>402</v>
      </c>
      <c r="L234" s="3">
        <v>17250</v>
      </c>
      <c r="M234" s="5">
        <v>67.594050734713008</v>
      </c>
      <c r="N234" s="8">
        <v>2.3304347826086955E-2</v>
      </c>
      <c r="O234" s="3">
        <v>26.45</v>
      </c>
      <c r="P234" s="5">
        <v>338.45671348122494</v>
      </c>
      <c r="Q234" s="3">
        <v>0.16</v>
      </c>
      <c r="R234" s="12">
        <f t="shared" si="32"/>
        <v>1.6922835674061246E-3</v>
      </c>
      <c r="V234" s="3">
        <f t="shared" si="30"/>
        <v>0.30979953449565484</v>
      </c>
      <c r="W234" s="3">
        <f t="shared" si="33"/>
        <v>1.9362470905978426</v>
      </c>
      <c r="Y234" s="3">
        <f t="shared" si="31"/>
        <v>0.30674557928676371</v>
      </c>
      <c r="Z234" s="3">
        <f t="shared" si="34"/>
        <v>1.9171598705422732</v>
      </c>
      <c r="AB234" s="3">
        <f>$AC$2*($AC$3+$AC$4*$F234/($N234*'Dataset sem TS MC2020'!P226))*($AC$5*$G234+$AC$6*$B234/$N234)*'Dataset sem TS MC2020'!R226*($J234-$M234)/($J234-$M234-$H234)</f>
        <v>0.31498643455900172</v>
      </c>
      <c r="AC234" s="3">
        <f t="shared" si="35"/>
        <v>1.9686652159937608</v>
      </c>
      <c r="AD234" s="16">
        <f t="shared" si="36"/>
        <v>0.15498643455900171</v>
      </c>
      <c r="AE234" s="17">
        <f t="shared" si="37"/>
        <v>0.50795838310944652</v>
      </c>
      <c r="AF234" s="17">
        <f>AB234*(14.068*'Dataset sem TS MC2020'!$P226^-0.457)/$Q234</f>
        <v>1.8549644525908326</v>
      </c>
      <c r="AG234" s="17"/>
      <c r="AO234" s="3">
        <f>$AP$2*($AP$3+$AP$4*$F234/($N234*'Dataset sem TS MC2020'!P226))*($AP$5*$G234+$AP$6*$B234/$N234)*('Dataset sem TS MC2020'!P226^$AP$7/200000)*($J234-$M234)/($J234-$M234-$H234)+('Dataset sem TS MC2020'!P226-$C234/$AP$8)*($AP$5*$G234+$AP$6*$B234/$N234)/200000</f>
        <v>0.32186001999814456</v>
      </c>
      <c r="AP234" s="3">
        <f t="shared" si="38"/>
        <v>2.0116251249884036</v>
      </c>
      <c r="AQ234" s="16">
        <f t="shared" si="39"/>
        <v>0.16186001999814456</v>
      </c>
    </row>
    <row r="235" spans="1:43" x14ac:dyDescent="0.3">
      <c r="B235" s="4">
        <v>16</v>
      </c>
      <c r="C235" s="5">
        <v>528</v>
      </c>
      <c r="D235" s="5">
        <v>2</v>
      </c>
      <c r="E235" s="4">
        <v>52</v>
      </c>
      <c r="F235" s="3">
        <v>2.98</v>
      </c>
      <c r="G235" s="4">
        <v>27</v>
      </c>
      <c r="H235" s="4">
        <v>35</v>
      </c>
      <c r="I235" s="1">
        <v>150</v>
      </c>
      <c r="J235" s="4">
        <v>235</v>
      </c>
      <c r="K235" s="5">
        <v>402</v>
      </c>
      <c r="L235" s="3">
        <v>17250</v>
      </c>
      <c r="M235" s="5">
        <v>67.594050734713008</v>
      </c>
      <c r="N235" s="8">
        <v>2.3304347826086955E-2</v>
      </c>
      <c r="O235" s="3">
        <v>31.624999999999996</v>
      </c>
      <c r="P235" s="5">
        <v>433.44874130170848</v>
      </c>
      <c r="Q235" s="3">
        <v>0.2</v>
      </c>
      <c r="R235" s="12">
        <f t="shared" si="32"/>
        <v>2.1672437065085423E-3</v>
      </c>
      <c r="V235" s="3">
        <f t="shared" si="30"/>
        <v>0.36088424045635997</v>
      </c>
      <c r="W235" s="3">
        <f t="shared" si="33"/>
        <v>1.8044212022817998</v>
      </c>
      <c r="Y235" s="3">
        <f t="shared" si="31"/>
        <v>0.35830036418237415</v>
      </c>
      <c r="Z235" s="3">
        <f t="shared" si="34"/>
        <v>1.7915018209118707</v>
      </c>
      <c r="AB235" s="3">
        <f>$AC$2*($AC$3+$AC$4*$F235/($N235*'Dataset sem TS MC2020'!P227))*($AC$5*$G235+$AC$6*$B235/$N235)*'Dataset sem TS MC2020'!R227*($J235-$M235)/($J235-$M235-$H235)</f>
        <v>0.39084940116132816</v>
      </c>
      <c r="AC235" s="3">
        <f t="shared" si="35"/>
        <v>1.9542470058066408</v>
      </c>
      <c r="AD235" s="16">
        <f t="shared" si="36"/>
        <v>0.19084940116132815</v>
      </c>
      <c r="AE235" s="17">
        <f t="shared" si="37"/>
        <v>0.51170604177911327</v>
      </c>
      <c r="AF235" s="17">
        <f>AB235*(14.068*'Dataset sem TS MC2020'!$P227^-0.457)/$Q235</f>
        <v>1.6969840437684269</v>
      </c>
      <c r="AG235" s="17"/>
      <c r="AO235" s="3">
        <f>$AP$2*($AP$3+$AP$4*$F235/($N235*'Dataset sem TS MC2020'!P227))*($AP$5*$G235+$AP$6*$B235/$N235)*('Dataset sem TS MC2020'!P227^$AP$7/200000)*($J235-$M235)/($J235-$M235-$H235)+('Dataset sem TS MC2020'!P227-$C235/$AP$8)*($AP$5*$G235+$AP$6*$B235/$N235)/200000</f>
        <v>0.39048393551449778</v>
      </c>
      <c r="AP235" s="3">
        <f t="shared" si="38"/>
        <v>1.9524196775724889</v>
      </c>
      <c r="AQ235" s="16">
        <f t="shared" si="39"/>
        <v>0.19048393551449777</v>
      </c>
    </row>
    <row r="236" spans="1:43" x14ac:dyDescent="0.3">
      <c r="B236" s="4">
        <v>16</v>
      </c>
      <c r="C236" s="5">
        <v>528</v>
      </c>
      <c r="D236" s="5">
        <v>2</v>
      </c>
      <c r="E236" s="4">
        <v>52</v>
      </c>
      <c r="F236" s="3">
        <v>2.98</v>
      </c>
      <c r="G236" s="4">
        <v>27</v>
      </c>
      <c r="H236" s="4">
        <v>35</v>
      </c>
      <c r="I236" s="1">
        <v>150</v>
      </c>
      <c r="J236" s="4">
        <v>235</v>
      </c>
      <c r="K236" s="5">
        <v>402</v>
      </c>
      <c r="L236" s="3">
        <v>17250</v>
      </c>
      <c r="M236" s="5">
        <v>67.594050734713008</v>
      </c>
      <c r="N236" s="8">
        <v>2.3304347826086955E-2</v>
      </c>
      <c r="O236" s="3">
        <v>37.375</v>
      </c>
      <c r="P236" s="5">
        <v>523.88203180799201</v>
      </c>
      <c r="Q236" s="3">
        <v>0.26</v>
      </c>
      <c r="R236" s="12">
        <f t="shared" si="32"/>
        <v>2.61941015903996E-3</v>
      </c>
      <c r="V236" s="3">
        <f t="shared" si="30"/>
        <v>0.40564338604884759</v>
      </c>
      <c r="W236" s="3">
        <f t="shared" si="33"/>
        <v>1.5601668694186446</v>
      </c>
      <c r="Y236" s="3">
        <f t="shared" si="31"/>
        <v>0.40357939506904322</v>
      </c>
      <c r="Z236" s="3">
        <f t="shared" si="34"/>
        <v>1.5522284425732431</v>
      </c>
      <c r="AB236" s="3">
        <f>$AC$2*($AC$3+$AC$4*$F236/($N236*'Dataset sem TS MC2020'!P228))*($AC$5*$G236+$AC$6*$B236/$N236)*'Dataset sem TS MC2020'!R228*($J236-$M236)/($J236-$M236-$H236)</f>
        <v>0.47514158627502434</v>
      </c>
      <c r="AC236" s="3">
        <f t="shared" si="35"/>
        <v>1.8274676395193243</v>
      </c>
      <c r="AD236" s="16">
        <f t="shared" si="36"/>
        <v>0.21514158627502433</v>
      </c>
      <c r="AE236" s="17">
        <f t="shared" si="37"/>
        <v>0.54720531208039791</v>
      </c>
      <c r="AF236" s="17">
        <f>AB236*(14.068*'Dataset sem TS MC2020'!$P228^-0.457)/$Q236</f>
        <v>1.4702539131439187</v>
      </c>
      <c r="AG236" s="17"/>
      <c r="AO236" s="3">
        <f>$AP$2*($AP$3+$AP$4*$F236/($N236*'Dataset sem TS MC2020'!P228))*($AP$5*$G236+$AP$6*$B236/$N236)*('Dataset sem TS MC2020'!P228^$AP$7/200000)*($J236-$M236)/($J236-$M236-$H236)+('Dataset sem TS MC2020'!P228-$C236/$AP$8)*($AP$5*$G236+$AP$6*$B236/$N236)/200000</f>
        <v>0.46416352440107245</v>
      </c>
      <c r="AP236" s="3">
        <f t="shared" si="38"/>
        <v>1.7852443246195093</v>
      </c>
      <c r="AQ236" s="16">
        <f t="shared" si="39"/>
        <v>0.20416352440107244</v>
      </c>
    </row>
    <row r="237" spans="1:43" x14ac:dyDescent="0.3">
      <c r="A237" s="1" t="s">
        <v>53</v>
      </c>
      <c r="B237" s="4">
        <v>20</v>
      </c>
      <c r="C237" s="5">
        <v>528</v>
      </c>
      <c r="D237" s="5">
        <v>2</v>
      </c>
      <c r="E237" s="4">
        <v>44</v>
      </c>
      <c r="F237" s="3">
        <v>2.98</v>
      </c>
      <c r="G237" s="4">
        <v>25</v>
      </c>
      <c r="H237" s="4">
        <v>35</v>
      </c>
      <c r="I237" s="1">
        <v>150</v>
      </c>
      <c r="J237" s="4">
        <v>235</v>
      </c>
      <c r="K237" s="5">
        <v>628</v>
      </c>
      <c r="L237" s="3">
        <v>18375</v>
      </c>
      <c r="M237" s="5">
        <v>80.321192218194966</v>
      </c>
      <c r="N237" s="8">
        <v>3.4176870748299316E-2</v>
      </c>
      <c r="O237" s="3">
        <v>28.749999999999996</v>
      </c>
      <c r="P237" s="5">
        <v>217.08100493447304</v>
      </c>
      <c r="Q237" s="3">
        <v>0.17</v>
      </c>
      <c r="R237" s="12">
        <f t="shared" si="32"/>
        <v>1.0854050246723653E-3</v>
      </c>
      <c r="V237" s="3">
        <f t="shared" si="30"/>
        <v>0.23328839191182635</v>
      </c>
      <c r="W237" s="3">
        <f t="shared" si="33"/>
        <v>1.3722846583048607</v>
      </c>
      <c r="Y237" s="3">
        <f t="shared" si="31"/>
        <v>0.23208583105888297</v>
      </c>
      <c r="Z237" s="3">
        <f t="shared" si="34"/>
        <v>1.3652107709346055</v>
      </c>
      <c r="AB237" s="3">
        <f>$AC$2*($AC$3+$AC$4*$F237/($N237*'Dataset sem TS MC2020'!P229))*($AC$5*$G237+$AC$6*$B237/$N237)*'Dataset sem TS MC2020'!R229*($J237-$M237)/($J237-$M237-$H237)</f>
        <v>0.20131921701182906</v>
      </c>
      <c r="AC237" s="3">
        <f t="shared" si="35"/>
        <v>1.1842306883048768</v>
      </c>
      <c r="AD237" s="16">
        <f t="shared" si="36"/>
        <v>3.1319217011829048E-2</v>
      </c>
      <c r="AE237" s="17">
        <f t="shared" si="37"/>
        <v>0.84443006744860927</v>
      </c>
      <c r="AF237" s="17">
        <f>AB237*(14.068*'Dataset sem TS MC2020'!$P229^-0.457)/$Q237</f>
        <v>1.3025224451465423</v>
      </c>
      <c r="AG237" s="17"/>
      <c r="AO237" s="3">
        <f>$AP$2*($AP$3+$AP$4*$F237/($N237*'Dataset sem TS MC2020'!P229))*($AP$5*$G237+$AP$6*$B237/$N237)*('Dataset sem TS MC2020'!P229^$AP$7/200000)*($J237-$M237)/($J237-$M237-$H237)+('Dataset sem TS MC2020'!P229-$C237/$AP$8)*($AP$5*$G237+$AP$6*$B237/$N237)/200000</f>
        <v>0.21316637119175114</v>
      </c>
      <c r="AP237" s="3">
        <f t="shared" si="38"/>
        <v>1.2539198305397126</v>
      </c>
      <c r="AQ237" s="16">
        <f t="shared" si="39"/>
        <v>4.3166371191751124E-2</v>
      </c>
    </row>
    <row r="238" spans="1:43" x14ac:dyDescent="0.3">
      <c r="B238" s="4">
        <v>20</v>
      </c>
      <c r="C238" s="5">
        <v>528</v>
      </c>
      <c r="D238" s="5">
        <v>2</v>
      </c>
      <c r="E238" s="4">
        <v>44</v>
      </c>
      <c r="F238" s="3">
        <v>2.98</v>
      </c>
      <c r="G238" s="4">
        <v>25</v>
      </c>
      <c r="H238" s="4">
        <v>35</v>
      </c>
      <c r="I238" s="1">
        <v>150</v>
      </c>
      <c r="J238" s="4">
        <v>235</v>
      </c>
      <c r="K238" s="5">
        <v>628</v>
      </c>
      <c r="L238" s="3">
        <v>18375</v>
      </c>
      <c r="M238" s="5">
        <v>80.321192218194966</v>
      </c>
      <c r="N238" s="8">
        <v>3.4176870748299316E-2</v>
      </c>
      <c r="O238" s="3">
        <v>32.774999999999999</v>
      </c>
      <c r="P238" s="5">
        <v>262.36532615965365</v>
      </c>
      <c r="Q238" s="3">
        <v>0.19</v>
      </c>
      <c r="R238" s="12">
        <f t="shared" si="32"/>
        <v>1.3118266307982683E-3</v>
      </c>
      <c r="V238" s="3">
        <f t="shared" si="30"/>
        <v>0.26221814281981792</v>
      </c>
      <c r="W238" s="3">
        <f t="shared" si="33"/>
        <v>1.3800954885253576</v>
      </c>
      <c r="Y238" s="3">
        <f t="shared" si="31"/>
        <v>0.26141070348275586</v>
      </c>
      <c r="Z238" s="3">
        <f t="shared" si="34"/>
        <v>1.3758458078039781</v>
      </c>
      <c r="AB238" s="3">
        <f>$AC$2*($AC$3+$AC$4*$F238/($N238*'Dataset sem TS MC2020'!P230))*($AC$5*$G238+$AC$6*$B238/$N238)*'Dataset sem TS MC2020'!R230*($J238-$M238)/($J238-$M238-$H238)</f>
        <v>0.23566962110313988</v>
      </c>
      <c r="AC238" s="3">
        <f t="shared" si="35"/>
        <v>1.240366426858631</v>
      </c>
      <c r="AD238" s="16">
        <f t="shared" si="36"/>
        <v>4.5669621103139879E-2</v>
      </c>
      <c r="AE238" s="17">
        <f t="shared" si="37"/>
        <v>0.80621337239239355</v>
      </c>
      <c r="AF238" s="17">
        <f>AB238*(14.068*'Dataset sem TS MC2020'!$P230^-0.457)/$Q238</f>
        <v>1.2849711887012241</v>
      </c>
      <c r="AG238" s="17"/>
      <c r="AO238" s="3">
        <f>$AP$2*($AP$3+$AP$4*$F238/($N238*'Dataset sem TS MC2020'!P230))*($AP$5*$G238+$AP$6*$B238/$N238)*('Dataset sem TS MC2020'!P230^$AP$7/200000)*($J238-$M238)/($J238-$M238-$H238)+('Dataset sem TS MC2020'!P230-$C238/$AP$8)*($AP$5*$G238+$AP$6*$B238/$N238)/200000</f>
        <v>0.24601651930774085</v>
      </c>
      <c r="AP238" s="3">
        <f t="shared" si="38"/>
        <v>1.294823785830215</v>
      </c>
      <c r="AQ238" s="16">
        <f t="shared" si="39"/>
        <v>5.6016519307740847E-2</v>
      </c>
    </row>
    <row r="239" spans="1:43" x14ac:dyDescent="0.3">
      <c r="B239" s="4">
        <v>20</v>
      </c>
      <c r="C239" s="5">
        <v>528</v>
      </c>
      <c r="D239" s="5">
        <v>2</v>
      </c>
      <c r="E239" s="4">
        <v>44</v>
      </c>
      <c r="F239" s="3">
        <v>2.98</v>
      </c>
      <c r="G239" s="4">
        <v>25</v>
      </c>
      <c r="H239" s="4">
        <v>35</v>
      </c>
      <c r="I239" s="1">
        <v>150</v>
      </c>
      <c r="J239" s="4">
        <v>235</v>
      </c>
      <c r="K239" s="5">
        <v>628</v>
      </c>
      <c r="L239" s="3">
        <v>18375</v>
      </c>
      <c r="M239" s="5">
        <v>80.321192218194966</v>
      </c>
      <c r="N239" s="8">
        <v>3.4176870748299316E-2</v>
      </c>
      <c r="O239" s="3">
        <v>37.949999999999996</v>
      </c>
      <c r="P239" s="5">
        <v>320.58802487774301</v>
      </c>
      <c r="Q239" s="3">
        <v>0.23</v>
      </c>
      <c r="R239" s="12">
        <f t="shared" si="32"/>
        <v>1.602940124388715E-3</v>
      </c>
      <c r="V239" s="3">
        <f t="shared" si="30"/>
        <v>0.29673375063373536</v>
      </c>
      <c r="W239" s="3">
        <f t="shared" si="33"/>
        <v>1.2901467418858059</v>
      </c>
      <c r="Y239" s="3">
        <f t="shared" si="31"/>
        <v>0.29647291541703491</v>
      </c>
      <c r="Z239" s="3">
        <f t="shared" si="34"/>
        <v>1.2890126757262388</v>
      </c>
      <c r="AB239" s="3">
        <f>$AC$2*($AC$3+$AC$4*$F239/($N239*'Dataset sem TS MC2020'!P231))*($AC$5*$G239+$AC$6*$B239/$N239)*'Dataset sem TS MC2020'!R231*($J239-$M239)/($J239-$M239-$H239)</f>
        <v>0.27983442636339673</v>
      </c>
      <c r="AC239" s="3">
        <f t="shared" si="35"/>
        <v>1.2166714189712902</v>
      </c>
      <c r="AD239" s="16">
        <f t="shared" si="36"/>
        <v>4.9834426363396717E-2</v>
      </c>
      <c r="AE239" s="17">
        <f t="shared" si="37"/>
        <v>0.82191459781763565</v>
      </c>
      <c r="AF239" s="17">
        <f>AB239*(14.068*'Dataset sem TS MC2020'!$P231^-0.457)/$Q239</f>
        <v>1.1787451643152846</v>
      </c>
      <c r="AG239" s="17"/>
      <c r="AO239" s="3">
        <f>$AP$2*($AP$3+$AP$4*$F239/($N239*'Dataset sem TS MC2020'!P231))*($AP$5*$G239+$AP$6*$B239/$N239)*('Dataset sem TS MC2020'!P231^$AP$7/200000)*($J239-$M239)/($J239-$M239-$H239)+('Dataset sem TS MC2020'!P231-$C239/$AP$8)*($AP$5*$G239+$AP$6*$B239/$N239)/200000</f>
        <v>0.28709514572870071</v>
      </c>
      <c r="AP239" s="3">
        <f t="shared" si="38"/>
        <v>1.2482397640378291</v>
      </c>
      <c r="AQ239" s="16">
        <f t="shared" si="39"/>
        <v>5.7095145728700697E-2</v>
      </c>
    </row>
    <row r="240" spans="1:43" x14ac:dyDescent="0.3">
      <c r="B240" s="4">
        <v>20</v>
      </c>
      <c r="C240" s="5">
        <v>528</v>
      </c>
      <c r="D240" s="5">
        <v>2</v>
      </c>
      <c r="E240" s="4">
        <v>44</v>
      </c>
      <c r="F240" s="3">
        <v>2.98</v>
      </c>
      <c r="G240" s="4">
        <v>25</v>
      </c>
      <c r="H240" s="4">
        <v>35</v>
      </c>
      <c r="I240" s="1">
        <v>150</v>
      </c>
      <c r="J240" s="4">
        <v>235</v>
      </c>
      <c r="K240" s="5">
        <v>628</v>
      </c>
      <c r="L240" s="3">
        <v>18375</v>
      </c>
      <c r="M240" s="5">
        <v>80.321192218194966</v>
      </c>
      <c r="N240" s="8">
        <v>3.4176870748299316E-2</v>
      </c>
      <c r="O240" s="3">
        <v>40.25</v>
      </c>
      <c r="P240" s="5">
        <v>346.46477986356052</v>
      </c>
      <c r="Q240" s="3">
        <v>0.25</v>
      </c>
      <c r="R240" s="12">
        <f t="shared" si="32"/>
        <v>1.7323238993178025E-3</v>
      </c>
      <c r="V240" s="3">
        <f t="shared" si="30"/>
        <v>0.31129140139898437</v>
      </c>
      <c r="W240" s="3">
        <f t="shared" si="33"/>
        <v>1.2451656055959375</v>
      </c>
      <c r="Y240" s="3">
        <f t="shared" si="31"/>
        <v>0.31128345095029153</v>
      </c>
      <c r="Z240" s="3">
        <f t="shared" si="34"/>
        <v>1.2451338038011661</v>
      </c>
      <c r="AB240" s="3">
        <f>$AC$2*($AC$3+$AC$4*$F240/($N240*'Dataset sem TS MC2020'!P232))*($AC$5*$G240+$AC$6*$B240/$N240)*'Dataset sem TS MC2020'!R232*($J240-$M240)/($J240-$M240-$H240)</f>
        <v>0.29946322870128872</v>
      </c>
      <c r="AC240" s="3">
        <f t="shared" si="35"/>
        <v>1.1978529148051549</v>
      </c>
      <c r="AD240" s="16">
        <f t="shared" si="36"/>
        <v>4.946322870128872E-2</v>
      </c>
      <c r="AE240" s="17">
        <f t="shared" si="37"/>
        <v>0.83482703731005403</v>
      </c>
      <c r="AF240" s="17">
        <f>AB240*(14.068*'Dataset sem TS MC2020'!$P232^-0.457)/$Q240</f>
        <v>1.1297227805440548</v>
      </c>
      <c r="AG240" s="17"/>
      <c r="AO240" s="3">
        <f>$AP$2*($AP$3+$AP$4*$F240/($N240*'Dataset sem TS MC2020'!P232))*($AP$5*$G240+$AP$6*$B240/$N240)*('Dataset sem TS MC2020'!P232^$AP$7/200000)*($J240-$M240)/($J240-$M240-$H240)+('Dataset sem TS MC2020'!P232-$C240/$AP$8)*($AP$5*$G240+$AP$6*$B240/$N240)/200000</f>
        <v>0.30499296449638119</v>
      </c>
      <c r="AP240" s="3">
        <f t="shared" si="38"/>
        <v>1.2199718579855248</v>
      </c>
      <c r="AQ240" s="16">
        <f t="shared" si="39"/>
        <v>5.4992964496381191E-2</v>
      </c>
    </row>
    <row r="241" spans="1:43" x14ac:dyDescent="0.3">
      <c r="B241" s="4">
        <v>20</v>
      </c>
      <c r="C241" s="5">
        <v>528</v>
      </c>
      <c r="D241" s="5">
        <v>2</v>
      </c>
      <c r="E241" s="4">
        <v>44</v>
      </c>
      <c r="F241" s="3">
        <v>2.98</v>
      </c>
      <c r="G241" s="4">
        <v>25</v>
      </c>
      <c r="H241" s="4">
        <v>35</v>
      </c>
      <c r="I241" s="1">
        <v>150</v>
      </c>
      <c r="J241" s="4">
        <v>235</v>
      </c>
      <c r="K241" s="5">
        <v>628</v>
      </c>
      <c r="L241" s="3">
        <v>18375</v>
      </c>
      <c r="M241" s="5">
        <v>80.321192218194966</v>
      </c>
      <c r="N241" s="8">
        <v>3.4176870748299316E-2</v>
      </c>
      <c r="O241" s="3">
        <v>43.699999999999996</v>
      </c>
      <c r="P241" s="5">
        <v>385.27991234228682</v>
      </c>
      <c r="Q241" s="3">
        <v>0.3</v>
      </c>
      <c r="R241" s="12">
        <f t="shared" si="32"/>
        <v>1.9263995617114342E-3</v>
      </c>
      <c r="V241" s="3">
        <f t="shared" si="30"/>
        <v>0.33236974395730384</v>
      </c>
      <c r="W241" s="3">
        <f t="shared" si="33"/>
        <v>1.1078991465243462</v>
      </c>
      <c r="Y241" s="3">
        <f t="shared" si="31"/>
        <v>0.33274970599882869</v>
      </c>
      <c r="Z241" s="3">
        <f t="shared" si="34"/>
        <v>1.1091656866627624</v>
      </c>
      <c r="AB241" s="3">
        <f>$AC$2*($AC$3+$AC$4*$F241/($N241*'Dataset sem TS MC2020'!P233))*($AC$5*$G241+$AC$6*$B241/$N241)*'Dataset sem TS MC2020'!R233*($J241-$M241)/($J241-$M241-$H241)</f>
        <v>0.3289064322081266</v>
      </c>
      <c r="AC241" s="3">
        <f t="shared" si="35"/>
        <v>1.0963547740270887</v>
      </c>
      <c r="AD241" s="16">
        <f t="shared" si="36"/>
        <v>2.8906432208126609E-2</v>
      </c>
      <c r="AE241" s="17">
        <f t="shared" si="37"/>
        <v>0.91211350895735877</v>
      </c>
      <c r="AF241" s="17">
        <f>AB241*(14.068*'Dataset sem TS MC2020'!$P233^-0.457)/$Q241</f>
        <v>0.99585818439852369</v>
      </c>
      <c r="AG241" s="17"/>
      <c r="AO241" s="3">
        <f>$AP$2*($AP$3+$AP$4*$F241/($N241*'Dataset sem TS MC2020'!P233))*($AP$5*$G241+$AP$6*$B241/$N241)*('Dataset sem TS MC2020'!P233^$AP$7/200000)*($J241-$M241)/($J241-$M241-$H241)+('Dataset sem TS MC2020'!P233-$C241/$AP$8)*($AP$5*$G241+$AP$6*$B241/$N241)/200000</f>
        <v>0.33147479840423483</v>
      </c>
      <c r="AP241" s="3">
        <f t="shared" si="38"/>
        <v>1.1049159946807827</v>
      </c>
      <c r="AQ241" s="16">
        <f t="shared" si="39"/>
        <v>3.1474798404234838E-2</v>
      </c>
    </row>
    <row r="242" spans="1:43" x14ac:dyDescent="0.3">
      <c r="B242" s="4">
        <v>20</v>
      </c>
      <c r="C242" s="5">
        <v>528</v>
      </c>
      <c r="D242" s="5">
        <v>2</v>
      </c>
      <c r="E242" s="4">
        <v>44</v>
      </c>
      <c r="F242" s="3">
        <v>2.98</v>
      </c>
      <c r="G242" s="4">
        <v>25</v>
      </c>
      <c r="H242" s="4">
        <v>35</v>
      </c>
      <c r="I242" s="1">
        <v>150</v>
      </c>
      <c r="J242" s="4">
        <v>235</v>
      </c>
      <c r="K242" s="5">
        <v>628</v>
      </c>
      <c r="L242" s="3">
        <v>18375</v>
      </c>
      <c r="M242" s="5">
        <v>80.321192218194966</v>
      </c>
      <c r="N242" s="8">
        <v>3.4176870748299316E-2</v>
      </c>
      <c r="O242" s="3">
        <v>46</v>
      </c>
      <c r="P242" s="5">
        <v>411.15666732810439</v>
      </c>
      <c r="Q242" s="3">
        <v>0.32</v>
      </c>
      <c r="R242" s="12">
        <f t="shared" si="32"/>
        <v>2.0557833366405221E-3</v>
      </c>
      <c r="V242" s="3">
        <f t="shared" si="30"/>
        <v>0.34597123470290214</v>
      </c>
      <c r="W242" s="3">
        <f t="shared" si="33"/>
        <v>1.0811601084465692</v>
      </c>
      <c r="Y242" s="3">
        <f t="shared" si="31"/>
        <v>0.34661450268481309</v>
      </c>
      <c r="Z242" s="3">
        <f t="shared" si="34"/>
        <v>1.0831703208900409</v>
      </c>
      <c r="AB242" s="3">
        <f>$AC$2*($AC$3+$AC$4*$F242/($N242*'Dataset sem TS MC2020'!P234))*($AC$5*$G242+$AC$6*$B242/$N242)*'Dataset sem TS MC2020'!R234*($J242-$M242)/($J242-$M242-$H242)</f>
        <v>0.34853523454601859</v>
      </c>
      <c r="AC242" s="3">
        <f t="shared" si="35"/>
        <v>1.089172607956308</v>
      </c>
      <c r="AD242" s="16">
        <f t="shared" si="36"/>
        <v>2.8535234546018584E-2</v>
      </c>
      <c r="AE242" s="17">
        <f t="shared" si="37"/>
        <v>0.91812812101138963</v>
      </c>
      <c r="AF242" s="17">
        <f>AB242*(14.068*'Dataset sem TS MC2020'!$P234^-0.457)/$Q242</f>
        <v>0.96641304382155124</v>
      </c>
      <c r="AG242" s="17"/>
      <c r="AO242" s="3">
        <f>$AP$2*($AP$3+$AP$4*$F242/($N242*'Dataset sem TS MC2020'!P234))*($AP$5*$G242+$AP$6*$B242/$N242)*('Dataset sem TS MC2020'!P234^$AP$7/200000)*($J242-$M242)/($J242-$M242-$H242)+('Dataset sem TS MC2020'!P234-$C242/$AP$8)*($AP$5*$G242+$AP$6*$B242/$N242)/200000</f>
        <v>0.34890600289646828</v>
      </c>
      <c r="AP242" s="3">
        <f t="shared" si="38"/>
        <v>1.0903312590514633</v>
      </c>
      <c r="AQ242" s="16">
        <f t="shared" si="39"/>
        <v>2.8906002896468275E-2</v>
      </c>
    </row>
    <row r="243" spans="1:43" x14ac:dyDescent="0.3">
      <c r="B243" s="4">
        <v>20</v>
      </c>
      <c r="C243" s="5">
        <v>528</v>
      </c>
      <c r="D243" s="5">
        <v>2</v>
      </c>
      <c r="E243" s="4">
        <v>44</v>
      </c>
      <c r="F243" s="3">
        <v>2.98</v>
      </c>
      <c r="G243" s="4">
        <v>25</v>
      </c>
      <c r="H243" s="4">
        <v>35</v>
      </c>
      <c r="I243" s="1">
        <v>150</v>
      </c>
      <c r="J243" s="4">
        <v>235</v>
      </c>
      <c r="K243" s="5">
        <v>628</v>
      </c>
      <c r="L243" s="3">
        <v>18375</v>
      </c>
      <c r="M243" s="5">
        <v>80.321192218194966</v>
      </c>
      <c r="N243" s="8">
        <v>3.4176870748299316E-2</v>
      </c>
      <c r="O243" s="3">
        <v>51.634999999999991</v>
      </c>
      <c r="P243" s="5">
        <v>474.55471704335713</v>
      </c>
      <c r="Q243" s="3">
        <v>0.36</v>
      </c>
      <c r="R243" s="12">
        <f t="shared" si="32"/>
        <v>2.3727735852167855E-3</v>
      </c>
      <c r="V243" s="3">
        <f t="shared" si="30"/>
        <v>0.37797763926211486</v>
      </c>
      <c r="W243" s="3">
        <f t="shared" si="33"/>
        <v>1.049937886839208</v>
      </c>
      <c r="Y243" s="3">
        <f t="shared" si="31"/>
        <v>0.37927822978650871</v>
      </c>
      <c r="Z243" s="3">
        <f t="shared" si="34"/>
        <v>1.0535506382958575</v>
      </c>
      <c r="AB243" s="3">
        <f>$AC$2*($AC$3+$AC$4*$F243/($N243*'Dataset sem TS MC2020'!P235))*($AC$5*$G243+$AC$6*$B243/$N243)*'Dataset sem TS MC2020'!R235*($J243-$M243)/($J243-$M243-$H243)</f>
        <v>0.3966258002738538</v>
      </c>
      <c r="AC243" s="3">
        <f t="shared" si="35"/>
        <v>1.1017383340940383</v>
      </c>
      <c r="AD243" s="16">
        <f t="shared" si="36"/>
        <v>3.6625800273853815E-2</v>
      </c>
      <c r="AE243" s="17">
        <f t="shared" si="37"/>
        <v>0.90765653608876384</v>
      </c>
      <c r="AF243" s="17">
        <f>AB243*(14.068*'Dataset sem TS MC2020'!$P235^-0.457)/$Q243</f>
        <v>0.92727675137584431</v>
      </c>
      <c r="AG243" s="17"/>
      <c r="AO243" s="3">
        <f>$AP$2*($AP$3+$AP$4*$F243/($N243*'Dataset sem TS MC2020'!P235))*($AP$5*$G243+$AP$6*$B243/$N243)*('Dataset sem TS MC2020'!P235^$AP$7/200000)*($J243-$M243)/($J243-$M243-$H243)+('Dataset sem TS MC2020'!P235-$C243/$AP$8)*($AP$5*$G243+$AP$6*$B243/$N243)/200000</f>
        <v>0.39093623232737562</v>
      </c>
      <c r="AP243" s="3">
        <f t="shared" si="38"/>
        <v>1.0859339786871545</v>
      </c>
      <c r="AQ243" s="16">
        <f t="shared" si="39"/>
        <v>3.0936232327375635E-2</v>
      </c>
    </row>
    <row r="244" spans="1:43" x14ac:dyDescent="0.3">
      <c r="B244" s="4">
        <v>20</v>
      </c>
      <c r="C244" s="5">
        <v>528</v>
      </c>
      <c r="D244" s="5">
        <v>2</v>
      </c>
      <c r="E244" s="4">
        <v>44</v>
      </c>
      <c r="F244" s="3">
        <v>2.98</v>
      </c>
      <c r="G244" s="4">
        <v>25</v>
      </c>
      <c r="H244" s="4">
        <v>35</v>
      </c>
      <c r="I244" s="1">
        <v>150</v>
      </c>
      <c r="J244" s="4">
        <v>235</v>
      </c>
      <c r="K244" s="5">
        <v>628</v>
      </c>
      <c r="L244" s="3">
        <v>18375</v>
      </c>
      <c r="M244" s="5">
        <v>80.321192218194966</v>
      </c>
      <c r="N244" s="8">
        <v>3.4176870748299316E-2</v>
      </c>
      <c r="O244" s="3">
        <v>57.269999999999989</v>
      </c>
      <c r="P244" s="5">
        <v>526.44594786447112</v>
      </c>
      <c r="Q244" s="3">
        <v>0.47</v>
      </c>
      <c r="R244" s="12">
        <f t="shared" si="32"/>
        <v>2.6322297393223558E-3</v>
      </c>
      <c r="V244" s="3">
        <f t="shared" si="30"/>
        <v>0.40297003323808545</v>
      </c>
      <c r="W244" s="3">
        <f t="shared" si="33"/>
        <v>0.85738304944273502</v>
      </c>
      <c r="Y244" s="3">
        <f t="shared" si="31"/>
        <v>0.40481845278540696</v>
      </c>
      <c r="Z244" s="3">
        <f t="shared" si="34"/>
        <v>0.86131585699022761</v>
      </c>
      <c r="AB244" s="3">
        <f>$AC$2*($AC$3+$AC$4*$F244/($N244*'Dataset sem TS MC2020'!P236))*($AC$5*$G244+$AC$6*$B244/$N244)*'Dataset sem TS MC2020'!R236*($J244-$M244)/($J244-$M244-$H244)</f>
        <v>0.44471636600168912</v>
      </c>
      <c r="AC244" s="3">
        <f t="shared" si="35"/>
        <v>0.94620503404614709</v>
      </c>
      <c r="AD244" s="16">
        <f t="shared" si="36"/>
        <v>-2.528363399831085E-2</v>
      </c>
      <c r="AE244" s="17">
        <f t="shared" si="37"/>
        <v>1.0568533922545473</v>
      </c>
      <c r="AF244" s="17">
        <f>AB244*(14.068*'Dataset sem TS MC2020'!$P236^-0.457)/$Q244</f>
        <v>0.75955448617796029</v>
      </c>
      <c r="AG244" s="17"/>
      <c r="AO244" s="3">
        <f>$AP$2*($AP$3+$AP$4*$F244/($N244*'Dataset sem TS MC2020'!P236))*($AP$5*$G244+$AP$6*$B244/$N244)*('Dataset sem TS MC2020'!P236^$AP$7/200000)*($J244-$M244)/($J244-$M244-$H244)+('Dataset sem TS MC2020'!P236-$C244/$AP$8)*($AP$5*$G244+$AP$6*$B244/$N244)/200000</f>
        <v>0.43211397299646959</v>
      </c>
      <c r="AP244" s="3">
        <f t="shared" si="38"/>
        <v>0.91939143190738215</v>
      </c>
      <c r="AQ244" s="16">
        <f t="shared" si="39"/>
        <v>-3.7886027003530387E-2</v>
      </c>
    </row>
    <row r="245" spans="1:43" x14ac:dyDescent="0.3">
      <c r="A245" s="1" t="s">
        <v>54</v>
      </c>
      <c r="B245" s="4">
        <v>20</v>
      </c>
      <c r="C245" s="5">
        <v>528</v>
      </c>
      <c r="D245" s="5">
        <v>3</v>
      </c>
      <c r="E245" s="4">
        <v>12</v>
      </c>
      <c r="F245" s="3">
        <v>2.98</v>
      </c>
      <c r="G245" s="4">
        <v>25</v>
      </c>
      <c r="H245" s="4">
        <v>35</v>
      </c>
      <c r="I245" s="1">
        <v>150</v>
      </c>
      <c r="J245" s="4">
        <v>235</v>
      </c>
      <c r="K245" s="5">
        <v>942</v>
      </c>
      <c r="L245" s="3">
        <v>18375</v>
      </c>
      <c r="M245" s="5">
        <v>93.01135812514184</v>
      </c>
      <c r="N245" s="8">
        <v>5.1265306122448978E-2</v>
      </c>
      <c r="O245" s="3">
        <v>48.3</v>
      </c>
      <c r="P245" s="5">
        <v>275.46613457337332</v>
      </c>
      <c r="Q245" s="3">
        <v>0.16</v>
      </c>
      <c r="R245" s="12">
        <f t="shared" si="32"/>
        <v>1.3773306728668666E-3</v>
      </c>
      <c r="V245" s="3">
        <f t="shared" si="30"/>
        <v>0.22812814585457575</v>
      </c>
      <c r="W245" s="3">
        <f t="shared" si="33"/>
        <v>1.4258009115910983</v>
      </c>
      <c r="Y245" s="3">
        <f t="shared" si="31"/>
        <v>0.23183815496311816</v>
      </c>
      <c r="Z245" s="3">
        <f t="shared" si="34"/>
        <v>1.4489884685194885</v>
      </c>
      <c r="AB245" s="3">
        <f>$AC$2*($AC$3+$AC$4*$F245/($N245*'Dataset sem TS MC2020'!P237))*($AC$5*$G245+$AC$6*$B245/$N245)*'Dataset sem TS MC2020'!R237*($J245-$M245)/($J245-$M245-$H245)</f>
        <v>0.1928282640606708</v>
      </c>
      <c r="AC245" s="3">
        <f t="shared" si="35"/>
        <v>1.2051766503791925</v>
      </c>
      <c r="AD245" s="16">
        <f t="shared" si="36"/>
        <v>3.2828264060670798E-2</v>
      </c>
      <c r="AE245" s="17">
        <f t="shared" si="37"/>
        <v>0.82975387855827076</v>
      </c>
      <c r="AF245" s="17">
        <f>AB245*(14.068*'Dataset sem TS MC2020'!$P237^-0.457)/$Q245</f>
        <v>1.2445153854640201</v>
      </c>
      <c r="AG245" s="17"/>
      <c r="AO245" s="3">
        <f>$AP$2*($AP$3+$AP$4*$F245/($N245*'Dataset sem TS MC2020'!P237))*($AP$5*$G245+$AP$6*$B245/$N245)*('Dataset sem TS MC2020'!P237^$AP$7/200000)*($J245-$M245)/($J245-$M245-$H245)+('Dataset sem TS MC2020'!P237-$C245/$AP$8)*($AP$5*$G245+$AP$6*$B245/$N245)/200000</f>
        <v>0.19772920876645461</v>
      </c>
      <c r="AP245" s="3">
        <f t="shared" si="38"/>
        <v>1.2358075547903413</v>
      </c>
      <c r="AQ245" s="16">
        <f t="shared" si="39"/>
        <v>3.7729208766454608E-2</v>
      </c>
    </row>
    <row r="246" spans="1:43" x14ac:dyDescent="0.3">
      <c r="B246" s="4">
        <v>20</v>
      </c>
      <c r="C246" s="5">
        <v>528</v>
      </c>
      <c r="D246" s="5">
        <v>3</v>
      </c>
      <c r="E246" s="4">
        <v>12</v>
      </c>
      <c r="F246" s="3">
        <v>2.98</v>
      </c>
      <c r="G246" s="4">
        <v>25</v>
      </c>
      <c r="H246" s="4">
        <v>35</v>
      </c>
      <c r="I246" s="1">
        <v>150</v>
      </c>
      <c r="J246" s="4">
        <v>235</v>
      </c>
      <c r="K246" s="5">
        <v>942</v>
      </c>
      <c r="L246" s="3">
        <v>18375</v>
      </c>
      <c r="M246" s="5">
        <v>93.01135812514184</v>
      </c>
      <c r="N246" s="8">
        <v>5.1265306122448978E-2</v>
      </c>
      <c r="O246" s="3">
        <v>50.599999999999994</v>
      </c>
      <c r="P246" s="5">
        <v>292.26518583602842</v>
      </c>
      <c r="Q246" s="3">
        <v>0.18</v>
      </c>
      <c r="R246" s="12">
        <f t="shared" si="32"/>
        <v>1.4613259291801422E-3</v>
      </c>
      <c r="V246" s="3">
        <f t="shared" si="30"/>
        <v>0.2366144395197943</v>
      </c>
      <c r="W246" s="3">
        <f t="shared" si="33"/>
        <v>1.3145246639988573</v>
      </c>
      <c r="Y246" s="3">
        <f t="shared" si="31"/>
        <v>0.24061909162210721</v>
      </c>
      <c r="Z246" s="3">
        <f t="shared" si="34"/>
        <v>1.336772731233929</v>
      </c>
      <c r="AB246" s="3">
        <f>$AC$2*($AC$3+$AC$4*$F246/($N246*'Dataset sem TS MC2020'!P238))*($AC$5*$G246+$AC$6*$B246/$N246)*'Dataset sem TS MC2020'!R238*($J246-$M246)/($J246-$M246-$H246)</f>
        <v>0.20307903105915276</v>
      </c>
      <c r="AC246" s="3">
        <f t="shared" si="35"/>
        <v>1.1282168392175154</v>
      </c>
      <c r="AD246" s="16">
        <f t="shared" si="36"/>
        <v>2.3079031059152766E-2</v>
      </c>
      <c r="AE246" s="17">
        <f t="shared" si="37"/>
        <v>0.8863544358135611</v>
      </c>
      <c r="AF246" s="17">
        <f>AB246*(14.068*'Dataset sem TS MC2020'!$P238^-0.457)/$Q246</f>
        <v>1.1405365074829483</v>
      </c>
      <c r="AG246" s="17"/>
      <c r="AO246" s="3">
        <f>$AP$2*($AP$3+$AP$4*$F246/($N246*'Dataset sem TS MC2020'!P238))*($AP$5*$G246+$AP$6*$B246/$N246)*('Dataset sem TS MC2020'!P238^$AP$7/200000)*($J246-$M246)/($J246-$M246-$H246)+('Dataset sem TS MC2020'!P238-$C246/$AP$8)*($AP$5*$G246+$AP$6*$B246/$N246)/200000</f>
        <v>0.20706625693029573</v>
      </c>
      <c r="AP246" s="3">
        <f t="shared" si="38"/>
        <v>1.1503680940571985</v>
      </c>
      <c r="AQ246" s="16">
        <f t="shared" si="39"/>
        <v>2.706625693029574E-2</v>
      </c>
    </row>
    <row r="247" spans="1:43" x14ac:dyDescent="0.3">
      <c r="B247" s="4">
        <v>20</v>
      </c>
      <c r="C247" s="5">
        <v>528</v>
      </c>
      <c r="D247" s="5">
        <v>3</v>
      </c>
      <c r="E247" s="4">
        <v>12</v>
      </c>
      <c r="F247" s="3">
        <v>2.98</v>
      </c>
      <c r="G247" s="4">
        <v>25</v>
      </c>
      <c r="H247" s="4">
        <v>35</v>
      </c>
      <c r="I247" s="1">
        <v>150</v>
      </c>
      <c r="J247" s="4">
        <v>235</v>
      </c>
      <c r="K247" s="5">
        <v>942</v>
      </c>
      <c r="L247" s="3">
        <v>18375</v>
      </c>
      <c r="M247" s="5">
        <v>93.01135812514184</v>
      </c>
      <c r="N247" s="8">
        <v>5.1265306122448978E-2</v>
      </c>
      <c r="O247" s="3">
        <v>56.349999999999994</v>
      </c>
      <c r="P247" s="5">
        <v>334.26281399266657</v>
      </c>
      <c r="Q247" s="3">
        <v>0.18</v>
      </c>
      <c r="R247" s="12">
        <f t="shared" si="32"/>
        <v>1.6713140699633328E-3</v>
      </c>
      <c r="V247" s="3">
        <f t="shared" si="30"/>
        <v>0.25705089373172507</v>
      </c>
      <c r="W247" s="3">
        <f t="shared" si="33"/>
        <v>1.428060520731806</v>
      </c>
      <c r="Y247" s="3">
        <f t="shared" si="31"/>
        <v>0.26178778451727441</v>
      </c>
      <c r="Z247" s="3">
        <f t="shared" si="34"/>
        <v>1.4543765806515245</v>
      </c>
      <c r="AB247" s="3">
        <f>$AC$2*($AC$3+$AC$4*$F247/($N247*'Dataset sem TS MC2020'!P239))*($AC$5*$G247+$AC$6*$B247/$N247)*'Dataset sem TS MC2020'!R239*($J247-$M247)/($J247-$M247-$H247)</f>
        <v>0.22870594855535797</v>
      </c>
      <c r="AC247" s="3">
        <f t="shared" si="35"/>
        <v>1.2705886030853222</v>
      </c>
      <c r="AD247" s="16">
        <f t="shared" si="36"/>
        <v>4.8705948555357981E-2</v>
      </c>
      <c r="AE247" s="17">
        <f t="shared" si="37"/>
        <v>0.7870368092171911</v>
      </c>
      <c r="AF247" s="17">
        <f>AB247*(14.068*'Dataset sem TS MC2020'!$P239^-0.457)/$Q247</f>
        <v>1.2228123991041919</v>
      </c>
      <c r="AG247" s="17"/>
      <c r="AO247" s="3">
        <f>$AP$2*($AP$3+$AP$4*$F247/($N247*'Dataset sem TS MC2020'!P239))*($AP$5*$G247+$AP$6*$B247/$N247)*('Dataset sem TS MC2020'!P239^$AP$7/200000)*($J247-$M247)/($J247-$M247-$H247)+('Dataset sem TS MC2020'!P239-$C247/$AP$8)*($AP$5*$G247+$AP$6*$B247/$N247)/200000</f>
        <v>0.23006999154991969</v>
      </c>
      <c r="AP247" s="3">
        <f t="shared" si="38"/>
        <v>1.278166619721776</v>
      </c>
      <c r="AQ247" s="16">
        <f t="shared" si="39"/>
        <v>5.0069991549919701E-2</v>
      </c>
    </row>
    <row r="248" spans="1:43" x14ac:dyDescent="0.3">
      <c r="B248" s="4">
        <v>20</v>
      </c>
      <c r="C248" s="5">
        <v>528</v>
      </c>
      <c r="D248" s="5">
        <v>3</v>
      </c>
      <c r="E248" s="4">
        <v>12</v>
      </c>
      <c r="F248" s="3">
        <v>2.98</v>
      </c>
      <c r="G248" s="4">
        <v>25</v>
      </c>
      <c r="H248" s="4">
        <v>35</v>
      </c>
      <c r="I248" s="1">
        <v>150</v>
      </c>
      <c r="J248" s="4">
        <v>235</v>
      </c>
      <c r="K248" s="5">
        <v>942</v>
      </c>
      <c r="L248" s="3">
        <v>18375</v>
      </c>
      <c r="M248" s="5">
        <v>93.01135812514184</v>
      </c>
      <c r="N248" s="8">
        <v>5.1265306122448978E-2</v>
      </c>
      <c r="O248" s="3">
        <v>62.674999999999997</v>
      </c>
      <c r="P248" s="5">
        <v>380.46020496496845</v>
      </c>
      <c r="Q248" s="3">
        <v>0.2</v>
      </c>
      <c r="R248" s="12">
        <f t="shared" si="32"/>
        <v>1.9023010248248422E-3</v>
      </c>
      <c r="V248" s="3">
        <f t="shared" si="30"/>
        <v>0.27842458542345061</v>
      </c>
      <c r="W248" s="3">
        <f t="shared" si="33"/>
        <v>1.3921229271172531</v>
      </c>
      <c r="Y248" s="3">
        <f t="shared" si="31"/>
        <v>0.28395941586312884</v>
      </c>
      <c r="Z248" s="3">
        <f t="shared" si="34"/>
        <v>1.419797079315644</v>
      </c>
      <c r="AB248" s="3">
        <f>$AC$2*($AC$3+$AC$4*$F248/($N248*'Dataset sem TS MC2020'!P240))*($AC$5*$G248+$AC$6*$B248/$N248)*'Dataset sem TS MC2020'!R240*($J248-$M248)/($J248-$M248-$H248)</f>
        <v>0.25689555780118367</v>
      </c>
      <c r="AC248" s="3">
        <f t="shared" si="35"/>
        <v>1.2844777890059182</v>
      </c>
      <c r="AD248" s="16">
        <f t="shared" si="36"/>
        <v>5.689555780118366E-2</v>
      </c>
      <c r="AE248" s="17">
        <f t="shared" si="37"/>
        <v>0.77852650202221008</v>
      </c>
      <c r="AF248" s="17">
        <f>AB248*(14.068*'Dataset sem TS MC2020'!$P240^-0.457)/$Q248</f>
        <v>1.1775188935479453</v>
      </c>
      <c r="AG248" s="17"/>
      <c r="AO248" s="3">
        <f>$AP$2*($AP$3+$AP$4*$F248/($N248*'Dataset sem TS MC2020'!P240))*($AP$5*$G248+$AP$6*$B248/$N248)*('Dataset sem TS MC2020'!P240^$AP$7/200000)*($J248-$M248)/($J248-$M248-$H248)+('Dataset sem TS MC2020'!P240-$C248/$AP$8)*($AP$5*$G248+$AP$6*$B248/$N248)/200000</f>
        <v>0.25487510688049081</v>
      </c>
      <c r="AP248" s="3">
        <f t="shared" si="38"/>
        <v>1.2743755344024539</v>
      </c>
      <c r="AQ248" s="16">
        <f t="shared" si="39"/>
        <v>5.4875106880490798E-2</v>
      </c>
    </row>
    <row r="249" spans="1:43" x14ac:dyDescent="0.3">
      <c r="B249" s="4">
        <v>20</v>
      </c>
      <c r="C249" s="5">
        <v>528</v>
      </c>
      <c r="D249" s="5">
        <v>3</v>
      </c>
      <c r="E249" s="4">
        <v>12</v>
      </c>
      <c r="F249" s="3">
        <v>2.98</v>
      </c>
      <c r="G249" s="4">
        <v>25</v>
      </c>
      <c r="H249" s="4">
        <v>35</v>
      </c>
      <c r="I249" s="1">
        <v>150</v>
      </c>
      <c r="J249" s="4">
        <v>235</v>
      </c>
      <c r="K249" s="5">
        <v>942</v>
      </c>
      <c r="L249" s="3">
        <v>18375</v>
      </c>
      <c r="M249" s="5">
        <v>93.01135812514184</v>
      </c>
      <c r="N249" s="8">
        <v>5.1265306122448978E-2</v>
      </c>
      <c r="O249" s="3">
        <v>68.424999999999997</v>
      </c>
      <c r="P249" s="5">
        <v>422.45783312160643</v>
      </c>
      <c r="Q249" s="3">
        <v>0.2</v>
      </c>
      <c r="R249" s="12">
        <f t="shared" si="32"/>
        <v>2.1122891656080323E-3</v>
      </c>
      <c r="V249" s="3">
        <f t="shared" si="30"/>
        <v>0.29700592939663029</v>
      </c>
      <c r="W249" s="3">
        <f t="shared" si="33"/>
        <v>1.4850296469831514</v>
      </c>
      <c r="Y249" s="3">
        <f t="shared" si="31"/>
        <v>0.30325922968973046</v>
      </c>
      <c r="Z249" s="3">
        <f t="shared" si="34"/>
        <v>1.5162961484486521</v>
      </c>
      <c r="AB249" s="3">
        <f>$AC$2*($AC$3+$AC$4*$F249/($N249*'Dataset sem TS MC2020'!P241))*($AC$5*$G249+$AC$6*$B249/$N249)*'Dataset sem TS MC2020'!R241*($J249-$M249)/($J249-$M249-$H249)</f>
        <v>0.28252247529738883</v>
      </c>
      <c r="AC249" s="3">
        <f t="shared" si="35"/>
        <v>1.412612376486944</v>
      </c>
      <c r="AD249" s="16">
        <f t="shared" si="36"/>
        <v>8.252247529738882E-2</v>
      </c>
      <c r="AE249" s="17">
        <f t="shared" si="37"/>
        <v>0.70790828159591901</v>
      </c>
      <c r="AF249" s="17">
        <f>AB249*(14.068*'Dataset sem TS MC2020'!$P241^-0.457)/$Q249</f>
        <v>1.2440654825797453</v>
      </c>
      <c r="AG249" s="17"/>
      <c r="AO249" s="3">
        <f>$AP$2*($AP$3+$AP$4*$F249/($N249*'Dataset sem TS MC2020'!P241))*($AP$5*$G249+$AP$6*$B249/$N249)*('Dataset sem TS MC2020'!P241^$AP$7/200000)*($J249-$M249)/($J249-$M249-$H249)+('Dataset sem TS MC2020'!P241-$C249/$AP$8)*($AP$5*$G249+$AP$6*$B249/$N249)/200000</f>
        <v>0.27702668506447958</v>
      </c>
      <c r="AP249" s="3">
        <f t="shared" si="38"/>
        <v>1.3851334253223979</v>
      </c>
      <c r="AQ249" s="16">
        <f t="shared" si="39"/>
        <v>7.7026685064479572E-2</v>
      </c>
    </row>
    <row r="250" spans="1:43" x14ac:dyDescent="0.3">
      <c r="B250" s="4">
        <v>20</v>
      </c>
      <c r="C250" s="5">
        <v>528</v>
      </c>
      <c r="D250" s="5">
        <v>3</v>
      </c>
      <c r="E250" s="4">
        <v>12</v>
      </c>
      <c r="F250" s="3">
        <v>2.98</v>
      </c>
      <c r="G250" s="4">
        <v>25</v>
      </c>
      <c r="H250" s="4">
        <v>35</v>
      </c>
      <c r="I250" s="1">
        <v>150</v>
      </c>
      <c r="J250" s="4">
        <v>235</v>
      </c>
      <c r="K250" s="5">
        <v>942</v>
      </c>
      <c r="L250" s="3">
        <v>18375</v>
      </c>
      <c r="M250" s="5">
        <v>93.01135812514184</v>
      </c>
      <c r="N250" s="8">
        <v>5.1265306122448978E-2</v>
      </c>
      <c r="O250" s="3">
        <v>73.599999999999994</v>
      </c>
      <c r="P250" s="5">
        <v>460.25569846258065</v>
      </c>
      <c r="Q250" s="3">
        <v>0.2</v>
      </c>
      <c r="R250" s="12">
        <f t="shared" si="32"/>
        <v>2.3012784923129035E-3</v>
      </c>
      <c r="V250" s="3">
        <f t="shared" si="30"/>
        <v>0.31313187074499932</v>
      </c>
      <c r="W250" s="3">
        <f t="shared" si="33"/>
        <v>1.5656593537249965</v>
      </c>
      <c r="Y250" s="3">
        <f t="shared" si="31"/>
        <v>0.32002621446976387</v>
      </c>
      <c r="Z250" s="3">
        <f t="shared" si="34"/>
        <v>1.6001310723488193</v>
      </c>
      <c r="AB250" s="3">
        <f>$AC$2*($AC$3+$AC$4*$F250/($N250*'Dataset sem TS MC2020'!P242))*($AC$5*$G250+$AC$6*$B250/$N250)*'Dataset sem TS MC2020'!R242*($J250-$M250)/($J250-$M250-$H250)</f>
        <v>0.3055867010439734</v>
      </c>
      <c r="AC250" s="3">
        <f t="shared" si="35"/>
        <v>1.5279335052198668</v>
      </c>
      <c r="AD250" s="16">
        <f t="shared" si="36"/>
        <v>0.10558670104397339</v>
      </c>
      <c r="AE250" s="17">
        <f t="shared" si="37"/>
        <v>0.65447874307599652</v>
      </c>
      <c r="AF250" s="17">
        <f>AB250*(14.068*'Dataset sem TS MC2020'!$P242^-0.457)/$Q250</f>
        <v>1.3015315289226672</v>
      </c>
      <c r="AG250" s="17"/>
      <c r="AO250" s="3">
        <f>$AP$2*($AP$3+$AP$4*$F250/($N250*'Dataset sem TS MC2020'!P242))*($AP$5*$G250+$AP$6*$B250/$N250)*('Dataset sem TS MC2020'!P242^$AP$7/200000)*($J250-$M250)/($J250-$M250-$H250)+('Dataset sem TS MC2020'!P242-$C250/$AP$8)*($AP$5*$G250+$AP$6*$B250/$N250)/200000</f>
        <v>0.29667343586928435</v>
      </c>
      <c r="AP250" s="3">
        <f t="shared" si="38"/>
        <v>1.4833671793464216</v>
      </c>
      <c r="AQ250" s="16">
        <f t="shared" si="39"/>
        <v>9.6673435869284341E-2</v>
      </c>
    </row>
    <row r="251" spans="1:43" x14ac:dyDescent="0.3">
      <c r="B251" s="4">
        <v>20</v>
      </c>
      <c r="C251" s="5">
        <v>528</v>
      </c>
      <c r="D251" s="5">
        <v>3</v>
      </c>
      <c r="E251" s="4">
        <v>12</v>
      </c>
      <c r="F251" s="3">
        <v>2.98</v>
      </c>
      <c r="G251" s="4">
        <v>25</v>
      </c>
      <c r="H251" s="4">
        <v>35</v>
      </c>
      <c r="I251" s="1">
        <v>150</v>
      </c>
      <c r="J251" s="4">
        <v>235</v>
      </c>
      <c r="K251" s="5">
        <v>942</v>
      </c>
      <c r="L251" s="3">
        <v>18375</v>
      </c>
      <c r="M251" s="5">
        <v>93.01135812514184</v>
      </c>
      <c r="N251" s="8">
        <v>5.1265306122448978E-2</v>
      </c>
      <c r="O251" s="3">
        <v>79.924999999999997</v>
      </c>
      <c r="P251" s="5">
        <v>502.05901185324399</v>
      </c>
      <c r="Q251" s="3">
        <v>0.22</v>
      </c>
      <c r="R251" s="12">
        <f t="shared" si="32"/>
        <v>2.51029505926622E-3</v>
      </c>
      <c r="V251" s="3">
        <f t="shared" si="30"/>
        <v>0.33038663703046894</v>
      </c>
      <c r="W251" s="3">
        <f t="shared" si="33"/>
        <v>1.501757441047586</v>
      </c>
      <c r="Y251" s="3">
        <f t="shared" si="31"/>
        <v>0.33798394173006885</v>
      </c>
      <c r="Z251" s="3">
        <f t="shared" si="34"/>
        <v>1.5362906442275857</v>
      </c>
      <c r="AB251" s="3">
        <f>$AC$2*($AC$3+$AC$4*$F251/($N251*'Dataset sem TS MC2020'!P243))*($AC$5*$G251+$AC$6*$B251/$N251)*'Dataset sem TS MC2020'!R243*($J251-$M251)/($J251-$M251-$H251)</f>
        <v>0.33377631028979904</v>
      </c>
      <c r="AC251" s="3">
        <f t="shared" si="35"/>
        <v>1.5171650467718139</v>
      </c>
      <c r="AD251" s="16">
        <f t="shared" si="36"/>
        <v>0.11377631028979904</v>
      </c>
      <c r="AE251" s="17">
        <f t="shared" si="37"/>
        <v>0.65912406967704351</v>
      </c>
      <c r="AF251" s="17">
        <f>AB251*(14.068*'Dataset sem TS MC2020'!$P243^-0.457)/$Q251</f>
        <v>1.2445726695746939</v>
      </c>
      <c r="AG251" s="17"/>
      <c r="AO251" s="3">
        <f>$AP$2*($AP$3+$AP$4*$F251/($N251*'Dataset sem TS MC2020'!P243))*($AP$5*$G251+$AP$6*$B251/$N251)*('Dataset sem TS MC2020'!P243^$AP$7/200000)*($J251-$M251)/($J251-$M251-$H251)+('Dataset sem TS MC2020'!P243-$C251/$AP$8)*($AP$5*$G251+$AP$6*$B251/$N251)/200000</f>
        <v>0.32034999886857679</v>
      </c>
      <c r="AP251" s="3">
        <f t="shared" si="38"/>
        <v>1.456136358493531</v>
      </c>
      <c r="AQ251" s="16">
        <f t="shared" si="39"/>
        <v>0.10034999886857679</v>
      </c>
    </row>
    <row r="252" spans="1:43" x14ac:dyDescent="0.3">
      <c r="A252" s="1" t="s">
        <v>55</v>
      </c>
      <c r="B252" s="4">
        <v>28</v>
      </c>
      <c r="C252" s="5">
        <v>400</v>
      </c>
      <c r="D252" s="5">
        <v>4</v>
      </c>
      <c r="E252" s="4">
        <v>16</v>
      </c>
      <c r="F252" s="3">
        <v>5.3084743571011064</v>
      </c>
      <c r="G252" s="4">
        <v>30</v>
      </c>
      <c r="H252" s="4">
        <v>44</v>
      </c>
      <c r="I252" s="1">
        <v>200</v>
      </c>
      <c r="J252" s="4">
        <v>300</v>
      </c>
      <c r="K252" s="5">
        <v>2463</v>
      </c>
      <c r="L252" s="3">
        <v>30800</v>
      </c>
      <c r="M252" s="5">
        <v>133.49341623498307</v>
      </c>
      <c r="N252" s="8">
        <v>7.9967532467532465E-2</v>
      </c>
      <c r="O252" s="3">
        <v>78.75</v>
      </c>
      <c r="P252" s="5">
        <v>92.531033485649147</v>
      </c>
      <c r="Q252" s="3">
        <v>0.22</v>
      </c>
      <c r="R252" s="12">
        <f t="shared" si="32"/>
        <v>4.6265516742824571E-4</v>
      </c>
      <c r="V252" s="3">
        <f t="shared" si="30"/>
        <v>0.1211789959811085</v>
      </c>
      <c r="W252" s="3">
        <f t="shared" si="33"/>
        <v>0.55081361809594775</v>
      </c>
      <c r="Y252" s="3">
        <f t="shared" si="31"/>
        <v>0.12775770887383031</v>
      </c>
      <c r="Z252" s="3">
        <f t="shared" si="34"/>
        <v>0.58071685851741051</v>
      </c>
      <c r="AB252" s="3">
        <f>$AC$2*($AC$3+$AC$4*$F252/($N252*'Dataset sem TS MC2020'!P244))*($AC$5*$G252+$AC$6*$B252/$N252)*'Dataset sem TS MC2020'!R244*($J252-$M252)/($J252-$M252-$H252)</f>
        <v>8.2943034091186099E-2</v>
      </c>
      <c r="AC252" s="3">
        <f t="shared" si="35"/>
        <v>0.37701379132357316</v>
      </c>
      <c r="AD252" s="16">
        <f t="shared" si="36"/>
        <v>-0.13705696590881389</v>
      </c>
      <c r="AE252" s="17">
        <f t="shared" si="37"/>
        <v>2.6524228636022156</v>
      </c>
      <c r="AF252" s="17">
        <f>AB252*(14.068*'Dataset sem TS MC2020'!$P244^-0.457)/$Q252</f>
        <v>0.53526793169753184</v>
      </c>
      <c r="AG252" s="17"/>
      <c r="AO252" s="3">
        <f>$AP$2*($AP$3+$AP$4*$F252/($N252*'Dataset sem TS MC2020'!P244))*($AP$5*$G252+$AP$6*$B252/$N252)*('Dataset sem TS MC2020'!P244^$AP$7/200000)*($J252-$M252)/($J252-$M252-$H252)+('Dataset sem TS MC2020'!P244-$C252/$AP$8)*($AP$5*$G252+$AP$6*$B252/$N252)/200000</f>
        <v>9.182354273338271E-2</v>
      </c>
      <c r="AP252" s="3">
        <f t="shared" si="38"/>
        <v>0.41737973969719411</v>
      </c>
      <c r="AQ252" s="16">
        <f t="shared" si="39"/>
        <v>-0.12817645726661731</v>
      </c>
    </row>
    <row r="253" spans="1:43" x14ac:dyDescent="0.3">
      <c r="B253" s="4">
        <v>28</v>
      </c>
      <c r="C253" s="5">
        <v>400</v>
      </c>
      <c r="D253" s="5">
        <v>4</v>
      </c>
      <c r="E253" s="4">
        <v>16</v>
      </c>
      <c r="F253" s="3">
        <v>5.3084743571011064</v>
      </c>
      <c r="G253" s="4">
        <v>30</v>
      </c>
      <c r="H253" s="4">
        <v>44</v>
      </c>
      <c r="I253" s="1">
        <v>200</v>
      </c>
      <c r="J253" s="4">
        <v>300</v>
      </c>
      <c r="K253" s="5">
        <v>2463</v>
      </c>
      <c r="L253" s="3">
        <v>30800</v>
      </c>
      <c r="M253" s="5">
        <v>133.49341623498307</v>
      </c>
      <c r="N253" s="8">
        <v>7.9967532467532465E-2</v>
      </c>
      <c r="O253" s="3">
        <v>105.075</v>
      </c>
      <c r="P253" s="5">
        <v>145.46919836430115</v>
      </c>
      <c r="Q253" s="3">
        <v>0.25</v>
      </c>
      <c r="R253" s="12">
        <f t="shared" si="32"/>
        <v>7.2734599182150579E-4</v>
      </c>
      <c r="V253" s="3">
        <f t="shared" si="30"/>
        <v>0.16019824398529464</v>
      </c>
      <c r="W253" s="3">
        <f t="shared" si="33"/>
        <v>0.64079297594117857</v>
      </c>
      <c r="Y253" s="3">
        <f t="shared" si="31"/>
        <v>0.16973790445901266</v>
      </c>
      <c r="Z253" s="3">
        <f t="shared" si="34"/>
        <v>0.67895161783605062</v>
      </c>
      <c r="AB253" s="3">
        <f>$AC$2*($AC$3+$AC$4*$F253/($N253*'Dataset sem TS MC2020'!P245))*($AC$5*$G253+$AC$6*$B253/$N253)*'Dataset sem TS MC2020'!R245*($J253-$M253)/($J253-$M253-$H253)</f>
        <v>0.11937278490482217</v>
      </c>
      <c r="AC253" s="3">
        <f t="shared" si="35"/>
        <v>0.47749113961928868</v>
      </c>
      <c r="AD253" s="16">
        <f t="shared" si="36"/>
        <v>-0.13062721509517783</v>
      </c>
      <c r="AE253" s="17">
        <f t="shared" si="37"/>
        <v>2.0942796986710914</v>
      </c>
      <c r="AF253" s="17">
        <f>AB253*(14.068*'Dataset sem TS MC2020'!$P245^-0.457)/$Q253</f>
        <v>0.59421086308516757</v>
      </c>
      <c r="AG253" s="17"/>
      <c r="AO253" s="3">
        <f>$AP$2*($AP$3+$AP$4*$F253/($N253*'Dataset sem TS MC2020'!P245))*($AP$5*$G253+$AP$6*$B253/$N253)*('Dataset sem TS MC2020'!P245^$AP$7/200000)*($J253-$M253)/($J253-$M253-$H253)+('Dataset sem TS MC2020'!P245-$C253/$AP$8)*($AP$5*$G253+$AP$6*$B253/$N253)/200000</f>
        <v>0.12854456266734943</v>
      </c>
      <c r="AP253" s="3">
        <f t="shared" si="38"/>
        <v>0.51417825066939771</v>
      </c>
      <c r="AQ253" s="16">
        <f t="shared" si="39"/>
        <v>-0.12145543733265057</v>
      </c>
    </row>
    <row r="254" spans="1:43" x14ac:dyDescent="0.3">
      <c r="B254" s="4">
        <v>28</v>
      </c>
      <c r="C254" s="5">
        <v>400</v>
      </c>
      <c r="D254" s="5">
        <v>4</v>
      </c>
      <c r="E254" s="4">
        <v>16</v>
      </c>
      <c r="F254" s="3">
        <v>5.3084743571011064</v>
      </c>
      <c r="G254" s="4">
        <v>30</v>
      </c>
      <c r="H254" s="4">
        <v>44</v>
      </c>
      <c r="I254" s="1">
        <v>200</v>
      </c>
      <c r="J254" s="4">
        <v>300</v>
      </c>
      <c r="K254" s="5">
        <v>2463</v>
      </c>
      <c r="L254" s="3">
        <v>30800</v>
      </c>
      <c r="M254" s="5">
        <v>133.49341623498307</v>
      </c>
      <c r="N254" s="8">
        <v>7.9967532467532465E-2</v>
      </c>
      <c r="O254" s="3">
        <v>120.15</v>
      </c>
      <c r="P254" s="5">
        <v>180.36143433573642</v>
      </c>
      <c r="Q254" s="3">
        <v>0.28999999999999998</v>
      </c>
      <c r="R254" s="12">
        <f t="shared" si="32"/>
        <v>9.0180717167868214E-4</v>
      </c>
      <c r="V254" s="3">
        <f t="shared" si="30"/>
        <v>0.18292314808877025</v>
      </c>
      <c r="W254" s="3">
        <f t="shared" si="33"/>
        <v>0.63076947616817336</v>
      </c>
      <c r="Y254" s="3">
        <f t="shared" si="31"/>
        <v>0.19427497012758921</v>
      </c>
      <c r="Z254" s="3">
        <f t="shared" si="34"/>
        <v>0.66991369009513524</v>
      </c>
      <c r="AB254" s="3">
        <f>$AC$2*($AC$3+$AC$4*$F254/($N254*'Dataset sem TS MC2020'!P246))*($AC$5*$G254+$AC$6*$B254/$N254)*'Dataset sem TS MC2020'!R246*($J254-$M254)/($J254-$M254-$H254)</f>
        <v>0.14023426613998127</v>
      </c>
      <c r="AC254" s="3">
        <f t="shared" si="35"/>
        <v>0.48356643496545271</v>
      </c>
      <c r="AD254" s="16">
        <f t="shared" si="36"/>
        <v>-0.14976573386001871</v>
      </c>
      <c r="AE254" s="17">
        <f t="shared" si="37"/>
        <v>2.0679681791219497</v>
      </c>
      <c r="AF254" s="17">
        <f>AB254*(14.068*'Dataset sem TS MC2020'!$P246^-0.457)/$Q254</f>
        <v>0.56600840211919046</v>
      </c>
      <c r="AG254" s="17"/>
      <c r="AO254" s="3">
        <f>$AP$2*($AP$3+$AP$4*$F254/($N254*'Dataset sem TS MC2020'!P246))*($AP$5*$G254+$AP$6*$B254/$N254)*('Dataset sem TS MC2020'!P246^$AP$7/200000)*($J254-$M254)/($J254-$M254-$H254)+('Dataset sem TS MC2020'!P246-$C254/$AP$8)*($AP$5*$G254+$AP$6*$B254/$N254)/200000</f>
        <v>0.1486907767643022</v>
      </c>
      <c r="AP254" s="3">
        <f t="shared" si="38"/>
        <v>0.51272681642862827</v>
      </c>
      <c r="AQ254" s="16">
        <f t="shared" si="39"/>
        <v>-0.14130922323569778</v>
      </c>
    </row>
    <row r="255" spans="1:43" x14ac:dyDescent="0.3">
      <c r="B255" s="4">
        <v>28</v>
      </c>
      <c r="C255" s="5">
        <v>400</v>
      </c>
      <c r="D255" s="5">
        <v>4</v>
      </c>
      <c r="E255" s="4">
        <v>16</v>
      </c>
      <c r="F255" s="3">
        <v>5.3084743571011064</v>
      </c>
      <c r="G255" s="4">
        <v>30</v>
      </c>
      <c r="H255" s="4">
        <v>44</v>
      </c>
      <c r="I255" s="1">
        <v>200</v>
      </c>
      <c r="J255" s="4">
        <v>300</v>
      </c>
      <c r="K255" s="5">
        <v>2463</v>
      </c>
      <c r="L255" s="3">
        <v>30800</v>
      </c>
      <c r="M255" s="5">
        <v>133.49341623498307</v>
      </c>
      <c r="N255" s="8">
        <v>7.9967532467532465E-2</v>
      </c>
      <c r="O255" s="3">
        <v>137.47499999999999</v>
      </c>
      <c r="P255" s="5">
        <v>220.46146672081863</v>
      </c>
      <c r="Q255" s="3">
        <v>0.31</v>
      </c>
      <c r="R255" s="12">
        <f t="shared" si="32"/>
        <v>1.1023073336040932E-3</v>
      </c>
      <c r="V255" s="3">
        <f t="shared" si="30"/>
        <v>0.2070447808517</v>
      </c>
      <c r="W255" s="3">
        <f t="shared" si="33"/>
        <v>0.66788638984419357</v>
      </c>
      <c r="Y255" s="3">
        <f t="shared" si="31"/>
        <v>0.22037968116209336</v>
      </c>
      <c r="Z255" s="3">
        <f t="shared" si="34"/>
        <v>0.71090219729707538</v>
      </c>
      <c r="AB255" s="3">
        <f>$AC$2*($AC$3+$AC$4*$F255/($N255*'Dataset sem TS MC2020'!P247))*($AC$5*$G255+$AC$6*$B255/$N255)*'Dataset sem TS MC2020'!R247*($J255-$M255)/($J255-$M255-$H255)</f>
        <v>0.16420940129083575</v>
      </c>
      <c r="AC255" s="3">
        <f t="shared" si="35"/>
        <v>0.52970774609947013</v>
      </c>
      <c r="AD255" s="16">
        <f t="shared" si="36"/>
        <v>-0.14579059870916425</v>
      </c>
      <c r="AE255" s="17">
        <f t="shared" si="37"/>
        <v>1.887833446581725</v>
      </c>
      <c r="AF255" s="17">
        <f>AB255*(14.068*'Dataset sem TS MC2020'!$P247^-0.457)/$Q255</f>
        <v>0.58300002729395617</v>
      </c>
      <c r="AG255" s="17"/>
      <c r="AO255" s="3">
        <f>$AP$2*($AP$3+$AP$4*$F255/($N255*'Dataset sem TS MC2020'!P247))*($AP$5*$G255+$AP$6*$B255/$N255)*('Dataset sem TS MC2020'!P247^$AP$7/200000)*($J255-$M255)/($J255-$M255-$H255)+('Dataset sem TS MC2020'!P247-$C255/$AP$8)*($AP$5*$G255+$AP$6*$B255/$N255)/200000</f>
        <v>0.17122706004326607</v>
      </c>
      <c r="AP255" s="3">
        <f t="shared" si="38"/>
        <v>0.55234535497827764</v>
      </c>
      <c r="AQ255" s="16">
        <f t="shared" si="39"/>
        <v>-0.13877293995673393</v>
      </c>
    </row>
    <row r="256" spans="1:43" x14ac:dyDescent="0.3">
      <c r="B256" s="4">
        <v>28</v>
      </c>
      <c r="C256" s="5">
        <v>400</v>
      </c>
      <c r="D256" s="5">
        <v>4</v>
      </c>
      <c r="E256" s="4">
        <v>16</v>
      </c>
      <c r="F256" s="3">
        <v>5.3084743571011064</v>
      </c>
      <c r="G256" s="4">
        <v>30</v>
      </c>
      <c r="H256" s="4">
        <v>44</v>
      </c>
      <c r="I256" s="1">
        <v>200</v>
      </c>
      <c r="J256" s="4">
        <v>300</v>
      </c>
      <c r="K256" s="5">
        <v>2463</v>
      </c>
      <c r="L256" s="3">
        <v>30800</v>
      </c>
      <c r="M256" s="5">
        <v>133.49341623498307</v>
      </c>
      <c r="N256" s="8">
        <v>7.9967532467532465E-2</v>
      </c>
      <c r="O256" s="3">
        <v>164.47499999999999</v>
      </c>
      <c r="P256" s="5">
        <v>282.95502368458324</v>
      </c>
      <c r="Q256" s="3">
        <v>0.33</v>
      </c>
      <c r="R256" s="12">
        <f t="shared" si="32"/>
        <v>1.4147751184229163E-3</v>
      </c>
      <c r="V256" s="3">
        <f t="shared" si="30"/>
        <v>0.24151141223142614</v>
      </c>
      <c r="W256" s="3">
        <f t="shared" si="33"/>
        <v>0.73185276433765489</v>
      </c>
      <c r="Y256" s="3">
        <f t="shared" si="31"/>
        <v>0.25777283762631908</v>
      </c>
      <c r="Z256" s="3">
        <f t="shared" si="34"/>
        <v>0.78112981098884571</v>
      </c>
      <c r="AB256" s="3">
        <f>$AC$2*($AC$3+$AC$4*$F256/($N256*'Dataset sem TS MC2020'!P248))*($AC$5*$G256+$AC$6*$B256/$N256)*'Dataset sem TS MC2020'!R248*($J256-$M256)/($J256-$M256-$H256)</f>
        <v>0.20157324827918044</v>
      </c>
      <c r="AC256" s="3">
        <f t="shared" si="35"/>
        <v>0.6108280250884256</v>
      </c>
      <c r="AD256" s="16">
        <f t="shared" si="36"/>
        <v>-0.12842675172081958</v>
      </c>
      <c r="AE256" s="17">
        <f t="shared" si="37"/>
        <v>1.6371220031288456</v>
      </c>
      <c r="AF256" s="17">
        <f>AB256*(14.068*'Dataset sem TS MC2020'!$P248^-0.457)/$Q256</f>
        <v>0.61938658873931729</v>
      </c>
      <c r="AG256" s="17"/>
      <c r="AO256" s="3">
        <f>$AP$2*($AP$3+$AP$4*$F256/($N256*'Dataset sem TS MC2020'!P248))*($AP$5*$G256+$AP$6*$B256/$N256)*('Dataset sem TS MC2020'!P248^$AP$7/200000)*($J256-$M256)/($J256-$M256-$H256)+('Dataset sem TS MC2020'!P248-$C256/$AP$8)*($AP$5*$G256+$AP$6*$B256/$N256)/200000</f>
        <v>0.20527578394027329</v>
      </c>
      <c r="AP256" s="3">
        <f t="shared" si="38"/>
        <v>0.62204783012204024</v>
      </c>
      <c r="AQ256" s="16">
        <f t="shared" si="39"/>
        <v>-0.12472421605972672</v>
      </c>
    </row>
    <row r="257" spans="1:43" x14ac:dyDescent="0.3">
      <c r="B257" s="4">
        <v>28</v>
      </c>
      <c r="C257" s="5">
        <v>400</v>
      </c>
      <c r="D257" s="5">
        <v>4</v>
      </c>
      <c r="E257" s="4">
        <v>16</v>
      </c>
      <c r="F257" s="3">
        <v>5.3084743571011064</v>
      </c>
      <c r="G257" s="4">
        <v>30</v>
      </c>
      <c r="H257" s="4">
        <v>44</v>
      </c>
      <c r="I257" s="1">
        <v>200</v>
      </c>
      <c r="J257" s="4">
        <v>300</v>
      </c>
      <c r="K257" s="5">
        <v>2463</v>
      </c>
      <c r="L257" s="3">
        <v>30800</v>
      </c>
      <c r="M257" s="5">
        <v>133.49341623498307</v>
      </c>
      <c r="N257" s="8">
        <v>7.9967532467532465E-2</v>
      </c>
      <c r="O257" s="3">
        <v>178.20000000000002</v>
      </c>
      <c r="P257" s="5">
        <v>314.72258180783035</v>
      </c>
      <c r="Q257" s="3">
        <v>0.34</v>
      </c>
      <c r="R257" s="12">
        <f t="shared" si="32"/>
        <v>1.5736129090391517E-3</v>
      </c>
      <c r="V257" s="3">
        <f t="shared" si="30"/>
        <v>0.25789892608401549</v>
      </c>
      <c r="W257" s="3">
        <f t="shared" si="33"/>
        <v>0.75852625318828082</v>
      </c>
      <c r="Y257" s="3">
        <f t="shared" si="31"/>
        <v>0.27558612235356345</v>
      </c>
      <c r="Z257" s="3">
        <f t="shared" si="34"/>
        <v>0.81054741868695124</v>
      </c>
      <c r="AB257" s="3">
        <f>$AC$2*($AC$3+$AC$4*$F257/($N257*'Dataset sem TS MC2020'!P249))*($AC$5*$G257+$AC$6*$B257/$N257)*'Dataset sem TS MC2020'!R249*($J257-$M257)/($J257-$M257-$H257)</f>
        <v>0.22056653716492239</v>
      </c>
      <c r="AC257" s="3">
        <f t="shared" si="35"/>
        <v>0.64872510930859517</v>
      </c>
      <c r="AD257" s="16">
        <f t="shared" si="36"/>
        <v>-0.11943346283507764</v>
      </c>
      <c r="AE257" s="17">
        <f t="shared" si="37"/>
        <v>1.5414849612739518</v>
      </c>
      <c r="AF257" s="17">
        <f>AB257*(14.068*'Dataset sem TS MC2020'!$P249^-0.457)/$Q257</f>
        <v>0.63415640654686867</v>
      </c>
      <c r="AG257" s="17"/>
      <c r="AO257" s="3">
        <f>$AP$2*($AP$3+$AP$4*$F257/($N257*'Dataset sem TS MC2020'!P249))*($AP$5*$G257+$AP$6*$B257/$N257)*('Dataset sem TS MC2020'!P249^$AP$7/200000)*($J257-$M257)/($J257-$M257-$H257)+('Dataset sem TS MC2020'!P249-$C257/$AP$8)*($AP$5*$G257+$AP$6*$B257/$N257)/200000</f>
        <v>0.22216301216234635</v>
      </c>
      <c r="AP257" s="3">
        <f t="shared" si="38"/>
        <v>0.65342062400690104</v>
      </c>
      <c r="AQ257" s="16">
        <f t="shared" si="39"/>
        <v>-0.11783698783765367</v>
      </c>
    </row>
    <row r="258" spans="1:43" x14ac:dyDescent="0.3">
      <c r="B258" s="4">
        <v>28</v>
      </c>
      <c r="C258" s="5">
        <v>400</v>
      </c>
      <c r="D258" s="5">
        <v>4</v>
      </c>
      <c r="E258" s="4">
        <v>16</v>
      </c>
      <c r="F258" s="3">
        <v>5.3084743571011064</v>
      </c>
      <c r="G258" s="4">
        <v>30</v>
      </c>
      <c r="H258" s="4">
        <v>44</v>
      </c>
      <c r="I258" s="1">
        <v>200</v>
      </c>
      <c r="J258" s="4">
        <v>300</v>
      </c>
      <c r="K258" s="5">
        <v>2463</v>
      </c>
      <c r="L258" s="3">
        <v>30800</v>
      </c>
      <c r="M258" s="5">
        <v>133.49341623498307</v>
      </c>
      <c r="N258" s="8">
        <v>7.9967532467532465E-2</v>
      </c>
      <c r="O258" s="3">
        <v>198.22499999999999</v>
      </c>
      <c r="P258" s="5">
        <v>361.07196988928899</v>
      </c>
      <c r="Q258" s="3">
        <v>0.37</v>
      </c>
      <c r="R258" s="12">
        <f t="shared" si="32"/>
        <v>1.8053598494464449E-3</v>
      </c>
      <c r="V258" s="3">
        <f t="shared" si="30"/>
        <v>0.2807135493833679</v>
      </c>
      <c r="W258" s="3">
        <f t="shared" si="33"/>
        <v>0.75868526860369701</v>
      </c>
      <c r="Y258" s="3">
        <f t="shared" si="31"/>
        <v>0.30041907907959137</v>
      </c>
      <c r="Z258" s="3">
        <f t="shared" si="34"/>
        <v>0.81194345697186854</v>
      </c>
      <c r="AB258" s="3">
        <f>$AC$2*($AC$3+$AC$4*$F258/($N258*'Dataset sem TS MC2020'!P250))*($AC$5*$G258+$AC$6*$B258/$N258)*'Dataset sem TS MC2020'!R250*($J258-$M258)/($J258-$M258-$H258)</f>
        <v>0.24827805701461136</v>
      </c>
      <c r="AC258" s="3">
        <f t="shared" si="35"/>
        <v>0.67102177571516586</v>
      </c>
      <c r="AD258" s="16">
        <f t="shared" si="36"/>
        <v>-0.12172194298538863</v>
      </c>
      <c r="AE258" s="17">
        <f t="shared" si="37"/>
        <v>1.4902646027160797</v>
      </c>
      <c r="AF258" s="17">
        <f>AB258*(14.068*'Dataset sem TS MC2020'!$P250^-0.457)/$Q258</f>
        <v>0.62479235687002643</v>
      </c>
      <c r="AG258" s="17"/>
      <c r="AO258" s="3">
        <f>$AP$2*($AP$3+$AP$4*$F258/($N258*'Dataset sem TS MC2020'!P250))*($AP$5*$G258+$AP$6*$B258/$N258)*('Dataset sem TS MC2020'!P250^$AP$7/200000)*($J258-$M258)/($J258-$M258-$H258)+('Dataset sem TS MC2020'!P250-$C258/$AP$8)*($AP$5*$G258+$AP$6*$B258/$N258)/200000</f>
        <v>0.24636789833721642</v>
      </c>
      <c r="AP258" s="3">
        <f t="shared" si="38"/>
        <v>0.66585918469517957</v>
      </c>
      <c r="AQ258" s="16">
        <f t="shared" si="39"/>
        <v>-0.12363210166278357</v>
      </c>
    </row>
    <row r="259" spans="1:43" x14ac:dyDescent="0.3">
      <c r="A259" s="1" t="s">
        <v>56</v>
      </c>
      <c r="B259" s="4">
        <v>15.9</v>
      </c>
      <c r="C259" s="5">
        <v>392</v>
      </c>
      <c r="D259" s="5">
        <v>2</v>
      </c>
      <c r="E259" s="4">
        <v>46</v>
      </c>
      <c r="F259" s="3">
        <v>2.8258773978663156</v>
      </c>
      <c r="G259" s="4">
        <v>30</v>
      </c>
      <c r="H259" s="4">
        <v>38</v>
      </c>
      <c r="I259" s="1">
        <v>150</v>
      </c>
      <c r="J259" s="4">
        <v>250</v>
      </c>
      <c r="K259" s="5">
        <v>397.2</v>
      </c>
      <c r="L259" s="3">
        <v>17625</v>
      </c>
      <c r="M259" s="5">
        <v>70.061381209483116</v>
      </c>
      <c r="N259" s="8">
        <v>2.2536170212765955E-2</v>
      </c>
      <c r="O259" s="3">
        <v>27.1</v>
      </c>
      <c r="P259" s="5">
        <v>327.33566875282662</v>
      </c>
      <c r="Q259" s="3">
        <v>0.2</v>
      </c>
      <c r="R259" s="12">
        <f t="shared" si="32"/>
        <v>1.6366783437641332E-3</v>
      </c>
      <c r="V259" s="3">
        <f t="shared" si="30"/>
        <v>0.30641090591594822</v>
      </c>
      <c r="W259" s="3">
        <f t="shared" si="33"/>
        <v>1.532054529579741</v>
      </c>
      <c r="Y259" s="3">
        <f t="shared" si="31"/>
        <v>0.30337194112556326</v>
      </c>
      <c r="Z259" s="3">
        <f t="shared" si="34"/>
        <v>1.5168597056278161</v>
      </c>
      <c r="AB259" s="3">
        <f>$AC$2*($AC$3+$AC$4*$F259/($N259*'Dataset sem TS MC2020'!P251))*($AC$5*$G259+$AC$6*$B259/$N259)*'Dataset sem TS MC2020'!R251*($J259-$M259)/($J259-$M259-$H259)</f>
        <v>0.32183291288201699</v>
      </c>
      <c r="AC259" s="3">
        <f t="shared" si="35"/>
        <v>1.6091645644100849</v>
      </c>
      <c r="AD259" s="16">
        <f t="shared" si="36"/>
        <v>0.12183291288201697</v>
      </c>
      <c r="AE259" s="17">
        <f t="shared" si="37"/>
        <v>0.62144048043128342</v>
      </c>
      <c r="AF259" s="17">
        <f>AB259*(14.068*'Dataset sem TS MC2020'!$P251^-0.457)/$Q259</f>
        <v>1.5335016490005766</v>
      </c>
      <c r="AG259" s="17"/>
      <c r="AO259" s="3">
        <f>$AP$2*($AP$3+$AP$4*$F259/($N259*'Dataset sem TS MC2020'!P251))*($AP$5*$G259+$AP$6*$B259/$N259)*('Dataset sem TS MC2020'!P251^$AP$7/200000)*($J259-$M259)/($J259-$M259-$H259)+('Dataset sem TS MC2020'!P251-$C259/$AP$8)*($AP$5*$G259+$AP$6*$B259/$N259)/200000</f>
        <v>0.33359897702706121</v>
      </c>
      <c r="AP259" s="3">
        <f t="shared" si="38"/>
        <v>1.6679948851353059</v>
      </c>
      <c r="AQ259" s="16">
        <f t="shared" si="39"/>
        <v>0.13359897702706119</v>
      </c>
    </row>
    <row r="260" spans="1:43" x14ac:dyDescent="0.3">
      <c r="B260" s="4">
        <v>15.9</v>
      </c>
      <c r="C260" s="5">
        <v>392</v>
      </c>
      <c r="D260" s="5">
        <v>2</v>
      </c>
      <c r="E260" s="4">
        <v>46</v>
      </c>
      <c r="F260" s="3">
        <v>2.8258773978663156</v>
      </c>
      <c r="G260" s="4">
        <v>30</v>
      </c>
      <c r="H260" s="4">
        <v>38</v>
      </c>
      <c r="I260" s="1">
        <v>150</v>
      </c>
      <c r="J260" s="4">
        <v>250</v>
      </c>
      <c r="K260" s="5">
        <v>397.2</v>
      </c>
      <c r="L260" s="3">
        <v>17625</v>
      </c>
      <c r="M260" s="5">
        <v>70.061381209483116</v>
      </c>
      <c r="N260" s="8">
        <v>2.2536170212765955E-2</v>
      </c>
      <c r="O260" s="3">
        <v>35.6</v>
      </c>
      <c r="P260" s="5">
        <v>367.24084443015647</v>
      </c>
      <c r="Q260" s="3">
        <v>0.35</v>
      </c>
      <c r="R260" s="12">
        <f t="shared" si="32"/>
        <v>1.8362042221507823E-3</v>
      </c>
      <c r="V260" s="3">
        <f t="shared" si="30"/>
        <v>0.328948633226126</v>
      </c>
      <c r="W260" s="3">
        <f t="shared" si="33"/>
        <v>0.93985323778893148</v>
      </c>
      <c r="Y260" s="3">
        <f t="shared" si="31"/>
        <v>0.32609850810516861</v>
      </c>
      <c r="Z260" s="3">
        <f t="shared" si="34"/>
        <v>0.93171002315762463</v>
      </c>
      <c r="AB260" s="3">
        <f>$AC$2*($AC$3+$AC$4*$F260/($N260*'Dataset sem TS MC2020'!P252))*($AC$5*$G260+$AC$6*$B260/$N260)*'Dataset sem TS MC2020'!R252*($J260-$M260)/($J260-$M260-$H260)</f>
        <v>0.35542588929908131</v>
      </c>
      <c r="AC260" s="3">
        <f t="shared" si="35"/>
        <v>1.0155025408545182</v>
      </c>
      <c r="AD260" s="16">
        <f t="shared" si="36"/>
        <v>5.4258892990813323E-3</v>
      </c>
      <c r="AE260" s="17">
        <f t="shared" si="37"/>
        <v>0.98473411908800035</v>
      </c>
      <c r="AF260" s="17">
        <f>AB260*(14.068*'Dataset sem TS MC2020'!$P252^-0.457)/$Q260</f>
        <v>0.93245913339667608</v>
      </c>
      <c r="AG260" s="17"/>
      <c r="AO260" s="3">
        <f>$AP$2*($AP$3+$AP$4*$F260/($N260*'Dataset sem TS MC2020'!P252))*($AP$5*$G260+$AP$6*$B260/$N260)*('Dataset sem TS MC2020'!P252^$AP$7/200000)*($J260-$M260)/($J260-$M260-$H260)+('Dataset sem TS MC2020'!P252-$C260/$AP$8)*($AP$5*$G260+$AP$6*$B260/$N260)/200000</f>
        <v>0.36433441984259018</v>
      </c>
      <c r="AP260" s="3">
        <f t="shared" si="38"/>
        <v>1.0409554852645435</v>
      </c>
      <c r="AQ260" s="16">
        <f t="shared" si="39"/>
        <v>1.4334419842590207E-2</v>
      </c>
    </row>
    <row r="261" spans="1:43" x14ac:dyDescent="0.3">
      <c r="A261" s="1" t="s">
        <v>57</v>
      </c>
      <c r="B261" s="4">
        <v>15.9</v>
      </c>
      <c r="C261" s="5">
        <v>392</v>
      </c>
      <c r="D261" s="5">
        <v>2</v>
      </c>
      <c r="E261" s="4">
        <v>46</v>
      </c>
      <c r="F261" s="3">
        <v>2.8258773978663156</v>
      </c>
      <c r="G261" s="4">
        <v>30</v>
      </c>
      <c r="H261" s="4">
        <v>38</v>
      </c>
      <c r="I261" s="1">
        <v>150</v>
      </c>
      <c r="J261" s="4">
        <v>250</v>
      </c>
      <c r="K261" s="5">
        <v>397.2</v>
      </c>
      <c r="L261" s="3">
        <v>17625</v>
      </c>
      <c r="M261" s="5">
        <v>70.061381209483116</v>
      </c>
      <c r="N261" s="8">
        <v>2.2536170212765955E-2</v>
      </c>
      <c r="O261" s="3">
        <v>27.2</v>
      </c>
      <c r="P261" s="5">
        <v>329.07434564323017</v>
      </c>
      <c r="Q261" s="3">
        <v>0.2</v>
      </c>
      <c r="R261" s="12">
        <f t="shared" si="32"/>
        <v>1.6453717282161509E-3</v>
      </c>
      <c r="V261" s="3">
        <f t="shared" si="30"/>
        <v>0.30741407475969845</v>
      </c>
      <c r="W261" s="3">
        <f t="shared" si="33"/>
        <v>1.5370703737984921</v>
      </c>
      <c r="Y261" s="3">
        <f t="shared" si="31"/>
        <v>0.30438289738944729</v>
      </c>
      <c r="Z261" s="3">
        <f t="shared" si="34"/>
        <v>1.5219144869472363</v>
      </c>
      <c r="AB261" s="3">
        <f>$AC$2*($AC$3+$AC$4*$F261/($N261*'Dataset sem TS MC2020'!P253))*($AC$5*$G261+$AC$6*$B261/$N261)*'Dataset sem TS MC2020'!R253*($J261-$M261)/($J261-$M261-$H261)</f>
        <v>0.32329656592413114</v>
      </c>
      <c r="AC261" s="3">
        <f t="shared" si="35"/>
        <v>1.6164828296206557</v>
      </c>
      <c r="AD261" s="16">
        <f t="shared" si="36"/>
        <v>0.12329656592413113</v>
      </c>
      <c r="AE261" s="17">
        <f t="shared" si="37"/>
        <v>0.61862704736224916</v>
      </c>
      <c r="AF261" s="17">
        <f>AB261*(14.068*'Dataset sem TS MC2020'!$P253^-0.457)/$Q261</f>
        <v>1.537884995126823</v>
      </c>
      <c r="AG261" s="17"/>
      <c r="AO261" s="3">
        <f>$AP$2*($AP$3+$AP$4*$F261/($N261*'Dataset sem TS MC2020'!P253))*($AP$5*$G261+$AP$6*$B261/$N261)*('Dataset sem TS MC2020'!P253^$AP$7/200000)*($J261-$M261)/($J261-$M261-$H261)+('Dataset sem TS MC2020'!P253-$C261/$AP$8)*($AP$5*$G261+$AP$6*$B261/$N261)/200000</f>
        <v>0.33494891386154363</v>
      </c>
      <c r="AP261" s="3">
        <f t="shared" si="38"/>
        <v>1.6747445693077181</v>
      </c>
      <c r="AQ261" s="16">
        <f t="shared" si="39"/>
        <v>0.13494891386154362</v>
      </c>
    </row>
    <row r="262" spans="1:43" x14ac:dyDescent="0.3">
      <c r="B262" s="4">
        <v>15.9</v>
      </c>
      <c r="C262" s="5">
        <v>392</v>
      </c>
      <c r="D262" s="5">
        <v>2</v>
      </c>
      <c r="E262" s="4">
        <v>46</v>
      </c>
      <c r="F262" s="3">
        <v>2.8258773978663156</v>
      </c>
      <c r="G262" s="4">
        <v>30</v>
      </c>
      <c r="H262" s="4">
        <v>38</v>
      </c>
      <c r="I262" s="1">
        <v>150</v>
      </c>
      <c r="J262" s="4">
        <v>250</v>
      </c>
      <c r="K262" s="5">
        <v>397.2</v>
      </c>
      <c r="L262" s="3">
        <v>17625</v>
      </c>
      <c r="M262" s="5">
        <v>70.061381209483116</v>
      </c>
      <c r="N262" s="8">
        <v>2.2536170212765955E-2</v>
      </c>
      <c r="O262" s="3">
        <v>35.6</v>
      </c>
      <c r="P262" s="5">
        <v>367.24084443015647</v>
      </c>
      <c r="Q262" s="3">
        <v>0.25</v>
      </c>
      <c r="R262" s="12">
        <f t="shared" si="32"/>
        <v>1.8362042221507823E-3</v>
      </c>
      <c r="V262" s="3">
        <f t="shared" si="30"/>
        <v>0.328948633226126</v>
      </c>
      <c r="W262" s="3">
        <f t="shared" si="33"/>
        <v>1.315794532904504</v>
      </c>
      <c r="Y262" s="3">
        <f t="shared" si="31"/>
        <v>0.32609850810516861</v>
      </c>
      <c r="Z262" s="3">
        <f t="shared" si="34"/>
        <v>1.3043940324206744</v>
      </c>
      <c r="AB262" s="3">
        <f>$AC$2*($AC$3+$AC$4*$F262/($N262*'Dataset sem TS MC2020'!P254))*($AC$5*$G262+$AC$6*$B262/$N262)*'Dataset sem TS MC2020'!R254*($J262-$M262)/($J262-$M262-$H262)</f>
        <v>0.35542588929908131</v>
      </c>
      <c r="AC262" s="3">
        <f t="shared" si="35"/>
        <v>1.4217035571963252</v>
      </c>
      <c r="AD262" s="16">
        <f t="shared" si="36"/>
        <v>0.10542588929908131</v>
      </c>
      <c r="AE262" s="17">
        <f t="shared" si="37"/>
        <v>0.70338151363428603</v>
      </c>
      <c r="AF262" s="17">
        <f>AB262*(14.068*'Dataset sem TS MC2020'!$P254^-0.457)/$Q262</f>
        <v>1.3054427867553464</v>
      </c>
      <c r="AG262" s="17"/>
      <c r="AO262" s="3">
        <f>$AP$2*($AP$3+$AP$4*$F262/($N262*'Dataset sem TS MC2020'!P254))*($AP$5*$G262+$AP$6*$B262/$N262)*('Dataset sem TS MC2020'!P254^$AP$7/200000)*($J262-$M262)/($J262-$M262-$H262)+('Dataset sem TS MC2020'!P254-$C262/$AP$8)*($AP$5*$G262+$AP$6*$B262/$N262)/200000</f>
        <v>0.36433441984259018</v>
      </c>
      <c r="AP262" s="3">
        <f t="shared" si="38"/>
        <v>1.4573376793703607</v>
      </c>
      <c r="AQ262" s="16">
        <f t="shared" si="39"/>
        <v>0.11433441984259018</v>
      </c>
    </row>
    <row r="263" spans="1:43" x14ac:dyDescent="0.3">
      <c r="A263" s="1" t="s">
        <v>58</v>
      </c>
      <c r="B263" s="4">
        <v>15.9</v>
      </c>
      <c r="C263" s="5">
        <v>392</v>
      </c>
      <c r="D263" s="5">
        <v>2</v>
      </c>
      <c r="E263" s="4">
        <v>46</v>
      </c>
      <c r="F263" s="3">
        <v>2.8258773978663156</v>
      </c>
      <c r="G263" s="4">
        <v>30</v>
      </c>
      <c r="H263" s="4">
        <v>38</v>
      </c>
      <c r="I263" s="1">
        <v>150</v>
      </c>
      <c r="J263" s="4">
        <v>250</v>
      </c>
      <c r="K263" s="5">
        <v>397.2</v>
      </c>
      <c r="L263" s="3">
        <v>17625</v>
      </c>
      <c r="M263" s="5">
        <v>70.061381209483116</v>
      </c>
      <c r="N263" s="8">
        <v>2.2536170212765955E-2</v>
      </c>
      <c r="O263" s="3">
        <v>27.2</v>
      </c>
      <c r="P263" s="5">
        <v>329.07434564323017</v>
      </c>
      <c r="Q263" s="3">
        <v>0.2</v>
      </c>
      <c r="R263" s="12">
        <f t="shared" si="32"/>
        <v>1.6453717282161509E-3</v>
      </c>
      <c r="V263" s="3">
        <f t="shared" si="30"/>
        <v>0.30741407475969845</v>
      </c>
      <c r="W263" s="3">
        <f t="shared" si="33"/>
        <v>1.5370703737984921</v>
      </c>
      <c r="Y263" s="3">
        <f t="shared" si="31"/>
        <v>0.30438289738944729</v>
      </c>
      <c r="Z263" s="3">
        <f t="shared" si="34"/>
        <v>1.5219144869472363</v>
      </c>
      <c r="AB263" s="3">
        <f>$AC$2*($AC$3+$AC$4*$F263/($N263*'Dataset sem TS MC2020'!P255))*($AC$5*$G263+$AC$6*$B263/$N263)*'Dataset sem TS MC2020'!R255*($J263-$M263)/($J263-$M263-$H263)</f>
        <v>0.32329656592413114</v>
      </c>
      <c r="AC263" s="3">
        <f t="shared" si="35"/>
        <v>1.6164828296206557</v>
      </c>
      <c r="AD263" s="16">
        <f t="shared" si="36"/>
        <v>0.12329656592413113</v>
      </c>
      <c r="AE263" s="17">
        <f t="shared" si="37"/>
        <v>0.61862704736224916</v>
      </c>
      <c r="AF263" s="17">
        <f>AB263*(14.068*'Dataset sem TS MC2020'!$P255^-0.457)/$Q263</f>
        <v>1.537884995126823</v>
      </c>
      <c r="AG263" s="17"/>
      <c r="AO263" s="3">
        <f>$AP$2*($AP$3+$AP$4*$F263/($N263*'Dataset sem TS MC2020'!P255))*($AP$5*$G263+$AP$6*$B263/$N263)*('Dataset sem TS MC2020'!P255^$AP$7/200000)*($J263-$M263)/($J263-$M263-$H263)+('Dataset sem TS MC2020'!P255-$C263/$AP$8)*($AP$5*$G263+$AP$6*$B263/$N263)/200000</f>
        <v>0.33494891386154363</v>
      </c>
      <c r="AP263" s="3">
        <f t="shared" si="38"/>
        <v>1.6747445693077181</v>
      </c>
      <c r="AQ263" s="16">
        <f t="shared" si="39"/>
        <v>0.13494891386154362</v>
      </c>
    </row>
    <row r="264" spans="1:43" x14ac:dyDescent="0.3">
      <c r="B264" s="4">
        <v>15.9</v>
      </c>
      <c r="C264" s="5">
        <v>392</v>
      </c>
      <c r="D264" s="5">
        <v>2</v>
      </c>
      <c r="E264" s="4">
        <v>46</v>
      </c>
      <c r="F264" s="3">
        <v>2.8258773978663156</v>
      </c>
      <c r="G264" s="4">
        <v>30</v>
      </c>
      <c r="H264" s="4">
        <v>38</v>
      </c>
      <c r="I264" s="1">
        <v>150</v>
      </c>
      <c r="J264" s="4">
        <v>250</v>
      </c>
      <c r="K264" s="5">
        <v>397.2</v>
      </c>
      <c r="L264" s="3">
        <v>17625</v>
      </c>
      <c r="M264" s="5">
        <v>70.061381209483116</v>
      </c>
      <c r="N264" s="8">
        <v>2.2536170212765955E-2</v>
      </c>
      <c r="O264" s="3">
        <v>35.6</v>
      </c>
      <c r="P264" s="5">
        <v>367.24084443015647</v>
      </c>
      <c r="Q264" s="3">
        <v>0.25</v>
      </c>
      <c r="R264" s="12">
        <f t="shared" si="32"/>
        <v>1.8362042221507823E-3</v>
      </c>
      <c r="V264" s="3">
        <f t="shared" si="30"/>
        <v>0.328948633226126</v>
      </c>
      <c r="W264" s="3">
        <f t="shared" si="33"/>
        <v>1.315794532904504</v>
      </c>
      <c r="Y264" s="3">
        <f t="shared" si="31"/>
        <v>0.32609850810516861</v>
      </c>
      <c r="Z264" s="3">
        <f t="shared" si="34"/>
        <v>1.3043940324206744</v>
      </c>
      <c r="AB264" s="3">
        <f>$AC$2*($AC$3+$AC$4*$F264/($N264*'Dataset sem TS MC2020'!P256))*($AC$5*$G264+$AC$6*$B264/$N264)*'Dataset sem TS MC2020'!R256*($J264-$M264)/($J264-$M264-$H264)</f>
        <v>0.35542588929908131</v>
      </c>
      <c r="AC264" s="3">
        <f t="shared" si="35"/>
        <v>1.4217035571963252</v>
      </c>
      <c r="AD264" s="16">
        <f t="shared" si="36"/>
        <v>0.10542588929908131</v>
      </c>
      <c r="AE264" s="17">
        <f t="shared" si="37"/>
        <v>0.70338151363428603</v>
      </c>
      <c r="AF264" s="17">
        <f>AB264*(14.068*'Dataset sem TS MC2020'!$P256^-0.457)/$Q264</f>
        <v>1.3054427867553464</v>
      </c>
      <c r="AG264" s="17"/>
      <c r="AO264" s="3">
        <f>$AP$2*($AP$3+$AP$4*$F264/($N264*'Dataset sem TS MC2020'!P256))*($AP$5*$G264+$AP$6*$B264/$N264)*('Dataset sem TS MC2020'!P256^$AP$7/200000)*($J264-$M264)/($J264-$M264-$H264)+('Dataset sem TS MC2020'!P256-$C264/$AP$8)*($AP$5*$G264+$AP$6*$B264/$N264)/200000</f>
        <v>0.36433441984259018</v>
      </c>
      <c r="AP264" s="3">
        <f t="shared" si="38"/>
        <v>1.4573376793703607</v>
      </c>
      <c r="AQ264" s="16">
        <f t="shared" si="39"/>
        <v>0.11433441984259018</v>
      </c>
    </row>
    <row r="265" spans="1:43" x14ac:dyDescent="0.3">
      <c r="A265" s="1" t="s">
        <v>59</v>
      </c>
      <c r="B265" s="4">
        <v>15.9</v>
      </c>
      <c r="C265" s="5">
        <v>392</v>
      </c>
      <c r="D265" s="5">
        <v>2</v>
      </c>
      <c r="E265" s="4">
        <v>46</v>
      </c>
      <c r="F265" s="3">
        <v>2.8258773978663156</v>
      </c>
      <c r="G265" s="4">
        <v>30</v>
      </c>
      <c r="H265" s="4">
        <v>38</v>
      </c>
      <c r="I265" s="1">
        <v>150</v>
      </c>
      <c r="J265" s="4">
        <v>250</v>
      </c>
      <c r="K265" s="5">
        <v>397.2</v>
      </c>
      <c r="L265" s="3">
        <v>17625</v>
      </c>
      <c r="M265" s="5">
        <v>70.061381209483116</v>
      </c>
      <c r="N265" s="8">
        <v>2.2536170212765955E-2</v>
      </c>
      <c r="O265" s="3">
        <v>27.3</v>
      </c>
      <c r="P265" s="5">
        <v>330.81302253363384</v>
      </c>
      <c r="Q265" s="3">
        <v>0.2</v>
      </c>
      <c r="R265" s="12">
        <f t="shared" si="32"/>
        <v>1.6540651126681692E-3</v>
      </c>
      <c r="V265" s="3">
        <f t="shared" si="30"/>
        <v>0.30841521563718532</v>
      </c>
      <c r="W265" s="3">
        <f t="shared" si="33"/>
        <v>1.5420760781859266</v>
      </c>
      <c r="Y265" s="3">
        <f t="shared" si="31"/>
        <v>0.30539186858331779</v>
      </c>
      <c r="Z265" s="3">
        <f t="shared" si="34"/>
        <v>1.5269593429165889</v>
      </c>
      <c r="AB265" s="3">
        <f>$AC$2*($AC$3+$AC$4*$F265/($N265*'Dataset sem TS MC2020'!P257))*($AC$5*$G265+$AC$6*$B265/$N265)*'Dataset sem TS MC2020'!R257*($J265-$M265)/($J265-$M265-$H265)</f>
        <v>0.3247602189662453</v>
      </c>
      <c r="AC265" s="3">
        <f t="shared" si="35"/>
        <v>1.6238010948312265</v>
      </c>
      <c r="AD265" s="16">
        <f t="shared" si="36"/>
        <v>0.12476021896624528</v>
      </c>
      <c r="AE265" s="17">
        <f t="shared" si="37"/>
        <v>0.61583897386393704</v>
      </c>
      <c r="AF265" s="17">
        <f>AB265*(14.068*'Dataset sem TS MC2020'!$P257^-0.457)/$Q265</f>
        <v>1.5422587862001325</v>
      </c>
      <c r="AG265" s="17"/>
      <c r="AO265" s="3">
        <f>$AP$2*($AP$3+$AP$4*$F265/($N265*'Dataset sem TS MC2020'!P257))*($AP$5*$G265+$AP$6*$B265/$N265)*('Dataset sem TS MC2020'!P257^$AP$7/200000)*($J265-$M265)/($J265-$M265-$H265)+('Dataset sem TS MC2020'!P257-$C265/$AP$8)*($AP$5*$G265+$AP$6*$B265/$N265)/200000</f>
        <v>0.33629783315685607</v>
      </c>
      <c r="AP265" s="3">
        <f t="shared" si="38"/>
        <v>1.6814891657842803</v>
      </c>
      <c r="AQ265" s="16">
        <f t="shared" si="39"/>
        <v>0.13629783315685606</v>
      </c>
    </row>
    <row r="266" spans="1:43" x14ac:dyDescent="0.3">
      <c r="B266" s="4">
        <v>15.9</v>
      </c>
      <c r="C266" s="5">
        <v>392</v>
      </c>
      <c r="D266" s="5">
        <v>2</v>
      </c>
      <c r="E266" s="4">
        <v>46</v>
      </c>
      <c r="F266" s="3">
        <v>2.8258773978663156</v>
      </c>
      <c r="G266" s="4">
        <v>30</v>
      </c>
      <c r="H266" s="4">
        <v>38</v>
      </c>
      <c r="I266" s="1">
        <v>150</v>
      </c>
      <c r="J266" s="4">
        <v>250</v>
      </c>
      <c r="K266" s="5">
        <v>397.2</v>
      </c>
      <c r="L266" s="3">
        <v>17625</v>
      </c>
      <c r="M266" s="5">
        <v>70.061381209483116</v>
      </c>
      <c r="N266" s="8">
        <v>2.2536170212765955E-2</v>
      </c>
      <c r="O266" s="3">
        <v>35.700000000000003</v>
      </c>
      <c r="P266" s="5">
        <v>367.24084443015647</v>
      </c>
      <c r="Q266" s="3">
        <v>0.3</v>
      </c>
      <c r="R266" s="12">
        <f t="shared" si="32"/>
        <v>1.8362042221507823E-3</v>
      </c>
      <c r="V266" s="3">
        <f t="shared" si="30"/>
        <v>0.328948633226126</v>
      </c>
      <c r="W266" s="3">
        <f t="shared" si="33"/>
        <v>1.0964954440870867</v>
      </c>
      <c r="Y266" s="3">
        <f t="shared" si="31"/>
        <v>0.32609850810516861</v>
      </c>
      <c r="Z266" s="3">
        <f t="shared" si="34"/>
        <v>1.0869950270172288</v>
      </c>
      <c r="AB266" s="3">
        <f>$AC$2*($AC$3+$AC$4*$F266/($N266*'Dataset sem TS MC2020'!P258))*($AC$5*$G266+$AC$6*$B266/$N266)*'Dataset sem TS MC2020'!R258*($J266-$M266)/($J266-$M266-$H266)</f>
        <v>0.35542588929908131</v>
      </c>
      <c r="AC266" s="3">
        <f t="shared" si="35"/>
        <v>1.184752964330271</v>
      </c>
      <c r="AD266" s="16">
        <f t="shared" si="36"/>
        <v>5.5425889299081321E-2</v>
      </c>
      <c r="AE266" s="17">
        <f t="shared" si="37"/>
        <v>0.8440578163611433</v>
      </c>
      <c r="AF266" s="17">
        <f>AB266*(14.068*'Dataset sem TS MC2020'!$P258^-0.457)/$Q266</f>
        <v>1.0878689889627888</v>
      </c>
      <c r="AG266" s="17"/>
      <c r="AO266" s="3">
        <f>$AP$2*($AP$3+$AP$4*$F266/($N266*'Dataset sem TS MC2020'!P258))*($AP$5*$G266+$AP$6*$B266/$N266)*('Dataset sem TS MC2020'!P258^$AP$7/200000)*($J266-$M266)/($J266-$M266-$H266)+('Dataset sem TS MC2020'!P258-$C266/$AP$8)*($AP$5*$G266+$AP$6*$B266/$N266)/200000</f>
        <v>0.36433441984259018</v>
      </c>
      <c r="AP266" s="3">
        <f t="shared" si="38"/>
        <v>1.2144480661419674</v>
      </c>
      <c r="AQ266" s="16">
        <f t="shared" si="39"/>
        <v>6.4334419842590196E-2</v>
      </c>
    </row>
    <row r="267" spans="1:43" x14ac:dyDescent="0.3">
      <c r="A267" s="1" t="s">
        <v>60</v>
      </c>
      <c r="B267" s="4">
        <v>12.7</v>
      </c>
      <c r="C267" s="5">
        <v>392</v>
      </c>
      <c r="D267" s="5">
        <v>2</v>
      </c>
      <c r="E267" s="4">
        <v>52</v>
      </c>
      <c r="F267" s="3">
        <v>2.9208758709847928</v>
      </c>
      <c r="G267" s="4">
        <v>30</v>
      </c>
      <c r="H267" s="4">
        <v>36.5</v>
      </c>
      <c r="I267" s="1">
        <v>150</v>
      </c>
      <c r="J267" s="4">
        <v>250</v>
      </c>
      <c r="K267" s="5">
        <v>253.4</v>
      </c>
      <c r="L267" s="3">
        <v>15000</v>
      </c>
      <c r="M267" s="5">
        <v>58.075942632487219</v>
      </c>
      <c r="N267" s="8">
        <v>1.6893333333333333E-2</v>
      </c>
      <c r="O267" s="3">
        <v>15.6</v>
      </c>
      <c r="P267" s="5">
        <v>253.37547675213438</v>
      </c>
      <c r="Q267" s="3">
        <v>0.15</v>
      </c>
      <c r="R267" s="12">
        <f t="shared" si="32"/>
        <v>1.2668773837606719E-3</v>
      </c>
      <c r="V267" s="3">
        <f t="shared" ref="V267:V330" si="40">$W$2*($W$3*$G267+$W$4*$B267^$W$5*$N267^$W$6)*$R267^$W$7</f>
        <v>0.25366753369805239</v>
      </c>
      <c r="W267" s="3">
        <f t="shared" si="33"/>
        <v>1.6911168913203494</v>
      </c>
      <c r="Y267" s="3">
        <f t="shared" ref="Y267:Y330" si="41">$Z$2*$B267^$Z$3*$R267^$Z$4*($Z$5*$N267^$Z$6+$Z$7)</f>
        <v>0.25054566105320986</v>
      </c>
      <c r="Z267" s="3">
        <f t="shared" si="34"/>
        <v>1.670304407021399</v>
      </c>
      <c r="AB267" s="3">
        <f>$AC$2*($AC$3+$AC$4*$F267/($N267*'Dataset sem TS MC2020'!P259))*($AC$5*$G267+$AC$6*$B267/$N267)*'Dataset sem TS MC2020'!R259*($J267-$M267)/($J267-$M267-$H267)</f>
        <v>0.25026049182946475</v>
      </c>
      <c r="AC267" s="3">
        <f t="shared" si="35"/>
        <v>1.6684032788630985</v>
      </c>
      <c r="AD267" s="16">
        <f t="shared" si="36"/>
        <v>0.10026049182946475</v>
      </c>
      <c r="AE267" s="17">
        <f t="shared" si="37"/>
        <v>0.59937547034877015</v>
      </c>
      <c r="AF267" s="17">
        <f>AB267*(14.068*'Dataset sem TS MC2020'!$P259^-0.457)/$Q267</f>
        <v>1.6884376316730942</v>
      </c>
      <c r="AG267" s="17"/>
      <c r="AO267" s="3">
        <f>$AP$2*($AP$3+$AP$4*$F267/($N267*'Dataset sem TS MC2020'!P259))*($AP$5*$G267+$AP$6*$B267/$N267)*('Dataset sem TS MC2020'!P259^$AP$7/200000)*($J267-$M267)/($J267-$M267-$H267)+('Dataset sem TS MC2020'!P259-$C267/$AP$8)*($AP$5*$G267+$AP$6*$B267/$N267)/200000</f>
        <v>0.26500592172208459</v>
      </c>
      <c r="AP267" s="3">
        <f t="shared" si="38"/>
        <v>1.7667061448138974</v>
      </c>
      <c r="AQ267" s="16">
        <f t="shared" si="39"/>
        <v>0.1150059217220846</v>
      </c>
    </row>
    <row r="268" spans="1:43" x14ac:dyDescent="0.3">
      <c r="B268" s="4">
        <v>12.7</v>
      </c>
      <c r="C268" s="5">
        <v>392</v>
      </c>
      <c r="D268" s="5">
        <v>2</v>
      </c>
      <c r="E268" s="4">
        <v>52</v>
      </c>
      <c r="F268" s="3">
        <v>2.9208758709847928</v>
      </c>
      <c r="G268" s="4">
        <v>30</v>
      </c>
      <c r="H268" s="4">
        <v>36.5</v>
      </c>
      <c r="I268" s="1">
        <v>150</v>
      </c>
      <c r="J268" s="4">
        <v>250</v>
      </c>
      <c r="K268" s="5">
        <v>253.4</v>
      </c>
      <c r="L268" s="3">
        <v>15000</v>
      </c>
      <c r="M268" s="5">
        <v>58.075942632487219</v>
      </c>
      <c r="N268" s="8">
        <v>1.6893333333333333E-2</v>
      </c>
      <c r="O268" s="3">
        <v>19.600000000000001</v>
      </c>
      <c r="P268" s="5">
        <v>358.91093839498222</v>
      </c>
      <c r="Q268" s="3">
        <v>0.2</v>
      </c>
      <c r="R268" s="12">
        <f t="shared" ref="R268:R331" si="42">P268/200000</f>
        <v>1.794554691974911E-3</v>
      </c>
      <c r="V268" s="3">
        <f t="shared" si="40"/>
        <v>0.31446254992631384</v>
      </c>
      <c r="W268" s="3">
        <f t="shared" ref="W268:W331" si="43">V268/$Q268</f>
        <v>1.5723127496315692</v>
      </c>
      <c r="Y268" s="3">
        <f t="shared" si="41"/>
        <v>0.31178439491062332</v>
      </c>
      <c r="Z268" s="3">
        <f t="shared" ref="Z268:Z331" si="44">Y268/$Q268</f>
        <v>1.5589219745531164</v>
      </c>
      <c r="AB268" s="3">
        <f>$AC$2*($AC$3+$AC$4*$F268/($N268*'Dataset sem TS MC2020'!P260))*($AC$5*$G268+$AC$6*$B268/$N268)*'Dataset sem TS MC2020'!R260*($J268-$M268)/($J268-$M268-$H268)</f>
        <v>0.33463611384387143</v>
      </c>
      <c r="AC268" s="3">
        <f t="shared" ref="AC268:AC331" si="45">AB268/$Q268</f>
        <v>1.6731805692193571</v>
      </c>
      <c r="AD268" s="16">
        <f t="shared" ref="AD268:AD331" si="46">AB268-$Q268</f>
        <v>0.13463611384387142</v>
      </c>
      <c r="AE268" s="17">
        <f t="shared" ref="AE268:AE331" si="47">1/AC268</f>
        <v>0.59766412448033768</v>
      </c>
      <c r="AF268" s="17">
        <f>AB268*(14.068*'Dataset sem TS MC2020'!$P260^-0.457)/$Q268</f>
        <v>1.5363550959484509</v>
      </c>
      <c r="AG268" s="17"/>
      <c r="AO268" s="3">
        <f>$AP$2*($AP$3+$AP$4*$F268/($N268*'Dataset sem TS MC2020'!P260))*($AP$5*$G268+$AP$6*$B268/$N268)*('Dataset sem TS MC2020'!P260^$AP$7/200000)*($J268-$M268)/($J268-$M268-$H268)+('Dataset sem TS MC2020'!P260-$C268/$AP$8)*($AP$5*$G268+$AP$6*$B268/$N268)/200000</f>
        <v>0.34468909988261098</v>
      </c>
      <c r="AP268" s="3">
        <f t="shared" ref="AP268:AP331" si="48">AO268/$Q268</f>
        <v>1.7234454994130548</v>
      </c>
      <c r="AQ268" s="16">
        <f t="shared" ref="AQ268:AQ331" si="49">AO268-$Q268</f>
        <v>0.14468909988261097</v>
      </c>
    </row>
    <row r="269" spans="1:43" x14ac:dyDescent="0.3">
      <c r="A269" s="1" t="s">
        <v>61</v>
      </c>
      <c r="B269" s="4">
        <v>12.7</v>
      </c>
      <c r="C269" s="5">
        <v>392</v>
      </c>
      <c r="D269" s="5">
        <v>2</v>
      </c>
      <c r="E269" s="4">
        <v>52</v>
      </c>
      <c r="F269" s="3">
        <v>2.9208758709847928</v>
      </c>
      <c r="G269" s="4">
        <v>30</v>
      </c>
      <c r="H269" s="4">
        <v>36.5</v>
      </c>
      <c r="I269" s="1">
        <v>150</v>
      </c>
      <c r="J269" s="4">
        <v>250</v>
      </c>
      <c r="K269" s="5">
        <v>253.4</v>
      </c>
      <c r="L269" s="3">
        <v>15000</v>
      </c>
      <c r="M269" s="5">
        <v>58.075942632487219</v>
      </c>
      <c r="N269" s="8">
        <v>1.6893333333333333E-2</v>
      </c>
      <c r="O269" s="3">
        <v>15.7</v>
      </c>
      <c r="P269" s="5">
        <v>256.22827785507121</v>
      </c>
      <c r="Q269" s="3">
        <v>0.15</v>
      </c>
      <c r="R269" s="12">
        <f t="shared" si="42"/>
        <v>1.2811413892753561E-3</v>
      </c>
      <c r="V269" s="3">
        <f t="shared" si="40"/>
        <v>0.25542596090969383</v>
      </c>
      <c r="W269" s="3">
        <f t="shared" si="43"/>
        <v>1.7028397393979589</v>
      </c>
      <c r="Y269" s="3">
        <f t="shared" si="41"/>
        <v>0.25231352015900271</v>
      </c>
      <c r="Z269" s="3">
        <f t="shared" si="44"/>
        <v>1.6820901343933514</v>
      </c>
      <c r="AB269" s="3">
        <f>$AC$2*($AC$3+$AC$4*$F269/($N269*'Dataset sem TS MC2020'!P261))*($AC$5*$G269+$AC$6*$B269/$N269)*'Dataset sem TS MC2020'!R261*($J269-$M269)/($J269-$M269-$H269)</f>
        <v>0.25254130686354564</v>
      </c>
      <c r="AC269" s="3">
        <f t="shared" si="45"/>
        <v>1.6836087124236376</v>
      </c>
      <c r="AD269" s="16">
        <f t="shared" si="46"/>
        <v>0.10254130686354565</v>
      </c>
      <c r="AE269" s="17">
        <f t="shared" si="47"/>
        <v>0.59396223874397203</v>
      </c>
      <c r="AF269" s="17">
        <f>AB269*(14.068*'Dataset sem TS MC2020'!$P261^-0.457)/$Q269</f>
        <v>1.6988575053854205</v>
      </c>
      <c r="AG269" s="17"/>
      <c r="AO269" s="3">
        <f>$AP$2*($AP$3+$AP$4*$F269/($N269*'Dataset sem TS MC2020'!P261))*($AP$5*$G269+$AP$6*$B269/$N269)*('Dataset sem TS MC2020'!P261^$AP$7/200000)*($J269-$M269)/($J269-$M269-$H269)+('Dataset sem TS MC2020'!P261-$C269/$AP$8)*($AP$5*$G269+$AP$6*$B269/$N269)/200000</f>
        <v>0.26721137965156583</v>
      </c>
      <c r="AP269" s="3">
        <f t="shared" si="48"/>
        <v>1.7814091976771056</v>
      </c>
      <c r="AQ269" s="16">
        <f t="shared" si="49"/>
        <v>0.11721137965156583</v>
      </c>
    </row>
    <row r="270" spans="1:43" x14ac:dyDescent="0.3">
      <c r="B270" s="4">
        <v>12.7</v>
      </c>
      <c r="C270" s="5">
        <v>392</v>
      </c>
      <c r="D270" s="5">
        <v>2</v>
      </c>
      <c r="E270" s="4">
        <v>52</v>
      </c>
      <c r="F270" s="3">
        <v>2.9208758709847928</v>
      </c>
      <c r="G270" s="4">
        <v>30</v>
      </c>
      <c r="H270" s="4">
        <v>36.5</v>
      </c>
      <c r="I270" s="1">
        <v>150</v>
      </c>
      <c r="J270" s="4">
        <v>250</v>
      </c>
      <c r="K270" s="5">
        <v>253.4</v>
      </c>
      <c r="L270" s="3">
        <v>15000</v>
      </c>
      <c r="M270" s="5">
        <v>58.075942632487219</v>
      </c>
      <c r="N270" s="8">
        <v>1.6893333333333333E-2</v>
      </c>
      <c r="O270" s="3">
        <v>19.600000000000001</v>
      </c>
      <c r="P270" s="5">
        <v>358.91093839498222</v>
      </c>
      <c r="Q270" s="3">
        <v>0.2</v>
      </c>
      <c r="R270" s="12">
        <f t="shared" si="42"/>
        <v>1.794554691974911E-3</v>
      </c>
      <c r="V270" s="3">
        <f t="shared" si="40"/>
        <v>0.31446254992631384</v>
      </c>
      <c r="W270" s="3">
        <f t="shared" si="43"/>
        <v>1.5723127496315692</v>
      </c>
      <c r="Y270" s="3">
        <f t="shared" si="41"/>
        <v>0.31178439491062332</v>
      </c>
      <c r="Z270" s="3">
        <f t="shared" si="44"/>
        <v>1.5589219745531164</v>
      </c>
      <c r="AB270" s="3">
        <f>$AC$2*($AC$3+$AC$4*$F270/($N270*'Dataset sem TS MC2020'!P262))*($AC$5*$G270+$AC$6*$B270/$N270)*'Dataset sem TS MC2020'!R262*($J270-$M270)/($J270-$M270-$H270)</f>
        <v>0.33463611384387143</v>
      </c>
      <c r="AC270" s="3">
        <f t="shared" si="45"/>
        <v>1.6731805692193571</v>
      </c>
      <c r="AD270" s="16">
        <f t="shared" si="46"/>
        <v>0.13463611384387142</v>
      </c>
      <c r="AE270" s="17">
        <f t="shared" si="47"/>
        <v>0.59766412448033768</v>
      </c>
      <c r="AF270" s="17">
        <f>AB270*(14.068*'Dataset sem TS MC2020'!$P262^-0.457)/$Q270</f>
        <v>1.5363550959484509</v>
      </c>
      <c r="AG270" s="17"/>
      <c r="AO270" s="3">
        <f>$AP$2*($AP$3+$AP$4*$F270/($N270*'Dataset sem TS MC2020'!P262))*($AP$5*$G270+$AP$6*$B270/$N270)*('Dataset sem TS MC2020'!P262^$AP$7/200000)*($J270-$M270)/($J270-$M270-$H270)+('Dataset sem TS MC2020'!P262-$C270/$AP$8)*($AP$5*$G270+$AP$6*$B270/$N270)/200000</f>
        <v>0.34468909988261098</v>
      </c>
      <c r="AP270" s="3">
        <f t="shared" si="48"/>
        <v>1.7234454994130548</v>
      </c>
      <c r="AQ270" s="16">
        <f t="shared" si="49"/>
        <v>0.14468909988261097</v>
      </c>
    </row>
    <row r="271" spans="1:43" x14ac:dyDescent="0.3">
      <c r="A271" s="1" t="s">
        <v>62</v>
      </c>
      <c r="B271" s="4">
        <v>15.9</v>
      </c>
      <c r="C271" s="5">
        <v>392</v>
      </c>
      <c r="D271" s="5">
        <v>2</v>
      </c>
      <c r="E271" s="4">
        <v>46</v>
      </c>
      <c r="F271" s="3">
        <v>2.9208758709847928</v>
      </c>
      <c r="G271" s="4">
        <v>30</v>
      </c>
      <c r="H271" s="4">
        <v>38</v>
      </c>
      <c r="I271" s="1">
        <v>150</v>
      </c>
      <c r="J271" s="4">
        <v>250</v>
      </c>
      <c r="K271" s="5">
        <v>397.2</v>
      </c>
      <c r="L271" s="3">
        <v>17625</v>
      </c>
      <c r="M271" s="5">
        <v>69.597967277749476</v>
      </c>
      <c r="N271" s="8">
        <v>2.2536170212765955E-2</v>
      </c>
      <c r="O271" s="3">
        <v>19.5</v>
      </c>
      <c r="P271" s="5">
        <v>192.8715534680332</v>
      </c>
      <c r="Q271" s="3">
        <v>0.15</v>
      </c>
      <c r="R271" s="12">
        <f t="shared" si="42"/>
        <v>9.6435776734016601E-4</v>
      </c>
      <c r="V271" s="3">
        <f t="shared" si="40"/>
        <v>0.22108730173482219</v>
      </c>
      <c r="W271" s="3">
        <f t="shared" si="43"/>
        <v>1.4739153448988147</v>
      </c>
      <c r="Y271" s="3">
        <f t="shared" si="41"/>
        <v>0.21762461421257939</v>
      </c>
      <c r="Z271" s="3">
        <f t="shared" si="44"/>
        <v>1.450830761417196</v>
      </c>
      <c r="AB271" s="3">
        <f>$AC$2*($AC$3+$AC$4*$F271/($N271*'Dataset sem TS MC2020'!P263))*($AC$5*$G271+$AC$6*$B271/$N271)*'Dataset sem TS MC2020'!R263*($J271-$M271)/($J271-$M271-$H271)</f>
        <v>0.20770377337314669</v>
      </c>
      <c r="AC271" s="3">
        <f t="shared" si="45"/>
        <v>1.3846918224876446</v>
      </c>
      <c r="AD271" s="16">
        <f t="shared" si="46"/>
        <v>5.7703773373146694E-2</v>
      </c>
      <c r="AE271" s="17">
        <f t="shared" si="47"/>
        <v>0.72218235405150799</v>
      </c>
      <c r="AF271" s="17">
        <f>AB271*(14.068*'Dataset sem TS MC2020'!$P263^-0.457)/$Q271</f>
        <v>1.5343361377572293</v>
      </c>
      <c r="AG271" s="17"/>
      <c r="AO271" s="3">
        <f>$AP$2*($AP$3+$AP$4*$F271/($N271*'Dataset sem TS MC2020'!P263))*($AP$5*$G271+$AP$6*$B271/$N271)*('Dataset sem TS MC2020'!P263^$AP$7/200000)*($J271-$M271)/($J271-$M271-$H271)+('Dataset sem TS MC2020'!P263-$C271/$AP$8)*($AP$5*$G271+$AP$6*$B271/$N271)/200000</f>
        <v>0.22442384846679586</v>
      </c>
      <c r="AP271" s="3">
        <f t="shared" si="48"/>
        <v>1.4961589897786391</v>
      </c>
      <c r="AQ271" s="16">
        <f t="shared" si="49"/>
        <v>7.4423848466795867E-2</v>
      </c>
    </row>
    <row r="272" spans="1:43" x14ac:dyDescent="0.3">
      <c r="B272" s="4">
        <v>15.9</v>
      </c>
      <c r="C272" s="5">
        <v>392</v>
      </c>
      <c r="D272" s="5">
        <v>2</v>
      </c>
      <c r="E272" s="4">
        <v>46</v>
      </c>
      <c r="F272" s="3">
        <v>2.9208758709847928</v>
      </c>
      <c r="G272" s="4">
        <v>30</v>
      </c>
      <c r="H272" s="4">
        <v>38</v>
      </c>
      <c r="I272" s="1">
        <v>150</v>
      </c>
      <c r="J272" s="4">
        <v>250</v>
      </c>
      <c r="K272" s="5">
        <v>397.2</v>
      </c>
      <c r="L272" s="3">
        <v>17625</v>
      </c>
      <c r="M272" s="5">
        <v>69.597967277749476</v>
      </c>
      <c r="N272" s="8">
        <v>2.2536170212765955E-2</v>
      </c>
      <c r="O272" s="3">
        <v>27.4</v>
      </c>
      <c r="P272" s="5">
        <v>331.11762492551475</v>
      </c>
      <c r="Q272" s="3">
        <v>0.25</v>
      </c>
      <c r="R272" s="12">
        <f t="shared" si="42"/>
        <v>1.6555881246275738E-3</v>
      </c>
      <c r="V272" s="3">
        <f t="shared" si="40"/>
        <v>0.30859039991194515</v>
      </c>
      <c r="W272" s="3">
        <f t="shared" si="43"/>
        <v>1.2343615996477806</v>
      </c>
      <c r="Y272" s="3">
        <f t="shared" si="41"/>
        <v>0.30556842905132298</v>
      </c>
      <c r="Z272" s="3">
        <f t="shared" si="44"/>
        <v>1.2222737162052919</v>
      </c>
      <c r="AB272" s="3">
        <f>$AC$2*($AC$3+$AC$4*$F272/($N272*'Dataset sem TS MC2020'!P264))*($AC$5*$G272+$AC$6*$B272/$N272)*'Dataset sem TS MC2020'!R264*($J272-$M272)/($J272-$M272-$H272)</f>
        <v>0.32315835944709631</v>
      </c>
      <c r="AC272" s="3">
        <f t="shared" si="45"/>
        <v>1.2926334377883852</v>
      </c>
      <c r="AD272" s="16">
        <f t="shared" si="46"/>
        <v>7.3158359447096311E-2</v>
      </c>
      <c r="AE272" s="17">
        <f t="shared" si="47"/>
        <v>0.77361452269944164</v>
      </c>
      <c r="AF272" s="17">
        <f>AB272*(14.068*'Dataset sem TS MC2020'!$P264^-0.457)/$Q272</f>
        <v>1.2261301813533414</v>
      </c>
      <c r="AG272" s="17"/>
      <c r="AO272" s="3">
        <f>$AP$2*($AP$3+$AP$4*$F272/($N272*'Dataset sem TS MC2020'!P264))*($AP$5*$G272+$AP$6*$B272/$N272)*('Dataset sem TS MC2020'!P264^$AP$7/200000)*($J272-$M272)/($J272-$M272-$H272)+('Dataset sem TS MC2020'!P264-$C272/$AP$8)*($AP$5*$G272+$AP$6*$B272/$N272)/200000</f>
        <v>0.33455049831774153</v>
      </c>
      <c r="AP272" s="3">
        <f t="shared" si="48"/>
        <v>1.3382019932709661</v>
      </c>
      <c r="AQ272" s="16">
        <f t="shared" si="49"/>
        <v>8.4550498317741529E-2</v>
      </c>
    </row>
    <row r="273" spans="1:43" x14ac:dyDescent="0.3">
      <c r="B273" s="4">
        <v>15.9</v>
      </c>
      <c r="C273" s="5">
        <v>392</v>
      </c>
      <c r="D273" s="5">
        <v>2</v>
      </c>
      <c r="E273" s="4">
        <v>46</v>
      </c>
      <c r="F273" s="3">
        <v>2.9208758709847928</v>
      </c>
      <c r="G273" s="4">
        <v>30</v>
      </c>
      <c r="H273" s="4">
        <v>38</v>
      </c>
      <c r="I273" s="1">
        <v>150</v>
      </c>
      <c r="J273" s="4">
        <v>250</v>
      </c>
      <c r="K273" s="5">
        <v>397.2</v>
      </c>
      <c r="L273" s="3">
        <v>17625</v>
      </c>
      <c r="M273" s="5">
        <v>69.597967277749476</v>
      </c>
      <c r="N273" s="8">
        <v>2.2536170212765955E-2</v>
      </c>
      <c r="O273" s="3">
        <v>31.3</v>
      </c>
      <c r="P273" s="5">
        <v>366.45290270331526</v>
      </c>
      <c r="Q273" s="3">
        <v>0.3</v>
      </c>
      <c r="R273" s="12">
        <f t="shared" si="42"/>
        <v>1.8322645135165764E-3</v>
      </c>
      <c r="V273" s="3">
        <f t="shared" si="40"/>
        <v>0.32851298599859846</v>
      </c>
      <c r="W273" s="3">
        <f t="shared" si="43"/>
        <v>1.095043286661995</v>
      </c>
      <c r="Y273" s="3">
        <f t="shared" si="41"/>
        <v>0.32565894115601363</v>
      </c>
      <c r="Z273" s="3">
        <f t="shared" si="44"/>
        <v>1.0855298038533787</v>
      </c>
      <c r="AB273" s="3">
        <f>$AC$2*($AC$3+$AC$4*$F273/($N273*'Dataset sem TS MC2020'!P265))*($AC$5*$G273+$AC$6*$B273/$N273)*'Dataset sem TS MC2020'!R265*($J273-$M273)/($J273-$M273-$H273)</f>
        <v>0.35266820248736463</v>
      </c>
      <c r="AC273" s="3">
        <f t="shared" si="45"/>
        <v>1.1755606749578822</v>
      </c>
      <c r="AD273" s="16">
        <f t="shared" si="46"/>
        <v>5.2668202487364646E-2</v>
      </c>
      <c r="AE273" s="17">
        <f t="shared" si="47"/>
        <v>0.85065792119647743</v>
      </c>
      <c r="AF273" s="17">
        <f>AB273*(14.068*'Dataset sem TS MC2020'!$P265^-0.457)/$Q273</f>
        <v>1.0794284052741485</v>
      </c>
      <c r="AG273" s="17"/>
      <c r="AO273" s="3">
        <f>$AP$2*($AP$3+$AP$4*$F273/($N273*'Dataset sem TS MC2020'!P265))*($AP$5*$G273+$AP$6*$B273/$N273)*('Dataset sem TS MC2020'!P265^$AP$7/200000)*($J273-$M273)/($J273-$M273-$H273)+('Dataset sem TS MC2020'!P265-$C273/$AP$8)*($AP$5*$G273+$AP$6*$B273/$N273)/200000</f>
        <v>0.36155668436918736</v>
      </c>
      <c r="AP273" s="3">
        <f t="shared" si="48"/>
        <v>1.2051889478972913</v>
      </c>
      <c r="AQ273" s="16">
        <f t="shared" si="49"/>
        <v>6.1556684369187376E-2</v>
      </c>
    </row>
    <row r="274" spans="1:43" x14ac:dyDescent="0.3">
      <c r="A274" s="1" t="s">
        <v>63</v>
      </c>
      <c r="B274" s="4">
        <v>15.9</v>
      </c>
      <c r="C274" s="5">
        <v>392</v>
      </c>
      <c r="D274" s="5">
        <v>2</v>
      </c>
      <c r="E274" s="4">
        <v>46</v>
      </c>
      <c r="F274" s="3">
        <v>2.9208758709847928</v>
      </c>
      <c r="G274" s="4">
        <v>30</v>
      </c>
      <c r="H274" s="4">
        <v>38</v>
      </c>
      <c r="I274" s="1">
        <v>150</v>
      </c>
      <c r="J274" s="4">
        <v>250</v>
      </c>
      <c r="K274" s="5">
        <v>397.2</v>
      </c>
      <c r="L274" s="3">
        <v>17625</v>
      </c>
      <c r="M274" s="5">
        <v>69.597967277749476</v>
      </c>
      <c r="N274" s="8">
        <v>2.2536170212765955E-2</v>
      </c>
      <c r="O274" s="3">
        <v>19.600000000000001</v>
      </c>
      <c r="P274" s="5">
        <v>194.62150373964698</v>
      </c>
      <c r="Q274" s="3">
        <v>0.15</v>
      </c>
      <c r="R274" s="12">
        <f t="shared" si="42"/>
        <v>9.7310751869823494E-4</v>
      </c>
      <c r="V274" s="3">
        <f t="shared" si="40"/>
        <v>0.22232283485447357</v>
      </c>
      <c r="W274" s="3">
        <f t="shared" si="43"/>
        <v>1.4821522323631573</v>
      </c>
      <c r="Y274" s="3">
        <f t="shared" si="41"/>
        <v>0.21886254020249207</v>
      </c>
      <c r="Z274" s="3">
        <f t="shared" si="44"/>
        <v>1.4590836013499473</v>
      </c>
      <c r="AB274" s="3">
        <f>$AC$2*($AC$3+$AC$4*$F274/($N274*'Dataset sem TS MC2020'!P266))*($AC$5*$G274+$AC$6*$B274/$N274)*'Dataset sem TS MC2020'!R266*($J274-$M274)/($J274-$M274-$H274)</f>
        <v>0.20916522382977906</v>
      </c>
      <c r="AC274" s="3">
        <f t="shared" si="45"/>
        <v>1.3944348255318604</v>
      </c>
      <c r="AD274" s="16">
        <f t="shared" si="46"/>
        <v>5.9165223829779068E-2</v>
      </c>
      <c r="AE274" s="17">
        <f t="shared" si="47"/>
        <v>0.71713642092851748</v>
      </c>
      <c r="AF274" s="17">
        <f>AB274*(14.068*'Dataset sem TS MC2020'!$P266^-0.457)/$Q274</f>
        <v>1.5415243878768723</v>
      </c>
      <c r="AG274" s="17"/>
      <c r="AO274" s="3">
        <f>$AP$2*($AP$3+$AP$4*$F274/($N274*'Dataset sem TS MC2020'!P266))*($AP$5*$G274+$AP$6*$B274/$N274)*('Dataset sem TS MC2020'!P266^$AP$7/200000)*($J274-$M274)/($J274-$M274-$H274)+('Dataset sem TS MC2020'!P266-$C274/$AP$8)*($AP$5*$G274+$AP$6*$B274/$N274)/200000</f>
        <v>0.22587190994216685</v>
      </c>
      <c r="AP274" s="3">
        <f t="shared" si="48"/>
        <v>1.5058127329477791</v>
      </c>
      <c r="AQ274" s="16">
        <f t="shared" si="49"/>
        <v>7.587190994216686E-2</v>
      </c>
    </row>
    <row r="275" spans="1:43" x14ac:dyDescent="0.3">
      <c r="B275" s="4">
        <v>15.9</v>
      </c>
      <c r="C275" s="5">
        <v>392</v>
      </c>
      <c r="D275" s="5">
        <v>2</v>
      </c>
      <c r="E275" s="4">
        <v>46</v>
      </c>
      <c r="F275" s="3">
        <v>2.9208758709847928</v>
      </c>
      <c r="G275" s="4">
        <v>30</v>
      </c>
      <c r="H275" s="4">
        <v>38</v>
      </c>
      <c r="I275" s="1">
        <v>150</v>
      </c>
      <c r="J275" s="4">
        <v>250</v>
      </c>
      <c r="K275" s="5">
        <v>397.2</v>
      </c>
      <c r="L275" s="3">
        <v>17625</v>
      </c>
      <c r="M275" s="5">
        <v>69.597967277749476</v>
      </c>
      <c r="N275" s="8">
        <v>2.2536170212765955E-2</v>
      </c>
      <c r="O275" s="3">
        <v>27.5</v>
      </c>
      <c r="P275" s="5">
        <v>332.86757519712853</v>
      </c>
      <c r="Q275" s="3">
        <v>0.25</v>
      </c>
      <c r="R275" s="12">
        <f t="shared" si="42"/>
        <v>1.6643378759856426E-3</v>
      </c>
      <c r="V275" s="3">
        <f t="shared" si="40"/>
        <v>0.3095956457703673</v>
      </c>
      <c r="W275" s="3">
        <f t="shared" si="43"/>
        <v>1.2383825830814692</v>
      </c>
      <c r="Y275" s="3">
        <f t="shared" si="41"/>
        <v>0.30658160632541276</v>
      </c>
      <c r="Z275" s="3">
        <f t="shared" si="44"/>
        <v>1.226326425301651</v>
      </c>
      <c r="AB275" s="3">
        <f>$AC$2*($AC$3+$AC$4*$F275/($N275*'Dataset sem TS MC2020'!P267))*($AC$5*$G275+$AC$6*$B275/$N275)*'Dataset sem TS MC2020'!R267*($J275-$M275)/($J275-$M275-$H275)</f>
        <v>0.32461980990372863</v>
      </c>
      <c r="AC275" s="3">
        <f t="shared" si="45"/>
        <v>1.2984792396149145</v>
      </c>
      <c r="AD275" s="16">
        <f t="shared" si="46"/>
        <v>7.4619809903728629E-2</v>
      </c>
      <c r="AE275" s="17">
        <f t="shared" si="47"/>
        <v>0.77013168134791787</v>
      </c>
      <c r="AF275" s="17">
        <f>AB275*(14.068*'Dataset sem TS MC2020'!$P267^-0.457)/$Q275</f>
        <v>1.2296263841920796</v>
      </c>
      <c r="AG275" s="17"/>
      <c r="AO275" s="3">
        <f>$AP$2*($AP$3+$AP$4*$F275/($N275*'Dataset sem TS MC2020'!P267))*($AP$5*$G275+$AP$6*$B275/$N275)*('Dataset sem TS MC2020'!P267^$AP$7/200000)*($J275-$M275)/($J275-$M275-$H275)+('Dataset sem TS MC2020'!P267-$C275/$AP$8)*($AP$5*$G275+$AP$6*$B275/$N275)/200000</f>
        <v>0.33589734504975394</v>
      </c>
      <c r="AP275" s="3">
        <f t="shared" si="48"/>
        <v>1.3435893801990157</v>
      </c>
      <c r="AQ275" s="16">
        <f t="shared" si="49"/>
        <v>8.5897345049753937E-2</v>
      </c>
    </row>
    <row r="276" spans="1:43" x14ac:dyDescent="0.3">
      <c r="A276" s="1" t="s">
        <v>64</v>
      </c>
      <c r="B276" s="4">
        <v>19.100000000000001</v>
      </c>
      <c r="C276" s="5">
        <v>392</v>
      </c>
      <c r="D276" s="5">
        <v>2</v>
      </c>
      <c r="E276" s="4">
        <v>40</v>
      </c>
      <c r="F276" s="3">
        <v>2.9208758709847928</v>
      </c>
      <c r="G276" s="4">
        <v>30</v>
      </c>
      <c r="H276" s="4">
        <v>39.5</v>
      </c>
      <c r="I276" s="1">
        <v>150</v>
      </c>
      <c r="J276" s="4">
        <v>250</v>
      </c>
      <c r="K276" s="5">
        <v>573</v>
      </c>
      <c r="L276" s="3">
        <v>20250</v>
      </c>
      <c r="M276" s="5">
        <v>80.017825486464005</v>
      </c>
      <c r="N276" s="8">
        <v>2.8296296296296295E-2</v>
      </c>
      <c r="O276" s="3">
        <v>19.7</v>
      </c>
      <c r="P276" s="5">
        <v>113.83469775903394</v>
      </c>
      <c r="Q276" s="3">
        <v>0.15</v>
      </c>
      <c r="R276" s="12">
        <f t="shared" si="42"/>
        <v>5.6917348879516967E-4</v>
      </c>
      <c r="V276" s="3">
        <f t="shared" si="40"/>
        <v>0.1642819501145274</v>
      </c>
      <c r="W276" s="3">
        <f t="shared" si="43"/>
        <v>1.0952130007635161</v>
      </c>
      <c r="Y276" s="3">
        <f t="shared" si="41"/>
        <v>0.16156577752679574</v>
      </c>
      <c r="Z276" s="3">
        <f t="shared" si="44"/>
        <v>1.0771051835119716</v>
      </c>
      <c r="AB276" s="3">
        <f>$AC$2*($AC$3+$AC$4*$F276/($N276*'Dataset sem TS MC2020'!P268))*($AC$5*$G276+$AC$6*$B276/$N276)*'Dataset sem TS MC2020'!R268*($J276-$M276)/($J276-$M276-$H276)</f>
        <v>0.14258480068598339</v>
      </c>
      <c r="AC276" s="3">
        <f t="shared" si="45"/>
        <v>0.95056533790655595</v>
      </c>
      <c r="AD276" s="16">
        <f t="shared" si="46"/>
        <v>-7.4151993140166017E-3</v>
      </c>
      <c r="AE276" s="17">
        <f t="shared" si="47"/>
        <v>1.0520055383066194</v>
      </c>
      <c r="AF276" s="17">
        <f>AB276*(14.068*'Dataset sem TS MC2020'!$P268^-0.457)/$Q276</f>
        <v>1.2244904518917703</v>
      </c>
      <c r="AG276" s="17"/>
      <c r="AO276" s="3">
        <f>$AP$2*($AP$3+$AP$4*$F276/($N276*'Dataset sem TS MC2020'!P268))*($AP$5*$G276+$AP$6*$B276/$N276)*('Dataset sem TS MC2020'!P268^$AP$7/200000)*($J276-$M276)/($J276-$M276-$H276)+('Dataset sem TS MC2020'!P268-$C276/$AP$8)*($AP$5*$G276+$AP$6*$B276/$N276)/200000</f>
        <v>0.15915605804521399</v>
      </c>
      <c r="AP276" s="3">
        <f t="shared" si="48"/>
        <v>1.0610403869680933</v>
      </c>
      <c r="AQ276" s="16">
        <f t="shared" si="49"/>
        <v>9.1560580452139939E-3</v>
      </c>
    </row>
    <row r="277" spans="1:43" x14ac:dyDescent="0.3">
      <c r="B277" s="4">
        <v>19.100000000000001</v>
      </c>
      <c r="C277" s="5">
        <v>392</v>
      </c>
      <c r="D277" s="5">
        <v>2</v>
      </c>
      <c r="E277" s="4">
        <v>40</v>
      </c>
      <c r="F277" s="3">
        <v>2.9208758709847928</v>
      </c>
      <c r="G277" s="4">
        <v>30</v>
      </c>
      <c r="H277" s="4">
        <v>39.5</v>
      </c>
      <c r="I277" s="1">
        <v>150</v>
      </c>
      <c r="J277" s="4">
        <v>250</v>
      </c>
      <c r="K277" s="5">
        <v>573</v>
      </c>
      <c r="L277" s="3">
        <v>20250</v>
      </c>
      <c r="M277" s="5">
        <v>80.017825486464005</v>
      </c>
      <c r="N277" s="8">
        <v>2.8296296296296295E-2</v>
      </c>
      <c r="O277" s="3">
        <v>27.5</v>
      </c>
      <c r="P277" s="5">
        <v>206.13033083780331</v>
      </c>
      <c r="Q277" s="3">
        <v>0.2</v>
      </c>
      <c r="R277" s="12">
        <f t="shared" si="42"/>
        <v>1.0306516541890166E-3</v>
      </c>
      <c r="V277" s="3">
        <f t="shared" si="40"/>
        <v>0.23697031046265582</v>
      </c>
      <c r="W277" s="3">
        <f t="shared" si="43"/>
        <v>1.184851552313279</v>
      </c>
      <c r="Y277" s="3">
        <f t="shared" si="41"/>
        <v>0.23457947103456772</v>
      </c>
      <c r="Z277" s="3">
        <f t="shared" si="44"/>
        <v>1.1728973551728386</v>
      </c>
      <c r="AB277" s="3">
        <f>$AC$2*($AC$3+$AC$4*$F277/($N277*'Dataset sem TS MC2020'!P269))*($AC$5*$G277+$AC$6*$B277/$N277)*'Dataset sem TS MC2020'!R269*($J277-$M277)/($J277-$M277-$H277)</f>
        <v>0.22326594474146413</v>
      </c>
      <c r="AC277" s="3">
        <f t="shared" si="45"/>
        <v>1.1163297237073206</v>
      </c>
      <c r="AD277" s="16">
        <f t="shared" si="46"/>
        <v>2.3265944741464123E-2</v>
      </c>
      <c r="AE277" s="17">
        <f t="shared" si="47"/>
        <v>0.89579268451171334</v>
      </c>
      <c r="AF277" s="17">
        <f>AB277*(14.068*'Dataset sem TS MC2020'!$P269^-0.457)/$Q277</f>
        <v>1.234701404046457</v>
      </c>
      <c r="AG277" s="17"/>
      <c r="AO277" s="3">
        <f>$AP$2*($AP$3+$AP$4*$F277/($N277*'Dataset sem TS MC2020'!P269))*($AP$5*$G277+$AP$6*$B277/$N277)*('Dataset sem TS MC2020'!P269^$AP$7/200000)*($J277-$M277)/($J277-$M277-$H277)+('Dataset sem TS MC2020'!P269-$C277/$AP$8)*($AP$5*$G277+$AP$6*$B277/$N277)/200000</f>
        <v>0.24067925566039891</v>
      </c>
      <c r="AP277" s="3">
        <f t="shared" si="48"/>
        <v>1.2033962783019945</v>
      </c>
      <c r="AQ277" s="16">
        <f t="shared" si="49"/>
        <v>4.06792556603989E-2</v>
      </c>
    </row>
    <row r="278" spans="1:43" x14ac:dyDescent="0.3">
      <c r="B278" s="4">
        <v>19.100000000000001</v>
      </c>
      <c r="C278" s="5">
        <v>392</v>
      </c>
      <c r="D278" s="5">
        <v>2</v>
      </c>
      <c r="E278" s="4">
        <v>40</v>
      </c>
      <c r="F278" s="3">
        <v>2.9208758709847928</v>
      </c>
      <c r="G278" s="4">
        <v>30</v>
      </c>
      <c r="H278" s="4">
        <v>39.5</v>
      </c>
      <c r="I278" s="1">
        <v>150</v>
      </c>
      <c r="J278" s="4">
        <v>250</v>
      </c>
      <c r="K278" s="5">
        <v>573</v>
      </c>
      <c r="L278" s="3">
        <v>20250</v>
      </c>
      <c r="M278" s="5">
        <v>80.017825486464005</v>
      </c>
      <c r="N278" s="8">
        <v>2.8296296296296295E-2</v>
      </c>
      <c r="O278" s="3">
        <v>35.4</v>
      </c>
      <c r="P278" s="5">
        <v>300.38893655306191</v>
      </c>
      <c r="Q278" s="3">
        <v>0.3</v>
      </c>
      <c r="R278" s="12">
        <f t="shared" si="42"/>
        <v>1.5019446827653096E-3</v>
      </c>
      <c r="V278" s="3">
        <f t="shared" si="40"/>
        <v>0.29895056045143625</v>
      </c>
      <c r="W278" s="3">
        <f t="shared" si="43"/>
        <v>0.99650186817145425</v>
      </c>
      <c r="Y278" s="3">
        <f t="shared" si="41"/>
        <v>0.29716277098894417</v>
      </c>
      <c r="Z278" s="3">
        <f t="shared" si="44"/>
        <v>0.99054256996314727</v>
      </c>
      <c r="AB278" s="3">
        <f>$AC$2*($AC$3+$AC$4*$F278/($N278*'Dataset sem TS MC2020'!P270))*($AC$5*$G278+$AC$6*$B278/$N278)*'Dataset sem TS MC2020'!R270*($J278-$M278)/($J278-$M278-$H278)</f>
        <v>0.30498146243868196</v>
      </c>
      <c r="AC278" s="3">
        <f t="shared" si="45"/>
        <v>1.0166048747956067</v>
      </c>
      <c r="AD278" s="16">
        <f t="shared" si="46"/>
        <v>4.9814624386819717E-3</v>
      </c>
      <c r="AE278" s="17">
        <f t="shared" si="47"/>
        <v>0.98366634352511328</v>
      </c>
      <c r="AF278" s="17">
        <f>AB278*(14.068*'Dataset sem TS MC2020'!$P270^-0.457)/$Q278</f>
        <v>1.0018488215873158</v>
      </c>
      <c r="AG278" s="17"/>
      <c r="AO278" s="3">
        <f>$AP$2*($AP$3+$AP$4*$F278/($N278*'Dataset sem TS MC2020'!P270))*($AP$5*$G278+$AP$6*$B278/$N278)*('Dataset sem TS MC2020'!P270^$AP$7/200000)*($J278-$M278)/($J278-$M278-$H278)+('Dataset sem TS MC2020'!P270-$C278/$AP$8)*($AP$5*$G278+$AP$6*$B278/$N278)/200000</f>
        <v>0.31831409227405577</v>
      </c>
      <c r="AP278" s="3">
        <f t="shared" si="48"/>
        <v>1.0610469742468527</v>
      </c>
      <c r="AQ278" s="16">
        <f t="shared" si="49"/>
        <v>1.8314092274055782E-2</v>
      </c>
    </row>
    <row r="279" spans="1:43" x14ac:dyDescent="0.3">
      <c r="B279" s="4">
        <v>19.100000000000001</v>
      </c>
      <c r="C279" s="5">
        <v>392</v>
      </c>
      <c r="D279" s="5">
        <v>2</v>
      </c>
      <c r="E279" s="4">
        <v>40</v>
      </c>
      <c r="F279" s="3">
        <v>2.9208758709847928</v>
      </c>
      <c r="G279" s="4">
        <v>30</v>
      </c>
      <c r="H279" s="4">
        <v>39.5</v>
      </c>
      <c r="I279" s="1">
        <v>150</v>
      </c>
      <c r="J279" s="4">
        <v>250</v>
      </c>
      <c r="K279" s="5">
        <v>573</v>
      </c>
      <c r="L279" s="3">
        <v>20250</v>
      </c>
      <c r="M279" s="5">
        <v>80.017825486464005</v>
      </c>
      <c r="N279" s="8">
        <v>2.8296296296296295E-2</v>
      </c>
      <c r="O279" s="3">
        <v>43.3</v>
      </c>
      <c r="P279" s="5">
        <v>371.0491641412724</v>
      </c>
      <c r="Q279" s="3">
        <v>0.33</v>
      </c>
      <c r="R279" s="12">
        <f t="shared" si="42"/>
        <v>1.855245820706362E-3</v>
      </c>
      <c r="V279" s="3">
        <f t="shared" si="40"/>
        <v>0.34057094497931539</v>
      </c>
      <c r="W279" s="3">
        <f t="shared" si="43"/>
        <v>1.0320331666039859</v>
      </c>
      <c r="Y279" s="3">
        <f t="shared" si="41"/>
        <v>0.339321864443275</v>
      </c>
      <c r="Z279" s="3">
        <f t="shared" si="44"/>
        <v>1.0282480740705302</v>
      </c>
      <c r="AB279" s="3">
        <f>$AC$2*($AC$3+$AC$4*$F279/($N279*'Dataset sem TS MC2020'!P271))*($AC$5*$G279+$AC$6*$B279/$N279)*'Dataset sem TS MC2020'!R271*($J279-$M279)/($J279-$M279-$H279)</f>
        <v>0.36623886205921491</v>
      </c>
      <c r="AC279" s="3">
        <f t="shared" si="45"/>
        <v>1.1098147335127724</v>
      </c>
      <c r="AD279" s="16">
        <f t="shared" si="46"/>
        <v>3.6238862059214894E-2</v>
      </c>
      <c r="AE279" s="17">
        <f t="shared" si="47"/>
        <v>0.90105129243942539</v>
      </c>
      <c r="AF279" s="17">
        <f>AB279*(14.068*'Dataset sem TS MC2020'!$P271^-0.457)/$Q279</f>
        <v>1.0190588826802722</v>
      </c>
      <c r="AG279" s="17"/>
      <c r="AO279" s="3">
        <f>$AP$2*($AP$3+$AP$4*$F279/($N279*'Dataset sem TS MC2020'!P271))*($AP$5*$G279+$AP$6*$B279/$N279)*('Dataset sem TS MC2020'!P271^$AP$7/200000)*($J279-$M279)/($J279-$M279-$H279)+('Dataset sem TS MC2020'!P271-$C279/$AP$8)*($AP$5*$G279+$AP$6*$B279/$N279)/200000</f>
        <v>0.37419239556731393</v>
      </c>
      <c r="AP279" s="3">
        <f t="shared" si="48"/>
        <v>1.1339163502039815</v>
      </c>
      <c r="AQ279" s="16">
        <f t="shared" si="49"/>
        <v>4.4192395567313913E-2</v>
      </c>
    </row>
    <row r="280" spans="1:43" x14ac:dyDescent="0.3">
      <c r="A280" s="1" t="s">
        <v>65</v>
      </c>
      <c r="B280" s="4">
        <v>19.100000000000001</v>
      </c>
      <c r="C280" s="5">
        <v>392</v>
      </c>
      <c r="D280" s="5">
        <v>2</v>
      </c>
      <c r="E280" s="4">
        <v>40</v>
      </c>
      <c r="F280" s="3">
        <v>2.9208758709847928</v>
      </c>
      <c r="G280" s="4">
        <v>30</v>
      </c>
      <c r="H280" s="4">
        <v>39.5</v>
      </c>
      <c r="I280" s="1">
        <v>150</v>
      </c>
      <c r="J280" s="4">
        <v>250</v>
      </c>
      <c r="K280" s="5">
        <v>573</v>
      </c>
      <c r="L280" s="3">
        <v>20250</v>
      </c>
      <c r="M280" s="5">
        <v>80.017825486464005</v>
      </c>
      <c r="N280" s="8">
        <v>2.8296296296296295E-2</v>
      </c>
      <c r="O280" s="3">
        <v>19.600000000000001</v>
      </c>
      <c r="P280" s="5">
        <v>112.88532852532133</v>
      </c>
      <c r="Q280" s="3">
        <v>0.15</v>
      </c>
      <c r="R280" s="12">
        <f t="shared" si="42"/>
        <v>5.6442664262660658E-4</v>
      </c>
      <c r="V280" s="3">
        <f t="shared" si="40"/>
        <v>0.16343524684304059</v>
      </c>
      <c r="W280" s="3">
        <f t="shared" si="43"/>
        <v>1.0895683122869373</v>
      </c>
      <c r="Y280" s="3">
        <f t="shared" si="41"/>
        <v>0.1607182666979981</v>
      </c>
      <c r="Z280" s="3">
        <f t="shared" si="44"/>
        <v>1.0714551113199875</v>
      </c>
      <c r="AB280" s="3">
        <f>$AC$2*($AC$3+$AC$4*$F280/($N280*'Dataset sem TS MC2020'!P272))*($AC$5*$G280+$AC$6*$B280/$N280)*'Dataset sem TS MC2020'!R272*($J280-$M280)/($J280-$M280-$H280)</f>
        <v>0.14155042704424647</v>
      </c>
      <c r="AC280" s="3">
        <f t="shared" si="45"/>
        <v>0.94366951362830986</v>
      </c>
      <c r="AD280" s="16">
        <f t="shared" si="46"/>
        <v>-8.4495729557535204E-3</v>
      </c>
      <c r="AE280" s="17">
        <f t="shared" si="47"/>
        <v>1.0596930234135735</v>
      </c>
      <c r="AF280" s="17">
        <f>AB280*(14.068*'Dataset sem TS MC2020'!$P272^-0.457)/$Q280</f>
        <v>1.2184378869957344</v>
      </c>
      <c r="AG280" s="17"/>
      <c r="AO280" s="3">
        <f>$AP$2*($AP$3+$AP$4*$F280/($N280*'Dataset sem TS MC2020'!P272))*($AP$5*$G280+$AP$6*$B280/$N280)*('Dataset sem TS MC2020'!P272^$AP$7/200000)*($J280-$M280)/($J280-$M280-$H280)+('Dataset sem TS MC2020'!P272-$C280/$AP$8)*($AP$5*$G280+$AP$6*$B280/$N280)/200000</f>
        <v>0.15806877409975634</v>
      </c>
      <c r="AP280" s="3">
        <f t="shared" si="48"/>
        <v>1.0537918273317091</v>
      </c>
      <c r="AQ280" s="16">
        <f t="shared" si="49"/>
        <v>8.0687740997563429E-3</v>
      </c>
    </row>
    <row r="281" spans="1:43" x14ac:dyDescent="0.3">
      <c r="B281" s="4">
        <v>19.100000000000001</v>
      </c>
      <c r="C281" s="5">
        <v>392</v>
      </c>
      <c r="D281" s="5">
        <v>2</v>
      </c>
      <c r="E281" s="4">
        <v>40</v>
      </c>
      <c r="F281" s="3">
        <v>2.9208758709847928</v>
      </c>
      <c r="G281" s="4">
        <v>30</v>
      </c>
      <c r="H281" s="4">
        <v>39.5</v>
      </c>
      <c r="I281" s="1">
        <v>150</v>
      </c>
      <c r="J281" s="4">
        <v>250</v>
      </c>
      <c r="K281" s="5">
        <v>573</v>
      </c>
      <c r="L281" s="3">
        <v>20250</v>
      </c>
      <c r="M281" s="5">
        <v>80.017825486464005</v>
      </c>
      <c r="N281" s="8">
        <v>2.8296296296296295E-2</v>
      </c>
      <c r="O281" s="3">
        <v>27.3</v>
      </c>
      <c r="P281" s="5">
        <v>203.74403702222713</v>
      </c>
      <c r="Q281" s="3">
        <v>0.25</v>
      </c>
      <c r="R281" s="12">
        <f t="shared" si="42"/>
        <v>1.0187201851111357E-3</v>
      </c>
      <c r="V281" s="3">
        <f t="shared" si="40"/>
        <v>0.23527391144741591</v>
      </c>
      <c r="W281" s="3">
        <f t="shared" si="43"/>
        <v>0.94109564578966365</v>
      </c>
      <c r="Y281" s="3">
        <f t="shared" si="41"/>
        <v>0.23287035803821649</v>
      </c>
      <c r="Z281" s="3">
        <f t="shared" si="44"/>
        <v>0.93148143215286594</v>
      </c>
      <c r="AB281" s="3">
        <f>$AC$2*($AC$3+$AC$4*$F281/($N281*'Dataset sem TS MC2020'!P273))*($AC$5*$G281+$AC$6*$B281/$N281)*'Dataset sem TS MC2020'!R273*($J281-$M281)/($J281-$M281-$H281)</f>
        <v>0.2211971974579903</v>
      </c>
      <c r="AC281" s="3">
        <f t="shared" si="45"/>
        <v>0.88478878983196119</v>
      </c>
      <c r="AD281" s="16">
        <f t="shared" si="46"/>
        <v>-2.8802802542009703E-2</v>
      </c>
      <c r="AE281" s="17">
        <f t="shared" si="47"/>
        <v>1.1302132344939855</v>
      </c>
      <c r="AF281" s="17">
        <f>AB281*(14.068*'Dataset sem TS MC2020'!$P273^-0.457)/$Q281</f>
        <v>0.9818785585831421</v>
      </c>
      <c r="AG281" s="17"/>
      <c r="AO281" s="3">
        <f>$AP$2*($AP$3+$AP$4*$F281/($N281*'Dataset sem TS MC2020'!P273))*($AP$5*$G281+$AP$6*$B281/$N281)*('Dataset sem TS MC2020'!P273^$AP$7/200000)*($J281-$M281)/($J281-$M281-$H281)+('Dataset sem TS MC2020'!P273-$C281/$AP$8)*($AP$5*$G281+$AP$6*$B281/$N281)/200000</f>
        <v>0.2386579570109417</v>
      </c>
      <c r="AP281" s="3">
        <f t="shared" si="48"/>
        <v>0.95463182804376678</v>
      </c>
      <c r="AQ281" s="16">
        <f t="shared" si="49"/>
        <v>-1.1342042989058304E-2</v>
      </c>
    </row>
    <row r="282" spans="1:43" x14ac:dyDescent="0.3">
      <c r="B282" s="4">
        <v>19.100000000000001</v>
      </c>
      <c r="C282" s="5">
        <v>392</v>
      </c>
      <c r="D282" s="5">
        <v>2</v>
      </c>
      <c r="E282" s="4">
        <v>40</v>
      </c>
      <c r="F282" s="3">
        <v>2.9208758709847928</v>
      </c>
      <c r="G282" s="4">
        <v>30</v>
      </c>
      <c r="H282" s="4">
        <v>39.5</v>
      </c>
      <c r="I282" s="1">
        <v>150</v>
      </c>
      <c r="J282" s="4">
        <v>250</v>
      </c>
      <c r="K282" s="5">
        <v>573</v>
      </c>
      <c r="L282" s="3">
        <v>20250</v>
      </c>
      <c r="M282" s="5">
        <v>80.017825486464005</v>
      </c>
      <c r="N282" s="8">
        <v>2.8296296296296295E-2</v>
      </c>
      <c r="O282" s="3">
        <v>35.1</v>
      </c>
      <c r="P282" s="5">
        <v>296.80949582969777</v>
      </c>
      <c r="Q282" s="3">
        <v>0.28000000000000003</v>
      </c>
      <c r="R282" s="12">
        <f t="shared" si="42"/>
        <v>1.4840474791484887E-3</v>
      </c>
      <c r="V282" s="3">
        <f t="shared" si="40"/>
        <v>0.29674757746491215</v>
      </c>
      <c r="W282" s="3">
        <f t="shared" si="43"/>
        <v>1.0598127766604004</v>
      </c>
      <c r="Y282" s="3">
        <f t="shared" si="41"/>
        <v>0.29493406873570388</v>
      </c>
      <c r="Z282" s="3">
        <f t="shared" si="44"/>
        <v>1.0533359597703709</v>
      </c>
      <c r="AB282" s="3">
        <f>$AC$2*($AC$3+$AC$4*$F282/($N282*'Dataset sem TS MC2020'!P274))*($AC$5*$G282+$AC$6*$B282/$N282)*'Dataset sem TS MC2020'!R274*($J282-$M282)/($J282-$M282-$H282)</f>
        <v>0.30187834151347115</v>
      </c>
      <c r="AC282" s="3">
        <f t="shared" si="45"/>
        <v>1.0781369339766826</v>
      </c>
      <c r="AD282" s="16">
        <f t="shared" si="46"/>
        <v>2.1878341513471122E-2</v>
      </c>
      <c r="AE282" s="17">
        <f t="shared" si="47"/>
        <v>0.92752596491757644</v>
      </c>
      <c r="AF282" s="17">
        <f>AB282*(14.068*'Dataset sem TS MC2020'!$P274^-0.457)/$Q282</f>
        <v>1.0666282116995953</v>
      </c>
      <c r="AG282" s="17"/>
      <c r="AO282" s="3">
        <f>$AP$2*($AP$3+$AP$4*$F282/($N282*'Dataset sem TS MC2020'!P274))*($AP$5*$G282+$AP$6*$B282/$N282)*('Dataset sem TS MC2020'!P274^$AP$7/200000)*($J282-$M282)/($J282-$M282-$H282)+('Dataset sem TS MC2020'!P274-$C282/$AP$8)*($AP$5*$G282+$AP$6*$B282/$N282)/200000</f>
        <v>0.31543587889729424</v>
      </c>
      <c r="AP282" s="3">
        <f t="shared" si="48"/>
        <v>1.1265567103474794</v>
      </c>
      <c r="AQ282" s="16">
        <f t="shared" si="49"/>
        <v>3.5435878897294215E-2</v>
      </c>
    </row>
    <row r="283" spans="1:43" x14ac:dyDescent="0.3">
      <c r="A283" s="1" t="s">
        <v>66</v>
      </c>
      <c r="B283" s="4">
        <v>15.9</v>
      </c>
      <c r="C283" s="5">
        <v>392</v>
      </c>
      <c r="D283" s="5">
        <v>2</v>
      </c>
      <c r="E283" s="4">
        <v>46</v>
      </c>
      <c r="F283" s="3">
        <v>3.3538794827423906</v>
      </c>
      <c r="G283" s="4">
        <v>30</v>
      </c>
      <c r="H283" s="4">
        <v>38</v>
      </c>
      <c r="I283" s="1">
        <v>150</v>
      </c>
      <c r="J283" s="4">
        <v>250</v>
      </c>
      <c r="K283" s="5">
        <v>397.2</v>
      </c>
      <c r="L283" s="3">
        <v>17625</v>
      </c>
      <c r="M283" s="5">
        <v>67.684138613099122</v>
      </c>
      <c r="N283" s="8">
        <v>2.2536170212765955E-2</v>
      </c>
      <c r="O283" s="3">
        <v>27.5</v>
      </c>
      <c r="P283" s="5">
        <v>326.5050768139763</v>
      </c>
      <c r="Q283" s="3">
        <v>0.2</v>
      </c>
      <c r="R283" s="12">
        <f t="shared" si="42"/>
        <v>1.6325253840698815E-3</v>
      </c>
      <c r="V283" s="3">
        <f t="shared" si="40"/>
        <v>0.3059309570271167</v>
      </c>
      <c r="W283" s="3">
        <f t="shared" si="43"/>
        <v>1.5296547851355835</v>
      </c>
      <c r="Y283" s="3">
        <f t="shared" si="41"/>
        <v>0.30288828733621642</v>
      </c>
      <c r="Z283" s="3">
        <f t="shared" si="44"/>
        <v>1.5144414366810821</v>
      </c>
      <c r="AB283" s="3">
        <f>$AC$2*($AC$3+$AC$4*$F283/($N283*'Dataset sem TS MC2020'!P275))*($AC$5*$G283+$AC$6*$B283/$N283)*'Dataset sem TS MC2020'!R275*($J283-$M283)/($J283-$M283-$H283)</f>
        <v>0.3109391991629139</v>
      </c>
      <c r="AC283" s="3">
        <f t="shared" si="45"/>
        <v>1.5546959958145694</v>
      </c>
      <c r="AD283" s="16">
        <f t="shared" si="46"/>
        <v>0.11093919916291389</v>
      </c>
      <c r="AE283" s="17">
        <f t="shared" si="47"/>
        <v>0.64321256547397143</v>
      </c>
      <c r="AF283" s="17">
        <f>AB283*(14.068*'Dataset sem TS MC2020'!$P275^-0.457)/$Q283</f>
        <v>1.4745283805688976</v>
      </c>
      <c r="AG283" s="17"/>
      <c r="AO283" s="3">
        <f>$AP$2*($AP$3+$AP$4*$F283/($N283*'Dataset sem TS MC2020'!P275))*($AP$5*$G283+$AP$6*$B283/$N283)*('Dataset sem TS MC2020'!P275^$AP$7/200000)*($J283-$M283)/($J283-$M283-$H283)+('Dataset sem TS MC2020'!P275-$C283/$AP$8)*($AP$5*$G283+$AP$6*$B283/$N283)/200000</f>
        <v>0.32207006810184541</v>
      </c>
      <c r="AP283" s="3">
        <f t="shared" si="48"/>
        <v>1.610350340509227</v>
      </c>
      <c r="AQ283" s="16">
        <f t="shared" si="49"/>
        <v>0.1220700681018454</v>
      </c>
    </row>
    <row r="284" spans="1:43" x14ac:dyDescent="0.3">
      <c r="B284" s="4">
        <v>15.9</v>
      </c>
      <c r="C284" s="5">
        <v>392</v>
      </c>
      <c r="D284" s="5">
        <v>2</v>
      </c>
      <c r="E284" s="4">
        <v>46</v>
      </c>
      <c r="F284" s="3">
        <v>3.3538794827423906</v>
      </c>
      <c r="G284" s="4">
        <v>30</v>
      </c>
      <c r="H284" s="4">
        <v>38</v>
      </c>
      <c r="I284" s="1">
        <v>150</v>
      </c>
      <c r="J284" s="4">
        <v>250</v>
      </c>
      <c r="K284" s="5">
        <v>397.2</v>
      </c>
      <c r="L284" s="3">
        <v>17625</v>
      </c>
      <c r="M284" s="5">
        <v>67.684138613099122</v>
      </c>
      <c r="N284" s="8">
        <v>2.2536170212765955E-2</v>
      </c>
      <c r="O284" s="3">
        <v>31.4</v>
      </c>
      <c r="P284" s="5">
        <v>362.87183038768865</v>
      </c>
      <c r="Q284" s="3">
        <v>0.22</v>
      </c>
      <c r="R284" s="12">
        <f t="shared" si="42"/>
        <v>1.8143591519384431E-3</v>
      </c>
      <c r="V284" s="3">
        <f t="shared" si="40"/>
        <v>0.32652849889719943</v>
      </c>
      <c r="W284" s="3">
        <f t="shared" si="43"/>
        <v>1.4842204495327247</v>
      </c>
      <c r="Y284" s="3">
        <f t="shared" si="41"/>
        <v>0.32365673039218168</v>
      </c>
      <c r="Z284" s="3">
        <f t="shared" si="44"/>
        <v>1.4711669563280985</v>
      </c>
      <c r="AB284" s="3">
        <f>$AC$2*($AC$3+$AC$4*$F284/($N284*'Dataset sem TS MC2020'!P276))*($AC$5*$G284+$AC$6*$B284/$N284)*'Dataset sem TS MC2020'!R276*($J284-$M284)/($J284-$M284-$H284)</f>
        <v>0.34025887326163445</v>
      </c>
      <c r="AC284" s="3">
        <f t="shared" si="45"/>
        <v>1.5466312420983384</v>
      </c>
      <c r="AD284" s="16">
        <f t="shared" si="46"/>
        <v>0.12025887326163445</v>
      </c>
      <c r="AE284" s="17">
        <f t="shared" si="47"/>
        <v>0.64656653297865929</v>
      </c>
      <c r="AF284" s="17">
        <f>AB284*(14.068*'Dataset sem TS MC2020'!$P276^-0.457)/$Q284</f>
        <v>1.4201544256872993</v>
      </c>
      <c r="AG284" s="17"/>
      <c r="AO284" s="3">
        <f>$AP$2*($AP$3+$AP$4*$F284/($N284*'Dataset sem TS MC2020'!P276))*($AP$5*$G284+$AP$6*$B284/$N284)*('Dataset sem TS MC2020'!P276^$AP$7/200000)*($J284-$M284)/($J284-$M284-$H284)+('Dataset sem TS MC2020'!P276-$C284/$AP$8)*($AP$5*$G284+$AP$6*$B284/$N284)/200000</f>
        <v>0.34905469188937865</v>
      </c>
      <c r="AP284" s="3">
        <f t="shared" si="48"/>
        <v>1.5866122358608121</v>
      </c>
      <c r="AQ284" s="16">
        <f t="shared" si="49"/>
        <v>0.12905469188937865</v>
      </c>
    </row>
    <row r="285" spans="1:43" x14ac:dyDescent="0.3">
      <c r="A285" s="1" t="s">
        <v>67</v>
      </c>
      <c r="B285" s="4">
        <v>15.9</v>
      </c>
      <c r="C285" s="5">
        <v>392</v>
      </c>
      <c r="D285" s="5">
        <v>2</v>
      </c>
      <c r="E285" s="4">
        <v>46</v>
      </c>
      <c r="F285" s="3">
        <v>3.3538794827423906</v>
      </c>
      <c r="G285" s="4">
        <v>30</v>
      </c>
      <c r="H285" s="4">
        <v>38</v>
      </c>
      <c r="I285" s="1">
        <v>150</v>
      </c>
      <c r="J285" s="4">
        <v>250</v>
      </c>
      <c r="K285" s="5">
        <v>397.2</v>
      </c>
      <c r="L285" s="3">
        <v>17625</v>
      </c>
      <c r="M285" s="5">
        <v>67.684138613099122</v>
      </c>
      <c r="N285" s="8">
        <v>2.2536170212765955E-2</v>
      </c>
      <c r="O285" s="3">
        <v>27.5</v>
      </c>
      <c r="P285" s="5">
        <v>326.5050768139763</v>
      </c>
      <c r="Q285" s="3">
        <v>0.17</v>
      </c>
      <c r="R285" s="12">
        <f t="shared" si="42"/>
        <v>1.6325253840698815E-3</v>
      </c>
      <c r="V285" s="3">
        <f t="shared" si="40"/>
        <v>0.3059309570271167</v>
      </c>
      <c r="W285" s="3">
        <f t="shared" si="43"/>
        <v>1.7995938648653922</v>
      </c>
      <c r="Y285" s="3">
        <f t="shared" si="41"/>
        <v>0.30288828733621642</v>
      </c>
      <c r="Z285" s="3">
        <f t="shared" si="44"/>
        <v>1.7816958078600964</v>
      </c>
      <c r="AB285" s="3">
        <f>$AC$2*($AC$3+$AC$4*$F285/($N285*'Dataset sem TS MC2020'!P277))*($AC$5*$G285+$AC$6*$B285/$N285)*'Dataset sem TS MC2020'!R277*($J285-$M285)/($J285-$M285-$H285)</f>
        <v>0.3109391991629139</v>
      </c>
      <c r="AC285" s="3">
        <f t="shared" si="45"/>
        <v>1.8290541127230229</v>
      </c>
      <c r="AD285" s="16">
        <f t="shared" si="46"/>
        <v>0.14093919916291389</v>
      </c>
      <c r="AE285" s="17">
        <f t="shared" si="47"/>
        <v>0.54673068065287578</v>
      </c>
      <c r="AF285" s="17">
        <f>AB285*(14.068*'Dataset sem TS MC2020'!$P277^-0.457)/$Q285</f>
        <v>1.7347392712575267</v>
      </c>
      <c r="AG285" s="17"/>
      <c r="AO285" s="3">
        <f>$AP$2*($AP$3+$AP$4*$F285/($N285*'Dataset sem TS MC2020'!P277))*($AP$5*$G285+$AP$6*$B285/$N285)*('Dataset sem TS MC2020'!P277^$AP$7/200000)*($J285-$M285)/($J285-$M285-$H285)+('Dataset sem TS MC2020'!P277-$C285/$AP$8)*($AP$5*$G285+$AP$6*$B285/$N285)/200000</f>
        <v>0.32207006810184541</v>
      </c>
      <c r="AP285" s="3">
        <f t="shared" si="48"/>
        <v>1.8945298123637964</v>
      </c>
      <c r="AQ285" s="16">
        <f t="shared" si="49"/>
        <v>0.1520700681018454</v>
      </c>
    </row>
    <row r="286" spans="1:43" x14ac:dyDescent="0.3">
      <c r="B286" s="4">
        <v>15.9</v>
      </c>
      <c r="C286" s="5">
        <v>392</v>
      </c>
      <c r="D286" s="5">
        <v>2</v>
      </c>
      <c r="E286" s="4">
        <v>46</v>
      </c>
      <c r="F286" s="3">
        <v>3.3538794827423906</v>
      </c>
      <c r="G286" s="4">
        <v>30</v>
      </c>
      <c r="H286" s="4">
        <v>38</v>
      </c>
      <c r="I286" s="1">
        <v>150</v>
      </c>
      <c r="J286" s="4">
        <v>250</v>
      </c>
      <c r="K286" s="5">
        <v>397.2</v>
      </c>
      <c r="L286" s="3">
        <v>17625</v>
      </c>
      <c r="M286" s="5">
        <v>67.684138613099122</v>
      </c>
      <c r="N286" s="8">
        <v>2.2536170212765955E-2</v>
      </c>
      <c r="O286" s="3">
        <v>31.4</v>
      </c>
      <c r="P286" s="5">
        <v>362.87183038768865</v>
      </c>
      <c r="Q286" s="3">
        <v>0.21</v>
      </c>
      <c r="R286" s="12">
        <f t="shared" si="42"/>
        <v>1.8143591519384431E-3</v>
      </c>
      <c r="V286" s="3">
        <f t="shared" si="40"/>
        <v>0.32652849889719943</v>
      </c>
      <c r="W286" s="3">
        <f t="shared" si="43"/>
        <v>1.5548976137961878</v>
      </c>
      <c r="Y286" s="3">
        <f t="shared" si="41"/>
        <v>0.32365673039218168</v>
      </c>
      <c r="Z286" s="3">
        <f t="shared" si="44"/>
        <v>1.5412225256770558</v>
      </c>
      <c r="AB286" s="3">
        <f>$AC$2*($AC$3+$AC$4*$F286/($N286*'Dataset sem TS MC2020'!P278))*($AC$5*$G286+$AC$6*$B286/$N286)*'Dataset sem TS MC2020'!R278*($J286-$M286)/($J286-$M286-$H286)</f>
        <v>0.34025887326163445</v>
      </c>
      <c r="AC286" s="3">
        <f t="shared" si="45"/>
        <v>1.620280348864926</v>
      </c>
      <c r="AD286" s="16">
        <f t="shared" si="46"/>
        <v>0.13025887326163446</v>
      </c>
      <c r="AE286" s="17">
        <f t="shared" si="47"/>
        <v>0.61717714511599286</v>
      </c>
      <c r="AF286" s="17">
        <f>AB286*(14.068*'Dataset sem TS MC2020'!$P278^-0.457)/$Q286</f>
        <v>1.4877808269105042</v>
      </c>
      <c r="AG286" s="17"/>
      <c r="AO286" s="3">
        <f>$AP$2*($AP$3+$AP$4*$F286/($N286*'Dataset sem TS MC2020'!P278))*($AP$5*$G286+$AP$6*$B286/$N286)*('Dataset sem TS MC2020'!P278^$AP$7/200000)*($J286-$M286)/($J286-$M286-$H286)+('Dataset sem TS MC2020'!P278-$C286/$AP$8)*($AP$5*$G286+$AP$6*$B286/$N286)/200000</f>
        <v>0.34905469188937865</v>
      </c>
      <c r="AP286" s="3">
        <f t="shared" si="48"/>
        <v>1.6621651994732318</v>
      </c>
      <c r="AQ286" s="16">
        <f t="shared" si="49"/>
        <v>0.13905469188937866</v>
      </c>
    </row>
    <row r="287" spans="1:43" x14ac:dyDescent="0.3">
      <c r="A287" s="1" t="s">
        <v>68</v>
      </c>
      <c r="B287" s="4">
        <v>19.100000000000001</v>
      </c>
      <c r="C287" s="5">
        <v>392</v>
      </c>
      <c r="D287" s="5">
        <v>2</v>
      </c>
      <c r="E287" s="4">
        <v>40</v>
      </c>
      <c r="F287" s="3">
        <v>3.3538794827423906</v>
      </c>
      <c r="G287" s="4">
        <v>30</v>
      </c>
      <c r="H287" s="4">
        <v>39.5</v>
      </c>
      <c r="I287" s="1">
        <v>150</v>
      </c>
      <c r="J287" s="4">
        <v>250</v>
      </c>
      <c r="K287" s="5">
        <v>573</v>
      </c>
      <c r="L287" s="3">
        <v>20250</v>
      </c>
      <c r="M287" s="5">
        <v>77.918977712586056</v>
      </c>
      <c r="N287" s="8">
        <v>2.8296296296296295E-2</v>
      </c>
      <c r="O287" s="3">
        <v>23.4</v>
      </c>
      <c r="P287" s="5">
        <v>147.26196068954874</v>
      </c>
      <c r="Q287" s="3">
        <v>0.17</v>
      </c>
      <c r="R287" s="12">
        <f t="shared" si="42"/>
        <v>7.3630980344774376E-4</v>
      </c>
      <c r="V287" s="3">
        <f t="shared" si="40"/>
        <v>0.19256629383744425</v>
      </c>
      <c r="W287" s="3">
        <f t="shared" si="43"/>
        <v>1.1327429049261426</v>
      </c>
      <c r="Y287" s="3">
        <f t="shared" si="41"/>
        <v>0.18991959371532319</v>
      </c>
      <c r="Z287" s="3">
        <f t="shared" si="44"/>
        <v>1.1171740806783717</v>
      </c>
      <c r="AB287" s="3">
        <f>$AC$2*($AC$3+$AC$4*$F287/($N287*'Dataset sem TS MC2020'!P279))*($AC$5*$G287+$AC$6*$B287/$N287)*'Dataset sem TS MC2020'!R279*($J287-$M287)/($J287-$M287-$H287)</f>
        <v>0.17023976588773129</v>
      </c>
      <c r="AC287" s="3">
        <f t="shared" si="45"/>
        <v>1.0014103875748899</v>
      </c>
      <c r="AD287" s="16">
        <f t="shared" si="46"/>
        <v>2.3976588773128027E-4</v>
      </c>
      <c r="AE287" s="17">
        <f t="shared" si="47"/>
        <v>0.99859159881663961</v>
      </c>
      <c r="AF287" s="17">
        <f>AB287*(14.068*'Dataset sem TS MC2020'!$P279^-0.457)/$Q287</f>
        <v>1.1944799354767586</v>
      </c>
      <c r="AG287" s="17"/>
      <c r="AO287" s="3">
        <f>$AP$2*($AP$3+$AP$4*$F287/($N287*'Dataset sem TS MC2020'!P279))*($AP$5*$G287+$AP$6*$B287/$N287)*('Dataset sem TS MC2020'!P279^$AP$7/200000)*($J287-$M287)/($J287-$M287-$H287)+('Dataset sem TS MC2020'!P279-$C287/$AP$8)*($AP$5*$G287+$AP$6*$B287/$N287)/200000</f>
        <v>0.18682812308645322</v>
      </c>
      <c r="AP287" s="3">
        <f t="shared" si="48"/>
        <v>1.0989889593320776</v>
      </c>
      <c r="AQ287" s="16">
        <f t="shared" si="49"/>
        <v>1.6828123086453206E-2</v>
      </c>
    </row>
    <row r="288" spans="1:43" x14ac:dyDescent="0.3">
      <c r="B288" s="4">
        <v>19.100000000000001</v>
      </c>
      <c r="C288" s="5">
        <v>392</v>
      </c>
      <c r="D288" s="5">
        <v>2</v>
      </c>
      <c r="E288" s="4">
        <v>40</v>
      </c>
      <c r="F288" s="3">
        <v>3.3538794827423906</v>
      </c>
      <c r="G288" s="4">
        <v>30</v>
      </c>
      <c r="H288" s="4">
        <v>39.5</v>
      </c>
      <c r="I288" s="1">
        <v>150</v>
      </c>
      <c r="J288" s="4">
        <v>250</v>
      </c>
      <c r="K288" s="5">
        <v>573</v>
      </c>
      <c r="L288" s="3">
        <v>20250</v>
      </c>
      <c r="M288" s="5">
        <v>77.918977712586056</v>
      </c>
      <c r="N288" s="8">
        <v>2.8296296296296295E-2</v>
      </c>
      <c r="O288" s="3">
        <v>27.4</v>
      </c>
      <c r="P288" s="5">
        <v>196.13239467506898</v>
      </c>
      <c r="Q288" s="3">
        <v>0.18</v>
      </c>
      <c r="R288" s="12">
        <f t="shared" si="42"/>
        <v>9.8066197337534481E-4</v>
      </c>
      <c r="V288" s="3">
        <f t="shared" si="40"/>
        <v>0.22981126969007948</v>
      </c>
      <c r="W288" s="3">
        <f t="shared" si="43"/>
        <v>1.2767292760559972</v>
      </c>
      <c r="Y288" s="3">
        <f t="shared" si="41"/>
        <v>0.22736827612574728</v>
      </c>
      <c r="Z288" s="3">
        <f t="shared" si="44"/>
        <v>1.2631570895874848</v>
      </c>
      <c r="AB288" s="3">
        <f>$AC$2*($AC$3+$AC$4*$F288/($N288*'Dataset sem TS MC2020'!P280))*($AC$5*$G288+$AC$6*$B288/$N288)*'Dataset sem TS MC2020'!R280*($J288-$M288)/($J288-$M288-$H288)</f>
        <v>0.21130621397534022</v>
      </c>
      <c r="AC288" s="3">
        <f t="shared" si="45"/>
        <v>1.1739234109741123</v>
      </c>
      <c r="AD288" s="16">
        <f t="shared" si="46"/>
        <v>3.1306213975340225E-2</v>
      </c>
      <c r="AE288" s="17">
        <f t="shared" si="47"/>
        <v>0.85184432872857341</v>
      </c>
      <c r="AF288" s="17">
        <f>AB288*(14.068*'Dataset sem TS MC2020'!$P280^-0.457)/$Q288</f>
        <v>1.3028252597022685</v>
      </c>
      <c r="AG288" s="17"/>
      <c r="AO288" s="3">
        <f>$AP$2*($AP$3+$AP$4*$F288/($N288*'Dataset sem TS MC2020'!P280))*($AP$5*$G288+$AP$6*$B288/$N288)*('Dataset sem TS MC2020'!P280^$AP$7/200000)*($J288-$M288)/($J288-$M288-$H288)+('Dataset sem TS MC2020'!P280-$C288/$AP$8)*($AP$5*$G288+$AP$6*$B288/$N288)/200000</f>
        <v>0.22794556968631857</v>
      </c>
      <c r="AP288" s="3">
        <f t="shared" si="48"/>
        <v>1.2663642760351033</v>
      </c>
      <c r="AQ288" s="16">
        <f t="shared" si="49"/>
        <v>4.7945569686318579E-2</v>
      </c>
    </row>
    <row r="289" spans="1:43" x14ac:dyDescent="0.3">
      <c r="B289" s="4">
        <v>19.100000000000001</v>
      </c>
      <c r="C289" s="5">
        <v>392</v>
      </c>
      <c r="D289" s="5">
        <v>2</v>
      </c>
      <c r="E289" s="4">
        <v>40</v>
      </c>
      <c r="F289" s="3">
        <v>3.3538794827423906</v>
      </c>
      <c r="G289" s="4">
        <v>30</v>
      </c>
      <c r="H289" s="4">
        <v>39.5</v>
      </c>
      <c r="I289" s="1">
        <v>150</v>
      </c>
      <c r="J289" s="4">
        <v>250</v>
      </c>
      <c r="K289" s="5">
        <v>573</v>
      </c>
      <c r="L289" s="3">
        <v>20250</v>
      </c>
      <c r="M289" s="5">
        <v>77.918977712586056</v>
      </c>
      <c r="N289" s="8">
        <v>2.8296296296296295E-2</v>
      </c>
      <c r="O289" s="3">
        <v>31.3</v>
      </c>
      <c r="P289" s="5">
        <v>243.78106781095127</v>
      </c>
      <c r="Q289" s="3">
        <v>0.2</v>
      </c>
      <c r="R289" s="12">
        <f t="shared" si="42"/>
        <v>1.2189053390547564E-3</v>
      </c>
      <c r="V289" s="3">
        <f t="shared" si="40"/>
        <v>0.26281331825153553</v>
      </c>
      <c r="W289" s="3">
        <f t="shared" si="43"/>
        <v>1.3140665912576777</v>
      </c>
      <c r="Y289" s="3">
        <f t="shared" si="41"/>
        <v>0.2606422845197543</v>
      </c>
      <c r="Z289" s="3">
        <f t="shared" si="44"/>
        <v>1.3032114225987714</v>
      </c>
      <c r="AB289" s="3">
        <f>$AC$2*($AC$3+$AC$4*$F289/($N289*'Dataset sem TS MC2020'!P281))*($AC$5*$G289+$AC$6*$B289/$N289)*'Dataset sem TS MC2020'!R281*($J289-$M289)/($J289-$M289-$H289)</f>
        <v>0.25134600086075898</v>
      </c>
      <c r="AC289" s="3">
        <f t="shared" si="45"/>
        <v>1.2567300043037948</v>
      </c>
      <c r="AD289" s="16">
        <f t="shared" si="46"/>
        <v>5.1346000860758967E-2</v>
      </c>
      <c r="AE289" s="17">
        <f t="shared" si="47"/>
        <v>0.79571586305364095</v>
      </c>
      <c r="AF289" s="17">
        <f>AB289*(14.068*'Dataset sem TS MC2020'!$P281^-0.457)/$Q289</f>
        <v>1.3124314699800932</v>
      </c>
      <c r="AG289" s="17"/>
      <c r="AO289" s="3">
        <f>$AP$2*($AP$3+$AP$4*$F289/($N289*'Dataset sem TS MC2020'!P281))*($AP$5*$G289+$AP$6*$B289/$N289)*('Dataset sem TS MC2020'!P281^$AP$7/200000)*($J289-$M289)/($J289-$M289-$H289)+('Dataset sem TS MC2020'!P281-$C289/$AP$8)*($AP$5*$G289+$AP$6*$B289/$N289)/200000</f>
        <v>0.26678593044453708</v>
      </c>
      <c r="AP289" s="3">
        <f t="shared" si="48"/>
        <v>1.3339296522226853</v>
      </c>
      <c r="AQ289" s="16">
        <f t="shared" si="49"/>
        <v>6.6785930444537067E-2</v>
      </c>
    </row>
    <row r="290" spans="1:43" x14ac:dyDescent="0.3">
      <c r="B290" s="4">
        <v>19.100000000000001</v>
      </c>
      <c r="C290" s="5">
        <v>392</v>
      </c>
      <c r="D290" s="5">
        <v>2</v>
      </c>
      <c r="E290" s="4">
        <v>40</v>
      </c>
      <c r="F290" s="3">
        <v>3.3538794827423906</v>
      </c>
      <c r="G290" s="4">
        <v>30</v>
      </c>
      <c r="H290" s="4">
        <v>39.5</v>
      </c>
      <c r="I290" s="1">
        <v>150</v>
      </c>
      <c r="J290" s="4">
        <v>250</v>
      </c>
      <c r="K290" s="5">
        <v>573</v>
      </c>
      <c r="L290" s="3">
        <v>20250</v>
      </c>
      <c r="M290" s="5">
        <v>77.918977712586056</v>
      </c>
      <c r="N290" s="8">
        <v>2.8296296296296295E-2</v>
      </c>
      <c r="O290" s="3">
        <v>35.299999999999997</v>
      </c>
      <c r="P290" s="5">
        <v>292.65150179647139</v>
      </c>
      <c r="Q290" s="3">
        <v>0.2</v>
      </c>
      <c r="R290" s="12">
        <f t="shared" si="42"/>
        <v>1.4632575089823571E-3</v>
      </c>
      <c r="V290" s="3">
        <f t="shared" si="40"/>
        <v>0.29417570449968988</v>
      </c>
      <c r="W290" s="3">
        <f t="shared" si="43"/>
        <v>1.4708785224984493</v>
      </c>
      <c r="Y290" s="3">
        <f t="shared" si="41"/>
        <v>0.29233254313770091</v>
      </c>
      <c r="Z290" s="3">
        <f t="shared" si="44"/>
        <v>1.4616627156885045</v>
      </c>
      <c r="AB290" s="3">
        <f>$AC$2*($AC$3+$AC$4*$F290/($N290*'Dataset sem TS MC2020'!P282))*($AC$5*$G290+$AC$6*$B290/$N290)*'Dataset sem TS MC2020'!R282*($J290-$M290)/($J290-$M290-$H290)</f>
        <v>0.29241244894836788</v>
      </c>
      <c r="AC290" s="3">
        <f t="shared" si="45"/>
        <v>1.4620622447418392</v>
      </c>
      <c r="AD290" s="16">
        <f t="shared" si="46"/>
        <v>9.2412448948367865E-2</v>
      </c>
      <c r="AE290" s="17">
        <f t="shared" si="47"/>
        <v>0.68396540817355767</v>
      </c>
      <c r="AF290" s="17">
        <f>AB290*(14.068*'Dataset sem TS MC2020'!$P282^-0.457)/$Q290</f>
        <v>1.4452109245951261</v>
      </c>
      <c r="AG290" s="17"/>
      <c r="AO290" s="3">
        <f>$AP$2*($AP$3+$AP$4*$F290/($N290*'Dataset sem TS MC2020'!P282))*($AP$5*$G290+$AP$6*$B290/$N290)*('Dataset sem TS MC2020'!P282^$AP$7/200000)*($J290-$M290)/($J290-$M290-$H290)+('Dataset sem TS MC2020'!P282-$C290/$AP$8)*($AP$5*$G290+$AP$6*$B290/$N290)/200000</f>
        <v>0.30556895517735094</v>
      </c>
      <c r="AP290" s="3">
        <f t="shared" si="48"/>
        <v>1.5278447758867546</v>
      </c>
      <c r="AQ290" s="16">
        <f t="shared" si="49"/>
        <v>0.10556895517735093</v>
      </c>
    </row>
    <row r="291" spans="1:43" x14ac:dyDescent="0.3">
      <c r="B291" s="4">
        <v>19.100000000000001</v>
      </c>
      <c r="C291" s="5">
        <v>392</v>
      </c>
      <c r="D291" s="5">
        <v>2</v>
      </c>
      <c r="E291" s="4">
        <v>40</v>
      </c>
      <c r="F291" s="3">
        <v>3.3538794827423906</v>
      </c>
      <c r="G291" s="4">
        <v>30</v>
      </c>
      <c r="H291" s="4">
        <v>39.5</v>
      </c>
      <c r="I291" s="1">
        <v>150</v>
      </c>
      <c r="J291" s="4">
        <v>250</v>
      </c>
      <c r="K291" s="5">
        <v>573</v>
      </c>
      <c r="L291" s="3">
        <v>20250</v>
      </c>
      <c r="M291" s="5">
        <v>77.918977712586056</v>
      </c>
      <c r="N291" s="8">
        <v>2.8296296296296295E-2</v>
      </c>
      <c r="O291" s="3">
        <v>39.1</v>
      </c>
      <c r="P291" s="5">
        <v>339.07841408271571</v>
      </c>
      <c r="Q291" s="3">
        <v>0.25</v>
      </c>
      <c r="R291" s="12">
        <f t="shared" si="42"/>
        <v>1.6953920704135786E-3</v>
      </c>
      <c r="V291" s="3">
        <f t="shared" si="40"/>
        <v>0.32215403361750167</v>
      </c>
      <c r="W291" s="3">
        <f t="shared" si="43"/>
        <v>1.2886161344700067</v>
      </c>
      <c r="Y291" s="3">
        <f t="shared" si="41"/>
        <v>0.32065452960879121</v>
      </c>
      <c r="Z291" s="3">
        <f t="shared" si="44"/>
        <v>1.2826181184351648</v>
      </c>
      <c r="AB291" s="3">
        <f>$AC$2*($AC$3+$AC$4*$F291/($N291*'Dataset sem TS MC2020'!P283))*($AC$5*$G291+$AC$6*$B291/$N291)*'Dataset sem TS MC2020'!R283*($J291-$M291)/($J291-$M291-$H291)</f>
        <v>0.3314255746315965</v>
      </c>
      <c r="AC291" s="3">
        <f t="shared" si="45"/>
        <v>1.325702298526386</v>
      </c>
      <c r="AD291" s="16">
        <f t="shared" si="46"/>
        <v>8.1425574631596498E-2</v>
      </c>
      <c r="AE291" s="17">
        <f t="shared" si="47"/>
        <v>0.75431716540853277</v>
      </c>
      <c r="AF291" s="17">
        <f>AB291*(14.068*'Dataset sem TS MC2020'!$P283^-0.457)/$Q291</f>
        <v>1.2506035149438897</v>
      </c>
      <c r="AG291" s="17"/>
      <c r="AO291" s="3">
        <f>$AP$2*($AP$3+$AP$4*$F291/($N291*'Dataset sem TS MC2020'!P283))*($AP$5*$G291+$AP$6*$B291/$N291)*('Dataset sem TS MC2020'!P283^$AP$7/200000)*($J291-$M291)/($J291-$M291-$H291)+('Dataset sem TS MC2020'!P283-$C291/$AP$8)*($AP$5*$G291+$AP$6*$B291/$N291)/200000</f>
        <v>0.34157665930462405</v>
      </c>
      <c r="AP291" s="3">
        <f t="shared" si="48"/>
        <v>1.3663066372184962</v>
      </c>
      <c r="AQ291" s="16">
        <f t="shared" si="49"/>
        <v>9.1576659304624053E-2</v>
      </c>
    </row>
    <row r="292" spans="1:43" x14ac:dyDescent="0.3">
      <c r="B292" s="4">
        <v>19.100000000000001</v>
      </c>
      <c r="C292" s="5">
        <v>392</v>
      </c>
      <c r="D292" s="5">
        <v>2</v>
      </c>
      <c r="E292" s="4">
        <v>40</v>
      </c>
      <c r="F292" s="3">
        <v>3.3538794827423906</v>
      </c>
      <c r="G292" s="4">
        <v>30</v>
      </c>
      <c r="H292" s="4">
        <v>39.5</v>
      </c>
      <c r="I292" s="1">
        <v>150</v>
      </c>
      <c r="J292" s="4">
        <v>250</v>
      </c>
      <c r="K292" s="5">
        <v>573</v>
      </c>
      <c r="L292" s="3">
        <v>20250</v>
      </c>
      <c r="M292" s="5">
        <v>77.918977712586056</v>
      </c>
      <c r="N292" s="8">
        <v>2.8296296296296295E-2</v>
      </c>
      <c r="O292" s="3">
        <v>43.1</v>
      </c>
      <c r="P292" s="5">
        <v>368.14946203483123</v>
      </c>
      <c r="Q292" s="3">
        <v>0.27</v>
      </c>
      <c r="R292" s="12">
        <f t="shared" si="42"/>
        <v>1.8407473101741561E-3</v>
      </c>
      <c r="V292" s="3">
        <f t="shared" si="40"/>
        <v>0.33892632148312035</v>
      </c>
      <c r="W292" s="3">
        <f t="shared" si="43"/>
        <v>1.255282672159705</v>
      </c>
      <c r="Y292" s="3">
        <f t="shared" si="41"/>
        <v>0.33765413154569474</v>
      </c>
      <c r="Z292" s="3">
        <f t="shared" si="44"/>
        <v>1.250570857576647</v>
      </c>
      <c r="AB292" s="3">
        <f>$AC$2*($AC$3+$AC$4*$F292/($N292*'Dataset sem TS MC2020'!P284))*($AC$5*$G292+$AC$6*$B292/$N292)*'Dataset sem TS MC2020'!R284*($J292-$M292)/($J292-$M292-$H292)</f>
        <v>0.35585434647208525</v>
      </c>
      <c r="AC292" s="3">
        <f t="shared" si="45"/>
        <v>1.3179790610077231</v>
      </c>
      <c r="AD292" s="16">
        <f t="shared" si="46"/>
        <v>8.585434647208523E-2</v>
      </c>
      <c r="AE292" s="17">
        <f t="shared" si="47"/>
        <v>0.75873739544496466</v>
      </c>
      <c r="AF292" s="17">
        <f>AB292*(14.068*'Dataset sem TS MC2020'!$P284^-0.457)/$Q292</f>
        <v>1.2102004314317993</v>
      </c>
      <c r="AG292" s="17"/>
      <c r="AO292" s="3">
        <f>$AP$2*($AP$3+$AP$4*$F292/($N292*'Dataset sem TS MC2020'!P284))*($AP$5*$G292+$AP$6*$B292/$N292)*('Dataset sem TS MC2020'!P284^$AP$7/200000)*($J292-$M292)/($J292-$M292-$H292)+('Dataset sem TS MC2020'!P284-$C292/$AP$8)*($AP$5*$G292+$AP$6*$B292/$N292)/200000</f>
        <v>0.36375923792301484</v>
      </c>
      <c r="AP292" s="3">
        <f t="shared" si="48"/>
        <v>1.3472564367519066</v>
      </c>
      <c r="AQ292" s="16">
        <f t="shared" si="49"/>
        <v>9.3759237923014827E-2</v>
      </c>
    </row>
    <row r="293" spans="1:43" x14ac:dyDescent="0.3">
      <c r="A293" s="1" t="s">
        <v>69</v>
      </c>
      <c r="B293" s="4">
        <v>19.100000000000001</v>
      </c>
      <c r="C293" s="5">
        <v>392</v>
      </c>
      <c r="D293" s="5">
        <v>2</v>
      </c>
      <c r="E293" s="4">
        <v>40</v>
      </c>
      <c r="F293" s="3">
        <v>3.3538794827423906</v>
      </c>
      <c r="G293" s="4">
        <v>30</v>
      </c>
      <c r="H293" s="4">
        <v>39.5</v>
      </c>
      <c r="I293" s="1">
        <v>150</v>
      </c>
      <c r="J293" s="4">
        <v>250</v>
      </c>
      <c r="K293" s="5">
        <v>573</v>
      </c>
      <c r="L293" s="3">
        <v>20250</v>
      </c>
      <c r="M293" s="5">
        <v>77.918977712586056</v>
      </c>
      <c r="N293" s="8">
        <v>2.8296296296296295E-2</v>
      </c>
      <c r="O293" s="3">
        <v>31.3</v>
      </c>
      <c r="P293" s="5">
        <v>243.78106781095127</v>
      </c>
      <c r="Q293" s="3">
        <v>0.18</v>
      </c>
      <c r="R293" s="12">
        <f t="shared" si="42"/>
        <v>1.2189053390547564E-3</v>
      </c>
      <c r="V293" s="3">
        <f t="shared" si="40"/>
        <v>0.26281331825153553</v>
      </c>
      <c r="W293" s="3">
        <f t="shared" si="43"/>
        <v>1.4600739902863085</v>
      </c>
      <c r="Y293" s="3">
        <f t="shared" si="41"/>
        <v>0.2606422845197543</v>
      </c>
      <c r="Z293" s="3">
        <f t="shared" si="44"/>
        <v>1.4480126917764129</v>
      </c>
      <c r="AB293" s="3">
        <f>$AC$2*($AC$3+$AC$4*$F293/($N293*'Dataset sem TS MC2020'!P285))*($AC$5*$G293+$AC$6*$B293/$N293)*'Dataset sem TS MC2020'!R285*($J293-$M293)/($J293-$M293-$H293)</f>
        <v>0.25134600086075898</v>
      </c>
      <c r="AC293" s="3">
        <f t="shared" si="45"/>
        <v>1.3963666714486611</v>
      </c>
      <c r="AD293" s="16">
        <f t="shared" si="46"/>
        <v>7.1346000860758985E-2</v>
      </c>
      <c r="AE293" s="17">
        <f t="shared" si="47"/>
        <v>0.71614427674827674</v>
      </c>
      <c r="AF293" s="17">
        <f>AB293*(14.068*'Dataset sem TS MC2020'!$P285^-0.457)/$Q293</f>
        <v>1.4582571888667704</v>
      </c>
      <c r="AG293" s="17"/>
      <c r="AO293" s="3">
        <f>$AP$2*($AP$3+$AP$4*$F293/($N293*'Dataset sem TS MC2020'!P285))*($AP$5*$G293+$AP$6*$B293/$N293)*('Dataset sem TS MC2020'!P285^$AP$7/200000)*($J293-$M293)/($J293-$M293-$H293)+('Dataset sem TS MC2020'!P285-$C293/$AP$8)*($AP$5*$G293+$AP$6*$B293/$N293)/200000</f>
        <v>0.26678593044453708</v>
      </c>
      <c r="AP293" s="3">
        <f t="shared" si="48"/>
        <v>1.4821440580252061</v>
      </c>
      <c r="AQ293" s="16">
        <f t="shared" si="49"/>
        <v>8.6785930444537085E-2</v>
      </c>
    </row>
    <row r="294" spans="1:43" x14ac:dyDescent="0.3">
      <c r="B294" s="4">
        <v>19.100000000000001</v>
      </c>
      <c r="C294" s="5">
        <v>392</v>
      </c>
      <c r="D294" s="5">
        <v>2</v>
      </c>
      <c r="E294" s="4">
        <v>40</v>
      </c>
      <c r="F294" s="3">
        <v>3.3538794827423906</v>
      </c>
      <c r="G294" s="4">
        <v>30</v>
      </c>
      <c r="H294" s="4">
        <v>39.5</v>
      </c>
      <c r="I294" s="1">
        <v>150</v>
      </c>
      <c r="J294" s="4">
        <v>250</v>
      </c>
      <c r="K294" s="5">
        <v>573</v>
      </c>
      <c r="L294" s="3">
        <v>20250</v>
      </c>
      <c r="M294" s="5">
        <v>77.918977712586056</v>
      </c>
      <c r="N294" s="8">
        <v>2.8296296296296295E-2</v>
      </c>
      <c r="O294" s="3">
        <v>35.1</v>
      </c>
      <c r="P294" s="5">
        <v>290.20798009719545</v>
      </c>
      <c r="Q294" s="3">
        <v>0.19</v>
      </c>
      <c r="R294" s="12">
        <f t="shared" si="42"/>
        <v>1.4510399004859771E-3</v>
      </c>
      <c r="V294" s="3">
        <f t="shared" si="40"/>
        <v>0.29265776678817773</v>
      </c>
      <c r="W294" s="3">
        <f t="shared" si="43"/>
        <v>1.5403040357272513</v>
      </c>
      <c r="Y294" s="3">
        <f t="shared" si="41"/>
        <v>0.29079729428113438</v>
      </c>
      <c r="Z294" s="3">
        <f t="shared" si="44"/>
        <v>1.5305120751638652</v>
      </c>
      <c r="AB294" s="3">
        <f>$AC$2*($AC$3+$AC$4*$F294/($N294*'Dataset sem TS MC2020'!P286))*($AC$5*$G294+$AC$6*$B294/$N294)*'Dataset sem TS MC2020'!R286*($J294-$M294)/($J294-$M294-$H294)</f>
        <v>0.29035912654398743</v>
      </c>
      <c r="AC294" s="3">
        <f t="shared" si="45"/>
        <v>1.5282059291788812</v>
      </c>
      <c r="AD294" s="16">
        <f t="shared" si="46"/>
        <v>0.10035912654398743</v>
      </c>
      <c r="AE294" s="17">
        <f t="shared" si="47"/>
        <v>0.6543620731384735</v>
      </c>
      <c r="AF294" s="17">
        <f>AB294*(14.068*'Dataset sem TS MC2020'!$P286^-0.457)/$Q294</f>
        <v>1.5145197529707568</v>
      </c>
      <c r="AG294" s="17"/>
      <c r="AO294" s="3">
        <f>$AP$2*($AP$3+$AP$4*$F294/($N294*'Dataset sem TS MC2020'!P286))*($AP$5*$G294+$AP$6*$B294/$N294)*('Dataset sem TS MC2020'!P286^$AP$7/200000)*($J294-$M294)/($J294-$M294-$H294)+('Dataset sem TS MC2020'!P286-$C294/$AP$8)*($AP$5*$G294+$AP$6*$B294/$N294)/200000</f>
        <v>0.30365238593524663</v>
      </c>
      <c r="AP294" s="3">
        <f t="shared" si="48"/>
        <v>1.5981704522907716</v>
      </c>
      <c r="AQ294" s="16">
        <f t="shared" si="49"/>
        <v>0.11365238593524662</v>
      </c>
    </row>
    <row r="295" spans="1:43" x14ac:dyDescent="0.3">
      <c r="B295" s="4">
        <v>19.100000000000001</v>
      </c>
      <c r="C295" s="5">
        <v>392</v>
      </c>
      <c r="D295" s="5">
        <v>2</v>
      </c>
      <c r="E295" s="4">
        <v>40</v>
      </c>
      <c r="F295" s="3">
        <v>3.3538794827423906</v>
      </c>
      <c r="G295" s="4">
        <v>30</v>
      </c>
      <c r="H295" s="4">
        <v>39.5</v>
      </c>
      <c r="I295" s="1">
        <v>150</v>
      </c>
      <c r="J295" s="4">
        <v>250</v>
      </c>
      <c r="K295" s="5">
        <v>573</v>
      </c>
      <c r="L295" s="3">
        <v>20250</v>
      </c>
      <c r="M295" s="5">
        <v>77.918977712586056</v>
      </c>
      <c r="N295" s="8">
        <v>2.8296296296296295E-2</v>
      </c>
      <c r="O295" s="3">
        <v>39.1</v>
      </c>
      <c r="P295" s="5">
        <v>339.07841408271571</v>
      </c>
      <c r="Q295" s="3">
        <v>0.21</v>
      </c>
      <c r="R295" s="12">
        <f t="shared" si="42"/>
        <v>1.6953920704135786E-3</v>
      </c>
      <c r="V295" s="3">
        <f t="shared" si="40"/>
        <v>0.32215403361750167</v>
      </c>
      <c r="W295" s="3">
        <f t="shared" si="43"/>
        <v>1.5340668267500079</v>
      </c>
      <c r="Y295" s="3">
        <f t="shared" si="41"/>
        <v>0.32065452960879121</v>
      </c>
      <c r="Z295" s="3">
        <f t="shared" si="44"/>
        <v>1.5269263314704344</v>
      </c>
      <c r="AB295" s="3">
        <f>$AC$2*($AC$3+$AC$4*$F295/($N295*'Dataset sem TS MC2020'!P287))*($AC$5*$G295+$AC$6*$B295/$N295)*'Dataset sem TS MC2020'!R287*($J295-$M295)/($J295-$M295-$H295)</f>
        <v>0.3314255746315965</v>
      </c>
      <c r="AC295" s="3">
        <f t="shared" si="45"/>
        <v>1.5782170220552214</v>
      </c>
      <c r="AD295" s="16">
        <f t="shared" si="46"/>
        <v>0.12142557463159651</v>
      </c>
      <c r="AE295" s="17">
        <f t="shared" si="47"/>
        <v>0.63362641894316751</v>
      </c>
      <c r="AF295" s="17">
        <f>AB295*(14.068*'Dataset sem TS MC2020'!$P287^-0.457)/$Q295</f>
        <v>1.4888137082665354</v>
      </c>
      <c r="AG295" s="17"/>
      <c r="AO295" s="3">
        <f>$AP$2*($AP$3+$AP$4*$F295/($N295*'Dataset sem TS MC2020'!P287))*($AP$5*$G295+$AP$6*$B295/$N295)*('Dataset sem TS MC2020'!P287^$AP$7/200000)*($J295-$M295)/($J295-$M295-$H295)+('Dataset sem TS MC2020'!P287-$C295/$AP$8)*($AP$5*$G295+$AP$6*$B295/$N295)/200000</f>
        <v>0.34157665930462405</v>
      </c>
      <c r="AP295" s="3">
        <f t="shared" si="48"/>
        <v>1.6265555204982098</v>
      </c>
      <c r="AQ295" s="16">
        <f t="shared" si="49"/>
        <v>0.13157665930462406</v>
      </c>
    </row>
    <row r="296" spans="1:43" x14ac:dyDescent="0.3">
      <c r="B296" s="4">
        <v>19.100000000000001</v>
      </c>
      <c r="C296" s="5">
        <v>392</v>
      </c>
      <c r="D296" s="5">
        <v>2</v>
      </c>
      <c r="E296" s="4">
        <v>40</v>
      </c>
      <c r="F296" s="3">
        <v>3.3538794827423906</v>
      </c>
      <c r="G296" s="4">
        <v>30</v>
      </c>
      <c r="H296" s="4">
        <v>39.5</v>
      </c>
      <c r="I296" s="1">
        <v>150</v>
      </c>
      <c r="J296" s="4">
        <v>250</v>
      </c>
      <c r="K296" s="5">
        <v>573</v>
      </c>
      <c r="L296" s="3">
        <v>20250</v>
      </c>
      <c r="M296" s="5">
        <v>77.918977712586056</v>
      </c>
      <c r="N296" s="8">
        <v>2.8296296296296295E-2</v>
      </c>
      <c r="O296" s="3">
        <v>43.1</v>
      </c>
      <c r="P296" s="5">
        <v>368.14946203483123</v>
      </c>
      <c r="Q296" s="3">
        <v>0.26</v>
      </c>
      <c r="R296" s="12">
        <f t="shared" si="42"/>
        <v>1.8407473101741561E-3</v>
      </c>
      <c r="V296" s="3">
        <f t="shared" si="40"/>
        <v>0.33892632148312035</v>
      </c>
      <c r="W296" s="3">
        <f t="shared" si="43"/>
        <v>1.3035627749350782</v>
      </c>
      <c r="Y296" s="3">
        <f t="shared" si="41"/>
        <v>0.33765413154569474</v>
      </c>
      <c r="Z296" s="3">
        <f t="shared" si="44"/>
        <v>1.2986697367142104</v>
      </c>
      <c r="AB296" s="3">
        <f>$AC$2*($AC$3+$AC$4*$F296/($N296*'Dataset sem TS MC2020'!P288))*($AC$5*$G296+$AC$6*$B296/$N296)*'Dataset sem TS MC2020'!R288*($J296-$M296)/($J296-$M296-$H296)</f>
        <v>0.35585434647208525</v>
      </c>
      <c r="AC296" s="3">
        <f t="shared" si="45"/>
        <v>1.368670563354174</v>
      </c>
      <c r="AD296" s="16">
        <f t="shared" si="46"/>
        <v>9.5854346472085239E-2</v>
      </c>
      <c r="AE296" s="17">
        <f t="shared" si="47"/>
        <v>0.73063601042848447</v>
      </c>
      <c r="AF296" s="17">
        <f>AB296*(14.068*'Dataset sem TS MC2020'!$P288^-0.457)/$Q296</f>
        <v>1.2567466018714841</v>
      </c>
      <c r="AG296" s="17"/>
      <c r="AO296" s="3">
        <f>$AP$2*($AP$3+$AP$4*$F296/($N296*'Dataset sem TS MC2020'!P288))*($AP$5*$G296+$AP$6*$B296/$N296)*('Dataset sem TS MC2020'!P288^$AP$7/200000)*($J296-$M296)/($J296-$M296-$H296)+('Dataset sem TS MC2020'!P288-$C296/$AP$8)*($AP$5*$G296+$AP$6*$B296/$N296)/200000</f>
        <v>0.36375923792301484</v>
      </c>
      <c r="AP296" s="3">
        <f t="shared" si="48"/>
        <v>1.3990739920115955</v>
      </c>
      <c r="AQ296" s="16">
        <f t="shared" si="49"/>
        <v>0.10375923792301484</v>
      </c>
    </row>
    <row r="297" spans="1:43" x14ac:dyDescent="0.3">
      <c r="A297" s="1" t="s">
        <v>70</v>
      </c>
      <c r="B297" s="4">
        <v>19.100000000000001</v>
      </c>
      <c r="C297" s="5">
        <v>276</v>
      </c>
      <c r="D297" s="5">
        <v>2</v>
      </c>
      <c r="E297" s="4">
        <v>69.8</v>
      </c>
      <c r="F297" s="3">
        <v>2.900328825179082</v>
      </c>
      <c r="G297" s="4">
        <v>31.8</v>
      </c>
      <c r="H297" s="4">
        <v>41.4</v>
      </c>
      <c r="I297" s="1">
        <v>152.4</v>
      </c>
      <c r="J297" s="4">
        <v>381</v>
      </c>
      <c r="K297" s="5">
        <v>568</v>
      </c>
      <c r="L297" s="3">
        <v>20863.560000000001</v>
      </c>
      <c r="M297" s="5">
        <v>105.95189967799172</v>
      </c>
      <c r="N297" s="8">
        <v>2.7224500516690342E-2</v>
      </c>
      <c r="O297" s="3">
        <v>35.088900000000002</v>
      </c>
      <c r="P297" s="5">
        <v>131.31218431194344</v>
      </c>
      <c r="Q297" s="3">
        <v>0.17</v>
      </c>
      <c r="R297" s="12">
        <f t="shared" si="42"/>
        <v>6.5656092155971725E-4</v>
      </c>
      <c r="V297" s="3">
        <f t="shared" si="40"/>
        <v>0.18231648870164152</v>
      </c>
      <c r="W297" s="3">
        <f t="shared" si="43"/>
        <v>1.0724499335390676</v>
      </c>
      <c r="Y297" s="3">
        <f t="shared" si="41"/>
        <v>0.17954866730318977</v>
      </c>
      <c r="Z297" s="3">
        <f t="shared" si="44"/>
        <v>1.0561686311952339</v>
      </c>
      <c r="AB297" s="3">
        <f>$AC$2*($AC$3+$AC$4*$F297/($N297*'Dataset sem TS MC2020'!P289))*($AC$5*$G297+$AC$6*$B297/$N297)*'Dataset sem TS MC2020'!R289*($J297-$M297)/($J297-$M297-$H297)</f>
        <v>0.14915156231418034</v>
      </c>
      <c r="AC297" s="3">
        <f t="shared" si="45"/>
        <v>0.87736213125988427</v>
      </c>
      <c r="AD297" s="16">
        <f t="shared" si="46"/>
        <v>-2.0848437685819676E-2</v>
      </c>
      <c r="AE297" s="17">
        <f t="shared" si="47"/>
        <v>1.1397802165954083</v>
      </c>
      <c r="AF297" s="17">
        <f>AB297*(14.068*'Dataset sem TS MC2020'!$P289^-0.457)/$Q297</f>
        <v>1.0885880574240441</v>
      </c>
      <c r="AG297" s="17"/>
      <c r="AO297" s="3">
        <f>$AP$2*($AP$3+$AP$4*$F297/($N297*'Dataset sem TS MC2020'!P289))*($AP$5*$G297+$AP$6*$B297/$N297)*('Dataset sem TS MC2020'!P289^$AP$7/200000)*($J297-$M297)/($J297-$M297-$H297)+('Dataset sem TS MC2020'!P289-$C297/$AP$8)*($AP$5*$G297+$AP$6*$B297/$N297)/200000</f>
        <v>0.16921282695416714</v>
      </c>
      <c r="AP297" s="3">
        <f t="shared" si="48"/>
        <v>0.99536957031863016</v>
      </c>
      <c r="AQ297" s="16">
        <f t="shared" si="49"/>
        <v>-7.871730458328674E-4</v>
      </c>
    </row>
    <row r="298" spans="1:43" x14ac:dyDescent="0.3">
      <c r="B298" s="4">
        <v>19.100000000000001</v>
      </c>
      <c r="C298" s="5">
        <v>276</v>
      </c>
      <c r="D298" s="5">
        <v>2</v>
      </c>
      <c r="E298" s="4">
        <v>69.8</v>
      </c>
      <c r="F298" s="3">
        <v>2.900328825179082</v>
      </c>
      <c r="G298" s="4">
        <v>31.8</v>
      </c>
      <c r="H298" s="4">
        <v>41.4</v>
      </c>
      <c r="I298" s="1">
        <v>152.4</v>
      </c>
      <c r="J298" s="4">
        <v>381</v>
      </c>
      <c r="K298" s="5">
        <v>568</v>
      </c>
      <c r="L298" s="3">
        <v>20863.560000000001</v>
      </c>
      <c r="M298" s="5">
        <v>105.95189967799172</v>
      </c>
      <c r="N298" s="8">
        <v>2.7224500516690342E-2</v>
      </c>
      <c r="O298" s="3">
        <v>42.257600000000004</v>
      </c>
      <c r="P298" s="5">
        <v>183.72363442548033</v>
      </c>
      <c r="Q298" s="3">
        <v>0.23</v>
      </c>
      <c r="R298" s="12">
        <f t="shared" si="42"/>
        <v>9.1861817212740159E-4</v>
      </c>
      <c r="V298" s="3">
        <f t="shared" si="40"/>
        <v>0.22429602110704885</v>
      </c>
      <c r="W298" s="3">
        <f t="shared" si="43"/>
        <v>0.97520009176977762</v>
      </c>
      <c r="Y298" s="3">
        <f t="shared" si="41"/>
        <v>0.22170846107143552</v>
      </c>
      <c r="Z298" s="3">
        <f t="shared" si="44"/>
        <v>0.96394983074537177</v>
      </c>
      <c r="AB298" s="3">
        <f>$AC$2*($AC$3+$AC$4*$F298/($N298*'Dataset sem TS MC2020'!P290))*($AC$5*$G298+$AC$6*$B298/$N298)*'Dataset sem TS MC2020'!R290*($J298-$M298)/($J298-$M298-$H298)</f>
        <v>0.19179810757920646</v>
      </c>
      <c r="AC298" s="3">
        <f t="shared" si="45"/>
        <v>0.83390481556176721</v>
      </c>
      <c r="AD298" s="16">
        <f t="shared" si="46"/>
        <v>-3.8201892420793554E-2</v>
      </c>
      <c r="AE298" s="17">
        <f t="shared" si="47"/>
        <v>1.1991776295551686</v>
      </c>
      <c r="AF298" s="17">
        <f>AB298*(14.068*'Dataset sem TS MC2020'!$P290^-0.457)/$Q298</f>
        <v>0.95039738558545794</v>
      </c>
      <c r="AG298" s="17"/>
      <c r="AO298" s="3">
        <f>$AP$2*($AP$3+$AP$4*$F298/($N298*'Dataset sem TS MC2020'!P290))*($AP$5*$G298+$AP$6*$B298/$N298)*('Dataset sem TS MC2020'!P290^$AP$7/200000)*($J298-$M298)/($J298-$M298-$H298)+('Dataset sem TS MC2020'!P290-$C298/$AP$8)*($AP$5*$G298+$AP$6*$B298/$N298)/200000</f>
        <v>0.21259003550528616</v>
      </c>
      <c r="AP298" s="3">
        <f t="shared" si="48"/>
        <v>0.9243045021968963</v>
      </c>
      <c r="AQ298" s="16">
        <f t="shared" si="49"/>
        <v>-1.7409964494713853E-2</v>
      </c>
    </row>
    <row r="299" spans="1:43" x14ac:dyDescent="0.3">
      <c r="B299" s="4">
        <v>19.100000000000001</v>
      </c>
      <c r="C299" s="5">
        <v>276</v>
      </c>
      <c r="D299" s="5">
        <v>2</v>
      </c>
      <c r="E299" s="4">
        <v>69.8</v>
      </c>
      <c r="F299" s="3">
        <v>2.900328825179082</v>
      </c>
      <c r="G299" s="4">
        <v>31.8</v>
      </c>
      <c r="H299" s="4">
        <v>41.4</v>
      </c>
      <c r="I299" s="1">
        <v>152.4</v>
      </c>
      <c r="J299" s="4">
        <v>381</v>
      </c>
      <c r="K299" s="5">
        <v>568</v>
      </c>
      <c r="L299" s="3">
        <v>20863.560000000001</v>
      </c>
      <c r="M299" s="5">
        <v>105.95189967799172</v>
      </c>
      <c r="N299" s="8">
        <v>2.7224500516690342E-2</v>
      </c>
      <c r="O299" s="3">
        <v>48.808900000000008</v>
      </c>
      <c r="P299" s="5">
        <v>223.27421245905444</v>
      </c>
      <c r="Q299" s="3">
        <v>0.27</v>
      </c>
      <c r="R299" s="12">
        <f t="shared" si="42"/>
        <v>1.1163710622952721E-3</v>
      </c>
      <c r="V299" s="3">
        <f t="shared" si="40"/>
        <v>0.25296774099818858</v>
      </c>
      <c r="W299" s="3">
        <f t="shared" si="43"/>
        <v>0.93691755925255027</v>
      </c>
      <c r="Y299" s="3">
        <f t="shared" si="41"/>
        <v>0.25058625714296606</v>
      </c>
      <c r="Z299" s="3">
        <f t="shared" si="44"/>
        <v>0.92809724867765198</v>
      </c>
      <c r="AB299" s="3">
        <f>$AC$2*($AC$3+$AC$4*$F299/($N299*'Dataset sem TS MC2020'!P291))*($AC$5*$G299+$AC$6*$B299/$N299)*'Dataset sem TS MC2020'!R291*($J299-$M299)/($J299-$M299-$H299)</f>
        <v>0.22397992114690868</v>
      </c>
      <c r="AC299" s="3">
        <f t="shared" si="45"/>
        <v>0.8295552635070691</v>
      </c>
      <c r="AD299" s="16">
        <f t="shared" si="46"/>
        <v>-4.602007885309134E-2</v>
      </c>
      <c r="AE299" s="17">
        <f t="shared" si="47"/>
        <v>1.2054651980295445</v>
      </c>
      <c r="AF299" s="17">
        <f>AB299*(14.068*'Dataset sem TS MC2020'!$P291^-0.457)/$Q299</f>
        <v>0.8948002674653267</v>
      </c>
      <c r="AG299" s="17"/>
      <c r="AO299" s="3">
        <f>$AP$2*($AP$3+$AP$4*$F299/($N299*'Dataset sem TS MC2020'!P291))*($AP$5*$G299+$AP$6*$B299/$N299)*('Dataset sem TS MC2020'!P291^$AP$7/200000)*($J299-$M299)/($J299-$M299-$H299)+('Dataset sem TS MC2020'!P291-$C299/$AP$8)*($AP$5*$G299+$AP$6*$B299/$N299)/200000</f>
        <v>0.24427003267070946</v>
      </c>
      <c r="AP299" s="3">
        <f t="shared" si="48"/>
        <v>0.90470382470633126</v>
      </c>
      <c r="AQ299" s="16">
        <f t="shared" si="49"/>
        <v>-2.572996732929056E-2</v>
      </c>
    </row>
    <row r="300" spans="1:43" x14ac:dyDescent="0.3">
      <c r="A300" s="1" t="s">
        <v>71</v>
      </c>
      <c r="B300" s="4">
        <v>19.100000000000001</v>
      </c>
      <c r="C300" s="5">
        <v>276</v>
      </c>
      <c r="D300" s="5">
        <v>2</v>
      </c>
      <c r="E300" s="4">
        <v>69.8</v>
      </c>
      <c r="F300" s="3">
        <v>2.8466918957142089</v>
      </c>
      <c r="G300" s="4">
        <v>31.8</v>
      </c>
      <c r="H300" s="4">
        <v>41.4</v>
      </c>
      <c r="I300" s="1">
        <v>152.4</v>
      </c>
      <c r="J300" s="4">
        <v>381</v>
      </c>
      <c r="K300" s="5">
        <v>568</v>
      </c>
      <c r="L300" s="3">
        <v>20863.560000000001</v>
      </c>
      <c r="M300" s="5">
        <v>106.35551323610362</v>
      </c>
      <c r="N300" s="8">
        <v>2.7224500516690342E-2</v>
      </c>
      <c r="O300" s="3">
        <v>48.808900000000008</v>
      </c>
      <c r="P300" s="5">
        <v>224.17342621351992</v>
      </c>
      <c r="Q300" s="3">
        <v>0.16</v>
      </c>
      <c r="R300" s="12">
        <f t="shared" si="42"/>
        <v>1.1208671310675995E-3</v>
      </c>
      <c r="V300" s="3">
        <f t="shared" si="40"/>
        <v>0.25359585753173686</v>
      </c>
      <c r="W300" s="3">
        <f t="shared" si="43"/>
        <v>1.5849741095733554</v>
      </c>
      <c r="Y300" s="3">
        <f t="shared" si="41"/>
        <v>0.25121956724618622</v>
      </c>
      <c r="Z300" s="3">
        <f t="shared" si="44"/>
        <v>1.5701222952886638</v>
      </c>
      <c r="AB300" s="3">
        <f>$AC$2*($AC$3+$AC$4*$F300/($N300*'Dataset sem TS MC2020'!P292))*($AC$5*$G300+$AC$6*$B300/$N300)*'Dataset sem TS MC2020'!R292*($J300-$M300)/($J300-$M300-$H300)</f>
        <v>0.22514060612865824</v>
      </c>
      <c r="AC300" s="3">
        <f t="shared" si="45"/>
        <v>1.4071287883041139</v>
      </c>
      <c r="AD300" s="16">
        <f t="shared" si="46"/>
        <v>6.5140606128658241E-2</v>
      </c>
      <c r="AE300" s="17">
        <f t="shared" si="47"/>
        <v>0.71066700383922232</v>
      </c>
      <c r="AF300" s="17">
        <f>AB300*(14.068*'Dataset sem TS MC2020'!$P292^-0.457)/$Q300</f>
        <v>1.5178002859142279</v>
      </c>
      <c r="AG300" s="17"/>
      <c r="AO300" s="3">
        <f>$AP$2*($AP$3+$AP$4*$F300/($N300*'Dataset sem TS MC2020'!P292))*($AP$5*$G300+$AP$6*$B300/$N300)*('Dataset sem TS MC2020'!P292^$AP$7/200000)*($J300-$M300)/($J300-$M300-$H300)+('Dataset sem TS MC2020'!P292-$C300/$AP$8)*($AP$5*$G300+$AP$6*$B300/$N300)/200000</f>
        <v>0.2455135755789209</v>
      </c>
      <c r="AP300" s="3">
        <f t="shared" si="48"/>
        <v>1.5344598473682556</v>
      </c>
      <c r="AQ300" s="16">
        <f t="shared" si="49"/>
        <v>8.5513575578920892E-2</v>
      </c>
    </row>
    <row r="301" spans="1:43" x14ac:dyDescent="0.3">
      <c r="A301" s="1" t="s">
        <v>72</v>
      </c>
      <c r="B301" s="4">
        <v>19.100000000000001</v>
      </c>
      <c r="C301" s="5">
        <v>276</v>
      </c>
      <c r="D301" s="5">
        <v>2</v>
      </c>
      <c r="E301" s="4">
        <v>69.8</v>
      </c>
      <c r="F301" s="3">
        <v>2.711321473488328</v>
      </c>
      <c r="G301" s="4">
        <v>38.200000000000003</v>
      </c>
      <c r="H301" s="4">
        <v>47.7</v>
      </c>
      <c r="I301" s="1">
        <v>152.4</v>
      </c>
      <c r="J301" s="4">
        <v>381</v>
      </c>
      <c r="K301" s="5">
        <v>568</v>
      </c>
      <c r="L301" s="3">
        <v>21823.68</v>
      </c>
      <c r="M301" s="5">
        <v>106.22541601162594</v>
      </c>
      <c r="N301" s="8">
        <v>2.6026774586137627E-2</v>
      </c>
      <c r="O301" s="3">
        <v>42.257600000000004</v>
      </c>
      <c r="P301" s="5">
        <v>191.76492293440739</v>
      </c>
      <c r="Q301" s="3">
        <v>0.16</v>
      </c>
      <c r="R301" s="12">
        <f t="shared" si="42"/>
        <v>9.5882461467203695E-4</v>
      </c>
      <c r="V301" s="3">
        <f t="shared" si="40"/>
        <v>0.23459571061555762</v>
      </c>
      <c r="W301" s="3">
        <f t="shared" si="43"/>
        <v>1.466223191347235</v>
      </c>
      <c r="Y301" s="3">
        <f t="shared" si="41"/>
        <v>0.23203479354088424</v>
      </c>
      <c r="Z301" s="3">
        <f t="shared" si="44"/>
        <v>1.4502174596305264</v>
      </c>
      <c r="AB301" s="3">
        <f>$AC$2*($AC$3+$AC$4*$F301/($N301*'Dataset sem TS MC2020'!P293))*($AC$5*$G301+$AC$6*$B301/$N301)*'Dataset sem TS MC2020'!R293*($J301-$M301)/($J301-$M301-$H301)</f>
        <v>0.22115771984285898</v>
      </c>
      <c r="AC301" s="3">
        <f t="shared" si="45"/>
        <v>1.3822357490178685</v>
      </c>
      <c r="AD301" s="16">
        <f t="shared" si="46"/>
        <v>6.1157719842858976E-2</v>
      </c>
      <c r="AE301" s="17">
        <f t="shared" si="47"/>
        <v>0.72346558878291078</v>
      </c>
      <c r="AF301" s="17">
        <f>AB301*(14.068*'Dataset sem TS MC2020'!$P293^-0.457)/$Q301</f>
        <v>1.5601190477396596</v>
      </c>
      <c r="AG301" s="17"/>
      <c r="AO301" s="3">
        <f>$AP$2*($AP$3+$AP$4*$F301/($N301*'Dataset sem TS MC2020'!P293))*($AP$5*$G301+$AP$6*$B301/$N301)*('Dataset sem TS MC2020'!P293^$AP$7/200000)*($J301-$M301)/($J301-$M301-$H301)+('Dataset sem TS MC2020'!P293-$C301/$AP$8)*($AP$5*$G301+$AP$6*$B301/$N301)/200000</f>
        <v>0.24277926433982733</v>
      </c>
      <c r="AP301" s="3">
        <f t="shared" si="48"/>
        <v>1.5173704021239207</v>
      </c>
      <c r="AQ301" s="16">
        <f t="shared" si="49"/>
        <v>8.2779264339827324E-2</v>
      </c>
    </row>
    <row r="302" spans="1:43" x14ac:dyDescent="0.3">
      <c r="B302" s="4">
        <v>19.100000000000001</v>
      </c>
      <c r="C302" s="5">
        <v>276</v>
      </c>
      <c r="D302" s="5">
        <v>2</v>
      </c>
      <c r="E302" s="4">
        <v>69.8</v>
      </c>
      <c r="F302" s="3">
        <v>2.711321473488328</v>
      </c>
      <c r="G302" s="4">
        <v>38.200000000000003</v>
      </c>
      <c r="H302" s="4">
        <v>47.7</v>
      </c>
      <c r="I302" s="1">
        <v>152.4</v>
      </c>
      <c r="J302" s="4">
        <v>381</v>
      </c>
      <c r="K302" s="5">
        <v>568</v>
      </c>
      <c r="L302" s="3">
        <v>21823.68</v>
      </c>
      <c r="M302" s="5">
        <v>106.22541601162594</v>
      </c>
      <c r="N302" s="8">
        <v>2.6026774586137627E-2</v>
      </c>
      <c r="O302" s="3">
        <v>48.808900000000008</v>
      </c>
      <c r="P302" s="5">
        <v>224.52366430868952</v>
      </c>
      <c r="Q302" s="3">
        <v>0.2</v>
      </c>
      <c r="R302" s="12">
        <f t="shared" si="42"/>
        <v>1.1226183215434476E-3</v>
      </c>
      <c r="V302" s="3">
        <f t="shared" si="40"/>
        <v>0.25857123994153575</v>
      </c>
      <c r="W302" s="3">
        <f t="shared" si="43"/>
        <v>1.2928561997076786</v>
      </c>
      <c r="Y302" s="3">
        <f t="shared" si="41"/>
        <v>0.25619266149071906</v>
      </c>
      <c r="Z302" s="3">
        <f t="shared" si="44"/>
        <v>1.2809633074535953</v>
      </c>
      <c r="AB302" s="3">
        <f>$AC$2*($AC$3+$AC$4*$F302/($N302*'Dataset sem TS MC2020'!P294))*($AC$5*$G302+$AC$6*$B302/$N302)*'Dataset sem TS MC2020'!R294*($J302-$M302)/($J302-$M302-$H302)</f>
        <v>0.25100206021771698</v>
      </c>
      <c r="AC302" s="3">
        <f t="shared" si="45"/>
        <v>1.2550103010885849</v>
      </c>
      <c r="AD302" s="16">
        <f t="shared" si="46"/>
        <v>5.1002060217716971E-2</v>
      </c>
      <c r="AE302" s="17">
        <f t="shared" si="47"/>
        <v>0.79680620878777553</v>
      </c>
      <c r="AF302" s="17">
        <f>AB302*(14.068*'Dataset sem TS MC2020'!$P294^-0.457)/$Q302</f>
        <v>1.3537175912045023</v>
      </c>
      <c r="AG302" s="17"/>
      <c r="AO302" s="3">
        <f>$AP$2*($AP$3+$AP$4*$F302/($N302*'Dataset sem TS MC2020'!P294))*($AP$5*$G302+$AP$6*$B302/$N302)*('Dataset sem TS MC2020'!P294^$AP$7/200000)*($J302-$M302)/($J302-$M302-$H302)+('Dataset sem TS MC2020'!P294-$C302/$AP$8)*($AP$5*$G302+$AP$6*$B302/$N302)/200000</f>
        <v>0.27184155342991367</v>
      </c>
      <c r="AP302" s="3">
        <f t="shared" si="48"/>
        <v>1.3592077671495684</v>
      </c>
      <c r="AQ302" s="16">
        <f t="shared" si="49"/>
        <v>7.1841553429913663E-2</v>
      </c>
    </row>
    <row r="303" spans="1:43" x14ac:dyDescent="0.3">
      <c r="A303" s="1" t="s">
        <v>73</v>
      </c>
      <c r="B303" s="4">
        <v>22.2</v>
      </c>
      <c r="C303" s="5">
        <v>276</v>
      </c>
      <c r="D303" s="5">
        <v>2</v>
      </c>
      <c r="E303" s="4">
        <v>63.6</v>
      </c>
      <c r="F303" s="3">
        <v>2.6879866270061714</v>
      </c>
      <c r="G303" s="4">
        <v>12.8</v>
      </c>
      <c r="H303" s="4">
        <v>23.9</v>
      </c>
      <c r="I303" s="1">
        <v>152.4</v>
      </c>
      <c r="J303" s="4">
        <v>381</v>
      </c>
      <c r="K303" s="5">
        <v>774</v>
      </c>
      <c r="L303" s="3">
        <v>12748.259999999998</v>
      </c>
      <c r="M303" s="5">
        <v>125.50102741476127</v>
      </c>
      <c r="N303" s="8">
        <v>6.0714168051169345E-2</v>
      </c>
      <c r="O303" s="3">
        <v>66.199000000000012</v>
      </c>
      <c r="P303" s="5">
        <v>244.57971130479447</v>
      </c>
      <c r="Q303" s="3">
        <v>0.17</v>
      </c>
      <c r="R303" s="12">
        <f t="shared" si="42"/>
        <v>1.2228985565239723E-3</v>
      </c>
      <c r="V303" s="3">
        <f t="shared" si="40"/>
        <v>0.2120706194617909</v>
      </c>
      <c r="W303" s="3">
        <f t="shared" si="43"/>
        <v>1.2474742321281818</v>
      </c>
      <c r="Y303" s="3">
        <f t="shared" si="41"/>
        <v>0.2184146272344509</v>
      </c>
      <c r="Z303" s="3">
        <f t="shared" si="44"/>
        <v>1.2847919249085347</v>
      </c>
      <c r="AB303" s="3">
        <f>$AC$2*($AC$3+$AC$4*$F303/($N303*'Dataset sem TS MC2020'!P295))*($AC$5*$G303+$AC$6*$B303/$N303)*'Dataset sem TS MC2020'!R295*($J303-$M303)/($J303-$M303-$H303)</f>
        <v>0.11726028326870785</v>
      </c>
      <c r="AC303" s="3">
        <f t="shared" si="45"/>
        <v>0.68976637216886971</v>
      </c>
      <c r="AD303" s="16">
        <f t="shared" si="46"/>
        <v>-5.2739716731292158E-2</v>
      </c>
      <c r="AE303" s="17">
        <f t="shared" si="47"/>
        <v>1.4497662402062976</v>
      </c>
      <c r="AF303" s="17">
        <f>AB303*(14.068*'Dataset sem TS MC2020'!$P295^-0.457)/$Q303</f>
        <v>0.74964482748371331</v>
      </c>
      <c r="AG303" s="17"/>
      <c r="AO303" s="3">
        <f>$AP$2*($AP$3+$AP$4*$F303/($N303*'Dataset sem TS MC2020'!P295))*($AP$5*$G303+$AP$6*$B303/$N303)*('Dataset sem TS MC2020'!P295^$AP$7/200000)*($J303-$M303)/($J303-$M303-$H303)+('Dataset sem TS MC2020'!P295-$C303/$AP$8)*($AP$5*$G303+$AP$6*$B303/$N303)/200000</f>
        <v>0.12943155838630355</v>
      </c>
      <c r="AP303" s="3">
        <f t="shared" si="48"/>
        <v>0.76136210815472671</v>
      </c>
      <c r="AQ303" s="16">
        <f t="shared" si="49"/>
        <v>-4.0568441613696465E-2</v>
      </c>
    </row>
    <row r="304" spans="1:43" x14ac:dyDescent="0.3">
      <c r="A304" s="1" t="s">
        <v>74</v>
      </c>
      <c r="B304" s="4">
        <v>22.2</v>
      </c>
      <c r="C304" s="5">
        <v>276</v>
      </c>
      <c r="D304" s="5">
        <v>2</v>
      </c>
      <c r="E304" s="4">
        <v>63.6</v>
      </c>
      <c r="F304" s="3">
        <v>2.3846015710371389</v>
      </c>
      <c r="G304" s="4">
        <v>38</v>
      </c>
      <c r="H304" s="4">
        <v>49.1</v>
      </c>
      <c r="I304" s="1">
        <v>152.4</v>
      </c>
      <c r="J304" s="4">
        <v>381</v>
      </c>
      <c r="K304" s="5">
        <v>774</v>
      </c>
      <c r="L304" s="3">
        <v>24399.24</v>
      </c>
      <c r="M304" s="5">
        <v>122.85693329470558</v>
      </c>
      <c r="N304" s="8">
        <v>3.1722299547035072E-2</v>
      </c>
      <c r="O304" s="3">
        <v>43.938299999999998</v>
      </c>
      <c r="P304" s="5">
        <v>140.82727726288348</v>
      </c>
      <c r="Q304" s="3">
        <v>0.15</v>
      </c>
      <c r="R304" s="12">
        <f t="shared" si="42"/>
        <v>7.0413638631441748E-4</v>
      </c>
      <c r="V304" s="3">
        <f t="shared" si="40"/>
        <v>0.19754548547492937</v>
      </c>
      <c r="W304" s="3">
        <f t="shared" si="43"/>
        <v>1.3169699031661959</v>
      </c>
      <c r="Y304" s="3">
        <f t="shared" si="41"/>
        <v>0.19595799200591987</v>
      </c>
      <c r="Z304" s="3">
        <f t="shared" si="44"/>
        <v>1.3063866133727993</v>
      </c>
      <c r="AB304" s="3">
        <f>$AC$2*($AC$3+$AC$4*$F304/($N304*'Dataset sem TS MC2020'!P296))*($AC$5*$G304+$AC$6*$B304/$N304)*'Dataset sem TS MC2020'!R296*($J304-$M304)/($J304-$M304-$H304)</f>
        <v>0.17391535424949228</v>
      </c>
      <c r="AC304" s="3">
        <f t="shared" si="45"/>
        <v>1.1594356949966154</v>
      </c>
      <c r="AD304" s="16">
        <f t="shared" si="46"/>
        <v>2.3915354249492288E-2</v>
      </c>
      <c r="AE304" s="17">
        <f t="shared" si="47"/>
        <v>0.86248854017119014</v>
      </c>
      <c r="AF304" s="17">
        <f>AB304*(14.068*'Dataset sem TS MC2020'!$P296^-0.457)/$Q304</f>
        <v>1.4649327725417218</v>
      </c>
      <c r="AG304" s="17"/>
      <c r="AO304" s="3">
        <f>$AP$2*($AP$3+$AP$4*$F304/($N304*'Dataset sem TS MC2020'!P296))*($AP$5*$G304+$AP$6*$B304/$N304)*('Dataset sem TS MC2020'!P296^$AP$7/200000)*($J304-$M304)/($J304-$M304-$H304)+('Dataset sem TS MC2020'!P296-$C304/$AP$8)*($AP$5*$G304+$AP$6*$B304/$N304)/200000</f>
        <v>0.19654286096199314</v>
      </c>
      <c r="AP304" s="3">
        <f t="shared" si="48"/>
        <v>1.310285739746621</v>
      </c>
      <c r="AQ304" s="16">
        <f t="shared" si="49"/>
        <v>4.6542860961993143E-2</v>
      </c>
    </row>
    <row r="305" spans="1:43" x14ac:dyDescent="0.3">
      <c r="B305" s="4">
        <v>22.2</v>
      </c>
      <c r="C305" s="5">
        <v>276</v>
      </c>
      <c r="D305" s="5">
        <v>2</v>
      </c>
      <c r="E305" s="4">
        <v>63.6</v>
      </c>
      <c r="F305" s="3">
        <v>2.3846015710371389</v>
      </c>
      <c r="G305" s="4">
        <v>38</v>
      </c>
      <c r="H305" s="4">
        <v>49.1</v>
      </c>
      <c r="I305" s="1">
        <v>152.4</v>
      </c>
      <c r="J305" s="4">
        <v>381</v>
      </c>
      <c r="K305" s="5">
        <v>774</v>
      </c>
      <c r="L305" s="3">
        <v>24399.24</v>
      </c>
      <c r="M305" s="5">
        <v>122.85693329470558</v>
      </c>
      <c r="N305" s="8">
        <v>3.1722299547035072E-2</v>
      </c>
      <c r="O305" s="3">
        <v>51.107000000000006</v>
      </c>
      <c r="P305" s="5">
        <v>178.83384524302568</v>
      </c>
      <c r="Q305" s="3">
        <v>0.19</v>
      </c>
      <c r="R305" s="12">
        <f t="shared" si="42"/>
        <v>8.9416922621512844E-4</v>
      </c>
      <c r="V305" s="3">
        <f t="shared" si="40"/>
        <v>0.22892268876739819</v>
      </c>
      <c r="W305" s="3">
        <f t="shared" si="43"/>
        <v>1.2048562566705168</v>
      </c>
      <c r="Y305" s="3">
        <f t="shared" si="41"/>
        <v>0.22768063911960526</v>
      </c>
      <c r="Z305" s="3">
        <f t="shared" si="44"/>
        <v>1.1983191532610804</v>
      </c>
      <c r="AB305" s="3">
        <f>$AC$2*($AC$3+$AC$4*$F305/($N305*'Dataset sem TS MC2020'!P297))*($AC$5*$G305+$AC$6*$B305/$N305)*'Dataset sem TS MC2020'!R297*($J305-$M305)/($J305-$M305-$H305)</f>
        <v>0.20981493224444275</v>
      </c>
      <c r="AC305" s="3">
        <f t="shared" si="45"/>
        <v>1.1042891170760145</v>
      </c>
      <c r="AD305" s="16">
        <f t="shared" si="46"/>
        <v>1.9814932244442751E-2</v>
      </c>
      <c r="AE305" s="17">
        <f t="shared" si="47"/>
        <v>0.90555995213268436</v>
      </c>
      <c r="AF305" s="17">
        <f>AB305*(14.068*'Dataset sem TS MC2020'!$P297^-0.457)/$Q305</f>
        <v>1.3021399038844765</v>
      </c>
      <c r="AG305" s="17"/>
      <c r="AO305" s="3">
        <f>$AP$2*($AP$3+$AP$4*$F305/($N305*'Dataset sem TS MC2020'!P297))*($AP$5*$G305+$AP$6*$B305/$N305)*('Dataset sem TS MC2020'!P297^$AP$7/200000)*($J305-$M305)/($J305-$M305-$H305)+('Dataset sem TS MC2020'!P297-$C305/$AP$8)*($AP$5*$G305+$AP$6*$B305/$N305)/200000</f>
        <v>0.23254613104250146</v>
      </c>
      <c r="AP305" s="3">
        <f t="shared" si="48"/>
        <v>1.2239270054868499</v>
      </c>
      <c r="AQ305" s="16">
        <f t="shared" si="49"/>
        <v>4.2546131042501462E-2</v>
      </c>
    </row>
    <row r="306" spans="1:43" x14ac:dyDescent="0.3">
      <c r="B306" s="4">
        <v>22.2</v>
      </c>
      <c r="C306" s="5">
        <v>276</v>
      </c>
      <c r="D306" s="5">
        <v>2</v>
      </c>
      <c r="E306" s="4">
        <v>63.6</v>
      </c>
      <c r="F306" s="3">
        <v>2.3846015710371389</v>
      </c>
      <c r="G306" s="4">
        <v>38</v>
      </c>
      <c r="H306" s="4">
        <v>49.1</v>
      </c>
      <c r="I306" s="1">
        <v>152.4</v>
      </c>
      <c r="J306" s="4">
        <v>381</v>
      </c>
      <c r="K306" s="5">
        <v>774</v>
      </c>
      <c r="L306" s="3">
        <v>24399.24</v>
      </c>
      <c r="M306" s="5">
        <v>122.85693329470558</v>
      </c>
      <c r="N306" s="8">
        <v>3.1722299547035072E-2</v>
      </c>
      <c r="O306" s="3">
        <v>58.755900000000011</v>
      </c>
      <c r="P306" s="5">
        <v>219.38630772901473</v>
      </c>
      <c r="Q306" s="3">
        <v>0.22</v>
      </c>
      <c r="R306" s="12">
        <f t="shared" si="42"/>
        <v>1.0969315386450736E-3</v>
      </c>
      <c r="V306" s="3">
        <f t="shared" si="40"/>
        <v>0.25968904987819974</v>
      </c>
      <c r="W306" s="3">
        <f t="shared" si="43"/>
        <v>1.1804047721736353</v>
      </c>
      <c r="Y306" s="3">
        <f t="shared" si="41"/>
        <v>0.25886137812287424</v>
      </c>
      <c r="Z306" s="3">
        <f t="shared" si="44"/>
        <v>1.1766426278312465</v>
      </c>
      <c r="AB306" s="3">
        <f>$AC$2*($AC$3+$AC$4*$F306/($N306*'Dataset sem TS MC2020'!P298))*($AC$5*$G306+$AC$6*$B306/$N306)*'Dataset sem TS MC2020'!R298*($J306-$M306)/($J306-$M306-$H306)</f>
        <v>0.24811926666010764</v>
      </c>
      <c r="AC306" s="3">
        <f t="shared" si="45"/>
        <v>1.1278148484550348</v>
      </c>
      <c r="AD306" s="16">
        <f t="shared" si="46"/>
        <v>2.8119266660107639E-2</v>
      </c>
      <c r="AE306" s="17">
        <f t="shared" si="47"/>
        <v>0.88667036204557415</v>
      </c>
      <c r="AF306" s="17">
        <f>AB306*(14.068*'Dataset sem TS MC2020'!$P298^-0.457)/$Q306</f>
        <v>1.24776176567774</v>
      </c>
      <c r="AG306" s="17"/>
      <c r="AO306" s="3">
        <f>$AP$2*($AP$3+$AP$4*$F306/($N306*'Dataset sem TS MC2020'!P298))*($AP$5*$G306+$AP$6*$B306/$N306)*('Dataset sem TS MC2020'!P298^$AP$7/200000)*($J306-$M306)/($J306-$M306-$H306)+('Dataset sem TS MC2020'!P298-$C306/$AP$8)*($AP$5*$G306+$AP$6*$B306/$N306)/200000</f>
        <v>0.26983809167292327</v>
      </c>
      <c r="AP306" s="3">
        <f t="shared" si="48"/>
        <v>1.2265367803314695</v>
      </c>
      <c r="AQ306" s="16">
        <f t="shared" si="49"/>
        <v>4.9838091672923274E-2</v>
      </c>
    </row>
    <row r="307" spans="1:43" x14ac:dyDescent="0.3">
      <c r="B307" s="4">
        <v>22.2</v>
      </c>
      <c r="C307" s="5">
        <v>276</v>
      </c>
      <c r="D307" s="5">
        <v>2</v>
      </c>
      <c r="E307" s="4">
        <v>63.6</v>
      </c>
      <c r="F307" s="3">
        <v>2.3846015710371389</v>
      </c>
      <c r="G307" s="4">
        <v>38</v>
      </c>
      <c r="H307" s="4">
        <v>49.1</v>
      </c>
      <c r="I307" s="1">
        <v>152.4</v>
      </c>
      <c r="J307" s="4">
        <v>381</v>
      </c>
      <c r="K307" s="5">
        <v>774</v>
      </c>
      <c r="L307" s="3">
        <v>24399.24</v>
      </c>
      <c r="M307" s="5">
        <v>122.85693329470558</v>
      </c>
      <c r="N307" s="8">
        <v>3.1722299547035072E-2</v>
      </c>
      <c r="O307" s="3">
        <v>66.199000000000012</v>
      </c>
      <c r="P307" s="5">
        <v>237.16022682785922</v>
      </c>
      <c r="Q307" s="3">
        <v>0.27</v>
      </c>
      <c r="R307" s="12">
        <f t="shared" si="42"/>
        <v>1.185801134139296E-3</v>
      </c>
      <c r="V307" s="3">
        <f t="shared" si="40"/>
        <v>0.27247595912414979</v>
      </c>
      <c r="W307" s="3">
        <f t="shared" si="43"/>
        <v>1.0091702189783325</v>
      </c>
      <c r="Y307" s="3">
        <f t="shared" si="41"/>
        <v>0.27184037911903103</v>
      </c>
      <c r="Z307" s="3">
        <f t="shared" si="44"/>
        <v>1.0068162189593741</v>
      </c>
      <c r="AB307" s="3">
        <f>$AC$2*($AC$3+$AC$4*$F307/($N307*'Dataset sem TS MC2020'!P299))*($AC$5*$G307+$AC$6*$B307/$N307)*'Dataset sem TS MC2020'!R299*($J307-$M307)/($J307-$M307-$H307)</f>
        <v>0.26490784371074511</v>
      </c>
      <c r="AC307" s="3">
        <f t="shared" si="45"/>
        <v>0.98114016189164843</v>
      </c>
      <c r="AD307" s="16">
        <f t="shared" si="46"/>
        <v>-5.0921562892549121E-3</v>
      </c>
      <c r="AE307" s="17">
        <f t="shared" si="47"/>
        <v>1.0192223688733622</v>
      </c>
      <c r="AF307" s="17">
        <f>AB307*(14.068*'Dataset sem TS MC2020'!$P299^-0.457)/$Q307</f>
        <v>1.058307406272204</v>
      </c>
      <c r="AG307" s="17"/>
      <c r="AO307" s="3">
        <f>$AP$2*($AP$3+$AP$4*$F307/($N307*'Dataset sem TS MC2020'!P299))*($AP$5*$G307+$AP$6*$B307/$N307)*('Dataset sem TS MC2020'!P299^$AP$7/200000)*($J307-$M307)/($J307-$M307-$H307)+('Dataset sem TS MC2020'!P299-$C307/$AP$8)*($AP$5*$G307+$AP$6*$B307/$N307)/200000</f>
        <v>0.28587071233567207</v>
      </c>
      <c r="AP307" s="3">
        <f t="shared" si="48"/>
        <v>1.0587804160580447</v>
      </c>
      <c r="AQ307" s="16">
        <f t="shared" si="49"/>
        <v>1.5870712335672055E-2</v>
      </c>
    </row>
    <row r="308" spans="1:43" x14ac:dyDescent="0.3">
      <c r="A308" s="1" t="s">
        <v>75</v>
      </c>
      <c r="B308" s="4">
        <v>22.2</v>
      </c>
      <c r="C308" s="5">
        <v>276</v>
      </c>
      <c r="D308" s="5">
        <v>2</v>
      </c>
      <c r="E308" s="4">
        <v>63.6</v>
      </c>
      <c r="F308" s="3">
        <v>2.8648423476200775</v>
      </c>
      <c r="G308" s="4">
        <v>38</v>
      </c>
      <c r="H308" s="4">
        <v>49.1</v>
      </c>
      <c r="I308" s="1">
        <v>152.4</v>
      </c>
      <c r="J308" s="4">
        <v>381</v>
      </c>
      <c r="K308" s="5">
        <v>774</v>
      </c>
      <c r="L308" s="3">
        <v>24399.24</v>
      </c>
      <c r="M308" s="5">
        <v>118.55113780231501</v>
      </c>
      <c r="N308" s="8">
        <v>3.1722299547035072E-2</v>
      </c>
      <c r="O308" s="3">
        <v>58.755900000000011</v>
      </c>
      <c r="P308" s="5">
        <v>210.2535029913453</v>
      </c>
      <c r="Q308" s="3">
        <v>0.17</v>
      </c>
      <c r="R308" s="12">
        <f t="shared" si="42"/>
        <v>1.0512675149567264E-3</v>
      </c>
      <c r="V308" s="3">
        <f t="shared" si="40"/>
        <v>0.25296471263819531</v>
      </c>
      <c r="W308" s="3">
        <f t="shared" si="43"/>
        <v>1.4880277214011488</v>
      </c>
      <c r="Y308" s="3">
        <f t="shared" si="41"/>
        <v>0.2520405599746719</v>
      </c>
      <c r="Z308" s="3">
        <f t="shared" si="44"/>
        <v>1.4825915292627758</v>
      </c>
      <c r="AB308" s="3">
        <f>$AC$2*($AC$3+$AC$4*$F308/($N308*'Dataset sem TS MC2020'!P300))*($AC$5*$G308+$AC$6*$B308/$N308)*'Dataset sem TS MC2020'!R300*($J308-$M308)/($J308-$M308-$H308)</f>
        <v>0.23647544196197956</v>
      </c>
      <c r="AC308" s="3">
        <f t="shared" si="45"/>
        <v>1.3910320115410562</v>
      </c>
      <c r="AD308" s="16">
        <f t="shared" si="46"/>
        <v>6.6475441961979548E-2</v>
      </c>
      <c r="AE308" s="17">
        <f t="shared" si="47"/>
        <v>0.71889071689453721</v>
      </c>
      <c r="AF308" s="17">
        <f>AB308*(14.068*'Dataset sem TS MC2020'!$P300^-0.457)/$Q308</f>
        <v>1.5424378080680716</v>
      </c>
      <c r="AG308" s="17"/>
      <c r="AO308" s="3">
        <f>$AP$2*($AP$3+$AP$4*$F308/($N308*'Dataset sem TS MC2020'!P300))*($AP$5*$G308+$AP$6*$B308/$N308)*('Dataset sem TS MC2020'!P300^$AP$7/200000)*($J308-$M308)/($J308-$M308-$H308)+('Dataset sem TS MC2020'!P300-$C308/$AP$8)*($AP$5*$G308+$AP$6*$B308/$N308)/200000</f>
        <v>0.25749699589501651</v>
      </c>
      <c r="AP308" s="3">
        <f t="shared" si="48"/>
        <v>1.5146882111471558</v>
      </c>
      <c r="AQ308" s="16">
        <f t="shared" si="49"/>
        <v>8.7496995895016499E-2</v>
      </c>
    </row>
    <row r="309" spans="1:43" x14ac:dyDescent="0.3">
      <c r="B309" s="4">
        <v>22.2</v>
      </c>
      <c r="C309" s="5">
        <v>276</v>
      </c>
      <c r="D309" s="5">
        <v>2</v>
      </c>
      <c r="E309" s="4">
        <v>63.6</v>
      </c>
      <c r="F309" s="3">
        <v>2.8648423476200775</v>
      </c>
      <c r="G309" s="4">
        <v>38</v>
      </c>
      <c r="H309" s="4">
        <v>49.1</v>
      </c>
      <c r="I309" s="1">
        <v>152.4</v>
      </c>
      <c r="J309" s="4">
        <v>381</v>
      </c>
      <c r="K309" s="5">
        <v>774</v>
      </c>
      <c r="L309" s="3">
        <v>24399.24</v>
      </c>
      <c r="M309" s="5">
        <v>118.55113780231501</v>
      </c>
      <c r="N309" s="8">
        <v>3.1722299547035072E-2</v>
      </c>
      <c r="O309" s="3">
        <v>66.199000000000012</v>
      </c>
      <c r="P309" s="5">
        <v>230.12722674031269</v>
      </c>
      <c r="Q309" s="3">
        <v>0.2</v>
      </c>
      <c r="R309" s="12">
        <f t="shared" si="42"/>
        <v>1.1506361337015635E-3</v>
      </c>
      <c r="V309" s="3">
        <f t="shared" si="40"/>
        <v>0.26746171346915876</v>
      </c>
      <c r="W309" s="3">
        <f t="shared" si="43"/>
        <v>1.3373085673457936</v>
      </c>
      <c r="Y309" s="3">
        <f t="shared" si="41"/>
        <v>0.26674948362228751</v>
      </c>
      <c r="Z309" s="3">
        <f t="shared" si="44"/>
        <v>1.3337474181114375</v>
      </c>
      <c r="AB309" s="3">
        <f>$AC$2*($AC$3+$AC$4*$F309/($N309*'Dataset sem TS MC2020'!P301))*($AC$5*$G309+$AC$6*$B309/$N309)*'Dataset sem TS MC2020'!R301*($J309-$M309)/($J309-$M309-$H309)</f>
        <v>0.25463840502044677</v>
      </c>
      <c r="AC309" s="3">
        <f t="shared" si="45"/>
        <v>1.2731920251022337</v>
      </c>
      <c r="AD309" s="16">
        <f t="shared" si="46"/>
        <v>5.4638405020446756E-2</v>
      </c>
      <c r="AE309" s="17">
        <f t="shared" si="47"/>
        <v>0.78542747699012871</v>
      </c>
      <c r="AF309" s="17">
        <f>AB309*(14.068*'Dataset sem TS MC2020'!$P301^-0.457)/$Q309</f>
        <v>1.3733293183866242</v>
      </c>
      <c r="AG309" s="17"/>
      <c r="AO309" s="3">
        <f>$AP$2*($AP$3+$AP$4*$F309/($N309*'Dataset sem TS MC2020'!P301))*($AP$5*$G309+$AP$6*$B309/$N309)*('Dataset sem TS MC2020'!P301^$AP$7/200000)*($J309-$M309)/($J309-$M309-$H309)+('Dataset sem TS MC2020'!P301-$C309/$AP$8)*($AP$5*$G309+$AP$6*$B309/$N309)/200000</f>
        <v>0.27496267898061755</v>
      </c>
      <c r="AP309" s="3">
        <f t="shared" si="48"/>
        <v>1.3748133949030876</v>
      </c>
      <c r="AQ309" s="16">
        <f t="shared" si="49"/>
        <v>7.4962678980617536E-2</v>
      </c>
    </row>
    <row r="310" spans="1:43" x14ac:dyDescent="0.3">
      <c r="A310" s="1" t="s">
        <v>76</v>
      </c>
      <c r="B310" s="4">
        <v>22.2</v>
      </c>
      <c r="C310" s="5">
        <v>276</v>
      </c>
      <c r="D310" s="5">
        <v>2</v>
      </c>
      <c r="E310" s="4">
        <v>63.6</v>
      </c>
      <c r="F310" s="3">
        <v>2.8336917902498859</v>
      </c>
      <c r="G310" s="4">
        <v>38</v>
      </c>
      <c r="H310" s="4">
        <v>49.1</v>
      </c>
      <c r="I310" s="1">
        <v>152.4</v>
      </c>
      <c r="J310" s="4">
        <v>381</v>
      </c>
      <c r="K310" s="5">
        <v>774</v>
      </c>
      <c r="L310" s="3">
        <v>24399.24</v>
      </c>
      <c r="M310" s="5">
        <v>118.80489327201617</v>
      </c>
      <c r="N310" s="8">
        <v>3.1722299547035072E-2</v>
      </c>
      <c r="O310" s="3">
        <v>43.938299999999998</v>
      </c>
      <c r="P310" s="5">
        <v>130.47854270038215</v>
      </c>
      <c r="Q310" s="3">
        <v>0.15</v>
      </c>
      <c r="R310" s="12">
        <f t="shared" si="42"/>
        <v>6.5239271350191078E-4</v>
      </c>
      <c r="V310" s="3">
        <f t="shared" si="40"/>
        <v>0.18845817767758241</v>
      </c>
      <c r="W310" s="3">
        <f t="shared" si="43"/>
        <v>1.2563878511838829</v>
      </c>
      <c r="Y310" s="3">
        <f t="shared" si="41"/>
        <v>0.18678682249030792</v>
      </c>
      <c r="Z310" s="3">
        <f t="shared" si="44"/>
        <v>1.2452454832687196</v>
      </c>
      <c r="AB310" s="3">
        <f>$AC$2*($AC$3+$AC$4*$F310/($N310*'Dataset sem TS MC2020'!P302))*($AC$5*$G310+$AC$6*$B310/$N310)*'Dataset sem TS MC2020'!R302*($J310-$M310)/($J310-$M310-$H310)</f>
        <v>0.16361895575980942</v>
      </c>
      <c r="AC310" s="3">
        <f t="shared" si="45"/>
        <v>1.0907930383987294</v>
      </c>
      <c r="AD310" s="16">
        <f t="shared" si="46"/>
        <v>1.3618955759809426E-2</v>
      </c>
      <c r="AE310" s="17">
        <f t="shared" si="47"/>
        <v>0.91676419338721438</v>
      </c>
      <c r="AF310" s="17">
        <f>AB310*(14.068*'Dataset sem TS MC2020'!$P302^-0.457)/$Q310</f>
        <v>1.3811238729162347</v>
      </c>
      <c r="AG310" s="17"/>
      <c r="AO310" s="3">
        <f>$AP$2*($AP$3+$AP$4*$F310/($N310*'Dataset sem TS MC2020'!P302))*($AP$5*$G310+$AP$6*$B310/$N310)*('Dataset sem TS MC2020'!P302^$AP$7/200000)*($J310-$M310)/($J310-$M310-$H310)+('Dataset sem TS MC2020'!P302-$C310/$AP$8)*($AP$5*$G310+$AP$6*$B310/$N310)/200000</f>
        <v>0.18500102031149315</v>
      </c>
      <c r="AP310" s="3">
        <f t="shared" si="48"/>
        <v>1.2333401354099545</v>
      </c>
      <c r="AQ310" s="16">
        <f t="shared" si="49"/>
        <v>3.5001020311493158E-2</v>
      </c>
    </row>
    <row r="311" spans="1:43" x14ac:dyDescent="0.3">
      <c r="B311" s="4">
        <v>22.2</v>
      </c>
      <c r="C311" s="5">
        <v>276</v>
      </c>
      <c r="D311" s="5">
        <v>2</v>
      </c>
      <c r="E311" s="4">
        <v>63.6</v>
      </c>
      <c r="F311" s="3">
        <v>2.8336917902498859</v>
      </c>
      <c r="G311" s="4">
        <v>38</v>
      </c>
      <c r="H311" s="4">
        <v>49.1</v>
      </c>
      <c r="I311" s="1">
        <v>152.4</v>
      </c>
      <c r="J311" s="4">
        <v>381</v>
      </c>
      <c r="K311" s="5">
        <v>774</v>
      </c>
      <c r="L311" s="3">
        <v>24399.24</v>
      </c>
      <c r="M311" s="5">
        <v>118.80489327201617</v>
      </c>
      <c r="N311" s="8">
        <v>3.1722299547035072E-2</v>
      </c>
      <c r="O311" s="3">
        <v>51.107000000000006</v>
      </c>
      <c r="P311" s="5">
        <v>169.35562689037658</v>
      </c>
      <c r="Q311" s="3">
        <v>0.18</v>
      </c>
      <c r="R311" s="12">
        <f t="shared" si="42"/>
        <v>8.4677813445188297E-4</v>
      </c>
      <c r="V311" s="3">
        <f t="shared" si="40"/>
        <v>0.22135877175296009</v>
      </c>
      <c r="W311" s="3">
        <f t="shared" si="43"/>
        <v>1.2297709541831117</v>
      </c>
      <c r="Y311" s="3">
        <f t="shared" si="41"/>
        <v>0.22002592178355931</v>
      </c>
      <c r="Z311" s="3">
        <f t="shared" si="44"/>
        <v>1.222366232130885</v>
      </c>
      <c r="AB311" s="3">
        <f>$AC$2*($AC$3+$AC$4*$F311/($N311*'Dataset sem TS MC2020'!P303))*($AC$5*$G311+$AC$6*$B311/$N311)*'Dataset sem TS MC2020'!R303*($J311-$M311)/($J311-$M311-$H311)</f>
        <v>0.19922340493040011</v>
      </c>
      <c r="AC311" s="3">
        <f t="shared" si="45"/>
        <v>1.1067966940577785</v>
      </c>
      <c r="AD311" s="16">
        <f t="shared" si="46"/>
        <v>1.9223404930400118E-2</v>
      </c>
      <c r="AE311" s="17">
        <f t="shared" si="47"/>
        <v>0.90350830045738884</v>
      </c>
      <c r="AF311" s="17">
        <f>AB311*(14.068*'Dataset sem TS MC2020'!$P303^-0.457)/$Q311</f>
        <v>1.3078621023851205</v>
      </c>
      <c r="AG311" s="17"/>
      <c r="AO311" s="3">
        <f>$AP$2*($AP$3+$AP$4*$F311/($N311*'Dataset sem TS MC2020'!P303))*($AP$5*$G311+$AP$6*$B311/$N311)*('Dataset sem TS MC2020'!P303^$AP$7/200000)*($J311-$M311)/($J311-$M311-$H311)+('Dataset sem TS MC2020'!P303-$C311/$AP$8)*($AP$5*$G311+$AP$6*$B311/$N311)/200000</f>
        <v>0.22101435667102584</v>
      </c>
      <c r="AP311" s="3">
        <f t="shared" si="48"/>
        <v>1.2278575370612548</v>
      </c>
      <c r="AQ311" s="16">
        <f t="shared" si="49"/>
        <v>4.1014356671025848E-2</v>
      </c>
    </row>
    <row r="312" spans="1:43" x14ac:dyDescent="0.3">
      <c r="B312" s="4">
        <v>22.2</v>
      </c>
      <c r="C312" s="5">
        <v>276</v>
      </c>
      <c r="D312" s="5">
        <v>2</v>
      </c>
      <c r="E312" s="4">
        <v>63.6</v>
      </c>
      <c r="F312" s="3">
        <v>2.8336917902498859</v>
      </c>
      <c r="G312" s="4">
        <v>38</v>
      </c>
      <c r="H312" s="4">
        <v>49.1</v>
      </c>
      <c r="I312" s="1">
        <v>152.4</v>
      </c>
      <c r="J312" s="4">
        <v>381</v>
      </c>
      <c r="K312" s="5">
        <v>774</v>
      </c>
      <c r="L312" s="3">
        <v>24399.24</v>
      </c>
      <c r="M312" s="5">
        <v>118.80489327201617</v>
      </c>
      <c r="N312" s="8">
        <v>3.1722299547035072E-2</v>
      </c>
      <c r="O312" s="3">
        <v>58.755900000000011</v>
      </c>
      <c r="P312" s="5">
        <v>210.83691767682996</v>
      </c>
      <c r="Q312" s="3">
        <v>0.22</v>
      </c>
      <c r="R312" s="12">
        <f t="shared" si="42"/>
        <v>1.0541845883841497E-3</v>
      </c>
      <c r="V312" s="3">
        <f t="shared" si="40"/>
        <v>0.25339757386242484</v>
      </c>
      <c r="W312" s="3">
        <f t="shared" si="43"/>
        <v>1.1518071539201129</v>
      </c>
      <c r="Y312" s="3">
        <f t="shared" si="41"/>
        <v>0.25247953546867058</v>
      </c>
      <c r="Z312" s="3">
        <f t="shared" si="44"/>
        <v>1.1476342521303209</v>
      </c>
      <c r="AB312" s="3">
        <f>$AC$2*($AC$3+$AC$4*$F312/($N312*'Dataset sem TS MC2020'!P304))*($AC$5*$G312+$AC$6*$B312/$N312)*'Dataset sem TS MC2020'!R304*($J312-$M312)/($J312-$M312-$H312)</f>
        <v>0.23721284112677182</v>
      </c>
      <c r="AC312" s="3">
        <f t="shared" si="45"/>
        <v>1.0782401869398719</v>
      </c>
      <c r="AD312" s="16">
        <f t="shared" si="46"/>
        <v>1.7212841126771822E-2</v>
      </c>
      <c r="AE312" s="17">
        <f t="shared" si="47"/>
        <v>0.9274371444437407</v>
      </c>
      <c r="AF312" s="17">
        <f>AB312*(14.068*'Dataset sem TS MC2020'!$P304^-0.457)/$Q312</f>
        <v>1.1954423202297537</v>
      </c>
      <c r="AG312" s="17"/>
      <c r="AO312" s="3">
        <f>$AP$2*($AP$3+$AP$4*$F312/($N312*'Dataset sem TS MC2020'!P304))*($AP$5*$G312+$AP$6*$B312/$N312)*('Dataset sem TS MC2020'!P304^$AP$7/200000)*($J312-$M312)/($J312-$M312-$H312)+('Dataset sem TS MC2020'!P304-$C312/$AP$8)*($AP$5*$G312+$AP$6*$B312/$N312)/200000</f>
        <v>0.25828003352737855</v>
      </c>
      <c r="AP312" s="3">
        <f t="shared" si="48"/>
        <v>1.1740001523971753</v>
      </c>
      <c r="AQ312" s="16">
        <f t="shared" si="49"/>
        <v>3.8280033527378549E-2</v>
      </c>
    </row>
    <row r="313" spans="1:43" x14ac:dyDescent="0.3">
      <c r="B313" s="4">
        <v>22.2</v>
      </c>
      <c r="C313" s="5">
        <v>276</v>
      </c>
      <c r="D313" s="5">
        <v>2</v>
      </c>
      <c r="E313" s="4">
        <v>63.6</v>
      </c>
      <c r="F313" s="3">
        <v>2.8336917902498859</v>
      </c>
      <c r="G313" s="4">
        <v>38</v>
      </c>
      <c r="H313" s="4">
        <v>49.1</v>
      </c>
      <c r="I313" s="1">
        <v>152.4</v>
      </c>
      <c r="J313" s="4">
        <v>381</v>
      </c>
      <c r="K313" s="5">
        <v>774</v>
      </c>
      <c r="L313" s="3">
        <v>24399.24</v>
      </c>
      <c r="M313" s="5">
        <v>118.80489327201617</v>
      </c>
      <c r="N313" s="8">
        <v>3.1722299547035072E-2</v>
      </c>
      <c r="O313" s="3">
        <v>66.199000000000012</v>
      </c>
      <c r="P313" s="5">
        <v>230.58159218797238</v>
      </c>
      <c r="Q313" s="3">
        <v>0.25</v>
      </c>
      <c r="R313" s="12">
        <f t="shared" si="42"/>
        <v>1.1529079609398619E-3</v>
      </c>
      <c r="V313" s="3">
        <f t="shared" si="40"/>
        <v>0.26778741514447396</v>
      </c>
      <c r="W313" s="3">
        <f t="shared" si="43"/>
        <v>1.0711496605778958</v>
      </c>
      <c r="Y313" s="3">
        <f t="shared" si="41"/>
        <v>0.26708011277900351</v>
      </c>
      <c r="Z313" s="3">
        <f t="shared" si="44"/>
        <v>1.068320451116014</v>
      </c>
      <c r="AB313" s="3">
        <f>$AC$2*($AC$3+$AC$4*$F313/($N313*'Dataset sem TS MC2020'!P305))*($AC$5*$G313+$AC$6*$B313/$N313)*'Dataset sem TS MC2020'!R305*($J313-$M313)/($J313-$M313-$H313)</f>
        <v>0.255295428200078</v>
      </c>
      <c r="AC313" s="3">
        <f t="shared" si="45"/>
        <v>1.021181712800312</v>
      </c>
      <c r="AD313" s="16">
        <f t="shared" si="46"/>
        <v>5.2954282000780006E-3</v>
      </c>
      <c r="AE313" s="17">
        <f t="shared" si="47"/>
        <v>0.97925764578937968</v>
      </c>
      <c r="AF313" s="17">
        <f>AB313*(14.068*'Dataset sem TS MC2020'!$P305^-0.457)/$Q313</f>
        <v>1.1014982484486797</v>
      </c>
      <c r="AG313" s="17"/>
      <c r="AO313" s="3">
        <f>$AP$2*($AP$3+$AP$4*$F313/($N313*'Dataset sem TS MC2020'!P305))*($AP$5*$G313+$AP$6*$B313/$N313)*('Dataset sem TS MC2020'!P305^$AP$7/200000)*($J313-$M313)/($J313-$M313-$H313)+('Dataset sem TS MC2020'!P305-$C313/$AP$8)*($AP$5*$G313+$AP$6*$B313/$N313)/200000</f>
        <v>0.27566070510184132</v>
      </c>
      <c r="AP313" s="3">
        <f t="shared" si="48"/>
        <v>1.1026428204073653</v>
      </c>
      <c r="AQ313" s="16">
        <f t="shared" si="49"/>
        <v>2.5660705101841319E-2</v>
      </c>
    </row>
    <row r="314" spans="1:43" x14ac:dyDescent="0.3">
      <c r="A314" s="1" t="s">
        <v>77</v>
      </c>
      <c r="B314" s="4">
        <v>22.2</v>
      </c>
      <c r="C314" s="5">
        <v>276</v>
      </c>
      <c r="D314" s="5">
        <v>2</v>
      </c>
      <c r="E314" s="4">
        <v>63.6</v>
      </c>
      <c r="F314" s="3">
        <v>2.7563734268389184</v>
      </c>
      <c r="G314" s="4">
        <v>38</v>
      </c>
      <c r="H314" s="4">
        <v>49.1</v>
      </c>
      <c r="I314" s="1">
        <v>152.4</v>
      </c>
      <c r="J314" s="4">
        <v>381</v>
      </c>
      <c r="K314" s="5">
        <v>774</v>
      </c>
      <c r="L314" s="3">
        <v>24399.24</v>
      </c>
      <c r="M314" s="5">
        <v>119.44859227094086</v>
      </c>
      <c r="N314" s="8">
        <v>3.1722299547035072E-2</v>
      </c>
      <c r="O314" s="3">
        <v>43.938299999999998</v>
      </c>
      <c r="P314" s="5">
        <v>132.24376663863131</v>
      </c>
      <c r="Q314" s="3">
        <v>0.2</v>
      </c>
      <c r="R314" s="12">
        <f t="shared" si="42"/>
        <v>6.612188331931566E-4</v>
      </c>
      <c r="V314" s="3">
        <f t="shared" si="40"/>
        <v>0.1900272437171901</v>
      </c>
      <c r="W314" s="3">
        <f t="shared" si="43"/>
        <v>0.95013621858595043</v>
      </c>
      <c r="Y314" s="3">
        <f t="shared" si="41"/>
        <v>0.18836981584859519</v>
      </c>
      <c r="Z314" s="3">
        <f t="shared" si="44"/>
        <v>0.9418490792429759</v>
      </c>
      <c r="AB314" s="3">
        <f>$AC$2*($AC$3+$AC$4*$F314/($N314*'Dataset sem TS MC2020'!P306))*($AC$5*$G314+$AC$6*$B314/$N314)*'Dataset sem TS MC2020'!R306*($J314-$M314)/($J314-$M314-$H314)</f>
        <v>0.16536302037540809</v>
      </c>
      <c r="AC314" s="3">
        <f t="shared" si="45"/>
        <v>0.82681510187704044</v>
      </c>
      <c r="AD314" s="16">
        <f t="shared" si="46"/>
        <v>-3.4636979624591918E-2</v>
      </c>
      <c r="AE314" s="17">
        <f t="shared" si="47"/>
        <v>1.2094602502177261</v>
      </c>
      <c r="AF314" s="17">
        <f>AB314*(14.068*'Dataset sem TS MC2020'!$P306^-0.457)/$Q314</f>
        <v>1.0465330053763384</v>
      </c>
      <c r="AG314" s="17"/>
      <c r="AO314" s="3">
        <f>$AP$2*($AP$3+$AP$4*$F314/($N314*'Dataset sem TS MC2020'!P306))*($AP$5*$G314+$AP$6*$B314/$N314)*('Dataset sem TS MC2020'!P306^$AP$7/200000)*($J314-$M314)/($J314-$M314-$H314)+('Dataset sem TS MC2020'!P306-$C314/$AP$8)*($AP$5*$G314+$AP$6*$B314/$N314)/200000</f>
        <v>0.18695878862054979</v>
      </c>
      <c r="AP314" s="3">
        <f t="shared" si="48"/>
        <v>0.93479394310274888</v>
      </c>
      <c r="AQ314" s="16">
        <f t="shared" si="49"/>
        <v>-1.3041211379450218E-2</v>
      </c>
    </row>
    <row r="315" spans="1:43" x14ac:dyDescent="0.3">
      <c r="B315" s="4">
        <v>22.2</v>
      </c>
      <c r="C315" s="5">
        <v>276</v>
      </c>
      <c r="D315" s="5">
        <v>2</v>
      </c>
      <c r="E315" s="4">
        <v>63.6</v>
      </c>
      <c r="F315" s="3">
        <v>2.7563734268389184</v>
      </c>
      <c r="G315" s="4">
        <v>38</v>
      </c>
      <c r="H315" s="4">
        <v>49.1</v>
      </c>
      <c r="I315" s="1">
        <v>152.4</v>
      </c>
      <c r="J315" s="4">
        <v>381</v>
      </c>
      <c r="K315" s="5">
        <v>774</v>
      </c>
      <c r="L315" s="3">
        <v>24399.24</v>
      </c>
      <c r="M315" s="5">
        <v>119.44859227094086</v>
      </c>
      <c r="N315" s="8">
        <v>3.1722299547035072E-2</v>
      </c>
      <c r="O315" s="3">
        <v>51.107000000000006</v>
      </c>
      <c r="P315" s="5">
        <v>170.96977634729512</v>
      </c>
      <c r="Q315" s="3">
        <v>0.25</v>
      </c>
      <c r="R315" s="12">
        <f t="shared" si="42"/>
        <v>8.5484888173647557E-4</v>
      </c>
      <c r="V315" s="3">
        <f t="shared" si="40"/>
        <v>0.22265815146183066</v>
      </c>
      <c r="W315" s="3">
        <f t="shared" si="43"/>
        <v>0.89063260584732262</v>
      </c>
      <c r="Y315" s="3">
        <f t="shared" si="41"/>
        <v>0.22134057241300745</v>
      </c>
      <c r="Z315" s="3">
        <f t="shared" si="44"/>
        <v>0.88536228965202979</v>
      </c>
      <c r="AB315" s="3">
        <f>$AC$2*($AC$3+$AC$4*$F315/($N315*'Dataset sem TS MC2020'!P307))*($AC$5*$G315+$AC$6*$B315/$N315)*'Dataset sem TS MC2020'!R307*($J315-$M315)/($J315-$M315-$H315)</f>
        <v>0.20101384114255272</v>
      </c>
      <c r="AC315" s="3">
        <f t="shared" si="45"/>
        <v>0.80405536457021087</v>
      </c>
      <c r="AD315" s="16">
        <f t="shared" si="46"/>
        <v>-4.8986158857447282E-2</v>
      </c>
      <c r="AE315" s="17">
        <f t="shared" si="47"/>
        <v>1.2436954519102386</v>
      </c>
      <c r="AF315" s="17">
        <f>AB315*(14.068*'Dataset sem TS MC2020'!$P307^-0.457)/$Q315</f>
        <v>0.94980469189608729</v>
      </c>
      <c r="AG315" s="17"/>
      <c r="AO315" s="3">
        <f>$AP$2*($AP$3+$AP$4*$F315/($N315*'Dataset sem TS MC2020'!P307))*($AP$5*$G315+$AP$6*$B315/$N315)*('Dataset sem TS MC2020'!P307^$AP$7/200000)*($J315-$M315)/($J315-$M315-$H315)+('Dataset sem TS MC2020'!P307-$C315/$AP$8)*($AP$5*$G315+$AP$6*$B315/$N315)/200000</f>
        <v>0.22296667288495911</v>
      </c>
      <c r="AP315" s="3">
        <f t="shared" si="48"/>
        <v>0.89186669153983644</v>
      </c>
      <c r="AQ315" s="16">
        <f t="shared" si="49"/>
        <v>-2.7033327115040889E-2</v>
      </c>
    </row>
    <row r="316" spans="1:43" x14ac:dyDescent="0.3">
      <c r="B316" s="4">
        <v>22.2</v>
      </c>
      <c r="C316" s="5">
        <v>276</v>
      </c>
      <c r="D316" s="5">
        <v>2</v>
      </c>
      <c r="E316" s="4">
        <v>63.6</v>
      </c>
      <c r="F316" s="3">
        <v>2.7563734268389184</v>
      </c>
      <c r="G316" s="4">
        <v>38</v>
      </c>
      <c r="H316" s="4">
        <v>49.1</v>
      </c>
      <c r="I316" s="1">
        <v>152.4</v>
      </c>
      <c r="J316" s="4">
        <v>381</v>
      </c>
      <c r="K316" s="5">
        <v>774</v>
      </c>
      <c r="L316" s="3">
        <v>24399.24</v>
      </c>
      <c r="M316" s="5">
        <v>119.44859227094086</v>
      </c>
      <c r="N316" s="8">
        <v>3.1722299547035072E-2</v>
      </c>
      <c r="O316" s="3">
        <v>58.755900000000011</v>
      </c>
      <c r="P316" s="5">
        <v>212.289872830702</v>
      </c>
      <c r="Q316" s="3">
        <v>0.3</v>
      </c>
      <c r="R316" s="12">
        <f t="shared" si="42"/>
        <v>1.06144936415351E-3</v>
      </c>
      <c r="V316" s="3">
        <f t="shared" si="40"/>
        <v>0.25447359664776414</v>
      </c>
      <c r="W316" s="3">
        <f t="shared" si="43"/>
        <v>0.84824532215921389</v>
      </c>
      <c r="Y316" s="3">
        <f t="shared" si="41"/>
        <v>0.25357081521174607</v>
      </c>
      <c r="Z316" s="3">
        <f t="shared" si="44"/>
        <v>0.84523605070582031</v>
      </c>
      <c r="AB316" s="3">
        <f>$AC$2*($AC$3+$AC$4*$F316/($N316*'Dataset sem TS MC2020'!P308))*($AC$5*$G316+$AC$6*$B316/$N316)*'Dataset sem TS MC2020'!R308*($J316-$M316)/($J316-$M316-$H316)</f>
        <v>0.23905275516682667</v>
      </c>
      <c r="AC316" s="3">
        <f t="shared" si="45"/>
        <v>0.79684251722275556</v>
      </c>
      <c r="AD316" s="16">
        <f t="shared" si="46"/>
        <v>-6.094724483317332E-2</v>
      </c>
      <c r="AE316" s="17">
        <f t="shared" si="47"/>
        <v>1.2549531160627718</v>
      </c>
      <c r="AF316" s="17">
        <f>AB316*(14.068*'Dataset sem TS MC2020'!$P308^-0.457)/$Q316</f>
        <v>0.88316096487147999</v>
      </c>
      <c r="AG316" s="17"/>
      <c r="AO316" s="3">
        <f>$AP$2*($AP$3+$AP$4*$F316/($N316*'Dataset sem TS MC2020'!P308))*($AP$5*$G316+$AP$6*$B316/$N316)*('Dataset sem TS MC2020'!P308^$AP$7/200000)*($J316-$M316)/($J316-$M316-$H316)+('Dataset sem TS MC2020'!P308-$C316/$AP$8)*($AP$5*$G316+$AP$6*$B316/$N316)/200000</f>
        <v>0.26023300060820875</v>
      </c>
      <c r="AP316" s="3">
        <f t="shared" si="48"/>
        <v>0.86744333536069584</v>
      </c>
      <c r="AQ316" s="16">
        <f t="shared" si="49"/>
        <v>-3.9766999391791236E-2</v>
      </c>
    </row>
    <row r="317" spans="1:43" x14ac:dyDescent="0.3">
      <c r="B317" s="4">
        <v>22.2</v>
      </c>
      <c r="C317" s="5">
        <v>276</v>
      </c>
      <c r="D317" s="5">
        <v>2</v>
      </c>
      <c r="E317" s="4">
        <v>63.6</v>
      </c>
      <c r="F317" s="3">
        <v>2.7563734268389184</v>
      </c>
      <c r="G317" s="4">
        <v>38</v>
      </c>
      <c r="H317" s="4">
        <v>49.1</v>
      </c>
      <c r="I317" s="1">
        <v>152.4</v>
      </c>
      <c r="J317" s="4">
        <v>381</v>
      </c>
      <c r="K317" s="5">
        <v>774</v>
      </c>
      <c r="L317" s="3">
        <v>24399.24</v>
      </c>
      <c r="M317" s="5">
        <v>119.44859227094086</v>
      </c>
      <c r="N317" s="8">
        <v>3.1722299547035072E-2</v>
      </c>
      <c r="O317" s="3">
        <v>66.199000000000012</v>
      </c>
      <c r="P317" s="5">
        <v>231.71038661669741</v>
      </c>
      <c r="Q317" s="3">
        <v>0.35</v>
      </c>
      <c r="R317" s="12">
        <f t="shared" si="42"/>
        <v>1.1585519330834871E-3</v>
      </c>
      <c r="V317" s="3">
        <f t="shared" si="40"/>
        <v>0.26859550403695825</v>
      </c>
      <c r="W317" s="3">
        <f t="shared" si="43"/>
        <v>0.76741572581988082</v>
      </c>
      <c r="Y317" s="3">
        <f t="shared" si="41"/>
        <v>0.26790045804342943</v>
      </c>
      <c r="Z317" s="3">
        <f t="shared" si="44"/>
        <v>0.76542988012408419</v>
      </c>
      <c r="AB317" s="3">
        <f>$AC$2*($AC$3+$AC$4*$F317/($N317*'Dataset sem TS MC2020'!P309))*($AC$5*$G317+$AC$6*$B317/$N317)*'Dataset sem TS MC2020'!R309*($J317-$M317)/($J317-$M317-$H317)</f>
        <v>0.25693110776238187</v>
      </c>
      <c r="AC317" s="3">
        <f t="shared" si="45"/>
        <v>0.73408887932109113</v>
      </c>
      <c r="AD317" s="16">
        <f t="shared" si="46"/>
        <v>-9.3068892237618106E-2</v>
      </c>
      <c r="AE317" s="17">
        <f t="shared" si="47"/>
        <v>1.3622328687567533</v>
      </c>
      <c r="AF317" s="17">
        <f>AB317*(14.068*'Dataset sem TS MC2020'!$P309^-0.457)/$Q317</f>
        <v>0.79182539663825147</v>
      </c>
      <c r="AG317" s="17"/>
      <c r="AO317" s="3">
        <f>$AP$2*($AP$3+$AP$4*$F317/($N317*'Dataset sem TS MC2020'!P309))*($AP$5*$G317+$AP$6*$B317/$N317)*('Dataset sem TS MC2020'!P309^$AP$7/200000)*($J317-$M317)/($J317-$M317-$H317)+('Dataset sem TS MC2020'!P309-$C317/$AP$8)*($AP$5*$G317+$AP$6*$B317/$N317)/200000</f>
        <v>0.27739838319184085</v>
      </c>
      <c r="AP317" s="3">
        <f t="shared" si="48"/>
        <v>0.79256680911954536</v>
      </c>
      <c r="AQ317" s="16">
        <f t="shared" si="49"/>
        <v>-7.2601616808159131E-2</v>
      </c>
    </row>
    <row r="318" spans="1:43" x14ac:dyDescent="0.3">
      <c r="A318" s="1" t="s">
        <v>78</v>
      </c>
      <c r="B318" s="4">
        <v>28.7</v>
      </c>
      <c r="C318" s="5">
        <v>276</v>
      </c>
      <c r="D318" s="5">
        <v>2</v>
      </c>
      <c r="E318" s="4">
        <v>50.6</v>
      </c>
      <c r="F318" s="3">
        <v>2.7748174021560659</v>
      </c>
      <c r="G318" s="4">
        <v>22.2</v>
      </c>
      <c r="H318" s="4">
        <v>36.6</v>
      </c>
      <c r="I318" s="1">
        <v>152.4</v>
      </c>
      <c r="J318" s="4">
        <v>381</v>
      </c>
      <c r="K318" s="5">
        <v>1290</v>
      </c>
      <c r="L318" s="3">
        <v>19522.439999999999</v>
      </c>
      <c r="M318" s="5">
        <v>148.01498573118474</v>
      </c>
      <c r="N318" s="8">
        <v>6.6077805848039489E-2</v>
      </c>
      <c r="O318" s="3">
        <v>89.111400000000017</v>
      </c>
      <c r="P318" s="5">
        <v>203.54339028531385</v>
      </c>
      <c r="Q318" s="3">
        <v>0.17</v>
      </c>
      <c r="R318" s="12">
        <f t="shared" si="42"/>
        <v>1.0177169514265691E-3</v>
      </c>
      <c r="V318" s="3">
        <f t="shared" si="40"/>
        <v>0.2171182249949809</v>
      </c>
      <c r="W318" s="3">
        <f t="shared" si="43"/>
        <v>1.2771660293822404</v>
      </c>
      <c r="Y318" s="3">
        <f t="shared" si="41"/>
        <v>0.22657032392719423</v>
      </c>
      <c r="Z318" s="3">
        <f t="shared" si="44"/>
        <v>1.3327666113364365</v>
      </c>
      <c r="AB318" s="3">
        <f>$AC$2*($AC$3+$AC$4*$F318/($N318*'Dataset sem TS MC2020'!P310))*($AC$5*$G318+$AC$6*$B318/$N318)*'Dataset sem TS MC2020'!R310*($J318-$M318)/($J318-$M318-$H318)</f>
        <v>0.1397410261268337</v>
      </c>
      <c r="AC318" s="3">
        <f t="shared" si="45"/>
        <v>0.82200603604019817</v>
      </c>
      <c r="AD318" s="16">
        <f t="shared" si="46"/>
        <v>-3.0258973873166312E-2</v>
      </c>
      <c r="AE318" s="17">
        <f t="shared" si="47"/>
        <v>1.2165360790016115</v>
      </c>
      <c r="AF318" s="17">
        <f>AB318*(14.068*'Dataset sem TS MC2020'!$P310^-0.457)/$Q318</f>
        <v>0.95560301149558935</v>
      </c>
      <c r="AG318" s="17"/>
      <c r="AO318" s="3">
        <f>$AP$2*($AP$3+$AP$4*$F318/($N318*'Dataset sem TS MC2020'!P310))*($AP$5*$G318+$AP$6*$B318/$N318)*('Dataset sem TS MC2020'!P310^$AP$7/200000)*($J318-$M318)/($J318-$M318-$H318)+('Dataset sem TS MC2020'!P310-$C318/$AP$8)*($AP$5*$G318+$AP$6*$B318/$N318)/200000</f>
        <v>0.1547268631613036</v>
      </c>
      <c r="AP318" s="3">
        <f t="shared" si="48"/>
        <v>0.91015801859590351</v>
      </c>
      <c r="AQ318" s="16">
        <f t="shared" si="49"/>
        <v>-1.5273136838696411E-2</v>
      </c>
    </row>
    <row r="319" spans="1:43" x14ac:dyDescent="0.3">
      <c r="B319" s="4">
        <v>28.7</v>
      </c>
      <c r="C319" s="5">
        <v>276</v>
      </c>
      <c r="D319" s="5">
        <v>2</v>
      </c>
      <c r="E319" s="4">
        <v>50.6</v>
      </c>
      <c r="F319" s="3">
        <v>2.7748174021560659</v>
      </c>
      <c r="G319" s="4">
        <v>22.2</v>
      </c>
      <c r="H319" s="4">
        <v>36.6</v>
      </c>
      <c r="I319" s="1">
        <v>152.4</v>
      </c>
      <c r="J319" s="4">
        <v>381</v>
      </c>
      <c r="K319" s="5">
        <v>1290</v>
      </c>
      <c r="L319" s="3">
        <v>19522.439999999999</v>
      </c>
      <c r="M319" s="5">
        <v>148.01498573118474</v>
      </c>
      <c r="N319" s="8">
        <v>6.6077805848039489E-2</v>
      </c>
      <c r="O319" s="3">
        <v>104.61500000000001</v>
      </c>
      <c r="P319" s="5">
        <v>249.44312023789973</v>
      </c>
      <c r="Q319" s="3">
        <v>0.2</v>
      </c>
      <c r="R319" s="12">
        <f t="shared" si="42"/>
        <v>1.2472156011894987E-3</v>
      </c>
      <c r="V319" s="3">
        <f t="shared" si="40"/>
        <v>0.24614235000102788</v>
      </c>
      <c r="W319" s="3">
        <f t="shared" si="43"/>
        <v>1.2307117500051394</v>
      </c>
      <c r="Y319" s="3">
        <f t="shared" si="41"/>
        <v>0.25743319582810581</v>
      </c>
      <c r="Z319" s="3">
        <f t="shared" si="44"/>
        <v>1.287165979140529</v>
      </c>
      <c r="AB319" s="3">
        <f>$AC$2*($AC$3+$AC$4*$F319/($N319*'Dataset sem TS MC2020'!P311))*($AC$5*$G319+$AC$6*$B319/$N319)*'Dataset sem TS MC2020'!R311*($J319-$M319)/($J319-$M319-$H319)</f>
        <v>0.16668220416447754</v>
      </c>
      <c r="AC319" s="3">
        <f t="shared" si="45"/>
        <v>0.83341102082238772</v>
      </c>
      <c r="AD319" s="16">
        <f t="shared" si="46"/>
        <v>-3.3317795835522468E-2</v>
      </c>
      <c r="AE319" s="17">
        <f t="shared" si="47"/>
        <v>1.1998881404438673</v>
      </c>
      <c r="AF319" s="17">
        <f>AB319*(14.068*'Dataset sem TS MC2020'!$P311^-0.457)/$Q319</f>
        <v>0.90038200320546491</v>
      </c>
      <c r="AG319" s="17"/>
      <c r="AO319" s="3">
        <f>$AP$2*($AP$3+$AP$4*$F319/($N319*'Dataset sem TS MC2020'!P311))*($AP$5*$G319+$AP$6*$B319/$N319)*('Dataset sem TS MC2020'!P311^$AP$7/200000)*($J319-$M319)/($J319-$M319-$H319)+('Dataset sem TS MC2020'!P311-$C319/$AP$8)*($AP$5*$G319+$AP$6*$B319/$N319)/200000</f>
        <v>0.1805022591810011</v>
      </c>
      <c r="AP319" s="3">
        <f t="shared" si="48"/>
        <v>0.90251129590500545</v>
      </c>
      <c r="AQ319" s="16">
        <f t="shared" si="49"/>
        <v>-1.949774081899891E-2</v>
      </c>
    </row>
    <row r="320" spans="1:43" x14ac:dyDescent="0.3">
      <c r="A320" s="1" t="s">
        <v>79</v>
      </c>
      <c r="B320" s="4">
        <v>28.7</v>
      </c>
      <c r="C320" s="5">
        <v>276</v>
      </c>
      <c r="D320" s="5">
        <v>2</v>
      </c>
      <c r="E320" s="4">
        <v>50.6</v>
      </c>
      <c r="F320" s="3">
        <v>2.8017146470593879</v>
      </c>
      <c r="G320" s="4">
        <v>38.200000000000003</v>
      </c>
      <c r="H320" s="4">
        <v>52.5</v>
      </c>
      <c r="I320" s="1">
        <v>152.4</v>
      </c>
      <c r="J320" s="4">
        <v>381</v>
      </c>
      <c r="K320" s="5">
        <v>1290</v>
      </c>
      <c r="L320" s="3">
        <v>28003.5</v>
      </c>
      <c r="M320" s="5">
        <v>143.36625380284787</v>
      </c>
      <c r="N320" s="8">
        <v>4.6065670362633239E-2</v>
      </c>
      <c r="O320" s="3">
        <v>64.998500000000007</v>
      </c>
      <c r="P320" s="5">
        <v>131.97935186683122</v>
      </c>
      <c r="Q320" s="3">
        <v>0.17</v>
      </c>
      <c r="R320" s="12">
        <f t="shared" si="42"/>
        <v>6.5989675933415609E-4</v>
      </c>
      <c r="V320" s="3">
        <f t="shared" si="40"/>
        <v>0.19305334762171436</v>
      </c>
      <c r="W320" s="3">
        <f t="shared" si="43"/>
        <v>1.1356079271865549</v>
      </c>
      <c r="Y320" s="3">
        <f t="shared" si="41"/>
        <v>0.19545209646914194</v>
      </c>
      <c r="Z320" s="3">
        <f t="shared" si="44"/>
        <v>1.1497182145243643</v>
      </c>
      <c r="AB320" s="3">
        <f>$AC$2*($AC$3+$AC$4*$F320/($N320*'Dataset sem TS MC2020'!P312))*($AC$5*$G320+$AC$6*$B320/$N320)*'Dataset sem TS MC2020'!R312*($J320-$M320)/($J320-$M320-$H320)</f>
        <v>0.15827682091712722</v>
      </c>
      <c r="AC320" s="3">
        <f t="shared" si="45"/>
        <v>0.93104012304192474</v>
      </c>
      <c r="AD320" s="16">
        <f t="shared" si="46"/>
        <v>-1.1723179082872792E-2</v>
      </c>
      <c r="AE320" s="17">
        <f t="shared" si="47"/>
        <v>1.0740675672846056</v>
      </c>
      <c r="AF320" s="17">
        <f>AB320*(14.068*'Dataset sem TS MC2020'!$P312^-0.457)/$Q320</f>
        <v>1.2220758634609996</v>
      </c>
      <c r="AG320" s="17"/>
      <c r="AO320" s="3">
        <f>$AP$2*($AP$3+$AP$4*$F320/($N320*'Dataset sem TS MC2020'!P312))*($AP$5*$G320+$AP$6*$B320/$N320)*('Dataset sem TS MC2020'!P312^$AP$7/200000)*($J320-$M320)/($J320-$M320-$H320)+('Dataset sem TS MC2020'!P312-$C320/$AP$8)*($AP$5*$G320+$AP$6*$B320/$N320)/200000</f>
        <v>0.17965269055045258</v>
      </c>
      <c r="AP320" s="3">
        <f t="shared" si="48"/>
        <v>1.056780532649721</v>
      </c>
      <c r="AQ320" s="16">
        <f t="shared" si="49"/>
        <v>9.652690550452564E-3</v>
      </c>
    </row>
    <row r="321" spans="1:43" x14ac:dyDescent="0.3">
      <c r="B321" s="4">
        <v>28.7</v>
      </c>
      <c r="C321" s="5">
        <v>276</v>
      </c>
      <c r="D321" s="5">
        <v>2</v>
      </c>
      <c r="E321" s="4">
        <v>50.6</v>
      </c>
      <c r="F321" s="3">
        <v>2.8017146470593879</v>
      </c>
      <c r="G321" s="4">
        <v>38.200000000000003</v>
      </c>
      <c r="H321" s="4">
        <v>52.5</v>
      </c>
      <c r="I321" s="1">
        <v>152.4</v>
      </c>
      <c r="J321" s="4">
        <v>381</v>
      </c>
      <c r="K321" s="5">
        <v>1290</v>
      </c>
      <c r="L321" s="3">
        <v>28003.5</v>
      </c>
      <c r="M321" s="5">
        <v>143.36625380284787</v>
      </c>
      <c r="N321" s="8">
        <v>4.6065670362633239E-2</v>
      </c>
      <c r="O321" s="3">
        <v>77.037800000000004</v>
      </c>
      <c r="P321" s="5">
        <v>169.0135809192405</v>
      </c>
      <c r="Q321" s="3">
        <v>0.2</v>
      </c>
      <c r="R321" s="12">
        <f t="shared" si="42"/>
        <v>8.4506790459620243E-4</v>
      </c>
      <c r="V321" s="3">
        <f t="shared" si="40"/>
        <v>0.22488100293956265</v>
      </c>
      <c r="W321" s="3">
        <f t="shared" si="43"/>
        <v>1.1244050146978131</v>
      </c>
      <c r="Y321" s="3">
        <f t="shared" si="41"/>
        <v>0.22829549287566955</v>
      </c>
      <c r="Z321" s="3">
        <f t="shared" si="44"/>
        <v>1.1414774643783476</v>
      </c>
      <c r="AB321" s="3">
        <f>$AC$2*($AC$3+$AC$4*$F321/($N321*'Dataset sem TS MC2020'!P313))*($AC$5*$G321+$AC$6*$B321/$N321)*'Dataset sem TS MC2020'!R313*($J321-$M321)/($J321-$M321-$H321)</f>
        <v>0.19421923218855927</v>
      </c>
      <c r="AC321" s="3">
        <f t="shared" si="45"/>
        <v>0.97109616094279627</v>
      </c>
      <c r="AD321" s="16">
        <f t="shared" si="46"/>
        <v>-5.7807678114407401E-3</v>
      </c>
      <c r="AE321" s="17">
        <f t="shared" si="47"/>
        <v>1.0297641368792378</v>
      </c>
      <c r="AF321" s="17">
        <f>AB321*(14.068*'Dataset sem TS MC2020'!$P313^-0.457)/$Q321</f>
        <v>1.1794109646082223</v>
      </c>
      <c r="AG321" s="17"/>
      <c r="AO321" s="3">
        <f>$AP$2*($AP$3+$AP$4*$F321/($N321*'Dataset sem TS MC2020'!P313))*($AP$5*$G321+$AP$6*$B321/$N321)*('Dataset sem TS MC2020'!P313^$AP$7/200000)*($J321-$M321)/($J321-$M321-$H321)+('Dataset sem TS MC2020'!P313-$C321/$AP$8)*($AP$5*$G321+$AP$6*$B321/$N321)/200000</f>
        <v>0.21567666590705148</v>
      </c>
      <c r="AP321" s="3">
        <f t="shared" si="48"/>
        <v>1.0783833295352574</v>
      </c>
      <c r="AQ321" s="16">
        <f t="shared" si="49"/>
        <v>1.5676665907051468E-2</v>
      </c>
    </row>
    <row r="322" spans="1:43" x14ac:dyDescent="0.3">
      <c r="B322" s="4">
        <v>28.7</v>
      </c>
      <c r="C322" s="5">
        <v>276</v>
      </c>
      <c r="D322" s="5">
        <v>2</v>
      </c>
      <c r="E322" s="4">
        <v>50.6</v>
      </c>
      <c r="F322" s="3">
        <v>2.8017146470593879</v>
      </c>
      <c r="G322" s="4">
        <v>38.200000000000003</v>
      </c>
      <c r="H322" s="4">
        <v>52.5</v>
      </c>
      <c r="I322" s="1">
        <v>152.4</v>
      </c>
      <c r="J322" s="4">
        <v>381</v>
      </c>
      <c r="K322" s="5">
        <v>1290</v>
      </c>
      <c r="L322" s="3">
        <v>28003.5</v>
      </c>
      <c r="M322" s="5">
        <v>143.36625380284787</v>
      </c>
      <c r="N322" s="8">
        <v>4.6065670362633239E-2</v>
      </c>
      <c r="O322" s="3">
        <v>88.802700000000002</v>
      </c>
      <c r="P322" s="5">
        <v>206.91879624538313</v>
      </c>
      <c r="Q322" s="3">
        <v>0.25</v>
      </c>
      <c r="R322" s="12">
        <f t="shared" si="42"/>
        <v>1.0345939812269156E-3</v>
      </c>
      <c r="V322" s="3">
        <f t="shared" si="40"/>
        <v>0.25478491147138921</v>
      </c>
      <c r="W322" s="3">
        <f t="shared" si="43"/>
        <v>1.0191396458855568</v>
      </c>
      <c r="Y322" s="3">
        <f t="shared" si="41"/>
        <v>0.25922980608051321</v>
      </c>
      <c r="Z322" s="3">
        <f t="shared" si="44"/>
        <v>1.0369192243220529</v>
      </c>
      <c r="AB322" s="3">
        <f>$AC$2*($AC$3+$AC$4*$F322/($N322*'Dataset sem TS MC2020'!P314))*($AC$5*$G322+$AC$6*$B322/$N322)*'Dataset sem TS MC2020'!R314*($J322-$M322)/($J322-$M322-$H322)</f>
        <v>0.22934244320309261</v>
      </c>
      <c r="AC322" s="3">
        <f t="shared" si="45"/>
        <v>0.91736977281237042</v>
      </c>
      <c r="AD322" s="16">
        <f t="shared" si="46"/>
        <v>-2.0657556796907395E-2</v>
      </c>
      <c r="AE322" s="17">
        <f t="shared" si="47"/>
        <v>1.0900729778073144</v>
      </c>
      <c r="AF322" s="17">
        <f>AB322*(14.068*'Dataset sem TS MC2020'!$P314^-0.457)/$Q322</f>
        <v>1.0440955852004297</v>
      </c>
      <c r="AG322" s="17"/>
      <c r="AO322" s="3">
        <f>$AP$2*($AP$3+$AP$4*$F322/($N322*'Dataset sem TS MC2020'!P314))*($AP$5*$G322+$AP$6*$B322/$N322)*('Dataset sem TS MC2020'!P314^$AP$7/200000)*($J322-$M322)/($J322-$M322-$H322)+('Dataset sem TS MC2020'!P314-$C322/$AP$8)*($AP$5*$G322+$AP$6*$B322/$N322)/200000</f>
        <v>0.24979982683695487</v>
      </c>
      <c r="AP322" s="3">
        <f t="shared" si="48"/>
        <v>0.99919930734781948</v>
      </c>
      <c r="AQ322" s="16">
        <f t="shared" si="49"/>
        <v>-2.0017316304513089E-4</v>
      </c>
    </row>
    <row r="323" spans="1:43" x14ac:dyDescent="0.3">
      <c r="B323" s="4">
        <v>28.7</v>
      </c>
      <c r="C323" s="5">
        <v>276</v>
      </c>
      <c r="D323" s="5">
        <v>2</v>
      </c>
      <c r="E323" s="4">
        <v>50.6</v>
      </c>
      <c r="F323" s="3">
        <v>2.8017146470593879</v>
      </c>
      <c r="G323" s="4">
        <v>38.200000000000003</v>
      </c>
      <c r="H323" s="4">
        <v>52.5</v>
      </c>
      <c r="I323" s="1">
        <v>152.4</v>
      </c>
      <c r="J323" s="4">
        <v>381</v>
      </c>
      <c r="K323" s="5">
        <v>1290</v>
      </c>
      <c r="L323" s="3">
        <v>28003.5</v>
      </c>
      <c r="M323" s="5">
        <v>143.36625380284787</v>
      </c>
      <c r="N323" s="8">
        <v>4.6065670362633239E-2</v>
      </c>
      <c r="O323" s="3">
        <v>104.61500000000001</v>
      </c>
      <c r="P323" s="5">
        <v>242.5828953857702</v>
      </c>
      <c r="Q323" s="3">
        <v>0.28999999999999998</v>
      </c>
      <c r="R323" s="12">
        <f t="shared" si="42"/>
        <v>1.2129144769288511E-3</v>
      </c>
      <c r="V323" s="3">
        <f t="shared" si="40"/>
        <v>0.28105018042681318</v>
      </c>
      <c r="W323" s="3">
        <f t="shared" si="43"/>
        <v>0.96913855319590758</v>
      </c>
      <c r="Y323" s="3">
        <f t="shared" si="41"/>
        <v>0.28645391405098386</v>
      </c>
      <c r="Z323" s="3">
        <f t="shared" si="44"/>
        <v>0.98777211741718585</v>
      </c>
      <c r="AB323" s="3">
        <f>$AC$2*($AC$3+$AC$4*$F323/($N323*'Dataset sem TS MC2020'!P315))*($AC$5*$G323+$AC$6*$B323/$N323)*'Dataset sem TS MC2020'!R315*($J323-$M323)/($J323-$M323-$H323)</f>
        <v>0.26238902185917334</v>
      </c>
      <c r="AC323" s="3">
        <f t="shared" si="45"/>
        <v>0.90478973054887368</v>
      </c>
      <c r="AD323" s="16">
        <f t="shared" si="46"/>
        <v>-2.7610978140826636E-2</v>
      </c>
      <c r="AE323" s="17">
        <f t="shared" si="47"/>
        <v>1.105229166773775</v>
      </c>
      <c r="AF323" s="17">
        <f>AB323*(14.068*'Dataset sem TS MC2020'!$P315^-0.457)/$Q323</f>
        <v>0.97595196909761261</v>
      </c>
      <c r="AG323" s="17"/>
      <c r="AO323" s="3">
        <f>$AP$2*($AP$3+$AP$4*$F323/($N323*'Dataset sem TS MC2020'!P315))*($AP$5*$G323+$AP$6*$B323/$N323)*('Dataset sem TS MC2020'!P315^$AP$7/200000)*($J323-$M323)/($J323-$M323-$H323)+('Dataset sem TS MC2020'!P315-$C323/$AP$8)*($AP$5*$G323+$AP$6*$B323/$N323)/200000</f>
        <v>0.28110195907531343</v>
      </c>
      <c r="AP323" s="3">
        <f t="shared" si="48"/>
        <v>0.96931710025970153</v>
      </c>
      <c r="AQ323" s="16">
        <f t="shared" si="49"/>
        <v>-8.8980409246865455E-3</v>
      </c>
    </row>
    <row r="324" spans="1:43" x14ac:dyDescent="0.3">
      <c r="A324" s="1" t="s">
        <v>80</v>
      </c>
      <c r="B324" s="4">
        <v>28.7</v>
      </c>
      <c r="C324" s="5">
        <v>276</v>
      </c>
      <c r="D324" s="5">
        <v>2</v>
      </c>
      <c r="E324" s="4">
        <v>50.6</v>
      </c>
      <c r="F324" s="3">
        <v>2.7153116457984496</v>
      </c>
      <c r="G324" s="4">
        <v>38.200000000000003</v>
      </c>
      <c r="H324" s="4">
        <v>52.5</v>
      </c>
      <c r="I324" s="1">
        <v>152.4</v>
      </c>
      <c r="J324" s="4">
        <v>381</v>
      </c>
      <c r="K324" s="5">
        <v>1290</v>
      </c>
      <c r="L324" s="3">
        <v>28003.5</v>
      </c>
      <c r="M324" s="5">
        <v>144.17675602863136</v>
      </c>
      <c r="N324" s="8">
        <v>4.6065670362633239E-2</v>
      </c>
      <c r="O324" s="3">
        <v>77.037800000000004</v>
      </c>
      <c r="P324" s="5">
        <v>170.44511898843021</v>
      </c>
      <c r="Q324" s="3">
        <v>0.17</v>
      </c>
      <c r="R324" s="12">
        <f t="shared" si="42"/>
        <v>8.5222559494215107E-4</v>
      </c>
      <c r="V324" s="3">
        <f t="shared" si="40"/>
        <v>0.22605432429933972</v>
      </c>
      <c r="W324" s="3">
        <f t="shared" si="43"/>
        <v>1.3297313194078806</v>
      </c>
      <c r="Y324" s="3">
        <f t="shared" si="41"/>
        <v>0.22950792152072236</v>
      </c>
      <c r="Z324" s="3">
        <f t="shared" si="44"/>
        <v>1.3500465971807196</v>
      </c>
      <c r="AB324" s="3">
        <f>$AC$2*($AC$3+$AC$4*$F324/($N324*'Dataset sem TS MC2020'!P316))*($AC$5*$G324+$AC$6*$B324/$N324)*'Dataset sem TS MC2020'!R316*($J324-$M324)/($J324-$M324-$H324)</f>
        <v>0.19573392154732178</v>
      </c>
      <c r="AC324" s="3">
        <f t="shared" si="45"/>
        <v>1.1513760091018928</v>
      </c>
      <c r="AD324" s="16">
        <f t="shared" si="46"/>
        <v>2.5733921547321764E-2</v>
      </c>
      <c r="AE324" s="17">
        <f t="shared" si="47"/>
        <v>0.86852600027685956</v>
      </c>
      <c r="AF324" s="17">
        <f>AB324*(14.068*'Dataset sem TS MC2020'!$P316^-0.457)/$Q324</f>
        <v>1.397748355544036</v>
      </c>
      <c r="AG324" s="17"/>
      <c r="AO324" s="3">
        <f>$AP$2*($AP$3+$AP$4*$F324/($N324*'Dataset sem TS MC2020'!P316))*($AP$5*$G324+$AP$6*$B324/$N324)*('Dataset sem TS MC2020'!P316^$AP$7/200000)*($J324-$M324)/($J324-$M324-$H324)+('Dataset sem TS MC2020'!P316-$C324/$AP$8)*($AP$5*$G324+$AP$6*$B324/$N324)/200000</f>
        <v>0.21732455087549477</v>
      </c>
      <c r="AP324" s="3">
        <f t="shared" si="48"/>
        <v>1.2783797110323221</v>
      </c>
      <c r="AQ324" s="16">
        <f t="shared" si="49"/>
        <v>4.7324550875494753E-2</v>
      </c>
    </row>
    <row r="325" spans="1:43" x14ac:dyDescent="0.3">
      <c r="A325" s="1" t="s">
        <v>81</v>
      </c>
      <c r="B325" s="4">
        <v>28.7</v>
      </c>
      <c r="C325" s="5">
        <v>276</v>
      </c>
      <c r="D325" s="5">
        <v>2</v>
      </c>
      <c r="E325" s="4">
        <v>50.6</v>
      </c>
      <c r="F325" s="3">
        <v>2.8017146470593879</v>
      </c>
      <c r="G325" s="4">
        <v>38.200000000000003</v>
      </c>
      <c r="H325" s="4">
        <v>52.5</v>
      </c>
      <c r="I325" s="1">
        <v>152.4</v>
      </c>
      <c r="J325" s="4">
        <v>381</v>
      </c>
      <c r="K325" s="5">
        <v>1290</v>
      </c>
      <c r="L325" s="3">
        <v>28003.5</v>
      </c>
      <c r="M325" s="5">
        <v>143.36625380284787</v>
      </c>
      <c r="N325" s="8">
        <v>4.6065670362633239E-2</v>
      </c>
      <c r="O325" s="3">
        <v>64.998500000000007</v>
      </c>
      <c r="P325" s="5">
        <v>131.97935186683122</v>
      </c>
      <c r="Q325" s="3">
        <v>0.15</v>
      </c>
      <c r="R325" s="12">
        <f t="shared" si="42"/>
        <v>6.5989675933415609E-4</v>
      </c>
      <c r="V325" s="3">
        <f t="shared" si="40"/>
        <v>0.19305334762171436</v>
      </c>
      <c r="W325" s="3">
        <f t="shared" si="43"/>
        <v>1.2870223174780957</v>
      </c>
      <c r="Y325" s="3">
        <f t="shared" si="41"/>
        <v>0.19545209646914194</v>
      </c>
      <c r="Z325" s="3">
        <f t="shared" si="44"/>
        <v>1.3030139764609463</v>
      </c>
      <c r="AB325" s="3">
        <f>$AC$2*($AC$3+$AC$4*$F325/($N325*'Dataset sem TS MC2020'!P317))*($AC$5*$G325+$AC$6*$B325/$N325)*'Dataset sem TS MC2020'!R317*($J325-$M325)/($J325-$M325-$H325)</f>
        <v>0.15827682091712722</v>
      </c>
      <c r="AC325" s="3">
        <f t="shared" si="45"/>
        <v>1.0551788061141816</v>
      </c>
      <c r="AD325" s="16">
        <f t="shared" si="46"/>
        <v>8.2768209171272256E-3</v>
      </c>
      <c r="AE325" s="17">
        <f t="shared" si="47"/>
        <v>0.94770667701582834</v>
      </c>
      <c r="AF325" s="17">
        <f>AB325*(14.068*'Dataset sem TS MC2020'!$P317^-0.457)/$Q325</f>
        <v>1.3850193119224663</v>
      </c>
      <c r="AG325" s="17"/>
      <c r="AO325" s="3">
        <f>$AP$2*($AP$3+$AP$4*$F325/($N325*'Dataset sem TS MC2020'!P317))*($AP$5*$G325+$AP$6*$B325/$N325)*('Dataset sem TS MC2020'!P317^$AP$7/200000)*($J325-$M325)/($J325-$M325-$H325)+('Dataset sem TS MC2020'!P317-$C325/$AP$8)*($AP$5*$G325+$AP$6*$B325/$N325)/200000</f>
        <v>0.17965269055045258</v>
      </c>
      <c r="AP325" s="3">
        <f t="shared" si="48"/>
        <v>1.197684603669684</v>
      </c>
      <c r="AQ325" s="16">
        <f t="shared" si="49"/>
        <v>2.9652690550452582E-2</v>
      </c>
    </row>
    <row r="326" spans="1:43" x14ac:dyDescent="0.3">
      <c r="B326" s="4">
        <v>28.7</v>
      </c>
      <c r="C326" s="5">
        <v>276</v>
      </c>
      <c r="D326" s="5">
        <v>2</v>
      </c>
      <c r="E326" s="4">
        <v>50.6</v>
      </c>
      <c r="F326" s="3">
        <v>2.8017146470593879</v>
      </c>
      <c r="G326" s="4">
        <v>38.200000000000003</v>
      </c>
      <c r="H326" s="4">
        <v>52.5</v>
      </c>
      <c r="I326" s="1">
        <v>152.4</v>
      </c>
      <c r="J326" s="4">
        <v>381</v>
      </c>
      <c r="K326" s="5">
        <v>1290</v>
      </c>
      <c r="L326" s="3">
        <v>28003.5</v>
      </c>
      <c r="M326" s="5">
        <v>143.36625380284787</v>
      </c>
      <c r="N326" s="8">
        <v>4.6065670362633239E-2</v>
      </c>
      <c r="O326" s="3">
        <v>77.037800000000004</v>
      </c>
      <c r="P326" s="5">
        <v>169.0135809192405</v>
      </c>
      <c r="Q326" s="3">
        <v>0.16</v>
      </c>
      <c r="R326" s="12">
        <f t="shared" si="42"/>
        <v>8.4506790459620243E-4</v>
      </c>
      <c r="V326" s="3">
        <f t="shared" si="40"/>
        <v>0.22488100293956265</v>
      </c>
      <c r="W326" s="3">
        <f t="shared" si="43"/>
        <v>1.4055062683722666</v>
      </c>
      <c r="Y326" s="3">
        <f t="shared" si="41"/>
        <v>0.22829549287566955</v>
      </c>
      <c r="Z326" s="3">
        <f t="shared" si="44"/>
        <v>1.4268468304729347</v>
      </c>
      <c r="AB326" s="3">
        <f>$AC$2*($AC$3+$AC$4*$F326/($N326*'Dataset sem TS MC2020'!P318))*($AC$5*$G326+$AC$6*$B326/$N326)*'Dataset sem TS MC2020'!R318*($J326-$M326)/($J326-$M326-$H326)</f>
        <v>0.19421923218855927</v>
      </c>
      <c r="AC326" s="3">
        <f t="shared" si="45"/>
        <v>1.2138702011784954</v>
      </c>
      <c r="AD326" s="16">
        <f t="shared" si="46"/>
        <v>3.4219232188559268E-2</v>
      </c>
      <c r="AE326" s="17">
        <f t="shared" si="47"/>
        <v>0.82381130950339021</v>
      </c>
      <c r="AF326" s="17">
        <f>AB326*(14.068*'Dataset sem TS MC2020'!$P318^-0.457)/$Q326</f>
        <v>1.4742637057602779</v>
      </c>
      <c r="AG326" s="17"/>
      <c r="AO326" s="3">
        <f>$AP$2*($AP$3+$AP$4*$F326/($N326*'Dataset sem TS MC2020'!P318))*($AP$5*$G326+$AP$6*$B326/$N326)*('Dataset sem TS MC2020'!P318^$AP$7/200000)*($J326-$M326)/($J326-$M326-$H326)+('Dataset sem TS MC2020'!P318-$C326/$AP$8)*($AP$5*$G326+$AP$6*$B326/$N326)/200000</f>
        <v>0.21567666590705148</v>
      </c>
      <c r="AP326" s="3">
        <f t="shared" si="48"/>
        <v>1.3479791619190717</v>
      </c>
      <c r="AQ326" s="16">
        <f t="shared" si="49"/>
        <v>5.5676665907051476E-2</v>
      </c>
    </row>
    <row r="327" spans="1:43" x14ac:dyDescent="0.3">
      <c r="B327" s="4">
        <v>28.7</v>
      </c>
      <c r="C327" s="5">
        <v>276</v>
      </c>
      <c r="D327" s="5">
        <v>2</v>
      </c>
      <c r="E327" s="4">
        <v>50.6</v>
      </c>
      <c r="F327" s="3">
        <v>2.8017146470593879</v>
      </c>
      <c r="G327" s="4">
        <v>38.200000000000003</v>
      </c>
      <c r="H327" s="4">
        <v>52.5</v>
      </c>
      <c r="I327" s="1">
        <v>152.4</v>
      </c>
      <c r="J327" s="4">
        <v>381</v>
      </c>
      <c r="K327" s="5">
        <v>1290</v>
      </c>
      <c r="L327" s="3">
        <v>28003.5</v>
      </c>
      <c r="M327" s="5">
        <v>143.36625380284787</v>
      </c>
      <c r="N327" s="8">
        <v>4.6065670362633239E-2</v>
      </c>
      <c r="O327" s="3">
        <v>88.802700000000002</v>
      </c>
      <c r="P327" s="5">
        <v>206.91879624538313</v>
      </c>
      <c r="Q327" s="3">
        <v>0.22</v>
      </c>
      <c r="R327" s="12">
        <f t="shared" si="42"/>
        <v>1.0345939812269156E-3</v>
      </c>
      <c r="V327" s="3">
        <f t="shared" si="40"/>
        <v>0.25478491147138921</v>
      </c>
      <c r="W327" s="3">
        <f t="shared" si="43"/>
        <v>1.15811323396086</v>
      </c>
      <c r="Y327" s="3">
        <f t="shared" si="41"/>
        <v>0.25922980608051321</v>
      </c>
      <c r="Z327" s="3">
        <f t="shared" si="44"/>
        <v>1.178317300365969</v>
      </c>
      <c r="AB327" s="3">
        <f>$AC$2*($AC$3+$AC$4*$F327/($N327*'Dataset sem TS MC2020'!P319))*($AC$5*$G327+$AC$6*$B327/$N327)*'Dataset sem TS MC2020'!R319*($J327-$M327)/($J327-$M327-$H327)</f>
        <v>0.22934244320309261</v>
      </c>
      <c r="AC327" s="3">
        <f t="shared" si="45"/>
        <v>1.0424656509231482</v>
      </c>
      <c r="AD327" s="16">
        <f t="shared" si="46"/>
        <v>9.3424432030926041E-3</v>
      </c>
      <c r="AE327" s="17">
        <f t="shared" si="47"/>
        <v>0.95926422047043658</v>
      </c>
      <c r="AF327" s="17">
        <f>AB327*(14.068*'Dataset sem TS MC2020'!$P319^-0.457)/$Q327</f>
        <v>1.1864722559095791</v>
      </c>
      <c r="AG327" s="17"/>
      <c r="AO327" s="3">
        <f>$AP$2*($AP$3+$AP$4*$F327/($N327*'Dataset sem TS MC2020'!P319))*($AP$5*$G327+$AP$6*$B327/$N327)*('Dataset sem TS MC2020'!P319^$AP$7/200000)*($J327-$M327)/($J327-$M327-$H327)+('Dataset sem TS MC2020'!P319-$C327/$AP$8)*($AP$5*$G327+$AP$6*$B327/$N327)/200000</f>
        <v>0.24979982683695487</v>
      </c>
      <c r="AP327" s="3">
        <f t="shared" si="48"/>
        <v>1.1354537583497948</v>
      </c>
      <c r="AQ327" s="16">
        <f t="shared" si="49"/>
        <v>2.9799826836954868E-2</v>
      </c>
    </row>
    <row r="328" spans="1:43" x14ac:dyDescent="0.3">
      <c r="B328" s="4">
        <v>28.7</v>
      </c>
      <c r="C328" s="5">
        <v>276</v>
      </c>
      <c r="D328" s="5">
        <v>2</v>
      </c>
      <c r="E328" s="4">
        <v>50.6</v>
      </c>
      <c r="F328" s="3">
        <v>2.8017146470593879</v>
      </c>
      <c r="G328" s="4">
        <v>38.200000000000003</v>
      </c>
      <c r="H328" s="4">
        <v>52.5</v>
      </c>
      <c r="I328" s="1">
        <v>152.4</v>
      </c>
      <c r="J328" s="4">
        <v>381</v>
      </c>
      <c r="K328" s="5">
        <v>1290</v>
      </c>
      <c r="L328" s="3">
        <v>28003.5</v>
      </c>
      <c r="M328" s="5">
        <v>143.36625380284787</v>
      </c>
      <c r="N328" s="8">
        <v>4.6065670362633239E-2</v>
      </c>
      <c r="O328" s="3">
        <v>104.61500000000001</v>
      </c>
      <c r="P328" s="5">
        <v>242.5828953857702</v>
      </c>
      <c r="Q328" s="3">
        <v>0.26</v>
      </c>
      <c r="R328" s="12">
        <f t="shared" si="42"/>
        <v>1.2129144769288511E-3</v>
      </c>
      <c r="V328" s="3">
        <f t="shared" si="40"/>
        <v>0.28105018042681318</v>
      </c>
      <c r="W328" s="3">
        <f t="shared" si="43"/>
        <v>1.0809622324108199</v>
      </c>
      <c r="Y328" s="3">
        <f t="shared" si="41"/>
        <v>0.28645391405098386</v>
      </c>
      <c r="Z328" s="3">
        <f t="shared" si="44"/>
        <v>1.1017458232730148</v>
      </c>
      <c r="AB328" s="3">
        <f>$AC$2*($AC$3+$AC$4*$F328/($N328*'Dataset sem TS MC2020'!P320))*($AC$5*$G328+$AC$6*$B328/$N328)*'Dataset sem TS MC2020'!R320*($J328-$M328)/($J328-$M328-$H328)</f>
        <v>0.26238902185917334</v>
      </c>
      <c r="AC328" s="3">
        <f t="shared" si="45"/>
        <v>1.0091885456122052</v>
      </c>
      <c r="AD328" s="16">
        <f t="shared" si="46"/>
        <v>2.3890218591733348E-3</v>
      </c>
      <c r="AE328" s="17">
        <f t="shared" si="47"/>
        <v>0.99089511503855698</v>
      </c>
      <c r="AF328" s="17">
        <f>AB328*(14.068*'Dataset sem TS MC2020'!$P320^-0.457)/$Q328</f>
        <v>1.0885618116857985</v>
      </c>
      <c r="AG328" s="17"/>
      <c r="AO328" s="3">
        <f>$AP$2*($AP$3+$AP$4*$F328/($N328*'Dataset sem TS MC2020'!P320))*($AP$5*$G328+$AP$6*$B328/$N328)*('Dataset sem TS MC2020'!P320^$AP$7/200000)*($J328-$M328)/($J328-$M328-$H328)+('Dataset sem TS MC2020'!P320-$C328/$AP$8)*($AP$5*$G328+$AP$6*$B328/$N328)/200000</f>
        <v>0.28110195907531343</v>
      </c>
      <c r="AP328" s="3">
        <f t="shared" si="48"/>
        <v>1.0811613810588978</v>
      </c>
      <c r="AQ328" s="16">
        <f t="shared" si="49"/>
        <v>2.1101959075313426E-2</v>
      </c>
    </row>
    <row r="329" spans="1:43" x14ac:dyDescent="0.3">
      <c r="A329" s="1" t="s">
        <v>82</v>
      </c>
      <c r="B329" s="4">
        <v>28.7</v>
      </c>
      <c r="C329" s="5">
        <v>276</v>
      </c>
      <c r="D329" s="5">
        <v>2</v>
      </c>
      <c r="E329" s="4">
        <v>50.6</v>
      </c>
      <c r="F329" s="3">
        <v>2.524448068103379</v>
      </c>
      <c r="G329" s="4">
        <v>38.200000000000003</v>
      </c>
      <c r="H329" s="4">
        <v>52.5</v>
      </c>
      <c r="I329" s="1">
        <v>152.4</v>
      </c>
      <c r="J329" s="4">
        <v>381</v>
      </c>
      <c r="K329" s="5">
        <v>1290</v>
      </c>
      <c r="L329" s="3">
        <v>28003.5</v>
      </c>
      <c r="M329" s="5">
        <v>146.07134676739989</v>
      </c>
      <c r="N329" s="8">
        <v>4.6065670362633239E-2</v>
      </c>
      <c r="O329" s="3">
        <v>77.037800000000004</v>
      </c>
      <c r="P329" s="5">
        <v>173.64202143250185</v>
      </c>
      <c r="Q329" s="3">
        <v>0.17</v>
      </c>
      <c r="R329" s="12">
        <f t="shared" si="42"/>
        <v>8.6821010716250924E-4</v>
      </c>
      <c r="V329" s="3">
        <f t="shared" si="40"/>
        <v>0.22866103882900296</v>
      </c>
      <c r="W329" s="3">
        <f t="shared" si="43"/>
        <v>1.3450649342882526</v>
      </c>
      <c r="Y329" s="3">
        <f t="shared" si="41"/>
        <v>0.23220191962044276</v>
      </c>
      <c r="Z329" s="3">
        <f t="shared" si="44"/>
        <v>1.3658936448261338</v>
      </c>
      <c r="AB329" s="3">
        <f>$AC$2*($AC$3+$AC$4*$F329/($N329*'Dataset sem TS MC2020'!P321))*($AC$5*$G329+$AC$6*$B329/$N329)*'Dataset sem TS MC2020'!R321*($J329-$M329)/($J329-$M329-$H329)</f>
        <v>0.19915070338749438</v>
      </c>
      <c r="AC329" s="3">
        <f t="shared" si="45"/>
        <v>1.1714747258087903</v>
      </c>
      <c r="AD329" s="16">
        <f t="shared" si="46"/>
        <v>2.915070338749437E-2</v>
      </c>
      <c r="AE329" s="17">
        <f t="shared" si="47"/>
        <v>0.85362490369529431</v>
      </c>
      <c r="AF329" s="17">
        <f>AB329*(14.068*'Dataset sem TS MC2020'!$P321^-0.457)/$Q329</f>
        <v>1.4206833457760468</v>
      </c>
      <c r="AG329" s="17"/>
      <c r="AO329" s="3">
        <f>$AP$2*($AP$3+$AP$4*$F329/($N329*'Dataset sem TS MC2020'!P321))*($AP$5*$G329+$AP$6*$B329/$N329)*('Dataset sem TS MC2020'!P321^$AP$7/200000)*($J329-$M329)/($J329-$M329-$H329)+('Dataset sem TS MC2020'!P321-$C329/$AP$8)*($AP$5*$G329+$AP$6*$B329/$N329)/200000</f>
        <v>0.22103672614312406</v>
      </c>
      <c r="AP329" s="3">
        <f t="shared" si="48"/>
        <v>1.3002160361360238</v>
      </c>
      <c r="AQ329" s="16">
        <f t="shared" si="49"/>
        <v>5.1036726143124045E-2</v>
      </c>
    </row>
    <row r="330" spans="1:43" x14ac:dyDescent="0.3">
      <c r="B330" s="4">
        <v>28.7</v>
      </c>
      <c r="C330" s="5">
        <v>276</v>
      </c>
      <c r="D330" s="5">
        <v>2</v>
      </c>
      <c r="E330" s="4">
        <v>50.6</v>
      </c>
      <c r="F330" s="3">
        <v>2.524448068103379</v>
      </c>
      <c r="G330" s="4">
        <v>38.200000000000003</v>
      </c>
      <c r="H330" s="4">
        <v>52.5</v>
      </c>
      <c r="I330" s="1">
        <v>152.4</v>
      </c>
      <c r="J330" s="4">
        <v>381</v>
      </c>
      <c r="K330" s="5">
        <v>1290</v>
      </c>
      <c r="L330" s="3">
        <v>28003.5</v>
      </c>
      <c r="M330" s="5">
        <v>146.07134676739989</v>
      </c>
      <c r="N330" s="8">
        <v>4.6065670362633239E-2</v>
      </c>
      <c r="O330" s="3">
        <v>88.802700000000002</v>
      </c>
      <c r="P330" s="5">
        <v>211.19242524477934</v>
      </c>
      <c r="Q330" s="3">
        <v>0.2</v>
      </c>
      <c r="R330" s="12">
        <f t="shared" si="42"/>
        <v>1.0559621262238967E-3</v>
      </c>
      <c r="V330" s="3">
        <f t="shared" si="40"/>
        <v>0.25801899213368767</v>
      </c>
      <c r="W330" s="3">
        <f t="shared" si="43"/>
        <v>1.2900949606684382</v>
      </c>
      <c r="Y330" s="3">
        <f t="shared" si="41"/>
        <v>0.26257934857408644</v>
      </c>
      <c r="Z330" s="3">
        <f t="shared" si="44"/>
        <v>1.3128967428704321</v>
      </c>
      <c r="AB330" s="3">
        <f>$AC$2*($AC$3+$AC$4*$F330/($N330*'Dataset sem TS MC2020'!P322))*($AC$5*$G330+$AC$6*$B330/$N330)*'Dataset sem TS MC2020'!R322*($J330-$M330)/($J330-$M330-$H330)</f>
        <v>0.23450253386751127</v>
      </c>
      <c r="AC330" s="3">
        <f t="shared" si="45"/>
        <v>1.1725126693375563</v>
      </c>
      <c r="AD330" s="16">
        <f t="shared" si="46"/>
        <v>3.4502533867511259E-2</v>
      </c>
      <c r="AE330" s="17">
        <f t="shared" si="47"/>
        <v>0.85286924922097251</v>
      </c>
      <c r="AF330" s="17">
        <f>AB330*(14.068*'Dataset sem TS MC2020'!$P322^-0.457)/$Q330</f>
        <v>1.3325233249129582</v>
      </c>
      <c r="AG330" s="17"/>
      <c r="AO330" s="3">
        <f>$AP$2*($AP$3+$AP$4*$F330/($N330*'Dataset sem TS MC2020'!P322))*($AP$5*$G330+$AP$6*$B330/$N330)*('Dataset sem TS MC2020'!P322^$AP$7/200000)*($J330-$M330)/($J330-$M330-$H330)+('Dataset sem TS MC2020'!P322-$C330/$AP$8)*($AP$5*$G330+$AP$6*$B330/$N330)/200000</f>
        <v>0.25525353763715891</v>
      </c>
      <c r="AP330" s="3">
        <f t="shared" si="48"/>
        <v>1.2762676881857944</v>
      </c>
      <c r="AQ330" s="16">
        <f t="shared" si="49"/>
        <v>5.52535376371589E-2</v>
      </c>
    </row>
    <row r="331" spans="1:43" x14ac:dyDescent="0.3">
      <c r="B331" s="4">
        <v>28.7</v>
      </c>
      <c r="C331" s="5">
        <v>276</v>
      </c>
      <c r="D331" s="5">
        <v>2</v>
      </c>
      <c r="E331" s="4">
        <v>50.6</v>
      </c>
      <c r="F331" s="3">
        <v>2.524448068103379</v>
      </c>
      <c r="G331" s="4">
        <v>38.200000000000003</v>
      </c>
      <c r="H331" s="4">
        <v>52.5</v>
      </c>
      <c r="I331" s="1">
        <v>152.4</v>
      </c>
      <c r="J331" s="4">
        <v>381</v>
      </c>
      <c r="K331" s="5">
        <v>1290</v>
      </c>
      <c r="L331" s="3">
        <v>28003.5</v>
      </c>
      <c r="M331" s="5">
        <v>146.07134676739989</v>
      </c>
      <c r="N331" s="8">
        <v>4.6065670362633239E-2</v>
      </c>
      <c r="O331" s="3">
        <v>104.61500000000001</v>
      </c>
      <c r="P331" s="5">
        <v>245.49875842797996</v>
      </c>
      <c r="Q331" s="3">
        <v>0.24</v>
      </c>
      <c r="R331" s="12">
        <f t="shared" si="42"/>
        <v>1.2274937921398998E-3</v>
      </c>
      <c r="V331" s="3">
        <f t="shared" ref="V331:V351" si="50">$W$2*($W$3*$G331+$W$4*$B331^$W$5*$N331^$W$6)*$R331^$W$7</f>
        <v>0.28312978450853338</v>
      </c>
      <c r="W331" s="3">
        <f t="shared" si="43"/>
        <v>1.1797074354522223</v>
      </c>
      <c r="Y331" s="3">
        <f t="shared" ref="Y331:Y351" si="51">$Z$2*$B331^$Z$3*$R331^$Z$4*($Z$5*$N331^$Z$6+$Z$7)</f>
        <v>0.28861143295046593</v>
      </c>
      <c r="Z331" s="3">
        <f t="shared" si="44"/>
        <v>1.2025476372936081</v>
      </c>
      <c r="AB331" s="3">
        <f>$AC$2*($AC$3+$AC$4*$F331/($N331*'Dataset sem TS MC2020'!P323))*($AC$5*$G331+$AC$6*$B331/$N331)*'Dataset sem TS MC2020'!R323*($J331-$M331)/($J331-$M331-$H331)</f>
        <v>0.26680023381093909</v>
      </c>
      <c r="AC331" s="3">
        <f t="shared" si="45"/>
        <v>1.111667640878913</v>
      </c>
      <c r="AD331" s="16">
        <f t="shared" si="46"/>
        <v>2.68002338109391E-2</v>
      </c>
      <c r="AE331" s="17">
        <f t="shared" si="47"/>
        <v>0.89954943656484798</v>
      </c>
      <c r="AF331" s="17">
        <f>AB331*(14.068*'Dataset sem TS MC2020'!$P323^-0.457)/$Q331</f>
        <v>1.1991009473988148</v>
      </c>
      <c r="AG331" s="17"/>
      <c r="AO331" s="3">
        <f>$AP$2*($AP$3+$AP$4*$F331/($N331*'Dataset sem TS MC2020'!P323))*($AP$5*$G331+$AP$6*$B331/$N331)*('Dataset sem TS MC2020'!P323^$AP$7/200000)*($J331-$M331)/($J331-$M331-$H331)+('Dataset sem TS MC2020'!P323-$C331/$AP$8)*($AP$5*$G331+$AP$6*$B331/$N331)/200000</f>
        <v>0.28575241655365607</v>
      </c>
      <c r="AP331" s="3">
        <f t="shared" si="48"/>
        <v>1.190635068973567</v>
      </c>
      <c r="AQ331" s="16">
        <f t="shared" si="49"/>
        <v>4.5752416553656083E-2</v>
      </c>
    </row>
    <row r="332" spans="1:43" x14ac:dyDescent="0.3">
      <c r="A332" s="1" t="s">
        <v>83</v>
      </c>
      <c r="B332" s="4">
        <v>32.299999999999997</v>
      </c>
      <c r="C332" s="5">
        <v>276</v>
      </c>
      <c r="D332" s="5">
        <v>1</v>
      </c>
      <c r="E332" s="4">
        <v>60</v>
      </c>
      <c r="F332" s="3">
        <v>2.5382184533279259</v>
      </c>
      <c r="G332" s="4">
        <v>38.299999999999997</v>
      </c>
      <c r="H332" s="4">
        <v>54.4</v>
      </c>
      <c r="I332" s="1">
        <v>152.4</v>
      </c>
      <c r="J332" s="4">
        <v>381</v>
      </c>
      <c r="K332" s="5">
        <v>819</v>
      </c>
      <c r="L332" s="3">
        <v>29016.960000000003</v>
      </c>
      <c r="M332" s="5">
        <v>122.83883123921107</v>
      </c>
      <c r="N332" s="8">
        <v>2.8224872626215838E-2</v>
      </c>
      <c r="O332" s="3">
        <v>39.959500000000006</v>
      </c>
      <c r="P332" s="5">
        <v>106.35320377433131</v>
      </c>
      <c r="Q332" s="3">
        <v>0.17</v>
      </c>
      <c r="R332" s="12">
        <f t="shared" ref="R332:R351" si="52">P332/200000</f>
        <v>5.3176601887165655E-4</v>
      </c>
      <c r="V332" s="3">
        <f t="shared" si="50"/>
        <v>0.22450826719258282</v>
      </c>
      <c r="W332" s="3">
        <f t="shared" ref="W332:W351" si="53">V332/$Q332</f>
        <v>1.3206368658387224</v>
      </c>
      <c r="Y332" s="3">
        <f t="shared" si="51"/>
        <v>0.22397688140286581</v>
      </c>
      <c r="Z332" s="3">
        <f t="shared" ref="Z332:Z351" si="54">Y332/$Q332</f>
        <v>1.3175110670756811</v>
      </c>
      <c r="AB332" s="3">
        <f>$AC$2*($AC$3+$AC$4*$F332/($N332*'Dataset sem TS MC2020'!P324))*($AC$5*$G332+$AC$6*$B332/$N332)*'Dataset sem TS MC2020'!R324*($J332-$M332)/($J332-$M332-$H332)</f>
        <v>0.2059834324551171</v>
      </c>
      <c r="AC332" s="3">
        <f t="shared" ref="AC332:AC351" si="55">AB332/$Q332</f>
        <v>1.2116672497359828</v>
      </c>
      <c r="AD332" s="16">
        <f t="shared" ref="AD332:AD351" si="56">AB332-$Q332</f>
        <v>3.5983432455117093E-2</v>
      </c>
      <c r="AE332" s="17">
        <f t="shared" ref="AE332:AE351" si="57">1/AC332</f>
        <v>0.82530909390997875</v>
      </c>
      <c r="AF332" s="17">
        <f>AB332*(14.068*'Dataset sem TS MC2020'!$P324^-0.457)/$Q332</f>
        <v>1.626915289273569</v>
      </c>
      <c r="AG332" s="17"/>
      <c r="AO332" s="3">
        <f>$AP$2*($AP$3+$AP$4*$F332/($N332*'Dataset sem TS MC2020'!P324))*($AP$5*$G332+$AP$6*$B332/$N332)*('Dataset sem TS MC2020'!P324^$AP$7/200000)*($J332-$M332)/($J332-$M332-$H332)+('Dataset sem TS MC2020'!P324-$C332/$AP$8)*($AP$5*$G332+$AP$6*$B332/$N332)/200000</f>
        <v>0.24074832751259745</v>
      </c>
      <c r="AP332" s="3">
        <f t="shared" ref="AP332:AP351" si="58">AO332/$Q332</f>
        <v>1.4161666324270437</v>
      </c>
      <c r="AQ332" s="16">
        <f t="shared" ref="AQ332:AQ351" si="59">AO332-$Q332</f>
        <v>7.0748327512597436E-2</v>
      </c>
    </row>
    <row r="333" spans="1:43" x14ac:dyDescent="0.3">
      <c r="B333" s="4">
        <v>32.299999999999997</v>
      </c>
      <c r="C333" s="5">
        <v>276</v>
      </c>
      <c r="D333" s="5">
        <v>1</v>
      </c>
      <c r="E333" s="4">
        <v>60</v>
      </c>
      <c r="F333" s="3">
        <v>2.5382184533279259</v>
      </c>
      <c r="G333" s="4">
        <v>38.299999999999997</v>
      </c>
      <c r="H333" s="4">
        <v>54.4</v>
      </c>
      <c r="I333" s="1">
        <v>152.4</v>
      </c>
      <c r="J333" s="4">
        <v>381</v>
      </c>
      <c r="K333" s="5">
        <v>819</v>
      </c>
      <c r="L333" s="3">
        <v>29016.960000000003</v>
      </c>
      <c r="M333" s="5">
        <v>122.83883123921107</v>
      </c>
      <c r="N333" s="8">
        <v>2.8224872626215838E-2</v>
      </c>
      <c r="O333" s="3">
        <v>49.186200000000007</v>
      </c>
      <c r="P333" s="5">
        <v>150.36350238233345</v>
      </c>
      <c r="Q333" s="3">
        <v>0.23</v>
      </c>
      <c r="R333" s="12">
        <f t="shared" si="52"/>
        <v>7.5181751191166725E-4</v>
      </c>
      <c r="V333" s="3">
        <f t="shared" si="50"/>
        <v>0.27798676082605039</v>
      </c>
      <c r="W333" s="3">
        <f t="shared" si="53"/>
        <v>1.2086380905480452</v>
      </c>
      <c r="Y333" s="3">
        <f t="shared" si="51"/>
        <v>0.27838721025305141</v>
      </c>
      <c r="Z333" s="3">
        <f t="shared" si="54"/>
        <v>1.2103791750132669</v>
      </c>
      <c r="AB333" s="3">
        <f>$AC$2*($AC$3+$AC$4*$F333/($N333*'Dataset sem TS MC2020'!P325))*($AC$5*$G333+$AC$6*$B333/$N333)*'Dataset sem TS MC2020'!R325*($J333-$M333)/($J333-$M333-$H333)</f>
        <v>0.272637671995831</v>
      </c>
      <c r="AC333" s="3">
        <f t="shared" si="55"/>
        <v>1.1853811825905696</v>
      </c>
      <c r="AD333" s="16">
        <f t="shared" si="56"/>
        <v>4.2637671995830989E-2</v>
      </c>
      <c r="AE333" s="17">
        <f t="shared" si="57"/>
        <v>0.84361048976209352</v>
      </c>
      <c r="AF333" s="17">
        <f>AB333*(14.068*'Dataset sem TS MC2020'!$P325^-0.457)/$Q333</f>
        <v>1.4474633813404987</v>
      </c>
      <c r="AG333" s="17"/>
      <c r="AO333" s="3">
        <f>$AP$2*($AP$3+$AP$4*$F333/($N333*'Dataset sem TS MC2020'!P325))*($AP$5*$G333+$AP$6*$B333/$N333)*('Dataset sem TS MC2020'!P325^$AP$7/200000)*($J333-$M333)/($J333-$M333-$H333)+('Dataset sem TS MC2020'!P325-$C333/$AP$8)*($AP$5*$G333+$AP$6*$B333/$N333)/200000</f>
        <v>0.31083560593023885</v>
      </c>
      <c r="AP333" s="3">
        <f t="shared" si="58"/>
        <v>1.3514591562184297</v>
      </c>
      <c r="AQ333" s="16">
        <f t="shared" si="59"/>
        <v>8.0835605930238835E-2</v>
      </c>
    </row>
    <row r="334" spans="1:43" x14ac:dyDescent="0.3">
      <c r="B334" s="4">
        <v>32.299999999999997</v>
      </c>
      <c r="C334" s="5">
        <v>276</v>
      </c>
      <c r="D334" s="5">
        <v>1</v>
      </c>
      <c r="E334" s="4">
        <v>60</v>
      </c>
      <c r="F334" s="3">
        <v>2.5382184533279259</v>
      </c>
      <c r="G334" s="4">
        <v>38.299999999999997</v>
      </c>
      <c r="H334" s="4">
        <v>54.4</v>
      </c>
      <c r="I334" s="1">
        <v>152.4</v>
      </c>
      <c r="J334" s="4">
        <v>381</v>
      </c>
      <c r="K334" s="5">
        <v>819</v>
      </c>
      <c r="L334" s="3">
        <v>29016.960000000003</v>
      </c>
      <c r="M334" s="5">
        <v>122.83883123921107</v>
      </c>
      <c r="N334" s="8">
        <v>2.8224872626215838E-2</v>
      </c>
      <c r="O334" s="3">
        <v>57.349600000000002</v>
      </c>
      <c r="P334" s="5">
        <v>193.14712725532343</v>
      </c>
      <c r="Q334" s="3">
        <v>0.27</v>
      </c>
      <c r="R334" s="12">
        <f t="shared" si="52"/>
        <v>9.6573563627661712E-4</v>
      </c>
      <c r="V334" s="3">
        <f t="shared" si="50"/>
        <v>0.32442946024444574</v>
      </c>
      <c r="W334" s="3">
        <f t="shared" si="53"/>
        <v>1.2015905934979472</v>
      </c>
      <c r="Y334" s="3">
        <f t="shared" si="51"/>
        <v>0.32579292880025729</v>
      </c>
      <c r="Z334" s="3">
        <f t="shared" si="54"/>
        <v>1.2066404770379899</v>
      </c>
      <c r="AB334" s="3">
        <f>$AC$2*($AC$3+$AC$4*$F334/($N334*'Dataset sem TS MC2020'!P326))*($AC$5*$G334+$AC$6*$B334/$N334)*'Dataset sem TS MC2020'!R326*($J334-$M334)/($J334-$M334-$H334)</f>
        <v>0.33161056794635096</v>
      </c>
      <c r="AC334" s="3">
        <f t="shared" si="55"/>
        <v>1.2281872886901888</v>
      </c>
      <c r="AD334" s="16">
        <f t="shared" si="56"/>
        <v>6.1610567946350947E-2</v>
      </c>
      <c r="AE334" s="17">
        <f t="shared" si="57"/>
        <v>0.81420806843430116</v>
      </c>
      <c r="AF334" s="17">
        <f>AB334*(14.068*'Dataset sem TS MC2020'!$P326^-0.457)/$Q334</f>
        <v>1.3980996932916332</v>
      </c>
      <c r="AG334" s="17"/>
      <c r="AO334" s="3">
        <f>$AP$2*($AP$3+$AP$4*$F334/($N334*'Dataset sem TS MC2020'!P326))*($AP$5*$G334+$AP$6*$B334/$N334)*('Dataset sem TS MC2020'!P326^$AP$7/200000)*($J334-$M334)/($J334-$M334-$H334)+('Dataset sem TS MC2020'!P326-$C334/$AP$8)*($AP$5*$G334+$AP$6*$B334/$N334)/200000</f>
        <v>0.37049169172459251</v>
      </c>
      <c r="AP334" s="3">
        <f t="shared" si="58"/>
        <v>1.372191450831824</v>
      </c>
      <c r="AQ334" s="16">
        <f t="shared" si="59"/>
        <v>0.10049169172459249</v>
      </c>
    </row>
    <row r="335" spans="1:43" x14ac:dyDescent="0.3">
      <c r="B335" s="4">
        <v>32.299999999999997</v>
      </c>
      <c r="C335" s="5">
        <v>276</v>
      </c>
      <c r="D335" s="5">
        <v>1</v>
      </c>
      <c r="E335" s="4">
        <v>60</v>
      </c>
      <c r="F335" s="3">
        <v>2.5382184533279259</v>
      </c>
      <c r="G335" s="4">
        <v>38.299999999999997</v>
      </c>
      <c r="H335" s="4">
        <v>54.4</v>
      </c>
      <c r="I335" s="1">
        <v>152.4</v>
      </c>
      <c r="J335" s="4">
        <v>381</v>
      </c>
      <c r="K335" s="5">
        <v>819</v>
      </c>
      <c r="L335" s="3">
        <v>29016.960000000003</v>
      </c>
      <c r="M335" s="5">
        <v>122.83883123921107</v>
      </c>
      <c r="N335" s="8">
        <v>2.8224872626215838E-2</v>
      </c>
      <c r="O335" s="3">
        <v>63.180599999999998</v>
      </c>
      <c r="P335" s="5">
        <v>223.70685930745918</v>
      </c>
      <c r="Q335" s="3">
        <v>0.31</v>
      </c>
      <c r="R335" s="12">
        <f t="shared" si="52"/>
        <v>1.1185342965372958E-3</v>
      </c>
      <c r="V335" s="3">
        <f t="shared" si="50"/>
        <v>0.35520523710631191</v>
      </c>
      <c r="W335" s="3">
        <f t="shared" si="53"/>
        <v>1.1458233455042319</v>
      </c>
      <c r="Y335" s="3">
        <f t="shared" si="51"/>
        <v>0.35727483863757037</v>
      </c>
      <c r="Z335" s="3">
        <f t="shared" si="54"/>
        <v>1.1524994794760335</v>
      </c>
      <c r="AB335" s="3">
        <f>$AC$2*($AC$3+$AC$4*$F335/($N335*'Dataset sem TS MC2020'!P327))*($AC$5*$G335+$AC$6*$B335/$N335)*'Dataset sem TS MC2020'!R327*($J335-$M335)/($J335-$M335-$H335)</f>
        <v>0.37373406505386531</v>
      </c>
      <c r="AC335" s="3">
        <f t="shared" si="55"/>
        <v>1.2055937582382752</v>
      </c>
      <c r="AD335" s="16">
        <f t="shared" si="56"/>
        <v>6.3734065053865308E-2</v>
      </c>
      <c r="AE335" s="17">
        <f t="shared" si="57"/>
        <v>0.82946680269918804</v>
      </c>
      <c r="AF335" s="17">
        <f>AB335*(14.068*'Dataset sem TS MC2020'!$P327^-0.457)/$Q335</f>
        <v>1.3129740745727541</v>
      </c>
      <c r="AG335" s="17"/>
      <c r="AO335" s="3">
        <f>$AP$2*($AP$3+$AP$4*$F335/($N335*'Dataset sem TS MC2020'!P327))*($AP$5*$G335+$AP$6*$B335/$N335)*('Dataset sem TS MC2020'!P327^$AP$7/200000)*($J335-$M335)/($J335-$M335-$H335)+('Dataset sem TS MC2020'!P327-$C335/$AP$8)*($AP$5*$G335+$AP$6*$B335/$N335)/200000</f>
        <v>0.41201122308667787</v>
      </c>
      <c r="AP335" s="3">
        <f t="shared" si="58"/>
        <v>1.3290684615699286</v>
      </c>
      <c r="AQ335" s="16">
        <f t="shared" si="59"/>
        <v>0.10201122308667787</v>
      </c>
    </row>
    <row r="336" spans="1:43" x14ac:dyDescent="0.3">
      <c r="B336" s="4">
        <v>32.299999999999997</v>
      </c>
      <c r="C336" s="5">
        <v>276</v>
      </c>
      <c r="D336" s="5">
        <v>1</v>
      </c>
      <c r="E336" s="4">
        <v>60</v>
      </c>
      <c r="F336" s="3">
        <v>2.5382184533279259</v>
      </c>
      <c r="G336" s="4">
        <v>38.299999999999997</v>
      </c>
      <c r="H336" s="4">
        <v>54.4</v>
      </c>
      <c r="I336" s="1">
        <v>152.4</v>
      </c>
      <c r="J336" s="4">
        <v>381</v>
      </c>
      <c r="K336" s="5">
        <v>819</v>
      </c>
      <c r="L336" s="3">
        <v>29016.960000000003</v>
      </c>
      <c r="M336" s="5">
        <v>122.83883123921107</v>
      </c>
      <c r="N336" s="8">
        <v>2.8224872626215838E-2</v>
      </c>
      <c r="O336" s="3">
        <v>67.125100000000003</v>
      </c>
      <c r="P336" s="5">
        <v>230.74497923928394</v>
      </c>
      <c r="Q336" s="3">
        <v>0.35</v>
      </c>
      <c r="R336" s="12">
        <f t="shared" si="52"/>
        <v>1.1537248961964197E-3</v>
      </c>
      <c r="V336" s="3">
        <f t="shared" si="50"/>
        <v>0.36205940742107401</v>
      </c>
      <c r="W336" s="3">
        <f t="shared" si="53"/>
        <v>1.0344554497744973</v>
      </c>
      <c r="Y336" s="3">
        <f t="shared" si="51"/>
        <v>0.36429305369244713</v>
      </c>
      <c r="Z336" s="3">
        <f t="shared" si="54"/>
        <v>1.0408372962641348</v>
      </c>
      <c r="AB336" s="3">
        <f>$AC$2*($AC$3+$AC$4*$F336/($N336*'Dataset sem TS MC2020'!P328))*($AC$5*$G336+$AC$6*$B336/$N336)*'Dataset sem TS MC2020'!R328*($J336-$M336)/($J336-$M336-$H336)</f>
        <v>0.38343540091913964</v>
      </c>
      <c r="AC336" s="3">
        <f t="shared" si="55"/>
        <v>1.0955297169118277</v>
      </c>
      <c r="AD336" s="16">
        <f t="shared" si="56"/>
        <v>3.3435400919139657E-2</v>
      </c>
      <c r="AE336" s="17">
        <f t="shared" si="57"/>
        <v>0.91280043303515768</v>
      </c>
      <c r="AF336" s="17">
        <f>AB336*(14.068*'Dataset sem TS MC2020'!$P328^-0.457)/$Q336</f>
        <v>1.1816937663256277</v>
      </c>
      <c r="AG336" s="17"/>
      <c r="AO336" s="3">
        <f>$AP$2*($AP$3+$AP$4*$F336/($N336*'Dataset sem TS MC2020'!P328))*($AP$5*$G336+$AP$6*$B336/$N336)*('Dataset sem TS MC2020'!P328^$AP$7/200000)*($J336-$M336)/($J336-$M336-$H336)+('Dataset sem TS MC2020'!P328-$C336/$AP$8)*($AP$5*$G336+$AP$6*$B336/$N336)/200000</f>
        <v>0.42145966512998262</v>
      </c>
      <c r="AP336" s="3">
        <f t="shared" si="58"/>
        <v>1.2041704717999504</v>
      </c>
      <c r="AQ336" s="16">
        <f t="shared" si="59"/>
        <v>7.1459665129982641E-2</v>
      </c>
    </row>
    <row r="337" spans="1:43" x14ac:dyDescent="0.3">
      <c r="A337" s="1" t="s">
        <v>84</v>
      </c>
      <c r="B337" s="4">
        <v>32.299999999999997</v>
      </c>
      <c r="C337" s="5">
        <v>276</v>
      </c>
      <c r="D337" s="5">
        <v>1</v>
      </c>
      <c r="E337" s="4">
        <v>60</v>
      </c>
      <c r="F337" s="3">
        <v>2.8108695189494299</v>
      </c>
      <c r="G337" s="4">
        <v>38.299999999999997</v>
      </c>
      <c r="H337" s="4">
        <v>54.4</v>
      </c>
      <c r="I337" s="1">
        <v>152.4</v>
      </c>
      <c r="J337" s="4">
        <v>381</v>
      </c>
      <c r="K337" s="5">
        <v>819</v>
      </c>
      <c r="L337" s="3">
        <v>29016.960000000003</v>
      </c>
      <c r="M337" s="5">
        <v>120.44611657620311</v>
      </c>
      <c r="N337" s="8">
        <v>2.8224872626215838E-2</v>
      </c>
      <c r="O337" s="3">
        <v>39.959500000000006</v>
      </c>
      <c r="P337" s="5">
        <v>99.532458974281965</v>
      </c>
      <c r="Q337" s="3">
        <v>0.19</v>
      </c>
      <c r="R337" s="12">
        <f t="shared" si="52"/>
        <v>4.9766229487140979E-4</v>
      </c>
      <c r="V337" s="3">
        <f t="shared" si="50"/>
        <v>0.21551200752738864</v>
      </c>
      <c r="W337" s="3">
        <f t="shared" si="53"/>
        <v>1.1342737238283613</v>
      </c>
      <c r="Y337" s="3">
        <f t="shared" si="51"/>
        <v>0.21484521402231496</v>
      </c>
      <c r="Z337" s="3">
        <f t="shared" si="54"/>
        <v>1.1307642843279735</v>
      </c>
      <c r="AB337" s="3">
        <f>$AC$2*($AC$3+$AC$4*$F337/($N337*'Dataset sem TS MC2020'!P329))*($AC$5*$G337+$AC$6*$B337/$N337)*'Dataset sem TS MC2020'!R329*($J337-$M337)/($J337-$M337-$H337)</f>
        <v>0.19581756126252065</v>
      </c>
      <c r="AC337" s="3">
        <f t="shared" si="55"/>
        <v>1.0306187434869507</v>
      </c>
      <c r="AD337" s="16">
        <f t="shared" si="56"/>
        <v>5.817561262520643E-3</v>
      </c>
      <c r="AE337" s="17">
        <f t="shared" si="57"/>
        <v>0.97029091147386226</v>
      </c>
      <c r="AF337" s="17">
        <f>AB337*(14.068*'Dataset sem TS MC2020'!$P329^-0.457)/$Q337</f>
        <v>1.3855844131764501</v>
      </c>
      <c r="AG337" s="17"/>
      <c r="AO337" s="3">
        <f>$AP$2*($AP$3+$AP$4*$F337/($N337*'Dataset sem TS MC2020'!P329))*($AP$5*$G337+$AP$6*$B337/$N337)*('Dataset sem TS MC2020'!P329^$AP$7/200000)*($J337-$M337)/($J337-$M337-$H337)+('Dataset sem TS MC2020'!P329-$C337/$AP$8)*($AP$5*$G337+$AP$6*$B337/$N337)/200000</f>
        <v>0.22882229957393879</v>
      </c>
      <c r="AP337" s="3">
        <f t="shared" si="58"/>
        <v>1.2043278924944147</v>
      </c>
      <c r="AQ337" s="16">
        <f t="shared" si="59"/>
        <v>3.882229957393879E-2</v>
      </c>
    </row>
    <row r="338" spans="1:43" x14ac:dyDescent="0.3">
      <c r="B338" s="4">
        <v>32.299999999999997</v>
      </c>
      <c r="C338" s="5">
        <v>276</v>
      </c>
      <c r="D338" s="5">
        <v>1</v>
      </c>
      <c r="E338" s="4">
        <v>60</v>
      </c>
      <c r="F338" s="3">
        <v>2.8108695189494299</v>
      </c>
      <c r="G338" s="4">
        <v>38.299999999999997</v>
      </c>
      <c r="H338" s="4">
        <v>54.4</v>
      </c>
      <c r="I338" s="1">
        <v>152.4</v>
      </c>
      <c r="J338" s="4">
        <v>381</v>
      </c>
      <c r="K338" s="5">
        <v>819</v>
      </c>
      <c r="L338" s="3">
        <v>29016.960000000003</v>
      </c>
      <c r="M338" s="5">
        <v>120.44611657620311</v>
      </c>
      <c r="N338" s="8">
        <v>2.8224872626215838E-2</v>
      </c>
      <c r="O338" s="3">
        <v>49.186200000000007</v>
      </c>
      <c r="P338" s="5">
        <v>143.73763283392213</v>
      </c>
      <c r="Q338" s="3">
        <v>0.24</v>
      </c>
      <c r="R338" s="12">
        <f t="shared" si="52"/>
        <v>7.1868816416961062E-4</v>
      </c>
      <c r="V338" s="3">
        <f t="shared" si="50"/>
        <v>0.27036360157205114</v>
      </c>
      <c r="W338" s="3">
        <f t="shared" si="53"/>
        <v>1.1265150065502132</v>
      </c>
      <c r="Y338" s="3">
        <f t="shared" si="51"/>
        <v>0.27061888330094969</v>
      </c>
      <c r="Z338" s="3">
        <f t="shared" si="54"/>
        <v>1.1275786804206238</v>
      </c>
      <c r="AB338" s="3">
        <f>$AC$2*($AC$3+$AC$4*$F338/($N338*'Dataset sem TS MC2020'!P330))*($AC$5*$G338+$AC$6*$B338/$N338)*'Dataset sem TS MC2020'!R330*($J338-$M338)/($J338-$M338-$H338)</f>
        <v>0.26212365023833101</v>
      </c>
      <c r="AC338" s="3">
        <f t="shared" si="55"/>
        <v>1.0921818759930459</v>
      </c>
      <c r="AD338" s="16">
        <f t="shared" si="56"/>
        <v>2.2123650238331016E-2</v>
      </c>
      <c r="AE338" s="17">
        <f t="shared" si="57"/>
        <v>0.91559841998913294</v>
      </c>
      <c r="AF338" s="17">
        <f>AB338*(14.068*'Dataset sem TS MC2020'!$P330^-0.457)/$Q338</f>
        <v>1.335358588033573</v>
      </c>
      <c r="AG338" s="17"/>
      <c r="AO338" s="3">
        <f>$AP$2*($AP$3+$AP$4*$F338/($N338*'Dataset sem TS MC2020'!P330))*($AP$5*$G338+$AP$6*$B338/$N338)*('Dataset sem TS MC2020'!P330^$AP$7/200000)*($J338-$M338)/($J338-$M338-$H338)+('Dataset sem TS MC2020'!P330-$C338/$AP$8)*($AP$5*$G338+$AP$6*$B338/$N338)/200000</f>
        <v>0.29898152666541994</v>
      </c>
      <c r="AP338" s="3">
        <f t="shared" si="58"/>
        <v>1.2457563611059164</v>
      </c>
      <c r="AQ338" s="16">
        <f t="shared" si="59"/>
        <v>5.8981526665419948E-2</v>
      </c>
    </row>
    <row r="339" spans="1:43" x14ac:dyDescent="0.3">
      <c r="B339" s="4">
        <v>32.299999999999997</v>
      </c>
      <c r="C339" s="5">
        <v>276</v>
      </c>
      <c r="D339" s="5">
        <v>1</v>
      </c>
      <c r="E339" s="4">
        <v>60</v>
      </c>
      <c r="F339" s="3">
        <v>2.8108695189494299</v>
      </c>
      <c r="G339" s="4">
        <v>38.299999999999997</v>
      </c>
      <c r="H339" s="4">
        <v>54.4</v>
      </c>
      <c r="I339" s="1">
        <v>152.4</v>
      </c>
      <c r="J339" s="4">
        <v>381</v>
      </c>
      <c r="K339" s="5">
        <v>819</v>
      </c>
      <c r="L339" s="3">
        <v>29016.960000000003</v>
      </c>
      <c r="M339" s="5">
        <v>120.44611657620311</v>
      </c>
      <c r="N339" s="8">
        <v>2.8224872626215838E-2</v>
      </c>
      <c r="O339" s="3">
        <v>57.349600000000002</v>
      </c>
      <c r="P339" s="5">
        <v>187.1767403380772</v>
      </c>
      <c r="Q339" s="3">
        <v>0.28999999999999998</v>
      </c>
      <c r="R339" s="12">
        <f t="shared" si="52"/>
        <v>9.3588370169038601E-4</v>
      </c>
      <c r="V339" s="3">
        <f t="shared" si="50"/>
        <v>0.31820473783644815</v>
      </c>
      <c r="W339" s="3">
        <f t="shared" si="53"/>
        <v>1.0972577166774076</v>
      </c>
      <c r="Y339" s="3">
        <f t="shared" si="51"/>
        <v>0.31943169903147584</v>
      </c>
      <c r="Z339" s="3">
        <f t="shared" si="54"/>
        <v>1.1014886173499168</v>
      </c>
      <c r="AB339" s="3">
        <f>$AC$2*($AC$3+$AC$4*$F339/($N339*'Dataset sem TS MC2020'!P331))*($AC$5*$G339+$AC$6*$B339/$N339)*'Dataset sem TS MC2020'!R331*($J339-$M339)/($J339-$M339-$H339)</f>
        <v>0.32078851706451256</v>
      </c>
      <c r="AC339" s="3">
        <f t="shared" si="55"/>
        <v>1.1061673002224572</v>
      </c>
      <c r="AD339" s="16">
        <f t="shared" si="56"/>
        <v>3.0788517064512577E-2</v>
      </c>
      <c r="AE339" s="17">
        <f t="shared" si="57"/>
        <v>0.90402238413564895</v>
      </c>
      <c r="AF339" s="17">
        <f>AB339*(14.068*'Dataset sem TS MC2020'!$P331^-0.457)/$Q339</f>
        <v>1.260804469580175</v>
      </c>
      <c r="AG339" s="17"/>
      <c r="AO339" s="3">
        <f>$AP$2*($AP$3+$AP$4*$F339/($N339*'Dataset sem TS MC2020'!P331))*($AP$5*$G339+$AP$6*$B339/$N339)*('Dataset sem TS MC2020'!P331^$AP$7/200000)*($J339-$M339)/($J339-$M339-$H339)+('Dataset sem TS MC2020'!P331-$C339/$AP$8)*($AP$5*$G339+$AP$6*$B339/$N339)/200000</f>
        <v>0.35864557015311965</v>
      </c>
      <c r="AP339" s="3">
        <f t="shared" si="58"/>
        <v>1.2367088625969644</v>
      </c>
      <c r="AQ339" s="16">
        <f t="shared" si="59"/>
        <v>6.8645570153119673E-2</v>
      </c>
    </row>
    <row r="340" spans="1:43" x14ac:dyDescent="0.3">
      <c r="B340" s="4">
        <v>32.299999999999997</v>
      </c>
      <c r="C340" s="5">
        <v>276</v>
      </c>
      <c r="D340" s="5">
        <v>1</v>
      </c>
      <c r="E340" s="4">
        <v>60</v>
      </c>
      <c r="F340" s="3">
        <v>2.8108695189494299</v>
      </c>
      <c r="G340" s="4">
        <v>38.299999999999997</v>
      </c>
      <c r="H340" s="4">
        <v>54.4</v>
      </c>
      <c r="I340" s="1">
        <v>152.4</v>
      </c>
      <c r="J340" s="4">
        <v>381</v>
      </c>
      <c r="K340" s="5">
        <v>819</v>
      </c>
      <c r="L340" s="3">
        <v>29016.960000000003</v>
      </c>
      <c r="M340" s="5">
        <v>120.44611657620311</v>
      </c>
      <c r="N340" s="8">
        <v>2.8224872626215838E-2</v>
      </c>
      <c r="O340" s="3">
        <v>63.180599999999998</v>
      </c>
      <c r="P340" s="5">
        <v>218.20467426961653</v>
      </c>
      <c r="Q340" s="3">
        <v>0.36</v>
      </c>
      <c r="R340" s="12">
        <f t="shared" si="52"/>
        <v>1.0910233713480827E-3</v>
      </c>
      <c r="V340" s="3">
        <f t="shared" si="50"/>
        <v>0.34978916315120867</v>
      </c>
      <c r="W340" s="3">
        <f t="shared" si="53"/>
        <v>0.97163656430891299</v>
      </c>
      <c r="Y340" s="3">
        <f t="shared" si="51"/>
        <v>0.35173084393259668</v>
      </c>
      <c r="Z340" s="3">
        <f t="shared" si="54"/>
        <v>0.97703012203499084</v>
      </c>
      <c r="AB340" s="3">
        <f>$AC$2*($AC$3+$AC$4*$F340/($N340*'Dataset sem TS MC2020'!P332))*($AC$5*$G340+$AC$6*$B340/$N340)*'Dataset sem TS MC2020'!R332*($J340-$M340)/($J340-$M340-$H340)</f>
        <v>0.3626919933689281</v>
      </c>
      <c r="AC340" s="3">
        <f t="shared" si="55"/>
        <v>1.0074777593581337</v>
      </c>
      <c r="AD340" s="16">
        <f t="shared" si="56"/>
        <v>2.6919933689281139E-3</v>
      </c>
      <c r="AE340" s="17">
        <f t="shared" si="57"/>
        <v>0.99257774249736519</v>
      </c>
      <c r="AF340" s="17">
        <f>AB340*(14.068*'Dataset sem TS MC2020'!$P332^-0.457)/$Q340</f>
        <v>1.0986111669595204</v>
      </c>
      <c r="AG340" s="17"/>
      <c r="AO340" s="3">
        <f>$AP$2*($AP$3+$AP$4*$F340/($N340*'Dataset sem TS MC2020'!P332))*($AP$5*$G340+$AP$6*$B340/$N340)*('Dataset sem TS MC2020'!P332^$AP$7/200000)*($J340-$M340)/($J340-$M340-$H340)+('Dataset sem TS MC2020'!P332-$C340/$AP$8)*($AP$5*$G340+$AP$6*$B340/$N340)/200000</f>
        <v>0.40014834123124643</v>
      </c>
      <c r="AP340" s="3">
        <f t="shared" si="58"/>
        <v>1.1115231700867956</v>
      </c>
      <c r="AQ340" s="16">
        <f t="shared" si="59"/>
        <v>4.0148341231246443E-2</v>
      </c>
    </row>
    <row r="341" spans="1:43" x14ac:dyDescent="0.3">
      <c r="B341" s="4">
        <v>32.299999999999997</v>
      </c>
      <c r="C341" s="5">
        <v>276</v>
      </c>
      <c r="D341" s="5">
        <v>1</v>
      </c>
      <c r="E341" s="4">
        <v>60</v>
      </c>
      <c r="F341" s="3">
        <v>2.8108695189494299</v>
      </c>
      <c r="G341" s="4">
        <v>38.299999999999997</v>
      </c>
      <c r="H341" s="4">
        <v>54.4</v>
      </c>
      <c r="I341" s="1">
        <v>152.4</v>
      </c>
      <c r="J341" s="4">
        <v>381</v>
      </c>
      <c r="K341" s="5">
        <v>819</v>
      </c>
      <c r="L341" s="3">
        <v>29016.960000000003</v>
      </c>
      <c r="M341" s="5">
        <v>120.44611657620311</v>
      </c>
      <c r="N341" s="8">
        <v>2.8224872626215838E-2</v>
      </c>
      <c r="O341" s="3">
        <v>67.125100000000003</v>
      </c>
      <c r="P341" s="5">
        <v>226.30926898125563</v>
      </c>
      <c r="Q341" s="3">
        <v>0.42</v>
      </c>
      <c r="R341" s="12">
        <f t="shared" si="52"/>
        <v>1.1315463449062782E-3</v>
      </c>
      <c r="V341" s="3">
        <f t="shared" si="50"/>
        <v>0.35774912212001853</v>
      </c>
      <c r="W341" s="3">
        <f t="shared" si="53"/>
        <v>0.85178362409528219</v>
      </c>
      <c r="Y341" s="3">
        <f t="shared" si="51"/>
        <v>0.35987932859887778</v>
      </c>
      <c r="Z341" s="3">
        <f t="shared" si="54"/>
        <v>0.85685554428304234</v>
      </c>
      <c r="AB341" s="3">
        <f>$AC$2*($AC$3+$AC$4*$F341/($N341*'Dataset sem TS MC2020'!P333))*($AC$5*$G341+$AC$6*$B341/$N341)*'Dataset sem TS MC2020'!R333*($J341-$M341)/($J341-$M341-$H341)</f>
        <v>0.37363731422739654</v>
      </c>
      <c r="AC341" s="3">
        <f t="shared" si="55"/>
        <v>0.88961265292237279</v>
      </c>
      <c r="AD341" s="16">
        <f t="shared" si="56"/>
        <v>-4.636268577260344E-2</v>
      </c>
      <c r="AE341" s="17">
        <f t="shared" si="57"/>
        <v>1.1240847313884368</v>
      </c>
      <c r="AF341" s="17">
        <f>AB341*(14.068*'Dataset sem TS MC2020'!$P333^-0.457)/$Q341</f>
        <v>0.95958120548854142</v>
      </c>
      <c r="AG341" s="17"/>
      <c r="AO341" s="3">
        <f>$AP$2*($AP$3+$AP$4*$F341/($N341*'Dataset sem TS MC2020'!P333))*($AP$5*$G341+$AP$6*$B341/$N341)*('Dataset sem TS MC2020'!P333^$AP$7/200000)*($J341-$M341)/($J341-$M341-$H341)+('Dataset sem TS MC2020'!P333-$C341/$AP$8)*($AP$5*$G341+$AP$6*$B341/$N341)/200000</f>
        <v>0.41085438186828671</v>
      </c>
      <c r="AP341" s="3">
        <f t="shared" si="58"/>
        <v>0.97822471873401606</v>
      </c>
      <c r="AQ341" s="16">
        <f t="shared" si="59"/>
        <v>-9.1456181317132734E-3</v>
      </c>
    </row>
    <row r="342" spans="1:43" x14ac:dyDescent="0.3">
      <c r="A342" s="1" t="s">
        <v>85</v>
      </c>
      <c r="B342" s="4">
        <v>28.7</v>
      </c>
      <c r="C342" s="5">
        <v>276</v>
      </c>
      <c r="D342" s="5">
        <v>2</v>
      </c>
      <c r="E342" s="4">
        <v>50.6</v>
      </c>
      <c r="F342" s="3">
        <v>2.5765786179080412</v>
      </c>
      <c r="G342" s="4">
        <v>38</v>
      </c>
      <c r="H342" s="4">
        <v>52.3</v>
      </c>
      <c r="I342" s="1">
        <v>152.4</v>
      </c>
      <c r="J342" s="4">
        <v>584.20000000000005</v>
      </c>
      <c r="K342" s="5">
        <v>1290</v>
      </c>
      <c r="L342" s="3">
        <v>27896.82</v>
      </c>
      <c r="M342" s="5">
        <v>196.9266161393364</v>
      </c>
      <c r="N342" s="8">
        <v>4.6241829713924383E-2</v>
      </c>
      <c r="O342" s="3">
        <v>110.20799999999998</v>
      </c>
      <c r="P342" s="5">
        <v>139.22648337645958</v>
      </c>
      <c r="Q342" s="3">
        <v>0.18</v>
      </c>
      <c r="R342" s="12">
        <f t="shared" si="52"/>
        <v>6.9613241688229791E-4</v>
      </c>
      <c r="V342" s="3">
        <f t="shared" si="50"/>
        <v>0.19921098212130448</v>
      </c>
      <c r="W342" s="3">
        <f t="shared" si="53"/>
        <v>1.1067276784516915</v>
      </c>
      <c r="Y342" s="3">
        <f t="shared" si="51"/>
        <v>0.20184572849216653</v>
      </c>
      <c r="Z342" s="3">
        <f t="shared" si="54"/>
        <v>1.1213651582898141</v>
      </c>
      <c r="AB342" s="3">
        <f>$AC$2*($AC$3+$AC$4*$F342/($N342*'Dataset sem TS MC2020'!P334))*($AC$5*$G342+$AC$6*$B342/$N342)*'Dataset sem TS MC2020'!R334*($J342-$M342)/($J342-$M342-$H342)</f>
        <v>0.14826835622133189</v>
      </c>
      <c r="AC342" s="3">
        <f t="shared" si="55"/>
        <v>0.82371309011851046</v>
      </c>
      <c r="AD342" s="16">
        <f t="shared" si="56"/>
        <v>-3.1731643778668106E-2</v>
      </c>
      <c r="AE342" s="17">
        <f t="shared" si="57"/>
        <v>1.214014942819625</v>
      </c>
      <c r="AF342" s="17">
        <f>AB342*(14.068*'Dataset sem TS MC2020'!$P334^-0.457)/$Q342</f>
        <v>1.071071734924061</v>
      </c>
      <c r="AG342" s="17"/>
      <c r="AO342" s="3">
        <f>$AP$2*($AP$3+$AP$4*$F342/($N342*'Dataset sem TS MC2020'!P334))*($AP$5*$G342+$AP$6*$B342/$N342)*('Dataset sem TS MC2020'!P334^$AP$7/200000)*($J342-$M342)/($J342-$M342-$H342)+('Dataset sem TS MC2020'!P334-$C342/$AP$8)*($AP$5*$G342+$AP$6*$B342/$N342)/200000</f>
        <v>0.16819194745172258</v>
      </c>
      <c r="AP342" s="3">
        <f t="shared" si="58"/>
        <v>0.93439970806512551</v>
      </c>
      <c r="AQ342" s="16">
        <f t="shared" si="59"/>
        <v>-1.1808052548277409E-2</v>
      </c>
    </row>
    <row r="343" spans="1:43" x14ac:dyDescent="0.3">
      <c r="B343" s="4">
        <v>28.7</v>
      </c>
      <c r="C343" s="5">
        <v>276</v>
      </c>
      <c r="D343" s="5">
        <v>2</v>
      </c>
      <c r="E343" s="4">
        <v>50.6</v>
      </c>
      <c r="F343" s="3">
        <v>2.5765786179080412</v>
      </c>
      <c r="G343" s="4">
        <v>38</v>
      </c>
      <c r="H343" s="4">
        <v>52.3</v>
      </c>
      <c r="I343" s="1">
        <v>152.4</v>
      </c>
      <c r="J343" s="4">
        <v>584.20000000000005</v>
      </c>
      <c r="K343" s="5">
        <v>1290</v>
      </c>
      <c r="L343" s="3">
        <v>27896.82</v>
      </c>
      <c r="M343" s="5">
        <v>196.9266161393364</v>
      </c>
      <c r="N343" s="8">
        <v>4.6241829713924383E-2</v>
      </c>
      <c r="O343" s="3">
        <v>132.25799999999998</v>
      </c>
      <c r="P343" s="5">
        <v>180.49731497919635</v>
      </c>
      <c r="Q343" s="3">
        <v>0.22</v>
      </c>
      <c r="R343" s="12">
        <f t="shared" si="52"/>
        <v>9.0248657489598171E-4</v>
      </c>
      <c r="V343" s="3">
        <f t="shared" si="50"/>
        <v>0.23381875461876914</v>
      </c>
      <c r="W343" s="3">
        <f t="shared" si="53"/>
        <v>1.0628125209944053</v>
      </c>
      <c r="Y343" s="3">
        <f t="shared" si="51"/>
        <v>0.23758874716415998</v>
      </c>
      <c r="Z343" s="3">
        <f t="shared" si="54"/>
        <v>1.0799488507461816</v>
      </c>
      <c r="AB343" s="3">
        <f>$AC$2*($AC$3+$AC$4*$F343/($N343*'Dataset sem TS MC2020'!P335))*($AC$5*$G343+$AC$6*$B343/$N343)*'Dataset sem TS MC2020'!R335*($J343-$M343)/($J343-$M343-$H343)</f>
        <v>0.18381404105315588</v>
      </c>
      <c r="AC343" s="3">
        <f t="shared" si="55"/>
        <v>0.83551836842343585</v>
      </c>
      <c r="AD343" s="16">
        <f t="shared" si="56"/>
        <v>-3.6185958946844121E-2</v>
      </c>
      <c r="AE343" s="17">
        <f t="shared" si="57"/>
        <v>1.1968617780204274</v>
      </c>
      <c r="AF343" s="17">
        <f>AB343*(14.068*'Dataset sem TS MC2020'!$P335^-0.457)/$Q343</f>
        <v>0.99953995206881685</v>
      </c>
      <c r="AG343" s="17"/>
      <c r="AO343" s="3">
        <f>$AP$2*($AP$3+$AP$4*$F343/($N343*'Dataset sem TS MC2020'!P335))*($AP$5*$G343+$AP$6*$B343/$N343)*('Dataset sem TS MC2020'!P335^$AP$7/200000)*($J343-$M343)/($J343-$M343-$H343)+('Dataset sem TS MC2020'!P335-$C343/$AP$8)*($AP$5*$G343+$AP$6*$B343/$N343)/200000</f>
        <v>0.20376944612847794</v>
      </c>
      <c r="AP343" s="3">
        <f t="shared" si="58"/>
        <v>0.92622475512944524</v>
      </c>
      <c r="AQ343" s="16">
        <f t="shared" si="59"/>
        <v>-1.6230553871522058E-2</v>
      </c>
    </row>
    <row r="344" spans="1:43" x14ac:dyDescent="0.3">
      <c r="B344" s="4">
        <v>28.7</v>
      </c>
      <c r="C344" s="5">
        <v>276</v>
      </c>
      <c r="D344" s="5">
        <v>2</v>
      </c>
      <c r="E344" s="4">
        <v>50.6</v>
      </c>
      <c r="F344" s="3">
        <v>2.5765786179080412</v>
      </c>
      <c r="G344" s="4">
        <v>38</v>
      </c>
      <c r="H344" s="4">
        <v>52.3</v>
      </c>
      <c r="I344" s="1">
        <v>152.4</v>
      </c>
      <c r="J344" s="4">
        <v>584.20000000000005</v>
      </c>
      <c r="K344" s="5">
        <v>1290</v>
      </c>
      <c r="L344" s="3">
        <v>27896.82</v>
      </c>
      <c r="M344" s="5">
        <v>196.9266161393364</v>
      </c>
      <c r="N344" s="8">
        <v>4.6241829713924383E-2</v>
      </c>
      <c r="O344" s="3">
        <v>149.26799999999997</v>
      </c>
      <c r="P344" s="5">
        <v>213.14386705439034</v>
      </c>
      <c r="Q344" s="3">
        <v>0.27</v>
      </c>
      <c r="R344" s="12">
        <f t="shared" si="52"/>
        <v>1.0657193352719516E-3</v>
      </c>
      <c r="V344" s="3">
        <f t="shared" si="50"/>
        <v>0.25907650855099323</v>
      </c>
      <c r="W344" s="3">
        <f t="shared" si="53"/>
        <v>0.95954262426293779</v>
      </c>
      <c r="Y344" s="3">
        <f t="shared" si="51"/>
        <v>0.26373561622262198</v>
      </c>
      <c r="Z344" s="3">
        <f t="shared" si="54"/>
        <v>0.97679857860230357</v>
      </c>
      <c r="AB344" s="3">
        <f>$AC$2*($AC$3+$AC$4*$F344/($N344*'Dataset sem TS MC2020'!P336))*($AC$5*$G344+$AC$6*$B344/$N344)*'Dataset sem TS MC2020'!R336*($J344-$M344)/($J344-$M344-$H344)</f>
        <v>0.21123499792342015</v>
      </c>
      <c r="AC344" s="3">
        <f t="shared" si="55"/>
        <v>0.78235184416081538</v>
      </c>
      <c r="AD344" s="16">
        <f t="shared" si="56"/>
        <v>-5.8765002076579864E-2</v>
      </c>
      <c r="AE344" s="17">
        <f t="shared" si="57"/>
        <v>1.2781972810106219</v>
      </c>
      <c r="AF344" s="17">
        <f>AB344*(14.068*'Dataset sem TS MC2020'!$P336^-0.457)/$Q344</f>
        <v>0.88559123532548456</v>
      </c>
      <c r="AG344" s="17"/>
      <c r="AO344" s="3">
        <f>$AP$2*($AP$3+$AP$4*$F344/($N344*'Dataset sem TS MC2020'!P336))*($AP$5*$G344+$AP$6*$B344/$N344)*('Dataset sem TS MC2020'!P336^$AP$7/200000)*($J344-$M344)/($J344-$M344-$H344)+('Dataset sem TS MC2020'!P336-$C344/$AP$8)*($AP$5*$G344+$AP$6*$B344/$N344)/200000</f>
        <v>0.2304189190616231</v>
      </c>
      <c r="AP344" s="3">
        <f t="shared" si="58"/>
        <v>0.85340340393193737</v>
      </c>
      <c r="AQ344" s="16">
        <f t="shared" si="59"/>
        <v>-3.9581080938376922E-2</v>
      </c>
    </row>
    <row r="345" spans="1:43" x14ac:dyDescent="0.3">
      <c r="B345" s="4">
        <v>28.7</v>
      </c>
      <c r="C345" s="5">
        <v>276</v>
      </c>
      <c r="D345" s="5">
        <v>2</v>
      </c>
      <c r="E345" s="4">
        <v>50.6</v>
      </c>
      <c r="F345" s="3">
        <v>2.5765786179080412</v>
      </c>
      <c r="G345" s="4">
        <v>38</v>
      </c>
      <c r="H345" s="4">
        <v>52.3</v>
      </c>
      <c r="I345" s="1">
        <v>152.4</v>
      </c>
      <c r="J345" s="4">
        <v>584.20000000000005</v>
      </c>
      <c r="K345" s="5">
        <v>1290</v>
      </c>
      <c r="L345" s="3">
        <v>27896.82</v>
      </c>
      <c r="M345" s="5">
        <v>196.9266161393364</v>
      </c>
      <c r="N345" s="8">
        <v>4.6241829713924383E-2</v>
      </c>
      <c r="O345" s="3">
        <v>168.88200000000001</v>
      </c>
      <c r="P345" s="5">
        <v>245.03832142351979</v>
      </c>
      <c r="Q345" s="3">
        <v>0.32</v>
      </c>
      <c r="R345" s="12">
        <f t="shared" si="52"/>
        <v>1.2251916071175989E-3</v>
      </c>
      <c r="V345" s="3">
        <f t="shared" si="50"/>
        <v>0.28235421561004737</v>
      </c>
      <c r="W345" s="3">
        <f t="shared" si="53"/>
        <v>0.88235692378139796</v>
      </c>
      <c r="Y345" s="3">
        <f t="shared" si="51"/>
        <v>0.28787317422768488</v>
      </c>
      <c r="Z345" s="3">
        <f t="shared" si="54"/>
        <v>0.89960366946151527</v>
      </c>
      <c r="AB345" s="3">
        <f>$AC$2*($AC$3+$AC$4*$F345/($N345*'Dataset sem TS MC2020'!P337))*($AC$5*$G345+$AC$6*$B345/$N345)*'Dataset sem TS MC2020'!R337*($J345-$M345)/($J345-$M345-$H345)</f>
        <v>0.23802424217935619</v>
      </c>
      <c r="AC345" s="3">
        <f t="shared" si="55"/>
        <v>0.74382575681048813</v>
      </c>
      <c r="AD345" s="16">
        <f t="shared" si="56"/>
        <v>-8.1975757820643813E-2</v>
      </c>
      <c r="AE345" s="17">
        <f t="shared" si="57"/>
        <v>1.3444008772806988</v>
      </c>
      <c r="AF345" s="17">
        <f>AB345*(14.068*'Dataset sem TS MC2020'!$P337^-0.457)/$Q345</f>
        <v>0.80232808520532284</v>
      </c>
      <c r="AG345" s="17"/>
      <c r="AO345" s="3">
        <f>$AP$2*($AP$3+$AP$4*$F345/($N345*'Dataset sem TS MC2020'!P337))*($AP$5*$G345+$AP$6*$B345/$N345)*('Dataset sem TS MC2020'!P337^$AP$7/200000)*($J345-$M345)/($J345-$M345-$H345)+('Dataset sem TS MC2020'!P337-$C345/$AP$8)*($AP$5*$G345+$AP$6*$B345/$N345)/200000</f>
        <v>0.25589580799104505</v>
      </c>
      <c r="AP345" s="3">
        <f t="shared" si="58"/>
        <v>0.79967439997201573</v>
      </c>
      <c r="AQ345" s="16">
        <f t="shared" si="59"/>
        <v>-6.4104192008954952E-2</v>
      </c>
    </row>
    <row r="346" spans="1:43" x14ac:dyDescent="0.3">
      <c r="A346" s="1" t="s">
        <v>86</v>
      </c>
      <c r="B346" s="4">
        <v>28.7</v>
      </c>
      <c r="C346" s="5">
        <v>276</v>
      </c>
      <c r="D346" s="5">
        <v>2</v>
      </c>
      <c r="E346" s="4">
        <v>50.6</v>
      </c>
      <c r="F346" s="3">
        <v>2.5765786179080412</v>
      </c>
      <c r="G346" s="4">
        <v>38</v>
      </c>
      <c r="H346" s="4">
        <v>52.3</v>
      </c>
      <c r="I346" s="1">
        <v>152.4</v>
      </c>
      <c r="J346" s="4">
        <v>584.20000000000005</v>
      </c>
      <c r="K346" s="5">
        <v>1290</v>
      </c>
      <c r="L346" s="3">
        <v>27896.82</v>
      </c>
      <c r="M346" s="5">
        <v>196.9266161393364</v>
      </c>
      <c r="N346" s="8">
        <v>4.6241829713924383E-2</v>
      </c>
      <c r="O346" s="3">
        <v>132.25799999999998</v>
      </c>
      <c r="P346" s="5">
        <v>180.49731497919635</v>
      </c>
      <c r="Q346" s="3">
        <v>0.16</v>
      </c>
      <c r="R346" s="12">
        <f t="shared" si="52"/>
        <v>9.0248657489598171E-4</v>
      </c>
      <c r="V346" s="3">
        <f t="shared" si="50"/>
        <v>0.23381875461876914</v>
      </c>
      <c r="W346" s="3">
        <f t="shared" si="53"/>
        <v>1.461367216367307</v>
      </c>
      <c r="Y346" s="3">
        <f t="shared" si="51"/>
        <v>0.23758874716415998</v>
      </c>
      <c r="Z346" s="3">
        <f t="shared" si="54"/>
        <v>1.4849296697759999</v>
      </c>
      <c r="AB346" s="3">
        <f>$AC$2*($AC$3+$AC$4*$F346/($N346*'Dataset sem TS MC2020'!P338))*($AC$5*$G346+$AC$6*$B346/$N346)*'Dataset sem TS MC2020'!R338*($J346-$M346)/($J346-$M346-$H346)</f>
        <v>0.18381404105315588</v>
      </c>
      <c r="AC346" s="3">
        <f t="shared" si="55"/>
        <v>1.1488377565822243</v>
      </c>
      <c r="AD346" s="16">
        <f t="shared" si="56"/>
        <v>2.3814041053155877E-2</v>
      </c>
      <c r="AE346" s="17">
        <f t="shared" si="57"/>
        <v>0.87044492946940177</v>
      </c>
      <c r="AF346" s="17">
        <f>AB346*(14.068*'Dataset sem TS MC2020'!$P338^-0.457)/$Q346</f>
        <v>1.3743674340946233</v>
      </c>
      <c r="AG346" s="17"/>
      <c r="AO346" s="3">
        <f>$AP$2*($AP$3+$AP$4*$F346/($N346*'Dataset sem TS MC2020'!P338))*($AP$5*$G346+$AP$6*$B346/$N346)*('Dataset sem TS MC2020'!P338^$AP$7/200000)*($J346-$M346)/($J346-$M346-$H346)+('Dataset sem TS MC2020'!P338-$C346/$AP$8)*($AP$5*$G346+$AP$6*$B346/$N346)/200000</f>
        <v>0.20376944612847794</v>
      </c>
      <c r="AP346" s="3">
        <f t="shared" si="58"/>
        <v>1.2735590383029871</v>
      </c>
      <c r="AQ346" s="16">
        <f t="shared" si="59"/>
        <v>4.376944612847794E-2</v>
      </c>
    </row>
    <row r="347" spans="1:43" x14ac:dyDescent="0.3">
      <c r="B347" s="4">
        <v>28.7</v>
      </c>
      <c r="C347" s="5">
        <v>276</v>
      </c>
      <c r="D347" s="5">
        <v>2</v>
      </c>
      <c r="E347" s="4">
        <v>50.6</v>
      </c>
      <c r="F347" s="3">
        <v>2.5765786179080412</v>
      </c>
      <c r="G347" s="4">
        <v>38</v>
      </c>
      <c r="H347" s="4">
        <v>52.3</v>
      </c>
      <c r="I347" s="1">
        <v>152.4</v>
      </c>
      <c r="J347" s="4">
        <v>584.20000000000005</v>
      </c>
      <c r="K347" s="5">
        <v>1290</v>
      </c>
      <c r="L347" s="3">
        <v>27896.82</v>
      </c>
      <c r="M347" s="5">
        <v>196.9266161393364</v>
      </c>
      <c r="N347" s="8">
        <v>4.6241829713924383E-2</v>
      </c>
      <c r="O347" s="3">
        <v>149.26799999999997</v>
      </c>
      <c r="P347" s="5">
        <v>213.14386705439034</v>
      </c>
      <c r="Q347" s="3">
        <v>0.19</v>
      </c>
      <c r="R347" s="12">
        <f t="shared" si="52"/>
        <v>1.0657193352719516E-3</v>
      </c>
      <c r="V347" s="3">
        <f t="shared" si="50"/>
        <v>0.25907650855099323</v>
      </c>
      <c r="W347" s="3">
        <f t="shared" si="53"/>
        <v>1.363560571321017</v>
      </c>
      <c r="Y347" s="3">
        <f t="shared" si="51"/>
        <v>0.26373561622262198</v>
      </c>
      <c r="Z347" s="3">
        <f t="shared" si="54"/>
        <v>1.3880821906453789</v>
      </c>
      <c r="AB347" s="3">
        <f>$AC$2*($AC$3+$AC$4*$F347/($N347*'Dataset sem TS MC2020'!P339))*($AC$5*$G347+$AC$6*$B347/$N347)*'Dataset sem TS MC2020'!R339*($J347-$M347)/($J347-$M347-$H347)</f>
        <v>0.21123499792342015</v>
      </c>
      <c r="AC347" s="3">
        <f t="shared" si="55"/>
        <v>1.1117631469653693</v>
      </c>
      <c r="AD347" s="16">
        <f t="shared" si="56"/>
        <v>2.1234997923420151E-2</v>
      </c>
      <c r="AE347" s="17">
        <f t="shared" si="57"/>
        <v>0.8994721607111783</v>
      </c>
      <c r="AF347" s="17">
        <f>AB347*(14.068*'Dataset sem TS MC2020'!$P339^-0.457)/$Q347</f>
        <v>1.2584717554625307</v>
      </c>
      <c r="AG347" s="17"/>
      <c r="AO347" s="3">
        <f>$AP$2*($AP$3+$AP$4*$F347/($N347*'Dataset sem TS MC2020'!P339))*($AP$5*$G347+$AP$6*$B347/$N347)*('Dataset sem TS MC2020'!P339^$AP$7/200000)*($J347-$M347)/($J347-$M347-$H347)+('Dataset sem TS MC2020'!P339-$C347/$AP$8)*($AP$5*$G347+$AP$6*$B347/$N347)/200000</f>
        <v>0.2304189190616231</v>
      </c>
      <c r="AP347" s="3">
        <f t="shared" si="58"/>
        <v>1.2127311529559111</v>
      </c>
      <c r="AQ347" s="16">
        <f t="shared" si="59"/>
        <v>4.0418919061623093E-2</v>
      </c>
    </row>
    <row r="348" spans="1:43" x14ac:dyDescent="0.3">
      <c r="B348" s="4">
        <v>28.7</v>
      </c>
      <c r="C348" s="5">
        <v>276</v>
      </c>
      <c r="D348" s="5">
        <v>2</v>
      </c>
      <c r="E348" s="4">
        <v>50.6</v>
      </c>
      <c r="F348" s="3">
        <v>2.5765786179080412</v>
      </c>
      <c r="G348" s="4">
        <v>38</v>
      </c>
      <c r="H348" s="4">
        <v>52.3</v>
      </c>
      <c r="I348" s="1">
        <v>152.4</v>
      </c>
      <c r="J348" s="4">
        <v>584.20000000000005</v>
      </c>
      <c r="K348" s="5">
        <v>1290</v>
      </c>
      <c r="L348" s="3">
        <v>27896.82</v>
      </c>
      <c r="M348" s="5">
        <v>196.9266161393364</v>
      </c>
      <c r="N348" s="8">
        <v>4.6241829713924383E-2</v>
      </c>
      <c r="O348" s="3">
        <v>168.88200000000001</v>
      </c>
      <c r="P348" s="5">
        <v>245.03832142351979</v>
      </c>
      <c r="Q348" s="3">
        <v>0.22</v>
      </c>
      <c r="R348" s="12">
        <f t="shared" si="52"/>
        <v>1.2251916071175989E-3</v>
      </c>
      <c r="V348" s="3">
        <f t="shared" si="50"/>
        <v>0.28235421561004737</v>
      </c>
      <c r="W348" s="3">
        <f t="shared" si="53"/>
        <v>1.2834282527729426</v>
      </c>
      <c r="Y348" s="3">
        <f t="shared" si="51"/>
        <v>0.28787317422768488</v>
      </c>
      <c r="Z348" s="3">
        <f t="shared" si="54"/>
        <v>1.3085144283076586</v>
      </c>
      <c r="AB348" s="3">
        <f>$AC$2*($AC$3+$AC$4*$F348/($N348*'Dataset sem TS MC2020'!P340))*($AC$5*$G348+$AC$6*$B348/$N348)*'Dataset sem TS MC2020'!R340*($J348-$M348)/($J348-$M348-$H348)</f>
        <v>0.23802424217935619</v>
      </c>
      <c r="AC348" s="3">
        <f t="shared" si="55"/>
        <v>1.0819283735425282</v>
      </c>
      <c r="AD348" s="16">
        <f t="shared" si="56"/>
        <v>1.8024242179356192E-2</v>
      </c>
      <c r="AE348" s="17">
        <f t="shared" si="57"/>
        <v>0.92427560313048041</v>
      </c>
      <c r="AF348" s="17">
        <f>AB348*(14.068*'Dataset sem TS MC2020'!$P340^-0.457)/$Q348</f>
        <v>1.1670226693895607</v>
      </c>
      <c r="AG348" s="17"/>
      <c r="AO348" s="3">
        <f>$AP$2*($AP$3+$AP$4*$F348/($N348*'Dataset sem TS MC2020'!P340))*($AP$5*$G348+$AP$6*$B348/$N348)*('Dataset sem TS MC2020'!P340^$AP$7/200000)*($J348-$M348)/($J348-$M348-$H348)+('Dataset sem TS MC2020'!P340-$C348/$AP$8)*($AP$5*$G348+$AP$6*$B348/$N348)/200000</f>
        <v>0.25589580799104505</v>
      </c>
      <c r="AP348" s="3">
        <f t="shared" si="58"/>
        <v>1.1631627635956594</v>
      </c>
      <c r="AQ348" s="16">
        <f t="shared" si="59"/>
        <v>3.5895807991045053E-2</v>
      </c>
    </row>
    <row r="349" spans="1:43" x14ac:dyDescent="0.3">
      <c r="A349" s="1" t="s">
        <v>87</v>
      </c>
      <c r="B349" s="4">
        <v>35.799999999999997</v>
      </c>
      <c r="C349" s="5">
        <v>276</v>
      </c>
      <c r="D349" s="5">
        <v>2</v>
      </c>
      <c r="E349" s="4">
        <v>36.4</v>
      </c>
      <c r="F349" s="3">
        <v>2.5478355335404417</v>
      </c>
      <c r="G349" s="4">
        <v>38</v>
      </c>
      <c r="H349" s="4">
        <v>55.9</v>
      </c>
      <c r="I349" s="1">
        <v>152.4</v>
      </c>
      <c r="J349" s="4">
        <v>584.20000000000005</v>
      </c>
      <c r="K349" s="5">
        <v>2012</v>
      </c>
      <c r="L349" s="3">
        <v>29817.06</v>
      </c>
      <c r="M349" s="5">
        <v>231.96707915484524</v>
      </c>
      <c r="N349" s="8">
        <v>6.7478148415705638E-2</v>
      </c>
      <c r="O349" s="3">
        <v>167.03399999999999</v>
      </c>
      <c r="P349" s="5">
        <v>150.91882200011719</v>
      </c>
      <c r="Q349" s="3">
        <v>0.17</v>
      </c>
      <c r="R349" s="12">
        <f t="shared" si="52"/>
        <v>7.5459411000058593E-4</v>
      </c>
      <c r="V349" s="3">
        <f t="shared" si="50"/>
        <v>0.20748443007159079</v>
      </c>
      <c r="W349" s="3">
        <f t="shared" si="53"/>
        <v>1.2204966474799457</v>
      </c>
      <c r="Y349" s="3">
        <f t="shared" si="51"/>
        <v>0.21774458411661751</v>
      </c>
      <c r="Z349" s="3">
        <f t="shared" si="54"/>
        <v>1.2808504948036323</v>
      </c>
      <c r="AB349" s="3">
        <f>$AC$2*($AC$3+$AC$4*$F349/($N349*'Dataset sem TS MC2020'!P341))*($AC$5*$G349+$AC$6*$B349/$N349)*'Dataset sem TS MC2020'!R341*($J349-$M349)/($J349-$M349-$H349)</f>
        <v>0.14653421895379318</v>
      </c>
      <c r="AC349" s="3">
        <f t="shared" si="55"/>
        <v>0.86196599384584216</v>
      </c>
      <c r="AD349" s="16">
        <f t="shared" si="56"/>
        <v>-2.3465781046206835E-2</v>
      </c>
      <c r="AE349" s="17">
        <f t="shared" si="57"/>
        <v>1.1601385752334499</v>
      </c>
      <c r="AF349" s="17">
        <f>AB349*(14.068*'Dataset sem TS MC2020'!$P341^-0.457)/$Q349</f>
        <v>1.1184265960742505</v>
      </c>
      <c r="AG349" s="17"/>
      <c r="AO349" s="3">
        <f>$AP$2*($AP$3+$AP$4*$F349/($N349*'Dataset sem TS MC2020'!P341))*($AP$5*$G349+$AP$6*$B349/$N349)*('Dataset sem TS MC2020'!P341^$AP$7/200000)*($J349-$M349)/($J349-$M349-$H349)+('Dataset sem TS MC2020'!P341-$C349/$AP$8)*($AP$5*$G349+$AP$6*$B349/$N349)/200000</f>
        <v>0.16483959234659226</v>
      </c>
      <c r="AP349" s="3">
        <f t="shared" si="58"/>
        <v>0.96964466086230738</v>
      </c>
      <c r="AQ349" s="16">
        <f t="shared" si="59"/>
        <v>-5.1604076534077503E-3</v>
      </c>
    </row>
    <row r="350" spans="1:43" x14ac:dyDescent="0.3">
      <c r="A350" s="1" t="s">
        <v>88</v>
      </c>
      <c r="B350" s="4">
        <v>35.799999999999997</v>
      </c>
      <c r="C350" s="5">
        <v>276</v>
      </c>
      <c r="D350" s="5">
        <v>2</v>
      </c>
      <c r="E350" s="4">
        <v>36.4</v>
      </c>
      <c r="F350" s="3">
        <v>2.7563734268389184</v>
      </c>
      <c r="G350" s="4">
        <v>38</v>
      </c>
      <c r="H350" s="4">
        <v>55.9</v>
      </c>
      <c r="I350" s="1">
        <v>152.4</v>
      </c>
      <c r="J350" s="4">
        <v>584.20000000000005</v>
      </c>
      <c r="K350" s="5">
        <v>2012</v>
      </c>
      <c r="L350" s="3">
        <v>29817.06</v>
      </c>
      <c r="M350" s="5">
        <v>228.69980068753716</v>
      </c>
      <c r="N350" s="8">
        <v>6.7478148415705638E-2</v>
      </c>
      <c r="O350" s="3">
        <v>130.78799999999998</v>
      </c>
      <c r="P350" s="5">
        <v>108.34917327528331</v>
      </c>
      <c r="Q350" s="3">
        <v>0.19</v>
      </c>
      <c r="R350" s="12">
        <f t="shared" si="52"/>
        <v>5.4174586637641652E-4</v>
      </c>
      <c r="V350" s="3">
        <f t="shared" si="50"/>
        <v>0.16911737409463368</v>
      </c>
      <c r="W350" s="3">
        <f t="shared" si="53"/>
        <v>0.89009144260333517</v>
      </c>
      <c r="Y350" s="3">
        <f t="shared" si="51"/>
        <v>0.17683449251004232</v>
      </c>
      <c r="Z350" s="3">
        <f t="shared" si="54"/>
        <v>0.93070785531601219</v>
      </c>
      <c r="AB350" s="3">
        <f>$AC$2*($AC$3+$AC$4*$F350/($N350*'Dataset sem TS MC2020'!P342))*($AC$5*$G350+$AC$6*$B350/$N350)*'Dataset sem TS MC2020'!R342*($J350-$M350)/($J350-$M350-$H350)</f>
        <v>0.10873660392163578</v>
      </c>
      <c r="AC350" s="3">
        <f t="shared" si="55"/>
        <v>0.57229791537703045</v>
      </c>
      <c r="AD350" s="16">
        <f t="shared" si="56"/>
        <v>-8.126339607836422E-2</v>
      </c>
      <c r="AE350" s="17">
        <f t="shared" si="57"/>
        <v>1.7473416784004865</v>
      </c>
      <c r="AF350" s="17">
        <f>AB350*(14.068*'Dataset sem TS MC2020'!$P342^-0.457)/$Q350</f>
        <v>0.83132060329934254</v>
      </c>
      <c r="AG350" s="17"/>
      <c r="AO350" s="3">
        <f>$AP$2*($AP$3+$AP$4*$F350/($N350*'Dataset sem TS MC2020'!P342))*($AP$5*$G350+$AP$6*$B350/$N350)*('Dataset sem TS MC2020'!P342^$AP$7/200000)*($J350-$M350)/($J350-$M350-$H350)+('Dataset sem TS MC2020'!P342-$C350/$AP$8)*($AP$5*$G350+$AP$6*$B350/$N350)/200000</f>
        <v>0.12596056373655043</v>
      </c>
      <c r="AP350" s="3">
        <f t="shared" si="58"/>
        <v>0.66295033545552862</v>
      </c>
      <c r="AQ350" s="16">
        <f t="shared" si="59"/>
        <v>-6.4039436263449573E-2</v>
      </c>
    </row>
    <row r="351" spans="1:43" x14ac:dyDescent="0.3">
      <c r="B351" s="4">
        <v>35.799999999999997</v>
      </c>
      <c r="C351" s="5">
        <v>276</v>
      </c>
      <c r="D351" s="5">
        <v>2</v>
      </c>
      <c r="E351" s="4">
        <v>36.4</v>
      </c>
      <c r="F351" s="3">
        <v>2.7563734268389184</v>
      </c>
      <c r="G351" s="4">
        <v>38</v>
      </c>
      <c r="H351" s="4">
        <v>55.9</v>
      </c>
      <c r="I351" s="1">
        <v>152.4</v>
      </c>
      <c r="J351" s="4">
        <v>584.20000000000005</v>
      </c>
      <c r="K351" s="5">
        <v>2012</v>
      </c>
      <c r="L351" s="3">
        <v>29817.06</v>
      </c>
      <c r="M351" s="5">
        <v>228.69980068753716</v>
      </c>
      <c r="N351" s="8">
        <v>6.7478148415705638E-2</v>
      </c>
      <c r="O351" s="3">
        <v>167.03399999999999</v>
      </c>
      <c r="P351" s="5">
        <v>148.199286582844</v>
      </c>
      <c r="Q351" s="3">
        <v>0.25</v>
      </c>
      <c r="R351" s="12">
        <f t="shared" si="52"/>
        <v>7.4099643291421994E-4</v>
      </c>
      <c r="V351" s="3">
        <f t="shared" si="50"/>
        <v>0.20516953870750204</v>
      </c>
      <c r="W351" s="3">
        <f t="shared" si="53"/>
        <v>0.82067815483000817</v>
      </c>
      <c r="Y351" s="3">
        <f t="shared" si="51"/>
        <v>0.21527215647202266</v>
      </c>
      <c r="Z351" s="3">
        <f t="shared" si="54"/>
        <v>0.86108862588809065</v>
      </c>
      <c r="AB351" s="3">
        <f>$AC$2*($AC$3+$AC$4*$F351/($N351*'Dataset sem TS MC2020'!P343))*($AC$5*$G351+$AC$6*$B351/$N351)*'Dataset sem TS MC2020'!R343*($J351-$M351)/($J351-$M351-$H351)</f>
        <v>0.14438008532206004</v>
      </c>
      <c r="AC351" s="3">
        <f t="shared" si="55"/>
        <v>0.57752034128824015</v>
      </c>
      <c r="AD351" s="16">
        <f t="shared" si="56"/>
        <v>-0.10561991467793996</v>
      </c>
      <c r="AE351" s="17">
        <f t="shared" si="57"/>
        <v>1.7315407415249819</v>
      </c>
      <c r="AF351" s="17">
        <f>AB351*(14.068*'Dataset sem TS MC2020'!$P343^-0.457)/$Q351</f>
        <v>0.75017634305003578</v>
      </c>
      <c r="AG351" s="17"/>
      <c r="AO351" s="3">
        <f>$AP$2*($AP$3+$AP$4*$F351/($N351*'Dataset sem TS MC2020'!P343))*($AP$5*$G351+$AP$6*$B351/$N351)*('Dataset sem TS MC2020'!P343^$AP$7/200000)*($J351-$M351)/($J351-$M351-$H351)+('Dataset sem TS MC2020'!P343-$C351/$AP$8)*($AP$5*$G351+$AP$6*$B351/$N351)/200000</f>
        <v>0.16246279201388969</v>
      </c>
      <c r="AP351" s="3">
        <f t="shared" si="58"/>
        <v>0.64985116805555876</v>
      </c>
      <c r="AQ351" s="16">
        <f t="shared" si="59"/>
        <v>-8.753720798611031E-2</v>
      </c>
    </row>
    <row r="352" spans="1:43" x14ac:dyDescent="0.3">
      <c r="Y352" s="1"/>
      <c r="Z352" s="1"/>
      <c r="AB352" s="1"/>
      <c r="AC352" s="1"/>
      <c r="AO352" s="1"/>
      <c r="AP352" s="1"/>
    </row>
    <row r="353" spans="22:43" x14ac:dyDescent="0.3">
      <c r="V353" s="1" t="s">
        <v>115</v>
      </c>
      <c r="W353" s="3">
        <f>AVERAGE(W11:W351)</f>
        <v>1.0652409073097824</v>
      </c>
      <c r="Y353" s="1" t="s">
        <v>115</v>
      </c>
      <c r="Z353" s="3">
        <f>AVERAGE(Z11:Z351)</f>
        <v>1.0675142233713273</v>
      </c>
      <c r="AB353" s="1" t="s">
        <v>115</v>
      </c>
      <c r="AC353" s="3">
        <f>AVERAGE(AC11:AC351)</f>
        <v>1.0194268159892002</v>
      </c>
      <c r="AD353" s="3"/>
      <c r="AE353" s="1"/>
      <c r="AF353" s="3">
        <f>AVERAGE(AF11:AF351)</f>
        <v>1.0539994946115856</v>
      </c>
      <c r="AG353" s="3"/>
      <c r="AO353" s="1" t="s">
        <v>115</v>
      </c>
      <c r="AP353" s="3">
        <f>AVERAGE(AP11:AP351)</f>
        <v>1.0662698376307704</v>
      </c>
      <c r="AQ353" s="3"/>
    </row>
    <row r="354" spans="22:43" x14ac:dyDescent="0.3">
      <c r="V354" s="1" t="s">
        <v>116</v>
      </c>
      <c r="W354" s="3">
        <f>_xlfn.STDEV.S(W11:W351)</f>
        <v>0.31483715257810913</v>
      </c>
      <c r="Y354" s="1" t="s">
        <v>116</v>
      </c>
      <c r="Z354" s="3">
        <f>_xlfn.STDEV.S(Z11:Z351)</f>
        <v>0.31565655250069669</v>
      </c>
      <c r="AB354" s="1" t="s">
        <v>116</v>
      </c>
      <c r="AC354" s="3">
        <f>_xlfn.STDEV.S(AC11:AC351)</f>
        <v>0.34009157730415668</v>
      </c>
      <c r="AD354" s="3"/>
      <c r="AE354" s="1"/>
      <c r="AF354" s="3">
        <f>_xlfn.STDEV.S(AF11:AF351)</f>
        <v>0.32239889836071883</v>
      </c>
      <c r="AG354" s="3"/>
      <c r="AO354" s="1" t="s">
        <v>116</v>
      </c>
      <c r="AP354" s="3">
        <f>_xlfn.STDEV.S(AP11:AP351)</f>
        <v>0.34990480671374158</v>
      </c>
      <c r="AQ354" s="3"/>
    </row>
    <row r="355" spans="22:43" x14ac:dyDescent="0.3">
      <c r="V355" s="1" t="s">
        <v>107</v>
      </c>
      <c r="W355" s="7">
        <f>W354/W353</f>
        <v>0.2955548837992113</v>
      </c>
      <c r="Y355" s="1" t="s">
        <v>107</v>
      </c>
      <c r="Z355" s="7">
        <f>Z354/Z353</f>
        <v>0.29569306486972941</v>
      </c>
      <c r="AB355" s="1" t="s">
        <v>107</v>
      </c>
      <c r="AC355" s="7">
        <f>AC354/AC353</f>
        <v>0.3336105858409748</v>
      </c>
      <c r="AE355" s="1"/>
      <c r="AF355" s="7">
        <f>AF354/AF353</f>
        <v>0.3058814544114441</v>
      </c>
      <c r="AG355" s="7"/>
      <c r="AO355" s="1" t="s">
        <v>107</v>
      </c>
      <c r="AP355" s="7">
        <f>AP354/AP353</f>
        <v>0.32815783994342634</v>
      </c>
    </row>
  </sheetData>
  <mergeCells count="1">
    <mergeCell ref="B9:P9"/>
  </mergeCells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C57D3-1E35-4D72-A57E-7F3918940E89}">
  <dimension ref="A1:W347"/>
  <sheetViews>
    <sheetView topLeftCell="M1" zoomScale="120" zoomScaleNormal="120" workbookViewId="0">
      <selection activeCell="V11" sqref="V11"/>
    </sheetView>
  </sheetViews>
  <sheetFormatPr defaultRowHeight="14.4" x14ac:dyDescent="0.3"/>
  <cols>
    <col min="1" max="1" width="33.109375" bestFit="1" customWidth="1"/>
    <col min="2" max="2" width="24.77734375" style="1" bestFit="1" customWidth="1"/>
    <col min="3" max="3" width="24.77734375" style="5" customWidth="1"/>
    <col min="4" max="4" width="29.6640625" style="1" bestFit="1" customWidth="1"/>
    <col min="5" max="5" width="29.33203125" style="4" bestFit="1" customWidth="1"/>
    <col min="6" max="6" width="36.77734375" style="3" bestFit="1" customWidth="1"/>
    <col min="7" max="7" width="16.44140625" style="1" bestFit="1" customWidth="1"/>
    <col min="8" max="8" width="44.5546875" style="1" bestFit="1" customWidth="1"/>
    <col min="9" max="9" width="20.44140625" style="1" bestFit="1" customWidth="1"/>
    <col min="10" max="10" width="19.77734375" style="1" bestFit="1" customWidth="1"/>
    <col min="11" max="11" width="29.77734375" style="1" bestFit="1" customWidth="1"/>
    <col min="12" max="12" width="31.21875" style="1" bestFit="1" customWidth="1"/>
    <col min="13" max="13" width="30.6640625" style="5" bestFit="1" customWidth="1"/>
    <col min="14" max="14" width="16.33203125" style="8" bestFit="1" customWidth="1"/>
    <col min="15" max="15" width="23.21875" style="8" bestFit="1" customWidth="1"/>
    <col min="16" max="16" width="22.6640625" style="5" bestFit="1" customWidth="1"/>
    <col min="17" max="17" width="9.6640625" style="3" bestFit="1" customWidth="1"/>
    <col min="18" max="18" width="22.109375" style="12" bestFit="1" customWidth="1"/>
    <col min="22" max="23" width="8.88671875" style="1"/>
  </cols>
  <sheetData>
    <row r="1" spans="1:23" x14ac:dyDescent="0.3">
      <c r="A1" t="s">
        <v>0</v>
      </c>
      <c r="B1" s="29" t="s">
        <v>1</v>
      </c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3" t="s">
        <v>2</v>
      </c>
    </row>
    <row r="2" spans="1:23" ht="16.8" x14ac:dyDescent="0.3">
      <c r="B2" s="1" t="s">
        <v>96</v>
      </c>
      <c r="C2" s="5" t="s">
        <v>130</v>
      </c>
      <c r="D2" s="1" t="s">
        <v>3</v>
      </c>
      <c r="E2" s="4" t="s">
        <v>4</v>
      </c>
      <c r="F2" s="3" t="s">
        <v>97</v>
      </c>
      <c r="G2" s="1" t="s">
        <v>98</v>
      </c>
      <c r="H2" s="1" t="s">
        <v>99</v>
      </c>
      <c r="I2" s="1" t="s">
        <v>125</v>
      </c>
      <c r="J2" s="9" t="s">
        <v>117</v>
      </c>
      <c r="K2" s="9" t="s">
        <v>118</v>
      </c>
      <c r="L2" s="9" t="s">
        <v>119</v>
      </c>
      <c r="M2" s="10" t="s">
        <v>120</v>
      </c>
      <c r="N2" s="8" t="s">
        <v>100</v>
      </c>
      <c r="O2" s="8" t="s">
        <v>127</v>
      </c>
      <c r="P2" s="5" t="s">
        <v>101</v>
      </c>
      <c r="Q2" s="3" t="s">
        <v>102</v>
      </c>
      <c r="R2" s="13" t="s">
        <v>123</v>
      </c>
    </row>
    <row r="3" spans="1:23" x14ac:dyDescent="0.3">
      <c r="A3" t="s">
        <v>5</v>
      </c>
      <c r="B3" s="1">
        <v>20</v>
      </c>
      <c r="C3" s="5">
        <v>500</v>
      </c>
      <c r="D3" s="1">
        <v>2</v>
      </c>
      <c r="E3" s="4">
        <v>126</v>
      </c>
      <c r="F3" s="3">
        <v>4.1203405239014401</v>
      </c>
      <c r="G3" s="1">
        <v>25</v>
      </c>
      <c r="H3" s="1">
        <v>39</v>
      </c>
      <c r="I3" s="1">
        <v>216</v>
      </c>
      <c r="J3" s="1">
        <v>201</v>
      </c>
      <c r="K3" s="1">
        <v>628</v>
      </c>
      <c r="L3" s="1">
        <v>29484</v>
      </c>
      <c r="M3" s="5">
        <v>57.361776585620262</v>
      </c>
      <c r="N3" s="8">
        <v>2.1299687966354633E-2</v>
      </c>
      <c r="O3" s="3">
        <v>20.8</v>
      </c>
      <c r="P3" s="5">
        <v>231.81100493873356</v>
      </c>
      <c r="Q3" s="3">
        <v>0.16</v>
      </c>
      <c r="R3" s="12">
        <f>P3/200000</f>
        <v>1.1590550246936679E-3</v>
      </c>
      <c r="V3" s="3"/>
      <c r="W3" s="3"/>
    </row>
    <row r="4" spans="1:23" x14ac:dyDescent="0.3">
      <c r="B4" s="1">
        <v>20</v>
      </c>
      <c r="C4" s="5">
        <v>500</v>
      </c>
      <c r="D4" s="1">
        <v>2</v>
      </c>
      <c r="E4" s="4">
        <v>126</v>
      </c>
      <c r="F4" s="3">
        <v>4.1203405239014401</v>
      </c>
      <c r="G4" s="1">
        <v>25</v>
      </c>
      <c r="H4" s="1">
        <v>39</v>
      </c>
      <c r="I4" s="1">
        <v>216</v>
      </c>
      <c r="J4" s="1">
        <v>201</v>
      </c>
      <c r="K4" s="1">
        <v>628</v>
      </c>
      <c r="L4" s="1">
        <v>29484</v>
      </c>
      <c r="M4" s="5">
        <v>57.361776585620262</v>
      </c>
      <c r="N4" s="8">
        <v>2.1299687966354633E-2</v>
      </c>
      <c r="O4" s="3">
        <v>27.3</v>
      </c>
      <c r="P4" s="5">
        <v>304.25194398208777</v>
      </c>
      <c r="Q4" s="3">
        <v>0.23</v>
      </c>
      <c r="R4" s="12">
        <f t="shared" ref="R4:R67" si="0">P4/200000</f>
        <v>1.5212597199104388E-3</v>
      </c>
      <c r="V4" s="3"/>
      <c r="W4" s="3"/>
    </row>
    <row r="5" spans="1:23" x14ac:dyDescent="0.3">
      <c r="B5" s="1">
        <v>20</v>
      </c>
      <c r="C5" s="5">
        <v>500</v>
      </c>
      <c r="D5" s="1">
        <v>2</v>
      </c>
      <c r="E5" s="4">
        <v>126</v>
      </c>
      <c r="F5" s="3">
        <v>4.1203405239014401</v>
      </c>
      <c r="G5" s="1">
        <v>25</v>
      </c>
      <c r="H5" s="1">
        <v>39</v>
      </c>
      <c r="I5" s="1">
        <v>216</v>
      </c>
      <c r="J5" s="1">
        <v>201</v>
      </c>
      <c r="K5" s="1">
        <v>628</v>
      </c>
      <c r="L5" s="1">
        <v>29484</v>
      </c>
      <c r="M5" s="5">
        <v>57.361776585620262</v>
      </c>
      <c r="N5" s="8">
        <v>2.1299687966354633E-2</v>
      </c>
      <c r="O5" s="3">
        <v>28.2</v>
      </c>
      <c r="P5" s="5">
        <v>314.28222784962912</v>
      </c>
      <c r="Q5" s="3">
        <v>0.24</v>
      </c>
      <c r="R5" s="12">
        <f t="shared" si="0"/>
        <v>1.5714111392481456E-3</v>
      </c>
      <c r="V5" s="3"/>
      <c r="W5" s="3"/>
    </row>
    <row r="6" spans="1:23" x14ac:dyDescent="0.3">
      <c r="B6" s="1">
        <v>20</v>
      </c>
      <c r="C6" s="5">
        <v>500</v>
      </c>
      <c r="D6" s="1">
        <v>2</v>
      </c>
      <c r="E6" s="4">
        <v>126</v>
      </c>
      <c r="F6" s="3">
        <v>4.1203405239014401</v>
      </c>
      <c r="G6" s="1">
        <v>25</v>
      </c>
      <c r="H6" s="1">
        <v>39</v>
      </c>
      <c r="I6" s="1">
        <v>216</v>
      </c>
      <c r="J6" s="1">
        <v>201</v>
      </c>
      <c r="K6" s="1">
        <v>628</v>
      </c>
      <c r="L6" s="1">
        <v>29484</v>
      </c>
      <c r="M6" s="5">
        <v>57.361776585620262</v>
      </c>
      <c r="N6" s="8">
        <v>2.1299687966354633E-2</v>
      </c>
      <c r="O6" s="3">
        <v>32.6</v>
      </c>
      <c r="P6" s="5">
        <v>363.31917120205361</v>
      </c>
      <c r="Q6" s="3">
        <v>0.27</v>
      </c>
      <c r="R6" s="12">
        <f t="shared" si="0"/>
        <v>1.8165958560102682E-3</v>
      </c>
      <c r="V6" s="3"/>
      <c r="W6" s="3"/>
    </row>
    <row r="7" spans="1:23" x14ac:dyDescent="0.3">
      <c r="B7" s="1">
        <v>20</v>
      </c>
      <c r="C7" s="5">
        <v>500</v>
      </c>
      <c r="D7" s="1">
        <v>2</v>
      </c>
      <c r="E7" s="4">
        <v>126</v>
      </c>
      <c r="F7" s="3">
        <v>4.1203405239014401</v>
      </c>
      <c r="G7" s="1">
        <v>25</v>
      </c>
      <c r="H7" s="1">
        <v>39</v>
      </c>
      <c r="I7" s="1">
        <v>216</v>
      </c>
      <c r="J7" s="1">
        <v>201</v>
      </c>
      <c r="K7" s="1">
        <v>628</v>
      </c>
      <c r="L7" s="1">
        <v>29484</v>
      </c>
      <c r="M7" s="5">
        <v>57.361776585620262</v>
      </c>
      <c r="N7" s="8">
        <v>2.1299687966354633E-2</v>
      </c>
      <c r="O7" s="3">
        <v>41.2</v>
      </c>
      <c r="P7" s="5">
        <v>459.16410593633765</v>
      </c>
      <c r="Q7" s="3">
        <v>0.35</v>
      </c>
      <c r="R7" s="12">
        <f t="shared" si="0"/>
        <v>2.2958205296816883E-3</v>
      </c>
      <c r="V7" s="3"/>
      <c r="W7" s="3"/>
    </row>
    <row r="8" spans="1:23" x14ac:dyDescent="0.3">
      <c r="B8" s="1">
        <v>20</v>
      </c>
      <c r="C8" s="5">
        <v>500</v>
      </c>
      <c r="D8" s="1">
        <v>2</v>
      </c>
      <c r="E8" s="4">
        <v>126</v>
      </c>
      <c r="F8" s="3">
        <v>4.1203405239014401</v>
      </c>
      <c r="G8" s="1">
        <v>25</v>
      </c>
      <c r="H8" s="1">
        <v>39</v>
      </c>
      <c r="I8" s="1">
        <v>216</v>
      </c>
      <c r="J8" s="1">
        <v>201</v>
      </c>
      <c r="K8" s="1">
        <v>628</v>
      </c>
      <c r="L8" s="1">
        <v>29484</v>
      </c>
      <c r="M8" s="5">
        <v>57.361776585620262</v>
      </c>
      <c r="N8" s="8">
        <v>2.1299687966354633E-2</v>
      </c>
      <c r="O8" s="3">
        <v>44.9</v>
      </c>
      <c r="P8" s="5">
        <v>500</v>
      </c>
      <c r="Q8" s="3">
        <v>0.4</v>
      </c>
      <c r="R8" s="12">
        <f t="shared" si="0"/>
        <v>2.5000000000000001E-3</v>
      </c>
      <c r="V8" s="3"/>
      <c r="W8" s="3"/>
    </row>
    <row r="9" spans="1:23" x14ac:dyDescent="0.3">
      <c r="A9" t="s">
        <v>6</v>
      </c>
      <c r="B9" s="1">
        <v>10</v>
      </c>
      <c r="C9" s="5">
        <v>500</v>
      </c>
      <c r="D9" s="1">
        <v>8</v>
      </c>
      <c r="E9" s="4">
        <v>87.7</v>
      </c>
      <c r="F9" s="3">
        <v>4.1311267633290143</v>
      </c>
      <c r="G9" s="1">
        <v>25</v>
      </c>
      <c r="H9" s="1">
        <v>53</v>
      </c>
      <c r="I9" s="1">
        <v>308</v>
      </c>
      <c r="J9" s="1">
        <v>604</v>
      </c>
      <c r="K9" s="1">
        <v>628</v>
      </c>
      <c r="L9" s="1">
        <v>43428</v>
      </c>
      <c r="M9" s="5">
        <v>99.696400381800601</v>
      </c>
      <c r="N9" s="8">
        <v>1.4460716588376162E-2</v>
      </c>
      <c r="O9" s="3">
        <v>105</v>
      </c>
      <c r="P9" s="5">
        <v>322.91971563781163</v>
      </c>
      <c r="Q9" s="3">
        <v>0.16</v>
      </c>
      <c r="R9" s="12">
        <f t="shared" si="0"/>
        <v>1.6145985781890581E-3</v>
      </c>
      <c r="V9" s="3"/>
      <c r="W9" s="3"/>
    </row>
    <row r="10" spans="1:23" x14ac:dyDescent="0.3">
      <c r="B10" s="1">
        <v>10</v>
      </c>
      <c r="C10" s="5">
        <v>500</v>
      </c>
      <c r="D10" s="1">
        <v>8</v>
      </c>
      <c r="E10" s="4">
        <v>87.7</v>
      </c>
      <c r="F10" s="3">
        <v>4.1311267633290143</v>
      </c>
      <c r="G10" s="1">
        <v>25</v>
      </c>
      <c r="H10" s="1">
        <v>53</v>
      </c>
      <c r="I10" s="1">
        <v>308</v>
      </c>
      <c r="J10" s="1">
        <v>604</v>
      </c>
      <c r="K10" s="1">
        <v>628</v>
      </c>
      <c r="L10" s="1">
        <v>43428</v>
      </c>
      <c r="M10" s="5">
        <v>99.696400381800601</v>
      </c>
      <c r="N10" s="8">
        <v>1.4460716588376162E-2</v>
      </c>
      <c r="O10" s="3">
        <v>119.6</v>
      </c>
      <c r="P10" s="5">
        <v>367.82093324078352</v>
      </c>
      <c r="Q10" s="3">
        <v>0.18</v>
      </c>
      <c r="R10" s="12">
        <f t="shared" si="0"/>
        <v>1.8391046662039176E-3</v>
      </c>
      <c r="V10" s="3"/>
      <c r="W10" s="3"/>
    </row>
    <row r="11" spans="1:23" x14ac:dyDescent="0.3">
      <c r="B11" s="1">
        <v>10</v>
      </c>
      <c r="C11" s="5">
        <v>500</v>
      </c>
      <c r="D11" s="1">
        <v>8</v>
      </c>
      <c r="E11" s="4">
        <v>87.7</v>
      </c>
      <c r="F11" s="3">
        <v>4.1311267633290143</v>
      </c>
      <c r="G11" s="1">
        <v>25</v>
      </c>
      <c r="H11" s="1">
        <v>53</v>
      </c>
      <c r="I11" s="1">
        <v>308</v>
      </c>
      <c r="J11" s="1">
        <v>604</v>
      </c>
      <c r="K11" s="1">
        <v>628</v>
      </c>
      <c r="L11" s="1">
        <v>43428</v>
      </c>
      <c r="M11" s="5">
        <v>99.696400381800601</v>
      </c>
      <c r="N11" s="8">
        <v>1.4460716588376162E-2</v>
      </c>
      <c r="O11" s="3">
        <v>174.3</v>
      </c>
      <c r="P11" s="5">
        <v>500</v>
      </c>
      <c r="Q11" s="3">
        <v>0.26</v>
      </c>
      <c r="R11" s="12">
        <f t="shared" si="0"/>
        <v>2.5000000000000001E-3</v>
      </c>
      <c r="V11" s="3"/>
      <c r="W11" s="3"/>
    </row>
    <row r="12" spans="1:23" x14ac:dyDescent="0.3">
      <c r="A12" t="s">
        <v>7</v>
      </c>
      <c r="B12" s="1">
        <v>10</v>
      </c>
      <c r="C12" s="5">
        <v>628</v>
      </c>
      <c r="D12" s="1">
        <v>4</v>
      </c>
      <c r="E12" s="4">
        <v>32.466666666666669</v>
      </c>
      <c r="F12" s="3">
        <v>3.262</v>
      </c>
      <c r="G12" s="1">
        <v>25</v>
      </c>
      <c r="H12" s="1">
        <v>36</v>
      </c>
      <c r="I12" s="1">
        <v>200</v>
      </c>
      <c r="J12" s="1">
        <v>600</v>
      </c>
      <c r="K12" s="1">
        <v>314</v>
      </c>
      <c r="L12" s="1">
        <v>17200</v>
      </c>
      <c r="M12" s="5">
        <v>95.721926864521535</v>
      </c>
      <c r="N12" s="8">
        <v>1.8255813953488371E-2</v>
      </c>
      <c r="O12" s="3">
        <v>47.625</v>
      </c>
      <c r="P12" s="5">
        <v>285.04803218471648</v>
      </c>
      <c r="Q12" s="3">
        <v>0.16</v>
      </c>
      <c r="R12" s="12">
        <f t="shared" si="0"/>
        <v>1.4252401609235823E-3</v>
      </c>
      <c r="V12" s="3"/>
      <c r="W12" s="3"/>
    </row>
    <row r="13" spans="1:23" x14ac:dyDescent="0.3">
      <c r="B13" s="1">
        <v>10</v>
      </c>
      <c r="C13" s="5">
        <v>628</v>
      </c>
      <c r="D13" s="1">
        <v>4</v>
      </c>
      <c r="E13" s="4">
        <v>32.466666666666669</v>
      </c>
      <c r="F13" s="3">
        <v>3.262</v>
      </c>
      <c r="G13" s="1">
        <v>25</v>
      </c>
      <c r="H13" s="1">
        <v>36</v>
      </c>
      <c r="I13" s="1">
        <v>200</v>
      </c>
      <c r="J13" s="1">
        <v>600</v>
      </c>
      <c r="K13" s="1">
        <v>314</v>
      </c>
      <c r="L13" s="1">
        <v>17200</v>
      </c>
      <c r="M13" s="5">
        <v>95.721926864521535</v>
      </c>
      <c r="N13" s="8">
        <v>1.8255813953488371E-2</v>
      </c>
      <c r="O13" s="3">
        <v>54.300000000000004</v>
      </c>
      <c r="P13" s="5">
        <v>324.99964614446418</v>
      </c>
      <c r="Q13" s="3">
        <v>0.2</v>
      </c>
      <c r="R13" s="12">
        <f t="shared" si="0"/>
        <v>1.6249982307223209E-3</v>
      </c>
      <c r="V13" s="3"/>
      <c r="W13" s="3"/>
    </row>
    <row r="14" spans="1:23" x14ac:dyDescent="0.3">
      <c r="B14" s="1">
        <v>10</v>
      </c>
      <c r="C14" s="5">
        <v>628</v>
      </c>
      <c r="D14" s="1">
        <v>4</v>
      </c>
      <c r="E14" s="4">
        <v>32.466666666666669</v>
      </c>
      <c r="F14" s="3">
        <v>3.262</v>
      </c>
      <c r="G14" s="1">
        <v>25</v>
      </c>
      <c r="H14" s="1">
        <v>36</v>
      </c>
      <c r="I14" s="1">
        <v>200</v>
      </c>
      <c r="J14" s="1">
        <v>600</v>
      </c>
      <c r="K14" s="1">
        <v>314</v>
      </c>
      <c r="L14" s="1">
        <v>17200</v>
      </c>
      <c r="M14" s="5">
        <v>95.721926864521535</v>
      </c>
      <c r="N14" s="8">
        <v>1.8255813953488371E-2</v>
      </c>
      <c r="O14" s="3">
        <v>61.425000000000004</v>
      </c>
      <c r="P14" s="5">
        <v>367.6446273374533</v>
      </c>
      <c r="Q14" s="3">
        <v>0.2</v>
      </c>
      <c r="R14" s="12">
        <f t="shared" si="0"/>
        <v>1.8382231366872665E-3</v>
      </c>
      <c r="V14" s="3"/>
      <c r="W14" s="3"/>
    </row>
    <row r="15" spans="1:23" x14ac:dyDescent="0.3">
      <c r="B15" s="1">
        <v>10</v>
      </c>
      <c r="C15" s="5">
        <v>628</v>
      </c>
      <c r="D15" s="1">
        <v>4</v>
      </c>
      <c r="E15" s="4">
        <v>32.466666666666669</v>
      </c>
      <c r="F15" s="3">
        <v>3.262</v>
      </c>
      <c r="G15" s="1">
        <v>25</v>
      </c>
      <c r="H15" s="1">
        <v>36</v>
      </c>
      <c r="I15" s="1">
        <v>200</v>
      </c>
      <c r="J15" s="1">
        <v>600</v>
      </c>
      <c r="K15" s="1">
        <v>314</v>
      </c>
      <c r="L15" s="1">
        <v>17200</v>
      </c>
      <c r="M15" s="5">
        <v>95.721926864521535</v>
      </c>
      <c r="N15" s="8">
        <v>1.8255813953488371E-2</v>
      </c>
      <c r="O15" s="3">
        <v>68.625</v>
      </c>
      <c r="P15" s="5">
        <v>410.73850306931587</v>
      </c>
      <c r="Q15" s="3">
        <v>0.24</v>
      </c>
      <c r="R15" s="12">
        <f t="shared" si="0"/>
        <v>2.0536925153465794E-3</v>
      </c>
      <c r="V15" s="3"/>
      <c r="W15" s="3"/>
    </row>
    <row r="16" spans="1:23" x14ac:dyDescent="0.3">
      <c r="B16" s="1">
        <v>10</v>
      </c>
      <c r="C16" s="5">
        <v>628</v>
      </c>
      <c r="D16" s="1">
        <v>4</v>
      </c>
      <c r="E16" s="4">
        <v>32.466666666666669</v>
      </c>
      <c r="F16" s="3">
        <v>3.262</v>
      </c>
      <c r="G16" s="1">
        <v>25</v>
      </c>
      <c r="H16" s="1">
        <v>36</v>
      </c>
      <c r="I16" s="1">
        <v>200</v>
      </c>
      <c r="J16" s="1">
        <v>600</v>
      </c>
      <c r="K16" s="1">
        <v>314</v>
      </c>
      <c r="L16" s="1">
        <v>17200</v>
      </c>
      <c r="M16" s="5">
        <v>95.721926864521535</v>
      </c>
      <c r="N16" s="8">
        <v>1.8255813953488371E-2</v>
      </c>
      <c r="O16" s="3">
        <v>73.275000000000006</v>
      </c>
      <c r="P16" s="5">
        <v>438.56996447947728</v>
      </c>
      <c r="Q16" s="3">
        <v>0.3</v>
      </c>
      <c r="R16" s="12">
        <f t="shared" si="0"/>
        <v>2.1928498223973865E-3</v>
      </c>
      <c r="V16" s="3"/>
      <c r="W16" s="3"/>
    </row>
    <row r="17" spans="1:23" x14ac:dyDescent="0.3">
      <c r="B17" s="1">
        <v>10</v>
      </c>
      <c r="C17" s="5">
        <v>628</v>
      </c>
      <c r="D17" s="1">
        <v>4</v>
      </c>
      <c r="E17" s="4">
        <v>32.466666666666669</v>
      </c>
      <c r="F17" s="3">
        <v>3.262</v>
      </c>
      <c r="G17" s="1">
        <v>25</v>
      </c>
      <c r="H17" s="1">
        <v>36</v>
      </c>
      <c r="I17" s="1">
        <v>200</v>
      </c>
      <c r="J17" s="1">
        <v>600</v>
      </c>
      <c r="K17" s="1">
        <v>314</v>
      </c>
      <c r="L17" s="1">
        <v>17200</v>
      </c>
      <c r="M17" s="5">
        <v>95.721926864521535</v>
      </c>
      <c r="N17" s="8">
        <v>1.8255813953488371E-2</v>
      </c>
      <c r="O17" s="3">
        <v>83.25</v>
      </c>
      <c r="P17" s="5">
        <v>498.27293814966185</v>
      </c>
      <c r="Q17" s="3">
        <v>0.32</v>
      </c>
      <c r="R17" s="12">
        <f t="shared" si="0"/>
        <v>2.4913646907483091E-3</v>
      </c>
      <c r="V17" s="3"/>
      <c r="W17" s="3"/>
    </row>
    <row r="18" spans="1:23" x14ac:dyDescent="0.3">
      <c r="B18" s="1">
        <v>10</v>
      </c>
      <c r="C18" s="5">
        <v>628</v>
      </c>
      <c r="D18" s="1">
        <v>4</v>
      </c>
      <c r="E18" s="4">
        <v>32.466666666666669</v>
      </c>
      <c r="F18" s="3">
        <v>3.262</v>
      </c>
      <c r="G18" s="1">
        <v>25</v>
      </c>
      <c r="H18" s="1">
        <v>36</v>
      </c>
      <c r="I18" s="1">
        <v>200</v>
      </c>
      <c r="J18" s="1">
        <v>600</v>
      </c>
      <c r="K18" s="1">
        <v>314</v>
      </c>
      <c r="L18" s="1">
        <v>17200</v>
      </c>
      <c r="M18" s="5">
        <v>95.721926864521535</v>
      </c>
      <c r="N18" s="8">
        <v>1.8255813953488371E-2</v>
      </c>
      <c r="O18" s="3">
        <v>84</v>
      </c>
      <c r="P18" s="5">
        <v>502.76188353839768</v>
      </c>
      <c r="Q18" s="3">
        <v>0.38</v>
      </c>
      <c r="R18" s="12">
        <f t="shared" si="0"/>
        <v>2.5138094176919883E-3</v>
      </c>
      <c r="V18" s="3"/>
      <c r="W18" s="3"/>
    </row>
    <row r="19" spans="1:23" x14ac:dyDescent="0.3">
      <c r="B19" s="1">
        <v>10</v>
      </c>
      <c r="C19" s="5">
        <v>628</v>
      </c>
      <c r="D19" s="1">
        <v>4</v>
      </c>
      <c r="E19" s="4">
        <v>32.466666666666669</v>
      </c>
      <c r="F19" s="3">
        <v>3.262</v>
      </c>
      <c r="G19" s="1">
        <v>25</v>
      </c>
      <c r="H19" s="1">
        <v>36</v>
      </c>
      <c r="I19" s="1">
        <v>200</v>
      </c>
      <c r="J19" s="1">
        <v>600</v>
      </c>
      <c r="K19" s="1">
        <v>314</v>
      </c>
      <c r="L19" s="1">
        <v>17200</v>
      </c>
      <c r="M19" s="5">
        <v>95.721926864521535</v>
      </c>
      <c r="N19" s="8">
        <v>1.8255813953488371E-2</v>
      </c>
      <c r="O19" s="3">
        <v>90</v>
      </c>
      <c r="P19" s="5">
        <v>538.67344664828317</v>
      </c>
      <c r="Q19" s="3">
        <v>0.42</v>
      </c>
      <c r="R19" s="12">
        <f t="shared" si="0"/>
        <v>2.6933672332414157E-3</v>
      </c>
      <c r="V19" s="3"/>
      <c r="W19" s="3"/>
    </row>
    <row r="20" spans="1:23" x14ac:dyDescent="0.3">
      <c r="B20" s="1">
        <v>10</v>
      </c>
      <c r="C20" s="5">
        <v>628</v>
      </c>
      <c r="D20" s="1">
        <v>4</v>
      </c>
      <c r="E20" s="4">
        <v>32.466666666666669</v>
      </c>
      <c r="F20" s="3">
        <v>3.262</v>
      </c>
      <c r="G20" s="1">
        <v>25</v>
      </c>
      <c r="H20" s="1">
        <v>36</v>
      </c>
      <c r="I20" s="1">
        <v>200</v>
      </c>
      <c r="J20" s="1">
        <v>600</v>
      </c>
      <c r="K20" s="1">
        <v>314</v>
      </c>
      <c r="L20" s="1">
        <v>17200</v>
      </c>
      <c r="M20" s="5">
        <v>95.721926864521535</v>
      </c>
      <c r="N20" s="8">
        <v>1.8255813953488371E-2</v>
      </c>
      <c r="O20" s="3">
        <v>108</v>
      </c>
      <c r="P20" s="5">
        <v>628</v>
      </c>
      <c r="Q20" s="3">
        <v>0.44</v>
      </c>
      <c r="R20" s="12">
        <f t="shared" si="0"/>
        <v>3.14E-3</v>
      </c>
      <c r="V20" s="3"/>
      <c r="W20" s="3"/>
    </row>
    <row r="21" spans="1:23" x14ac:dyDescent="0.3">
      <c r="B21" s="1">
        <v>10</v>
      </c>
      <c r="C21" s="5">
        <v>628</v>
      </c>
      <c r="D21" s="1">
        <v>4</v>
      </c>
      <c r="E21" s="4">
        <v>32.466666666666669</v>
      </c>
      <c r="F21" s="3">
        <v>3.262</v>
      </c>
      <c r="G21" s="1">
        <v>25</v>
      </c>
      <c r="H21" s="1">
        <v>36</v>
      </c>
      <c r="I21" s="1">
        <v>200</v>
      </c>
      <c r="J21" s="1">
        <v>600</v>
      </c>
      <c r="K21" s="1">
        <v>314</v>
      </c>
      <c r="L21" s="1">
        <v>17200</v>
      </c>
      <c r="M21" s="5">
        <v>95.721926864521535</v>
      </c>
      <c r="N21" s="8">
        <v>1.8255813953488371E-2</v>
      </c>
      <c r="O21" s="3">
        <v>120</v>
      </c>
      <c r="P21" s="5">
        <v>628</v>
      </c>
      <c r="Q21" s="3">
        <v>0.5</v>
      </c>
      <c r="R21" s="12">
        <f t="shared" si="0"/>
        <v>3.14E-3</v>
      </c>
      <c r="V21" s="3"/>
      <c r="W21" s="3"/>
    </row>
    <row r="22" spans="1:23" x14ac:dyDescent="0.3">
      <c r="A22" t="s">
        <v>8</v>
      </c>
      <c r="B22" s="1">
        <v>10</v>
      </c>
      <c r="C22" s="5">
        <v>628</v>
      </c>
      <c r="D22" s="1">
        <v>4</v>
      </c>
      <c r="E22" s="4">
        <v>32.466666666666669</v>
      </c>
      <c r="F22" s="3">
        <v>3.5139999999999993</v>
      </c>
      <c r="G22" s="1">
        <v>25</v>
      </c>
      <c r="H22" s="1">
        <v>36</v>
      </c>
      <c r="I22" s="1">
        <v>200</v>
      </c>
      <c r="J22" s="1">
        <v>600</v>
      </c>
      <c r="K22" s="1">
        <v>314</v>
      </c>
      <c r="L22" s="1">
        <v>17200</v>
      </c>
      <c r="M22" s="5">
        <v>87.120678710097735</v>
      </c>
      <c r="N22" s="8">
        <v>1.8255813953488371E-2</v>
      </c>
      <c r="O22" s="3">
        <v>54</v>
      </c>
      <c r="P22" s="5">
        <v>321.47187644259361</v>
      </c>
      <c r="Q22" s="3">
        <v>0.24</v>
      </c>
      <c r="R22" s="12">
        <f t="shared" si="0"/>
        <v>1.6073593822129681E-3</v>
      </c>
      <c r="V22" s="3"/>
      <c r="W22" s="3"/>
    </row>
    <row r="23" spans="1:23" x14ac:dyDescent="0.3">
      <c r="B23" s="1">
        <v>10</v>
      </c>
      <c r="C23" s="5">
        <v>628</v>
      </c>
      <c r="D23" s="1">
        <v>4</v>
      </c>
      <c r="E23" s="4">
        <v>32.466666666666669</v>
      </c>
      <c r="F23" s="3">
        <v>3.5139999999999993</v>
      </c>
      <c r="G23" s="1">
        <v>25</v>
      </c>
      <c r="H23" s="1">
        <v>36</v>
      </c>
      <c r="I23" s="1">
        <v>200</v>
      </c>
      <c r="J23" s="1">
        <v>600</v>
      </c>
      <c r="K23" s="1">
        <v>314</v>
      </c>
      <c r="L23" s="1">
        <v>17200</v>
      </c>
      <c r="M23" s="5">
        <v>87.120678710097735</v>
      </c>
      <c r="N23" s="8">
        <v>1.8255813953488371E-2</v>
      </c>
      <c r="O23" s="3">
        <v>60</v>
      </c>
      <c r="P23" s="5">
        <v>357.19097382510409</v>
      </c>
      <c r="Q23" s="3">
        <v>0.3</v>
      </c>
      <c r="R23" s="12">
        <f t="shared" si="0"/>
        <v>1.7859548691255204E-3</v>
      </c>
      <c r="V23" s="3"/>
      <c r="W23" s="3"/>
    </row>
    <row r="24" spans="1:23" x14ac:dyDescent="0.3">
      <c r="B24" s="1">
        <v>10</v>
      </c>
      <c r="C24" s="5">
        <v>628</v>
      </c>
      <c r="D24" s="1">
        <v>4</v>
      </c>
      <c r="E24" s="4">
        <v>32.466666666666669</v>
      </c>
      <c r="F24" s="3">
        <v>3.5139999999999993</v>
      </c>
      <c r="G24" s="1">
        <v>25</v>
      </c>
      <c r="H24" s="1">
        <v>36</v>
      </c>
      <c r="I24" s="1">
        <v>200</v>
      </c>
      <c r="J24" s="1">
        <v>600</v>
      </c>
      <c r="K24" s="1">
        <v>314</v>
      </c>
      <c r="L24" s="1">
        <v>17200</v>
      </c>
      <c r="M24" s="5">
        <v>87.120678710097735</v>
      </c>
      <c r="N24" s="8">
        <v>1.8255813953488371E-2</v>
      </c>
      <c r="O24" s="3">
        <v>62.25</v>
      </c>
      <c r="P24" s="5">
        <v>370.58563534354545</v>
      </c>
      <c r="Q24" s="3">
        <v>0.3</v>
      </c>
      <c r="R24" s="12">
        <f t="shared" si="0"/>
        <v>1.8529281767177273E-3</v>
      </c>
      <c r="V24" s="3"/>
      <c r="W24" s="3"/>
    </row>
    <row r="25" spans="1:23" x14ac:dyDescent="0.3">
      <c r="B25" s="1">
        <v>10</v>
      </c>
      <c r="C25" s="5">
        <v>628</v>
      </c>
      <c r="D25" s="1">
        <v>4</v>
      </c>
      <c r="E25" s="4">
        <v>32.466666666666669</v>
      </c>
      <c r="F25" s="3">
        <v>3.5139999999999993</v>
      </c>
      <c r="G25" s="1">
        <v>25</v>
      </c>
      <c r="H25" s="1">
        <v>36</v>
      </c>
      <c r="I25" s="1">
        <v>200</v>
      </c>
      <c r="J25" s="1">
        <v>600</v>
      </c>
      <c r="K25" s="1">
        <v>314</v>
      </c>
      <c r="L25" s="1">
        <v>17200</v>
      </c>
      <c r="M25" s="5">
        <v>87.120678710097735</v>
      </c>
      <c r="N25" s="8">
        <v>1.8255813953488371E-2</v>
      </c>
      <c r="O25" s="3">
        <v>66</v>
      </c>
      <c r="P25" s="5">
        <v>392.91007120761441</v>
      </c>
      <c r="Q25" s="3">
        <v>0.3</v>
      </c>
      <c r="R25" s="12">
        <f t="shared" si="0"/>
        <v>1.9645503560380721E-3</v>
      </c>
      <c r="V25" s="3"/>
      <c r="W25" s="3"/>
    </row>
    <row r="26" spans="1:23" x14ac:dyDescent="0.3">
      <c r="B26" s="1">
        <v>10</v>
      </c>
      <c r="C26" s="5">
        <v>628</v>
      </c>
      <c r="D26" s="1">
        <v>4</v>
      </c>
      <c r="E26" s="4">
        <v>32.466666666666669</v>
      </c>
      <c r="F26" s="3">
        <v>3.5139999999999993</v>
      </c>
      <c r="G26" s="1">
        <v>25</v>
      </c>
      <c r="H26" s="1">
        <v>36</v>
      </c>
      <c r="I26" s="1">
        <v>200</v>
      </c>
      <c r="J26" s="1">
        <v>600</v>
      </c>
      <c r="K26" s="1">
        <v>314</v>
      </c>
      <c r="L26" s="1">
        <v>17200</v>
      </c>
      <c r="M26" s="5">
        <v>87.120678710097735</v>
      </c>
      <c r="N26" s="8">
        <v>1.8255813953488371E-2</v>
      </c>
      <c r="O26" s="3">
        <v>71.25</v>
      </c>
      <c r="P26" s="5">
        <v>424.16428141731097</v>
      </c>
      <c r="Q26" s="3">
        <v>0.38</v>
      </c>
      <c r="R26" s="12">
        <f t="shared" si="0"/>
        <v>2.1208214070865547E-3</v>
      </c>
      <c r="V26" s="3"/>
      <c r="W26" s="3"/>
    </row>
    <row r="27" spans="1:23" x14ac:dyDescent="0.3">
      <c r="B27" s="1">
        <v>10</v>
      </c>
      <c r="C27" s="5">
        <v>628</v>
      </c>
      <c r="D27" s="1">
        <v>4</v>
      </c>
      <c r="E27" s="4">
        <v>32.466666666666669</v>
      </c>
      <c r="F27" s="3">
        <v>3.5139999999999993</v>
      </c>
      <c r="G27" s="1">
        <v>25</v>
      </c>
      <c r="H27" s="1">
        <v>36</v>
      </c>
      <c r="I27" s="1">
        <v>200</v>
      </c>
      <c r="J27" s="1">
        <v>600</v>
      </c>
      <c r="K27" s="1">
        <v>314</v>
      </c>
      <c r="L27" s="1">
        <v>17200</v>
      </c>
      <c r="M27" s="5">
        <v>87.120678710097735</v>
      </c>
      <c r="N27" s="8">
        <v>1.8255813953488371E-2</v>
      </c>
      <c r="O27" s="3">
        <v>82.5</v>
      </c>
      <c r="P27" s="5">
        <v>491.13758900951802</v>
      </c>
      <c r="Q27" s="3">
        <v>0.44</v>
      </c>
      <c r="R27" s="12">
        <f t="shared" si="0"/>
        <v>2.4556879450475903E-3</v>
      </c>
      <c r="V27" s="3"/>
      <c r="W27" s="3"/>
    </row>
    <row r="28" spans="1:23" x14ac:dyDescent="0.3">
      <c r="A28" t="s">
        <v>9</v>
      </c>
      <c r="B28" s="1">
        <v>16</v>
      </c>
      <c r="C28" s="5">
        <v>571</v>
      </c>
      <c r="D28" s="1">
        <v>4</v>
      </c>
      <c r="E28" s="4">
        <v>37</v>
      </c>
      <c r="F28" s="3">
        <v>4.2587999999999999</v>
      </c>
      <c r="G28" s="1">
        <v>20</v>
      </c>
      <c r="H28" s="1">
        <v>54</v>
      </c>
      <c r="I28" s="1">
        <v>125</v>
      </c>
      <c r="J28" s="1">
        <v>250</v>
      </c>
      <c r="K28" s="1">
        <v>800</v>
      </c>
      <c r="L28" s="1">
        <v>16000</v>
      </c>
      <c r="M28" s="5">
        <v>87.082518617972042</v>
      </c>
      <c r="N28" s="8">
        <v>0.05</v>
      </c>
      <c r="O28" s="3">
        <v>18.2</v>
      </c>
      <c r="P28" s="5">
        <v>136.24998634844746</v>
      </c>
      <c r="Q28" s="3">
        <v>0.18</v>
      </c>
      <c r="R28" s="12">
        <f t="shared" si="0"/>
        <v>6.8124993174223727E-4</v>
      </c>
      <c r="V28" s="3"/>
      <c r="W28" s="3"/>
    </row>
    <row r="29" spans="1:23" x14ac:dyDescent="0.3">
      <c r="B29" s="1">
        <v>16</v>
      </c>
      <c r="C29" s="5">
        <v>571</v>
      </c>
      <c r="D29" s="1">
        <v>4</v>
      </c>
      <c r="E29" s="4">
        <v>37</v>
      </c>
      <c r="F29" s="3">
        <v>4.2587999999999999</v>
      </c>
      <c r="G29" s="1">
        <v>20</v>
      </c>
      <c r="H29" s="1">
        <v>54</v>
      </c>
      <c r="I29" s="1">
        <v>125</v>
      </c>
      <c r="J29" s="1">
        <v>250</v>
      </c>
      <c r="K29" s="1">
        <v>800</v>
      </c>
      <c r="L29" s="1">
        <v>16000</v>
      </c>
      <c r="M29" s="5">
        <v>87.082518617972042</v>
      </c>
      <c r="N29" s="8">
        <v>0.05</v>
      </c>
      <c r="O29" s="3">
        <v>26.2</v>
      </c>
      <c r="P29" s="5">
        <v>196.14009023787494</v>
      </c>
      <c r="Q29" s="3">
        <v>0.2</v>
      </c>
      <c r="R29" s="12">
        <f t="shared" si="0"/>
        <v>9.8070045118937464E-4</v>
      </c>
      <c r="V29" s="3"/>
      <c r="W29" s="3"/>
    </row>
    <row r="30" spans="1:23" x14ac:dyDescent="0.3">
      <c r="B30" s="1">
        <v>16</v>
      </c>
      <c r="C30" s="5">
        <v>571</v>
      </c>
      <c r="D30" s="1">
        <v>4</v>
      </c>
      <c r="E30" s="4">
        <v>37</v>
      </c>
      <c r="F30" s="3">
        <v>4.2587999999999999</v>
      </c>
      <c r="G30" s="1">
        <v>20</v>
      </c>
      <c r="H30" s="1">
        <v>54</v>
      </c>
      <c r="I30" s="1">
        <v>125</v>
      </c>
      <c r="J30" s="1">
        <v>250</v>
      </c>
      <c r="K30" s="1">
        <v>800</v>
      </c>
      <c r="L30" s="1">
        <v>16000</v>
      </c>
      <c r="M30" s="5">
        <v>87.082518617972042</v>
      </c>
      <c r="N30" s="8">
        <v>0.05</v>
      </c>
      <c r="O30" s="3">
        <v>31.7</v>
      </c>
      <c r="P30" s="5">
        <v>237.31453666185638</v>
      </c>
      <c r="Q30" s="3">
        <v>0.26</v>
      </c>
      <c r="R30" s="12">
        <f t="shared" si="0"/>
        <v>1.1865726833092819E-3</v>
      </c>
      <c r="V30" s="3"/>
      <c r="W30" s="3"/>
    </row>
    <row r="31" spans="1:23" x14ac:dyDescent="0.3">
      <c r="B31" s="1">
        <v>16</v>
      </c>
      <c r="C31" s="5">
        <v>571</v>
      </c>
      <c r="D31" s="1">
        <v>4</v>
      </c>
      <c r="E31" s="4">
        <v>37</v>
      </c>
      <c r="F31" s="3">
        <v>4.2587999999999999</v>
      </c>
      <c r="G31" s="1">
        <v>20</v>
      </c>
      <c r="H31" s="1">
        <v>54</v>
      </c>
      <c r="I31" s="1">
        <v>125</v>
      </c>
      <c r="J31" s="1">
        <v>250</v>
      </c>
      <c r="K31" s="1">
        <v>800</v>
      </c>
      <c r="L31" s="1">
        <v>16000</v>
      </c>
      <c r="M31" s="5">
        <v>87.082518617972042</v>
      </c>
      <c r="N31" s="8">
        <v>0.05</v>
      </c>
      <c r="O31" s="3">
        <v>40.799999999999997</v>
      </c>
      <c r="P31" s="5">
        <v>305.43952983608006</v>
      </c>
      <c r="Q31" s="3">
        <v>0.44</v>
      </c>
      <c r="R31" s="12">
        <f t="shared" si="0"/>
        <v>1.5271976491804003E-3</v>
      </c>
      <c r="V31" s="3"/>
      <c r="W31" s="3"/>
    </row>
    <row r="32" spans="1:23" x14ac:dyDescent="0.3">
      <c r="B32" s="1">
        <v>16</v>
      </c>
      <c r="C32" s="5">
        <v>571</v>
      </c>
      <c r="D32" s="1">
        <v>4</v>
      </c>
      <c r="E32" s="4">
        <v>37</v>
      </c>
      <c r="F32" s="3">
        <v>4.2587999999999999</v>
      </c>
      <c r="G32" s="1">
        <v>20</v>
      </c>
      <c r="H32" s="1">
        <v>54</v>
      </c>
      <c r="I32" s="1">
        <v>125</v>
      </c>
      <c r="J32" s="1">
        <v>250</v>
      </c>
      <c r="K32" s="1">
        <v>800</v>
      </c>
      <c r="L32" s="1">
        <v>16000</v>
      </c>
      <c r="M32" s="5">
        <v>87.082518617972042</v>
      </c>
      <c r="N32" s="8">
        <v>0.05</v>
      </c>
      <c r="O32" s="3">
        <v>54.1</v>
      </c>
      <c r="P32" s="5">
        <v>405.00682755225324</v>
      </c>
      <c r="Q32" s="3">
        <v>0.6</v>
      </c>
      <c r="R32" s="12">
        <f t="shared" si="0"/>
        <v>2.0250341377612661E-3</v>
      </c>
      <c r="V32" s="3"/>
      <c r="W32" s="3"/>
    </row>
    <row r="33" spans="1:23" x14ac:dyDescent="0.3">
      <c r="A33" t="s">
        <v>10</v>
      </c>
      <c r="B33" s="1">
        <v>12</v>
      </c>
      <c r="C33" s="5">
        <v>500</v>
      </c>
      <c r="D33" s="1">
        <v>4</v>
      </c>
      <c r="E33" s="4">
        <v>79.3</v>
      </c>
      <c r="F33" s="3">
        <v>2.6933292113182881</v>
      </c>
      <c r="G33" s="1">
        <v>20</v>
      </c>
      <c r="H33" s="1">
        <v>38</v>
      </c>
      <c r="I33" s="1">
        <v>350</v>
      </c>
      <c r="J33" s="1">
        <v>450</v>
      </c>
      <c r="K33" s="1">
        <v>452</v>
      </c>
      <c r="L33" s="1">
        <v>34300</v>
      </c>
      <c r="M33" s="5">
        <v>76.169428201642418</v>
      </c>
      <c r="N33" s="8">
        <v>1.3177842565597668E-2</v>
      </c>
      <c r="O33" s="3">
        <v>52.5</v>
      </c>
      <c r="P33" s="5">
        <v>300.43295624924116</v>
      </c>
      <c r="Q33" s="3">
        <v>0.36</v>
      </c>
      <c r="R33" s="12">
        <f t="shared" si="0"/>
        <v>1.5021647812462058E-3</v>
      </c>
      <c r="V33" s="3"/>
      <c r="W33" s="3"/>
    </row>
    <row r="34" spans="1:23" x14ac:dyDescent="0.3">
      <c r="B34" s="1">
        <v>12</v>
      </c>
      <c r="C34" s="5">
        <v>500</v>
      </c>
      <c r="D34" s="1">
        <v>4</v>
      </c>
      <c r="E34" s="4">
        <v>79.3</v>
      </c>
      <c r="F34" s="3">
        <v>2.6933292113182881</v>
      </c>
      <c r="G34" s="1">
        <v>20</v>
      </c>
      <c r="H34" s="1">
        <v>38</v>
      </c>
      <c r="I34" s="1">
        <v>350</v>
      </c>
      <c r="J34" s="1">
        <v>450</v>
      </c>
      <c r="K34" s="1">
        <v>452</v>
      </c>
      <c r="L34" s="1">
        <v>34300</v>
      </c>
      <c r="M34" s="5">
        <v>76.169428201642418</v>
      </c>
      <c r="N34" s="8">
        <v>1.3177842565597668E-2</v>
      </c>
      <c r="O34" s="3">
        <v>67.5</v>
      </c>
      <c r="P34" s="5">
        <v>386.27094374902435</v>
      </c>
      <c r="Q34" s="3">
        <v>0.43</v>
      </c>
      <c r="R34" s="12">
        <f t="shared" si="0"/>
        <v>1.9313547187451217E-3</v>
      </c>
      <c r="V34" s="3"/>
      <c r="W34" s="3"/>
    </row>
    <row r="35" spans="1:23" x14ac:dyDescent="0.3">
      <c r="B35" s="1">
        <v>12</v>
      </c>
      <c r="C35" s="5">
        <v>500</v>
      </c>
      <c r="D35" s="1">
        <v>4</v>
      </c>
      <c r="E35" s="4">
        <v>79.3</v>
      </c>
      <c r="F35" s="3">
        <v>2.6933292113182881</v>
      </c>
      <c r="G35" s="1">
        <v>20</v>
      </c>
      <c r="H35" s="1">
        <v>38</v>
      </c>
      <c r="I35" s="1">
        <v>350</v>
      </c>
      <c r="J35" s="1">
        <v>450</v>
      </c>
      <c r="K35" s="1">
        <v>452</v>
      </c>
      <c r="L35" s="1">
        <v>34300</v>
      </c>
      <c r="M35" s="5">
        <v>76.169428201642418</v>
      </c>
      <c r="N35" s="8">
        <v>1.3177842565597668E-2</v>
      </c>
      <c r="O35" s="3">
        <v>90</v>
      </c>
      <c r="P35" s="5">
        <v>500</v>
      </c>
      <c r="Q35" s="3">
        <v>0.56000000000000005</v>
      </c>
      <c r="R35" s="12">
        <f t="shared" si="0"/>
        <v>2.5000000000000001E-3</v>
      </c>
      <c r="V35" s="3"/>
      <c r="W35" s="3"/>
    </row>
    <row r="36" spans="1:23" x14ac:dyDescent="0.3">
      <c r="B36" s="1">
        <v>12</v>
      </c>
      <c r="C36" s="5">
        <v>500</v>
      </c>
      <c r="D36" s="1">
        <v>4</v>
      </c>
      <c r="E36" s="4">
        <v>79.3</v>
      </c>
      <c r="F36" s="3">
        <v>2.6933292113182881</v>
      </c>
      <c r="G36" s="1">
        <v>20</v>
      </c>
      <c r="H36" s="1">
        <v>38</v>
      </c>
      <c r="I36" s="1">
        <v>350</v>
      </c>
      <c r="J36" s="1">
        <v>450</v>
      </c>
      <c r="K36" s="1">
        <v>452</v>
      </c>
      <c r="L36" s="1">
        <v>34300</v>
      </c>
      <c r="M36" s="5">
        <v>76.169428201642418</v>
      </c>
      <c r="N36" s="8">
        <v>1.3177842565597668E-2</v>
      </c>
      <c r="O36" s="3">
        <v>112.5</v>
      </c>
      <c r="P36" s="5">
        <v>500</v>
      </c>
      <c r="Q36" s="3">
        <v>0.71</v>
      </c>
      <c r="R36" s="12">
        <f t="shared" si="0"/>
        <v>2.5000000000000001E-3</v>
      </c>
      <c r="V36" s="3"/>
      <c r="W36" s="3"/>
    </row>
    <row r="37" spans="1:23" x14ac:dyDescent="0.3">
      <c r="B37" s="1">
        <v>12</v>
      </c>
      <c r="C37" s="5">
        <v>500</v>
      </c>
      <c r="D37" s="1">
        <v>4</v>
      </c>
      <c r="E37" s="4">
        <v>79.3</v>
      </c>
      <c r="F37" s="3">
        <v>2.6933292113182881</v>
      </c>
      <c r="G37" s="1">
        <v>20</v>
      </c>
      <c r="H37" s="1">
        <v>38</v>
      </c>
      <c r="I37" s="1">
        <v>350</v>
      </c>
      <c r="J37" s="1">
        <v>450</v>
      </c>
      <c r="K37" s="1">
        <v>452</v>
      </c>
      <c r="L37" s="1">
        <v>34300</v>
      </c>
      <c r="M37" s="5">
        <v>76.169428201642418</v>
      </c>
      <c r="N37" s="8">
        <v>1.3177842565597668E-2</v>
      </c>
      <c r="O37" s="3">
        <v>120</v>
      </c>
      <c r="P37" s="5">
        <v>500</v>
      </c>
      <c r="Q37" s="3">
        <v>0.79</v>
      </c>
      <c r="R37" s="12">
        <f t="shared" si="0"/>
        <v>2.5000000000000001E-3</v>
      </c>
      <c r="V37" s="3"/>
      <c r="W37" s="3"/>
    </row>
    <row r="38" spans="1:23" x14ac:dyDescent="0.3">
      <c r="A38" t="s">
        <v>11</v>
      </c>
      <c r="B38" s="1">
        <v>25</v>
      </c>
      <c r="C38" s="5">
        <v>500</v>
      </c>
      <c r="D38" s="1">
        <v>4</v>
      </c>
      <c r="E38" s="4">
        <v>62</v>
      </c>
      <c r="F38" s="3">
        <v>2.6933292113182881</v>
      </c>
      <c r="G38" s="1">
        <v>20</v>
      </c>
      <c r="H38" s="1">
        <v>44.5</v>
      </c>
      <c r="I38" s="1">
        <v>350</v>
      </c>
      <c r="J38" s="1">
        <v>450</v>
      </c>
      <c r="K38" s="1">
        <v>1964</v>
      </c>
      <c r="L38" s="1">
        <v>54512.5</v>
      </c>
      <c r="M38" s="5">
        <v>140.9271689293702</v>
      </c>
      <c r="N38" s="8">
        <v>3.6028433845448293E-2</v>
      </c>
      <c r="O38" s="3">
        <v>75</v>
      </c>
      <c r="P38" s="5">
        <v>106.51265522599461</v>
      </c>
      <c r="Q38" s="3">
        <v>0.2</v>
      </c>
      <c r="R38" s="12">
        <f t="shared" si="0"/>
        <v>5.3256327612997306E-4</v>
      </c>
      <c r="V38" s="3"/>
      <c r="W38" s="3"/>
    </row>
    <row r="39" spans="1:23" x14ac:dyDescent="0.3">
      <c r="B39" s="1">
        <v>25</v>
      </c>
      <c r="C39" s="5">
        <v>500</v>
      </c>
      <c r="D39" s="1">
        <v>4</v>
      </c>
      <c r="E39" s="4">
        <v>62</v>
      </c>
      <c r="F39" s="3">
        <v>2.6933292113182881</v>
      </c>
      <c r="G39" s="1">
        <v>20</v>
      </c>
      <c r="H39" s="1">
        <v>44.5</v>
      </c>
      <c r="I39" s="1">
        <v>350</v>
      </c>
      <c r="J39" s="1">
        <v>450</v>
      </c>
      <c r="K39" s="1">
        <v>1964</v>
      </c>
      <c r="L39" s="1">
        <v>54512.5</v>
      </c>
      <c r="M39" s="5">
        <v>140.9271689293702</v>
      </c>
      <c r="N39" s="8">
        <v>3.6028433845448293E-2</v>
      </c>
      <c r="O39" s="3">
        <v>135</v>
      </c>
      <c r="P39" s="5">
        <v>191.72277940679027</v>
      </c>
      <c r="Q39" s="3">
        <v>0.25</v>
      </c>
      <c r="R39" s="12">
        <f t="shared" si="0"/>
        <v>9.5861389703395133E-4</v>
      </c>
      <c r="V39" s="3"/>
      <c r="W39" s="3"/>
    </row>
    <row r="40" spans="1:23" x14ac:dyDescent="0.3">
      <c r="B40" s="1">
        <v>25</v>
      </c>
      <c r="C40" s="5">
        <v>500</v>
      </c>
      <c r="D40" s="1">
        <v>4</v>
      </c>
      <c r="E40" s="4">
        <v>62</v>
      </c>
      <c r="F40" s="3">
        <v>2.6933292113182881</v>
      </c>
      <c r="G40" s="1">
        <v>20</v>
      </c>
      <c r="H40" s="1">
        <v>44.5</v>
      </c>
      <c r="I40" s="1">
        <v>350</v>
      </c>
      <c r="J40" s="1">
        <v>450</v>
      </c>
      <c r="K40" s="1">
        <v>1964</v>
      </c>
      <c r="L40" s="1">
        <v>54512.5</v>
      </c>
      <c r="M40" s="5">
        <v>140.9271689293702</v>
      </c>
      <c r="N40" s="8">
        <v>3.6028433845448293E-2</v>
      </c>
      <c r="O40" s="3">
        <v>195</v>
      </c>
      <c r="P40" s="5">
        <v>276.93290358758594</v>
      </c>
      <c r="Q40" s="3">
        <v>0.36</v>
      </c>
      <c r="R40" s="12">
        <f t="shared" si="0"/>
        <v>1.3846645179379296E-3</v>
      </c>
      <c r="V40" s="3"/>
      <c r="W40" s="3"/>
    </row>
    <row r="41" spans="1:23" x14ac:dyDescent="0.3">
      <c r="B41" s="1">
        <v>25</v>
      </c>
      <c r="C41" s="5">
        <v>500</v>
      </c>
      <c r="D41" s="1">
        <v>4</v>
      </c>
      <c r="E41" s="4">
        <v>62</v>
      </c>
      <c r="F41" s="3">
        <v>2.6933292113182881</v>
      </c>
      <c r="G41" s="1">
        <v>20</v>
      </c>
      <c r="H41" s="1">
        <v>44.5</v>
      </c>
      <c r="I41" s="1">
        <v>350</v>
      </c>
      <c r="J41" s="1">
        <v>450</v>
      </c>
      <c r="K41" s="1">
        <v>1964</v>
      </c>
      <c r="L41" s="1">
        <v>54512.5</v>
      </c>
      <c r="M41" s="5">
        <v>140.9271689293702</v>
      </c>
      <c r="N41" s="8">
        <v>3.6028433845448293E-2</v>
      </c>
      <c r="O41" s="3">
        <v>255</v>
      </c>
      <c r="P41" s="5">
        <v>362.14302776838161</v>
      </c>
      <c r="Q41" s="3">
        <v>0.47</v>
      </c>
      <c r="R41" s="12">
        <f t="shared" si="0"/>
        <v>1.8107151388419081E-3</v>
      </c>
      <c r="V41" s="3"/>
      <c r="W41" s="3"/>
    </row>
    <row r="42" spans="1:23" x14ac:dyDescent="0.3">
      <c r="B42" s="1">
        <v>25</v>
      </c>
      <c r="C42" s="5">
        <v>500</v>
      </c>
      <c r="D42" s="1">
        <v>4</v>
      </c>
      <c r="E42" s="4">
        <v>62</v>
      </c>
      <c r="F42" s="3">
        <v>2.6933292113182881</v>
      </c>
      <c r="G42" s="1">
        <v>20</v>
      </c>
      <c r="H42" s="1">
        <v>44.5</v>
      </c>
      <c r="I42" s="1">
        <v>350</v>
      </c>
      <c r="J42" s="1">
        <v>450</v>
      </c>
      <c r="K42" s="1">
        <v>1964</v>
      </c>
      <c r="L42" s="1">
        <v>54512.5</v>
      </c>
      <c r="M42" s="5">
        <v>140.9271689293702</v>
      </c>
      <c r="N42" s="8">
        <v>3.6028433845448293E-2</v>
      </c>
      <c r="O42" s="3">
        <v>300</v>
      </c>
      <c r="P42" s="5">
        <v>426.05062090397843</v>
      </c>
      <c r="Q42" s="3">
        <v>0.56999999999999995</v>
      </c>
      <c r="R42" s="12">
        <f t="shared" si="0"/>
        <v>2.1302531045198922E-3</v>
      </c>
      <c r="V42" s="3"/>
      <c r="W42" s="3"/>
    </row>
    <row r="43" spans="1:23" x14ac:dyDescent="0.3">
      <c r="B43" s="1">
        <v>25</v>
      </c>
      <c r="C43" s="5">
        <v>500</v>
      </c>
      <c r="D43" s="1">
        <v>4</v>
      </c>
      <c r="E43" s="4">
        <v>62</v>
      </c>
      <c r="F43" s="3">
        <v>2.6933292113182881</v>
      </c>
      <c r="G43" s="1">
        <v>20</v>
      </c>
      <c r="H43" s="1">
        <v>44.5</v>
      </c>
      <c r="I43" s="1">
        <v>350</v>
      </c>
      <c r="J43" s="1">
        <v>450</v>
      </c>
      <c r="K43" s="1">
        <v>1964</v>
      </c>
      <c r="L43" s="1">
        <v>54512.5</v>
      </c>
      <c r="M43" s="5">
        <v>140.9271689293702</v>
      </c>
      <c r="N43" s="8">
        <v>3.6028433845448293E-2</v>
      </c>
      <c r="O43" s="3">
        <v>360</v>
      </c>
      <c r="P43" s="5">
        <v>500</v>
      </c>
      <c r="Q43" s="3">
        <v>0.78</v>
      </c>
      <c r="R43" s="12">
        <f t="shared" si="0"/>
        <v>2.5000000000000001E-3</v>
      </c>
      <c r="V43" s="3"/>
      <c r="W43" s="3"/>
    </row>
    <row r="44" spans="1:23" x14ac:dyDescent="0.3">
      <c r="A44" t="s">
        <v>12</v>
      </c>
      <c r="B44" s="1">
        <v>12</v>
      </c>
      <c r="C44" s="5">
        <v>500</v>
      </c>
      <c r="D44" s="1">
        <v>4</v>
      </c>
      <c r="E44" s="4">
        <v>79.3</v>
      </c>
      <c r="F44" s="3">
        <v>2.6933292113182881</v>
      </c>
      <c r="G44" s="1">
        <v>20</v>
      </c>
      <c r="H44" s="1">
        <v>34</v>
      </c>
      <c r="I44" s="1">
        <v>350</v>
      </c>
      <c r="J44" s="1">
        <v>450</v>
      </c>
      <c r="K44" s="1">
        <v>452</v>
      </c>
      <c r="L44" s="1">
        <v>32900</v>
      </c>
      <c r="M44" s="5">
        <v>76.575869689672942</v>
      </c>
      <c r="N44" s="8">
        <v>1.3738601823708207E-2</v>
      </c>
      <c r="O44" s="3">
        <v>37.5</v>
      </c>
      <c r="P44" s="5">
        <v>212.47112712608967</v>
      </c>
      <c r="Q44" s="3">
        <v>0.21</v>
      </c>
      <c r="R44" s="12">
        <f t="shared" si="0"/>
        <v>1.0623556356304483E-3</v>
      </c>
      <c r="V44" s="3"/>
      <c r="W44" s="3"/>
    </row>
    <row r="45" spans="1:23" x14ac:dyDescent="0.3">
      <c r="B45" s="1">
        <v>12</v>
      </c>
      <c r="C45" s="5">
        <v>500</v>
      </c>
      <c r="D45" s="1">
        <v>4</v>
      </c>
      <c r="E45" s="4">
        <v>79.3</v>
      </c>
      <c r="F45" s="3">
        <v>2.6933292113182881</v>
      </c>
      <c r="G45" s="1">
        <v>20</v>
      </c>
      <c r="H45" s="1">
        <v>34</v>
      </c>
      <c r="I45" s="1">
        <v>350</v>
      </c>
      <c r="J45" s="1">
        <v>450</v>
      </c>
      <c r="K45" s="1">
        <v>452</v>
      </c>
      <c r="L45" s="1">
        <v>32900</v>
      </c>
      <c r="M45" s="5">
        <v>76.575869689672942</v>
      </c>
      <c r="N45" s="8">
        <v>1.3738601823708207E-2</v>
      </c>
      <c r="O45" s="3">
        <v>45</v>
      </c>
      <c r="P45" s="5">
        <v>254.96535255130757</v>
      </c>
      <c r="Q45" s="3">
        <v>0.31</v>
      </c>
      <c r="R45" s="12">
        <f t="shared" si="0"/>
        <v>1.2748267627565378E-3</v>
      </c>
      <c r="V45" s="3"/>
      <c r="W45" s="3"/>
    </row>
    <row r="46" spans="1:23" x14ac:dyDescent="0.3">
      <c r="B46" s="1">
        <v>12</v>
      </c>
      <c r="C46" s="5">
        <v>500</v>
      </c>
      <c r="D46" s="1">
        <v>4</v>
      </c>
      <c r="E46" s="4">
        <v>79.3</v>
      </c>
      <c r="F46" s="3">
        <v>2.6933292113182881</v>
      </c>
      <c r="G46" s="1">
        <v>20</v>
      </c>
      <c r="H46" s="1">
        <v>34</v>
      </c>
      <c r="I46" s="1">
        <v>350</v>
      </c>
      <c r="J46" s="1">
        <v>450</v>
      </c>
      <c r="K46" s="1">
        <v>452</v>
      </c>
      <c r="L46" s="1">
        <v>32900</v>
      </c>
      <c r="M46" s="5">
        <v>76.575869689672942</v>
      </c>
      <c r="N46" s="8">
        <v>1.3738601823708207E-2</v>
      </c>
      <c r="O46" s="3">
        <v>52.5</v>
      </c>
      <c r="P46" s="5">
        <v>297.45957797652545</v>
      </c>
      <c r="Q46" s="3">
        <v>0.38</v>
      </c>
      <c r="R46" s="12">
        <f t="shared" si="0"/>
        <v>1.4872978898826273E-3</v>
      </c>
      <c r="V46" s="3"/>
      <c r="W46" s="3"/>
    </row>
    <row r="47" spans="1:23" x14ac:dyDescent="0.3">
      <c r="B47" s="1">
        <v>12</v>
      </c>
      <c r="C47" s="5">
        <v>500</v>
      </c>
      <c r="D47" s="1">
        <v>4</v>
      </c>
      <c r="E47" s="4">
        <v>79.3</v>
      </c>
      <c r="F47" s="3">
        <v>2.6933292113182881</v>
      </c>
      <c r="G47" s="1">
        <v>20</v>
      </c>
      <c r="H47" s="1">
        <v>34</v>
      </c>
      <c r="I47" s="1">
        <v>350</v>
      </c>
      <c r="J47" s="1">
        <v>450</v>
      </c>
      <c r="K47" s="1">
        <v>452</v>
      </c>
      <c r="L47" s="1">
        <v>32900</v>
      </c>
      <c r="M47" s="5">
        <v>76.575869689672942</v>
      </c>
      <c r="N47" s="8">
        <v>1.3738601823708207E-2</v>
      </c>
      <c r="O47" s="3">
        <v>67.5</v>
      </c>
      <c r="P47" s="5">
        <v>382.44802882696138</v>
      </c>
      <c r="Q47" s="3">
        <v>0.52</v>
      </c>
      <c r="R47" s="12">
        <f t="shared" si="0"/>
        <v>1.9122401441348069E-3</v>
      </c>
      <c r="V47" s="3"/>
      <c r="W47" s="3"/>
    </row>
    <row r="48" spans="1:23" x14ac:dyDescent="0.3">
      <c r="B48" s="1">
        <v>12</v>
      </c>
      <c r="C48" s="5">
        <v>500</v>
      </c>
      <c r="D48" s="1">
        <v>4</v>
      </c>
      <c r="E48" s="4">
        <v>79.3</v>
      </c>
      <c r="F48" s="3">
        <v>2.6933292113182881</v>
      </c>
      <c r="G48" s="1">
        <v>20</v>
      </c>
      <c r="H48" s="1">
        <v>34</v>
      </c>
      <c r="I48" s="1">
        <v>350</v>
      </c>
      <c r="J48" s="1">
        <v>450</v>
      </c>
      <c r="K48" s="1">
        <v>452</v>
      </c>
      <c r="L48" s="1">
        <v>32900</v>
      </c>
      <c r="M48" s="5">
        <v>76.575869689672942</v>
      </c>
      <c r="N48" s="8">
        <v>1.3738601823708207E-2</v>
      </c>
      <c r="O48" s="3">
        <v>90</v>
      </c>
      <c r="P48" s="5">
        <v>500</v>
      </c>
      <c r="Q48" s="3">
        <v>0.74</v>
      </c>
      <c r="R48" s="12">
        <f t="shared" si="0"/>
        <v>2.5000000000000001E-3</v>
      </c>
      <c r="V48" s="3"/>
      <c r="W48" s="3"/>
    </row>
    <row r="49" spans="1:23" x14ac:dyDescent="0.3">
      <c r="A49" t="s">
        <v>13</v>
      </c>
      <c r="B49" s="1">
        <v>12</v>
      </c>
      <c r="C49" s="5">
        <v>500</v>
      </c>
      <c r="D49" s="1">
        <v>4</v>
      </c>
      <c r="E49" s="4">
        <v>79.3</v>
      </c>
      <c r="F49" s="3">
        <v>2.6933292113182881</v>
      </c>
      <c r="G49" s="1">
        <v>20</v>
      </c>
      <c r="H49" s="1">
        <v>34</v>
      </c>
      <c r="I49" s="1">
        <v>350</v>
      </c>
      <c r="J49" s="1">
        <v>450</v>
      </c>
      <c r="K49" s="1">
        <v>452</v>
      </c>
      <c r="L49" s="1">
        <v>32900</v>
      </c>
      <c r="M49" s="5">
        <v>76.575869689672942</v>
      </c>
      <c r="N49" s="8">
        <v>1.3738601823708207E-2</v>
      </c>
      <c r="O49" s="3">
        <v>37.5</v>
      </c>
      <c r="P49" s="5">
        <v>212.47112712608967</v>
      </c>
      <c r="Q49" s="3">
        <v>0.17</v>
      </c>
      <c r="R49" s="12">
        <f t="shared" si="0"/>
        <v>1.0623556356304483E-3</v>
      </c>
      <c r="V49" s="3"/>
      <c r="W49" s="3"/>
    </row>
    <row r="50" spans="1:23" x14ac:dyDescent="0.3">
      <c r="B50" s="1">
        <v>12</v>
      </c>
      <c r="C50" s="5">
        <v>500</v>
      </c>
      <c r="D50" s="1">
        <v>4</v>
      </c>
      <c r="E50" s="4">
        <v>79.3</v>
      </c>
      <c r="F50" s="3">
        <v>2.6933292113182881</v>
      </c>
      <c r="G50" s="1">
        <v>20</v>
      </c>
      <c r="H50" s="1">
        <v>34</v>
      </c>
      <c r="I50" s="1">
        <v>350</v>
      </c>
      <c r="J50" s="1">
        <v>450</v>
      </c>
      <c r="K50" s="1">
        <v>452</v>
      </c>
      <c r="L50" s="1">
        <v>32900</v>
      </c>
      <c r="M50" s="5">
        <v>76.575869689672942</v>
      </c>
      <c r="N50" s="8">
        <v>1.3738601823708207E-2</v>
      </c>
      <c r="O50" s="3">
        <v>52.5</v>
      </c>
      <c r="P50" s="5">
        <v>297.45957797652545</v>
      </c>
      <c r="Q50" s="3">
        <v>0.36</v>
      </c>
      <c r="R50" s="12">
        <f t="shared" si="0"/>
        <v>1.4872978898826273E-3</v>
      </c>
      <c r="V50" s="3"/>
      <c r="W50" s="3"/>
    </row>
    <row r="51" spans="1:23" x14ac:dyDescent="0.3">
      <c r="B51" s="1">
        <v>12</v>
      </c>
      <c r="C51" s="5">
        <v>500</v>
      </c>
      <c r="D51" s="1">
        <v>4</v>
      </c>
      <c r="E51" s="4">
        <v>79.3</v>
      </c>
      <c r="F51" s="3">
        <v>2.6933292113182881</v>
      </c>
      <c r="G51" s="1">
        <v>20</v>
      </c>
      <c r="H51" s="1">
        <v>34</v>
      </c>
      <c r="I51" s="1">
        <v>350</v>
      </c>
      <c r="J51" s="1">
        <v>450</v>
      </c>
      <c r="K51" s="1">
        <v>452</v>
      </c>
      <c r="L51" s="1">
        <v>32900</v>
      </c>
      <c r="M51" s="5">
        <v>76.575869689672942</v>
      </c>
      <c r="N51" s="8">
        <v>1.3738601823708207E-2</v>
      </c>
      <c r="O51" s="3">
        <v>67.5</v>
      </c>
      <c r="P51" s="5">
        <v>382.44802882696138</v>
      </c>
      <c r="Q51" s="3">
        <v>0.56000000000000005</v>
      </c>
      <c r="R51" s="12">
        <f t="shared" si="0"/>
        <v>1.9122401441348069E-3</v>
      </c>
      <c r="V51" s="3"/>
      <c r="W51" s="3"/>
    </row>
    <row r="52" spans="1:23" x14ac:dyDescent="0.3">
      <c r="B52" s="1">
        <v>12</v>
      </c>
      <c r="C52" s="5">
        <v>500</v>
      </c>
      <c r="D52" s="1">
        <v>4</v>
      </c>
      <c r="E52" s="4">
        <v>79.3</v>
      </c>
      <c r="F52" s="3">
        <v>2.6933292113182881</v>
      </c>
      <c r="G52" s="1">
        <v>20</v>
      </c>
      <c r="H52" s="1">
        <v>34</v>
      </c>
      <c r="I52" s="1">
        <v>350</v>
      </c>
      <c r="J52" s="1">
        <v>450</v>
      </c>
      <c r="K52" s="1">
        <v>452</v>
      </c>
      <c r="L52" s="1">
        <v>32900</v>
      </c>
      <c r="M52" s="5">
        <v>76.575869689672942</v>
      </c>
      <c r="N52" s="8">
        <v>1.3738601823708207E-2</v>
      </c>
      <c r="O52" s="3">
        <v>90</v>
      </c>
      <c r="P52" s="5">
        <v>500</v>
      </c>
      <c r="Q52" s="3">
        <v>0.78</v>
      </c>
      <c r="R52" s="12">
        <f t="shared" si="0"/>
        <v>2.5000000000000001E-3</v>
      </c>
      <c r="V52" s="3"/>
      <c r="W52" s="3"/>
    </row>
    <row r="53" spans="1:23" x14ac:dyDescent="0.3">
      <c r="A53" t="s">
        <v>14</v>
      </c>
      <c r="B53" s="1">
        <v>12</v>
      </c>
      <c r="C53" s="5">
        <v>500</v>
      </c>
      <c r="D53" s="1">
        <v>4</v>
      </c>
      <c r="E53" s="4">
        <v>46</v>
      </c>
      <c r="F53" s="3">
        <v>2.6933292113182881</v>
      </c>
      <c r="G53" s="1">
        <v>70</v>
      </c>
      <c r="H53" s="1">
        <v>88</v>
      </c>
      <c r="I53" s="1">
        <v>350</v>
      </c>
      <c r="J53" s="1">
        <v>450</v>
      </c>
      <c r="K53" s="1">
        <v>452</v>
      </c>
      <c r="L53" s="1">
        <v>42000</v>
      </c>
      <c r="M53" s="5">
        <v>70.913891854445922</v>
      </c>
      <c r="N53" s="8">
        <v>1.0761904761904762E-2</v>
      </c>
      <c r="O53" s="3">
        <v>37.5</v>
      </c>
      <c r="P53" s="5">
        <v>245.19477048546645</v>
      </c>
      <c r="Q53" s="3">
        <v>0.31</v>
      </c>
      <c r="R53" s="12">
        <f t="shared" si="0"/>
        <v>1.2259738524273323E-3</v>
      </c>
      <c r="V53" s="3"/>
      <c r="W53" s="3"/>
    </row>
    <row r="54" spans="1:23" x14ac:dyDescent="0.3">
      <c r="B54" s="1">
        <v>12</v>
      </c>
      <c r="C54" s="5">
        <v>500</v>
      </c>
      <c r="D54" s="1">
        <v>4</v>
      </c>
      <c r="E54" s="4">
        <v>46</v>
      </c>
      <c r="F54" s="3">
        <v>2.6933292113182881</v>
      </c>
      <c r="G54" s="1">
        <v>70</v>
      </c>
      <c r="H54" s="1">
        <v>88</v>
      </c>
      <c r="I54" s="1">
        <v>350</v>
      </c>
      <c r="J54" s="1">
        <v>450</v>
      </c>
      <c r="K54" s="1">
        <v>452</v>
      </c>
      <c r="L54" s="1">
        <v>42000</v>
      </c>
      <c r="M54" s="5">
        <v>70.913891854445922</v>
      </c>
      <c r="N54" s="8">
        <v>1.0761904761904762E-2</v>
      </c>
      <c r="O54" s="3">
        <v>45</v>
      </c>
      <c r="P54" s="5">
        <v>294.23372458255977</v>
      </c>
      <c r="Q54" s="3">
        <v>0.44</v>
      </c>
      <c r="R54" s="12">
        <f t="shared" si="0"/>
        <v>1.4711686229127989E-3</v>
      </c>
      <c r="V54" s="3"/>
      <c r="W54" s="3"/>
    </row>
    <row r="55" spans="1:23" x14ac:dyDescent="0.3">
      <c r="A55" t="s">
        <v>15</v>
      </c>
      <c r="B55" s="1">
        <v>12</v>
      </c>
      <c r="C55" s="5">
        <v>500</v>
      </c>
      <c r="D55" s="1">
        <v>4</v>
      </c>
      <c r="E55" s="4">
        <v>46</v>
      </c>
      <c r="F55" s="3">
        <v>2.6933292113182881</v>
      </c>
      <c r="G55" s="1">
        <v>70</v>
      </c>
      <c r="H55" s="1">
        <v>84</v>
      </c>
      <c r="I55" s="1">
        <v>350</v>
      </c>
      <c r="J55" s="1">
        <v>450</v>
      </c>
      <c r="K55" s="1">
        <v>452</v>
      </c>
      <c r="L55" s="1">
        <v>42000</v>
      </c>
      <c r="M55" s="5">
        <v>71.347043658761123</v>
      </c>
      <c r="N55" s="8">
        <v>1.0761904761904762E-2</v>
      </c>
      <c r="O55" s="3">
        <v>30</v>
      </c>
      <c r="P55" s="5">
        <v>193.94581491041436</v>
      </c>
      <c r="Q55" s="3">
        <v>0.14000000000000001</v>
      </c>
      <c r="R55" s="12">
        <f t="shared" si="0"/>
        <v>9.6972907455207178E-4</v>
      </c>
      <c r="V55" s="3"/>
      <c r="W55" s="3"/>
    </row>
    <row r="56" spans="1:23" x14ac:dyDescent="0.3">
      <c r="B56" s="1">
        <v>12</v>
      </c>
      <c r="C56" s="5">
        <v>500</v>
      </c>
      <c r="D56" s="1">
        <v>4</v>
      </c>
      <c r="E56" s="4">
        <v>46</v>
      </c>
      <c r="F56" s="3">
        <v>2.6933292113182881</v>
      </c>
      <c r="G56" s="1">
        <v>70</v>
      </c>
      <c r="H56" s="1">
        <v>84</v>
      </c>
      <c r="I56" s="1">
        <v>350</v>
      </c>
      <c r="J56" s="1">
        <v>450</v>
      </c>
      <c r="K56" s="1">
        <v>452</v>
      </c>
      <c r="L56" s="1">
        <v>42000</v>
      </c>
      <c r="M56" s="5">
        <v>71.347043658761123</v>
      </c>
      <c r="N56" s="8">
        <v>1.0761904761904762E-2</v>
      </c>
      <c r="O56" s="3">
        <v>37.5</v>
      </c>
      <c r="P56" s="5">
        <v>242.43226863801794</v>
      </c>
      <c r="Q56" s="3">
        <v>0.31</v>
      </c>
      <c r="R56" s="12">
        <f t="shared" si="0"/>
        <v>1.2121613431900896E-3</v>
      </c>
      <c r="V56" s="3"/>
      <c r="W56" s="3"/>
    </row>
    <row r="57" spans="1:23" x14ac:dyDescent="0.3">
      <c r="B57" s="1">
        <v>12</v>
      </c>
      <c r="C57" s="5">
        <v>500</v>
      </c>
      <c r="D57" s="1">
        <v>4</v>
      </c>
      <c r="E57" s="4">
        <v>46</v>
      </c>
      <c r="F57" s="3">
        <v>2.6933292113182881</v>
      </c>
      <c r="G57" s="1">
        <v>70</v>
      </c>
      <c r="H57" s="1">
        <v>84</v>
      </c>
      <c r="I57" s="1">
        <v>350</v>
      </c>
      <c r="J57" s="1">
        <v>450</v>
      </c>
      <c r="K57" s="1">
        <v>452</v>
      </c>
      <c r="L57" s="1">
        <v>42000</v>
      </c>
      <c r="M57" s="5">
        <v>71.347043658761123</v>
      </c>
      <c r="N57" s="8">
        <v>1.0761904761904762E-2</v>
      </c>
      <c r="O57" s="3">
        <v>45</v>
      </c>
      <c r="P57" s="5">
        <v>290.91872236562153</v>
      </c>
      <c r="Q57" s="3">
        <v>0.4</v>
      </c>
      <c r="R57" s="12">
        <f t="shared" si="0"/>
        <v>1.4545936118281076E-3</v>
      </c>
      <c r="V57" s="3"/>
      <c r="W57" s="3"/>
    </row>
    <row r="58" spans="1:23" x14ac:dyDescent="0.3">
      <c r="A58" t="s">
        <v>16</v>
      </c>
      <c r="B58" s="1">
        <v>12</v>
      </c>
      <c r="C58" s="5">
        <v>500</v>
      </c>
      <c r="D58" s="1">
        <v>4</v>
      </c>
      <c r="E58" s="4">
        <v>46</v>
      </c>
      <c r="F58" s="3">
        <v>2.6933292113182881</v>
      </c>
      <c r="G58" s="1">
        <v>70</v>
      </c>
      <c r="H58" s="1">
        <v>84</v>
      </c>
      <c r="I58" s="1">
        <v>350</v>
      </c>
      <c r="J58" s="1">
        <v>450</v>
      </c>
      <c r="K58" s="1">
        <v>452</v>
      </c>
      <c r="L58" s="1">
        <v>42000</v>
      </c>
      <c r="M58" s="5">
        <v>71.347043658761123</v>
      </c>
      <c r="N58" s="8">
        <v>1.0761904761904762E-2</v>
      </c>
      <c r="O58" s="3">
        <v>30</v>
      </c>
      <c r="P58" s="5">
        <v>193.94581491041436</v>
      </c>
      <c r="Q58" s="3">
        <v>0.25</v>
      </c>
      <c r="R58" s="12">
        <f t="shared" si="0"/>
        <v>9.6972907455207178E-4</v>
      </c>
      <c r="V58" s="3"/>
      <c r="W58" s="3"/>
    </row>
    <row r="59" spans="1:23" x14ac:dyDescent="0.3">
      <c r="B59" s="1">
        <v>12</v>
      </c>
      <c r="C59" s="5">
        <v>500</v>
      </c>
      <c r="D59" s="1">
        <v>4</v>
      </c>
      <c r="E59" s="4">
        <v>46</v>
      </c>
      <c r="F59" s="3">
        <v>2.6933292113182881</v>
      </c>
      <c r="G59" s="1">
        <v>70</v>
      </c>
      <c r="H59" s="1">
        <v>84</v>
      </c>
      <c r="I59" s="1">
        <v>350</v>
      </c>
      <c r="J59" s="1">
        <v>450</v>
      </c>
      <c r="K59" s="1">
        <v>452</v>
      </c>
      <c r="L59" s="1">
        <v>42000</v>
      </c>
      <c r="M59" s="5">
        <v>71.347043658761123</v>
      </c>
      <c r="N59" s="8">
        <v>1.0761904761904762E-2</v>
      </c>
      <c r="O59" s="3">
        <v>37.5</v>
      </c>
      <c r="P59" s="5">
        <v>242.43226863801794</v>
      </c>
      <c r="Q59" s="3">
        <v>0.44</v>
      </c>
      <c r="R59" s="12">
        <f t="shared" si="0"/>
        <v>1.2121613431900896E-3</v>
      </c>
      <c r="V59" s="3"/>
      <c r="W59" s="3"/>
    </row>
    <row r="60" spans="1:23" x14ac:dyDescent="0.3">
      <c r="B60" s="1">
        <v>12</v>
      </c>
      <c r="C60" s="5">
        <v>500</v>
      </c>
      <c r="D60" s="1">
        <v>4</v>
      </c>
      <c r="E60" s="4">
        <v>46</v>
      </c>
      <c r="F60" s="3">
        <v>2.6933292113182881</v>
      </c>
      <c r="G60" s="1">
        <v>70</v>
      </c>
      <c r="H60" s="1">
        <v>84</v>
      </c>
      <c r="I60" s="1">
        <v>350</v>
      </c>
      <c r="J60" s="1">
        <v>450</v>
      </c>
      <c r="K60" s="1">
        <v>452</v>
      </c>
      <c r="L60" s="1">
        <v>42000</v>
      </c>
      <c r="M60" s="5">
        <v>71.347043658761123</v>
      </c>
      <c r="N60" s="8">
        <v>1.0761904761904762E-2</v>
      </c>
      <c r="O60" s="3">
        <v>45</v>
      </c>
      <c r="P60" s="5">
        <v>290.91872236562153</v>
      </c>
      <c r="Q60" s="3">
        <v>0.56000000000000005</v>
      </c>
      <c r="R60" s="12">
        <f t="shared" si="0"/>
        <v>1.4545936118281076E-3</v>
      </c>
      <c r="V60" s="3"/>
      <c r="W60" s="3"/>
    </row>
    <row r="61" spans="1:23" x14ac:dyDescent="0.3">
      <c r="A61" t="s">
        <v>17</v>
      </c>
      <c r="B61" s="1">
        <v>25</v>
      </c>
      <c r="C61" s="5">
        <v>500</v>
      </c>
      <c r="D61" s="1">
        <v>4</v>
      </c>
      <c r="E61" s="4">
        <v>62</v>
      </c>
      <c r="F61" s="3">
        <v>2.6933292113182881</v>
      </c>
      <c r="G61" s="1">
        <v>20</v>
      </c>
      <c r="H61" s="1">
        <v>40.5</v>
      </c>
      <c r="I61" s="1">
        <v>350</v>
      </c>
      <c r="J61" s="1">
        <v>450</v>
      </c>
      <c r="K61" s="1">
        <v>1964</v>
      </c>
      <c r="L61" s="1">
        <v>49612.5</v>
      </c>
      <c r="M61" s="5">
        <v>141.76646013770139</v>
      </c>
      <c r="N61" s="8">
        <v>3.9586797682035775E-2</v>
      </c>
      <c r="O61" s="3">
        <v>150</v>
      </c>
      <c r="P61" s="5">
        <v>210.83754926858927</v>
      </c>
      <c r="Q61" s="3">
        <v>0.23</v>
      </c>
      <c r="R61" s="12">
        <f t="shared" si="0"/>
        <v>1.0541877463429463E-3</v>
      </c>
      <c r="V61" s="3"/>
      <c r="W61" s="3"/>
    </row>
    <row r="62" spans="1:23" x14ac:dyDescent="0.3">
      <c r="B62" s="1">
        <v>25</v>
      </c>
      <c r="C62" s="5">
        <v>500</v>
      </c>
      <c r="D62" s="1">
        <v>4</v>
      </c>
      <c r="E62" s="4">
        <v>62</v>
      </c>
      <c r="F62" s="3">
        <v>2.6933292113182881</v>
      </c>
      <c r="G62" s="1">
        <v>20</v>
      </c>
      <c r="H62" s="1">
        <v>40.5</v>
      </c>
      <c r="I62" s="1">
        <v>350</v>
      </c>
      <c r="J62" s="1">
        <v>450</v>
      </c>
      <c r="K62" s="1">
        <v>1964</v>
      </c>
      <c r="L62" s="1">
        <v>49612.5</v>
      </c>
      <c r="M62" s="5">
        <v>141.76646013770139</v>
      </c>
      <c r="N62" s="8">
        <v>3.9586797682035775E-2</v>
      </c>
      <c r="O62" s="3">
        <v>225</v>
      </c>
      <c r="P62" s="5">
        <v>316.25632390288388</v>
      </c>
      <c r="Q62" s="3">
        <v>0.35</v>
      </c>
      <c r="R62" s="12">
        <f t="shared" si="0"/>
        <v>1.5812816195144193E-3</v>
      </c>
      <c r="V62" s="3"/>
      <c r="W62" s="3"/>
    </row>
    <row r="63" spans="1:23" x14ac:dyDescent="0.3">
      <c r="B63" s="1">
        <v>25</v>
      </c>
      <c r="C63" s="5">
        <v>500</v>
      </c>
      <c r="D63" s="1">
        <v>4</v>
      </c>
      <c r="E63" s="4">
        <v>62</v>
      </c>
      <c r="F63" s="3">
        <v>2.6933292113182881</v>
      </c>
      <c r="G63" s="1">
        <v>20</v>
      </c>
      <c r="H63" s="1">
        <v>40.5</v>
      </c>
      <c r="I63" s="1">
        <v>350</v>
      </c>
      <c r="J63" s="1">
        <v>450</v>
      </c>
      <c r="K63" s="1">
        <v>1964</v>
      </c>
      <c r="L63" s="1">
        <v>49612.5</v>
      </c>
      <c r="M63" s="5">
        <v>141.76646013770139</v>
      </c>
      <c r="N63" s="8">
        <v>3.9586797682035775E-2</v>
      </c>
      <c r="O63" s="3">
        <v>300</v>
      </c>
      <c r="P63" s="5">
        <v>421.67509853717854</v>
      </c>
      <c r="Q63" s="3">
        <v>0.49</v>
      </c>
      <c r="R63" s="12">
        <f t="shared" si="0"/>
        <v>2.1083754926858925E-3</v>
      </c>
      <c r="V63" s="3"/>
      <c r="W63" s="3"/>
    </row>
    <row r="64" spans="1:23" x14ac:dyDescent="0.3">
      <c r="B64" s="1">
        <v>25</v>
      </c>
      <c r="C64" s="5">
        <v>500</v>
      </c>
      <c r="D64" s="1">
        <v>4</v>
      </c>
      <c r="E64" s="4">
        <v>62</v>
      </c>
      <c r="F64" s="3">
        <v>2.6933292113182881</v>
      </c>
      <c r="G64" s="1">
        <v>20</v>
      </c>
      <c r="H64" s="1">
        <v>40.5</v>
      </c>
      <c r="I64" s="1">
        <v>350</v>
      </c>
      <c r="J64" s="1">
        <v>450</v>
      </c>
      <c r="K64" s="1">
        <v>1964</v>
      </c>
      <c r="L64" s="1">
        <v>49612.5</v>
      </c>
      <c r="M64" s="5">
        <v>141.76646013770139</v>
      </c>
      <c r="N64" s="8">
        <v>3.9586797682035775E-2</v>
      </c>
      <c r="O64" s="3">
        <v>375</v>
      </c>
      <c r="P64" s="5">
        <v>500</v>
      </c>
      <c r="Q64" s="3">
        <v>0.67</v>
      </c>
      <c r="R64" s="12">
        <f t="shared" si="0"/>
        <v>2.5000000000000001E-3</v>
      </c>
      <c r="V64" s="3"/>
      <c r="W64" s="3"/>
    </row>
    <row r="65" spans="1:23" x14ac:dyDescent="0.3">
      <c r="A65" t="s">
        <v>18</v>
      </c>
      <c r="B65" s="1">
        <v>25</v>
      </c>
      <c r="C65" s="5">
        <v>500</v>
      </c>
      <c r="D65" s="1">
        <v>4</v>
      </c>
      <c r="E65" s="4">
        <v>62</v>
      </c>
      <c r="F65" s="3">
        <v>2.6933292113182881</v>
      </c>
      <c r="G65" s="1">
        <v>20</v>
      </c>
      <c r="H65" s="1">
        <v>40.5</v>
      </c>
      <c r="I65" s="1">
        <v>350</v>
      </c>
      <c r="J65" s="1">
        <v>450</v>
      </c>
      <c r="K65" s="1">
        <v>1964</v>
      </c>
      <c r="L65" s="1">
        <v>49612.5</v>
      </c>
      <c r="M65" s="5">
        <v>141.76646013770139</v>
      </c>
      <c r="N65" s="8">
        <v>3.9586797682035775E-2</v>
      </c>
      <c r="O65" s="3">
        <v>150</v>
      </c>
      <c r="P65" s="5">
        <v>210.83754926858927</v>
      </c>
      <c r="Q65" s="3">
        <v>0.27</v>
      </c>
      <c r="R65" s="12">
        <f t="shared" si="0"/>
        <v>1.0541877463429463E-3</v>
      </c>
      <c r="V65" s="3"/>
      <c r="W65" s="3"/>
    </row>
    <row r="66" spans="1:23" x14ac:dyDescent="0.3">
      <c r="B66" s="1">
        <v>25</v>
      </c>
      <c r="C66" s="5">
        <v>500</v>
      </c>
      <c r="D66" s="1">
        <v>4</v>
      </c>
      <c r="E66" s="4">
        <v>62</v>
      </c>
      <c r="F66" s="3">
        <v>2.6933292113182881</v>
      </c>
      <c r="G66" s="1">
        <v>20</v>
      </c>
      <c r="H66" s="1">
        <v>40.5</v>
      </c>
      <c r="I66" s="1">
        <v>350</v>
      </c>
      <c r="J66" s="1">
        <v>450</v>
      </c>
      <c r="K66" s="1">
        <v>1964</v>
      </c>
      <c r="L66" s="1">
        <v>49612.5</v>
      </c>
      <c r="M66" s="5">
        <v>141.76646013770139</v>
      </c>
      <c r="N66" s="8">
        <v>3.9586797682035775E-2</v>
      </c>
      <c r="O66" s="3">
        <v>225</v>
      </c>
      <c r="P66" s="5">
        <v>316.25632390288388</v>
      </c>
      <c r="Q66" s="3">
        <v>0.4</v>
      </c>
      <c r="R66" s="12">
        <f t="shared" si="0"/>
        <v>1.5812816195144193E-3</v>
      </c>
      <c r="V66" s="3"/>
      <c r="W66" s="3"/>
    </row>
    <row r="67" spans="1:23" x14ac:dyDescent="0.3">
      <c r="B67" s="1">
        <v>25</v>
      </c>
      <c r="C67" s="5">
        <v>500</v>
      </c>
      <c r="D67" s="1">
        <v>4</v>
      </c>
      <c r="E67" s="4">
        <v>62</v>
      </c>
      <c r="F67" s="3">
        <v>2.6933292113182881</v>
      </c>
      <c r="G67" s="1">
        <v>20</v>
      </c>
      <c r="H67" s="1">
        <v>40.5</v>
      </c>
      <c r="I67" s="1">
        <v>350</v>
      </c>
      <c r="J67" s="1">
        <v>450</v>
      </c>
      <c r="K67" s="1">
        <v>1964</v>
      </c>
      <c r="L67" s="1">
        <v>49612.5</v>
      </c>
      <c r="M67" s="5">
        <v>141.76646013770139</v>
      </c>
      <c r="N67" s="8">
        <v>3.9586797682035775E-2</v>
      </c>
      <c r="O67" s="3">
        <v>300</v>
      </c>
      <c r="P67" s="5">
        <v>421.67509853717854</v>
      </c>
      <c r="Q67" s="3">
        <v>0.53</v>
      </c>
      <c r="R67" s="12">
        <f t="shared" si="0"/>
        <v>2.1083754926858925E-3</v>
      </c>
      <c r="V67" s="3"/>
      <c r="W67" s="3"/>
    </row>
    <row r="68" spans="1:23" x14ac:dyDescent="0.3">
      <c r="B68" s="1">
        <v>25</v>
      </c>
      <c r="C68" s="5">
        <v>500</v>
      </c>
      <c r="D68" s="1">
        <v>4</v>
      </c>
      <c r="E68" s="4">
        <v>62</v>
      </c>
      <c r="F68" s="3">
        <v>2.6933292113182881</v>
      </c>
      <c r="G68" s="1">
        <v>20</v>
      </c>
      <c r="H68" s="1">
        <v>40.5</v>
      </c>
      <c r="I68" s="1">
        <v>350</v>
      </c>
      <c r="J68" s="1">
        <v>450</v>
      </c>
      <c r="K68" s="1">
        <v>1964</v>
      </c>
      <c r="L68" s="1">
        <v>49612.5</v>
      </c>
      <c r="M68" s="5">
        <v>141.76646013770139</v>
      </c>
      <c r="N68" s="8">
        <v>3.9586797682035775E-2</v>
      </c>
      <c r="O68" s="3">
        <v>375</v>
      </c>
      <c r="P68" s="5">
        <v>500</v>
      </c>
      <c r="Q68" s="3">
        <v>0.72</v>
      </c>
      <c r="R68" s="12">
        <f t="shared" ref="R68:R131" si="1">P68/200000</f>
        <v>2.5000000000000001E-3</v>
      </c>
      <c r="V68" s="3"/>
      <c r="W68" s="3"/>
    </row>
    <row r="69" spans="1:23" x14ac:dyDescent="0.3">
      <c r="A69" t="s">
        <v>19</v>
      </c>
      <c r="B69" s="1">
        <v>25</v>
      </c>
      <c r="C69" s="5">
        <v>500</v>
      </c>
      <c r="D69" s="1">
        <v>4</v>
      </c>
      <c r="E69" s="4">
        <v>28.7</v>
      </c>
      <c r="F69" s="3">
        <v>2.6933292113182881</v>
      </c>
      <c r="G69" s="1">
        <v>70</v>
      </c>
      <c r="H69" s="1">
        <v>94.5</v>
      </c>
      <c r="I69" s="1">
        <v>350</v>
      </c>
      <c r="J69" s="1">
        <v>450</v>
      </c>
      <c r="K69" s="1">
        <v>1964</v>
      </c>
      <c r="L69" s="1">
        <v>76825</v>
      </c>
      <c r="M69" s="5">
        <v>130.08181306692575</v>
      </c>
      <c r="N69" s="8">
        <v>2.5564594858444516E-2</v>
      </c>
      <c r="O69" s="3">
        <v>75</v>
      </c>
      <c r="P69" s="5">
        <v>122.34076582972288</v>
      </c>
      <c r="Q69" s="3">
        <v>0.3</v>
      </c>
      <c r="R69" s="12">
        <f t="shared" si="1"/>
        <v>6.1170382914861447E-4</v>
      </c>
      <c r="V69" s="3"/>
      <c r="W69" s="3"/>
    </row>
    <row r="70" spans="1:23" x14ac:dyDescent="0.3">
      <c r="B70" s="1">
        <v>25</v>
      </c>
      <c r="C70" s="5">
        <v>500</v>
      </c>
      <c r="D70" s="1">
        <v>4</v>
      </c>
      <c r="E70" s="4">
        <v>28.7</v>
      </c>
      <c r="F70" s="3">
        <v>2.6933292113182881</v>
      </c>
      <c r="G70" s="1">
        <v>70</v>
      </c>
      <c r="H70" s="1">
        <v>94.5</v>
      </c>
      <c r="I70" s="1">
        <v>350</v>
      </c>
      <c r="J70" s="1">
        <v>450</v>
      </c>
      <c r="K70" s="1">
        <v>1964</v>
      </c>
      <c r="L70" s="1">
        <v>76825</v>
      </c>
      <c r="M70" s="5">
        <v>130.08181306692575</v>
      </c>
      <c r="N70" s="8">
        <v>2.5564594858444516E-2</v>
      </c>
      <c r="O70" s="3">
        <v>150</v>
      </c>
      <c r="P70" s="5">
        <v>244.68153165944577</v>
      </c>
      <c r="Q70" s="3">
        <v>0.56999999999999995</v>
      </c>
      <c r="R70" s="12">
        <f t="shared" si="1"/>
        <v>1.2234076582972289E-3</v>
      </c>
      <c r="V70" s="3"/>
      <c r="W70" s="3"/>
    </row>
    <row r="71" spans="1:23" x14ac:dyDescent="0.3">
      <c r="A71" t="s">
        <v>20</v>
      </c>
      <c r="B71" s="1">
        <v>25</v>
      </c>
      <c r="C71" s="5">
        <v>500</v>
      </c>
      <c r="D71" s="1">
        <v>4</v>
      </c>
      <c r="E71" s="4">
        <v>28.7</v>
      </c>
      <c r="F71" s="3">
        <v>2.6933292113182881</v>
      </c>
      <c r="G71" s="1">
        <v>70</v>
      </c>
      <c r="H71" s="1">
        <v>90.5</v>
      </c>
      <c r="I71" s="1">
        <v>350</v>
      </c>
      <c r="J71" s="1">
        <v>450</v>
      </c>
      <c r="K71" s="1">
        <v>1964</v>
      </c>
      <c r="L71" s="1">
        <v>75425</v>
      </c>
      <c r="M71" s="5">
        <v>130.97513055188566</v>
      </c>
      <c r="N71" s="8">
        <v>2.60391117003646E-2</v>
      </c>
      <c r="O71" s="3">
        <v>75</v>
      </c>
      <c r="P71" s="5">
        <v>120.90671371295994</v>
      </c>
      <c r="Q71" s="3">
        <v>0.26</v>
      </c>
      <c r="R71" s="12">
        <f t="shared" si="1"/>
        <v>6.0453356856479971E-4</v>
      </c>
      <c r="V71" s="3"/>
      <c r="W71" s="3"/>
    </row>
    <row r="72" spans="1:23" x14ac:dyDescent="0.3">
      <c r="B72" s="1">
        <v>25</v>
      </c>
      <c r="C72" s="5">
        <v>500</v>
      </c>
      <c r="D72" s="1">
        <v>4</v>
      </c>
      <c r="E72" s="4">
        <v>28.7</v>
      </c>
      <c r="F72" s="3">
        <v>2.6933292113182881</v>
      </c>
      <c r="G72" s="1">
        <v>70</v>
      </c>
      <c r="H72" s="1">
        <v>90.5</v>
      </c>
      <c r="I72" s="1">
        <v>350</v>
      </c>
      <c r="J72" s="1">
        <v>450</v>
      </c>
      <c r="K72" s="1">
        <v>1964</v>
      </c>
      <c r="L72" s="1">
        <v>75425</v>
      </c>
      <c r="M72" s="5">
        <v>130.97513055188566</v>
      </c>
      <c r="N72" s="8">
        <v>2.60391117003646E-2</v>
      </c>
      <c r="O72" s="3">
        <v>150</v>
      </c>
      <c r="P72" s="5">
        <v>241.81342742591988</v>
      </c>
      <c r="Q72" s="3">
        <v>0.6</v>
      </c>
      <c r="R72" s="12">
        <f t="shared" si="1"/>
        <v>1.2090671371295994E-3</v>
      </c>
      <c r="V72" s="3"/>
      <c r="W72" s="3"/>
    </row>
    <row r="73" spans="1:23" x14ac:dyDescent="0.3">
      <c r="A73" t="s">
        <v>21</v>
      </c>
      <c r="B73" s="1">
        <v>25</v>
      </c>
      <c r="C73" s="5">
        <v>500</v>
      </c>
      <c r="D73" s="1">
        <v>4</v>
      </c>
      <c r="E73" s="4">
        <v>28.7</v>
      </c>
      <c r="F73" s="3">
        <v>2.6933292113182881</v>
      </c>
      <c r="G73" s="1">
        <v>70</v>
      </c>
      <c r="H73" s="1">
        <v>90.5</v>
      </c>
      <c r="I73" s="1">
        <v>350</v>
      </c>
      <c r="J73" s="1">
        <v>450</v>
      </c>
      <c r="K73" s="1">
        <v>1964</v>
      </c>
      <c r="L73" s="1">
        <v>75425</v>
      </c>
      <c r="M73" s="5">
        <v>130.97513055188566</v>
      </c>
      <c r="N73" s="8">
        <v>2.60391117003646E-2</v>
      </c>
      <c r="O73" s="3">
        <v>75</v>
      </c>
      <c r="P73" s="5">
        <v>120.90671371295994</v>
      </c>
      <c r="Q73" s="3">
        <v>0.27</v>
      </c>
      <c r="R73" s="12">
        <f t="shared" si="1"/>
        <v>6.0453356856479971E-4</v>
      </c>
      <c r="V73" s="3"/>
      <c r="W73" s="3"/>
    </row>
    <row r="74" spans="1:23" x14ac:dyDescent="0.3">
      <c r="B74" s="1">
        <v>25</v>
      </c>
      <c r="C74" s="5">
        <v>500</v>
      </c>
      <c r="D74" s="1">
        <v>4</v>
      </c>
      <c r="E74" s="4">
        <v>28.7</v>
      </c>
      <c r="F74" s="3">
        <v>2.6933292113182881</v>
      </c>
      <c r="G74" s="1">
        <v>70</v>
      </c>
      <c r="H74" s="1">
        <v>90.5</v>
      </c>
      <c r="I74" s="1">
        <v>350</v>
      </c>
      <c r="J74" s="1">
        <v>450</v>
      </c>
      <c r="K74" s="1">
        <v>1964</v>
      </c>
      <c r="L74" s="1">
        <v>75425</v>
      </c>
      <c r="M74" s="5">
        <v>130.97513055188566</v>
      </c>
      <c r="N74" s="8">
        <v>2.60391117003646E-2</v>
      </c>
      <c r="O74" s="3">
        <v>150</v>
      </c>
      <c r="P74" s="5">
        <v>241.81342742591988</v>
      </c>
      <c r="Q74" s="3">
        <v>0.59</v>
      </c>
      <c r="R74" s="12">
        <f t="shared" si="1"/>
        <v>1.2090671371295994E-3</v>
      </c>
      <c r="V74" s="3"/>
      <c r="W74" s="3"/>
    </row>
    <row r="75" spans="1:23" x14ac:dyDescent="0.3">
      <c r="A75" t="s">
        <v>22</v>
      </c>
      <c r="B75" s="1">
        <v>9.52</v>
      </c>
      <c r="C75" s="5">
        <v>434</v>
      </c>
      <c r="D75" s="1">
        <v>3</v>
      </c>
      <c r="E75" s="4">
        <v>22.2</v>
      </c>
      <c r="F75" s="3">
        <v>3.5641600019995088</v>
      </c>
      <c r="G75" s="1">
        <v>20.64</v>
      </c>
      <c r="H75" s="1">
        <v>25.4</v>
      </c>
      <c r="I75" s="1">
        <v>114.3</v>
      </c>
      <c r="J75" s="1">
        <v>228.6</v>
      </c>
      <c r="K75" s="1">
        <v>212.9</v>
      </c>
      <c r="L75" s="1">
        <v>8343.9</v>
      </c>
      <c r="M75" s="5">
        <v>56.390968153098974</v>
      </c>
      <c r="N75" s="8">
        <v>2.5515646160668273E-2</v>
      </c>
      <c r="O75" s="3">
        <v>11.6</v>
      </c>
      <c r="P75" s="5">
        <v>295.47063165325955</v>
      </c>
      <c r="Q75" s="3">
        <v>0.15</v>
      </c>
      <c r="R75" s="12">
        <f t="shared" si="1"/>
        <v>1.4773531582662977E-3</v>
      </c>
      <c r="V75" s="3"/>
      <c r="W75" s="3"/>
    </row>
    <row r="76" spans="1:23" x14ac:dyDescent="0.3">
      <c r="B76" s="1">
        <v>9.52</v>
      </c>
      <c r="C76" s="5">
        <v>434</v>
      </c>
      <c r="D76" s="1">
        <v>3</v>
      </c>
      <c r="E76" s="4">
        <v>22.2</v>
      </c>
      <c r="F76" s="3">
        <v>3.5641600019995088</v>
      </c>
      <c r="G76" s="1">
        <v>20.64</v>
      </c>
      <c r="H76" s="1">
        <v>25.4</v>
      </c>
      <c r="I76" s="1">
        <v>114.3</v>
      </c>
      <c r="J76" s="1">
        <v>228.6</v>
      </c>
      <c r="K76" s="1">
        <v>212.9</v>
      </c>
      <c r="L76" s="1">
        <v>8343.9</v>
      </c>
      <c r="M76" s="5">
        <v>56.390968153098974</v>
      </c>
      <c r="N76" s="8">
        <v>2.5515646160668273E-2</v>
      </c>
      <c r="O76" s="3">
        <v>13.5</v>
      </c>
      <c r="P76" s="5">
        <v>343.86668338956935</v>
      </c>
      <c r="Q76" s="3">
        <v>0.17</v>
      </c>
      <c r="R76" s="12">
        <f t="shared" si="1"/>
        <v>1.7193334169478467E-3</v>
      </c>
      <c r="V76" s="3"/>
      <c r="W76" s="3"/>
    </row>
    <row r="77" spans="1:23" x14ac:dyDescent="0.3">
      <c r="A77" t="s">
        <v>23</v>
      </c>
      <c r="B77" s="1">
        <v>12.7</v>
      </c>
      <c r="C77" s="5">
        <v>434</v>
      </c>
      <c r="D77" s="1">
        <v>3</v>
      </c>
      <c r="E77" s="4">
        <v>19.05</v>
      </c>
      <c r="F77" s="3">
        <v>3.9766081638229425</v>
      </c>
      <c r="G77" s="1">
        <v>19.05</v>
      </c>
      <c r="H77" s="1">
        <v>25.4</v>
      </c>
      <c r="I77" s="1">
        <v>114.3</v>
      </c>
      <c r="J77" s="1">
        <v>228.6</v>
      </c>
      <c r="K77" s="1">
        <v>387.1</v>
      </c>
      <c r="L77" s="1">
        <v>10161.269999999999</v>
      </c>
      <c r="M77" s="5">
        <v>70.373657577616456</v>
      </c>
      <c r="N77" s="8">
        <v>3.8095631746819056E-2</v>
      </c>
      <c r="O77" s="3">
        <v>21.1</v>
      </c>
      <c r="P77" s="5">
        <v>303.25602523129726</v>
      </c>
      <c r="Q77" s="3">
        <v>0.15</v>
      </c>
      <c r="R77" s="12">
        <f t="shared" si="1"/>
        <v>1.5162801261564864E-3</v>
      </c>
      <c r="V77" s="3"/>
      <c r="W77" s="3"/>
    </row>
    <row r="78" spans="1:23" x14ac:dyDescent="0.3">
      <c r="B78" s="1">
        <v>12.7</v>
      </c>
      <c r="C78" s="5">
        <v>434</v>
      </c>
      <c r="D78" s="1">
        <v>3</v>
      </c>
      <c r="E78" s="4">
        <v>19.05</v>
      </c>
      <c r="F78" s="3">
        <v>3.9766081638229425</v>
      </c>
      <c r="G78" s="1">
        <v>19.05</v>
      </c>
      <c r="H78" s="1">
        <v>25.4</v>
      </c>
      <c r="I78" s="1">
        <v>114.3</v>
      </c>
      <c r="J78" s="1">
        <v>228.6</v>
      </c>
      <c r="K78" s="1">
        <v>387.1</v>
      </c>
      <c r="L78" s="1">
        <v>10161.269999999999</v>
      </c>
      <c r="M78" s="5">
        <v>70.373657577616456</v>
      </c>
      <c r="N78" s="8">
        <v>3.8095631746819056E-2</v>
      </c>
      <c r="O78" s="3">
        <v>24.2</v>
      </c>
      <c r="P78" s="5">
        <v>347.81022799039772</v>
      </c>
      <c r="Q78" s="3">
        <v>0.17</v>
      </c>
      <c r="R78" s="12">
        <f t="shared" si="1"/>
        <v>1.7390511399519885E-3</v>
      </c>
      <c r="V78" s="3"/>
      <c r="W78" s="3"/>
    </row>
    <row r="79" spans="1:23" x14ac:dyDescent="0.3">
      <c r="B79" s="1">
        <v>12.7</v>
      </c>
      <c r="C79" s="5">
        <v>434</v>
      </c>
      <c r="D79" s="1">
        <v>3</v>
      </c>
      <c r="E79" s="4">
        <v>19.05</v>
      </c>
      <c r="F79" s="3">
        <v>3.9766081638229425</v>
      </c>
      <c r="G79" s="1">
        <v>19.05</v>
      </c>
      <c r="H79" s="1">
        <v>25.4</v>
      </c>
      <c r="I79" s="1">
        <v>114.3</v>
      </c>
      <c r="J79" s="1">
        <v>228.6</v>
      </c>
      <c r="K79" s="1">
        <v>387.1</v>
      </c>
      <c r="L79" s="1">
        <v>10161.269999999999</v>
      </c>
      <c r="M79" s="5">
        <v>70.373657577616456</v>
      </c>
      <c r="N79" s="8">
        <v>3.8095631746819056E-2</v>
      </c>
      <c r="O79" s="3">
        <v>28.6</v>
      </c>
      <c r="P79" s="5">
        <v>411.04845126137917</v>
      </c>
      <c r="Q79" s="3">
        <v>0.2</v>
      </c>
      <c r="R79" s="12">
        <f t="shared" si="1"/>
        <v>2.0552422563068959E-3</v>
      </c>
      <c r="V79" s="3"/>
      <c r="W79" s="3"/>
    </row>
    <row r="80" spans="1:23" x14ac:dyDescent="0.3">
      <c r="A80" t="s">
        <v>24</v>
      </c>
      <c r="B80" s="1">
        <v>15.9</v>
      </c>
      <c r="C80" s="5">
        <v>540</v>
      </c>
      <c r="D80" s="1">
        <v>3</v>
      </c>
      <c r="E80" s="4">
        <v>15.9</v>
      </c>
      <c r="F80" s="3">
        <v>3.9766081638229425</v>
      </c>
      <c r="G80" s="1">
        <v>17.46</v>
      </c>
      <c r="H80" s="1">
        <v>25.4</v>
      </c>
      <c r="I80" s="1">
        <v>114.3</v>
      </c>
      <c r="J80" s="1">
        <v>228.6</v>
      </c>
      <c r="K80" s="1">
        <v>600</v>
      </c>
      <c r="L80" s="1">
        <v>10161.269999999999</v>
      </c>
      <c r="M80" s="5">
        <v>83.256822362436324</v>
      </c>
      <c r="N80" s="8">
        <v>5.9047737143093339E-2</v>
      </c>
      <c r="O80" s="3">
        <v>30.5</v>
      </c>
      <c r="P80" s="5">
        <v>289.73492291565424</v>
      </c>
      <c r="Q80" s="3">
        <v>0.16</v>
      </c>
      <c r="R80" s="12">
        <f t="shared" si="1"/>
        <v>1.4486746145782711E-3</v>
      </c>
      <c r="V80" s="3"/>
      <c r="W80" s="3"/>
    </row>
    <row r="81" spans="1:23" x14ac:dyDescent="0.3">
      <c r="B81" s="1">
        <v>15.9</v>
      </c>
      <c r="C81" s="5">
        <v>540</v>
      </c>
      <c r="D81" s="1">
        <v>3</v>
      </c>
      <c r="E81" s="4">
        <v>15.9</v>
      </c>
      <c r="F81" s="3">
        <v>3.9766081638229425</v>
      </c>
      <c r="G81" s="1">
        <v>17.46</v>
      </c>
      <c r="H81" s="1">
        <v>25.4</v>
      </c>
      <c r="I81" s="1">
        <v>114.3</v>
      </c>
      <c r="J81" s="1">
        <v>228.6</v>
      </c>
      <c r="K81" s="1">
        <v>600</v>
      </c>
      <c r="L81" s="1">
        <v>10161.269999999999</v>
      </c>
      <c r="M81" s="5">
        <v>83.256822362436324</v>
      </c>
      <c r="N81" s="8">
        <v>5.9047737143093339E-2</v>
      </c>
      <c r="O81" s="3">
        <v>40</v>
      </c>
      <c r="P81" s="5">
        <v>379.98022677462848</v>
      </c>
      <c r="Q81" s="3">
        <v>0.21</v>
      </c>
      <c r="R81" s="12">
        <f t="shared" si="1"/>
        <v>1.8999011338731425E-3</v>
      </c>
      <c r="V81" s="3"/>
      <c r="W81" s="3"/>
    </row>
    <row r="82" spans="1:23" x14ac:dyDescent="0.3">
      <c r="A82" t="s">
        <v>25</v>
      </c>
      <c r="B82" s="1">
        <v>16</v>
      </c>
      <c r="C82" s="5">
        <v>500</v>
      </c>
      <c r="D82" s="1">
        <v>2</v>
      </c>
      <c r="E82" s="4">
        <v>138</v>
      </c>
      <c r="F82" s="3">
        <v>3.2689999999999997</v>
      </c>
      <c r="G82" s="1">
        <v>40</v>
      </c>
      <c r="H82" s="1">
        <v>48</v>
      </c>
      <c r="I82" s="1">
        <v>250</v>
      </c>
      <c r="J82" s="1">
        <v>348</v>
      </c>
      <c r="K82" s="1">
        <v>400</v>
      </c>
      <c r="L82" s="1">
        <v>32000</v>
      </c>
      <c r="M82" s="5">
        <v>73.386285342529078</v>
      </c>
      <c r="N82" s="8">
        <v>1.2500000000000001E-2</v>
      </c>
      <c r="O82" s="3">
        <v>20.420000000000002</v>
      </c>
      <c r="P82" s="5">
        <v>185.27396447016579</v>
      </c>
      <c r="Q82" s="3">
        <v>0.15</v>
      </c>
      <c r="R82" s="12">
        <f t="shared" si="1"/>
        <v>9.2636982235082895E-4</v>
      </c>
      <c r="V82" s="3"/>
      <c r="W82" s="3"/>
    </row>
    <row r="83" spans="1:23" x14ac:dyDescent="0.3">
      <c r="B83" s="1">
        <v>16</v>
      </c>
      <c r="C83" s="5">
        <v>500</v>
      </c>
      <c r="D83" s="1">
        <v>2</v>
      </c>
      <c r="E83" s="4">
        <v>138</v>
      </c>
      <c r="F83" s="3">
        <v>3.2689999999999997</v>
      </c>
      <c r="G83" s="1">
        <v>40</v>
      </c>
      <c r="H83" s="1">
        <v>48</v>
      </c>
      <c r="I83" s="1">
        <v>250</v>
      </c>
      <c r="J83" s="1">
        <v>348</v>
      </c>
      <c r="K83" s="1">
        <v>400</v>
      </c>
      <c r="L83" s="1">
        <v>32000</v>
      </c>
      <c r="M83" s="5">
        <v>73.386285342529078</v>
      </c>
      <c r="N83" s="8">
        <v>1.2500000000000001E-2</v>
      </c>
      <c r="O83" s="3">
        <v>23.34</v>
      </c>
      <c r="P83" s="5">
        <v>211.76759699968991</v>
      </c>
      <c r="Q83" s="3">
        <v>0.2</v>
      </c>
      <c r="R83" s="12">
        <f t="shared" si="1"/>
        <v>1.0588379849984495E-3</v>
      </c>
      <c r="V83" s="3"/>
      <c r="W83" s="3"/>
    </row>
    <row r="84" spans="1:23" x14ac:dyDescent="0.3">
      <c r="B84" s="1">
        <v>16</v>
      </c>
      <c r="C84" s="5">
        <v>500</v>
      </c>
      <c r="D84" s="1">
        <v>2</v>
      </c>
      <c r="E84" s="4">
        <v>138</v>
      </c>
      <c r="F84" s="3">
        <v>3.2689999999999997</v>
      </c>
      <c r="G84" s="1">
        <v>40</v>
      </c>
      <c r="H84" s="1">
        <v>48</v>
      </c>
      <c r="I84" s="1">
        <v>250</v>
      </c>
      <c r="J84" s="1">
        <v>348</v>
      </c>
      <c r="K84" s="1">
        <v>400</v>
      </c>
      <c r="L84" s="1">
        <v>32000</v>
      </c>
      <c r="M84" s="5">
        <v>73.386285342529078</v>
      </c>
      <c r="N84" s="8">
        <v>1.2500000000000001E-2</v>
      </c>
      <c r="O84" s="3">
        <v>26.26</v>
      </c>
      <c r="P84" s="5">
        <v>238.26122952921415</v>
      </c>
      <c r="Q84" s="3">
        <v>0.25</v>
      </c>
      <c r="R84" s="12">
        <f t="shared" si="1"/>
        <v>1.1913061476460708E-3</v>
      </c>
      <c r="V84" s="3"/>
      <c r="W84" s="3"/>
    </row>
    <row r="85" spans="1:23" x14ac:dyDescent="0.3">
      <c r="B85" s="1">
        <v>16</v>
      </c>
      <c r="C85" s="5">
        <v>500</v>
      </c>
      <c r="D85" s="1">
        <v>2</v>
      </c>
      <c r="E85" s="4">
        <v>138</v>
      </c>
      <c r="F85" s="3">
        <v>3.2689999999999997</v>
      </c>
      <c r="G85" s="1">
        <v>40</v>
      </c>
      <c r="H85" s="1">
        <v>48</v>
      </c>
      <c r="I85" s="1">
        <v>250</v>
      </c>
      <c r="J85" s="1">
        <v>348</v>
      </c>
      <c r="K85" s="1">
        <v>400</v>
      </c>
      <c r="L85" s="1">
        <v>32000</v>
      </c>
      <c r="M85" s="5">
        <v>73.386285342529078</v>
      </c>
      <c r="N85" s="8">
        <v>1.2500000000000001E-2</v>
      </c>
      <c r="O85" s="3">
        <v>29.175000000000001</v>
      </c>
      <c r="P85" s="5">
        <v>264.70949624961241</v>
      </c>
      <c r="Q85" s="3">
        <v>0.28000000000000003</v>
      </c>
      <c r="R85" s="12">
        <f t="shared" si="1"/>
        <v>1.323547481248062E-3</v>
      </c>
      <c r="V85" s="3"/>
      <c r="W85" s="3"/>
    </row>
    <row r="86" spans="1:23" x14ac:dyDescent="0.3">
      <c r="B86" s="1">
        <v>16</v>
      </c>
      <c r="C86" s="5">
        <v>500</v>
      </c>
      <c r="D86" s="1">
        <v>2</v>
      </c>
      <c r="E86" s="4">
        <v>138</v>
      </c>
      <c r="F86" s="3">
        <v>3.2689999999999997</v>
      </c>
      <c r="G86" s="1">
        <v>40</v>
      </c>
      <c r="H86" s="1">
        <v>48</v>
      </c>
      <c r="I86" s="1">
        <v>250</v>
      </c>
      <c r="J86" s="1">
        <v>348</v>
      </c>
      <c r="K86" s="1">
        <v>400</v>
      </c>
      <c r="L86" s="1">
        <v>32000</v>
      </c>
      <c r="M86" s="5">
        <v>73.386285342529078</v>
      </c>
      <c r="N86" s="8">
        <v>1.2500000000000001E-2</v>
      </c>
      <c r="O86" s="3">
        <v>32.090000000000003</v>
      </c>
      <c r="P86" s="5">
        <v>291.15776297001077</v>
      </c>
      <c r="Q86" s="3">
        <v>0.28000000000000003</v>
      </c>
      <c r="R86" s="12">
        <f t="shared" si="1"/>
        <v>1.4557888148500539E-3</v>
      </c>
      <c r="V86" s="3"/>
      <c r="W86" s="3"/>
    </row>
    <row r="87" spans="1:23" x14ac:dyDescent="0.3">
      <c r="B87" s="1">
        <v>16</v>
      </c>
      <c r="C87" s="5">
        <v>500</v>
      </c>
      <c r="D87" s="1">
        <v>2</v>
      </c>
      <c r="E87" s="4">
        <v>138</v>
      </c>
      <c r="F87" s="3">
        <v>3.2689999999999997</v>
      </c>
      <c r="G87" s="1">
        <v>40</v>
      </c>
      <c r="H87" s="1">
        <v>48</v>
      </c>
      <c r="I87" s="1">
        <v>250</v>
      </c>
      <c r="J87" s="1">
        <v>348</v>
      </c>
      <c r="K87" s="1">
        <v>400</v>
      </c>
      <c r="L87" s="1">
        <v>32000</v>
      </c>
      <c r="M87" s="5">
        <v>73.386285342529078</v>
      </c>
      <c r="N87" s="8">
        <v>1.2500000000000001E-2</v>
      </c>
      <c r="O87" s="3">
        <v>35.01</v>
      </c>
      <c r="P87" s="5">
        <v>317.65139549953489</v>
      </c>
      <c r="Q87" s="3">
        <v>0.3</v>
      </c>
      <c r="R87" s="12">
        <f t="shared" si="1"/>
        <v>1.5882569774976745E-3</v>
      </c>
      <c r="V87" s="3"/>
      <c r="W87" s="3"/>
    </row>
    <row r="88" spans="1:23" x14ac:dyDescent="0.3">
      <c r="B88" s="1">
        <v>16</v>
      </c>
      <c r="C88" s="5">
        <v>500</v>
      </c>
      <c r="D88" s="1">
        <v>2</v>
      </c>
      <c r="E88" s="4">
        <v>138</v>
      </c>
      <c r="F88" s="3">
        <v>3.2689999999999997</v>
      </c>
      <c r="G88" s="1">
        <v>40</v>
      </c>
      <c r="H88" s="1">
        <v>48</v>
      </c>
      <c r="I88" s="1">
        <v>250</v>
      </c>
      <c r="J88" s="1">
        <v>348</v>
      </c>
      <c r="K88" s="1">
        <v>400</v>
      </c>
      <c r="L88" s="1">
        <v>32000</v>
      </c>
      <c r="M88" s="5">
        <v>73.386285342529078</v>
      </c>
      <c r="N88" s="8">
        <v>1.2500000000000001E-2</v>
      </c>
      <c r="O88" s="3">
        <v>37.93</v>
      </c>
      <c r="P88" s="5">
        <v>344.14502802905912</v>
      </c>
      <c r="Q88" s="3">
        <v>0.33</v>
      </c>
      <c r="R88" s="12">
        <f t="shared" si="1"/>
        <v>1.7207251401452955E-3</v>
      </c>
      <c r="V88" s="3"/>
      <c r="W88" s="3"/>
    </row>
    <row r="89" spans="1:23" x14ac:dyDescent="0.3">
      <c r="B89" s="1">
        <v>16</v>
      </c>
      <c r="C89" s="5">
        <v>500</v>
      </c>
      <c r="D89" s="1">
        <v>2</v>
      </c>
      <c r="E89" s="4">
        <v>138</v>
      </c>
      <c r="F89" s="3">
        <v>3.2689999999999997</v>
      </c>
      <c r="G89" s="1">
        <v>40</v>
      </c>
      <c r="H89" s="1">
        <v>48</v>
      </c>
      <c r="I89" s="1">
        <v>250</v>
      </c>
      <c r="J89" s="1">
        <v>348</v>
      </c>
      <c r="K89" s="1">
        <v>400</v>
      </c>
      <c r="L89" s="1">
        <v>32000</v>
      </c>
      <c r="M89" s="5">
        <v>73.386285342529078</v>
      </c>
      <c r="N89" s="8">
        <v>1.2500000000000001E-2</v>
      </c>
      <c r="O89" s="3">
        <v>40.840000000000003</v>
      </c>
      <c r="P89" s="5">
        <v>370.54792894033159</v>
      </c>
      <c r="Q89" s="3">
        <v>0.33</v>
      </c>
      <c r="R89" s="12">
        <f t="shared" si="1"/>
        <v>1.8527396447016579E-3</v>
      </c>
      <c r="V89" s="3"/>
      <c r="W89" s="3"/>
    </row>
    <row r="90" spans="1:23" x14ac:dyDescent="0.3">
      <c r="A90" t="s">
        <v>26</v>
      </c>
      <c r="B90" s="1">
        <v>16</v>
      </c>
      <c r="C90" s="5">
        <v>500</v>
      </c>
      <c r="D90" s="1">
        <v>2</v>
      </c>
      <c r="E90" s="4">
        <v>138</v>
      </c>
      <c r="F90" s="3">
        <v>3.2689999999999997</v>
      </c>
      <c r="G90" s="1">
        <v>40</v>
      </c>
      <c r="H90" s="1">
        <v>48</v>
      </c>
      <c r="I90" s="1">
        <v>250</v>
      </c>
      <c r="J90" s="1">
        <v>348</v>
      </c>
      <c r="K90" s="1">
        <v>400</v>
      </c>
      <c r="L90" s="1">
        <v>32000</v>
      </c>
      <c r="M90" s="5">
        <v>73.386285342529078</v>
      </c>
      <c r="N90" s="8">
        <v>1.2500000000000001E-2</v>
      </c>
      <c r="O90" s="3">
        <v>23.34</v>
      </c>
      <c r="P90" s="5">
        <v>211.76759699968991</v>
      </c>
      <c r="Q90" s="3">
        <v>0.15</v>
      </c>
      <c r="R90" s="12">
        <f t="shared" si="1"/>
        <v>1.0588379849984495E-3</v>
      </c>
      <c r="V90" s="3"/>
      <c r="W90" s="3"/>
    </row>
    <row r="91" spans="1:23" x14ac:dyDescent="0.3">
      <c r="B91" s="1">
        <v>16</v>
      </c>
      <c r="C91" s="5">
        <v>500</v>
      </c>
      <c r="D91" s="1">
        <v>2</v>
      </c>
      <c r="E91" s="4">
        <v>138</v>
      </c>
      <c r="F91" s="3">
        <v>3.2689999999999997</v>
      </c>
      <c r="G91" s="1">
        <v>40</v>
      </c>
      <c r="H91" s="1">
        <v>48</v>
      </c>
      <c r="I91" s="1">
        <v>250</v>
      </c>
      <c r="J91" s="1">
        <v>348</v>
      </c>
      <c r="K91" s="1">
        <v>400</v>
      </c>
      <c r="L91" s="1">
        <v>32000</v>
      </c>
      <c r="M91" s="5">
        <v>73.386285342529078</v>
      </c>
      <c r="N91" s="8">
        <v>1.2500000000000001E-2</v>
      </c>
      <c r="O91" s="3">
        <v>26.26</v>
      </c>
      <c r="P91" s="5">
        <v>238.26122952921415</v>
      </c>
      <c r="Q91" s="3">
        <v>0.18</v>
      </c>
      <c r="R91" s="12">
        <f t="shared" si="1"/>
        <v>1.1913061476460708E-3</v>
      </c>
      <c r="V91" s="3"/>
      <c r="W91" s="3"/>
    </row>
    <row r="92" spans="1:23" x14ac:dyDescent="0.3">
      <c r="B92" s="1">
        <v>16</v>
      </c>
      <c r="C92" s="5">
        <v>500</v>
      </c>
      <c r="D92" s="1">
        <v>2</v>
      </c>
      <c r="E92" s="4">
        <v>138</v>
      </c>
      <c r="F92" s="3">
        <v>3.2689999999999997</v>
      </c>
      <c r="G92" s="1">
        <v>40</v>
      </c>
      <c r="H92" s="1">
        <v>48</v>
      </c>
      <c r="I92" s="1">
        <v>250</v>
      </c>
      <c r="J92" s="1">
        <v>348</v>
      </c>
      <c r="K92" s="1">
        <v>400</v>
      </c>
      <c r="L92" s="1">
        <v>32000</v>
      </c>
      <c r="M92" s="5">
        <v>73.386285342529078</v>
      </c>
      <c r="N92" s="8">
        <v>1.2500000000000001E-2</v>
      </c>
      <c r="O92" s="3">
        <v>29.175000000000001</v>
      </c>
      <c r="P92" s="5">
        <v>264.70949624961241</v>
      </c>
      <c r="Q92" s="3">
        <v>0.2</v>
      </c>
      <c r="R92" s="12">
        <f t="shared" si="1"/>
        <v>1.323547481248062E-3</v>
      </c>
      <c r="V92" s="3"/>
      <c r="W92" s="3"/>
    </row>
    <row r="93" spans="1:23" x14ac:dyDescent="0.3">
      <c r="B93" s="1">
        <v>16</v>
      </c>
      <c r="C93" s="5">
        <v>500</v>
      </c>
      <c r="D93" s="1">
        <v>2</v>
      </c>
      <c r="E93" s="4">
        <v>138</v>
      </c>
      <c r="F93" s="3">
        <v>3.2689999999999997</v>
      </c>
      <c r="G93" s="1">
        <v>40</v>
      </c>
      <c r="H93" s="1">
        <v>48</v>
      </c>
      <c r="I93" s="1">
        <v>250</v>
      </c>
      <c r="J93" s="1">
        <v>348</v>
      </c>
      <c r="K93" s="1">
        <v>400</v>
      </c>
      <c r="L93" s="1">
        <v>32000</v>
      </c>
      <c r="M93" s="5">
        <v>73.386285342529078</v>
      </c>
      <c r="N93" s="8">
        <v>1.2500000000000001E-2</v>
      </c>
      <c r="O93" s="3">
        <v>32.090000000000003</v>
      </c>
      <c r="P93" s="5">
        <v>291.15776297001077</v>
      </c>
      <c r="Q93" s="3">
        <v>0.25</v>
      </c>
      <c r="R93" s="12">
        <f t="shared" si="1"/>
        <v>1.4557888148500539E-3</v>
      </c>
      <c r="V93" s="3"/>
      <c r="W93" s="3"/>
    </row>
    <row r="94" spans="1:23" x14ac:dyDescent="0.3">
      <c r="B94" s="1">
        <v>16</v>
      </c>
      <c r="C94" s="5">
        <v>500</v>
      </c>
      <c r="D94" s="1">
        <v>2</v>
      </c>
      <c r="E94" s="4">
        <v>138</v>
      </c>
      <c r="F94" s="3">
        <v>3.2689999999999997</v>
      </c>
      <c r="G94" s="1">
        <v>40</v>
      </c>
      <c r="H94" s="1">
        <v>48</v>
      </c>
      <c r="I94" s="1">
        <v>250</v>
      </c>
      <c r="J94" s="1">
        <v>348</v>
      </c>
      <c r="K94" s="1">
        <v>400</v>
      </c>
      <c r="L94" s="1">
        <v>32000</v>
      </c>
      <c r="M94" s="5">
        <v>73.386285342529078</v>
      </c>
      <c r="N94" s="8">
        <v>1.2500000000000001E-2</v>
      </c>
      <c r="O94" s="3">
        <v>35.01</v>
      </c>
      <c r="P94" s="5">
        <v>317.65139549953489</v>
      </c>
      <c r="Q94" s="3">
        <v>0.3</v>
      </c>
      <c r="R94" s="12">
        <f t="shared" si="1"/>
        <v>1.5882569774976745E-3</v>
      </c>
      <c r="V94" s="3"/>
      <c r="W94" s="3"/>
    </row>
    <row r="95" spans="1:23" x14ac:dyDescent="0.3">
      <c r="B95" s="1">
        <v>16</v>
      </c>
      <c r="C95" s="5">
        <v>500</v>
      </c>
      <c r="D95" s="1">
        <v>2</v>
      </c>
      <c r="E95" s="4">
        <v>138</v>
      </c>
      <c r="F95" s="3">
        <v>3.2689999999999997</v>
      </c>
      <c r="G95" s="1">
        <v>40</v>
      </c>
      <c r="H95" s="1">
        <v>48</v>
      </c>
      <c r="I95" s="1">
        <v>250</v>
      </c>
      <c r="J95" s="1">
        <v>348</v>
      </c>
      <c r="K95" s="1">
        <v>400</v>
      </c>
      <c r="L95" s="1">
        <v>32000</v>
      </c>
      <c r="M95" s="5">
        <v>73.386285342529078</v>
      </c>
      <c r="N95" s="8">
        <v>1.2500000000000001E-2</v>
      </c>
      <c r="O95" s="3">
        <v>37.93</v>
      </c>
      <c r="P95" s="5">
        <v>344.14502802905912</v>
      </c>
      <c r="Q95" s="3">
        <v>0.33</v>
      </c>
      <c r="R95" s="12">
        <f t="shared" si="1"/>
        <v>1.7207251401452955E-3</v>
      </c>
      <c r="V95" s="3"/>
      <c r="W95" s="3"/>
    </row>
    <row r="96" spans="1:23" x14ac:dyDescent="0.3">
      <c r="B96" s="1">
        <v>16</v>
      </c>
      <c r="C96" s="5">
        <v>500</v>
      </c>
      <c r="D96" s="1">
        <v>2</v>
      </c>
      <c r="E96" s="4">
        <v>138</v>
      </c>
      <c r="F96" s="3">
        <v>3.2689999999999997</v>
      </c>
      <c r="G96" s="1">
        <v>40</v>
      </c>
      <c r="H96" s="1">
        <v>48</v>
      </c>
      <c r="I96" s="1">
        <v>250</v>
      </c>
      <c r="J96" s="1">
        <v>348</v>
      </c>
      <c r="K96" s="1">
        <v>400</v>
      </c>
      <c r="L96" s="1">
        <v>32000</v>
      </c>
      <c r="M96" s="5">
        <v>73.386285342529078</v>
      </c>
      <c r="N96" s="8">
        <v>1.2500000000000001E-2</v>
      </c>
      <c r="O96" s="3">
        <v>40.840000000000003</v>
      </c>
      <c r="P96" s="5">
        <v>370.54792894033159</v>
      </c>
      <c r="Q96" s="3">
        <v>0.38</v>
      </c>
      <c r="R96" s="12">
        <f t="shared" si="1"/>
        <v>1.8527396447016579E-3</v>
      </c>
      <c r="V96" s="3"/>
      <c r="W96" s="3"/>
    </row>
    <row r="97" spans="1:23" x14ac:dyDescent="0.3">
      <c r="A97" t="s">
        <v>27</v>
      </c>
      <c r="B97" s="1">
        <v>16</v>
      </c>
      <c r="C97" s="5">
        <v>500</v>
      </c>
      <c r="D97" s="1">
        <v>2</v>
      </c>
      <c r="E97" s="4">
        <v>168</v>
      </c>
      <c r="F97" s="3">
        <v>3.2689999999999997</v>
      </c>
      <c r="G97" s="1">
        <v>25</v>
      </c>
      <c r="H97" s="1">
        <v>33</v>
      </c>
      <c r="I97" s="1">
        <v>250</v>
      </c>
      <c r="J97" s="1">
        <v>333</v>
      </c>
      <c r="K97" s="1">
        <v>400</v>
      </c>
      <c r="L97" s="1">
        <v>12769</v>
      </c>
      <c r="M97" s="5">
        <v>73.386285342529078</v>
      </c>
      <c r="N97" s="8">
        <v>1.5746098349890107E-2</v>
      </c>
      <c r="O97" s="3">
        <v>23.34</v>
      </c>
      <c r="P97" s="5">
        <v>211.76759699968994</v>
      </c>
      <c r="Q97" s="3">
        <v>0.15</v>
      </c>
      <c r="R97" s="12">
        <f t="shared" si="1"/>
        <v>1.0588379849984497E-3</v>
      </c>
      <c r="V97" s="3"/>
      <c r="W97" s="3"/>
    </row>
    <row r="98" spans="1:23" x14ac:dyDescent="0.3">
      <c r="B98" s="1">
        <v>16</v>
      </c>
      <c r="C98" s="5">
        <v>500</v>
      </c>
      <c r="D98" s="1">
        <v>2</v>
      </c>
      <c r="E98" s="4">
        <v>168</v>
      </c>
      <c r="F98" s="3">
        <v>3.2689999999999997</v>
      </c>
      <c r="G98" s="1">
        <v>25</v>
      </c>
      <c r="H98" s="1">
        <v>33</v>
      </c>
      <c r="I98" s="1">
        <v>250</v>
      </c>
      <c r="J98" s="1">
        <v>333</v>
      </c>
      <c r="K98" s="1">
        <v>400</v>
      </c>
      <c r="L98" s="1">
        <v>12769</v>
      </c>
      <c r="M98" s="5">
        <v>73.386285342529078</v>
      </c>
      <c r="N98" s="8">
        <v>1.5746098349890107E-2</v>
      </c>
      <c r="O98" s="3">
        <v>26.26</v>
      </c>
      <c r="P98" s="5">
        <v>238.26122952921412</v>
      </c>
      <c r="Q98" s="3">
        <v>0.18</v>
      </c>
      <c r="R98" s="12">
        <f t="shared" si="1"/>
        <v>1.1913061476460705E-3</v>
      </c>
      <c r="V98" s="3"/>
      <c r="W98" s="3"/>
    </row>
    <row r="99" spans="1:23" x14ac:dyDescent="0.3">
      <c r="B99" s="1">
        <v>16</v>
      </c>
      <c r="C99" s="5">
        <v>500</v>
      </c>
      <c r="D99" s="1">
        <v>2</v>
      </c>
      <c r="E99" s="4">
        <v>168</v>
      </c>
      <c r="F99" s="3">
        <v>3.2689999999999997</v>
      </c>
      <c r="G99" s="1">
        <v>25</v>
      </c>
      <c r="H99" s="1">
        <v>33</v>
      </c>
      <c r="I99" s="1">
        <v>250</v>
      </c>
      <c r="J99" s="1">
        <v>333</v>
      </c>
      <c r="K99" s="1">
        <v>400</v>
      </c>
      <c r="L99" s="1">
        <v>12769</v>
      </c>
      <c r="M99" s="5">
        <v>73.386285342529078</v>
      </c>
      <c r="N99" s="8">
        <v>1.5746098349890107E-2</v>
      </c>
      <c r="O99" s="3">
        <v>29.175000000000001</v>
      </c>
      <c r="P99" s="5">
        <v>264.70949624961241</v>
      </c>
      <c r="Q99" s="3">
        <v>0.2</v>
      </c>
      <c r="R99" s="12">
        <f t="shared" si="1"/>
        <v>1.323547481248062E-3</v>
      </c>
      <c r="V99" s="3"/>
      <c r="W99" s="3"/>
    </row>
    <row r="100" spans="1:23" x14ac:dyDescent="0.3">
      <c r="B100" s="1">
        <v>16</v>
      </c>
      <c r="C100" s="5">
        <v>500</v>
      </c>
      <c r="D100" s="1">
        <v>2</v>
      </c>
      <c r="E100" s="4">
        <v>168</v>
      </c>
      <c r="F100" s="3">
        <v>3.2689999999999997</v>
      </c>
      <c r="G100" s="1">
        <v>25</v>
      </c>
      <c r="H100" s="1">
        <v>33</v>
      </c>
      <c r="I100" s="1">
        <v>250</v>
      </c>
      <c r="J100" s="1">
        <v>333</v>
      </c>
      <c r="K100" s="1">
        <v>400</v>
      </c>
      <c r="L100" s="1">
        <v>12769</v>
      </c>
      <c r="M100" s="5">
        <v>73.386285342529078</v>
      </c>
      <c r="N100" s="8">
        <v>1.5746098349890107E-2</v>
      </c>
      <c r="O100" s="3">
        <v>32.090000000000003</v>
      </c>
      <c r="P100" s="5">
        <v>291.15776297001071</v>
      </c>
      <c r="Q100" s="3">
        <v>0.23</v>
      </c>
      <c r="R100" s="12">
        <f t="shared" si="1"/>
        <v>1.4557888148500535E-3</v>
      </c>
      <c r="V100" s="3"/>
      <c r="W100" s="3"/>
    </row>
    <row r="101" spans="1:23" x14ac:dyDescent="0.3">
      <c r="B101" s="1">
        <v>16</v>
      </c>
      <c r="C101" s="5">
        <v>500</v>
      </c>
      <c r="D101" s="1">
        <v>2</v>
      </c>
      <c r="E101" s="4">
        <v>168</v>
      </c>
      <c r="F101" s="3">
        <v>3.2689999999999997</v>
      </c>
      <c r="G101" s="1">
        <v>25</v>
      </c>
      <c r="H101" s="1">
        <v>33</v>
      </c>
      <c r="I101" s="1">
        <v>250</v>
      </c>
      <c r="J101" s="1">
        <v>333</v>
      </c>
      <c r="K101" s="1">
        <v>400</v>
      </c>
      <c r="L101" s="1">
        <v>12769</v>
      </c>
      <c r="M101" s="5">
        <v>73.386285342529078</v>
      </c>
      <c r="N101" s="8">
        <v>1.5746098349890107E-2</v>
      </c>
      <c r="O101" s="3">
        <v>35.01</v>
      </c>
      <c r="P101" s="5">
        <v>317.65139549953489</v>
      </c>
      <c r="Q101" s="3">
        <v>0.25</v>
      </c>
      <c r="R101" s="12">
        <f t="shared" si="1"/>
        <v>1.5882569774976745E-3</v>
      </c>
      <c r="V101" s="3"/>
      <c r="W101" s="3"/>
    </row>
    <row r="102" spans="1:23" x14ac:dyDescent="0.3">
      <c r="B102" s="1">
        <v>16</v>
      </c>
      <c r="C102" s="5">
        <v>500</v>
      </c>
      <c r="D102" s="1">
        <v>2</v>
      </c>
      <c r="E102" s="4">
        <v>168</v>
      </c>
      <c r="F102" s="3">
        <v>3.2689999999999997</v>
      </c>
      <c r="G102" s="1">
        <v>25</v>
      </c>
      <c r="H102" s="1">
        <v>33</v>
      </c>
      <c r="I102" s="1">
        <v>250</v>
      </c>
      <c r="J102" s="1">
        <v>333</v>
      </c>
      <c r="K102" s="1">
        <v>400</v>
      </c>
      <c r="L102" s="1">
        <v>12769</v>
      </c>
      <c r="M102" s="5">
        <v>73.386285342529078</v>
      </c>
      <c r="N102" s="8">
        <v>1.5746098349890107E-2</v>
      </c>
      <c r="O102" s="3">
        <v>37.93</v>
      </c>
      <c r="P102" s="5">
        <v>344.14502802905906</v>
      </c>
      <c r="Q102" s="3">
        <v>0.3</v>
      </c>
      <c r="R102" s="12">
        <f t="shared" si="1"/>
        <v>1.7207251401452953E-3</v>
      </c>
      <c r="V102" s="3"/>
      <c r="W102" s="3"/>
    </row>
    <row r="103" spans="1:23" x14ac:dyDescent="0.3">
      <c r="B103" s="1">
        <v>16</v>
      </c>
      <c r="C103" s="5">
        <v>500</v>
      </c>
      <c r="D103" s="1">
        <v>2</v>
      </c>
      <c r="E103" s="4">
        <v>168</v>
      </c>
      <c r="F103" s="3">
        <v>3.2689999999999997</v>
      </c>
      <c r="G103" s="1">
        <v>25</v>
      </c>
      <c r="H103" s="1">
        <v>33</v>
      </c>
      <c r="I103" s="1">
        <v>250</v>
      </c>
      <c r="J103" s="1">
        <v>333</v>
      </c>
      <c r="K103" s="1">
        <v>400</v>
      </c>
      <c r="L103" s="1">
        <v>12769</v>
      </c>
      <c r="M103" s="5">
        <v>73.386285342529078</v>
      </c>
      <c r="N103" s="8">
        <v>1.5746098349890107E-2</v>
      </c>
      <c r="O103" s="3">
        <v>40.840000000000003</v>
      </c>
      <c r="P103" s="5">
        <v>370.54792894033153</v>
      </c>
      <c r="Q103" s="3">
        <v>0.3</v>
      </c>
      <c r="R103" s="12">
        <f t="shared" si="1"/>
        <v>1.8527396447016577E-3</v>
      </c>
      <c r="V103" s="3"/>
      <c r="W103" s="3"/>
    </row>
    <row r="104" spans="1:23" x14ac:dyDescent="0.3">
      <c r="A104" t="s">
        <v>28</v>
      </c>
      <c r="B104" s="1">
        <v>16</v>
      </c>
      <c r="C104" s="5">
        <v>500</v>
      </c>
      <c r="D104" s="1">
        <v>2</v>
      </c>
      <c r="E104" s="4">
        <v>168</v>
      </c>
      <c r="F104" s="3">
        <v>3.2689999999999997</v>
      </c>
      <c r="G104" s="1">
        <v>25</v>
      </c>
      <c r="H104" s="1">
        <v>33</v>
      </c>
      <c r="I104" s="1">
        <v>250</v>
      </c>
      <c r="J104" s="1">
        <v>333</v>
      </c>
      <c r="K104" s="1">
        <v>400</v>
      </c>
      <c r="L104" s="1">
        <v>12769</v>
      </c>
      <c r="M104" s="5">
        <v>73.386285342529078</v>
      </c>
      <c r="N104" s="8">
        <v>1.5746098349890107E-2</v>
      </c>
      <c r="O104" s="3">
        <v>20.420000000000002</v>
      </c>
      <c r="P104" s="5">
        <v>185.27396447016577</v>
      </c>
      <c r="Q104" s="3">
        <v>0.15</v>
      </c>
      <c r="R104" s="12">
        <f t="shared" si="1"/>
        <v>9.2636982235082884E-4</v>
      </c>
      <c r="V104" s="3"/>
      <c r="W104" s="3"/>
    </row>
    <row r="105" spans="1:23" x14ac:dyDescent="0.3">
      <c r="B105" s="1">
        <v>16</v>
      </c>
      <c r="C105" s="5">
        <v>500</v>
      </c>
      <c r="D105" s="1">
        <v>2</v>
      </c>
      <c r="E105" s="4">
        <v>168</v>
      </c>
      <c r="F105" s="3">
        <v>3.2689999999999997</v>
      </c>
      <c r="G105" s="1">
        <v>25</v>
      </c>
      <c r="H105" s="1">
        <v>33</v>
      </c>
      <c r="I105" s="1">
        <v>250</v>
      </c>
      <c r="J105" s="1">
        <v>333</v>
      </c>
      <c r="K105" s="1">
        <v>400</v>
      </c>
      <c r="L105" s="1">
        <v>12769</v>
      </c>
      <c r="M105" s="5">
        <v>73.386285342529078</v>
      </c>
      <c r="N105" s="8">
        <v>1.5746098349890107E-2</v>
      </c>
      <c r="O105" s="3">
        <v>23.34</v>
      </c>
      <c r="P105" s="5">
        <v>211.76759699968994</v>
      </c>
      <c r="Q105" s="3">
        <v>0.18</v>
      </c>
      <c r="R105" s="12">
        <f t="shared" si="1"/>
        <v>1.0588379849984497E-3</v>
      </c>
      <c r="V105" s="3"/>
      <c r="W105" s="3"/>
    </row>
    <row r="106" spans="1:23" x14ac:dyDescent="0.3">
      <c r="B106" s="1">
        <v>16</v>
      </c>
      <c r="C106" s="5">
        <v>500</v>
      </c>
      <c r="D106" s="1">
        <v>2</v>
      </c>
      <c r="E106" s="4">
        <v>168</v>
      </c>
      <c r="F106" s="3">
        <v>3.2689999999999997</v>
      </c>
      <c r="G106" s="1">
        <v>25</v>
      </c>
      <c r="H106" s="1">
        <v>33</v>
      </c>
      <c r="I106" s="1">
        <v>250</v>
      </c>
      <c r="J106" s="1">
        <v>333</v>
      </c>
      <c r="K106" s="1">
        <v>400</v>
      </c>
      <c r="L106" s="1">
        <v>12769</v>
      </c>
      <c r="M106" s="5">
        <v>73.386285342529078</v>
      </c>
      <c r="N106" s="8">
        <v>1.5746098349890107E-2</v>
      </c>
      <c r="O106" s="3">
        <v>26.26</v>
      </c>
      <c r="P106" s="5">
        <v>238.26122952921412</v>
      </c>
      <c r="Q106" s="3">
        <v>0.18</v>
      </c>
      <c r="R106" s="12">
        <f t="shared" si="1"/>
        <v>1.1913061476460705E-3</v>
      </c>
      <c r="V106" s="3"/>
      <c r="W106" s="3"/>
    </row>
    <row r="107" spans="1:23" x14ac:dyDescent="0.3">
      <c r="B107" s="1">
        <v>16</v>
      </c>
      <c r="C107" s="5">
        <v>500</v>
      </c>
      <c r="D107" s="1">
        <v>2</v>
      </c>
      <c r="E107" s="4">
        <v>168</v>
      </c>
      <c r="F107" s="3">
        <v>3.2689999999999997</v>
      </c>
      <c r="G107" s="1">
        <v>25</v>
      </c>
      <c r="H107" s="1">
        <v>33</v>
      </c>
      <c r="I107" s="1">
        <v>250</v>
      </c>
      <c r="J107" s="1">
        <v>333</v>
      </c>
      <c r="K107" s="1">
        <v>400</v>
      </c>
      <c r="L107" s="1">
        <v>12769</v>
      </c>
      <c r="M107" s="5">
        <v>73.386285342529078</v>
      </c>
      <c r="N107" s="8">
        <v>1.5746098349890107E-2</v>
      </c>
      <c r="O107" s="3">
        <v>29.175000000000001</v>
      </c>
      <c r="P107" s="5">
        <v>264.70949624961241</v>
      </c>
      <c r="Q107" s="3">
        <v>0.25</v>
      </c>
      <c r="R107" s="12">
        <f t="shared" si="1"/>
        <v>1.323547481248062E-3</v>
      </c>
      <c r="V107" s="3"/>
      <c r="W107" s="3"/>
    </row>
    <row r="108" spans="1:23" x14ac:dyDescent="0.3">
      <c r="B108" s="1">
        <v>16</v>
      </c>
      <c r="C108" s="5">
        <v>500</v>
      </c>
      <c r="D108" s="1">
        <v>2</v>
      </c>
      <c r="E108" s="4">
        <v>168</v>
      </c>
      <c r="F108" s="3">
        <v>3.2689999999999997</v>
      </c>
      <c r="G108" s="1">
        <v>25</v>
      </c>
      <c r="H108" s="1">
        <v>33</v>
      </c>
      <c r="I108" s="1">
        <v>250</v>
      </c>
      <c r="J108" s="1">
        <v>333</v>
      </c>
      <c r="K108" s="1">
        <v>400</v>
      </c>
      <c r="L108" s="1">
        <v>12769</v>
      </c>
      <c r="M108" s="5">
        <v>73.386285342529078</v>
      </c>
      <c r="N108" s="8">
        <v>1.5746098349890107E-2</v>
      </c>
      <c r="O108" s="3">
        <v>32.090000000000003</v>
      </c>
      <c r="P108" s="5">
        <v>291.15776297001071</v>
      </c>
      <c r="Q108" s="3">
        <v>0.28000000000000003</v>
      </c>
      <c r="R108" s="12">
        <f t="shared" si="1"/>
        <v>1.4557888148500535E-3</v>
      </c>
      <c r="V108" s="3"/>
      <c r="W108" s="3"/>
    </row>
    <row r="109" spans="1:23" x14ac:dyDescent="0.3">
      <c r="B109" s="1">
        <v>16</v>
      </c>
      <c r="C109" s="5">
        <v>500</v>
      </c>
      <c r="D109" s="1">
        <v>2</v>
      </c>
      <c r="E109" s="4">
        <v>168</v>
      </c>
      <c r="F109" s="3">
        <v>3.2689999999999997</v>
      </c>
      <c r="G109" s="1">
        <v>25</v>
      </c>
      <c r="H109" s="1">
        <v>33</v>
      </c>
      <c r="I109" s="1">
        <v>250</v>
      </c>
      <c r="J109" s="1">
        <v>333</v>
      </c>
      <c r="K109" s="1">
        <v>400</v>
      </c>
      <c r="L109" s="1">
        <v>12769</v>
      </c>
      <c r="M109" s="5">
        <v>73.386285342529078</v>
      </c>
      <c r="N109" s="8">
        <v>1.5746098349890107E-2</v>
      </c>
      <c r="O109" s="3">
        <v>35.01</v>
      </c>
      <c r="P109" s="5">
        <v>317.65139549953489</v>
      </c>
      <c r="Q109" s="3">
        <v>0.33</v>
      </c>
      <c r="R109" s="12">
        <f t="shared" si="1"/>
        <v>1.5882569774976745E-3</v>
      </c>
      <c r="V109" s="3"/>
      <c r="W109" s="3"/>
    </row>
    <row r="110" spans="1:23" x14ac:dyDescent="0.3">
      <c r="B110" s="1">
        <v>16</v>
      </c>
      <c r="C110" s="5">
        <v>500</v>
      </c>
      <c r="D110" s="1">
        <v>2</v>
      </c>
      <c r="E110" s="4">
        <v>168</v>
      </c>
      <c r="F110" s="3">
        <v>3.2689999999999997</v>
      </c>
      <c r="G110" s="1">
        <v>25</v>
      </c>
      <c r="H110" s="1">
        <v>33</v>
      </c>
      <c r="I110" s="1">
        <v>250</v>
      </c>
      <c r="J110" s="1">
        <v>333</v>
      </c>
      <c r="K110" s="1">
        <v>400</v>
      </c>
      <c r="L110" s="1">
        <v>12769</v>
      </c>
      <c r="M110" s="5">
        <v>73.386285342529078</v>
      </c>
      <c r="N110" s="8">
        <v>1.5746098349890107E-2</v>
      </c>
      <c r="O110" s="3">
        <v>37.93</v>
      </c>
      <c r="P110" s="5">
        <v>344.14502802905906</v>
      </c>
      <c r="Q110" s="3">
        <v>0.38</v>
      </c>
      <c r="R110" s="12">
        <f t="shared" si="1"/>
        <v>1.7207251401452953E-3</v>
      </c>
      <c r="V110" s="3"/>
      <c r="W110" s="3"/>
    </row>
    <row r="111" spans="1:23" x14ac:dyDescent="0.3">
      <c r="B111" s="1">
        <v>16</v>
      </c>
      <c r="C111" s="5">
        <v>500</v>
      </c>
      <c r="D111" s="1">
        <v>2</v>
      </c>
      <c r="E111" s="4">
        <v>168</v>
      </c>
      <c r="F111" s="3">
        <v>3.2689999999999997</v>
      </c>
      <c r="G111" s="1">
        <v>25</v>
      </c>
      <c r="H111" s="1">
        <v>33</v>
      </c>
      <c r="I111" s="1">
        <v>250</v>
      </c>
      <c r="J111" s="1">
        <v>333</v>
      </c>
      <c r="K111" s="1">
        <v>400</v>
      </c>
      <c r="L111" s="1">
        <v>12769</v>
      </c>
      <c r="M111" s="5">
        <v>73.386285342529078</v>
      </c>
      <c r="N111" s="8">
        <v>1.5746098349890107E-2</v>
      </c>
      <c r="O111" s="3">
        <v>40.840000000000003</v>
      </c>
      <c r="P111" s="5">
        <v>370.54792894033153</v>
      </c>
      <c r="Q111" s="3">
        <v>0.43</v>
      </c>
      <c r="R111" s="12">
        <f t="shared" si="1"/>
        <v>1.8527396447016577E-3</v>
      </c>
      <c r="V111" s="3"/>
      <c r="W111" s="3"/>
    </row>
    <row r="112" spans="1:23" x14ac:dyDescent="0.3">
      <c r="A112" t="s">
        <v>29</v>
      </c>
      <c r="B112" s="1">
        <v>16</v>
      </c>
      <c r="C112" s="5">
        <v>500</v>
      </c>
      <c r="D112" s="1">
        <v>3</v>
      </c>
      <c r="E112" s="4">
        <v>76</v>
      </c>
      <c r="F112" s="3">
        <v>3.2689999999999997</v>
      </c>
      <c r="G112" s="1">
        <v>25</v>
      </c>
      <c r="H112" s="1">
        <v>33</v>
      </c>
      <c r="I112" s="1">
        <v>250</v>
      </c>
      <c r="J112" s="1">
        <v>333</v>
      </c>
      <c r="K112" s="1">
        <v>600</v>
      </c>
      <c r="L112" s="1">
        <v>28250</v>
      </c>
      <c r="M112" s="5">
        <v>87.114505405349817</v>
      </c>
      <c r="N112" s="8">
        <v>2.1238938053097345E-2</v>
      </c>
      <c r="O112" s="3">
        <v>37.93</v>
      </c>
      <c r="P112" s="5">
        <v>233.30469206437246</v>
      </c>
      <c r="Q112" s="3">
        <v>0.15</v>
      </c>
      <c r="R112" s="12">
        <f t="shared" si="1"/>
        <v>1.1665234603218623E-3</v>
      </c>
      <c r="V112" s="3"/>
      <c r="W112" s="3"/>
    </row>
    <row r="113" spans="1:23" x14ac:dyDescent="0.3">
      <c r="B113" s="1">
        <v>16</v>
      </c>
      <c r="C113" s="5">
        <v>500</v>
      </c>
      <c r="D113" s="1">
        <v>3</v>
      </c>
      <c r="E113" s="4">
        <v>76</v>
      </c>
      <c r="F113" s="3">
        <v>3.2689999999999997</v>
      </c>
      <c r="G113" s="1">
        <v>25</v>
      </c>
      <c r="H113" s="1">
        <v>33</v>
      </c>
      <c r="I113" s="1">
        <v>250</v>
      </c>
      <c r="J113" s="1">
        <v>333</v>
      </c>
      <c r="K113" s="1">
        <v>600</v>
      </c>
      <c r="L113" s="1">
        <v>28250</v>
      </c>
      <c r="M113" s="5">
        <v>87.114505405349817</v>
      </c>
      <c r="N113" s="8">
        <v>2.1238938053097345E-2</v>
      </c>
      <c r="O113" s="3">
        <v>40.840000000000003</v>
      </c>
      <c r="P113" s="5">
        <v>251.20389200920044</v>
      </c>
      <c r="Q113" s="3">
        <v>0.18</v>
      </c>
      <c r="R113" s="12">
        <f t="shared" si="1"/>
        <v>1.2560194600460023E-3</v>
      </c>
      <c r="V113" s="3"/>
      <c r="W113" s="3"/>
    </row>
    <row r="114" spans="1:23" x14ac:dyDescent="0.3">
      <c r="B114" s="1">
        <v>16</v>
      </c>
      <c r="C114" s="5">
        <v>500</v>
      </c>
      <c r="D114" s="1">
        <v>3</v>
      </c>
      <c r="E114" s="4">
        <v>76</v>
      </c>
      <c r="F114" s="3">
        <v>3.2689999999999997</v>
      </c>
      <c r="G114" s="1">
        <v>25</v>
      </c>
      <c r="H114" s="1">
        <v>33</v>
      </c>
      <c r="I114" s="1">
        <v>250</v>
      </c>
      <c r="J114" s="1">
        <v>333</v>
      </c>
      <c r="K114" s="1">
        <v>600</v>
      </c>
      <c r="L114" s="1">
        <v>28250</v>
      </c>
      <c r="M114" s="5">
        <v>87.114505405349817</v>
      </c>
      <c r="N114" s="8">
        <v>2.1238938053097345E-2</v>
      </c>
      <c r="O114" s="3">
        <v>43.76</v>
      </c>
      <c r="P114" s="5">
        <v>269.16460123218928</v>
      </c>
      <c r="Q114" s="3">
        <v>0.18</v>
      </c>
      <c r="R114" s="12">
        <f t="shared" si="1"/>
        <v>1.3458230061609464E-3</v>
      </c>
      <c r="V114" s="3"/>
      <c r="W114" s="3"/>
    </row>
    <row r="115" spans="1:23" x14ac:dyDescent="0.3">
      <c r="B115" s="1">
        <v>16</v>
      </c>
      <c r="C115" s="5">
        <v>500</v>
      </c>
      <c r="D115" s="1">
        <v>3</v>
      </c>
      <c r="E115" s="4">
        <v>76</v>
      </c>
      <c r="F115" s="3">
        <v>3.2689999999999997</v>
      </c>
      <c r="G115" s="1">
        <v>25</v>
      </c>
      <c r="H115" s="1">
        <v>33</v>
      </c>
      <c r="I115" s="1">
        <v>250</v>
      </c>
      <c r="J115" s="1">
        <v>333</v>
      </c>
      <c r="K115" s="1">
        <v>600</v>
      </c>
      <c r="L115" s="1">
        <v>28250</v>
      </c>
      <c r="M115" s="5">
        <v>87.114505405349817</v>
      </c>
      <c r="N115" s="8">
        <v>2.1238938053097345E-2</v>
      </c>
      <c r="O115" s="3">
        <v>46.68</v>
      </c>
      <c r="P115" s="5">
        <v>287.12531045517812</v>
      </c>
      <c r="Q115" s="3">
        <v>0.2</v>
      </c>
      <c r="R115" s="12">
        <f t="shared" si="1"/>
        <v>1.4356265522758906E-3</v>
      </c>
      <c r="V115" s="3"/>
      <c r="W115" s="3"/>
    </row>
    <row r="116" spans="1:23" x14ac:dyDescent="0.3">
      <c r="B116" s="1">
        <v>16</v>
      </c>
      <c r="C116" s="5">
        <v>500</v>
      </c>
      <c r="D116" s="1">
        <v>3</v>
      </c>
      <c r="E116" s="4">
        <v>76</v>
      </c>
      <c r="F116" s="3">
        <v>3.2689999999999997</v>
      </c>
      <c r="G116" s="1">
        <v>25</v>
      </c>
      <c r="H116" s="1">
        <v>33</v>
      </c>
      <c r="I116" s="1">
        <v>250</v>
      </c>
      <c r="J116" s="1">
        <v>333</v>
      </c>
      <c r="K116" s="1">
        <v>600</v>
      </c>
      <c r="L116" s="1">
        <v>28250</v>
      </c>
      <c r="M116" s="5">
        <v>87.114505405349817</v>
      </c>
      <c r="N116" s="8">
        <v>2.1238938053097345E-2</v>
      </c>
      <c r="O116" s="3">
        <v>49.6</v>
      </c>
      <c r="P116" s="5">
        <v>305.08601967816708</v>
      </c>
      <c r="Q116" s="3">
        <v>0.2</v>
      </c>
      <c r="R116" s="12">
        <f t="shared" si="1"/>
        <v>1.5254300983908353E-3</v>
      </c>
      <c r="V116" s="3"/>
      <c r="W116" s="3"/>
    </row>
    <row r="117" spans="1:23" x14ac:dyDescent="0.3">
      <c r="A117" t="s">
        <v>30</v>
      </c>
      <c r="B117" s="1">
        <v>16</v>
      </c>
      <c r="C117" s="5">
        <v>500</v>
      </c>
      <c r="D117" s="1">
        <v>3</v>
      </c>
      <c r="E117" s="4">
        <v>76</v>
      </c>
      <c r="F117" s="3">
        <v>3.2689999999999997</v>
      </c>
      <c r="G117" s="1">
        <v>25</v>
      </c>
      <c r="H117" s="1">
        <v>33</v>
      </c>
      <c r="I117" s="1">
        <v>250</v>
      </c>
      <c r="J117" s="1">
        <v>333</v>
      </c>
      <c r="K117" s="1">
        <v>600</v>
      </c>
      <c r="L117" s="1">
        <v>28250</v>
      </c>
      <c r="M117" s="5">
        <v>87.114505405349817</v>
      </c>
      <c r="N117" s="8">
        <v>2.1238938053097345E-2</v>
      </c>
      <c r="O117" s="3">
        <v>40.840000000000003</v>
      </c>
      <c r="P117" s="5">
        <v>251.20389200920044</v>
      </c>
      <c r="Q117" s="3">
        <v>0.15</v>
      </c>
      <c r="R117" s="12">
        <f t="shared" si="1"/>
        <v>1.2560194600460023E-3</v>
      </c>
      <c r="V117" s="3"/>
      <c r="W117" s="3"/>
    </row>
    <row r="118" spans="1:23" x14ac:dyDescent="0.3">
      <c r="B118" s="1">
        <v>16</v>
      </c>
      <c r="C118" s="5">
        <v>500</v>
      </c>
      <c r="D118" s="1">
        <v>3</v>
      </c>
      <c r="E118" s="4">
        <v>76</v>
      </c>
      <c r="F118" s="3">
        <v>3.2689999999999997</v>
      </c>
      <c r="G118" s="1">
        <v>25</v>
      </c>
      <c r="H118" s="1">
        <v>33</v>
      </c>
      <c r="I118" s="1">
        <v>250</v>
      </c>
      <c r="J118" s="1">
        <v>333</v>
      </c>
      <c r="K118" s="1">
        <v>600</v>
      </c>
      <c r="L118" s="1">
        <v>28250</v>
      </c>
      <c r="M118" s="5">
        <v>87.114505405349817</v>
      </c>
      <c r="N118" s="8">
        <v>2.1238938053097345E-2</v>
      </c>
      <c r="O118" s="3">
        <v>43.76</v>
      </c>
      <c r="P118" s="5">
        <v>269.16460123218928</v>
      </c>
      <c r="Q118" s="3">
        <v>0.18</v>
      </c>
      <c r="R118" s="12">
        <f t="shared" si="1"/>
        <v>1.3458230061609464E-3</v>
      </c>
      <c r="V118" s="3"/>
      <c r="W118" s="3"/>
    </row>
    <row r="119" spans="1:23" x14ac:dyDescent="0.3">
      <c r="B119" s="1">
        <v>16</v>
      </c>
      <c r="C119" s="5">
        <v>500</v>
      </c>
      <c r="D119" s="1">
        <v>3</v>
      </c>
      <c r="E119" s="4">
        <v>76</v>
      </c>
      <c r="F119" s="3">
        <v>3.2689999999999997</v>
      </c>
      <c r="G119" s="1">
        <v>25</v>
      </c>
      <c r="H119" s="1">
        <v>33</v>
      </c>
      <c r="I119" s="1">
        <v>250</v>
      </c>
      <c r="J119" s="1">
        <v>333</v>
      </c>
      <c r="K119" s="1">
        <v>600</v>
      </c>
      <c r="L119" s="1">
        <v>28250</v>
      </c>
      <c r="M119" s="5">
        <v>87.114505405349817</v>
      </c>
      <c r="N119" s="8">
        <v>2.1238938053097345E-2</v>
      </c>
      <c r="O119" s="3">
        <v>46.68</v>
      </c>
      <c r="P119" s="5">
        <v>287.12531045517812</v>
      </c>
      <c r="Q119" s="3">
        <v>0.2</v>
      </c>
      <c r="R119" s="12">
        <f t="shared" si="1"/>
        <v>1.4356265522758906E-3</v>
      </c>
      <c r="V119" s="3"/>
      <c r="W119" s="3"/>
    </row>
    <row r="120" spans="1:23" x14ac:dyDescent="0.3">
      <c r="B120" s="1">
        <v>16</v>
      </c>
      <c r="C120" s="5">
        <v>500</v>
      </c>
      <c r="D120" s="1">
        <v>3</v>
      </c>
      <c r="E120" s="4">
        <v>76</v>
      </c>
      <c r="F120" s="3">
        <v>3.2689999999999997</v>
      </c>
      <c r="G120" s="1">
        <v>25</v>
      </c>
      <c r="H120" s="1">
        <v>33</v>
      </c>
      <c r="I120" s="1">
        <v>250</v>
      </c>
      <c r="J120" s="1">
        <v>333</v>
      </c>
      <c r="K120" s="1">
        <v>600</v>
      </c>
      <c r="L120" s="1">
        <v>28250</v>
      </c>
      <c r="M120" s="5">
        <v>87.114505405349817</v>
      </c>
      <c r="N120" s="8">
        <v>2.1238938053097345E-2</v>
      </c>
      <c r="O120" s="3">
        <v>49.6</v>
      </c>
      <c r="P120" s="5">
        <v>305.08601967816708</v>
      </c>
      <c r="Q120" s="3">
        <v>0.2</v>
      </c>
      <c r="R120" s="12">
        <f t="shared" si="1"/>
        <v>1.5254300983908353E-3</v>
      </c>
      <c r="V120" s="3"/>
      <c r="W120" s="3"/>
    </row>
    <row r="121" spans="1:23" x14ac:dyDescent="0.3">
      <c r="A121" t="s">
        <v>31</v>
      </c>
      <c r="B121" s="1">
        <v>12</v>
      </c>
      <c r="C121" s="5">
        <v>500</v>
      </c>
      <c r="D121" s="1">
        <v>2</v>
      </c>
      <c r="E121" s="4">
        <v>296</v>
      </c>
      <c r="F121" s="3">
        <v>3.2689999999999997</v>
      </c>
      <c r="G121" s="1">
        <v>25</v>
      </c>
      <c r="H121" s="1">
        <v>31</v>
      </c>
      <c r="I121" s="1">
        <v>400</v>
      </c>
      <c r="J121" s="1">
        <v>161</v>
      </c>
      <c r="K121" s="1">
        <v>220</v>
      </c>
      <c r="L121" s="1">
        <v>9646</v>
      </c>
      <c r="M121" s="5">
        <v>28.758860606294373</v>
      </c>
      <c r="N121" s="8">
        <v>1.1724791159986788E-2</v>
      </c>
      <c r="O121" s="3">
        <v>4.67</v>
      </c>
      <c r="P121" s="5">
        <v>176.28617352026819</v>
      </c>
      <c r="Q121" s="3">
        <v>0.2</v>
      </c>
      <c r="R121" s="12">
        <f t="shared" si="1"/>
        <v>8.8143086760134092E-4</v>
      </c>
      <c r="V121" s="3"/>
      <c r="W121" s="3"/>
    </row>
    <row r="122" spans="1:23" x14ac:dyDescent="0.3">
      <c r="B122" s="1">
        <v>12</v>
      </c>
      <c r="C122" s="5">
        <v>500</v>
      </c>
      <c r="D122" s="1">
        <v>2</v>
      </c>
      <c r="E122" s="4">
        <v>296</v>
      </c>
      <c r="F122" s="3">
        <v>3.2689999999999997</v>
      </c>
      <c r="G122" s="1">
        <v>25</v>
      </c>
      <c r="H122" s="1">
        <v>31</v>
      </c>
      <c r="I122" s="1">
        <v>400</v>
      </c>
      <c r="J122" s="1">
        <v>161</v>
      </c>
      <c r="K122" s="1">
        <v>220</v>
      </c>
      <c r="L122" s="1">
        <v>9646</v>
      </c>
      <c r="M122" s="5">
        <v>28.758860606294373</v>
      </c>
      <c r="N122" s="8">
        <v>1.1724791159986788E-2</v>
      </c>
      <c r="O122" s="3">
        <v>6.42</v>
      </c>
      <c r="P122" s="5">
        <v>242.34630278375195</v>
      </c>
      <c r="Q122" s="3">
        <v>0.25</v>
      </c>
      <c r="R122" s="12">
        <f t="shared" si="1"/>
        <v>1.2117315139187597E-3</v>
      </c>
      <c r="V122" s="3"/>
      <c r="W122" s="3"/>
    </row>
    <row r="123" spans="1:23" x14ac:dyDescent="0.3">
      <c r="B123" s="1">
        <v>12</v>
      </c>
      <c r="C123" s="5">
        <v>500</v>
      </c>
      <c r="D123" s="1">
        <v>2</v>
      </c>
      <c r="E123" s="4">
        <v>296</v>
      </c>
      <c r="F123" s="3">
        <v>3.2689999999999997</v>
      </c>
      <c r="G123" s="1">
        <v>25</v>
      </c>
      <c r="H123" s="1">
        <v>31</v>
      </c>
      <c r="I123" s="1">
        <v>400</v>
      </c>
      <c r="J123" s="1">
        <v>161</v>
      </c>
      <c r="K123" s="1">
        <v>220</v>
      </c>
      <c r="L123" s="1">
        <v>9646</v>
      </c>
      <c r="M123" s="5">
        <v>28.758860606294373</v>
      </c>
      <c r="N123" s="8">
        <v>1.1724791159986788E-2</v>
      </c>
      <c r="O123" s="3">
        <v>8.17</v>
      </c>
      <c r="P123" s="5">
        <v>308.4064320472358</v>
      </c>
      <c r="Q123" s="3">
        <v>0.33</v>
      </c>
      <c r="R123" s="12">
        <f t="shared" si="1"/>
        <v>1.542032160236179E-3</v>
      </c>
      <c r="V123" s="3"/>
      <c r="W123" s="3"/>
    </row>
    <row r="124" spans="1:23" x14ac:dyDescent="0.3">
      <c r="A124" t="s">
        <v>32</v>
      </c>
      <c r="B124" s="1">
        <v>12</v>
      </c>
      <c r="C124" s="5">
        <v>500</v>
      </c>
      <c r="D124" s="1">
        <v>2</v>
      </c>
      <c r="E124" s="4">
        <v>296</v>
      </c>
      <c r="F124" s="3">
        <v>3.2689999999999997</v>
      </c>
      <c r="G124" s="1">
        <v>25</v>
      </c>
      <c r="H124" s="1">
        <v>31</v>
      </c>
      <c r="I124" s="1">
        <v>400</v>
      </c>
      <c r="J124" s="1">
        <v>161</v>
      </c>
      <c r="K124" s="1">
        <v>220</v>
      </c>
      <c r="L124" s="1">
        <v>9646</v>
      </c>
      <c r="M124" s="5">
        <v>28.758860606294373</v>
      </c>
      <c r="N124" s="8">
        <v>1.1724791159986788E-2</v>
      </c>
      <c r="O124" s="3">
        <v>6.42</v>
      </c>
      <c r="P124" s="5">
        <v>242.34630278375195</v>
      </c>
      <c r="Q124" s="3">
        <v>0.23</v>
      </c>
      <c r="R124" s="12">
        <f t="shared" si="1"/>
        <v>1.2117315139187597E-3</v>
      </c>
      <c r="V124" s="3"/>
      <c r="W124" s="3"/>
    </row>
    <row r="125" spans="1:23" x14ac:dyDescent="0.3">
      <c r="B125" s="1">
        <v>12</v>
      </c>
      <c r="C125" s="5">
        <v>500</v>
      </c>
      <c r="D125" s="1">
        <v>2</v>
      </c>
      <c r="E125" s="4">
        <v>296</v>
      </c>
      <c r="F125" s="3">
        <v>3.2689999999999997</v>
      </c>
      <c r="G125" s="1">
        <v>25</v>
      </c>
      <c r="H125" s="1">
        <v>31</v>
      </c>
      <c r="I125" s="1">
        <v>400</v>
      </c>
      <c r="J125" s="1">
        <v>161</v>
      </c>
      <c r="K125" s="1">
        <v>220</v>
      </c>
      <c r="L125" s="1">
        <v>9646</v>
      </c>
      <c r="M125" s="5">
        <v>28.758860606294373</v>
      </c>
      <c r="N125" s="8">
        <v>1.1724791159986788E-2</v>
      </c>
      <c r="O125" s="3">
        <v>8.17</v>
      </c>
      <c r="P125" s="5">
        <v>308.4064320472358</v>
      </c>
      <c r="Q125" s="3">
        <v>0.28000000000000003</v>
      </c>
      <c r="R125" s="12">
        <f t="shared" si="1"/>
        <v>1.542032160236179E-3</v>
      </c>
      <c r="V125" s="3"/>
      <c r="W125" s="3"/>
    </row>
    <row r="126" spans="1:23" x14ac:dyDescent="0.3">
      <c r="A126" t="s">
        <v>33</v>
      </c>
      <c r="B126" s="1">
        <v>12</v>
      </c>
      <c r="C126" s="5">
        <v>500</v>
      </c>
      <c r="D126" s="1">
        <v>3</v>
      </c>
      <c r="E126" s="4">
        <v>142</v>
      </c>
      <c r="F126" s="3">
        <v>3.2689999999999997</v>
      </c>
      <c r="G126" s="1">
        <v>25</v>
      </c>
      <c r="H126" s="1">
        <v>31</v>
      </c>
      <c r="I126" s="1">
        <v>400</v>
      </c>
      <c r="J126" s="1">
        <v>161</v>
      </c>
      <c r="K126" s="1">
        <v>330</v>
      </c>
      <c r="L126" s="1">
        <v>9646</v>
      </c>
      <c r="M126" s="5">
        <v>34.253185076505957</v>
      </c>
      <c r="N126" s="8">
        <v>1.1724791159986788E-2</v>
      </c>
      <c r="O126" s="3">
        <v>8.17</v>
      </c>
      <c r="P126" s="5">
        <v>208.77973928930371</v>
      </c>
      <c r="Q126" s="3">
        <v>0.18</v>
      </c>
      <c r="R126" s="12">
        <f t="shared" si="1"/>
        <v>1.0438986964465184E-3</v>
      </c>
      <c r="V126" s="3"/>
      <c r="W126" s="3"/>
    </row>
    <row r="127" spans="1:23" x14ac:dyDescent="0.3">
      <c r="B127" s="1">
        <v>12</v>
      </c>
      <c r="C127" s="5">
        <v>500</v>
      </c>
      <c r="D127" s="1">
        <v>3</v>
      </c>
      <c r="E127" s="4">
        <v>142</v>
      </c>
      <c r="F127" s="3">
        <v>3.2689999999999997</v>
      </c>
      <c r="G127" s="1">
        <v>25</v>
      </c>
      <c r="H127" s="1">
        <v>31</v>
      </c>
      <c r="I127" s="1">
        <v>400</v>
      </c>
      <c r="J127" s="1">
        <v>161</v>
      </c>
      <c r="K127" s="1">
        <v>330</v>
      </c>
      <c r="L127" s="1">
        <v>9646</v>
      </c>
      <c r="M127" s="5">
        <v>34.253185076505957</v>
      </c>
      <c r="N127" s="8">
        <v>1.1724791159986788E-2</v>
      </c>
      <c r="O127" s="3">
        <v>9.92</v>
      </c>
      <c r="P127" s="5">
        <v>253.50000168297348</v>
      </c>
      <c r="Q127" s="3">
        <v>0.23</v>
      </c>
      <c r="R127" s="12">
        <f t="shared" si="1"/>
        <v>1.2675000084148673E-3</v>
      </c>
      <c r="V127" s="3"/>
      <c r="W127" s="3"/>
    </row>
    <row r="128" spans="1:23" x14ac:dyDescent="0.3">
      <c r="B128" s="1">
        <v>12</v>
      </c>
      <c r="C128" s="5">
        <v>500</v>
      </c>
      <c r="D128" s="1">
        <v>3</v>
      </c>
      <c r="E128" s="4">
        <v>142</v>
      </c>
      <c r="F128" s="3">
        <v>3.2689999999999997</v>
      </c>
      <c r="G128" s="1">
        <v>25</v>
      </c>
      <c r="H128" s="1">
        <v>31</v>
      </c>
      <c r="I128" s="1">
        <v>400</v>
      </c>
      <c r="J128" s="1">
        <v>161</v>
      </c>
      <c r="K128" s="1">
        <v>330</v>
      </c>
      <c r="L128" s="1">
        <v>9646</v>
      </c>
      <c r="M128" s="5">
        <v>34.253185076505957</v>
      </c>
      <c r="N128" s="8">
        <v>1.1724791159986788E-2</v>
      </c>
      <c r="O128" s="3">
        <v>11.67</v>
      </c>
      <c r="P128" s="5">
        <v>298.2202640766431</v>
      </c>
      <c r="Q128" s="3">
        <v>0.25</v>
      </c>
      <c r="R128" s="12">
        <f t="shared" si="1"/>
        <v>1.4911013203832155E-3</v>
      </c>
      <c r="V128" s="3"/>
      <c r="W128" s="3"/>
    </row>
    <row r="129" spans="1:23" x14ac:dyDescent="0.3">
      <c r="A129" t="s">
        <v>34</v>
      </c>
      <c r="B129" s="1">
        <v>12</v>
      </c>
      <c r="C129" s="5">
        <v>500</v>
      </c>
      <c r="D129" s="1">
        <v>3</v>
      </c>
      <c r="E129" s="4">
        <v>142</v>
      </c>
      <c r="F129" s="3">
        <v>3.2689999999999997</v>
      </c>
      <c r="G129" s="1">
        <v>25</v>
      </c>
      <c r="H129" s="1">
        <v>31</v>
      </c>
      <c r="I129" s="1">
        <v>400</v>
      </c>
      <c r="J129" s="1">
        <v>161</v>
      </c>
      <c r="K129" s="1">
        <v>330</v>
      </c>
      <c r="L129" s="1">
        <v>9646</v>
      </c>
      <c r="M129" s="5">
        <v>34.253185076505957</v>
      </c>
      <c r="N129" s="8">
        <v>1.1724791159986788E-2</v>
      </c>
      <c r="O129" s="3">
        <v>8.17</v>
      </c>
      <c r="P129" s="5">
        <v>208.77973928930371</v>
      </c>
      <c r="Q129" s="3">
        <v>0.18</v>
      </c>
      <c r="R129" s="12">
        <f t="shared" si="1"/>
        <v>1.0438986964465184E-3</v>
      </c>
      <c r="V129" s="3"/>
      <c r="W129" s="3"/>
    </row>
    <row r="130" spans="1:23" x14ac:dyDescent="0.3">
      <c r="B130" s="1">
        <v>12</v>
      </c>
      <c r="C130" s="5">
        <v>500</v>
      </c>
      <c r="D130" s="1">
        <v>3</v>
      </c>
      <c r="E130" s="4">
        <v>142</v>
      </c>
      <c r="F130" s="3">
        <v>3.2689999999999997</v>
      </c>
      <c r="G130" s="1">
        <v>25</v>
      </c>
      <c r="H130" s="1">
        <v>31</v>
      </c>
      <c r="I130" s="1">
        <v>400</v>
      </c>
      <c r="J130" s="1">
        <v>161</v>
      </c>
      <c r="K130" s="1">
        <v>330</v>
      </c>
      <c r="L130" s="1">
        <v>9646</v>
      </c>
      <c r="M130" s="5">
        <v>34.253185076505957</v>
      </c>
      <c r="N130" s="8">
        <v>1.1724791159986788E-2</v>
      </c>
      <c r="O130" s="3">
        <v>9.92</v>
      </c>
      <c r="P130" s="5">
        <v>253.50000168297348</v>
      </c>
      <c r="Q130" s="3">
        <v>0.23</v>
      </c>
      <c r="R130" s="12">
        <f t="shared" si="1"/>
        <v>1.2675000084148673E-3</v>
      </c>
      <c r="V130" s="3"/>
      <c r="W130" s="3"/>
    </row>
    <row r="131" spans="1:23" x14ac:dyDescent="0.3">
      <c r="B131" s="1">
        <v>12</v>
      </c>
      <c r="C131" s="5">
        <v>500</v>
      </c>
      <c r="D131" s="1">
        <v>3</v>
      </c>
      <c r="E131" s="4">
        <v>142</v>
      </c>
      <c r="F131" s="3">
        <v>3.2689999999999997</v>
      </c>
      <c r="G131" s="1">
        <v>25</v>
      </c>
      <c r="H131" s="1">
        <v>31</v>
      </c>
      <c r="I131" s="1">
        <v>400</v>
      </c>
      <c r="J131" s="1">
        <v>161</v>
      </c>
      <c r="K131" s="1">
        <v>330</v>
      </c>
      <c r="L131" s="1">
        <v>9646</v>
      </c>
      <c r="M131" s="5">
        <v>34.253185076505957</v>
      </c>
      <c r="N131" s="8">
        <v>1.1724791159986788E-2</v>
      </c>
      <c r="O131" s="3">
        <v>11.67</v>
      </c>
      <c r="P131" s="5">
        <v>298.2202640766431</v>
      </c>
      <c r="Q131" s="3">
        <v>0.25</v>
      </c>
      <c r="R131" s="12">
        <f t="shared" si="1"/>
        <v>1.4911013203832155E-3</v>
      </c>
      <c r="V131" s="3"/>
      <c r="W131" s="3"/>
    </row>
    <row r="132" spans="1:23" x14ac:dyDescent="0.3">
      <c r="A132" t="s">
        <v>35</v>
      </c>
      <c r="B132" s="1">
        <v>12</v>
      </c>
      <c r="C132" s="5">
        <v>500</v>
      </c>
      <c r="D132" s="1">
        <v>4</v>
      </c>
      <c r="E132" s="4">
        <v>90.67</v>
      </c>
      <c r="F132" s="3">
        <v>3.2689999999999997</v>
      </c>
      <c r="G132" s="1">
        <v>25</v>
      </c>
      <c r="H132" s="1">
        <v>31</v>
      </c>
      <c r="I132" s="1">
        <v>400</v>
      </c>
      <c r="J132" s="1">
        <v>161</v>
      </c>
      <c r="K132" s="1">
        <v>440</v>
      </c>
      <c r="L132" s="1">
        <v>36400</v>
      </c>
      <c r="M132" s="5">
        <v>38.636261189159299</v>
      </c>
      <c r="N132" s="8">
        <v>1.2087912087912088E-2</v>
      </c>
      <c r="O132" s="3">
        <v>11.67</v>
      </c>
      <c r="P132" s="5">
        <v>226.45530266575949</v>
      </c>
      <c r="Q132" s="3">
        <v>0.15</v>
      </c>
      <c r="R132" s="12">
        <f t="shared" ref="R132:R195" si="2">P132/200000</f>
        <v>1.1322765133287974E-3</v>
      </c>
      <c r="V132" s="3"/>
      <c r="W132" s="3"/>
    </row>
    <row r="133" spans="1:23" x14ac:dyDescent="0.3">
      <c r="B133" s="1">
        <v>12</v>
      </c>
      <c r="C133" s="5">
        <v>500</v>
      </c>
      <c r="D133" s="1">
        <v>4</v>
      </c>
      <c r="E133" s="4">
        <v>90.67</v>
      </c>
      <c r="F133" s="3">
        <v>3.2689999999999997</v>
      </c>
      <c r="G133" s="1">
        <v>25</v>
      </c>
      <c r="H133" s="1">
        <v>31</v>
      </c>
      <c r="I133" s="1">
        <v>400</v>
      </c>
      <c r="J133" s="1">
        <v>161</v>
      </c>
      <c r="K133" s="1">
        <v>440</v>
      </c>
      <c r="L133" s="1">
        <v>36400</v>
      </c>
      <c r="M133" s="5">
        <v>38.636261189159299</v>
      </c>
      <c r="N133" s="8">
        <v>1.2087912087912088E-2</v>
      </c>
      <c r="O133" s="3">
        <v>13.42</v>
      </c>
      <c r="P133" s="5">
        <v>260.41389561049635</v>
      </c>
      <c r="Q133" s="3">
        <v>0.15</v>
      </c>
      <c r="R133" s="12">
        <f t="shared" si="2"/>
        <v>1.3020694780524818E-3</v>
      </c>
      <c r="V133" s="3"/>
      <c r="W133" s="3"/>
    </row>
    <row r="134" spans="1:23" x14ac:dyDescent="0.3">
      <c r="B134" s="1">
        <v>12</v>
      </c>
      <c r="C134" s="5">
        <v>500</v>
      </c>
      <c r="D134" s="1">
        <v>4</v>
      </c>
      <c r="E134" s="4">
        <v>90.67</v>
      </c>
      <c r="F134" s="3">
        <v>3.2689999999999997</v>
      </c>
      <c r="G134" s="1">
        <v>25</v>
      </c>
      <c r="H134" s="1">
        <v>31</v>
      </c>
      <c r="I134" s="1">
        <v>400</v>
      </c>
      <c r="J134" s="1">
        <v>161</v>
      </c>
      <c r="K134" s="1">
        <v>440</v>
      </c>
      <c r="L134" s="1">
        <v>36400</v>
      </c>
      <c r="M134" s="5">
        <v>38.636261189159299</v>
      </c>
      <c r="N134" s="8">
        <v>1.2087912087912088E-2</v>
      </c>
      <c r="O134" s="3">
        <v>15.17</v>
      </c>
      <c r="P134" s="5">
        <v>294.3724885552333</v>
      </c>
      <c r="Q134" s="3">
        <v>0.18</v>
      </c>
      <c r="R134" s="12">
        <f t="shared" si="2"/>
        <v>1.4718624427761664E-3</v>
      </c>
      <c r="V134" s="3"/>
      <c r="W134" s="3"/>
    </row>
    <row r="135" spans="1:23" x14ac:dyDescent="0.3">
      <c r="A135" t="s">
        <v>36</v>
      </c>
      <c r="B135" s="1">
        <v>12</v>
      </c>
      <c r="C135" s="5">
        <v>500</v>
      </c>
      <c r="D135" s="1">
        <v>4</v>
      </c>
      <c r="E135" s="4">
        <v>90.67</v>
      </c>
      <c r="F135" s="3">
        <v>3.2689999999999997</v>
      </c>
      <c r="G135" s="1">
        <v>25</v>
      </c>
      <c r="H135" s="1">
        <v>31</v>
      </c>
      <c r="I135" s="1">
        <v>400</v>
      </c>
      <c r="J135" s="1">
        <v>161</v>
      </c>
      <c r="K135" s="1">
        <v>440</v>
      </c>
      <c r="L135" s="1">
        <v>36400</v>
      </c>
      <c r="M135" s="5">
        <v>38.636261189159299</v>
      </c>
      <c r="N135" s="8">
        <v>1.2087912087912088E-2</v>
      </c>
      <c r="O135" s="3">
        <v>11.67</v>
      </c>
      <c r="P135" s="5">
        <v>226.45530266575949</v>
      </c>
      <c r="Q135" s="3">
        <v>0.18</v>
      </c>
      <c r="R135" s="12">
        <f t="shared" si="2"/>
        <v>1.1322765133287974E-3</v>
      </c>
      <c r="V135" s="3"/>
      <c r="W135" s="3"/>
    </row>
    <row r="136" spans="1:23" x14ac:dyDescent="0.3">
      <c r="B136" s="1">
        <v>12</v>
      </c>
      <c r="C136" s="5">
        <v>500</v>
      </c>
      <c r="D136" s="1">
        <v>4</v>
      </c>
      <c r="E136" s="4">
        <v>90.67</v>
      </c>
      <c r="F136" s="3">
        <v>3.2689999999999997</v>
      </c>
      <c r="G136" s="1">
        <v>25</v>
      </c>
      <c r="H136" s="1">
        <v>31</v>
      </c>
      <c r="I136" s="1">
        <v>400</v>
      </c>
      <c r="J136" s="1">
        <v>161</v>
      </c>
      <c r="K136" s="1">
        <v>440</v>
      </c>
      <c r="L136" s="1">
        <v>36400</v>
      </c>
      <c r="M136" s="5">
        <v>38.636261189159299</v>
      </c>
      <c r="N136" s="8">
        <v>1.2087912087912088E-2</v>
      </c>
      <c r="O136" s="3">
        <v>13.42</v>
      </c>
      <c r="P136" s="5">
        <v>260.41389561049635</v>
      </c>
      <c r="Q136" s="3">
        <v>0.2</v>
      </c>
      <c r="R136" s="12">
        <f t="shared" si="2"/>
        <v>1.3020694780524818E-3</v>
      </c>
      <c r="V136" s="3"/>
      <c r="W136" s="3"/>
    </row>
    <row r="137" spans="1:23" x14ac:dyDescent="0.3">
      <c r="B137" s="1">
        <v>12</v>
      </c>
      <c r="C137" s="5">
        <v>500</v>
      </c>
      <c r="D137" s="1">
        <v>4</v>
      </c>
      <c r="E137" s="4">
        <v>90.67</v>
      </c>
      <c r="F137" s="3">
        <v>3.2689999999999997</v>
      </c>
      <c r="G137" s="1">
        <v>25</v>
      </c>
      <c r="H137" s="1">
        <v>31</v>
      </c>
      <c r="I137" s="1">
        <v>400</v>
      </c>
      <c r="J137" s="1">
        <v>161</v>
      </c>
      <c r="K137" s="1">
        <v>440</v>
      </c>
      <c r="L137" s="1">
        <v>36400</v>
      </c>
      <c r="M137" s="5">
        <v>38.636261189159299</v>
      </c>
      <c r="N137" s="8">
        <v>1.2087912087912088E-2</v>
      </c>
      <c r="O137" s="3">
        <v>15.17</v>
      </c>
      <c r="P137" s="5">
        <v>294.3724885552333</v>
      </c>
      <c r="Q137" s="3">
        <v>0.23</v>
      </c>
      <c r="R137" s="12">
        <f t="shared" si="2"/>
        <v>1.4718624427761664E-3</v>
      </c>
      <c r="V137" s="3"/>
      <c r="W137" s="3"/>
    </row>
    <row r="138" spans="1:23" x14ac:dyDescent="0.3">
      <c r="A138" t="s">
        <v>37</v>
      </c>
      <c r="B138" s="1">
        <v>10</v>
      </c>
      <c r="C138" s="5">
        <v>528</v>
      </c>
      <c r="D138" s="1">
        <v>1</v>
      </c>
      <c r="E138" s="4">
        <v>45</v>
      </c>
      <c r="F138" s="3">
        <v>2.8</v>
      </c>
      <c r="G138" s="1">
        <v>40</v>
      </c>
      <c r="H138" s="1">
        <v>45</v>
      </c>
      <c r="I138" s="1">
        <v>100</v>
      </c>
      <c r="J138" s="1">
        <v>250</v>
      </c>
      <c r="K138" s="1">
        <v>78.5</v>
      </c>
      <c r="L138" s="1">
        <v>9500</v>
      </c>
      <c r="M138" s="5">
        <v>43.445968908792679</v>
      </c>
      <c r="N138" s="8">
        <v>8.263157894736842E-3</v>
      </c>
      <c r="O138" s="3">
        <v>4.0999999999999996</v>
      </c>
      <c r="P138" s="5">
        <v>274.14363221273135</v>
      </c>
      <c r="Q138" s="3">
        <v>0.16</v>
      </c>
      <c r="R138" s="12">
        <f t="shared" si="2"/>
        <v>1.3707181610636567E-3</v>
      </c>
      <c r="V138" s="3"/>
      <c r="W138" s="3"/>
    </row>
    <row r="139" spans="1:23" x14ac:dyDescent="0.3">
      <c r="B139" s="1">
        <v>10</v>
      </c>
      <c r="C139" s="5">
        <v>528</v>
      </c>
      <c r="D139" s="1">
        <v>1</v>
      </c>
      <c r="E139" s="4">
        <v>45</v>
      </c>
      <c r="F139" s="3">
        <v>2.8</v>
      </c>
      <c r="G139" s="1">
        <v>40</v>
      </c>
      <c r="H139" s="1">
        <v>45</v>
      </c>
      <c r="I139" s="1">
        <v>100</v>
      </c>
      <c r="J139" s="1">
        <v>250</v>
      </c>
      <c r="K139" s="1">
        <v>78.5</v>
      </c>
      <c r="L139" s="1">
        <v>9500</v>
      </c>
      <c r="M139" s="5">
        <v>43.445968908792679</v>
      </c>
      <c r="N139" s="8">
        <v>8.263157894736842E-3</v>
      </c>
      <c r="O139" s="3">
        <v>4.4000000000000004</v>
      </c>
      <c r="P139" s="5">
        <v>294.20292237463855</v>
      </c>
      <c r="Q139" s="3">
        <v>0.18</v>
      </c>
      <c r="R139" s="12">
        <f t="shared" si="2"/>
        <v>1.4710146118731928E-3</v>
      </c>
      <c r="V139" s="3"/>
      <c r="W139" s="3"/>
    </row>
    <row r="140" spans="1:23" x14ac:dyDescent="0.3">
      <c r="B140" s="1">
        <v>10</v>
      </c>
      <c r="C140" s="5">
        <v>528</v>
      </c>
      <c r="D140" s="1">
        <v>1</v>
      </c>
      <c r="E140" s="4">
        <v>45</v>
      </c>
      <c r="F140" s="3">
        <v>2.8</v>
      </c>
      <c r="G140" s="1">
        <v>40</v>
      </c>
      <c r="H140" s="1">
        <v>45</v>
      </c>
      <c r="I140" s="1">
        <v>100</v>
      </c>
      <c r="J140" s="1">
        <v>250</v>
      </c>
      <c r="K140" s="1">
        <v>78.5</v>
      </c>
      <c r="L140" s="1">
        <v>9500</v>
      </c>
      <c r="M140" s="5">
        <v>43.445968908792679</v>
      </c>
      <c r="N140" s="8">
        <v>8.263157894736842E-3</v>
      </c>
      <c r="O140" s="3">
        <v>4.74</v>
      </c>
      <c r="P140" s="5">
        <v>316.93678455813335</v>
      </c>
      <c r="Q140" s="3">
        <v>0.2</v>
      </c>
      <c r="R140" s="12">
        <f t="shared" si="2"/>
        <v>1.5846839227906667E-3</v>
      </c>
      <c r="V140" s="3"/>
      <c r="W140" s="3"/>
    </row>
    <row r="141" spans="1:23" x14ac:dyDescent="0.3">
      <c r="B141" s="1">
        <v>10</v>
      </c>
      <c r="C141" s="5">
        <v>528</v>
      </c>
      <c r="D141" s="1">
        <v>1</v>
      </c>
      <c r="E141" s="4">
        <v>45</v>
      </c>
      <c r="F141" s="3">
        <v>2.8</v>
      </c>
      <c r="G141" s="1">
        <v>40</v>
      </c>
      <c r="H141" s="1">
        <v>45</v>
      </c>
      <c r="I141" s="1">
        <v>100</v>
      </c>
      <c r="J141" s="1">
        <v>250</v>
      </c>
      <c r="K141" s="1">
        <v>78.5</v>
      </c>
      <c r="L141" s="1">
        <v>9500</v>
      </c>
      <c r="M141" s="5">
        <v>43.445968908792679</v>
      </c>
      <c r="N141" s="8">
        <v>8.263157894736842E-3</v>
      </c>
      <c r="O141" s="3">
        <v>5.04</v>
      </c>
      <c r="P141" s="5">
        <v>336.9960747200405</v>
      </c>
      <c r="Q141" s="3">
        <v>0.22</v>
      </c>
      <c r="R141" s="12">
        <f t="shared" si="2"/>
        <v>1.6849803736002024E-3</v>
      </c>
      <c r="V141" s="3"/>
      <c r="W141" s="3"/>
    </row>
    <row r="142" spans="1:23" x14ac:dyDescent="0.3">
      <c r="B142" s="1">
        <v>10</v>
      </c>
      <c r="C142" s="5">
        <v>528</v>
      </c>
      <c r="D142" s="1">
        <v>1</v>
      </c>
      <c r="E142" s="4">
        <v>45</v>
      </c>
      <c r="F142" s="3">
        <v>2.8</v>
      </c>
      <c r="G142" s="1">
        <v>40</v>
      </c>
      <c r="H142" s="1">
        <v>45</v>
      </c>
      <c r="I142" s="1">
        <v>100</v>
      </c>
      <c r="J142" s="1">
        <v>250</v>
      </c>
      <c r="K142" s="1">
        <v>78.5</v>
      </c>
      <c r="L142" s="1">
        <v>9500</v>
      </c>
      <c r="M142" s="5">
        <v>43.445968908792679</v>
      </c>
      <c r="N142" s="8">
        <v>8.263157894736842E-3</v>
      </c>
      <c r="O142" s="3">
        <v>5.38</v>
      </c>
      <c r="P142" s="5">
        <v>359.72993690353525</v>
      </c>
      <c r="Q142" s="3">
        <v>0.24</v>
      </c>
      <c r="R142" s="12">
        <f t="shared" si="2"/>
        <v>1.7986496845176763E-3</v>
      </c>
      <c r="V142" s="3"/>
      <c r="W142" s="3"/>
    </row>
    <row r="143" spans="1:23" x14ac:dyDescent="0.3">
      <c r="B143" s="1">
        <v>10</v>
      </c>
      <c r="C143" s="5">
        <v>528</v>
      </c>
      <c r="D143" s="1">
        <v>1</v>
      </c>
      <c r="E143" s="4">
        <v>45</v>
      </c>
      <c r="F143" s="3">
        <v>2.8</v>
      </c>
      <c r="G143" s="1">
        <v>40</v>
      </c>
      <c r="H143" s="1">
        <v>45</v>
      </c>
      <c r="I143" s="1">
        <v>100</v>
      </c>
      <c r="J143" s="1">
        <v>250</v>
      </c>
      <c r="K143" s="1">
        <v>78.5</v>
      </c>
      <c r="L143" s="1">
        <v>9500</v>
      </c>
      <c r="M143" s="5">
        <v>43.445968908792679</v>
      </c>
      <c r="N143" s="8">
        <v>8.263157894736842E-3</v>
      </c>
      <c r="O143" s="3">
        <v>5.68</v>
      </c>
      <c r="P143" s="5">
        <v>379.78922706544245</v>
      </c>
      <c r="Q143" s="3">
        <v>0.26</v>
      </c>
      <c r="R143" s="12">
        <f t="shared" si="2"/>
        <v>1.8989461353272122E-3</v>
      </c>
      <c r="V143" s="3"/>
      <c r="W143" s="3"/>
    </row>
    <row r="144" spans="1:23" x14ac:dyDescent="0.3">
      <c r="B144" s="1">
        <v>10</v>
      </c>
      <c r="C144" s="5">
        <v>528</v>
      </c>
      <c r="D144" s="1">
        <v>1</v>
      </c>
      <c r="E144" s="4">
        <v>45</v>
      </c>
      <c r="F144" s="3">
        <v>2.8</v>
      </c>
      <c r="G144" s="1">
        <v>40</v>
      </c>
      <c r="H144" s="1">
        <v>45</v>
      </c>
      <c r="I144" s="1">
        <v>100</v>
      </c>
      <c r="J144" s="1">
        <v>250</v>
      </c>
      <c r="K144" s="1">
        <v>78.5</v>
      </c>
      <c r="L144" s="1">
        <v>9500</v>
      </c>
      <c r="M144" s="5">
        <v>43.445968908792679</v>
      </c>
      <c r="N144" s="8">
        <v>8.263157894736842E-3</v>
      </c>
      <c r="O144" s="3">
        <v>6.04</v>
      </c>
      <c r="P144" s="5">
        <v>403.86037525973109</v>
      </c>
      <c r="Q144" s="3">
        <v>0.28000000000000003</v>
      </c>
      <c r="R144" s="12">
        <f t="shared" si="2"/>
        <v>2.0193018762986554E-3</v>
      </c>
      <c r="V144" s="3"/>
      <c r="W144" s="3"/>
    </row>
    <row r="145" spans="1:23" x14ac:dyDescent="0.3">
      <c r="A145" t="s">
        <v>38</v>
      </c>
      <c r="B145" s="1">
        <v>10</v>
      </c>
      <c r="C145" s="5">
        <v>528</v>
      </c>
      <c r="D145" s="1">
        <v>1</v>
      </c>
      <c r="E145" s="4">
        <v>45</v>
      </c>
      <c r="F145" s="3">
        <v>2.8</v>
      </c>
      <c r="G145" s="1">
        <v>40</v>
      </c>
      <c r="H145" s="1">
        <v>45</v>
      </c>
      <c r="I145" s="1">
        <v>100</v>
      </c>
      <c r="J145" s="1">
        <v>250</v>
      </c>
      <c r="K145" s="1">
        <v>78.5</v>
      </c>
      <c r="L145" s="1">
        <v>9500</v>
      </c>
      <c r="M145" s="5">
        <v>43.445968908792679</v>
      </c>
      <c r="N145" s="8">
        <v>8.263157894736842E-3</v>
      </c>
      <c r="O145" s="3">
        <v>3.76</v>
      </c>
      <c r="P145" s="5">
        <v>251.40977002923657</v>
      </c>
      <c r="Q145" s="3">
        <v>0.15</v>
      </c>
      <c r="R145" s="12">
        <f t="shared" si="2"/>
        <v>1.2570488501461828E-3</v>
      </c>
      <c r="V145" s="3"/>
      <c r="W145" s="3"/>
    </row>
    <row r="146" spans="1:23" x14ac:dyDescent="0.3">
      <c r="B146" s="1">
        <v>10</v>
      </c>
      <c r="C146" s="5">
        <v>528</v>
      </c>
      <c r="D146" s="1">
        <v>1</v>
      </c>
      <c r="E146" s="4">
        <v>45</v>
      </c>
      <c r="F146" s="3">
        <v>2.8</v>
      </c>
      <c r="G146" s="1">
        <v>40</v>
      </c>
      <c r="H146" s="1">
        <v>45</v>
      </c>
      <c r="I146" s="1">
        <v>100</v>
      </c>
      <c r="J146" s="1">
        <v>250</v>
      </c>
      <c r="K146" s="1">
        <v>78.5</v>
      </c>
      <c r="L146" s="1">
        <v>9500</v>
      </c>
      <c r="M146" s="5">
        <v>43.445968908792679</v>
      </c>
      <c r="N146" s="8">
        <v>8.263157894736842E-3</v>
      </c>
      <c r="O146" s="3">
        <v>4.0999999999999996</v>
      </c>
      <c r="P146" s="5">
        <v>274.14363221273135</v>
      </c>
      <c r="Q146" s="3">
        <v>0.17</v>
      </c>
      <c r="R146" s="12">
        <f t="shared" si="2"/>
        <v>1.3707181610636567E-3</v>
      </c>
      <c r="V146" s="3"/>
      <c r="W146" s="3"/>
    </row>
    <row r="147" spans="1:23" x14ac:dyDescent="0.3">
      <c r="B147" s="1">
        <v>10</v>
      </c>
      <c r="C147" s="5">
        <v>528</v>
      </c>
      <c r="D147" s="1">
        <v>1</v>
      </c>
      <c r="E147" s="4">
        <v>45</v>
      </c>
      <c r="F147" s="3">
        <v>2.8</v>
      </c>
      <c r="G147" s="1">
        <v>40</v>
      </c>
      <c r="H147" s="1">
        <v>45</v>
      </c>
      <c r="I147" s="1">
        <v>100</v>
      </c>
      <c r="J147" s="1">
        <v>250</v>
      </c>
      <c r="K147" s="1">
        <v>78.5</v>
      </c>
      <c r="L147" s="1">
        <v>9500</v>
      </c>
      <c r="M147" s="5">
        <v>43.445968908792679</v>
      </c>
      <c r="N147" s="8">
        <v>8.263157894736842E-3</v>
      </c>
      <c r="O147" s="3">
        <v>4.42</v>
      </c>
      <c r="P147" s="5">
        <v>295.54020838543232</v>
      </c>
      <c r="Q147" s="3">
        <v>0.19</v>
      </c>
      <c r="R147" s="12">
        <f t="shared" si="2"/>
        <v>1.4777010419271617E-3</v>
      </c>
      <c r="V147" s="3"/>
      <c r="W147" s="3"/>
    </row>
    <row r="148" spans="1:23" x14ac:dyDescent="0.3">
      <c r="B148" s="1">
        <v>10</v>
      </c>
      <c r="C148" s="5">
        <v>528</v>
      </c>
      <c r="D148" s="1">
        <v>1</v>
      </c>
      <c r="E148" s="4">
        <v>45</v>
      </c>
      <c r="F148" s="3">
        <v>2.8</v>
      </c>
      <c r="G148" s="1">
        <v>40</v>
      </c>
      <c r="H148" s="1">
        <v>45</v>
      </c>
      <c r="I148" s="1">
        <v>100</v>
      </c>
      <c r="J148" s="1">
        <v>250</v>
      </c>
      <c r="K148" s="1">
        <v>78.5</v>
      </c>
      <c r="L148" s="1">
        <v>9500</v>
      </c>
      <c r="M148" s="5">
        <v>43.445968908792679</v>
      </c>
      <c r="N148" s="8">
        <v>8.263157894736842E-3</v>
      </c>
      <c r="O148" s="3">
        <v>4.71</v>
      </c>
      <c r="P148" s="5">
        <v>314.93085554194266</v>
      </c>
      <c r="Q148" s="3">
        <v>0.2</v>
      </c>
      <c r="R148" s="12">
        <f t="shared" si="2"/>
        <v>1.5746542777097133E-3</v>
      </c>
      <c r="V148" s="3"/>
      <c r="W148" s="3"/>
    </row>
    <row r="149" spans="1:23" x14ac:dyDescent="0.3">
      <c r="B149" s="1">
        <v>10</v>
      </c>
      <c r="C149" s="5">
        <v>528</v>
      </c>
      <c r="D149" s="1">
        <v>1</v>
      </c>
      <c r="E149" s="4">
        <v>45</v>
      </c>
      <c r="F149" s="3">
        <v>2.8</v>
      </c>
      <c r="G149" s="1">
        <v>40</v>
      </c>
      <c r="H149" s="1">
        <v>45</v>
      </c>
      <c r="I149" s="1">
        <v>100</v>
      </c>
      <c r="J149" s="1">
        <v>250</v>
      </c>
      <c r="K149" s="1">
        <v>78.5</v>
      </c>
      <c r="L149" s="1">
        <v>9500</v>
      </c>
      <c r="M149" s="5">
        <v>43.445968908792679</v>
      </c>
      <c r="N149" s="8">
        <v>8.263157894736842E-3</v>
      </c>
      <c r="O149" s="3">
        <v>5.04</v>
      </c>
      <c r="P149" s="5">
        <v>336.9960747200405</v>
      </c>
      <c r="Q149" s="3">
        <v>0.22</v>
      </c>
      <c r="R149" s="12">
        <f t="shared" si="2"/>
        <v>1.6849803736002024E-3</v>
      </c>
      <c r="V149" s="3"/>
      <c r="W149" s="3"/>
    </row>
    <row r="150" spans="1:23" x14ac:dyDescent="0.3">
      <c r="B150" s="1">
        <v>10</v>
      </c>
      <c r="C150" s="5">
        <v>528</v>
      </c>
      <c r="D150" s="1">
        <v>1</v>
      </c>
      <c r="E150" s="4">
        <v>45</v>
      </c>
      <c r="F150" s="3">
        <v>2.8</v>
      </c>
      <c r="G150" s="1">
        <v>40</v>
      </c>
      <c r="H150" s="1">
        <v>45</v>
      </c>
      <c r="I150" s="1">
        <v>100</v>
      </c>
      <c r="J150" s="1">
        <v>250</v>
      </c>
      <c r="K150" s="1">
        <v>78.5</v>
      </c>
      <c r="L150" s="1">
        <v>9500</v>
      </c>
      <c r="M150" s="5">
        <v>43.445968908792679</v>
      </c>
      <c r="N150" s="8">
        <v>8.263157894736842E-3</v>
      </c>
      <c r="O150" s="3">
        <v>5.37</v>
      </c>
      <c r="P150" s="5">
        <v>359.06129389813839</v>
      </c>
      <c r="Q150" s="3">
        <v>0.24</v>
      </c>
      <c r="R150" s="12">
        <f t="shared" si="2"/>
        <v>1.795306469490692E-3</v>
      </c>
      <c r="V150" s="3"/>
      <c r="W150" s="3"/>
    </row>
    <row r="151" spans="1:23" x14ac:dyDescent="0.3">
      <c r="B151" s="1">
        <v>10</v>
      </c>
      <c r="C151" s="5">
        <v>528</v>
      </c>
      <c r="D151" s="1">
        <v>1</v>
      </c>
      <c r="E151" s="4">
        <v>45</v>
      </c>
      <c r="F151" s="3">
        <v>2.8</v>
      </c>
      <c r="G151" s="1">
        <v>40</v>
      </c>
      <c r="H151" s="1">
        <v>45</v>
      </c>
      <c r="I151" s="1">
        <v>100</v>
      </c>
      <c r="J151" s="1">
        <v>250</v>
      </c>
      <c r="K151" s="1">
        <v>78.5</v>
      </c>
      <c r="L151" s="1">
        <v>9500</v>
      </c>
      <c r="M151" s="5">
        <v>43.445968908792679</v>
      </c>
      <c r="N151" s="8">
        <v>8.263157894736842E-3</v>
      </c>
      <c r="O151" s="3">
        <v>5.65</v>
      </c>
      <c r="P151" s="5">
        <v>377.78329804925175</v>
      </c>
      <c r="Q151" s="3">
        <v>0.26</v>
      </c>
      <c r="R151" s="12">
        <f t="shared" si="2"/>
        <v>1.8889164902462588E-3</v>
      </c>
      <c r="V151" s="3"/>
      <c r="W151" s="3"/>
    </row>
    <row r="152" spans="1:23" x14ac:dyDescent="0.3">
      <c r="B152" s="1">
        <v>10</v>
      </c>
      <c r="C152" s="5">
        <v>528</v>
      </c>
      <c r="D152" s="1">
        <v>1</v>
      </c>
      <c r="E152" s="4">
        <v>45</v>
      </c>
      <c r="F152" s="3">
        <v>2.8</v>
      </c>
      <c r="G152" s="1">
        <v>40</v>
      </c>
      <c r="H152" s="1">
        <v>45</v>
      </c>
      <c r="I152" s="1">
        <v>100</v>
      </c>
      <c r="J152" s="1">
        <v>250</v>
      </c>
      <c r="K152" s="1">
        <v>78.5</v>
      </c>
      <c r="L152" s="1">
        <v>9500</v>
      </c>
      <c r="M152" s="5">
        <v>43.445968908792679</v>
      </c>
      <c r="N152" s="8">
        <v>8.263157894736842E-3</v>
      </c>
      <c r="O152" s="3">
        <v>5.92</v>
      </c>
      <c r="P152" s="5">
        <v>395.83665919496815</v>
      </c>
      <c r="Q152" s="3">
        <v>0.28999999999999998</v>
      </c>
      <c r="R152" s="12">
        <f t="shared" si="2"/>
        <v>1.9791832959748408E-3</v>
      </c>
      <c r="V152" s="3"/>
      <c r="W152" s="3"/>
    </row>
    <row r="153" spans="1:23" x14ac:dyDescent="0.3">
      <c r="A153" t="s">
        <v>39</v>
      </c>
      <c r="B153" s="1">
        <v>20</v>
      </c>
      <c r="C153" s="5">
        <v>598</v>
      </c>
      <c r="D153" s="1">
        <v>1</v>
      </c>
      <c r="E153" s="4">
        <v>40</v>
      </c>
      <c r="F153" s="3">
        <v>2.8</v>
      </c>
      <c r="G153" s="1">
        <v>40</v>
      </c>
      <c r="H153" s="1">
        <v>50</v>
      </c>
      <c r="I153" s="1">
        <v>100</v>
      </c>
      <c r="J153" s="1">
        <v>250</v>
      </c>
      <c r="K153" s="1">
        <v>315</v>
      </c>
      <c r="L153" s="1">
        <v>15000</v>
      </c>
      <c r="M153" s="5">
        <v>75.400393066082174</v>
      </c>
      <c r="N153" s="8">
        <v>2.1000000000000001E-2</v>
      </c>
      <c r="O153" s="3">
        <v>11.09</v>
      </c>
      <c r="P153" s="5">
        <v>201.33268539095971</v>
      </c>
      <c r="Q153" s="3">
        <v>0.17</v>
      </c>
      <c r="R153" s="12">
        <f t="shared" si="2"/>
        <v>1.0066634269547986E-3</v>
      </c>
      <c r="V153" s="3"/>
      <c r="W153" s="3"/>
    </row>
    <row r="154" spans="1:23" x14ac:dyDescent="0.3">
      <c r="B154" s="1">
        <v>20</v>
      </c>
      <c r="C154" s="5">
        <v>598</v>
      </c>
      <c r="D154" s="1">
        <v>1</v>
      </c>
      <c r="E154" s="4">
        <v>40</v>
      </c>
      <c r="F154" s="3">
        <v>2.8</v>
      </c>
      <c r="G154" s="1">
        <v>40</v>
      </c>
      <c r="H154" s="1">
        <v>50</v>
      </c>
      <c r="I154" s="1">
        <v>100</v>
      </c>
      <c r="J154" s="1">
        <v>250</v>
      </c>
      <c r="K154" s="1">
        <v>315</v>
      </c>
      <c r="L154" s="1">
        <v>15000</v>
      </c>
      <c r="M154" s="5">
        <v>75.400393066082174</v>
      </c>
      <c r="N154" s="8">
        <v>2.1000000000000001E-2</v>
      </c>
      <c r="O154" s="3">
        <v>12.96</v>
      </c>
      <c r="P154" s="5">
        <v>235.28147905021083</v>
      </c>
      <c r="Q154" s="3">
        <v>0.2</v>
      </c>
      <c r="R154" s="12">
        <f t="shared" si="2"/>
        <v>1.1764073952510541E-3</v>
      </c>
      <c r="V154" s="3"/>
      <c r="W154" s="3"/>
    </row>
    <row r="155" spans="1:23" x14ac:dyDescent="0.3">
      <c r="B155" s="1">
        <v>20</v>
      </c>
      <c r="C155" s="5">
        <v>598</v>
      </c>
      <c r="D155" s="1">
        <v>1</v>
      </c>
      <c r="E155" s="4">
        <v>40</v>
      </c>
      <c r="F155" s="3">
        <v>2.8</v>
      </c>
      <c r="G155" s="1">
        <v>40</v>
      </c>
      <c r="H155" s="1">
        <v>50</v>
      </c>
      <c r="I155" s="1">
        <v>100</v>
      </c>
      <c r="J155" s="1">
        <v>250</v>
      </c>
      <c r="K155" s="1">
        <v>315</v>
      </c>
      <c r="L155" s="1">
        <v>15000</v>
      </c>
      <c r="M155" s="5">
        <v>75.400393066082174</v>
      </c>
      <c r="N155" s="8">
        <v>2.1000000000000001E-2</v>
      </c>
      <c r="O155" s="3">
        <v>14.77</v>
      </c>
      <c r="P155" s="5">
        <v>268.14100660274795</v>
      </c>
      <c r="Q155" s="3">
        <v>0.24</v>
      </c>
      <c r="R155" s="12">
        <f t="shared" si="2"/>
        <v>1.3407050330137397E-3</v>
      </c>
      <c r="V155" s="3"/>
      <c r="W155" s="3"/>
    </row>
    <row r="156" spans="1:23" x14ac:dyDescent="0.3">
      <c r="B156" s="1">
        <v>20</v>
      </c>
      <c r="C156" s="5">
        <v>598</v>
      </c>
      <c r="D156" s="1">
        <v>1</v>
      </c>
      <c r="E156" s="4">
        <v>40</v>
      </c>
      <c r="F156" s="3">
        <v>2.8</v>
      </c>
      <c r="G156" s="1">
        <v>40</v>
      </c>
      <c r="H156" s="1">
        <v>50</v>
      </c>
      <c r="I156" s="1">
        <v>100</v>
      </c>
      <c r="J156" s="1">
        <v>250</v>
      </c>
      <c r="K156" s="1">
        <v>315</v>
      </c>
      <c r="L156" s="1">
        <v>15000</v>
      </c>
      <c r="M156" s="5">
        <v>75.400393066082174</v>
      </c>
      <c r="N156" s="8">
        <v>2.1000000000000001E-2</v>
      </c>
      <c r="O156" s="3">
        <v>16.57</v>
      </c>
      <c r="P156" s="5">
        <v>300.81898980416611</v>
      </c>
      <c r="Q156" s="3">
        <v>0.27</v>
      </c>
      <c r="R156" s="12">
        <f t="shared" si="2"/>
        <v>1.5040949490208305E-3</v>
      </c>
      <c r="V156" s="3"/>
      <c r="W156" s="3"/>
    </row>
    <row r="157" spans="1:23" x14ac:dyDescent="0.3">
      <c r="B157" s="1">
        <v>20</v>
      </c>
      <c r="C157" s="5">
        <v>598</v>
      </c>
      <c r="D157" s="1">
        <v>1</v>
      </c>
      <c r="E157" s="4">
        <v>40</v>
      </c>
      <c r="F157" s="3">
        <v>2.8</v>
      </c>
      <c r="G157" s="1">
        <v>40</v>
      </c>
      <c r="H157" s="1">
        <v>50</v>
      </c>
      <c r="I157" s="1">
        <v>100</v>
      </c>
      <c r="J157" s="1">
        <v>250</v>
      </c>
      <c r="K157" s="1">
        <v>315</v>
      </c>
      <c r="L157" s="1">
        <v>15000</v>
      </c>
      <c r="M157" s="5">
        <v>75.400393066082174</v>
      </c>
      <c r="N157" s="8">
        <v>2.1000000000000001E-2</v>
      </c>
      <c r="O157" s="3">
        <v>18.350000000000001</v>
      </c>
      <c r="P157" s="5">
        <v>333.13388430334641</v>
      </c>
      <c r="Q157" s="3">
        <v>0.32</v>
      </c>
      <c r="R157" s="12">
        <f t="shared" si="2"/>
        <v>1.6656694215167319E-3</v>
      </c>
      <c r="V157" s="3"/>
      <c r="W157" s="3"/>
    </row>
    <row r="158" spans="1:23" x14ac:dyDescent="0.3">
      <c r="B158" s="1">
        <v>20</v>
      </c>
      <c r="C158" s="5">
        <v>598</v>
      </c>
      <c r="D158" s="1">
        <v>1</v>
      </c>
      <c r="E158" s="4">
        <v>40</v>
      </c>
      <c r="F158" s="3">
        <v>2.8</v>
      </c>
      <c r="G158" s="1">
        <v>40</v>
      </c>
      <c r="H158" s="1">
        <v>50</v>
      </c>
      <c r="I158" s="1">
        <v>100</v>
      </c>
      <c r="J158" s="1">
        <v>250</v>
      </c>
      <c r="K158" s="1">
        <v>315</v>
      </c>
      <c r="L158" s="1">
        <v>15000</v>
      </c>
      <c r="M158" s="5">
        <v>75.400393066082174</v>
      </c>
      <c r="N158" s="8">
        <v>2.1000000000000001E-2</v>
      </c>
      <c r="O158" s="3">
        <v>20.18</v>
      </c>
      <c r="P158" s="5">
        <v>366.35650055812141</v>
      </c>
      <c r="Q158" s="3">
        <v>0.34</v>
      </c>
      <c r="R158" s="12">
        <f t="shared" si="2"/>
        <v>1.831782502790607E-3</v>
      </c>
      <c r="V158" s="3"/>
      <c r="W158" s="3"/>
    </row>
    <row r="159" spans="1:23" x14ac:dyDescent="0.3">
      <c r="A159" t="s">
        <v>40</v>
      </c>
      <c r="B159" s="1">
        <v>20</v>
      </c>
      <c r="C159" s="5">
        <v>598</v>
      </c>
      <c r="D159" s="1">
        <v>1</v>
      </c>
      <c r="E159" s="4">
        <v>40</v>
      </c>
      <c r="F159" s="3">
        <v>2.8</v>
      </c>
      <c r="G159" s="1">
        <v>40</v>
      </c>
      <c r="H159" s="1">
        <v>50</v>
      </c>
      <c r="I159" s="1">
        <v>100</v>
      </c>
      <c r="J159" s="1">
        <v>250</v>
      </c>
      <c r="K159" s="1">
        <v>315</v>
      </c>
      <c r="L159" s="1">
        <v>15000</v>
      </c>
      <c r="M159" s="5">
        <v>75.400393066082174</v>
      </c>
      <c r="N159" s="8">
        <v>2.1000000000000001E-2</v>
      </c>
      <c r="O159" s="3">
        <v>9.35</v>
      </c>
      <c r="P159" s="5">
        <v>169.74396829625545</v>
      </c>
      <c r="Q159" s="3">
        <v>0.16</v>
      </c>
      <c r="R159" s="12">
        <f t="shared" si="2"/>
        <v>8.4871984148127719E-4</v>
      </c>
      <c r="V159" s="3"/>
      <c r="W159" s="3"/>
    </row>
    <row r="160" spans="1:23" x14ac:dyDescent="0.3">
      <c r="B160" s="1">
        <v>20</v>
      </c>
      <c r="C160" s="5">
        <v>598</v>
      </c>
      <c r="D160" s="1">
        <v>1</v>
      </c>
      <c r="E160" s="4">
        <v>40</v>
      </c>
      <c r="F160" s="3">
        <v>2.8</v>
      </c>
      <c r="G160" s="1">
        <v>40</v>
      </c>
      <c r="H160" s="1">
        <v>50</v>
      </c>
      <c r="I160" s="1">
        <v>100</v>
      </c>
      <c r="J160" s="1">
        <v>250</v>
      </c>
      <c r="K160" s="1">
        <v>315</v>
      </c>
      <c r="L160" s="1">
        <v>15000</v>
      </c>
      <c r="M160" s="5">
        <v>75.400393066082174</v>
      </c>
      <c r="N160" s="8">
        <v>2.1000000000000001E-2</v>
      </c>
      <c r="O160" s="3">
        <v>11.12</v>
      </c>
      <c r="P160" s="5">
        <v>201.87731844431667</v>
      </c>
      <c r="Q160" s="3">
        <v>0.2</v>
      </c>
      <c r="R160" s="12">
        <f t="shared" si="2"/>
        <v>1.0093865922215833E-3</v>
      </c>
      <c r="V160" s="3"/>
      <c r="W160" s="3"/>
    </row>
    <row r="161" spans="1:23" x14ac:dyDescent="0.3">
      <c r="B161" s="1">
        <v>20</v>
      </c>
      <c r="C161" s="5">
        <v>598</v>
      </c>
      <c r="D161" s="1">
        <v>1</v>
      </c>
      <c r="E161" s="4">
        <v>40</v>
      </c>
      <c r="F161" s="3">
        <v>2.8</v>
      </c>
      <c r="G161" s="1">
        <v>40</v>
      </c>
      <c r="H161" s="1">
        <v>50</v>
      </c>
      <c r="I161" s="1">
        <v>100</v>
      </c>
      <c r="J161" s="1">
        <v>250</v>
      </c>
      <c r="K161" s="1">
        <v>315</v>
      </c>
      <c r="L161" s="1">
        <v>15000</v>
      </c>
      <c r="M161" s="5">
        <v>75.400393066082174</v>
      </c>
      <c r="N161" s="8">
        <v>2.1000000000000001E-2</v>
      </c>
      <c r="O161" s="3">
        <v>12.93</v>
      </c>
      <c r="P161" s="5">
        <v>234.73684599685382</v>
      </c>
      <c r="Q161" s="3">
        <v>0.24</v>
      </c>
      <c r="R161" s="12">
        <f t="shared" si="2"/>
        <v>1.1736842299842692E-3</v>
      </c>
      <c r="V161" s="3"/>
      <c r="W161" s="3"/>
    </row>
    <row r="162" spans="1:23" x14ac:dyDescent="0.3">
      <c r="B162" s="1">
        <v>20</v>
      </c>
      <c r="C162" s="5">
        <v>598</v>
      </c>
      <c r="D162" s="1">
        <v>1</v>
      </c>
      <c r="E162" s="4">
        <v>40</v>
      </c>
      <c r="F162" s="3">
        <v>2.8</v>
      </c>
      <c r="G162" s="1">
        <v>40</v>
      </c>
      <c r="H162" s="1">
        <v>50</v>
      </c>
      <c r="I162" s="1">
        <v>100</v>
      </c>
      <c r="J162" s="1">
        <v>250</v>
      </c>
      <c r="K162" s="1">
        <v>315</v>
      </c>
      <c r="L162" s="1">
        <v>15000</v>
      </c>
      <c r="M162" s="5">
        <v>75.400393066082174</v>
      </c>
      <c r="N162" s="8">
        <v>2.1000000000000001E-2</v>
      </c>
      <c r="O162" s="3">
        <v>14.72</v>
      </c>
      <c r="P162" s="5">
        <v>267.23328484715302</v>
      </c>
      <c r="Q162" s="3">
        <v>0.27</v>
      </c>
      <c r="R162" s="12">
        <f t="shared" si="2"/>
        <v>1.3361664242357652E-3</v>
      </c>
      <c r="V162" s="3"/>
      <c r="W162" s="3"/>
    </row>
    <row r="163" spans="1:23" x14ac:dyDescent="0.3">
      <c r="B163" s="1">
        <v>20</v>
      </c>
      <c r="C163" s="5">
        <v>598</v>
      </c>
      <c r="D163" s="1">
        <v>1</v>
      </c>
      <c r="E163" s="4">
        <v>40</v>
      </c>
      <c r="F163" s="3">
        <v>2.8</v>
      </c>
      <c r="G163" s="1">
        <v>40</v>
      </c>
      <c r="H163" s="1">
        <v>50</v>
      </c>
      <c r="I163" s="1">
        <v>100</v>
      </c>
      <c r="J163" s="1">
        <v>250</v>
      </c>
      <c r="K163" s="1">
        <v>315</v>
      </c>
      <c r="L163" s="1">
        <v>15000</v>
      </c>
      <c r="M163" s="5">
        <v>75.400393066082174</v>
      </c>
      <c r="N163" s="8">
        <v>2.1000000000000001E-2</v>
      </c>
      <c r="O163" s="3">
        <v>16.579999999999998</v>
      </c>
      <c r="P163" s="5">
        <v>301.0005341552851</v>
      </c>
      <c r="Q163" s="3">
        <v>0.28999999999999998</v>
      </c>
      <c r="R163" s="12">
        <f t="shared" si="2"/>
        <v>1.5050026707764256E-3</v>
      </c>
      <c r="V163" s="3"/>
      <c r="W163" s="3"/>
    </row>
    <row r="164" spans="1:23" x14ac:dyDescent="0.3">
      <c r="B164" s="1">
        <v>20</v>
      </c>
      <c r="C164" s="5">
        <v>598</v>
      </c>
      <c r="D164" s="1">
        <v>1</v>
      </c>
      <c r="E164" s="4">
        <v>40</v>
      </c>
      <c r="F164" s="3">
        <v>2.8</v>
      </c>
      <c r="G164" s="1">
        <v>40</v>
      </c>
      <c r="H164" s="1">
        <v>50</v>
      </c>
      <c r="I164" s="1">
        <v>100</v>
      </c>
      <c r="J164" s="1">
        <v>250</v>
      </c>
      <c r="K164" s="1">
        <v>315</v>
      </c>
      <c r="L164" s="1">
        <v>15000</v>
      </c>
      <c r="M164" s="5">
        <v>75.400393066082174</v>
      </c>
      <c r="N164" s="8">
        <v>2.1000000000000001E-2</v>
      </c>
      <c r="O164" s="3">
        <v>18.350000000000001</v>
      </c>
      <c r="P164" s="5">
        <v>333.13388430334641</v>
      </c>
      <c r="Q164" s="3">
        <v>0.32</v>
      </c>
      <c r="R164" s="12">
        <f t="shared" si="2"/>
        <v>1.6656694215167319E-3</v>
      </c>
      <c r="V164" s="3"/>
      <c r="W164" s="3"/>
    </row>
    <row r="165" spans="1:23" x14ac:dyDescent="0.3">
      <c r="B165" s="1">
        <v>20</v>
      </c>
      <c r="C165" s="5">
        <v>598</v>
      </c>
      <c r="D165" s="1">
        <v>1</v>
      </c>
      <c r="E165" s="4">
        <v>40</v>
      </c>
      <c r="F165" s="3">
        <v>2.8</v>
      </c>
      <c r="G165" s="1">
        <v>40</v>
      </c>
      <c r="H165" s="1">
        <v>50</v>
      </c>
      <c r="I165" s="1">
        <v>100</v>
      </c>
      <c r="J165" s="1">
        <v>250</v>
      </c>
      <c r="K165" s="1">
        <v>315</v>
      </c>
      <c r="L165" s="1">
        <v>15000</v>
      </c>
      <c r="M165" s="5">
        <v>75.400393066082174</v>
      </c>
      <c r="N165" s="8">
        <v>2.1000000000000001E-2</v>
      </c>
      <c r="O165" s="3">
        <v>19.21</v>
      </c>
      <c r="P165" s="5">
        <v>348.7466984995794</v>
      </c>
      <c r="Q165" s="3">
        <v>0.33</v>
      </c>
      <c r="R165" s="12">
        <f t="shared" si="2"/>
        <v>1.743733492497897E-3</v>
      </c>
      <c r="V165" s="3"/>
      <c r="W165" s="3"/>
    </row>
    <row r="166" spans="1:23" x14ac:dyDescent="0.3">
      <c r="A166" t="s">
        <v>41</v>
      </c>
      <c r="B166" s="1">
        <v>10</v>
      </c>
      <c r="C166" s="5">
        <v>528</v>
      </c>
      <c r="D166" s="1">
        <v>1</v>
      </c>
      <c r="E166" s="4">
        <v>45</v>
      </c>
      <c r="F166" s="3">
        <v>2.8</v>
      </c>
      <c r="G166" s="1">
        <v>40</v>
      </c>
      <c r="H166" s="1">
        <v>45</v>
      </c>
      <c r="I166" s="1">
        <v>100</v>
      </c>
      <c r="J166" s="1">
        <v>350</v>
      </c>
      <c r="K166" s="1">
        <v>78.5</v>
      </c>
      <c r="L166" s="1">
        <v>9500</v>
      </c>
      <c r="M166" s="5">
        <v>54.13865484956586</v>
      </c>
      <c r="N166" s="8">
        <v>8.263157894736842E-3</v>
      </c>
      <c r="O166" s="3">
        <v>6.99</v>
      </c>
      <c r="P166" s="5">
        <v>310.30985357473827</v>
      </c>
      <c r="Q166" s="3">
        <v>0.15</v>
      </c>
      <c r="R166" s="12">
        <f t="shared" si="2"/>
        <v>1.5515492678736913E-3</v>
      </c>
      <c r="V166" s="3"/>
      <c r="W166" s="3"/>
    </row>
    <row r="167" spans="1:23" x14ac:dyDescent="0.3">
      <c r="B167" s="1">
        <v>10</v>
      </c>
      <c r="C167" s="5">
        <v>528</v>
      </c>
      <c r="D167" s="1">
        <v>1</v>
      </c>
      <c r="E167" s="4">
        <v>45</v>
      </c>
      <c r="F167" s="3">
        <v>2.8</v>
      </c>
      <c r="G167" s="1">
        <v>40</v>
      </c>
      <c r="H167" s="1">
        <v>45</v>
      </c>
      <c r="I167" s="1">
        <v>100</v>
      </c>
      <c r="J167" s="1">
        <v>350</v>
      </c>
      <c r="K167" s="1">
        <v>78.5</v>
      </c>
      <c r="L167" s="1">
        <v>9500</v>
      </c>
      <c r="M167" s="5">
        <v>54.13865484956586</v>
      </c>
      <c r="N167" s="8">
        <v>8.263157894736842E-3</v>
      </c>
      <c r="O167" s="3">
        <v>7.44</v>
      </c>
      <c r="P167" s="5">
        <v>330.28688277482877</v>
      </c>
      <c r="Q167" s="3">
        <v>0.19</v>
      </c>
      <c r="R167" s="12">
        <f t="shared" si="2"/>
        <v>1.6514344138741437E-3</v>
      </c>
      <c r="V167" s="3"/>
      <c r="W167" s="3"/>
    </row>
    <row r="168" spans="1:23" x14ac:dyDescent="0.3">
      <c r="B168" s="1">
        <v>10</v>
      </c>
      <c r="C168" s="5">
        <v>528</v>
      </c>
      <c r="D168" s="1">
        <v>1</v>
      </c>
      <c r="E168" s="4">
        <v>45</v>
      </c>
      <c r="F168" s="3">
        <v>2.8</v>
      </c>
      <c r="G168" s="1">
        <v>40</v>
      </c>
      <c r="H168" s="1">
        <v>45</v>
      </c>
      <c r="I168" s="1">
        <v>100</v>
      </c>
      <c r="J168" s="1">
        <v>350</v>
      </c>
      <c r="K168" s="1">
        <v>78.5</v>
      </c>
      <c r="L168" s="1">
        <v>9500</v>
      </c>
      <c r="M168" s="5">
        <v>54.13865484956586</v>
      </c>
      <c r="N168" s="8">
        <v>8.263157894736842E-3</v>
      </c>
      <c r="O168" s="3">
        <v>7.53</v>
      </c>
      <c r="P168" s="5">
        <v>334.28228861484689</v>
      </c>
      <c r="Q168" s="3">
        <v>0.2</v>
      </c>
      <c r="R168" s="12">
        <f t="shared" si="2"/>
        <v>1.6714114430742345E-3</v>
      </c>
      <c r="V168" s="3"/>
      <c r="W168" s="3"/>
    </row>
    <row r="169" spans="1:23" x14ac:dyDescent="0.3">
      <c r="B169" s="1">
        <v>10</v>
      </c>
      <c r="C169" s="5">
        <v>528</v>
      </c>
      <c r="D169" s="1">
        <v>1</v>
      </c>
      <c r="E169" s="4">
        <v>45</v>
      </c>
      <c r="F169" s="3">
        <v>2.8</v>
      </c>
      <c r="G169" s="1">
        <v>40</v>
      </c>
      <c r="H169" s="1">
        <v>45</v>
      </c>
      <c r="I169" s="1">
        <v>100</v>
      </c>
      <c r="J169" s="1">
        <v>350</v>
      </c>
      <c r="K169" s="1">
        <v>78.5</v>
      </c>
      <c r="L169" s="1">
        <v>9500</v>
      </c>
      <c r="M169" s="5">
        <v>54.13865484956586</v>
      </c>
      <c r="N169" s="8">
        <v>8.263157894736842E-3</v>
      </c>
      <c r="O169" s="3">
        <v>7.91</v>
      </c>
      <c r="P169" s="5">
        <v>351.15177993936766</v>
      </c>
      <c r="Q169" s="3">
        <v>0.23</v>
      </c>
      <c r="R169" s="12">
        <f t="shared" si="2"/>
        <v>1.7557588996968384E-3</v>
      </c>
      <c r="V169" s="3"/>
      <c r="W169" s="3"/>
    </row>
    <row r="170" spans="1:23" x14ac:dyDescent="0.3">
      <c r="B170" s="1">
        <v>10</v>
      </c>
      <c r="C170" s="5">
        <v>528</v>
      </c>
      <c r="D170" s="1">
        <v>1</v>
      </c>
      <c r="E170" s="4">
        <v>45</v>
      </c>
      <c r="F170" s="3">
        <v>2.8</v>
      </c>
      <c r="G170" s="1">
        <v>40</v>
      </c>
      <c r="H170" s="1">
        <v>45</v>
      </c>
      <c r="I170" s="1">
        <v>100</v>
      </c>
      <c r="J170" s="1">
        <v>350</v>
      </c>
      <c r="K170" s="1">
        <v>78.5</v>
      </c>
      <c r="L170" s="1">
        <v>9500</v>
      </c>
      <c r="M170" s="5">
        <v>54.13865484956586</v>
      </c>
      <c r="N170" s="8">
        <v>8.263157894736842E-3</v>
      </c>
      <c r="O170" s="3">
        <v>8.17</v>
      </c>
      <c r="P170" s="5">
        <v>362.69406347719769</v>
      </c>
      <c r="Q170" s="3">
        <v>0.25</v>
      </c>
      <c r="R170" s="12">
        <f t="shared" si="2"/>
        <v>1.8134703173859883E-3</v>
      </c>
      <c r="V170" s="3"/>
      <c r="W170" s="3"/>
    </row>
    <row r="171" spans="1:23" x14ac:dyDescent="0.3">
      <c r="B171" s="1">
        <v>10</v>
      </c>
      <c r="C171" s="5">
        <v>528</v>
      </c>
      <c r="D171" s="1">
        <v>1</v>
      </c>
      <c r="E171" s="4">
        <v>45</v>
      </c>
      <c r="F171" s="3">
        <v>2.8</v>
      </c>
      <c r="G171" s="1">
        <v>40</v>
      </c>
      <c r="H171" s="1">
        <v>45</v>
      </c>
      <c r="I171" s="1">
        <v>100</v>
      </c>
      <c r="J171" s="1">
        <v>350</v>
      </c>
      <c r="K171" s="1">
        <v>78.5</v>
      </c>
      <c r="L171" s="1">
        <v>9500</v>
      </c>
      <c r="M171" s="5">
        <v>54.13865484956586</v>
      </c>
      <c r="N171" s="8">
        <v>8.263157894736842E-3</v>
      </c>
      <c r="O171" s="3">
        <v>8.4600000000000009</v>
      </c>
      <c r="P171" s="5">
        <v>375.5681489617005</v>
      </c>
      <c r="Q171" s="3">
        <v>0.28000000000000003</v>
      </c>
      <c r="R171" s="12">
        <f t="shared" si="2"/>
        <v>1.8778407448085026E-3</v>
      </c>
      <c r="V171" s="3"/>
      <c r="W171" s="3"/>
    </row>
    <row r="172" spans="1:23" x14ac:dyDescent="0.3">
      <c r="B172" s="1">
        <v>10</v>
      </c>
      <c r="C172" s="5">
        <v>528</v>
      </c>
      <c r="D172" s="1">
        <v>1</v>
      </c>
      <c r="E172" s="4">
        <v>45</v>
      </c>
      <c r="F172" s="3">
        <v>2.8</v>
      </c>
      <c r="G172" s="1">
        <v>40</v>
      </c>
      <c r="H172" s="1">
        <v>45</v>
      </c>
      <c r="I172" s="1">
        <v>100</v>
      </c>
      <c r="J172" s="1">
        <v>350</v>
      </c>
      <c r="K172" s="1">
        <v>78.5</v>
      </c>
      <c r="L172" s="1">
        <v>9500</v>
      </c>
      <c r="M172" s="5">
        <v>54.13865484956586</v>
      </c>
      <c r="N172" s="8">
        <v>8.263157894736842E-3</v>
      </c>
      <c r="O172" s="3">
        <v>8.7200000000000006</v>
      </c>
      <c r="P172" s="5">
        <v>387.11043249953048</v>
      </c>
      <c r="Q172" s="3">
        <v>0.31</v>
      </c>
      <c r="R172" s="12">
        <f t="shared" si="2"/>
        <v>1.9355521624976524E-3</v>
      </c>
      <c r="V172" s="3"/>
      <c r="W172" s="3"/>
    </row>
    <row r="173" spans="1:23" x14ac:dyDescent="0.3">
      <c r="B173" s="1">
        <v>10</v>
      </c>
      <c r="C173" s="5">
        <v>528</v>
      </c>
      <c r="D173" s="1">
        <v>1</v>
      </c>
      <c r="E173" s="4">
        <v>45</v>
      </c>
      <c r="F173" s="3">
        <v>2.8</v>
      </c>
      <c r="G173" s="1">
        <v>40</v>
      </c>
      <c r="H173" s="1">
        <v>45</v>
      </c>
      <c r="I173" s="1">
        <v>100</v>
      </c>
      <c r="J173" s="1">
        <v>350</v>
      </c>
      <c r="K173" s="1">
        <v>78.5</v>
      </c>
      <c r="L173" s="1">
        <v>9500</v>
      </c>
      <c r="M173" s="5">
        <v>54.13865484956586</v>
      </c>
      <c r="N173" s="8">
        <v>8.263157894736842E-3</v>
      </c>
      <c r="O173" s="3">
        <v>9.0299999999999994</v>
      </c>
      <c r="P173" s="5">
        <v>400.87238594848156</v>
      </c>
      <c r="Q173" s="3">
        <v>0.36</v>
      </c>
      <c r="R173" s="12">
        <f t="shared" si="2"/>
        <v>2.0043619297424077E-3</v>
      </c>
      <c r="V173" s="3"/>
      <c r="W173" s="3"/>
    </row>
    <row r="174" spans="1:23" x14ac:dyDescent="0.3">
      <c r="A174" t="s">
        <v>42</v>
      </c>
      <c r="B174" s="1">
        <v>10</v>
      </c>
      <c r="C174" s="5">
        <v>528</v>
      </c>
      <c r="D174" s="1">
        <v>1</v>
      </c>
      <c r="E174" s="4">
        <v>45</v>
      </c>
      <c r="F174" s="3">
        <v>2.8</v>
      </c>
      <c r="G174" s="1">
        <v>40</v>
      </c>
      <c r="H174" s="1">
        <v>45</v>
      </c>
      <c r="I174" s="1">
        <v>100</v>
      </c>
      <c r="J174" s="1">
        <v>350</v>
      </c>
      <c r="K174" s="1">
        <v>78.5</v>
      </c>
      <c r="L174" s="1">
        <v>9500</v>
      </c>
      <c r="M174" s="5">
        <v>54.13865484956586</v>
      </c>
      <c r="N174" s="8">
        <v>8.263157894736842E-3</v>
      </c>
      <c r="O174" s="3">
        <v>6.96</v>
      </c>
      <c r="P174" s="5">
        <v>308.9780516280656</v>
      </c>
      <c r="Q174" s="3">
        <v>0.16</v>
      </c>
      <c r="R174" s="12">
        <f t="shared" si="2"/>
        <v>1.5448902581403281E-3</v>
      </c>
      <c r="V174" s="3"/>
      <c r="W174" s="3"/>
    </row>
    <row r="175" spans="1:23" x14ac:dyDescent="0.3">
      <c r="B175" s="1">
        <v>10</v>
      </c>
      <c r="C175" s="5">
        <v>528</v>
      </c>
      <c r="D175" s="1">
        <v>1</v>
      </c>
      <c r="E175" s="4">
        <v>45</v>
      </c>
      <c r="F175" s="3">
        <v>2.8</v>
      </c>
      <c r="G175" s="1">
        <v>40</v>
      </c>
      <c r="H175" s="1">
        <v>45</v>
      </c>
      <c r="I175" s="1">
        <v>100</v>
      </c>
      <c r="J175" s="1">
        <v>350</v>
      </c>
      <c r="K175" s="1">
        <v>78.5</v>
      </c>
      <c r="L175" s="1">
        <v>9500</v>
      </c>
      <c r="M175" s="5">
        <v>54.13865484956586</v>
      </c>
      <c r="N175" s="8">
        <v>8.263157894736842E-3</v>
      </c>
      <c r="O175" s="3">
        <v>7.26</v>
      </c>
      <c r="P175" s="5">
        <v>322.29607109479258</v>
      </c>
      <c r="Q175" s="3">
        <v>0.18</v>
      </c>
      <c r="R175" s="12">
        <f t="shared" si="2"/>
        <v>1.611480355473963E-3</v>
      </c>
      <c r="V175" s="3"/>
      <c r="W175" s="3"/>
    </row>
    <row r="176" spans="1:23" x14ac:dyDescent="0.3">
      <c r="B176" s="1">
        <v>10</v>
      </c>
      <c r="C176" s="5">
        <v>528</v>
      </c>
      <c r="D176" s="1">
        <v>1</v>
      </c>
      <c r="E176" s="4">
        <v>45</v>
      </c>
      <c r="F176" s="3">
        <v>2.8</v>
      </c>
      <c r="G176" s="1">
        <v>40</v>
      </c>
      <c r="H176" s="1">
        <v>45</v>
      </c>
      <c r="I176" s="1">
        <v>100</v>
      </c>
      <c r="J176" s="1">
        <v>350</v>
      </c>
      <c r="K176" s="1">
        <v>78.5</v>
      </c>
      <c r="L176" s="1">
        <v>9500</v>
      </c>
      <c r="M176" s="5">
        <v>54.13865484956586</v>
      </c>
      <c r="N176" s="8">
        <v>8.263157894736842E-3</v>
      </c>
      <c r="O176" s="3">
        <v>7.54</v>
      </c>
      <c r="P176" s="5">
        <v>334.72622259707111</v>
      </c>
      <c r="Q176" s="3">
        <v>0.2</v>
      </c>
      <c r="R176" s="12">
        <f t="shared" si="2"/>
        <v>1.6736311129853555E-3</v>
      </c>
      <c r="V176" s="3"/>
      <c r="W176" s="3"/>
    </row>
    <row r="177" spans="1:23" x14ac:dyDescent="0.3">
      <c r="B177" s="1">
        <v>10</v>
      </c>
      <c r="C177" s="5">
        <v>528</v>
      </c>
      <c r="D177" s="1">
        <v>1</v>
      </c>
      <c r="E177" s="4">
        <v>45</v>
      </c>
      <c r="F177" s="3">
        <v>2.8</v>
      </c>
      <c r="G177" s="1">
        <v>40</v>
      </c>
      <c r="H177" s="1">
        <v>45</v>
      </c>
      <c r="I177" s="1">
        <v>100</v>
      </c>
      <c r="J177" s="1">
        <v>350</v>
      </c>
      <c r="K177" s="1">
        <v>78.5</v>
      </c>
      <c r="L177" s="1">
        <v>9500</v>
      </c>
      <c r="M177" s="5">
        <v>54.13865484956586</v>
      </c>
      <c r="N177" s="8">
        <v>8.263157894736842E-3</v>
      </c>
      <c r="O177" s="3">
        <v>7.83</v>
      </c>
      <c r="P177" s="5">
        <v>347.60030808157381</v>
      </c>
      <c r="Q177" s="3">
        <v>0.23</v>
      </c>
      <c r="R177" s="12">
        <f t="shared" si="2"/>
        <v>1.7380015404078691E-3</v>
      </c>
      <c r="V177" s="3"/>
      <c r="W177" s="3"/>
    </row>
    <row r="178" spans="1:23" x14ac:dyDescent="0.3">
      <c r="B178" s="1">
        <v>10</v>
      </c>
      <c r="C178" s="5">
        <v>528</v>
      </c>
      <c r="D178" s="1">
        <v>1</v>
      </c>
      <c r="E178" s="4">
        <v>45</v>
      </c>
      <c r="F178" s="3">
        <v>2.8</v>
      </c>
      <c r="G178" s="1">
        <v>40</v>
      </c>
      <c r="H178" s="1">
        <v>45</v>
      </c>
      <c r="I178" s="1">
        <v>100</v>
      </c>
      <c r="J178" s="1">
        <v>350</v>
      </c>
      <c r="K178" s="1">
        <v>78.5</v>
      </c>
      <c r="L178" s="1">
        <v>9500</v>
      </c>
      <c r="M178" s="5">
        <v>54.13865484956586</v>
      </c>
      <c r="N178" s="8">
        <v>8.263157894736842E-3</v>
      </c>
      <c r="O178" s="3">
        <v>8.14</v>
      </c>
      <c r="P178" s="5">
        <v>361.36226153052507</v>
      </c>
      <c r="Q178" s="3">
        <v>0.24</v>
      </c>
      <c r="R178" s="12">
        <f t="shared" si="2"/>
        <v>1.8068113076526253E-3</v>
      </c>
      <c r="V178" s="3"/>
      <c r="W178" s="3"/>
    </row>
    <row r="179" spans="1:23" x14ac:dyDescent="0.3">
      <c r="B179" s="1">
        <v>10</v>
      </c>
      <c r="C179" s="5">
        <v>528</v>
      </c>
      <c r="D179" s="1">
        <v>1</v>
      </c>
      <c r="E179" s="4">
        <v>45</v>
      </c>
      <c r="F179" s="3">
        <v>2.8</v>
      </c>
      <c r="G179" s="1">
        <v>40</v>
      </c>
      <c r="H179" s="1">
        <v>45</v>
      </c>
      <c r="I179" s="1">
        <v>100</v>
      </c>
      <c r="J179" s="1">
        <v>350</v>
      </c>
      <c r="K179" s="1">
        <v>78.5</v>
      </c>
      <c r="L179" s="1">
        <v>9500</v>
      </c>
      <c r="M179" s="5">
        <v>54.13865484956586</v>
      </c>
      <c r="N179" s="8">
        <v>8.263157894736842E-3</v>
      </c>
      <c r="O179" s="3">
        <v>8.4600000000000009</v>
      </c>
      <c r="P179" s="5">
        <v>375.5681489617005</v>
      </c>
      <c r="Q179" s="3">
        <v>0.25</v>
      </c>
      <c r="R179" s="12">
        <f t="shared" si="2"/>
        <v>1.8778407448085026E-3</v>
      </c>
      <c r="V179" s="3"/>
      <c r="W179" s="3"/>
    </row>
    <row r="180" spans="1:23" x14ac:dyDescent="0.3">
      <c r="B180" s="1">
        <v>10</v>
      </c>
      <c r="C180" s="5">
        <v>528</v>
      </c>
      <c r="D180" s="1">
        <v>1</v>
      </c>
      <c r="E180" s="4">
        <v>45</v>
      </c>
      <c r="F180" s="3">
        <v>2.8</v>
      </c>
      <c r="G180" s="1">
        <v>40</v>
      </c>
      <c r="H180" s="1">
        <v>45</v>
      </c>
      <c r="I180" s="1">
        <v>100</v>
      </c>
      <c r="J180" s="1">
        <v>350</v>
      </c>
      <c r="K180" s="1">
        <v>78.5</v>
      </c>
      <c r="L180" s="1">
        <v>9500</v>
      </c>
      <c r="M180" s="5">
        <v>54.13865484956586</v>
      </c>
      <c r="N180" s="8">
        <v>8.263157894736842E-3</v>
      </c>
      <c r="O180" s="3">
        <v>8.75</v>
      </c>
      <c r="P180" s="5">
        <v>388.44223444620314</v>
      </c>
      <c r="Q180" s="3">
        <v>0.27</v>
      </c>
      <c r="R180" s="12">
        <f t="shared" si="2"/>
        <v>1.9422111722310158E-3</v>
      </c>
      <c r="V180" s="3"/>
      <c r="W180" s="3"/>
    </row>
    <row r="181" spans="1:23" x14ac:dyDescent="0.3">
      <c r="B181" s="1">
        <v>10</v>
      </c>
      <c r="C181" s="5">
        <v>528</v>
      </c>
      <c r="D181" s="1">
        <v>1</v>
      </c>
      <c r="E181" s="4">
        <v>45</v>
      </c>
      <c r="F181" s="3">
        <v>2.8</v>
      </c>
      <c r="G181" s="1">
        <v>40</v>
      </c>
      <c r="H181" s="1">
        <v>45</v>
      </c>
      <c r="I181" s="1">
        <v>100</v>
      </c>
      <c r="J181" s="1">
        <v>350</v>
      </c>
      <c r="K181" s="1">
        <v>78.5</v>
      </c>
      <c r="L181" s="1">
        <v>9500</v>
      </c>
      <c r="M181" s="5">
        <v>54.13865484956586</v>
      </c>
      <c r="N181" s="8">
        <v>8.263157894736842E-3</v>
      </c>
      <c r="O181" s="3">
        <v>9.01</v>
      </c>
      <c r="P181" s="5">
        <v>399.98451798403318</v>
      </c>
      <c r="Q181" s="3">
        <v>0.28999999999999998</v>
      </c>
      <c r="R181" s="12">
        <f t="shared" si="2"/>
        <v>1.999922589920166E-3</v>
      </c>
      <c r="V181" s="3"/>
      <c r="W181" s="3"/>
    </row>
    <row r="182" spans="1:23" x14ac:dyDescent="0.3">
      <c r="A182" t="s">
        <v>43</v>
      </c>
      <c r="B182" s="1">
        <v>10</v>
      </c>
      <c r="C182" s="5">
        <v>528</v>
      </c>
      <c r="D182" s="1">
        <v>1</v>
      </c>
      <c r="E182" s="4">
        <v>45</v>
      </c>
      <c r="F182" s="3">
        <v>2.8</v>
      </c>
      <c r="G182" s="1">
        <v>40</v>
      </c>
      <c r="H182" s="1">
        <v>45</v>
      </c>
      <c r="I182" s="1">
        <v>100</v>
      </c>
      <c r="J182" s="1">
        <v>350</v>
      </c>
      <c r="K182" s="1">
        <v>78.5</v>
      </c>
      <c r="L182" s="1">
        <v>9500</v>
      </c>
      <c r="M182" s="5">
        <v>54.13865484956586</v>
      </c>
      <c r="N182" s="8">
        <v>8.263157894736842E-3</v>
      </c>
      <c r="O182" s="3">
        <v>7.29</v>
      </c>
      <c r="P182" s="5">
        <v>323.62787304146531</v>
      </c>
      <c r="Q182" s="3">
        <v>0.15</v>
      </c>
      <c r="R182" s="12">
        <f t="shared" si="2"/>
        <v>1.6181393652073266E-3</v>
      </c>
      <c r="V182" s="3"/>
      <c r="W182" s="3"/>
    </row>
    <row r="183" spans="1:23" x14ac:dyDescent="0.3">
      <c r="B183" s="1">
        <v>10</v>
      </c>
      <c r="C183" s="5">
        <v>528</v>
      </c>
      <c r="D183" s="1">
        <v>1</v>
      </c>
      <c r="E183" s="4">
        <v>45</v>
      </c>
      <c r="F183" s="3">
        <v>2.8</v>
      </c>
      <c r="G183" s="1">
        <v>40</v>
      </c>
      <c r="H183" s="1">
        <v>45</v>
      </c>
      <c r="I183" s="1">
        <v>100</v>
      </c>
      <c r="J183" s="1">
        <v>350</v>
      </c>
      <c r="K183" s="1">
        <v>78.5</v>
      </c>
      <c r="L183" s="1">
        <v>9500</v>
      </c>
      <c r="M183" s="5">
        <v>54.13865484956586</v>
      </c>
      <c r="N183" s="8">
        <v>8.263157894736842E-3</v>
      </c>
      <c r="O183" s="3">
        <v>7.58</v>
      </c>
      <c r="P183" s="5">
        <v>336.50195852596801</v>
      </c>
      <c r="Q183" s="3">
        <v>0.16</v>
      </c>
      <c r="R183" s="12">
        <f t="shared" si="2"/>
        <v>1.68250979262984E-3</v>
      </c>
      <c r="V183" s="3"/>
      <c r="W183" s="3"/>
    </row>
    <row r="184" spans="1:23" x14ac:dyDescent="0.3">
      <c r="B184" s="1">
        <v>10</v>
      </c>
      <c r="C184" s="5">
        <v>528</v>
      </c>
      <c r="D184" s="1">
        <v>1</v>
      </c>
      <c r="E184" s="4">
        <v>45</v>
      </c>
      <c r="F184" s="3">
        <v>2.8</v>
      </c>
      <c r="G184" s="1">
        <v>40</v>
      </c>
      <c r="H184" s="1">
        <v>45</v>
      </c>
      <c r="I184" s="1">
        <v>100</v>
      </c>
      <c r="J184" s="1">
        <v>350</v>
      </c>
      <c r="K184" s="1">
        <v>78.5</v>
      </c>
      <c r="L184" s="1">
        <v>9500</v>
      </c>
      <c r="M184" s="5">
        <v>54.13865484956586</v>
      </c>
      <c r="N184" s="8">
        <v>8.263157894736842E-3</v>
      </c>
      <c r="O184" s="3">
        <v>7.99</v>
      </c>
      <c r="P184" s="5">
        <v>354.70325179716156</v>
      </c>
      <c r="Q184" s="3">
        <v>0.18</v>
      </c>
      <c r="R184" s="12">
        <f t="shared" si="2"/>
        <v>1.7735162589858078E-3</v>
      </c>
      <c r="V184" s="3"/>
      <c r="W184" s="3"/>
    </row>
    <row r="185" spans="1:23" x14ac:dyDescent="0.3">
      <c r="B185" s="1">
        <v>10</v>
      </c>
      <c r="C185" s="5">
        <v>528</v>
      </c>
      <c r="D185" s="1">
        <v>1</v>
      </c>
      <c r="E185" s="4">
        <v>45</v>
      </c>
      <c r="F185" s="3">
        <v>2.8</v>
      </c>
      <c r="G185" s="1">
        <v>40</v>
      </c>
      <c r="H185" s="1">
        <v>45</v>
      </c>
      <c r="I185" s="1">
        <v>100</v>
      </c>
      <c r="J185" s="1">
        <v>350</v>
      </c>
      <c r="K185" s="1">
        <v>78.5</v>
      </c>
      <c r="L185" s="1">
        <v>9500</v>
      </c>
      <c r="M185" s="5">
        <v>54.13865484956586</v>
      </c>
      <c r="N185" s="8">
        <v>8.263157894736842E-3</v>
      </c>
      <c r="O185" s="3">
        <v>8.23</v>
      </c>
      <c r="P185" s="5">
        <v>365.35766737054308</v>
      </c>
      <c r="Q185" s="3">
        <v>0.18</v>
      </c>
      <c r="R185" s="12">
        <f t="shared" si="2"/>
        <v>1.8267883368527154E-3</v>
      </c>
      <c r="V185" s="3"/>
      <c r="W185" s="3"/>
    </row>
    <row r="186" spans="1:23" x14ac:dyDescent="0.3">
      <c r="B186" s="1">
        <v>10</v>
      </c>
      <c r="C186" s="5">
        <v>528</v>
      </c>
      <c r="D186" s="1">
        <v>1</v>
      </c>
      <c r="E186" s="4">
        <v>45</v>
      </c>
      <c r="F186" s="3">
        <v>2.8</v>
      </c>
      <c r="G186" s="1">
        <v>40</v>
      </c>
      <c r="H186" s="1">
        <v>45</v>
      </c>
      <c r="I186" s="1">
        <v>100</v>
      </c>
      <c r="J186" s="1">
        <v>350</v>
      </c>
      <c r="K186" s="1">
        <v>78.5</v>
      </c>
      <c r="L186" s="1">
        <v>9500</v>
      </c>
      <c r="M186" s="5">
        <v>54.13865484956586</v>
      </c>
      <c r="N186" s="8">
        <v>8.263157894736842E-3</v>
      </c>
      <c r="O186" s="3">
        <v>8.4600000000000009</v>
      </c>
      <c r="P186" s="5">
        <v>375.5681489617005</v>
      </c>
      <c r="Q186" s="3">
        <v>0.19</v>
      </c>
      <c r="R186" s="12">
        <f t="shared" si="2"/>
        <v>1.8778407448085026E-3</v>
      </c>
      <c r="V186" s="3"/>
      <c r="W186" s="3"/>
    </row>
    <row r="187" spans="1:23" x14ac:dyDescent="0.3">
      <c r="B187" s="1">
        <v>10</v>
      </c>
      <c r="C187" s="5">
        <v>528</v>
      </c>
      <c r="D187" s="1">
        <v>1</v>
      </c>
      <c r="E187" s="4">
        <v>45</v>
      </c>
      <c r="F187" s="3">
        <v>2.8</v>
      </c>
      <c r="G187" s="1">
        <v>40</v>
      </c>
      <c r="H187" s="1">
        <v>45</v>
      </c>
      <c r="I187" s="1">
        <v>100</v>
      </c>
      <c r="J187" s="1">
        <v>350</v>
      </c>
      <c r="K187" s="1">
        <v>78.5</v>
      </c>
      <c r="L187" s="1">
        <v>9500</v>
      </c>
      <c r="M187" s="5">
        <v>54.13865484956586</v>
      </c>
      <c r="N187" s="8">
        <v>8.263157894736842E-3</v>
      </c>
      <c r="O187" s="3">
        <v>8.7100000000000009</v>
      </c>
      <c r="P187" s="5">
        <v>386.66649851730631</v>
      </c>
      <c r="Q187" s="3">
        <v>0.2</v>
      </c>
      <c r="R187" s="12">
        <f t="shared" si="2"/>
        <v>1.9333324925865315E-3</v>
      </c>
      <c r="V187" s="3"/>
      <c r="W187" s="3"/>
    </row>
    <row r="188" spans="1:23" x14ac:dyDescent="0.3">
      <c r="B188" s="1">
        <v>10</v>
      </c>
      <c r="C188" s="5">
        <v>528</v>
      </c>
      <c r="D188" s="1">
        <v>1</v>
      </c>
      <c r="E188" s="4">
        <v>45</v>
      </c>
      <c r="F188" s="3">
        <v>2.8</v>
      </c>
      <c r="G188" s="1">
        <v>40</v>
      </c>
      <c r="H188" s="1">
        <v>45</v>
      </c>
      <c r="I188" s="1">
        <v>100</v>
      </c>
      <c r="J188" s="1">
        <v>350</v>
      </c>
      <c r="K188" s="1">
        <v>78.5</v>
      </c>
      <c r="L188" s="1">
        <v>9500</v>
      </c>
      <c r="M188" s="5">
        <v>54.13865484956586</v>
      </c>
      <c r="N188" s="8">
        <v>8.263157894736842E-3</v>
      </c>
      <c r="O188" s="3">
        <v>9.0399999999999991</v>
      </c>
      <c r="P188" s="5">
        <v>401.31631993070596</v>
      </c>
      <c r="Q188" s="3">
        <v>0.22</v>
      </c>
      <c r="R188" s="12">
        <f t="shared" si="2"/>
        <v>2.0065815996535299E-3</v>
      </c>
      <c r="V188" s="3"/>
      <c r="W188" s="3"/>
    </row>
    <row r="189" spans="1:23" x14ac:dyDescent="0.3">
      <c r="A189" t="s">
        <v>44</v>
      </c>
      <c r="B189" s="1">
        <v>20</v>
      </c>
      <c r="C189" s="5">
        <v>598</v>
      </c>
      <c r="D189" s="1">
        <v>1</v>
      </c>
      <c r="E189" s="4">
        <v>40</v>
      </c>
      <c r="F189" s="3">
        <v>2.8</v>
      </c>
      <c r="G189" s="1">
        <v>40</v>
      </c>
      <c r="H189" s="1">
        <v>50</v>
      </c>
      <c r="I189" s="1">
        <v>100</v>
      </c>
      <c r="J189" s="1">
        <v>350</v>
      </c>
      <c r="K189" s="1">
        <v>315</v>
      </c>
      <c r="L189" s="1">
        <v>15000</v>
      </c>
      <c r="M189" s="5">
        <v>96.386921369125758</v>
      </c>
      <c r="N189" s="8">
        <v>2.1000000000000001E-2</v>
      </c>
      <c r="O189" s="3">
        <v>18.98</v>
      </c>
      <c r="P189" s="5">
        <v>224.93648942333181</v>
      </c>
      <c r="Q189" s="3">
        <v>0.16</v>
      </c>
      <c r="R189" s="12">
        <f t="shared" si="2"/>
        <v>1.1246824471166591E-3</v>
      </c>
      <c r="V189" s="3"/>
      <c r="W189" s="3"/>
    </row>
    <row r="190" spans="1:23" x14ac:dyDescent="0.3">
      <c r="B190" s="1">
        <v>20</v>
      </c>
      <c r="C190" s="5">
        <v>598</v>
      </c>
      <c r="D190" s="1">
        <v>1</v>
      </c>
      <c r="E190" s="4">
        <v>40</v>
      </c>
      <c r="F190" s="3">
        <v>2.8</v>
      </c>
      <c r="G190" s="1">
        <v>40</v>
      </c>
      <c r="H190" s="1">
        <v>50</v>
      </c>
      <c r="I190" s="1">
        <v>100</v>
      </c>
      <c r="J190" s="1">
        <v>350</v>
      </c>
      <c r="K190" s="1">
        <v>315</v>
      </c>
      <c r="L190" s="1">
        <v>15000</v>
      </c>
      <c r="M190" s="5">
        <v>96.386921369125758</v>
      </c>
      <c r="N190" s="8">
        <v>2.1000000000000001E-2</v>
      </c>
      <c r="O190" s="3">
        <v>21.93</v>
      </c>
      <c r="P190" s="5">
        <v>259.89764030841235</v>
      </c>
      <c r="Q190" s="3">
        <v>0.2</v>
      </c>
      <c r="R190" s="12">
        <f t="shared" si="2"/>
        <v>1.2994882015420618E-3</v>
      </c>
      <c r="V190" s="3"/>
      <c r="W190" s="3"/>
    </row>
    <row r="191" spans="1:23" x14ac:dyDescent="0.3">
      <c r="B191" s="1">
        <v>20</v>
      </c>
      <c r="C191" s="5">
        <v>598</v>
      </c>
      <c r="D191" s="1">
        <v>1</v>
      </c>
      <c r="E191" s="4">
        <v>40</v>
      </c>
      <c r="F191" s="3">
        <v>2.8</v>
      </c>
      <c r="G191" s="1">
        <v>40</v>
      </c>
      <c r="H191" s="1">
        <v>50</v>
      </c>
      <c r="I191" s="1">
        <v>100</v>
      </c>
      <c r="J191" s="1">
        <v>350</v>
      </c>
      <c r="K191" s="1">
        <v>315</v>
      </c>
      <c r="L191" s="1">
        <v>15000</v>
      </c>
      <c r="M191" s="5">
        <v>96.386921369125758</v>
      </c>
      <c r="N191" s="8">
        <v>2.1000000000000001E-2</v>
      </c>
      <c r="O191" s="3">
        <v>24.87</v>
      </c>
      <c r="P191" s="5">
        <v>294.74027881761134</v>
      </c>
      <c r="Q191" s="3">
        <v>0.23</v>
      </c>
      <c r="R191" s="12">
        <f t="shared" si="2"/>
        <v>1.4737013940880567E-3</v>
      </c>
      <c r="V191" s="3"/>
      <c r="W191" s="3"/>
    </row>
    <row r="192" spans="1:23" x14ac:dyDescent="0.3">
      <c r="A192" t="s">
        <v>45</v>
      </c>
      <c r="B192" s="1">
        <v>20</v>
      </c>
      <c r="C192" s="5">
        <v>598</v>
      </c>
      <c r="D192" s="1">
        <v>1</v>
      </c>
      <c r="E192" s="4">
        <v>40</v>
      </c>
      <c r="F192" s="3">
        <v>2.8</v>
      </c>
      <c r="G192" s="1">
        <v>40</v>
      </c>
      <c r="H192" s="1">
        <v>50</v>
      </c>
      <c r="I192" s="1">
        <v>100</v>
      </c>
      <c r="J192" s="1">
        <v>350</v>
      </c>
      <c r="K192" s="1">
        <v>315</v>
      </c>
      <c r="L192" s="1">
        <v>15000</v>
      </c>
      <c r="M192" s="5">
        <v>96.386921369125758</v>
      </c>
      <c r="N192" s="8">
        <v>2.1000000000000001E-2</v>
      </c>
      <c r="O192" s="3">
        <v>18.98</v>
      </c>
      <c r="P192" s="5">
        <v>224.93648942333181</v>
      </c>
      <c r="Q192" s="3">
        <v>0.14000000000000001</v>
      </c>
      <c r="R192" s="12">
        <f t="shared" si="2"/>
        <v>1.1246824471166591E-3</v>
      </c>
      <c r="V192" s="3"/>
      <c r="W192" s="3"/>
    </row>
    <row r="193" spans="1:23" x14ac:dyDescent="0.3">
      <c r="B193" s="1">
        <v>20</v>
      </c>
      <c r="C193" s="5">
        <v>598</v>
      </c>
      <c r="D193" s="1">
        <v>1</v>
      </c>
      <c r="E193" s="4">
        <v>40</v>
      </c>
      <c r="F193" s="3">
        <v>2.8</v>
      </c>
      <c r="G193" s="1">
        <v>40</v>
      </c>
      <c r="H193" s="1">
        <v>50</v>
      </c>
      <c r="I193" s="1">
        <v>100</v>
      </c>
      <c r="J193" s="1">
        <v>350</v>
      </c>
      <c r="K193" s="1">
        <v>315</v>
      </c>
      <c r="L193" s="1">
        <v>15000</v>
      </c>
      <c r="M193" s="5">
        <v>96.386921369125758</v>
      </c>
      <c r="N193" s="8">
        <v>2.1000000000000001E-2</v>
      </c>
      <c r="O193" s="3">
        <v>21.89</v>
      </c>
      <c r="P193" s="5">
        <v>259.42359080488586</v>
      </c>
      <c r="Q193" s="3">
        <v>0.17</v>
      </c>
      <c r="R193" s="12">
        <f t="shared" si="2"/>
        <v>1.2971179540244293E-3</v>
      </c>
      <c r="V193" s="3"/>
      <c r="W193" s="3"/>
    </row>
    <row r="194" spans="1:23" x14ac:dyDescent="0.3">
      <c r="B194" s="1">
        <v>20</v>
      </c>
      <c r="C194" s="5">
        <v>598</v>
      </c>
      <c r="D194" s="1">
        <v>1</v>
      </c>
      <c r="E194" s="4">
        <v>40</v>
      </c>
      <c r="F194" s="3">
        <v>2.8</v>
      </c>
      <c r="G194" s="1">
        <v>40</v>
      </c>
      <c r="H194" s="1">
        <v>50</v>
      </c>
      <c r="I194" s="1">
        <v>100</v>
      </c>
      <c r="J194" s="1">
        <v>350</v>
      </c>
      <c r="K194" s="1">
        <v>315</v>
      </c>
      <c r="L194" s="1">
        <v>15000</v>
      </c>
      <c r="M194" s="5">
        <v>96.386921369125758</v>
      </c>
      <c r="N194" s="8">
        <v>2.1000000000000001E-2</v>
      </c>
      <c r="O194" s="3">
        <v>24.82</v>
      </c>
      <c r="P194" s="5">
        <v>294.14771693820313</v>
      </c>
      <c r="Q194" s="3">
        <v>0.21</v>
      </c>
      <c r="R194" s="12">
        <f t="shared" si="2"/>
        <v>1.4707385846910157E-3</v>
      </c>
      <c r="V194" s="3"/>
      <c r="W194" s="3"/>
    </row>
    <row r="195" spans="1:23" x14ac:dyDescent="0.3">
      <c r="A195" t="s">
        <v>46</v>
      </c>
      <c r="B195" s="1">
        <v>20</v>
      </c>
      <c r="C195" s="5">
        <v>598</v>
      </c>
      <c r="D195" s="1">
        <v>1</v>
      </c>
      <c r="E195" s="4">
        <v>40</v>
      </c>
      <c r="F195" s="3">
        <v>2.8</v>
      </c>
      <c r="G195" s="1">
        <v>40</v>
      </c>
      <c r="H195" s="1">
        <v>50</v>
      </c>
      <c r="I195" s="1">
        <v>100</v>
      </c>
      <c r="J195" s="1">
        <v>350</v>
      </c>
      <c r="K195" s="1">
        <v>315</v>
      </c>
      <c r="L195" s="1">
        <v>15000</v>
      </c>
      <c r="M195" s="5">
        <v>96.386921369125758</v>
      </c>
      <c r="N195" s="8">
        <v>2.1000000000000001E-2</v>
      </c>
      <c r="O195" s="3">
        <v>13.02</v>
      </c>
      <c r="P195" s="5">
        <v>154.30311339788094</v>
      </c>
      <c r="Q195" s="3">
        <v>0.21</v>
      </c>
      <c r="R195" s="12">
        <f t="shared" si="2"/>
        <v>7.7151556698940472E-4</v>
      </c>
      <c r="V195" s="3"/>
      <c r="W195" s="3"/>
    </row>
    <row r="196" spans="1:23" x14ac:dyDescent="0.3">
      <c r="B196" s="1">
        <v>20</v>
      </c>
      <c r="C196" s="5">
        <v>598</v>
      </c>
      <c r="D196" s="1">
        <v>1</v>
      </c>
      <c r="E196" s="4">
        <v>40</v>
      </c>
      <c r="F196" s="3">
        <v>2.8</v>
      </c>
      <c r="G196" s="1">
        <v>40</v>
      </c>
      <c r="H196" s="1">
        <v>50</v>
      </c>
      <c r="I196" s="1">
        <v>100</v>
      </c>
      <c r="J196" s="1">
        <v>350</v>
      </c>
      <c r="K196" s="1">
        <v>315</v>
      </c>
      <c r="L196" s="1">
        <v>15000</v>
      </c>
      <c r="M196" s="5">
        <v>96.386921369125758</v>
      </c>
      <c r="N196" s="8">
        <v>2.1000000000000001E-2</v>
      </c>
      <c r="O196" s="3">
        <v>16.059999999999999</v>
      </c>
      <c r="P196" s="5">
        <v>190.33087566589617</v>
      </c>
      <c r="Q196" s="3">
        <v>0.25</v>
      </c>
      <c r="R196" s="12">
        <f t="shared" ref="R196:R259" si="3">P196/200000</f>
        <v>9.5165437832948083E-4</v>
      </c>
      <c r="V196" s="3"/>
      <c r="W196" s="3"/>
    </row>
    <row r="197" spans="1:23" x14ac:dyDescent="0.3">
      <c r="B197" s="1">
        <v>20</v>
      </c>
      <c r="C197" s="5">
        <v>598</v>
      </c>
      <c r="D197" s="1">
        <v>1</v>
      </c>
      <c r="E197" s="4">
        <v>40</v>
      </c>
      <c r="F197" s="3">
        <v>2.8</v>
      </c>
      <c r="G197" s="1">
        <v>40</v>
      </c>
      <c r="H197" s="1">
        <v>50</v>
      </c>
      <c r="I197" s="1">
        <v>100</v>
      </c>
      <c r="J197" s="1">
        <v>350</v>
      </c>
      <c r="K197" s="1">
        <v>315</v>
      </c>
      <c r="L197" s="1">
        <v>15000</v>
      </c>
      <c r="M197" s="5">
        <v>96.386921369125758</v>
      </c>
      <c r="N197" s="8">
        <v>2.1000000000000001E-2</v>
      </c>
      <c r="O197" s="3">
        <v>18.93</v>
      </c>
      <c r="P197" s="5">
        <v>224.34392754392366</v>
      </c>
      <c r="Q197" s="3">
        <v>0.28999999999999998</v>
      </c>
      <c r="R197" s="12">
        <f t="shared" si="3"/>
        <v>1.1217196377196182E-3</v>
      </c>
      <c r="V197" s="3"/>
      <c r="W197" s="3"/>
    </row>
    <row r="198" spans="1:23" x14ac:dyDescent="0.3">
      <c r="B198" s="1">
        <v>20</v>
      </c>
      <c r="C198" s="5">
        <v>598</v>
      </c>
      <c r="D198" s="1">
        <v>1</v>
      </c>
      <c r="E198" s="4">
        <v>40</v>
      </c>
      <c r="F198" s="3">
        <v>2.8</v>
      </c>
      <c r="G198" s="1">
        <v>40</v>
      </c>
      <c r="H198" s="1">
        <v>50</v>
      </c>
      <c r="I198" s="1">
        <v>100</v>
      </c>
      <c r="J198" s="1">
        <v>350</v>
      </c>
      <c r="K198" s="1">
        <v>315</v>
      </c>
      <c r="L198" s="1">
        <v>15000</v>
      </c>
      <c r="M198" s="5">
        <v>96.386921369125758</v>
      </c>
      <c r="N198" s="8">
        <v>2.1000000000000001E-2</v>
      </c>
      <c r="O198" s="3">
        <v>21.81</v>
      </c>
      <c r="P198" s="5">
        <v>258.47549179783277</v>
      </c>
      <c r="Q198" s="3">
        <v>0.33</v>
      </c>
      <c r="R198" s="12">
        <f t="shared" si="3"/>
        <v>1.2923774589891639E-3</v>
      </c>
      <c r="V198" s="3"/>
      <c r="W198" s="3"/>
    </row>
    <row r="199" spans="1:23" x14ac:dyDescent="0.3">
      <c r="B199" s="1">
        <v>20</v>
      </c>
      <c r="C199" s="5">
        <v>598</v>
      </c>
      <c r="D199" s="1">
        <v>1</v>
      </c>
      <c r="E199" s="4">
        <v>40</v>
      </c>
      <c r="F199" s="3">
        <v>2.8</v>
      </c>
      <c r="G199" s="1">
        <v>40</v>
      </c>
      <c r="H199" s="1">
        <v>50</v>
      </c>
      <c r="I199" s="1">
        <v>100</v>
      </c>
      <c r="J199" s="1">
        <v>350</v>
      </c>
      <c r="K199" s="1">
        <v>315</v>
      </c>
      <c r="L199" s="1">
        <v>15000</v>
      </c>
      <c r="M199" s="5">
        <v>96.386921369125758</v>
      </c>
      <c r="N199" s="8">
        <v>2.1000000000000001E-2</v>
      </c>
      <c r="O199" s="3">
        <v>25.88</v>
      </c>
      <c r="P199" s="5">
        <v>306.71002878165581</v>
      </c>
      <c r="Q199" s="3">
        <v>0.37</v>
      </c>
      <c r="R199" s="12">
        <f t="shared" si="3"/>
        <v>1.533550143908279E-3</v>
      </c>
      <c r="V199" s="3"/>
      <c r="W199" s="3"/>
    </row>
    <row r="200" spans="1:23" x14ac:dyDescent="0.3">
      <c r="A200" t="s">
        <v>47</v>
      </c>
      <c r="B200" s="1">
        <v>20</v>
      </c>
      <c r="C200" s="5">
        <v>430</v>
      </c>
      <c r="D200" s="1">
        <v>6</v>
      </c>
      <c r="E200" s="4">
        <v>84</v>
      </c>
      <c r="F200" s="3">
        <v>3.5088212858554391</v>
      </c>
      <c r="G200" s="1">
        <v>50</v>
      </c>
      <c r="H200" s="1">
        <v>64</v>
      </c>
      <c r="I200" s="1">
        <v>600</v>
      </c>
      <c r="J200" s="1">
        <v>400</v>
      </c>
      <c r="K200" s="1">
        <v>1884</v>
      </c>
      <c r="L200" s="1">
        <v>98400</v>
      </c>
      <c r="M200" s="5">
        <v>96.251010941284974</v>
      </c>
      <c r="N200" s="8">
        <v>1.9146341463414634E-2</v>
      </c>
      <c r="O200" s="3">
        <v>103</v>
      </c>
      <c r="P200" s="5">
        <v>179.8880402629556</v>
      </c>
      <c r="Q200" s="3">
        <v>0.15</v>
      </c>
      <c r="R200" s="12">
        <f t="shared" si="3"/>
        <v>8.9944020131477805E-4</v>
      </c>
      <c r="V200" s="3"/>
      <c r="W200" s="3"/>
    </row>
    <row r="201" spans="1:23" x14ac:dyDescent="0.3">
      <c r="B201" s="1">
        <v>20</v>
      </c>
      <c r="C201" s="5">
        <v>430</v>
      </c>
      <c r="D201" s="1">
        <v>6</v>
      </c>
      <c r="E201" s="4">
        <v>84</v>
      </c>
      <c r="F201" s="3">
        <v>3.5088212858554391</v>
      </c>
      <c r="G201" s="1">
        <v>50</v>
      </c>
      <c r="H201" s="1">
        <v>64</v>
      </c>
      <c r="I201" s="1">
        <v>600</v>
      </c>
      <c r="J201" s="1">
        <v>400</v>
      </c>
      <c r="K201" s="1">
        <v>1884</v>
      </c>
      <c r="L201" s="1">
        <v>98400</v>
      </c>
      <c r="M201" s="5">
        <v>96.251010941284974</v>
      </c>
      <c r="N201" s="8">
        <v>1.9146341463414634E-2</v>
      </c>
      <c r="O201" s="3">
        <v>129</v>
      </c>
      <c r="P201" s="5">
        <v>225.29667178564338</v>
      </c>
      <c r="Q201" s="3">
        <v>0.23</v>
      </c>
      <c r="R201" s="12">
        <f t="shared" si="3"/>
        <v>1.126483358928217E-3</v>
      </c>
      <c r="V201" s="3"/>
      <c r="W201" s="3"/>
    </row>
    <row r="202" spans="1:23" x14ac:dyDescent="0.3">
      <c r="B202" s="1">
        <v>20</v>
      </c>
      <c r="C202" s="5">
        <v>430</v>
      </c>
      <c r="D202" s="1">
        <v>6</v>
      </c>
      <c r="E202" s="4">
        <v>84</v>
      </c>
      <c r="F202" s="3">
        <v>3.5088212858554391</v>
      </c>
      <c r="G202" s="1">
        <v>50</v>
      </c>
      <c r="H202" s="1">
        <v>64</v>
      </c>
      <c r="I202" s="1">
        <v>600</v>
      </c>
      <c r="J202" s="1">
        <v>400</v>
      </c>
      <c r="K202" s="1">
        <v>1884</v>
      </c>
      <c r="L202" s="1">
        <v>98400</v>
      </c>
      <c r="M202" s="5">
        <v>96.251010941284974</v>
      </c>
      <c r="N202" s="8">
        <v>1.9146341463414634E-2</v>
      </c>
      <c r="O202" s="3">
        <v>155</v>
      </c>
      <c r="P202" s="5">
        <v>270.70530330833117</v>
      </c>
      <c r="Q202" s="3">
        <v>0.28000000000000003</v>
      </c>
      <c r="R202" s="12">
        <f t="shared" si="3"/>
        <v>1.3535265165416559E-3</v>
      </c>
      <c r="V202" s="3"/>
      <c r="W202" s="3"/>
    </row>
    <row r="203" spans="1:23" x14ac:dyDescent="0.3">
      <c r="A203" t="s">
        <v>48</v>
      </c>
      <c r="B203" s="1">
        <v>20</v>
      </c>
      <c r="C203" s="5">
        <v>430</v>
      </c>
      <c r="D203" s="1">
        <v>9</v>
      </c>
      <c r="E203" s="4">
        <v>45</v>
      </c>
      <c r="F203" s="3">
        <v>3.5088212858554391</v>
      </c>
      <c r="G203" s="1">
        <v>50</v>
      </c>
      <c r="H203" s="1">
        <v>64</v>
      </c>
      <c r="I203" s="1">
        <v>600</v>
      </c>
      <c r="J203" s="1">
        <v>400</v>
      </c>
      <c r="K203" s="1">
        <v>2826</v>
      </c>
      <c r="L203" s="1">
        <v>98400</v>
      </c>
      <c r="M203" s="5">
        <v>113.55033398296069</v>
      </c>
      <c r="N203" s="8">
        <v>2.8719512195121952E-2</v>
      </c>
      <c r="O203" s="3">
        <v>149</v>
      </c>
      <c r="P203" s="5">
        <v>176.83957373352104</v>
      </c>
      <c r="Q203" s="3">
        <v>0.18</v>
      </c>
      <c r="R203" s="12">
        <f t="shared" si="3"/>
        <v>8.8419786866760516E-4</v>
      </c>
      <c r="V203" s="3"/>
      <c r="W203" s="3"/>
    </row>
    <row r="204" spans="1:23" x14ac:dyDescent="0.3">
      <c r="B204" s="1">
        <v>20</v>
      </c>
      <c r="C204" s="5">
        <v>430</v>
      </c>
      <c r="D204" s="1">
        <v>9</v>
      </c>
      <c r="E204" s="4">
        <v>45</v>
      </c>
      <c r="F204" s="3">
        <v>3.5088212858554391</v>
      </c>
      <c r="G204" s="1">
        <v>50</v>
      </c>
      <c r="H204" s="1">
        <v>64</v>
      </c>
      <c r="I204" s="1">
        <v>600</v>
      </c>
      <c r="J204" s="1">
        <v>400</v>
      </c>
      <c r="K204" s="1">
        <v>2826</v>
      </c>
      <c r="L204" s="1">
        <v>98400</v>
      </c>
      <c r="M204" s="5">
        <v>113.55033398296069</v>
      </c>
      <c r="N204" s="8">
        <v>2.8719512195121952E-2</v>
      </c>
      <c r="O204" s="3">
        <v>186</v>
      </c>
      <c r="P204" s="5">
        <v>220.75275647271758</v>
      </c>
      <c r="Q204" s="3">
        <v>0.26</v>
      </c>
      <c r="R204" s="12">
        <f t="shared" si="3"/>
        <v>1.103763782363588E-3</v>
      </c>
      <c r="V204" s="3"/>
      <c r="W204" s="3"/>
    </row>
    <row r="205" spans="1:23" x14ac:dyDescent="0.3">
      <c r="B205" s="1">
        <v>20</v>
      </c>
      <c r="C205" s="5">
        <v>430</v>
      </c>
      <c r="D205" s="1">
        <v>9</v>
      </c>
      <c r="E205" s="4">
        <v>45</v>
      </c>
      <c r="F205" s="3">
        <v>3.5088212858554391</v>
      </c>
      <c r="G205" s="1">
        <v>50</v>
      </c>
      <c r="H205" s="1">
        <v>64</v>
      </c>
      <c r="I205" s="1">
        <v>600</v>
      </c>
      <c r="J205" s="1">
        <v>400</v>
      </c>
      <c r="K205" s="1">
        <v>2826</v>
      </c>
      <c r="L205" s="1">
        <v>98400</v>
      </c>
      <c r="M205" s="5">
        <v>113.55033398296069</v>
      </c>
      <c r="N205" s="8">
        <v>2.8719512195121952E-2</v>
      </c>
      <c r="O205" s="3">
        <v>223</v>
      </c>
      <c r="P205" s="5">
        <v>264.66593921191406</v>
      </c>
      <c r="Q205" s="3">
        <v>0.34</v>
      </c>
      <c r="R205" s="12">
        <f t="shared" si="3"/>
        <v>1.3233296960595703E-3</v>
      </c>
      <c r="V205" s="3"/>
      <c r="W205" s="3"/>
    </row>
    <row r="206" spans="1:23" x14ac:dyDescent="0.3">
      <c r="A206" t="s">
        <v>49</v>
      </c>
      <c r="B206" s="1">
        <v>16</v>
      </c>
      <c r="C206" s="5">
        <v>528</v>
      </c>
      <c r="D206" s="1">
        <v>2</v>
      </c>
      <c r="E206" s="4">
        <v>52</v>
      </c>
      <c r="F206" s="3">
        <v>3.42</v>
      </c>
      <c r="G206" s="1">
        <v>27</v>
      </c>
      <c r="H206" s="1">
        <v>35</v>
      </c>
      <c r="I206" s="1">
        <v>150</v>
      </c>
      <c r="J206" s="1">
        <v>235</v>
      </c>
      <c r="K206" s="1">
        <v>402</v>
      </c>
      <c r="L206" s="1">
        <v>17250</v>
      </c>
      <c r="M206" s="5">
        <v>69.840426640711158</v>
      </c>
      <c r="N206" s="8">
        <v>2.3304347826086955E-2</v>
      </c>
      <c r="O206" s="3">
        <v>16.674999999999997</v>
      </c>
      <c r="P206" s="5">
        <v>234.72234542321382</v>
      </c>
      <c r="Q206" s="3">
        <v>0.15</v>
      </c>
      <c r="R206" s="12">
        <f t="shared" si="3"/>
        <v>1.1736117271160691E-3</v>
      </c>
      <c r="V206" s="3"/>
      <c r="W206" s="3"/>
    </row>
    <row r="207" spans="1:23" x14ac:dyDescent="0.3">
      <c r="B207" s="1">
        <v>16</v>
      </c>
      <c r="C207" s="5">
        <v>528</v>
      </c>
      <c r="D207" s="1">
        <v>2</v>
      </c>
      <c r="E207" s="4">
        <v>52</v>
      </c>
      <c r="F207" s="3">
        <v>3.42</v>
      </c>
      <c r="G207" s="1">
        <v>27</v>
      </c>
      <c r="H207" s="1">
        <v>35</v>
      </c>
      <c r="I207" s="1">
        <v>150</v>
      </c>
      <c r="J207" s="1">
        <v>235</v>
      </c>
      <c r="K207" s="1">
        <v>402</v>
      </c>
      <c r="L207" s="1">
        <v>17250</v>
      </c>
      <c r="M207" s="5">
        <v>69.840426640711158</v>
      </c>
      <c r="N207" s="8">
        <v>2.3304347826086955E-2</v>
      </c>
      <c r="O207" s="3">
        <v>22.424999999999997</v>
      </c>
      <c r="P207" s="5">
        <v>315.66108522432211</v>
      </c>
      <c r="Q207" s="3">
        <v>0.19</v>
      </c>
      <c r="R207" s="12">
        <f t="shared" si="3"/>
        <v>1.5783054261216106E-3</v>
      </c>
      <c r="V207" s="3"/>
      <c r="W207" s="3"/>
    </row>
    <row r="208" spans="1:23" x14ac:dyDescent="0.3">
      <c r="B208" s="1">
        <v>16</v>
      </c>
      <c r="C208" s="5">
        <v>528</v>
      </c>
      <c r="D208" s="1">
        <v>2</v>
      </c>
      <c r="E208" s="4">
        <v>52</v>
      </c>
      <c r="F208" s="3">
        <v>3.42</v>
      </c>
      <c r="G208" s="1">
        <v>27</v>
      </c>
      <c r="H208" s="1">
        <v>35</v>
      </c>
      <c r="I208" s="1">
        <v>150</v>
      </c>
      <c r="J208" s="1">
        <v>235</v>
      </c>
      <c r="K208" s="1">
        <v>402</v>
      </c>
      <c r="L208" s="1">
        <v>17250</v>
      </c>
      <c r="M208" s="5">
        <v>69.840426640711158</v>
      </c>
      <c r="N208" s="8">
        <v>2.3304347826086955E-2</v>
      </c>
      <c r="O208" s="3">
        <v>25.874999999999996</v>
      </c>
      <c r="P208" s="5">
        <v>364.22432910498702</v>
      </c>
      <c r="Q208" s="3">
        <v>0.22</v>
      </c>
      <c r="R208" s="12">
        <f t="shared" si="3"/>
        <v>1.8211216455249351E-3</v>
      </c>
      <c r="V208" s="3"/>
      <c r="W208" s="3"/>
    </row>
    <row r="209" spans="1:23" x14ac:dyDescent="0.3">
      <c r="B209" s="1">
        <v>16</v>
      </c>
      <c r="C209" s="5">
        <v>528</v>
      </c>
      <c r="D209" s="1">
        <v>2</v>
      </c>
      <c r="E209" s="4">
        <v>52</v>
      </c>
      <c r="F209" s="3">
        <v>3.42</v>
      </c>
      <c r="G209" s="1">
        <v>27</v>
      </c>
      <c r="H209" s="1">
        <v>35</v>
      </c>
      <c r="I209" s="1">
        <v>150</v>
      </c>
      <c r="J209" s="1">
        <v>235</v>
      </c>
      <c r="K209" s="1">
        <v>402</v>
      </c>
      <c r="L209" s="1">
        <v>17250</v>
      </c>
      <c r="M209" s="5">
        <v>69.840426640711158</v>
      </c>
      <c r="N209" s="8">
        <v>2.3304347826086955E-2</v>
      </c>
      <c r="O209" s="3">
        <v>28.749999999999996</v>
      </c>
      <c r="P209" s="5">
        <v>404.69369900554108</v>
      </c>
      <c r="Q209" s="3">
        <v>0.22</v>
      </c>
      <c r="R209" s="12">
        <f t="shared" si="3"/>
        <v>2.0234684950277055E-3</v>
      </c>
      <c r="V209" s="3"/>
      <c r="W209" s="3"/>
    </row>
    <row r="210" spans="1:23" x14ac:dyDescent="0.3">
      <c r="B210" s="1">
        <v>16</v>
      </c>
      <c r="C210" s="5">
        <v>528</v>
      </c>
      <c r="D210" s="1">
        <v>2</v>
      </c>
      <c r="E210" s="4">
        <v>52</v>
      </c>
      <c r="F210" s="3">
        <v>3.42</v>
      </c>
      <c r="G210" s="1">
        <v>27</v>
      </c>
      <c r="H210" s="1">
        <v>35</v>
      </c>
      <c r="I210" s="1">
        <v>150</v>
      </c>
      <c r="J210" s="1">
        <v>235</v>
      </c>
      <c r="K210" s="1">
        <v>402</v>
      </c>
      <c r="L210" s="1">
        <v>17250</v>
      </c>
      <c r="M210" s="5">
        <v>69.840426640711158</v>
      </c>
      <c r="N210" s="8">
        <v>2.3304347826086955E-2</v>
      </c>
      <c r="O210" s="3">
        <v>33.349999999999994</v>
      </c>
      <c r="P210" s="5">
        <v>469.44469084642765</v>
      </c>
      <c r="Q210" s="3">
        <v>0.25</v>
      </c>
      <c r="R210" s="12">
        <f t="shared" si="3"/>
        <v>2.3472234542321383E-3</v>
      </c>
      <c r="V210" s="3"/>
      <c r="W210" s="3"/>
    </row>
    <row r="211" spans="1:23" x14ac:dyDescent="0.3">
      <c r="B211" s="1">
        <v>16</v>
      </c>
      <c r="C211" s="5">
        <v>528</v>
      </c>
      <c r="D211" s="1">
        <v>2</v>
      </c>
      <c r="E211" s="4">
        <v>52</v>
      </c>
      <c r="F211" s="3">
        <v>3.42</v>
      </c>
      <c r="G211" s="1">
        <v>27</v>
      </c>
      <c r="H211" s="1">
        <v>35</v>
      </c>
      <c r="I211" s="1">
        <v>150</v>
      </c>
      <c r="J211" s="1">
        <v>235</v>
      </c>
      <c r="K211" s="1">
        <v>402</v>
      </c>
      <c r="L211" s="1">
        <v>17250</v>
      </c>
      <c r="M211" s="5">
        <v>69.840426640711158</v>
      </c>
      <c r="N211" s="8">
        <v>2.3304347826086955E-2</v>
      </c>
      <c r="O211" s="3">
        <v>37.375</v>
      </c>
      <c r="P211" s="5">
        <v>526.10180870720353</v>
      </c>
      <c r="Q211" s="3">
        <v>0.28999999999999998</v>
      </c>
      <c r="R211" s="12">
        <f t="shared" si="3"/>
        <v>2.6305090435360177E-3</v>
      </c>
      <c r="V211" s="3"/>
      <c r="W211" s="3"/>
    </row>
    <row r="212" spans="1:23" x14ac:dyDescent="0.3">
      <c r="A212" t="s">
        <v>50</v>
      </c>
      <c r="B212" s="1">
        <v>20</v>
      </c>
      <c r="C212" s="5">
        <v>528</v>
      </c>
      <c r="D212" s="1">
        <v>2</v>
      </c>
      <c r="E212" s="4">
        <v>44</v>
      </c>
      <c r="F212" s="3">
        <v>3.42</v>
      </c>
      <c r="G212" s="1">
        <v>25</v>
      </c>
      <c r="H212" s="1">
        <v>35</v>
      </c>
      <c r="I212" s="1">
        <v>150</v>
      </c>
      <c r="J212" s="1">
        <v>235</v>
      </c>
      <c r="K212" s="1">
        <v>628</v>
      </c>
      <c r="L212" s="1">
        <v>18375</v>
      </c>
      <c r="M212" s="5">
        <v>82.823824444556394</v>
      </c>
      <c r="N212" s="8">
        <v>3.4176870748299316E-2</v>
      </c>
      <c r="O212" s="3">
        <v>29.324999999999999</v>
      </c>
      <c r="P212" s="5">
        <v>270.87013331072598</v>
      </c>
      <c r="Q212" s="3">
        <v>0.17</v>
      </c>
      <c r="R212" s="12">
        <f t="shared" si="3"/>
        <v>1.3543506665536298E-3</v>
      </c>
      <c r="V212" s="3"/>
      <c r="W212" s="3"/>
    </row>
    <row r="213" spans="1:23" x14ac:dyDescent="0.3">
      <c r="B213" s="1">
        <v>20</v>
      </c>
      <c r="C213" s="5">
        <v>528</v>
      </c>
      <c r="D213" s="1">
        <v>2</v>
      </c>
      <c r="E213" s="4">
        <v>44</v>
      </c>
      <c r="F213" s="3">
        <v>3.42</v>
      </c>
      <c r="G213" s="1">
        <v>25</v>
      </c>
      <c r="H213" s="1">
        <v>35</v>
      </c>
      <c r="I213" s="1">
        <v>150</v>
      </c>
      <c r="J213" s="1">
        <v>235</v>
      </c>
      <c r="K213" s="1">
        <v>628</v>
      </c>
      <c r="L213" s="1">
        <v>18375</v>
      </c>
      <c r="M213" s="5">
        <v>82.823824444556394</v>
      </c>
      <c r="N213" s="8">
        <v>3.4176870748299316E-2</v>
      </c>
      <c r="O213" s="3">
        <v>33.349999999999994</v>
      </c>
      <c r="P213" s="5">
        <v>308.0483869023941</v>
      </c>
      <c r="Q213" s="3">
        <v>0.19</v>
      </c>
      <c r="R213" s="12">
        <f t="shared" si="3"/>
        <v>1.5402419345119705E-3</v>
      </c>
      <c r="V213" s="3"/>
      <c r="W213" s="3"/>
    </row>
    <row r="214" spans="1:23" x14ac:dyDescent="0.3">
      <c r="B214" s="1">
        <v>20</v>
      </c>
      <c r="C214" s="5">
        <v>528</v>
      </c>
      <c r="D214" s="1">
        <v>2</v>
      </c>
      <c r="E214" s="4">
        <v>44</v>
      </c>
      <c r="F214" s="3">
        <v>3.42</v>
      </c>
      <c r="G214" s="1">
        <v>25</v>
      </c>
      <c r="H214" s="1">
        <v>35</v>
      </c>
      <c r="I214" s="1">
        <v>150</v>
      </c>
      <c r="J214" s="1">
        <v>235</v>
      </c>
      <c r="K214" s="1">
        <v>628</v>
      </c>
      <c r="L214" s="1">
        <v>18375</v>
      </c>
      <c r="M214" s="5">
        <v>82.823824444556394</v>
      </c>
      <c r="N214" s="8">
        <v>3.4176870748299316E-2</v>
      </c>
      <c r="O214" s="3">
        <v>38.524999999999999</v>
      </c>
      <c r="P214" s="5">
        <v>355.84899866311054</v>
      </c>
      <c r="Q214" s="3">
        <v>0.21</v>
      </c>
      <c r="R214" s="12">
        <f t="shared" si="3"/>
        <v>1.7792449933155528E-3</v>
      </c>
      <c r="V214" s="3"/>
      <c r="W214" s="3"/>
    </row>
    <row r="215" spans="1:23" x14ac:dyDescent="0.3">
      <c r="B215" s="1">
        <v>20</v>
      </c>
      <c r="C215" s="5">
        <v>528</v>
      </c>
      <c r="D215" s="1">
        <v>2</v>
      </c>
      <c r="E215" s="4">
        <v>44</v>
      </c>
      <c r="F215" s="3">
        <v>3.42</v>
      </c>
      <c r="G215" s="1">
        <v>25</v>
      </c>
      <c r="H215" s="1">
        <v>35</v>
      </c>
      <c r="I215" s="1">
        <v>150</v>
      </c>
      <c r="J215" s="1">
        <v>235</v>
      </c>
      <c r="K215" s="1">
        <v>628</v>
      </c>
      <c r="L215" s="1">
        <v>18375</v>
      </c>
      <c r="M215" s="5">
        <v>82.823824444556394</v>
      </c>
      <c r="N215" s="8">
        <v>3.4176870748299316E-2</v>
      </c>
      <c r="O215" s="3">
        <v>40.824999999999996</v>
      </c>
      <c r="P215" s="5">
        <v>377.09371500120665</v>
      </c>
      <c r="Q215" s="3">
        <v>0.23</v>
      </c>
      <c r="R215" s="12">
        <f t="shared" si="3"/>
        <v>1.8854685750060332E-3</v>
      </c>
      <c r="V215" s="3"/>
      <c r="W215" s="3"/>
    </row>
    <row r="216" spans="1:23" x14ac:dyDescent="0.3">
      <c r="B216" s="1">
        <v>20</v>
      </c>
      <c r="C216" s="5">
        <v>528</v>
      </c>
      <c r="D216" s="1">
        <v>2</v>
      </c>
      <c r="E216" s="4">
        <v>44</v>
      </c>
      <c r="F216" s="3">
        <v>3.42</v>
      </c>
      <c r="G216" s="1">
        <v>25</v>
      </c>
      <c r="H216" s="1">
        <v>35</v>
      </c>
      <c r="I216" s="1">
        <v>150</v>
      </c>
      <c r="J216" s="1">
        <v>235</v>
      </c>
      <c r="K216" s="1">
        <v>628</v>
      </c>
      <c r="L216" s="1">
        <v>18375</v>
      </c>
      <c r="M216" s="5">
        <v>82.823824444556394</v>
      </c>
      <c r="N216" s="8">
        <v>3.4176870748299316E-2</v>
      </c>
      <c r="O216" s="3">
        <v>46</v>
      </c>
      <c r="P216" s="5">
        <v>424.89432676192303</v>
      </c>
      <c r="Q216" s="3">
        <v>0.25</v>
      </c>
      <c r="R216" s="12">
        <f t="shared" si="3"/>
        <v>2.1244716338096152E-3</v>
      </c>
      <c r="V216" s="3"/>
      <c r="W216" s="3"/>
    </row>
    <row r="217" spans="1:23" x14ac:dyDescent="0.3">
      <c r="B217" s="1">
        <v>20</v>
      </c>
      <c r="C217" s="5">
        <v>528</v>
      </c>
      <c r="D217" s="1">
        <v>2</v>
      </c>
      <c r="E217" s="4">
        <v>44</v>
      </c>
      <c r="F217" s="3">
        <v>3.42</v>
      </c>
      <c r="G217" s="1">
        <v>25</v>
      </c>
      <c r="H217" s="1">
        <v>35</v>
      </c>
      <c r="I217" s="1">
        <v>150</v>
      </c>
      <c r="J217" s="1">
        <v>235</v>
      </c>
      <c r="K217" s="1">
        <v>628</v>
      </c>
      <c r="L217" s="1">
        <v>18375</v>
      </c>
      <c r="M217" s="5">
        <v>82.823824444556394</v>
      </c>
      <c r="N217" s="8">
        <v>3.4176870748299316E-2</v>
      </c>
      <c r="O217" s="3">
        <v>56.924999999999997</v>
      </c>
      <c r="P217" s="5">
        <v>525.80672936787971</v>
      </c>
      <c r="Q217" s="3">
        <v>0.25</v>
      </c>
      <c r="R217" s="12">
        <f t="shared" si="3"/>
        <v>2.6290336468393987E-3</v>
      </c>
      <c r="V217" s="3"/>
      <c r="W217" s="3"/>
    </row>
    <row r="218" spans="1:23" x14ac:dyDescent="0.3">
      <c r="A218" t="s">
        <v>51</v>
      </c>
      <c r="B218" s="1">
        <v>20</v>
      </c>
      <c r="C218" s="5">
        <v>528</v>
      </c>
      <c r="D218" s="1">
        <v>3</v>
      </c>
      <c r="E218" s="4">
        <v>12</v>
      </c>
      <c r="F218" s="3">
        <v>3.42</v>
      </c>
      <c r="G218" s="1">
        <v>25</v>
      </c>
      <c r="H218" s="1">
        <v>35</v>
      </c>
      <c r="I218" s="1">
        <v>150</v>
      </c>
      <c r="J218" s="1">
        <v>235</v>
      </c>
      <c r="K218" s="1">
        <v>942</v>
      </c>
      <c r="L218" s="1">
        <v>18375</v>
      </c>
      <c r="M218" s="5">
        <v>95.701732145716321</v>
      </c>
      <c r="N218" s="8">
        <v>5.1265306122448978E-2</v>
      </c>
      <c r="O218" s="3">
        <v>39.099999999999994</v>
      </c>
      <c r="P218" s="5">
        <v>246.92191294539825</v>
      </c>
      <c r="Q218" s="3">
        <v>0.18</v>
      </c>
      <c r="R218" s="12">
        <f t="shared" si="3"/>
        <v>1.2346095647269913E-3</v>
      </c>
      <c r="V218" s="3"/>
      <c r="W218" s="3"/>
    </row>
    <row r="219" spans="1:23" x14ac:dyDescent="0.3">
      <c r="B219" s="1">
        <v>20</v>
      </c>
      <c r="C219" s="5">
        <v>528</v>
      </c>
      <c r="D219" s="1">
        <v>3</v>
      </c>
      <c r="E219" s="4">
        <v>12</v>
      </c>
      <c r="F219" s="3">
        <v>3.42</v>
      </c>
      <c r="G219" s="1">
        <v>25</v>
      </c>
      <c r="H219" s="1">
        <v>35</v>
      </c>
      <c r="I219" s="1">
        <v>150</v>
      </c>
      <c r="J219" s="1">
        <v>235</v>
      </c>
      <c r="K219" s="1">
        <v>942</v>
      </c>
      <c r="L219" s="1">
        <v>18375</v>
      </c>
      <c r="M219" s="5">
        <v>95.701732145716321</v>
      </c>
      <c r="N219" s="8">
        <v>5.1265306122448978E-2</v>
      </c>
      <c r="O219" s="3">
        <v>44.849999999999994</v>
      </c>
      <c r="P219" s="5">
        <v>283.23395896678039</v>
      </c>
      <c r="Q219" s="3">
        <v>0.19</v>
      </c>
      <c r="R219" s="12">
        <f t="shared" si="3"/>
        <v>1.4161697948339019E-3</v>
      </c>
      <c r="V219" s="3"/>
      <c r="W219" s="3"/>
    </row>
    <row r="220" spans="1:23" x14ac:dyDescent="0.3">
      <c r="B220" s="1">
        <v>20</v>
      </c>
      <c r="C220" s="5">
        <v>528</v>
      </c>
      <c r="D220" s="1">
        <v>3</v>
      </c>
      <c r="E220" s="4">
        <v>12</v>
      </c>
      <c r="F220" s="3">
        <v>3.42</v>
      </c>
      <c r="G220" s="1">
        <v>25</v>
      </c>
      <c r="H220" s="1">
        <v>35</v>
      </c>
      <c r="I220" s="1">
        <v>150</v>
      </c>
      <c r="J220" s="1">
        <v>235</v>
      </c>
      <c r="K220" s="1">
        <v>942</v>
      </c>
      <c r="L220" s="1">
        <v>18375</v>
      </c>
      <c r="M220" s="5">
        <v>95.701732145716321</v>
      </c>
      <c r="N220" s="8">
        <v>5.1265306122448978E-2</v>
      </c>
      <c r="O220" s="3">
        <v>50.024999999999999</v>
      </c>
      <c r="P220" s="5">
        <v>315.9148003860243</v>
      </c>
      <c r="Q220" s="3">
        <v>0.21</v>
      </c>
      <c r="R220" s="12">
        <f t="shared" si="3"/>
        <v>1.5795740019301215E-3</v>
      </c>
      <c r="V220" s="3"/>
      <c r="W220" s="3"/>
    </row>
    <row r="221" spans="1:23" x14ac:dyDescent="0.3">
      <c r="B221" s="1">
        <v>20</v>
      </c>
      <c r="C221" s="5">
        <v>528</v>
      </c>
      <c r="D221" s="1">
        <v>3</v>
      </c>
      <c r="E221" s="4">
        <v>12</v>
      </c>
      <c r="F221" s="3">
        <v>3.42</v>
      </c>
      <c r="G221" s="1">
        <v>25</v>
      </c>
      <c r="H221" s="1">
        <v>35</v>
      </c>
      <c r="I221" s="1">
        <v>150</v>
      </c>
      <c r="J221" s="1">
        <v>235</v>
      </c>
      <c r="K221" s="1">
        <v>942</v>
      </c>
      <c r="L221" s="1">
        <v>18375</v>
      </c>
      <c r="M221" s="5">
        <v>95.701732145716321</v>
      </c>
      <c r="N221" s="8">
        <v>5.1265306122448978E-2</v>
      </c>
      <c r="O221" s="3">
        <v>56.349999999999994</v>
      </c>
      <c r="P221" s="5">
        <v>355.85805100954457</v>
      </c>
      <c r="Q221" s="3">
        <v>0.23</v>
      </c>
      <c r="R221" s="12">
        <f t="shared" si="3"/>
        <v>1.7792902550477227E-3</v>
      </c>
      <c r="V221" s="3"/>
      <c r="W221" s="3"/>
    </row>
    <row r="222" spans="1:23" x14ac:dyDescent="0.3">
      <c r="B222" s="1">
        <v>20</v>
      </c>
      <c r="C222" s="5">
        <v>528</v>
      </c>
      <c r="D222" s="1">
        <v>3</v>
      </c>
      <c r="E222" s="4">
        <v>12</v>
      </c>
      <c r="F222" s="3">
        <v>3.42</v>
      </c>
      <c r="G222" s="1">
        <v>25</v>
      </c>
      <c r="H222" s="1">
        <v>35</v>
      </c>
      <c r="I222" s="1">
        <v>150</v>
      </c>
      <c r="J222" s="1">
        <v>235</v>
      </c>
      <c r="K222" s="1">
        <v>942</v>
      </c>
      <c r="L222" s="1">
        <v>18375</v>
      </c>
      <c r="M222" s="5">
        <v>95.701732145716321</v>
      </c>
      <c r="N222" s="8">
        <v>5.1265306122448978E-2</v>
      </c>
      <c r="O222" s="3">
        <v>62.674999999999997</v>
      </c>
      <c r="P222" s="5">
        <v>395.80130163306495</v>
      </c>
      <c r="Q222" s="3">
        <v>0.25</v>
      </c>
      <c r="R222" s="12">
        <f t="shared" si="3"/>
        <v>1.9790065081653247E-3</v>
      </c>
      <c r="V222" s="3"/>
      <c r="W222" s="3"/>
    </row>
    <row r="223" spans="1:23" x14ac:dyDescent="0.3">
      <c r="B223" s="1">
        <v>20</v>
      </c>
      <c r="C223" s="5">
        <v>528</v>
      </c>
      <c r="D223" s="1">
        <v>3</v>
      </c>
      <c r="E223" s="4">
        <v>12</v>
      </c>
      <c r="F223" s="3">
        <v>3.42</v>
      </c>
      <c r="G223" s="1">
        <v>25</v>
      </c>
      <c r="H223" s="1">
        <v>35</v>
      </c>
      <c r="I223" s="1">
        <v>150</v>
      </c>
      <c r="J223" s="1">
        <v>235</v>
      </c>
      <c r="K223" s="1">
        <v>942</v>
      </c>
      <c r="L223" s="1">
        <v>18375</v>
      </c>
      <c r="M223" s="5">
        <v>95.701732145716321</v>
      </c>
      <c r="N223" s="8">
        <v>5.1265306122448978E-2</v>
      </c>
      <c r="O223" s="3">
        <v>68.424999999999997</v>
      </c>
      <c r="P223" s="5">
        <v>432.11334765444701</v>
      </c>
      <c r="Q223" s="3">
        <v>0.28999999999999998</v>
      </c>
      <c r="R223" s="12">
        <f t="shared" si="3"/>
        <v>2.1605667382722351E-3</v>
      </c>
      <c r="V223" s="3"/>
      <c r="W223" s="3"/>
    </row>
    <row r="224" spans="1:23" x14ac:dyDescent="0.3">
      <c r="B224" s="1">
        <v>20</v>
      </c>
      <c r="C224" s="5">
        <v>528</v>
      </c>
      <c r="D224" s="1">
        <v>3</v>
      </c>
      <c r="E224" s="4">
        <v>12</v>
      </c>
      <c r="F224" s="3">
        <v>3.42</v>
      </c>
      <c r="G224" s="1">
        <v>25</v>
      </c>
      <c r="H224" s="1">
        <v>35</v>
      </c>
      <c r="I224" s="1">
        <v>150</v>
      </c>
      <c r="J224" s="1">
        <v>235</v>
      </c>
      <c r="K224" s="1">
        <v>942</v>
      </c>
      <c r="L224" s="1">
        <v>18375</v>
      </c>
      <c r="M224" s="5">
        <v>95.701732145716321</v>
      </c>
      <c r="N224" s="8">
        <v>5.1265306122448978E-2</v>
      </c>
      <c r="O224" s="3">
        <v>74.174999999999997</v>
      </c>
      <c r="P224" s="5">
        <v>468.42539367582907</v>
      </c>
      <c r="Q224" s="3">
        <v>0.31</v>
      </c>
      <c r="R224" s="12">
        <f t="shared" si="3"/>
        <v>2.3421269683791455E-3</v>
      </c>
      <c r="V224" s="3"/>
      <c r="W224" s="3"/>
    </row>
    <row r="225" spans="1:23" x14ac:dyDescent="0.3">
      <c r="B225" s="1">
        <v>20</v>
      </c>
      <c r="C225" s="5">
        <v>528</v>
      </c>
      <c r="D225" s="1">
        <v>3</v>
      </c>
      <c r="E225" s="4">
        <v>12</v>
      </c>
      <c r="F225" s="3">
        <v>3.42</v>
      </c>
      <c r="G225" s="1">
        <v>25</v>
      </c>
      <c r="H225" s="1">
        <v>35</v>
      </c>
      <c r="I225" s="1">
        <v>150</v>
      </c>
      <c r="J225" s="1">
        <v>235</v>
      </c>
      <c r="K225" s="1">
        <v>942</v>
      </c>
      <c r="L225" s="1">
        <v>18375</v>
      </c>
      <c r="M225" s="5">
        <v>95.701732145716321</v>
      </c>
      <c r="N225" s="8">
        <v>5.1265306122448978E-2</v>
      </c>
      <c r="O225" s="3">
        <v>79.349999999999994</v>
      </c>
      <c r="P225" s="5">
        <v>501.10623509507292</v>
      </c>
      <c r="Q225" s="3">
        <v>0.37</v>
      </c>
      <c r="R225" s="12">
        <f t="shared" si="3"/>
        <v>2.5055311754753648E-3</v>
      </c>
      <c r="V225" s="3"/>
      <c r="W225" s="3"/>
    </row>
    <row r="226" spans="1:23" x14ac:dyDescent="0.3">
      <c r="A226" t="s">
        <v>52</v>
      </c>
      <c r="B226" s="1">
        <v>16</v>
      </c>
      <c r="C226" s="5">
        <v>528</v>
      </c>
      <c r="D226" s="1">
        <v>2</v>
      </c>
      <c r="E226" s="4">
        <v>52</v>
      </c>
      <c r="F226" s="3">
        <v>2.98</v>
      </c>
      <c r="G226" s="1">
        <v>27</v>
      </c>
      <c r="H226" s="1">
        <v>35</v>
      </c>
      <c r="I226" s="1">
        <v>150</v>
      </c>
      <c r="J226" s="1">
        <v>235</v>
      </c>
      <c r="K226" s="1">
        <v>402</v>
      </c>
      <c r="L226" s="1">
        <v>17250</v>
      </c>
      <c r="M226" s="5">
        <v>67.594050734713008</v>
      </c>
      <c r="N226" s="8">
        <v>2.3304347826086955E-2</v>
      </c>
      <c r="O226" s="3">
        <v>26.45</v>
      </c>
      <c r="P226" s="5">
        <v>370.74728404873275</v>
      </c>
      <c r="Q226" s="3">
        <v>0.16</v>
      </c>
      <c r="R226" s="12">
        <f t="shared" si="3"/>
        <v>1.8537364202436638E-3</v>
      </c>
      <c r="V226" s="3"/>
      <c r="W226" s="3"/>
    </row>
    <row r="227" spans="1:23" x14ac:dyDescent="0.3">
      <c r="B227" s="1">
        <v>16</v>
      </c>
      <c r="C227" s="5">
        <v>528</v>
      </c>
      <c r="D227" s="1">
        <v>2</v>
      </c>
      <c r="E227" s="4">
        <v>52</v>
      </c>
      <c r="F227" s="3">
        <v>2.98</v>
      </c>
      <c r="G227" s="1">
        <v>27</v>
      </c>
      <c r="H227" s="1">
        <v>35</v>
      </c>
      <c r="I227" s="1">
        <v>150</v>
      </c>
      <c r="J227" s="1">
        <v>235</v>
      </c>
      <c r="K227" s="1">
        <v>402</v>
      </c>
      <c r="L227" s="1">
        <v>17250</v>
      </c>
      <c r="M227" s="5">
        <v>67.594050734713008</v>
      </c>
      <c r="N227" s="8">
        <v>2.3304347826086955E-2</v>
      </c>
      <c r="O227" s="3">
        <v>31.624999999999996</v>
      </c>
      <c r="P227" s="5">
        <v>443.28479614522388</v>
      </c>
      <c r="Q227" s="3">
        <v>0.2</v>
      </c>
      <c r="R227" s="12">
        <f t="shared" si="3"/>
        <v>2.2164239807261196E-3</v>
      </c>
      <c r="V227" s="3"/>
      <c r="W227" s="3"/>
    </row>
    <row r="228" spans="1:23" x14ac:dyDescent="0.3">
      <c r="B228" s="1">
        <v>16</v>
      </c>
      <c r="C228" s="5">
        <v>528</v>
      </c>
      <c r="D228" s="1">
        <v>2</v>
      </c>
      <c r="E228" s="4">
        <v>52</v>
      </c>
      <c r="F228" s="3">
        <v>2.98</v>
      </c>
      <c r="G228" s="1">
        <v>27</v>
      </c>
      <c r="H228" s="1">
        <v>35</v>
      </c>
      <c r="I228" s="1">
        <v>150</v>
      </c>
      <c r="J228" s="1">
        <v>235</v>
      </c>
      <c r="K228" s="1">
        <v>402</v>
      </c>
      <c r="L228" s="1">
        <v>17250</v>
      </c>
      <c r="M228" s="5">
        <v>67.594050734713008</v>
      </c>
      <c r="N228" s="8">
        <v>2.3304347826086955E-2</v>
      </c>
      <c r="O228" s="3">
        <v>37.375</v>
      </c>
      <c r="P228" s="5">
        <v>523.88203180799201</v>
      </c>
      <c r="Q228" s="3">
        <v>0.26</v>
      </c>
      <c r="R228" s="12">
        <f t="shared" si="3"/>
        <v>2.61941015903996E-3</v>
      </c>
      <c r="V228" s="3"/>
      <c r="W228" s="3"/>
    </row>
    <row r="229" spans="1:23" x14ac:dyDescent="0.3">
      <c r="A229" t="s">
        <v>53</v>
      </c>
      <c r="B229" s="1">
        <v>20</v>
      </c>
      <c r="C229" s="5">
        <v>528</v>
      </c>
      <c r="D229" s="1">
        <v>2</v>
      </c>
      <c r="E229" s="4">
        <v>44</v>
      </c>
      <c r="F229" s="3">
        <v>2.98</v>
      </c>
      <c r="G229" s="1">
        <v>25</v>
      </c>
      <c r="H229" s="1">
        <v>35</v>
      </c>
      <c r="I229" s="1">
        <v>150</v>
      </c>
      <c r="J229" s="1">
        <v>235</v>
      </c>
      <c r="K229" s="1">
        <v>628</v>
      </c>
      <c r="L229" s="1">
        <v>18375</v>
      </c>
      <c r="M229" s="5">
        <v>80.321192218194966</v>
      </c>
      <c r="N229" s="8">
        <v>3.4176870748299316E-2</v>
      </c>
      <c r="O229" s="3">
        <v>28.749999999999996</v>
      </c>
      <c r="P229" s="5">
        <v>264.28009430947355</v>
      </c>
      <c r="Q229" s="3">
        <v>0.17</v>
      </c>
      <c r="R229" s="12">
        <f t="shared" si="3"/>
        <v>1.3214004715473677E-3</v>
      </c>
      <c r="V229" s="3"/>
      <c r="W229" s="3"/>
    </row>
    <row r="230" spans="1:23" x14ac:dyDescent="0.3">
      <c r="B230" s="1">
        <v>20</v>
      </c>
      <c r="C230" s="5">
        <v>528</v>
      </c>
      <c r="D230" s="1">
        <v>2</v>
      </c>
      <c r="E230" s="4">
        <v>44</v>
      </c>
      <c r="F230" s="3">
        <v>2.98</v>
      </c>
      <c r="G230" s="1">
        <v>25</v>
      </c>
      <c r="H230" s="1">
        <v>35</v>
      </c>
      <c r="I230" s="1">
        <v>150</v>
      </c>
      <c r="J230" s="1">
        <v>235</v>
      </c>
      <c r="K230" s="1">
        <v>628</v>
      </c>
      <c r="L230" s="1">
        <v>18375</v>
      </c>
      <c r="M230" s="5">
        <v>80.321192218194966</v>
      </c>
      <c r="N230" s="8">
        <v>3.4176870748299316E-2</v>
      </c>
      <c r="O230" s="3">
        <v>32.774999999999999</v>
      </c>
      <c r="P230" s="5">
        <v>301.27930751279979</v>
      </c>
      <c r="Q230" s="3">
        <v>0.19</v>
      </c>
      <c r="R230" s="12">
        <f t="shared" si="3"/>
        <v>1.5063965375639989E-3</v>
      </c>
      <c r="V230" s="3"/>
      <c r="W230" s="3"/>
    </row>
    <row r="231" spans="1:23" x14ac:dyDescent="0.3">
      <c r="B231" s="1">
        <v>20</v>
      </c>
      <c r="C231" s="5">
        <v>528</v>
      </c>
      <c r="D231" s="1">
        <v>2</v>
      </c>
      <c r="E231" s="4">
        <v>44</v>
      </c>
      <c r="F231" s="3">
        <v>2.98</v>
      </c>
      <c r="G231" s="1">
        <v>25</v>
      </c>
      <c r="H231" s="1">
        <v>35</v>
      </c>
      <c r="I231" s="1">
        <v>150</v>
      </c>
      <c r="J231" s="1">
        <v>235</v>
      </c>
      <c r="K231" s="1">
        <v>628</v>
      </c>
      <c r="L231" s="1">
        <v>18375</v>
      </c>
      <c r="M231" s="5">
        <v>80.321192218194966</v>
      </c>
      <c r="N231" s="8">
        <v>3.4176870748299316E-2</v>
      </c>
      <c r="O231" s="3">
        <v>37.949999999999996</v>
      </c>
      <c r="P231" s="5">
        <v>348.84972448850499</v>
      </c>
      <c r="Q231" s="3">
        <v>0.23</v>
      </c>
      <c r="R231" s="12">
        <f t="shared" si="3"/>
        <v>1.7442486224425249E-3</v>
      </c>
      <c r="V231" s="3"/>
      <c r="W231" s="3"/>
    </row>
    <row r="232" spans="1:23" x14ac:dyDescent="0.3">
      <c r="B232" s="1">
        <v>20</v>
      </c>
      <c r="C232" s="5">
        <v>528</v>
      </c>
      <c r="D232" s="1">
        <v>2</v>
      </c>
      <c r="E232" s="4">
        <v>44</v>
      </c>
      <c r="F232" s="3">
        <v>2.98</v>
      </c>
      <c r="G232" s="1">
        <v>25</v>
      </c>
      <c r="H232" s="1">
        <v>35</v>
      </c>
      <c r="I232" s="1">
        <v>150</v>
      </c>
      <c r="J232" s="1">
        <v>235</v>
      </c>
      <c r="K232" s="1">
        <v>628</v>
      </c>
      <c r="L232" s="1">
        <v>18375</v>
      </c>
      <c r="M232" s="5">
        <v>80.321192218194966</v>
      </c>
      <c r="N232" s="8">
        <v>3.4176870748299316E-2</v>
      </c>
      <c r="O232" s="3">
        <v>40.25</v>
      </c>
      <c r="P232" s="5">
        <v>369.99213203326286</v>
      </c>
      <c r="Q232" s="3">
        <v>0.25</v>
      </c>
      <c r="R232" s="12">
        <f t="shared" si="3"/>
        <v>1.8499606601663143E-3</v>
      </c>
      <c r="V232" s="3"/>
      <c r="W232" s="3"/>
    </row>
    <row r="233" spans="1:23" x14ac:dyDescent="0.3">
      <c r="B233" s="1">
        <v>20</v>
      </c>
      <c r="C233" s="5">
        <v>528</v>
      </c>
      <c r="D233" s="1">
        <v>2</v>
      </c>
      <c r="E233" s="4">
        <v>44</v>
      </c>
      <c r="F233" s="3">
        <v>2.98</v>
      </c>
      <c r="G233" s="1">
        <v>25</v>
      </c>
      <c r="H233" s="1">
        <v>35</v>
      </c>
      <c r="I233" s="1">
        <v>150</v>
      </c>
      <c r="J233" s="1">
        <v>235</v>
      </c>
      <c r="K233" s="1">
        <v>628</v>
      </c>
      <c r="L233" s="1">
        <v>18375</v>
      </c>
      <c r="M233" s="5">
        <v>80.321192218194966</v>
      </c>
      <c r="N233" s="8">
        <v>3.4176870748299316E-2</v>
      </c>
      <c r="O233" s="3">
        <v>43.699999999999996</v>
      </c>
      <c r="P233" s="5">
        <v>401.7057433503997</v>
      </c>
      <c r="Q233" s="3">
        <v>0.3</v>
      </c>
      <c r="R233" s="12">
        <f t="shared" si="3"/>
        <v>2.0085287167519983E-3</v>
      </c>
      <c r="V233" s="3"/>
      <c r="W233" s="3"/>
    </row>
    <row r="234" spans="1:23" x14ac:dyDescent="0.3">
      <c r="B234" s="1">
        <v>20</v>
      </c>
      <c r="C234" s="5">
        <v>528</v>
      </c>
      <c r="D234" s="1">
        <v>2</v>
      </c>
      <c r="E234" s="4">
        <v>44</v>
      </c>
      <c r="F234" s="3">
        <v>2.98</v>
      </c>
      <c r="G234" s="1">
        <v>25</v>
      </c>
      <c r="H234" s="1">
        <v>35</v>
      </c>
      <c r="I234" s="1">
        <v>150</v>
      </c>
      <c r="J234" s="1">
        <v>235</v>
      </c>
      <c r="K234" s="1">
        <v>628</v>
      </c>
      <c r="L234" s="1">
        <v>18375</v>
      </c>
      <c r="M234" s="5">
        <v>80.321192218194966</v>
      </c>
      <c r="N234" s="8">
        <v>3.4176870748299316E-2</v>
      </c>
      <c r="O234" s="3">
        <v>46</v>
      </c>
      <c r="P234" s="5">
        <v>422.84815089515763</v>
      </c>
      <c r="Q234" s="3">
        <v>0.32</v>
      </c>
      <c r="R234" s="12">
        <f t="shared" si="3"/>
        <v>2.1142407544757881E-3</v>
      </c>
      <c r="V234" s="3"/>
      <c r="W234" s="3"/>
    </row>
    <row r="235" spans="1:23" x14ac:dyDescent="0.3">
      <c r="B235" s="1">
        <v>20</v>
      </c>
      <c r="C235" s="5">
        <v>528</v>
      </c>
      <c r="D235" s="1">
        <v>2</v>
      </c>
      <c r="E235" s="4">
        <v>44</v>
      </c>
      <c r="F235" s="3">
        <v>2.98</v>
      </c>
      <c r="G235" s="1">
        <v>25</v>
      </c>
      <c r="H235" s="1">
        <v>35</v>
      </c>
      <c r="I235" s="1">
        <v>150</v>
      </c>
      <c r="J235" s="1">
        <v>235</v>
      </c>
      <c r="K235" s="1">
        <v>628</v>
      </c>
      <c r="L235" s="1">
        <v>18375</v>
      </c>
      <c r="M235" s="5">
        <v>80.321192218194966</v>
      </c>
      <c r="N235" s="8">
        <v>3.4176870748299316E-2</v>
      </c>
      <c r="O235" s="3">
        <v>51.634999999999991</v>
      </c>
      <c r="P235" s="5">
        <v>474.64704937981429</v>
      </c>
      <c r="Q235" s="3">
        <v>0.36</v>
      </c>
      <c r="R235" s="12">
        <f t="shared" si="3"/>
        <v>2.3732352468990715E-3</v>
      </c>
      <c r="V235" s="3"/>
      <c r="W235" s="3"/>
    </row>
    <row r="236" spans="1:23" x14ac:dyDescent="0.3">
      <c r="B236" s="1">
        <v>20</v>
      </c>
      <c r="C236" s="5">
        <v>528</v>
      </c>
      <c r="D236" s="1">
        <v>2</v>
      </c>
      <c r="E236" s="4">
        <v>44</v>
      </c>
      <c r="F236" s="3">
        <v>2.98</v>
      </c>
      <c r="G236" s="1">
        <v>25</v>
      </c>
      <c r="H236" s="1">
        <v>35</v>
      </c>
      <c r="I236" s="1">
        <v>150</v>
      </c>
      <c r="J236" s="1">
        <v>235</v>
      </c>
      <c r="K236" s="1">
        <v>628</v>
      </c>
      <c r="L236" s="1">
        <v>18375</v>
      </c>
      <c r="M236" s="5">
        <v>80.321192218194966</v>
      </c>
      <c r="N236" s="8">
        <v>3.4176870748299316E-2</v>
      </c>
      <c r="O236" s="3">
        <v>57.269999999999989</v>
      </c>
      <c r="P236" s="5">
        <v>526.44594786447112</v>
      </c>
      <c r="Q236" s="3">
        <v>0.47</v>
      </c>
      <c r="R236" s="12">
        <f t="shared" si="3"/>
        <v>2.6322297393223558E-3</v>
      </c>
      <c r="V236" s="3"/>
      <c r="W236" s="3"/>
    </row>
    <row r="237" spans="1:23" x14ac:dyDescent="0.3">
      <c r="A237" t="s">
        <v>54</v>
      </c>
      <c r="B237" s="1">
        <v>20</v>
      </c>
      <c r="C237" s="5">
        <v>528</v>
      </c>
      <c r="D237" s="1">
        <v>3</v>
      </c>
      <c r="E237" s="4">
        <v>12</v>
      </c>
      <c r="F237" s="3">
        <v>2.98</v>
      </c>
      <c r="G237" s="1">
        <v>25</v>
      </c>
      <c r="H237" s="1">
        <v>35</v>
      </c>
      <c r="I237" s="1">
        <v>150</v>
      </c>
      <c r="J237" s="1">
        <v>235</v>
      </c>
      <c r="K237" s="1">
        <v>942</v>
      </c>
      <c r="L237" s="1">
        <v>18375</v>
      </c>
      <c r="M237" s="5">
        <v>93.01135812514184</v>
      </c>
      <c r="N237" s="8">
        <v>5.1265306122448978E-2</v>
      </c>
      <c r="O237" s="3">
        <v>48.3</v>
      </c>
      <c r="P237" s="5">
        <v>303.4025683141906</v>
      </c>
      <c r="Q237" s="3">
        <v>0.16</v>
      </c>
      <c r="R237" s="12">
        <f t="shared" si="3"/>
        <v>1.517012841570953E-3</v>
      </c>
      <c r="V237" s="3"/>
      <c r="W237" s="3"/>
    </row>
    <row r="238" spans="1:23" x14ac:dyDescent="0.3">
      <c r="B238" s="1">
        <v>20</v>
      </c>
      <c r="C238" s="5">
        <v>528</v>
      </c>
      <c r="D238" s="1">
        <v>3</v>
      </c>
      <c r="E238" s="4">
        <v>12</v>
      </c>
      <c r="F238" s="3">
        <v>2.98</v>
      </c>
      <c r="G238" s="1">
        <v>25</v>
      </c>
      <c r="H238" s="1">
        <v>35</v>
      </c>
      <c r="I238" s="1">
        <v>150</v>
      </c>
      <c r="J238" s="1">
        <v>235</v>
      </c>
      <c r="K238" s="1">
        <v>942</v>
      </c>
      <c r="L238" s="1">
        <v>18375</v>
      </c>
      <c r="M238" s="5">
        <v>93.01135812514184</v>
      </c>
      <c r="N238" s="8">
        <v>5.1265306122448978E-2</v>
      </c>
      <c r="O238" s="3">
        <v>50.599999999999994</v>
      </c>
      <c r="P238" s="5">
        <v>317.8503096624853</v>
      </c>
      <c r="Q238" s="3">
        <v>0.18</v>
      </c>
      <c r="R238" s="12">
        <f t="shared" si="3"/>
        <v>1.5892515483124266E-3</v>
      </c>
      <c r="V238" s="3"/>
      <c r="W238" s="3"/>
    </row>
    <row r="239" spans="1:23" x14ac:dyDescent="0.3">
      <c r="B239" s="1">
        <v>20</v>
      </c>
      <c r="C239" s="5">
        <v>528</v>
      </c>
      <c r="D239" s="1">
        <v>3</v>
      </c>
      <c r="E239" s="4">
        <v>12</v>
      </c>
      <c r="F239" s="3">
        <v>2.98</v>
      </c>
      <c r="G239" s="1">
        <v>25</v>
      </c>
      <c r="H239" s="1">
        <v>35</v>
      </c>
      <c r="I239" s="1">
        <v>150</v>
      </c>
      <c r="J239" s="1">
        <v>235</v>
      </c>
      <c r="K239" s="1">
        <v>942</v>
      </c>
      <c r="L239" s="1">
        <v>18375</v>
      </c>
      <c r="M239" s="5">
        <v>93.01135812514184</v>
      </c>
      <c r="N239" s="8">
        <v>5.1265306122448978E-2</v>
      </c>
      <c r="O239" s="3">
        <v>56.349999999999994</v>
      </c>
      <c r="P239" s="5">
        <v>353.96966303322239</v>
      </c>
      <c r="Q239" s="3">
        <v>0.18</v>
      </c>
      <c r="R239" s="12">
        <f t="shared" si="3"/>
        <v>1.769848315166112E-3</v>
      </c>
      <c r="V239" s="3"/>
      <c r="W239" s="3"/>
    </row>
    <row r="240" spans="1:23" x14ac:dyDescent="0.3">
      <c r="B240" s="1">
        <v>20</v>
      </c>
      <c r="C240" s="5">
        <v>528</v>
      </c>
      <c r="D240" s="1">
        <v>3</v>
      </c>
      <c r="E240" s="4">
        <v>12</v>
      </c>
      <c r="F240" s="3">
        <v>2.98</v>
      </c>
      <c r="G240" s="1">
        <v>25</v>
      </c>
      <c r="H240" s="1">
        <v>35</v>
      </c>
      <c r="I240" s="1">
        <v>150</v>
      </c>
      <c r="J240" s="1">
        <v>235</v>
      </c>
      <c r="K240" s="1">
        <v>942</v>
      </c>
      <c r="L240" s="1">
        <v>18375</v>
      </c>
      <c r="M240" s="5">
        <v>93.01135812514184</v>
      </c>
      <c r="N240" s="8">
        <v>5.1265306122448978E-2</v>
      </c>
      <c r="O240" s="3">
        <v>62.674999999999997</v>
      </c>
      <c r="P240" s="5">
        <v>393.70095174103312</v>
      </c>
      <c r="Q240" s="3">
        <v>0.2</v>
      </c>
      <c r="R240" s="12">
        <f t="shared" si="3"/>
        <v>1.9685047587051658E-3</v>
      </c>
      <c r="V240" s="3"/>
      <c r="W240" s="3"/>
    </row>
    <row r="241" spans="1:23" x14ac:dyDescent="0.3">
      <c r="B241" s="1">
        <v>20</v>
      </c>
      <c r="C241" s="5">
        <v>528</v>
      </c>
      <c r="D241" s="1">
        <v>3</v>
      </c>
      <c r="E241" s="4">
        <v>12</v>
      </c>
      <c r="F241" s="3">
        <v>2.98</v>
      </c>
      <c r="G241" s="1">
        <v>25</v>
      </c>
      <c r="H241" s="1">
        <v>35</v>
      </c>
      <c r="I241" s="1">
        <v>150</v>
      </c>
      <c r="J241" s="1">
        <v>235</v>
      </c>
      <c r="K241" s="1">
        <v>942</v>
      </c>
      <c r="L241" s="1">
        <v>18375</v>
      </c>
      <c r="M241" s="5">
        <v>93.01135812514184</v>
      </c>
      <c r="N241" s="8">
        <v>5.1265306122448978E-2</v>
      </c>
      <c r="O241" s="3">
        <v>68.424999999999997</v>
      </c>
      <c r="P241" s="5">
        <v>429.82030511177004</v>
      </c>
      <c r="Q241" s="3">
        <v>0.2</v>
      </c>
      <c r="R241" s="12">
        <f t="shared" si="3"/>
        <v>2.1491015255588504E-3</v>
      </c>
      <c r="V241" s="3"/>
      <c r="W241" s="3"/>
    </row>
    <row r="242" spans="1:23" x14ac:dyDescent="0.3">
      <c r="B242" s="1">
        <v>20</v>
      </c>
      <c r="C242" s="5">
        <v>528</v>
      </c>
      <c r="D242" s="1">
        <v>3</v>
      </c>
      <c r="E242" s="4">
        <v>12</v>
      </c>
      <c r="F242" s="3">
        <v>2.98</v>
      </c>
      <c r="G242" s="1">
        <v>25</v>
      </c>
      <c r="H242" s="1">
        <v>35</v>
      </c>
      <c r="I242" s="1">
        <v>150</v>
      </c>
      <c r="J242" s="1">
        <v>235</v>
      </c>
      <c r="K242" s="1">
        <v>942</v>
      </c>
      <c r="L242" s="1">
        <v>18375</v>
      </c>
      <c r="M242" s="5">
        <v>93.01135812514184</v>
      </c>
      <c r="N242" s="8">
        <v>5.1265306122448978E-2</v>
      </c>
      <c r="O242" s="3">
        <v>73.599999999999994</v>
      </c>
      <c r="P242" s="5">
        <v>462.32772314543331</v>
      </c>
      <c r="Q242" s="3">
        <v>0.2</v>
      </c>
      <c r="R242" s="12">
        <f t="shared" si="3"/>
        <v>2.3116386157271667E-3</v>
      </c>
      <c r="V242" s="3"/>
      <c r="W242" s="3"/>
    </row>
    <row r="243" spans="1:23" x14ac:dyDescent="0.3">
      <c r="B243" s="1">
        <v>20</v>
      </c>
      <c r="C243" s="5">
        <v>528</v>
      </c>
      <c r="D243" s="1">
        <v>3</v>
      </c>
      <c r="E243" s="4">
        <v>12</v>
      </c>
      <c r="F243" s="3">
        <v>2.98</v>
      </c>
      <c r="G243" s="1">
        <v>25</v>
      </c>
      <c r="H243" s="1">
        <v>35</v>
      </c>
      <c r="I243" s="1">
        <v>150</v>
      </c>
      <c r="J243" s="1">
        <v>235</v>
      </c>
      <c r="K243" s="1">
        <v>942</v>
      </c>
      <c r="L243" s="1">
        <v>18375</v>
      </c>
      <c r="M243" s="5">
        <v>93.01135812514184</v>
      </c>
      <c r="N243" s="8">
        <v>5.1265306122448978E-2</v>
      </c>
      <c r="O243" s="3">
        <v>79.924999999999997</v>
      </c>
      <c r="P243" s="5">
        <v>502.05901185324399</v>
      </c>
      <c r="Q243" s="3">
        <v>0.22</v>
      </c>
      <c r="R243" s="12">
        <f t="shared" si="3"/>
        <v>2.51029505926622E-3</v>
      </c>
      <c r="V243" s="3"/>
      <c r="W243" s="3"/>
    </row>
    <row r="244" spans="1:23" x14ac:dyDescent="0.3">
      <c r="A244" t="s">
        <v>55</v>
      </c>
      <c r="B244" s="1">
        <v>28</v>
      </c>
      <c r="C244" s="5">
        <v>400</v>
      </c>
      <c r="D244" s="1">
        <v>4</v>
      </c>
      <c r="E244" s="4">
        <v>16</v>
      </c>
      <c r="F244" s="3">
        <v>5.3084743571011064</v>
      </c>
      <c r="G244" s="1">
        <v>30</v>
      </c>
      <c r="H244" s="1">
        <v>44</v>
      </c>
      <c r="I244" s="1">
        <v>200</v>
      </c>
      <c r="J244" s="1">
        <v>300</v>
      </c>
      <c r="K244" s="1">
        <v>2463</v>
      </c>
      <c r="L244" s="1">
        <v>30800</v>
      </c>
      <c r="M244" s="5">
        <v>133.49341623498307</v>
      </c>
      <c r="N244" s="8">
        <v>7.9967532467532465E-2</v>
      </c>
      <c r="O244" s="3">
        <v>78.75</v>
      </c>
      <c r="P244" s="5">
        <v>151.17196997745879</v>
      </c>
      <c r="Q244" s="3">
        <v>0.22</v>
      </c>
      <c r="R244" s="12">
        <f t="shared" si="3"/>
        <v>7.558598498872939E-4</v>
      </c>
      <c r="V244" s="3"/>
      <c r="W244" s="3"/>
    </row>
    <row r="245" spans="1:23" x14ac:dyDescent="0.3">
      <c r="B245" s="1">
        <v>28</v>
      </c>
      <c r="C245" s="5">
        <v>400</v>
      </c>
      <c r="D245" s="1">
        <v>4</v>
      </c>
      <c r="E245" s="4">
        <v>16</v>
      </c>
      <c r="F245" s="3">
        <v>5.3084743571011064</v>
      </c>
      <c r="G245" s="1">
        <v>30</v>
      </c>
      <c r="H245" s="1">
        <v>44</v>
      </c>
      <c r="I245" s="1">
        <v>200</v>
      </c>
      <c r="J245" s="1">
        <v>300</v>
      </c>
      <c r="K245" s="1">
        <v>2463</v>
      </c>
      <c r="L245" s="1">
        <v>30800</v>
      </c>
      <c r="M245" s="5">
        <v>133.49341623498307</v>
      </c>
      <c r="N245" s="8">
        <v>7.9967532467532465E-2</v>
      </c>
      <c r="O245" s="3">
        <v>105.075</v>
      </c>
      <c r="P245" s="5">
        <v>201.70659994135215</v>
      </c>
      <c r="Q245" s="3">
        <v>0.25</v>
      </c>
      <c r="R245" s="12">
        <f t="shared" si="3"/>
        <v>1.0085329997067609E-3</v>
      </c>
      <c r="V245" s="3"/>
      <c r="W245" s="3"/>
    </row>
    <row r="246" spans="1:23" x14ac:dyDescent="0.3">
      <c r="B246" s="1">
        <v>28</v>
      </c>
      <c r="C246" s="5">
        <v>400</v>
      </c>
      <c r="D246" s="1">
        <v>4</v>
      </c>
      <c r="E246" s="4">
        <v>16</v>
      </c>
      <c r="F246" s="3">
        <v>5.3084743571011064</v>
      </c>
      <c r="G246" s="1">
        <v>30</v>
      </c>
      <c r="H246" s="1">
        <v>44</v>
      </c>
      <c r="I246" s="1">
        <v>200</v>
      </c>
      <c r="J246" s="1">
        <v>300</v>
      </c>
      <c r="K246" s="1">
        <v>2463</v>
      </c>
      <c r="L246" s="1">
        <v>30800</v>
      </c>
      <c r="M246" s="5">
        <v>133.49341623498307</v>
      </c>
      <c r="N246" s="8">
        <v>7.9967532467532465E-2</v>
      </c>
      <c r="O246" s="3">
        <v>120.15</v>
      </c>
      <c r="P246" s="5">
        <v>230.64523419418001</v>
      </c>
      <c r="Q246" s="3">
        <v>0.28999999999999998</v>
      </c>
      <c r="R246" s="12">
        <f t="shared" si="3"/>
        <v>1.1532261709709E-3</v>
      </c>
      <c r="V246" s="3"/>
      <c r="W246" s="3"/>
    </row>
    <row r="247" spans="1:23" x14ac:dyDescent="0.3">
      <c r="B247" s="1">
        <v>28</v>
      </c>
      <c r="C247" s="5">
        <v>400</v>
      </c>
      <c r="D247" s="1">
        <v>4</v>
      </c>
      <c r="E247" s="4">
        <v>16</v>
      </c>
      <c r="F247" s="3">
        <v>5.3084743571011064</v>
      </c>
      <c r="G247" s="1">
        <v>30</v>
      </c>
      <c r="H247" s="1">
        <v>44</v>
      </c>
      <c r="I247" s="1">
        <v>200</v>
      </c>
      <c r="J247" s="1">
        <v>300</v>
      </c>
      <c r="K247" s="1">
        <v>2463</v>
      </c>
      <c r="L247" s="1">
        <v>30800</v>
      </c>
      <c r="M247" s="5">
        <v>133.49341623498307</v>
      </c>
      <c r="N247" s="8">
        <v>7.9967532467532465E-2</v>
      </c>
      <c r="O247" s="3">
        <v>137.47499999999999</v>
      </c>
      <c r="P247" s="5">
        <v>263.90306758922088</v>
      </c>
      <c r="Q247" s="3">
        <v>0.31</v>
      </c>
      <c r="R247" s="12">
        <f t="shared" si="3"/>
        <v>1.3195153379461043E-3</v>
      </c>
      <c r="V247" s="3"/>
      <c r="W247" s="3"/>
    </row>
    <row r="248" spans="1:23" x14ac:dyDescent="0.3">
      <c r="B248" s="1">
        <v>28</v>
      </c>
      <c r="C248" s="5">
        <v>400</v>
      </c>
      <c r="D248" s="1">
        <v>4</v>
      </c>
      <c r="E248" s="4">
        <v>16</v>
      </c>
      <c r="F248" s="3">
        <v>5.3084743571011064</v>
      </c>
      <c r="G248" s="1">
        <v>30</v>
      </c>
      <c r="H248" s="1">
        <v>44</v>
      </c>
      <c r="I248" s="1">
        <v>200</v>
      </c>
      <c r="J248" s="1">
        <v>300</v>
      </c>
      <c r="K248" s="1">
        <v>2463</v>
      </c>
      <c r="L248" s="1">
        <v>30800</v>
      </c>
      <c r="M248" s="5">
        <v>133.49341623498307</v>
      </c>
      <c r="N248" s="8">
        <v>7.9967532467532465E-2</v>
      </c>
      <c r="O248" s="3">
        <v>164.47499999999999</v>
      </c>
      <c r="P248" s="5">
        <v>315.73345729577818</v>
      </c>
      <c r="Q248" s="3">
        <v>0.33</v>
      </c>
      <c r="R248" s="12">
        <f t="shared" si="3"/>
        <v>1.5786672864788909E-3</v>
      </c>
      <c r="V248" s="3"/>
      <c r="W248" s="3"/>
    </row>
    <row r="249" spans="1:23" x14ac:dyDescent="0.3">
      <c r="B249" s="1">
        <v>28</v>
      </c>
      <c r="C249" s="5">
        <v>400</v>
      </c>
      <c r="D249" s="1">
        <v>4</v>
      </c>
      <c r="E249" s="4">
        <v>16</v>
      </c>
      <c r="F249" s="3">
        <v>5.3084743571011064</v>
      </c>
      <c r="G249" s="1">
        <v>30</v>
      </c>
      <c r="H249" s="1">
        <v>44</v>
      </c>
      <c r="I249" s="1">
        <v>200</v>
      </c>
      <c r="J249" s="1">
        <v>300</v>
      </c>
      <c r="K249" s="1">
        <v>2463</v>
      </c>
      <c r="L249" s="1">
        <v>30800</v>
      </c>
      <c r="M249" s="5">
        <v>133.49341623498307</v>
      </c>
      <c r="N249" s="8">
        <v>7.9967532467532465E-2</v>
      </c>
      <c r="O249" s="3">
        <v>178.20000000000002</v>
      </c>
      <c r="P249" s="5">
        <v>342.08057206327823</v>
      </c>
      <c r="Q249" s="3">
        <v>0.34</v>
      </c>
      <c r="R249" s="12">
        <f t="shared" si="3"/>
        <v>1.7104028603163912E-3</v>
      </c>
      <c r="V249" s="3"/>
      <c r="W249" s="3"/>
    </row>
    <row r="250" spans="1:23" x14ac:dyDescent="0.3">
      <c r="B250" s="1">
        <v>28</v>
      </c>
      <c r="C250" s="5">
        <v>400</v>
      </c>
      <c r="D250" s="1">
        <v>4</v>
      </c>
      <c r="E250" s="4">
        <v>16</v>
      </c>
      <c r="F250" s="3">
        <v>5.3084743571011064</v>
      </c>
      <c r="G250" s="1">
        <v>30</v>
      </c>
      <c r="H250" s="1">
        <v>44</v>
      </c>
      <c r="I250" s="1">
        <v>200</v>
      </c>
      <c r="J250" s="1">
        <v>300</v>
      </c>
      <c r="K250" s="1">
        <v>2463</v>
      </c>
      <c r="L250" s="1">
        <v>30800</v>
      </c>
      <c r="M250" s="5">
        <v>133.49341623498307</v>
      </c>
      <c r="N250" s="8">
        <v>7.9967532467532465E-2</v>
      </c>
      <c r="O250" s="3">
        <v>198.22499999999999</v>
      </c>
      <c r="P250" s="5">
        <v>380.5214444289748</v>
      </c>
      <c r="Q250" s="3">
        <v>0.37</v>
      </c>
      <c r="R250" s="12">
        <f t="shared" si="3"/>
        <v>1.9026072221448741E-3</v>
      </c>
      <c r="V250" s="3"/>
      <c r="W250" s="3"/>
    </row>
    <row r="251" spans="1:23" x14ac:dyDescent="0.3">
      <c r="A251" t="s">
        <v>56</v>
      </c>
      <c r="B251" s="1">
        <v>15.9</v>
      </c>
      <c r="C251" s="5">
        <v>392</v>
      </c>
      <c r="D251" s="1">
        <v>2</v>
      </c>
      <c r="E251" s="4">
        <v>46</v>
      </c>
      <c r="F251" s="3">
        <v>2.8258773978663156</v>
      </c>
      <c r="G251" s="1">
        <v>30</v>
      </c>
      <c r="H251" s="1">
        <v>38</v>
      </c>
      <c r="I251" s="1">
        <v>150</v>
      </c>
      <c r="J251" s="1">
        <v>250</v>
      </c>
      <c r="K251" s="1">
        <v>397.2</v>
      </c>
      <c r="L251" s="1">
        <v>17625</v>
      </c>
      <c r="M251" s="5">
        <v>70.061381209483116</v>
      </c>
      <c r="N251" s="8">
        <v>2.2536170212765955E-2</v>
      </c>
      <c r="O251" s="3">
        <v>27.1</v>
      </c>
      <c r="P251" s="5">
        <v>361.66957450902817</v>
      </c>
      <c r="Q251" s="3">
        <v>0.2</v>
      </c>
      <c r="R251" s="12">
        <f t="shared" si="3"/>
        <v>1.8083478725451408E-3</v>
      </c>
      <c r="V251" s="3"/>
      <c r="W251" s="3"/>
    </row>
    <row r="252" spans="1:23" x14ac:dyDescent="0.3">
      <c r="B252" s="1">
        <v>15.9</v>
      </c>
      <c r="C252" s="5">
        <v>392</v>
      </c>
      <c r="D252" s="1">
        <v>2</v>
      </c>
      <c r="E252" s="4">
        <v>46</v>
      </c>
      <c r="F252" s="3">
        <v>2.8258773978663156</v>
      </c>
      <c r="G252" s="1">
        <v>30</v>
      </c>
      <c r="H252" s="1">
        <v>38</v>
      </c>
      <c r="I252" s="1">
        <v>150</v>
      </c>
      <c r="J252" s="1">
        <v>250</v>
      </c>
      <c r="K252" s="1">
        <v>397.2</v>
      </c>
      <c r="L252" s="1">
        <v>17625</v>
      </c>
      <c r="M252" s="5">
        <v>70.061381209483116</v>
      </c>
      <c r="N252" s="8">
        <v>2.2536170212765955E-2</v>
      </c>
      <c r="O252" s="3">
        <v>35.6</v>
      </c>
      <c r="P252" s="5">
        <v>392.3</v>
      </c>
      <c r="Q252" s="3">
        <v>0.35</v>
      </c>
      <c r="R252" s="12">
        <f t="shared" si="3"/>
        <v>1.9615000000000001E-3</v>
      </c>
      <c r="V252" s="3"/>
      <c r="W252" s="3"/>
    </row>
    <row r="253" spans="1:23" x14ac:dyDescent="0.3">
      <c r="A253" t="s">
        <v>57</v>
      </c>
      <c r="B253" s="1">
        <v>15.9</v>
      </c>
      <c r="C253" s="5">
        <v>392</v>
      </c>
      <c r="D253" s="1">
        <v>2</v>
      </c>
      <c r="E253" s="4">
        <v>46</v>
      </c>
      <c r="F253" s="3">
        <v>2.8258773978663156</v>
      </c>
      <c r="G253" s="1">
        <v>30</v>
      </c>
      <c r="H253" s="1">
        <v>38</v>
      </c>
      <c r="I253" s="1">
        <v>150</v>
      </c>
      <c r="J253" s="1">
        <v>250</v>
      </c>
      <c r="K253" s="1">
        <v>397.2</v>
      </c>
      <c r="L253" s="1">
        <v>17625</v>
      </c>
      <c r="M253" s="5">
        <v>70.061381209483116</v>
      </c>
      <c r="N253" s="8">
        <v>2.2536170212765955E-2</v>
      </c>
      <c r="O253" s="3">
        <v>27.2</v>
      </c>
      <c r="P253" s="5">
        <v>363.0041485847072</v>
      </c>
      <c r="Q253" s="3">
        <v>0.2</v>
      </c>
      <c r="R253" s="12">
        <f t="shared" si="3"/>
        <v>1.8150207429235359E-3</v>
      </c>
      <c r="V253" s="3"/>
      <c r="W253" s="3"/>
    </row>
    <row r="254" spans="1:23" x14ac:dyDescent="0.3">
      <c r="B254" s="1">
        <v>15.9</v>
      </c>
      <c r="C254" s="5">
        <v>392</v>
      </c>
      <c r="D254" s="1">
        <v>2</v>
      </c>
      <c r="E254" s="4">
        <v>46</v>
      </c>
      <c r="F254" s="3">
        <v>2.8258773978663156</v>
      </c>
      <c r="G254" s="1">
        <v>30</v>
      </c>
      <c r="H254" s="1">
        <v>38</v>
      </c>
      <c r="I254" s="1">
        <v>150</v>
      </c>
      <c r="J254" s="1">
        <v>250</v>
      </c>
      <c r="K254" s="1">
        <v>397.2</v>
      </c>
      <c r="L254" s="1">
        <v>17625</v>
      </c>
      <c r="M254" s="5">
        <v>70.061381209483116</v>
      </c>
      <c r="N254" s="8">
        <v>2.2536170212765955E-2</v>
      </c>
      <c r="O254" s="3">
        <v>35.6</v>
      </c>
      <c r="P254" s="5">
        <v>392.3</v>
      </c>
      <c r="Q254" s="3">
        <v>0.25</v>
      </c>
      <c r="R254" s="12">
        <f t="shared" si="3"/>
        <v>1.9615000000000001E-3</v>
      </c>
      <c r="V254" s="3"/>
      <c r="W254" s="3"/>
    </row>
    <row r="255" spans="1:23" x14ac:dyDescent="0.3">
      <c r="A255" t="s">
        <v>58</v>
      </c>
      <c r="B255" s="1">
        <v>15.9</v>
      </c>
      <c r="C255" s="5">
        <v>392</v>
      </c>
      <c r="D255" s="1">
        <v>2</v>
      </c>
      <c r="E255" s="4">
        <v>46</v>
      </c>
      <c r="F255" s="3">
        <v>2.8258773978663156</v>
      </c>
      <c r="G255" s="1">
        <v>30</v>
      </c>
      <c r="H255" s="1">
        <v>38</v>
      </c>
      <c r="I255" s="1">
        <v>150</v>
      </c>
      <c r="J255" s="1">
        <v>250</v>
      </c>
      <c r="K255" s="1">
        <v>397.2</v>
      </c>
      <c r="L255" s="1">
        <v>17625</v>
      </c>
      <c r="M255" s="5">
        <v>70.061381209483116</v>
      </c>
      <c r="N255" s="8">
        <v>2.2536170212765955E-2</v>
      </c>
      <c r="O255" s="3">
        <v>27.2</v>
      </c>
      <c r="P255" s="5">
        <v>363.0041485847072</v>
      </c>
      <c r="Q255" s="3">
        <v>0.2</v>
      </c>
      <c r="R255" s="12">
        <f t="shared" si="3"/>
        <v>1.8150207429235359E-3</v>
      </c>
      <c r="V255" s="3"/>
      <c r="W255" s="3"/>
    </row>
    <row r="256" spans="1:23" x14ac:dyDescent="0.3">
      <c r="B256" s="1">
        <v>15.9</v>
      </c>
      <c r="C256" s="5">
        <v>392</v>
      </c>
      <c r="D256" s="1">
        <v>2</v>
      </c>
      <c r="E256" s="4">
        <v>46</v>
      </c>
      <c r="F256" s="3">
        <v>2.8258773978663156</v>
      </c>
      <c r="G256" s="1">
        <v>30</v>
      </c>
      <c r="H256" s="1">
        <v>38</v>
      </c>
      <c r="I256" s="1">
        <v>150</v>
      </c>
      <c r="J256" s="1">
        <v>250</v>
      </c>
      <c r="K256" s="1">
        <v>397.2</v>
      </c>
      <c r="L256" s="1">
        <v>17625</v>
      </c>
      <c r="M256" s="5">
        <v>70.061381209483116</v>
      </c>
      <c r="N256" s="8">
        <v>2.2536170212765955E-2</v>
      </c>
      <c r="O256" s="3">
        <v>35.6</v>
      </c>
      <c r="P256" s="5">
        <v>392.3</v>
      </c>
      <c r="Q256" s="3">
        <v>0.25</v>
      </c>
      <c r="R256" s="12">
        <f t="shared" si="3"/>
        <v>1.9615000000000001E-3</v>
      </c>
      <c r="V256" s="3"/>
      <c r="W256" s="3"/>
    </row>
    <row r="257" spans="1:23" x14ac:dyDescent="0.3">
      <c r="A257" t="s">
        <v>59</v>
      </c>
      <c r="B257" s="1">
        <v>15.9</v>
      </c>
      <c r="C257" s="5">
        <v>392</v>
      </c>
      <c r="D257" s="1">
        <v>2</v>
      </c>
      <c r="E257" s="4">
        <v>46</v>
      </c>
      <c r="F257" s="3">
        <v>2.8258773978663156</v>
      </c>
      <c r="G257" s="1">
        <v>30</v>
      </c>
      <c r="H257" s="1">
        <v>38</v>
      </c>
      <c r="I257" s="1">
        <v>150</v>
      </c>
      <c r="J257" s="1">
        <v>250</v>
      </c>
      <c r="K257" s="1">
        <v>397.2</v>
      </c>
      <c r="L257" s="1">
        <v>17625</v>
      </c>
      <c r="M257" s="5">
        <v>70.061381209483116</v>
      </c>
      <c r="N257" s="8">
        <v>2.2536170212765955E-2</v>
      </c>
      <c r="O257" s="3">
        <v>27.3</v>
      </c>
      <c r="P257" s="5">
        <v>364.33872266038628</v>
      </c>
      <c r="Q257" s="3">
        <v>0.2</v>
      </c>
      <c r="R257" s="12">
        <f t="shared" si="3"/>
        <v>1.8216936133019315E-3</v>
      </c>
      <c r="V257" s="3"/>
      <c r="W257" s="3"/>
    </row>
    <row r="258" spans="1:23" x14ac:dyDescent="0.3">
      <c r="B258" s="1">
        <v>15.9</v>
      </c>
      <c r="C258" s="5">
        <v>392</v>
      </c>
      <c r="D258" s="1">
        <v>2</v>
      </c>
      <c r="E258" s="4">
        <v>46</v>
      </c>
      <c r="F258" s="3">
        <v>2.8258773978663156</v>
      </c>
      <c r="G258" s="1">
        <v>30</v>
      </c>
      <c r="H258" s="1">
        <v>38</v>
      </c>
      <c r="I258" s="1">
        <v>150</v>
      </c>
      <c r="J258" s="1">
        <v>250</v>
      </c>
      <c r="K258" s="1">
        <v>397.2</v>
      </c>
      <c r="L258" s="1">
        <v>17625</v>
      </c>
      <c r="M258" s="5">
        <v>70.061381209483116</v>
      </c>
      <c r="N258" s="8">
        <v>2.2536170212765955E-2</v>
      </c>
      <c r="O258" s="3">
        <v>35.700000000000003</v>
      </c>
      <c r="P258" s="5">
        <v>392.3</v>
      </c>
      <c r="Q258" s="3">
        <v>0.3</v>
      </c>
      <c r="R258" s="12">
        <f t="shared" si="3"/>
        <v>1.9615000000000001E-3</v>
      </c>
      <c r="V258" s="3"/>
      <c r="W258" s="3"/>
    </row>
    <row r="259" spans="1:23" x14ac:dyDescent="0.3">
      <c r="A259" t="s">
        <v>60</v>
      </c>
      <c r="B259" s="1">
        <v>12.7</v>
      </c>
      <c r="C259" s="5">
        <v>392</v>
      </c>
      <c r="D259" s="1">
        <v>2</v>
      </c>
      <c r="E259" s="4">
        <v>52</v>
      </c>
      <c r="F259" s="3">
        <v>2.9208758709847928</v>
      </c>
      <c r="G259" s="1">
        <v>30</v>
      </c>
      <c r="H259" s="1">
        <v>36.5</v>
      </c>
      <c r="I259" s="1">
        <v>150</v>
      </c>
      <c r="J259" s="1">
        <v>250</v>
      </c>
      <c r="K259" s="1">
        <v>253.4</v>
      </c>
      <c r="L259" s="1">
        <v>15000</v>
      </c>
      <c r="M259" s="5">
        <v>58.075942632487219</v>
      </c>
      <c r="N259" s="8">
        <v>1.6893333333333333E-2</v>
      </c>
      <c r="O259" s="3">
        <v>15.6</v>
      </c>
      <c r="P259" s="5">
        <v>317.10269794078823</v>
      </c>
      <c r="Q259" s="3">
        <v>0.15</v>
      </c>
      <c r="R259" s="12">
        <f t="shared" si="3"/>
        <v>1.5855134897039412E-3</v>
      </c>
      <c r="V259" s="3"/>
      <c r="W259" s="3"/>
    </row>
    <row r="260" spans="1:23" x14ac:dyDescent="0.3">
      <c r="B260" s="1">
        <v>12.7</v>
      </c>
      <c r="C260" s="5">
        <v>392</v>
      </c>
      <c r="D260" s="1">
        <v>2</v>
      </c>
      <c r="E260" s="4">
        <v>52</v>
      </c>
      <c r="F260" s="3">
        <v>2.9208758709847928</v>
      </c>
      <c r="G260" s="1">
        <v>30</v>
      </c>
      <c r="H260" s="1">
        <v>36.5</v>
      </c>
      <c r="I260" s="1">
        <v>150</v>
      </c>
      <c r="J260" s="1">
        <v>250</v>
      </c>
      <c r="K260" s="1">
        <v>253.4</v>
      </c>
      <c r="L260" s="1">
        <v>15000</v>
      </c>
      <c r="M260" s="5">
        <v>58.075942632487219</v>
      </c>
      <c r="N260" s="8">
        <v>1.6893333333333333E-2</v>
      </c>
      <c r="O260" s="3">
        <v>19.600000000000001</v>
      </c>
      <c r="P260" s="5">
        <v>392.3</v>
      </c>
      <c r="Q260" s="3">
        <v>0.2</v>
      </c>
      <c r="R260" s="12">
        <f t="shared" ref="R260:R323" si="4">P260/200000</f>
        <v>1.9615000000000001E-3</v>
      </c>
      <c r="V260" s="3"/>
      <c r="W260" s="3"/>
    </row>
    <row r="261" spans="1:23" x14ac:dyDescent="0.3">
      <c r="A261" t="s">
        <v>61</v>
      </c>
      <c r="B261" s="1">
        <v>12.7</v>
      </c>
      <c r="C261" s="5">
        <v>392</v>
      </c>
      <c r="D261" s="1">
        <v>2</v>
      </c>
      <c r="E261" s="4">
        <v>52</v>
      </c>
      <c r="F261" s="3">
        <v>2.9208758709847928</v>
      </c>
      <c r="G261" s="1">
        <v>30</v>
      </c>
      <c r="H261" s="1">
        <v>36.5</v>
      </c>
      <c r="I261" s="1">
        <v>150</v>
      </c>
      <c r="J261" s="1">
        <v>250</v>
      </c>
      <c r="K261" s="1">
        <v>253.4</v>
      </c>
      <c r="L261" s="1">
        <v>15000</v>
      </c>
      <c r="M261" s="5">
        <v>58.075942632487219</v>
      </c>
      <c r="N261" s="8">
        <v>1.6893333333333333E-2</v>
      </c>
      <c r="O261" s="3">
        <v>15.7</v>
      </c>
      <c r="P261" s="5">
        <v>319.13540754297276</v>
      </c>
      <c r="Q261" s="3">
        <v>0.15</v>
      </c>
      <c r="R261" s="12">
        <f t="shared" si="4"/>
        <v>1.5956770377148638E-3</v>
      </c>
      <c r="V261" s="3"/>
      <c r="W261" s="3"/>
    </row>
    <row r="262" spans="1:23" x14ac:dyDescent="0.3">
      <c r="B262" s="1">
        <v>12.7</v>
      </c>
      <c r="C262" s="5">
        <v>392</v>
      </c>
      <c r="D262" s="1">
        <v>2</v>
      </c>
      <c r="E262" s="4">
        <v>52</v>
      </c>
      <c r="F262" s="3">
        <v>2.9208758709847928</v>
      </c>
      <c r="G262" s="1">
        <v>30</v>
      </c>
      <c r="H262" s="1">
        <v>36.5</v>
      </c>
      <c r="I262" s="1">
        <v>150</v>
      </c>
      <c r="J262" s="1">
        <v>250</v>
      </c>
      <c r="K262" s="1">
        <v>253.4</v>
      </c>
      <c r="L262" s="1">
        <v>15000</v>
      </c>
      <c r="M262" s="5">
        <v>58.075942632487219</v>
      </c>
      <c r="N262" s="8">
        <v>1.6893333333333333E-2</v>
      </c>
      <c r="O262" s="3">
        <v>19.600000000000001</v>
      </c>
      <c r="P262" s="5">
        <v>392.3</v>
      </c>
      <c r="Q262" s="3">
        <v>0.2</v>
      </c>
      <c r="R262" s="12">
        <f t="shared" si="4"/>
        <v>1.9615000000000001E-3</v>
      </c>
      <c r="V262" s="3"/>
      <c r="W262" s="3"/>
    </row>
    <row r="263" spans="1:23" x14ac:dyDescent="0.3">
      <c r="A263" t="s">
        <v>62</v>
      </c>
      <c r="B263" s="1">
        <v>15.9</v>
      </c>
      <c r="C263" s="5">
        <v>392</v>
      </c>
      <c r="D263" s="1">
        <v>2</v>
      </c>
      <c r="E263" s="4">
        <v>46</v>
      </c>
      <c r="F263" s="3">
        <v>2.9208758709847928</v>
      </c>
      <c r="G263" s="1">
        <v>30</v>
      </c>
      <c r="H263" s="1">
        <v>38</v>
      </c>
      <c r="I263" s="1">
        <v>150</v>
      </c>
      <c r="J263" s="1">
        <v>250</v>
      </c>
      <c r="K263" s="1">
        <v>397.2</v>
      </c>
      <c r="L263" s="1">
        <v>17625</v>
      </c>
      <c r="M263" s="5">
        <v>69.597967277749476</v>
      </c>
      <c r="N263" s="8">
        <v>2.2536170212765955E-2</v>
      </c>
      <c r="O263" s="3">
        <v>19.5</v>
      </c>
      <c r="P263" s="5">
        <v>260.02902224680844</v>
      </c>
      <c r="Q263" s="3">
        <v>0.15</v>
      </c>
      <c r="R263" s="12">
        <f t="shared" si="4"/>
        <v>1.3001451112340421E-3</v>
      </c>
      <c r="V263" s="3"/>
      <c r="W263" s="3"/>
    </row>
    <row r="264" spans="1:23" x14ac:dyDescent="0.3">
      <c r="B264" s="1">
        <v>15.9</v>
      </c>
      <c r="C264" s="5">
        <v>392</v>
      </c>
      <c r="D264" s="1">
        <v>2</v>
      </c>
      <c r="E264" s="4">
        <v>46</v>
      </c>
      <c r="F264" s="3">
        <v>2.9208758709847928</v>
      </c>
      <c r="G264" s="1">
        <v>30</v>
      </c>
      <c r="H264" s="1">
        <v>38</v>
      </c>
      <c r="I264" s="1">
        <v>150</v>
      </c>
      <c r="J264" s="1">
        <v>250</v>
      </c>
      <c r="K264" s="1">
        <v>397.2</v>
      </c>
      <c r="L264" s="1">
        <v>17625</v>
      </c>
      <c r="M264" s="5">
        <v>69.597967277749476</v>
      </c>
      <c r="N264" s="8">
        <v>2.2536170212765955E-2</v>
      </c>
      <c r="O264" s="3">
        <v>27.4</v>
      </c>
      <c r="P264" s="5">
        <v>365.37411331090004</v>
      </c>
      <c r="Q264" s="3">
        <v>0.25</v>
      </c>
      <c r="R264" s="12">
        <f t="shared" si="4"/>
        <v>1.8268705665545001E-3</v>
      </c>
      <c r="V264" s="3"/>
      <c r="W264" s="3"/>
    </row>
    <row r="265" spans="1:23" x14ac:dyDescent="0.3">
      <c r="B265" s="1">
        <v>15.9</v>
      </c>
      <c r="C265" s="5">
        <v>392</v>
      </c>
      <c r="D265" s="1">
        <v>2</v>
      </c>
      <c r="E265" s="4">
        <v>46</v>
      </c>
      <c r="F265" s="3">
        <v>2.9208758709847928</v>
      </c>
      <c r="G265" s="1">
        <v>30</v>
      </c>
      <c r="H265" s="1">
        <v>38</v>
      </c>
      <c r="I265" s="1">
        <v>150</v>
      </c>
      <c r="J265" s="1">
        <v>250</v>
      </c>
      <c r="K265" s="1">
        <v>397.2</v>
      </c>
      <c r="L265" s="1">
        <v>17625</v>
      </c>
      <c r="M265" s="5">
        <v>69.597967277749476</v>
      </c>
      <c r="N265" s="8">
        <v>2.2536170212765955E-2</v>
      </c>
      <c r="O265" s="3">
        <v>31.3</v>
      </c>
      <c r="P265" s="5">
        <v>392.3</v>
      </c>
      <c r="Q265" s="3">
        <v>0.3</v>
      </c>
      <c r="R265" s="12">
        <f t="shared" si="4"/>
        <v>1.9615000000000001E-3</v>
      </c>
      <c r="V265" s="3"/>
      <c r="W265" s="3"/>
    </row>
    <row r="266" spans="1:23" x14ac:dyDescent="0.3">
      <c r="A266" t="s">
        <v>63</v>
      </c>
      <c r="B266" s="1">
        <v>15.9</v>
      </c>
      <c r="C266" s="5">
        <v>392</v>
      </c>
      <c r="D266" s="1">
        <v>2</v>
      </c>
      <c r="E266" s="4">
        <v>46</v>
      </c>
      <c r="F266" s="3">
        <v>2.9208758709847928</v>
      </c>
      <c r="G266" s="1">
        <v>30</v>
      </c>
      <c r="H266" s="1">
        <v>38</v>
      </c>
      <c r="I266" s="1">
        <v>150</v>
      </c>
      <c r="J266" s="1">
        <v>250</v>
      </c>
      <c r="K266" s="1">
        <v>397.2</v>
      </c>
      <c r="L266" s="1">
        <v>17625</v>
      </c>
      <c r="M266" s="5">
        <v>69.597967277749476</v>
      </c>
      <c r="N266" s="8">
        <v>2.2536170212765955E-2</v>
      </c>
      <c r="O266" s="3">
        <v>19.600000000000001</v>
      </c>
      <c r="P266" s="5">
        <v>261.36250441217675</v>
      </c>
      <c r="Q266" s="3">
        <v>0.15</v>
      </c>
      <c r="R266" s="12">
        <f t="shared" si="4"/>
        <v>1.3068125220608838E-3</v>
      </c>
      <c r="V266" s="3"/>
      <c r="W266" s="3"/>
    </row>
    <row r="267" spans="1:23" x14ac:dyDescent="0.3">
      <c r="B267" s="1">
        <v>15.9</v>
      </c>
      <c r="C267" s="5">
        <v>392</v>
      </c>
      <c r="D267" s="1">
        <v>2</v>
      </c>
      <c r="E267" s="4">
        <v>46</v>
      </c>
      <c r="F267" s="3">
        <v>2.9208758709847928</v>
      </c>
      <c r="G267" s="1">
        <v>30</v>
      </c>
      <c r="H267" s="1">
        <v>38</v>
      </c>
      <c r="I267" s="1">
        <v>150</v>
      </c>
      <c r="J267" s="1">
        <v>250</v>
      </c>
      <c r="K267" s="1">
        <v>397.2</v>
      </c>
      <c r="L267" s="1">
        <v>17625</v>
      </c>
      <c r="M267" s="5">
        <v>69.597967277749476</v>
      </c>
      <c r="N267" s="8">
        <v>2.2536170212765955E-2</v>
      </c>
      <c r="O267" s="3">
        <v>27.5</v>
      </c>
      <c r="P267" s="5">
        <v>366.70759547626835</v>
      </c>
      <c r="Q267" s="3">
        <v>0.25</v>
      </c>
      <c r="R267" s="12">
        <f t="shared" si="4"/>
        <v>1.8335379773813418E-3</v>
      </c>
      <c r="V267" s="3"/>
      <c r="W267" s="3"/>
    </row>
    <row r="268" spans="1:23" x14ac:dyDescent="0.3">
      <c r="A268" t="s">
        <v>64</v>
      </c>
      <c r="B268" s="1">
        <v>19.100000000000001</v>
      </c>
      <c r="C268" s="5">
        <v>392</v>
      </c>
      <c r="D268" s="1">
        <v>2</v>
      </c>
      <c r="E268" s="4">
        <v>40</v>
      </c>
      <c r="F268" s="3">
        <v>2.9208758709847928</v>
      </c>
      <c r="G268" s="1">
        <v>30</v>
      </c>
      <c r="H268" s="1">
        <v>39.5</v>
      </c>
      <c r="I268" s="1">
        <v>150</v>
      </c>
      <c r="J268" s="1">
        <v>250</v>
      </c>
      <c r="K268" s="1">
        <v>573</v>
      </c>
      <c r="L268" s="1">
        <v>20250</v>
      </c>
      <c r="M268" s="5">
        <v>80.017825486464005</v>
      </c>
      <c r="N268" s="8">
        <v>2.8296296296296295E-2</v>
      </c>
      <c r="O268" s="3">
        <v>19.7</v>
      </c>
      <c r="P268" s="5">
        <v>187.02573904138569</v>
      </c>
      <c r="Q268" s="3">
        <v>0.15</v>
      </c>
      <c r="R268" s="12">
        <f t="shared" si="4"/>
        <v>9.3512869520692851E-4</v>
      </c>
      <c r="V268" s="3"/>
      <c r="W268" s="3"/>
    </row>
    <row r="269" spans="1:23" x14ac:dyDescent="0.3">
      <c r="B269" s="1">
        <v>19.100000000000001</v>
      </c>
      <c r="C269" s="5">
        <v>392</v>
      </c>
      <c r="D269" s="1">
        <v>2</v>
      </c>
      <c r="E269" s="4">
        <v>40</v>
      </c>
      <c r="F269" s="3">
        <v>2.9208758709847928</v>
      </c>
      <c r="G269" s="1">
        <v>30</v>
      </c>
      <c r="H269" s="1">
        <v>39.5</v>
      </c>
      <c r="I269" s="1">
        <v>150</v>
      </c>
      <c r="J269" s="1">
        <v>250</v>
      </c>
      <c r="K269" s="1">
        <v>573</v>
      </c>
      <c r="L269" s="1">
        <v>20250</v>
      </c>
      <c r="M269" s="5">
        <v>80.017825486464005</v>
      </c>
      <c r="N269" s="8">
        <v>2.8296296296296295E-2</v>
      </c>
      <c r="O269" s="3">
        <v>27.5</v>
      </c>
      <c r="P269" s="5">
        <v>261.07653927096982</v>
      </c>
      <c r="Q269" s="3">
        <v>0.2</v>
      </c>
      <c r="R269" s="12">
        <f t="shared" si="4"/>
        <v>1.3053826963548491E-3</v>
      </c>
      <c r="V269" s="3"/>
      <c r="W269" s="3"/>
    </row>
    <row r="270" spans="1:23" x14ac:dyDescent="0.3">
      <c r="B270" s="1">
        <v>19.100000000000001</v>
      </c>
      <c r="C270" s="5">
        <v>392</v>
      </c>
      <c r="D270" s="1">
        <v>2</v>
      </c>
      <c r="E270" s="4">
        <v>40</v>
      </c>
      <c r="F270" s="3">
        <v>2.9208758709847928</v>
      </c>
      <c r="G270" s="1">
        <v>30</v>
      </c>
      <c r="H270" s="1">
        <v>39.5</v>
      </c>
      <c r="I270" s="1">
        <v>150</v>
      </c>
      <c r="J270" s="1">
        <v>250</v>
      </c>
      <c r="K270" s="1">
        <v>573</v>
      </c>
      <c r="L270" s="1">
        <v>20250</v>
      </c>
      <c r="M270" s="5">
        <v>80.017825486464005</v>
      </c>
      <c r="N270" s="8">
        <v>2.8296296296296295E-2</v>
      </c>
      <c r="O270" s="3">
        <v>35.4</v>
      </c>
      <c r="P270" s="5">
        <v>336.07670873426662</v>
      </c>
      <c r="Q270" s="3">
        <v>0.3</v>
      </c>
      <c r="R270" s="12">
        <f t="shared" si="4"/>
        <v>1.6803835436713331E-3</v>
      </c>
      <c r="V270" s="3"/>
      <c r="W270" s="3"/>
    </row>
    <row r="271" spans="1:23" x14ac:dyDescent="0.3">
      <c r="B271" s="1">
        <v>19.100000000000001</v>
      </c>
      <c r="C271" s="5">
        <v>392</v>
      </c>
      <c r="D271" s="1">
        <v>2</v>
      </c>
      <c r="E271" s="4">
        <v>40</v>
      </c>
      <c r="F271" s="3">
        <v>2.9208758709847928</v>
      </c>
      <c r="G271" s="1">
        <v>30</v>
      </c>
      <c r="H271" s="1">
        <v>39.5</v>
      </c>
      <c r="I271" s="1">
        <v>150</v>
      </c>
      <c r="J271" s="1">
        <v>250</v>
      </c>
      <c r="K271" s="1">
        <v>573</v>
      </c>
      <c r="L271" s="1">
        <v>20250</v>
      </c>
      <c r="M271" s="5">
        <v>80.017825486464005</v>
      </c>
      <c r="N271" s="8">
        <v>2.8296296296296295E-2</v>
      </c>
      <c r="O271" s="3">
        <v>43.3</v>
      </c>
      <c r="P271" s="5">
        <v>392.3</v>
      </c>
      <c r="Q271" s="3">
        <v>0.33</v>
      </c>
      <c r="R271" s="12">
        <f t="shared" si="4"/>
        <v>1.9615000000000001E-3</v>
      </c>
      <c r="V271" s="3"/>
      <c r="W271" s="3"/>
    </row>
    <row r="272" spans="1:23" x14ac:dyDescent="0.3">
      <c r="A272" t="s">
        <v>65</v>
      </c>
      <c r="B272" s="1">
        <v>19.100000000000001</v>
      </c>
      <c r="C272" s="5">
        <v>392</v>
      </c>
      <c r="D272" s="1">
        <v>2</v>
      </c>
      <c r="E272" s="4">
        <v>40</v>
      </c>
      <c r="F272" s="3">
        <v>2.9208758709847928</v>
      </c>
      <c r="G272" s="1">
        <v>30</v>
      </c>
      <c r="H272" s="1">
        <v>39.5</v>
      </c>
      <c r="I272" s="1">
        <v>150</v>
      </c>
      <c r="J272" s="1">
        <v>250</v>
      </c>
      <c r="K272" s="1">
        <v>573</v>
      </c>
      <c r="L272" s="1">
        <v>20250</v>
      </c>
      <c r="M272" s="5">
        <v>80.017825486464005</v>
      </c>
      <c r="N272" s="8">
        <v>2.8296296296296295E-2</v>
      </c>
      <c r="O272" s="3">
        <v>19.600000000000001</v>
      </c>
      <c r="P272" s="5">
        <v>186.07636980767307</v>
      </c>
      <c r="Q272" s="3">
        <v>0.15</v>
      </c>
      <c r="R272" s="12">
        <f t="shared" si="4"/>
        <v>9.3038184903836542E-4</v>
      </c>
      <c r="V272" s="3"/>
      <c r="W272" s="3"/>
    </row>
    <row r="273" spans="1:23" x14ac:dyDescent="0.3">
      <c r="B273" s="1">
        <v>19.100000000000001</v>
      </c>
      <c r="C273" s="5">
        <v>392</v>
      </c>
      <c r="D273" s="1">
        <v>2</v>
      </c>
      <c r="E273" s="4">
        <v>40</v>
      </c>
      <c r="F273" s="3">
        <v>2.9208758709847928</v>
      </c>
      <c r="G273" s="1">
        <v>30</v>
      </c>
      <c r="H273" s="1">
        <v>39.5</v>
      </c>
      <c r="I273" s="1">
        <v>150</v>
      </c>
      <c r="J273" s="1">
        <v>250</v>
      </c>
      <c r="K273" s="1">
        <v>573</v>
      </c>
      <c r="L273" s="1">
        <v>20250</v>
      </c>
      <c r="M273" s="5">
        <v>80.017825486464005</v>
      </c>
      <c r="N273" s="8">
        <v>2.8296296296296295E-2</v>
      </c>
      <c r="O273" s="3">
        <v>27.3</v>
      </c>
      <c r="P273" s="5">
        <v>259.17780080354459</v>
      </c>
      <c r="Q273" s="3">
        <v>0.25</v>
      </c>
      <c r="R273" s="12">
        <f t="shared" si="4"/>
        <v>1.2958890040177229E-3</v>
      </c>
      <c r="V273" s="3"/>
      <c r="W273" s="3"/>
    </row>
    <row r="274" spans="1:23" x14ac:dyDescent="0.3">
      <c r="B274" s="1">
        <v>19.100000000000001</v>
      </c>
      <c r="C274" s="5">
        <v>392</v>
      </c>
      <c r="D274" s="1">
        <v>2</v>
      </c>
      <c r="E274" s="4">
        <v>40</v>
      </c>
      <c r="F274" s="3">
        <v>2.9208758709847928</v>
      </c>
      <c r="G274" s="1">
        <v>30</v>
      </c>
      <c r="H274" s="1">
        <v>39.5</v>
      </c>
      <c r="I274" s="1">
        <v>150</v>
      </c>
      <c r="J274" s="1">
        <v>250</v>
      </c>
      <c r="K274" s="1">
        <v>573</v>
      </c>
      <c r="L274" s="1">
        <v>20250</v>
      </c>
      <c r="M274" s="5">
        <v>80.017825486464005</v>
      </c>
      <c r="N274" s="8">
        <v>2.8296296296296295E-2</v>
      </c>
      <c r="O274" s="3">
        <v>35.1</v>
      </c>
      <c r="P274" s="5">
        <v>333.22860103312883</v>
      </c>
      <c r="Q274" s="3">
        <v>0.28000000000000003</v>
      </c>
      <c r="R274" s="12">
        <f t="shared" si="4"/>
        <v>1.6661430051656441E-3</v>
      </c>
      <c r="V274" s="3"/>
      <c r="W274" s="3"/>
    </row>
    <row r="275" spans="1:23" x14ac:dyDescent="0.3">
      <c r="A275" t="s">
        <v>66</v>
      </c>
      <c r="B275" s="1">
        <v>15.9</v>
      </c>
      <c r="C275" s="5">
        <v>392</v>
      </c>
      <c r="D275" s="1">
        <v>2</v>
      </c>
      <c r="E275" s="4">
        <v>46</v>
      </c>
      <c r="F275" s="3">
        <v>3.3538794827423906</v>
      </c>
      <c r="G275" s="1">
        <v>30</v>
      </c>
      <c r="H275" s="1">
        <v>38</v>
      </c>
      <c r="I275" s="1">
        <v>150</v>
      </c>
      <c r="J275" s="1">
        <v>250</v>
      </c>
      <c r="K275" s="1">
        <v>397.2</v>
      </c>
      <c r="L275" s="1">
        <v>17625</v>
      </c>
      <c r="M275" s="5">
        <v>67.684138613099122</v>
      </c>
      <c r="N275" s="8">
        <v>2.2536170212765955E-2</v>
      </c>
      <c r="O275" s="3">
        <v>27.5</v>
      </c>
      <c r="P275" s="5">
        <v>365.47269151625068</v>
      </c>
      <c r="Q275" s="3">
        <v>0.2</v>
      </c>
      <c r="R275" s="12">
        <f t="shared" si="4"/>
        <v>1.8273634575812533E-3</v>
      </c>
      <c r="V275" s="3"/>
      <c r="W275" s="3"/>
    </row>
    <row r="276" spans="1:23" x14ac:dyDescent="0.3">
      <c r="B276" s="1">
        <v>15.9</v>
      </c>
      <c r="C276" s="5">
        <v>392</v>
      </c>
      <c r="D276" s="1">
        <v>2</v>
      </c>
      <c r="E276" s="4">
        <v>46</v>
      </c>
      <c r="F276" s="3">
        <v>3.3538794827423906</v>
      </c>
      <c r="G276" s="1">
        <v>30</v>
      </c>
      <c r="H276" s="1">
        <v>38</v>
      </c>
      <c r="I276" s="1">
        <v>150</v>
      </c>
      <c r="J276" s="1">
        <v>250</v>
      </c>
      <c r="K276" s="1">
        <v>397.2</v>
      </c>
      <c r="L276" s="1">
        <v>17625</v>
      </c>
      <c r="M276" s="5">
        <v>67.684138613099122</v>
      </c>
      <c r="N276" s="8">
        <v>2.2536170212765955E-2</v>
      </c>
      <c r="O276" s="3">
        <v>31.4</v>
      </c>
      <c r="P276" s="5">
        <v>392.3</v>
      </c>
      <c r="Q276" s="3">
        <v>0.22</v>
      </c>
      <c r="R276" s="12">
        <f t="shared" si="4"/>
        <v>1.9615000000000001E-3</v>
      </c>
      <c r="V276" s="3"/>
      <c r="W276" s="3"/>
    </row>
    <row r="277" spans="1:23" x14ac:dyDescent="0.3">
      <c r="A277" t="s">
        <v>67</v>
      </c>
      <c r="B277" s="1">
        <v>15.9</v>
      </c>
      <c r="C277" s="5">
        <v>392</v>
      </c>
      <c r="D277" s="1">
        <v>2</v>
      </c>
      <c r="E277" s="4">
        <v>46</v>
      </c>
      <c r="F277" s="3">
        <v>3.3538794827423906</v>
      </c>
      <c r="G277" s="1">
        <v>30</v>
      </c>
      <c r="H277" s="1">
        <v>38</v>
      </c>
      <c r="I277" s="1">
        <v>150</v>
      </c>
      <c r="J277" s="1">
        <v>250</v>
      </c>
      <c r="K277" s="1">
        <v>397.2</v>
      </c>
      <c r="L277" s="1">
        <v>17625</v>
      </c>
      <c r="M277" s="5">
        <v>67.684138613099122</v>
      </c>
      <c r="N277" s="8">
        <v>2.2536170212765955E-2</v>
      </c>
      <c r="O277" s="3">
        <v>27.5</v>
      </c>
      <c r="P277" s="5">
        <v>365.47269151625068</v>
      </c>
      <c r="Q277" s="3">
        <v>0.17</v>
      </c>
      <c r="R277" s="12">
        <f t="shared" si="4"/>
        <v>1.8273634575812533E-3</v>
      </c>
      <c r="V277" s="3"/>
      <c r="W277" s="3"/>
    </row>
    <row r="278" spans="1:23" x14ac:dyDescent="0.3">
      <c r="B278" s="1">
        <v>15.9</v>
      </c>
      <c r="C278" s="5">
        <v>392</v>
      </c>
      <c r="D278" s="1">
        <v>2</v>
      </c>
      <c r="E278" s="4">
        <v>46</v>
      </c>
      <c r="F278" s="3">
        <v>3.3538794827423906</v>
      </c>
      <c r="G278" s="1">
        <v>30</v>
      </c>
      <c r="H278" s="1">
        <v>38</v>
      </c>
      <c r="I278" s="1">
        <v>150</v>
      </c>
      <c r="J278" s="1">
        <v>250</v>
      </c>
      <c r="K278" s="1">
        <v>397.2</v>
      </c>
      <c r="L278" s="1">
        <v>17625</v>
      </c>
      <c r="M278" s="5">
        <v>67.684138613099122</v>
      </c>
      <c r="N278" s="8">
        <v>2.2536170212765955E-2</v>
      </c>
      <c r="O278" s="3">
        <v>31.4</v>
      </c>
      <c r="P278" s="5">
        <v>392.3</v>
      </c>
      <c r="Q278" s="3">
        <v>0.21</v>
      </c>
      <c r="R278" s="12">
        <f t="shared" si="4"/>
        <v>1.9615000000000001E-3</v>
      </c>
      <c r="V278" s="3"/>
      <c r="W278" s="3"/>
    </row>
    <row r="279" spans="1:23" x14ac:dyDescent="0.3">
      <c r="A279" t="s">
        <v>68</v>
      </c>
      <c r="B279" s="1">
        <v>19.100000000000001</v>
      </c>
      <c r="C279" s="5">
        <v>392</v>
      </c>
      <c r="D279" s="1">
        <v>2</v>
      </c>
      <c r="E279" s="4">
        <v>40</v>
      </c>
      <c r="F279" s="3">
        <v>3.3538794827423906</v>
      </c>
      <c r="G279" s="1">
        <v>30</v>
      </c>
      <c r="H279" s="1">
        <v>39.5</v>
      </c>
      <c r="I279" s="1">
        <v>150</v>
      </c>
      <c r="J279" s="1">
        <v>250</v>
      </c>
      <c r="K279" s="1">
        <v>573</v>
      </c>
      <c r="L279" s="1">
        <v>20250</v>
      </c>
      <c r="M279" s="5">
        <v>77.918977712586056</v>
      </c>
      <c r="N279" s="8">
        <v>2.8296296296296295E-2</v>
      </c>
      <c r="O279" s="3">
        <v>23.4</v>
      </c>
      <c r="P279" s="5">
        <v>221.31013180149799</v>
      </c>
      <c r="Q279" s="3">
        <v>0.17</v>
      </c>
      <c r="R279" s="12">
        <f t="shared" si="4"/>
        <v>1.1065506590074898E-3</v>
      </c>
      <c r="V279" s="3"/>
      <c r="W279" s="3"/>
    </row>
    <row r="280" spans="1:23" x14ac:dyDescent="0.3">
      <c r="B280" s="1">
        <v>19.100000000000001</v>
      </c>
      <c r="C280" s="5">
        <v>392</v>
      </c>
      <c r="D280" s="1">
        <v>2</v>
      </c>
      <c r="E280" s="4">
        <v>40</v>
      </c>
      <c r="F280" s="3">
        <v>3.3538794827423906</v>
      </c>
      <c r="G280" s="1">
        <v>30</v>
      </c>
      <c r="H280" s="1">
        <v>39.5</v>
      </c>
      <c r="I280" s="1">
        <v>150</v>
      </c>
      <c r="J280" s="1">
        <v>250</v>
      </c>
      <c r="K280" s="1">
        <v>573</v>
      </c>
      <c r="L280" s="1">
        <v>20250</v>
      </c>
      <c r="M280" s="5">
        <v>77.918977712586056</v>
      </c>
      <c r="N280" s="8">
        <v>2.8296296296296295E-2</v>
      </c>
      <c r="O280" s="3">
        <v>27.4</v>
      </c>
      <c r="P280" s="5">
        <v>259.14092356243782</v>
      </c>
      <c r="Q280" s="3">
        <v>0.18</v>
      </c>
      <c r="R280" s="12">
        <f t="shared" si="4"/>
        <v>1.2957046178121892E-3</v>
      </c>
      <c r="V280" s="3"/>
      <c r="W280" s="3"/>
    </row>
    <row r="281" spans="1:23" x14ac:dyDescent="0.3">
      <c r="B281" s="1">
        <v>19.100000000000001</v>
      </c>
      <c r="C281" s="5">
        <v>392</v>
      </c>
      <c r="D281" s="1">
        <v>2</v>
      </c>
      <c r="E281" s="4">
        <v>40</v>
      </c>
      <c r="F281" s="3">
        <v>3.3538794827423906</v>
      </c>
      <c r="G281" s="1">
        <v>30</v>
      </c>
      <c r="H281" s="1">
        <v>39.5</v>
      </c>
      <c r="I281" s="1">
        <v>150</v>
      </c>
      <c r="J281" s="1">
        <v>250</v>
      </c>
      <c r="K281" s="1">
        <v>573</v>
      </c>
      <c r="L281" s="1">
        <v>20250</v>
      </c>
      <c r="M281" s="5">
        <v>77.918977712586056</v>
      </c>
      <c r="N281" s="8">
        <v>2.8296296296296295E-2</v>
      </c>
      <c r="O281" s="3">
        <v>31.3</v>
      </c>
      <c r="P281" s="5">
        <v>296.0259455293542</v>
      </c>
      <c r="Q281" s="3">
        <v>0.2</v>
      </c>
      <c r="R281" s="12">
        <f t="shared" si="4"/>
        <v>1.4801297276467709E-3</v>
      </c>
      <c r="V281" s="3"/>
      <c r="W281" s="3"/>
    </row>
    <row r="282" spans="1:23" x14ac:dyDescent="0.3">
      <c r="B282" s="1">
        <v>19.100000000000001</v>
      </c>
      <c r="C282" s="5">
        <v>392</v>
      </c>
      <c r="D282" s="1">
        <v>2</v>
      </c>
      <c r="E282" s="4">
        <v>40</v>
      </c>
      <c r="F282" s="3">
        <v>3.3538794827423906</v>
      </c>
      <c r="G282" s="1">
        <v>30</v>
      </c>
      <c r="H282" s="1">
        <v>39.5</v>
      </c>
      <c r="I282" s="1">
        <v>150</v>
      </c>
      <c r="J282" s="1">
        <v>250</v>
      </c>
      <c r="K282" s="1">
        <v>573</v>
      </c>
      <c r="L282" s="1">
        <v>20250</v>
      </c>
      <c r="M282" s="5">
        <v>77.918977712586056</v>
      </c>
      <c r="N282" s="8">
        <v>2.8296296296296295E-2</v>
      </c>
      <c r="O282" s="3">
        <v>35.299999999999997</v>
      </c>
      <c r="P282" s="5">
        <v>333.85673729029395</v>
      </c>
      <c r="Q282" s="3">
        <v>0.2</v>
      </c>
      <c r="R282" s="12">
        <f t="shared" si="4"/>
        <v>1.6692836864514698E-3</v>
      </c>
      <c r="V282" s="3"/>
      <c r="W282" s="3"/>
    </row>
    <row r="283" spans="1:23" x14ac:dyDescent="0.3">
      <c r="B283" s="1">
        <v>19.100000000000001</v>
      </c>
      <c r="C283" s="5">
        <v>392</v>
      </c>
      <c r="D283" s="1">
        <v>2</v>
      </c>
      <c r="E283" s="4">
        <v>40</v>
      </c>
      <c r="F283" s="3">
        <v>3.3538794827423906</v>
      </c>
      <c r="G283" s="1">
        <v>30</v>
      </c>
      <c r="H283" s="1">
        <v>39.5</v>
      </c>
      <c r="I283" s="1">
        <v>150</v>
      </c>
      <c r="J283" s="1">
        <v>250</v>
      </c>
      <c r="K283" s="1">
        <v>573</v>
      </c>
      <c r="L283" s="1">
        <v>20250</v>
      </c>
      <c r="M283" s="5">
        <v>77.918977712586056</v>
      </c>
      <c r="N283" s="8">
        <v>2.8296296296296295E-2</v>
      </c>
      <c r="O283" s="3">
        <v>39.1</v>
      </c>
      <c r="P283" s="5">
        <v>369.79598946318686</v>
      </c>
      <c r="Q283" s="3">
        <v>0.25</v>
      </c>
      <c r="R283" s="12">
        <f t="shared" si="4"/>
        <v>1.8489799473159342E-3</v>
      </c>
      <c r="V283" s="3"/>
      <c r="W283" s="3"/>
    </row>
    <row r="284" spans="1:23" x14ac:dyDescent="0.3">
      <c r="B284" s="1">
        <v>19.100000000000001</v>
      </c>
      <c r="C284" s="5">
        <v>392</v>
      </c>
      <c r="D284" s="1">
        <v>2</v>
      </c>
      <c r="E284" s="4">
        <v>40</v>
      </c>
      <c r="F284" s="3">
        <v>3.3538794827423906</v>
      </c>
      <c r="G284" s="1">
        <v>30</v>
      </c>
      <c r="H284" s="1">
        <v>39.5</v>
      </c>
      <c r="I284" s="1">
        <v>150</v>
      </c>
      <c r="J284" s="1">
        <v>250</v>
      </c>
      <c r="K284" s="1">
        <v>573</v>
      </c>
      <c r="L284" s="1">
        <v>20250</v>
      </c>
      <c r="M284" s="5">
        <v>77.918977712586056</v>
      </c>
      <c r="N284" s="8">
        <v>2.8296296296296295E-2</v>
      </c>
      <c r="O284" s="3">
        <v>43.1</v>
      </c>
      <c r="P284" s="5">
        <v>392.3</v>
      </c>
      <c r="Q284" s="3">
        <v>0.27</v>
      </c>
      <c r="R284" s="12">
        <f t="shared" si="4"/>
        <v>1.9615000000000001E-3</v>
      </c>
      <c r="V284" s="3"/>
      <c r="W284" s="3"/>
    </row>
    <row r="285" spans="1:23" x14ac:dyDescent="0.3">
      <c r="A285" t="s">
        <v>69</v>
      </c>
      <c r="B285" s="1">
        <v>19.100000000000001</v>
      </c>
      <c r="C285" s="5">
        <v>392</v>
      </c>
      <c r="D285" s="1">
        <v>2</v>
      </c>
      <c r="E285" s="4">
        <v>40</v>
      </c>
      <c r="F285" s="3">
        <v>3.3538794827423906</v>
      </c>
      <c r="G285" s="1">
        <v>30</v>
      </c>
      <c r="H285" s="1">
        <v>39.5</v>
      </c>
      <c r="I285" s="1">
        <v>150</v>
      </c>
      <c r="J285" s="1">
        <v>250</v>
      </c>
      <c r="K285" s="1">
        <v>573</v>
      </c>
      <c r="L285" s="1">
        <v>20250</v>
      </c>
      <c r="M285" s="5">
        <v>77.918977712586056</v>
      </c>
      <c r="N285" s="8">
        <v>2.8296296296296295E-2</v>
      </c>
      <c r="O285" s="3">
        <v>31.3</v>
      </c>
      <c r="P285" s="5">
        <v>296.0259455293542</v>
      </c>
      <c r="Q285" s="3">
        <v>0.18</v>
      </c>
      <c r="R285" s="12">
        <f t="shared" si="4"/>
        <v>1.4801297276467709E-3</v>
      </c>
      <c r="V285" s="3"/>
      <c r="W285" s="3"/>
    </row>
    <row r="286" spans="1:23" x14ac:dyDescent="0.3">
      <c r="B286" s="1">
        <v>19.100000000000001</v>
      </c>
      <c r="C286" s="5">
        <v>392</v>
      </c>
      <c r="D286" s="1">
        <v>2</v>
      </c>
      <c r="E286" s="4">
        <v>40</v>
      </c>
      <c r="F286" s="3">
        <v>3.3538794827423906</v>
      </c>
      <c r="G286" s="1">
        <v>30</v>
      </c>
      <c r="H286" s="1">
        <v>39.5</v>
      </c>
      <c r="I286" s="1">
        <v>150</v>
      </c>
      <c r="J286" s="1">
        <v>250</v>
      </c>
      <c r="K286" s="1">
        <v>573</v>
      </c>
      <c r="L286" s="1">
        <v>20250</v>
      </c>
      <c r="M286" s="5">
        <v>77.918977712586056</v>
      </c>
      <c r="N286" s="8">
        <v>2.8296296296296295E-2</v>
      </c>
      <c r="O286" s="3">
        <v>35.1</v>
      </c>
      <c r="P286" s="5">
        <v>331.965197702247</v>
      </c>
      <c r="Q286" s="3">
        <v>0.19</v>
      </c>
      <c r="R286" s="12">
        <f t="shared" si="4"/>
        <v>1.6598259885112351E-3</v>
      </c>
      <c r="V286" s="3"/>
      <c r="W286" s="3"/>
    </row>
    <row r="287" spans="1:23" x14ac:dyDescent="0.3">
      <c r="B287" s="1">
        <v>19.100000000000001</v>
      </c>
      <c r="C287" s="5">
        <v>392</v>
      </c>
      <c r="D287" s="1">
        <v>2</v>
      </c>
      <c r="E287" s="4">
        <v>40</v>
      </c>
      <c r="F287" s="3">
        <v>3.3538794827423906</v>
      </c>
      <c r="G287" s="1">
        <v>30</v>
      </c>
      <c r="H287" s="1">
        <v>39.5</v>
      </c>
      <c r="I287" s="1">
        <v>150</v>
      </c>
      <c r="J287" s="1">
        <v>250</v>
      </c>
      <c r="K287" s="1">
        <v>573</v>
      </c>
      <c r="L287" s="1">
        <v>20250</v>
      </c>
      <c r="M287" s="5">
        <v>77.918977712586056</v>
      </c>
      <c r="N287" s="8">
        <v>2.8296296296296295E-2</v>
      </c>
      <c r="O287" s="3">
        <v>39.1</v>
      </c>
      <c r="P287" s="5">
        <v>369.79598946318686</v>
      </c>
      <c r="Q287" s="3">
        <v>0.21</v>
      </c>
      <c r="R287" s="12">
        <f t="shared" si="4"/>
        <v>1.8489799473159342E-3</v>
      </c>
      <c r="V287" s="3"/>
      <c r="W287" s="3"/>
    </row>
    <row r="288" spans="1:23" x14ac:dyDescent="0.3">
      <c r="B288" s="1">
        <v>19.100000000000001</v>
      </c>
      <c r="C288" s="5">
        <v>392</v>
      </c>
      <c r="D288" s="1">
        <v>2</v>
      </c>
      <c r="E288" s="4">
        <v>40</v>
      </c>
      <c r="F288" s="3">
        <v>3.3538794827423906</v>
      </c>
      <c r="G288" s="1">
        <v>30</v>
      </c>
      <c r="H288" s="1">
        <v>39.5</v>
      </c>
      <c r="I288" s="1">
        <v>150</v>
      </c>
      <c r="J288" s="1">
        <v>250</v>
      </c>
      <c r="K288" s="1">
        <v>573</v>
      </c>
      <c r="L288" s="1">
        <v>20250</v>
      </c>
      <c r="M288" s="5">
        <v>77.918977712586056</v>
      </c>
      <c r="N288" s="8">
        <v>2.8296296296296295E-2</v>
      </c>
      <c r="O288" s="3">
        <v>43.1</v>
      </c>
      <c r="P288" s="5">
        <v>392.3</v>
      </c>
      <c r="Q288" s="3">
        <v>0.26</v>
      </c>
      <c r="R288" s="12">
        <f t="shared" si="4"/>
        <v>1.9615000000000001E-3</v>
      </c>
      <c r="V288" s="3"/>
      <c r="W288" s="3"/>
    </row>
    <row r="289" spans="1:23" x14ac:dyDescent="0.3">
      <c r="A289" t="s">
        <v>70</v>
      </c>
      <c r="B289" s="1">
        <v>19.100000000000001</v>
      </c>
      <c r="C289" s="5">
        <v>276</v>
      </c>
      <c r="D289" s="1">
        <v>2</v>
      </c>
      <c r="E289" s="4">
        <v>69.8</v>
      </c>
      <c r="F289" s="3">
        <v>2.900328825179082</v>
      </c>
      <c r="G289" s="1">
        <v>31.8</v>
      </c>
      <c r="H289" s="1">
        <v>41.4</v>
      </c>
      <c r="I289" s="1">
        <v>152.4</v>
      </c>
      <c r="J289" s="1">
        <v>381</v>
      </c>
      <c r="K289" s="1">
        <v>568</v>
      </c>
      <c r="L289" s="1">
        <v>20863.560000000001</v>
      </c>
      <c r="M289" s="5">
        <v>105.95189967799172</v>
      </c>
      <c r="N289" s="8">
        <v>2.7224500516690342E-2</v>
      </c>
      <c r="O289" s="3">
        <v>35.088900000000002</v>
      </c>
      <c r="P289" s="5">
        <v>203.02249313738358</v>
      </c>
      <c r="Q289" s="3">
        <v>0.17</v>
      </c>
      <c r="R289" s="12">
        <f t="shared" si="4"/>
        <v>1.0151124656869179E-3</v>
      </c>
      <c r="V289" s="3"/>
      <c r="W289" s="3"/>
    </row>
    <row r="290" spans="1:23" x14ac:dyDescent="0.3">
      <c r="B290" s="1">
        <v>19.100000000000001</v>
      </c>
      <c r="C290" s="5">
        <v>276</v>
      </c>
      <c r="D290" s="1">
        <v>2</v>
      </c>
      <c r="E290" s="4">
        <v>69.8</v>
      </c>
      <c r="F290" s="3">
        <v>2.900328825179082</v>
      </c>
      <c r="G290" s="1">
        <v>31.8</v>
      </c>
      <c r="H290" s="1">
        <v>41.4</v>
      </c>
      <c r="I290" s="1">
        <v>152.4</v>
      </c>
      <c r="J290" s="1">
        <v>381</v>
      </c>
      <c r="K290" s="1">
        <v>568</v>
      </c>
      <c r="L290" s="1">
        <v>20863.560000000001</v>
      </c>
      <c r="M290" s="5">
        <v>105.95189967799172</v>
      </c>
      <c r="N290" s="8">
        <v>2.7224500516690342E-2</v>
      </c>
      <c r="O290" s="3">
        <v>42.257600000000004</v>
      </c>
      <c r="P290" s="5">
        <v>244.50020678910712</v>
      </c>
      <c r="Q290" s="3">
        <v>0.23</v>
      </c>
      <c r="R290" s="12">
        <f t="shared" si="4"/>
        <v>1.2225010339455356E-3</v>
      </c>
      <c r="V290" s="3"/>
      <c r="W290" s="3"/>
    </row>
    <row r="291" spans="1:23" x14ac:dyDescent="0.3">
      <c r="B291" s="1">
        <v>19.100000000000001</v>
      </c>
      <c r="C291" s="5">
        <v>276</v>
      </c>
      <c r="D291" s="1">
        <v>2</v>
      </c>
      <c r="E291" s="4">
        <v>69.8</v>
      </c>
      <c r="F291" s="3">
        <v>2.900328825179082</v>
      </c>
      <c r="G291" s="1">
        <v>31.8</v>
      </c>
      <c r="H291" s="1">
        <v>41.4</v>
      </c>
      <c r="I291" s="1">
        <v>152.4</v>
      </c>
      <c r="J291" s="1">
        <v>381</v>
      </c>
      <c r="K291" s="1">
        <v>568</v>
      </c>
      <c r="L291" s="1">
        <v>20863.560000000001</v>
      </c>
      <c r="M291" s="5">
        <v>105.95189967799172</v>
      </c>
      <c r="N291" s="8">
        <v>2.7224500516690342E-2</v>
      </c>
      <c r="O291" s="3">
        <v>48.808900000000008</v>
      </c>
      <c r="P291" s="5">
        <v>275.8</v>
      </c>
      <c r="Q291" s="3">
        <v>0.27</v>
      </c>
      <c r="R291" s="12">
        <f t="shared" si="4"/>
        <v>1.379E-3</v>
      </c>
      <c r="V291" s="3"/>
      <c r="W291" s="3"/>
    </row>
    <row r="292" spans="1:23" x14ac:dyDescent="0.3">
      <c r="A292" t="s">
        <v>71</v>
      </c>
      <c r="B292" s="1">
        <v>19.100000000000001</v>
      </c>
      <c r="C292" s="5">
        <v>276</v>
      </c>
      <c r="D292" s="1">
        <v>2</v>
      </c>
      <c r="E292" s="4">
        <v>69.8</v>
      </c>
      <c r="F292" s="3">
        <v>2.8466918957142089</v>
      </c>
      <c r="G292" s="1">
        <v>31.8</v>
      </c>
      <c r="H292" s="1">
        <v>41.4</v>
      </c>
      <c r="I292" s="1">
        <v>152.4</v>
      </c>
      <c r="J292" s="1">
        <v>381</v>
      </c>
      <c r="K292" s="1">
        <v>568</v>
      </c>
      <c r="L292" s="1">
        <v>20863.560000000001</v>
      </c>
      <c r="M292" s="5">
        <v>106.35551323610362</v>
      </c>
      <c r="N292" s="8">
        <v>2.7224500516690342E-2</v>
      </c>
      <c r="O292" s="3">
        <v>48.808900000000008</v>
      </c>
      <c r="P292" s="5">
        <v>275.8</v>
      </c>
      <c r="Q292" s="3">
        <v>0.16</v>
      </c>
      <c r="R292" s="12">
        <f t="shared" si="4"/>
        <v>1.379E-3</v>
      </c>
      <c r="V292" s="3"/>
      <c r="W292" s="3"/>
    </row>
    <row r="293" spans="1:23" x14ac:dyDescent="0.3">
      <c r="A293" t="s">
        <v>72</v>
      </c>
      <c r="B293" s="1">
        <v>19.100000000000001</v>
      </c>
      <c r="C293" s="5">
        <v>276</v>
      </c>
      <c r="D293" s="1">
        <v>2</v>
      </c>
      <c r="E293" s="4">
        <v>69.8</v>
      </c>
      <c r="F293" s="3">
        <v>2.711321473488328</v>
      </c>
      <c r="G293" s="1">
        <v>38.200000000000003</v>
      </c>
      <c r="H293" s="1">
        <v>47.7</v>
      </c>
      <c r="I293" s="1">
        <v>152.4</v>
      </c>
      <c r="J293" s="1">
        <v>381</v>
      </c>
      <c r="K293" s="1">
        <v>568</v>
      </c>
      <c r="L293" s="1">
        <v>21823.68</v>
      </c>
      <c r="M293" s="5">
        <v>106.22541601162594</v>
      </c>
      <c r="N293" s="8">
        <v>2.6026774586137627E-2</v>
      </c>
      <c r="O293" s="3">
        <v>42.257600000000004</v>
      </c>
      <c r="P293" s="5">
        <v>249.74588434606099</v>
      </c>
      <c r="Q293" s="3">
        <v>0.16</v>
      </c>
      <c r="R293" s="12">
        <f t="shared" si="4"/>
        <v>1.248729421730305E-3</v>
      </c>
      <c r="V293" s="3"/>
      <c r="W293" s="3"/>
    </row>
    <row r="294" spans="1:23" x14ac:dyDescent="0.3">
      <c r="B294" s="1">
        <v>19.100000000000001</v>
      </c>
      <c r="C294" s="5">
        <v>276</v>
      </c>
      <c r="D294" s="1">
        <v>2</v>
      </c>
      <c r="E294" s="4">
        <v>69.8</v>
      </c>
      <c r="F294" s="3">
        <v>2.711321473488328</v>
      </c>
      <c r="G294" s="1">
        <v>38.200000000000003</v>
      </c>
      <c r="H294" s="1">
        <v>47.7</v>
      </c>
      <c r="I294" s="1">
        <v>152.4</v>
      </c>
      <c r="J294" s="1">
        <v>381</v>
      </c>
      <c r="K294" s="1">
        <v>568</v>
      </c>
      <c r="L294" s="1">
        <v>21823.68</v>
      </c>
      <c r="M294" s="5">
        <v>106.22541601162594</v>
      </c>
      <c r="N294" s="8">
        <v>2.6026774586137627E-2</v>
      </c>
      <c r="O294" s="3">
        <v>48.808900000000008</v>
      </c>
      <c r="P294" s="5">
        <v>275.8</v>
      </c>
      <c r="Q294" s="3">
        <v>0.2</v>
      </c>
      <c r="R294" s="12">
        <f t="shared" si="4"/>
        <v>1.379E-3</v>
      </c>
      <c r="V294" s="3"/>
      <c r="W294" s="3"/>
    </row>
    <row r="295" spans="1:23" x14ac:dyDescent="0.3">
      <c r="A295" t="s">
        <v>73</v>
      </c>
      <c r="B295" s="1">
        <v>22.2</v>
      </c>
      <c r="C295" s="5">
        <v>276</v>
      </c>
      <c r="D295" s="1">
        <v>2</v>
      </c>
      <c r="E295" s="4">
        <v>63.6</v>
      </c>
      <c r="F295" s="3">
        <v>2.6879866270061714</v>
      </c>
      <c r="G295" s="1">
        <v>12.8</v>
      </c>
      <c r="H295" s="1">
        <v>23.9</v>
      </c>
      <c r="I295" s="1">
        <v>152.4</v>
      </c>
      <c r="J295" s="1">
        <v>381</v>
      </c>
      <c r="K295" s="1">
        <v>774</v>
      </c>
      <c r="L295" s="1">
        <v>12748.259999999998</v>
      </c>
      <c r="M295" s="5">
        <v>125.50102741476127</v>
      </c>
      <c r="N295" s="8">
        <v>6.0714168051169345E-2</v>
      </c>
      <c r="O295" s="3">
        <v>66.199000000000012</v>
      </c>
      <c r="P295" s="5">
        <v>271.28943756037444</v>
      </c>
      <c r="Q295" s="3">
        <v>0.17</v>
      </c>
      <c r="R295" s="12">
        <f t="shared" si="4"/>
        <v>1.3564471878018721E-3</v>
      </c>
      <c r="V295" s="3"/>
      <c r="W295" s="3"/>
    </row>
    <row r="296" spans="1:23" x14ac:dyDescent="0.3">
      <c r="A296" t="s">
        <v>74</v>
      </c>
      <c r="B296" s="1">
        <v>22.2</v>
      </c>
      <c r="C296" s="5">
        <v>276</v>
      </c>
      <c r="D296" s="1">
        <v>2</v>
      </c>
      <c r="E296" s="4">
        <v>63.6</v>
      </c>
      <c r="F296" s="3">
        <v>2.3846015710371389</v>
      </c>
      <c r="G296" s="1">
        <v>38</v>
      </c>
      <c r="H296" s="1">
        <v>49.1</v>
      </c>
      <c r="I296" s="1">
        <v>152.4</v>
      </c>
      <c r="J296" s="1">
        <v>381</v>
      </c>
      <c r="K296" s="1">
        <v>774</v>
      </c>
      <c r="L296" s="1">
        <v>24399.24</v>
      </c>
      <c r="M296" s="5">
        <v>122.85693329470558</v>
      </c>
      <c r="N296" s="8">
        <v>3.1722299547035072E-2</v>
      </c>
      <c r="O296" s="3">
        <v>43.938299999999998</v>
      </c>
      <c r="P296" s="5">
        <v>195.11352598003063</v>
      </c>
      <c r="Q296" s="3">
        <v>0.15</v>
      </c>
      <c r="R296" s="12">
        <f t="shared" si="4"/>
        <v>9.7556762990015319E-4</v>
      </c>
      <c r="V296" s="3"/>
      <c r="W296" s="3"/>
    </row>
    <row r="297" spans="1:23" x14ac:dyDescent="0.3">
      <c r="B297" s="1">
        <v>22.2</v>
      </c>
      <c r="C297" s="5">
        <v>276</v>
      </c>
      <c r="D297" s="1">
        <v>2</v>
      </c>
      <c r="E297" s="4">
        <v>63.6</v>
      </c>
      <c r="F297" s="3">
        <v>2.3846015710371389</v>
      </c>
      <c r="G297" s="1">
        <v>38</v>
      </c>
      <c r="H297" s="1">
        <v>49.1</v>
      </c>
      <c r="I297" s="1">
        <v>152.4</v>
      </c>
      <c r="J297" s="1">
        <v>381</v>
      </c>
      <c r="K297" s="1">
        <v>774</v>
      </c>
      <c r="L297" s="1">
        <v>24399.24</v>
      </c>
      <c r="M297" s="5">
        <v>122.85693329470558</v>
      </c>
      <c r="N297" s="8">
        <v>3.1722299547035072E-2</v>
      </c>
      <c r="O297" s="3">
        <v>51.107000000000006</v>
      </c>
      <c r="P297" s="5">
        <v>226.947036463892</v>
      </c>
      <c r="Q297" s="3">
        <v>0.19</v>
      </c>
      <c r="R297" s="12">
        <f t="shared" si="4"/>
        <v>1.1347351823194601E-3</v>
      </c>
      <c r="V297" s="3"/>
      <c r="W297" s="3"/>
    </row>
    <row r="298" spans="1:23" x14ac:dyDescent="0.3">
      <c r="B298" s="1">
        <v>22.2</v>
      </c>
      <c r="C298" s="5">
        <v>276</v>
      </c>
      <c r="D298" s="1">
        <v>2</v>
      </c>
      <c r="E298" s="4">
        <v>63.6</v>
      </c>
      <c r="F298" s="3">
        <v>2.3846015710371389</v>
      </c>
      <c r="G298" s="1">
        <v>38</v>
      </c>
      <c r="H298" s="1">
        <v>49.1</v>
      </c>
      <c r="I298" s="1">
        <v>152.4</v>
      </c>
      <c r="J298" s="1">
        <v>381</v>
      </c>
      <c r="K298" s="1">
        <v>774</v>
      </c>
      <c r="L298" s="1">
        <v>24399.24</v>
      </c>
      <c r="M298" s="5">
        <v>122.85693329470558</v>
      </c>
      <c r="N298" s="8">
        <v>3.1722299547035072E-2</v>
      </c>
      <c r="O298" s="3">
        <v>58.755900000000011</v>
      </c>
      <c r="P298" s="5">
        <v>260.91293520983021</v>
      </c>
      <c r="Q298" s="3">
        <v>0.22</v>
      </c>
      <c r="R298" s="12">
        <f t="shared" si="4"/>
        <v>1.3045646760491511E-3</v>
      </c>
      <c r="V298" s="3"/>
      <c r="W298" s="3"/>
    </row>
    <row r="299" spans="1:23" x14ac:dyDescent="0.3">
      <c r="B299" s="1">
        <v>22.2</v>
      </c>
      <c r="C299" s="5">
        <v>276</v>
      </c>
      <c r="D299" s="1">
        <v>2</v>
      </c>
      <c r="E299" s="4">
        <v>63.6</v>
      </c>
      <c r="F299" s="3">
        <v>2.3846015710371389</v>
      </c>
      <c r="G299" s="1">
        <v>38</v>
      </c>
      <c r="H299" s="1">
        <v>49.1</v>
      </c>
      <c r="I299" s="1">
        <v>152.4</v>
      </c>
      <c r="J299" s="1">
        <v>381</v>
      </c>
      <c r="K299" s="1">
        <v>774</v>
      </c>
      <c r="L299" s="1">
        <v>24399.24</v>
      </c>
      <c r="M299" s="5">
        <v>122.85693329470558</v>
      </c>
      <c r="N299" s="8">
        <v>3.1722299547035072E-2</v>
      </c>
      <c r="O299" s="3">
        <v>66.199000000000012</v>
      </c>
      <c r="P299" s="5">
        <v>275.8</v>
      </c>
      <c r="Q299" s="3">
        <v>0.27</v>
      </c>
      <c r="R299" s="12">
        <f t="shared" si="4"/>
        <v>1.379E-3</v>
      </c>
      <c r="V299" s="3"/>
      <c r="W299" s="3"/>
    </row>
    <row r="300" spans="1:23" x14ac:dyDescent="0.3">
      <c r="A300" t="s">
        <v>75</v>
      </c>
      <c r="B300" s="1">
        <v>22.2</v>
      </c>
      <c r="C300" s="5">
        <v>276</v>
      </c>
      <c r="D300" s="1">
        <v>2</v>
      </c>
      <c r="E300" s="4">
        <v>63.6</v>
      </c>
      <c r="F300" s="3">
        <v>2.8648423476200775</v>
      </c>
      <c r="G300" s="1">
        <v>38</v>
      </c>
      <c r="H300" s="1">
        <v>49.1</v>
      </c>
      <c r="I300" s="1">
        <v>152.4</v>
      </c>
      <c r="J300" s="1">
        <v>381</v>
      </c>
      <c r="K300" s="1">
        <v>774</v>
      </c>
      <c r="L300" s="1">
        <v>24399.24</v>
      </c>
      <c r="M300" s="5">
        <v>118.55113780231501</v>
      </c>
      <c r="N300" s="8">
        <v>3.1722299547035072E-2</v>
      </c>
      <c r="O300" s="3">
        <v>58.755900000000011</v>
      </c>
      <c r="P300" s="5">
        <v>259.63215176616467</v>
      </c>
      <c r="Q300" s="3">
        <v>0.17</v>
      </c>
      <c r="R300" s="12">
        <f t="shared" si="4"/>
        <v>1.2981607588308233E-3</v>
      </c>
      <c r="V300" s="3"/>
      <c r="W300" s="3"/>
    </row>
    <row r="301" spans="1:23" x14ac:dyDescent="0.3">
      <c r="B301" s="1">
        <v>22.2</v>
      </c>
      <c r="C301" s="5">
        <v>276</v>
      </c>
      <c r="D301" s="1">
        <v>2</v>
      </c>
      <c r="E301" s="4">
        <v>63.6</v>
      </c>
      <c r="F301" s="3">
        <v>2.8648423476200775</v>
      </c>
      <c r="G301" s="1">
        <v>38</v>
      </c>
      <c r="H301" s="1">
        <v>49.1</v>
      </c>
      <c r="I301" s="1">
        <v>152.4</v>
      </c>
      <c r="J301" s="1">
        <v>381</v>
      </c>
      <c r="K301" s="1">
        <v>774</v>
      </c>
      <c r="L301" s="1">
        <v>24399.24</v>
      </c>
      <c r="M301" s="5">
        <v>118.55113780231501</v>
      </c>
      <c r="N301" s="8">
        <v>3.1722299547035072E-2</v>
      </c>
      <c r="O301" s="3">
        <v>66.199000000000012</v>
      </c>
      <c r="P301" s="5">
        <v>275.8</v>
      </c>
      <c r="Q301" s="3">
        <v>0.2</v>
      </c>
      <c r="R301" s="12">
        <f t="shared" si="4"/>
        <v>1.379E-3</v>
      </c>
      <c r="V301" s="3"/>
      <c r="W301" s="3"/>
    </row>
    <row r="302" spans="1:23" x14ac:dyDescent="0.3">
      <c r="A302" t="s">
        <v>76</v>
      </c>
      <c r="B302" s="1">
        <v>22.2</v>
      </c>
      <c r="C302" s="5">
        <v>276</v>
      </c>
      <c r="D302" s="1">
        <v>2</v>
      </c>
      <c r="E302" s="4">
        <v>63.6</v>
      </c>
      <c r="F302" s="3">
        <v>2.8336917902498859</v>
      </c>
      <c r="G302" s="1">
        <v>38</v>
      </c>
      <c r="H302" s="1">
        <v>49.1</v>
      </c>
      <c r="I302" s="1">
        <v>152.4</v>
      </c>
      <c r="J302" s="1">
        <v>381</v>
      </c>
      <c r="K302" s="1">
        <v>774</v>
      </c>
      <c r="L302" s="1">
        <v>24399.24</v>
      </c>
      <c r="M302" s="5">
        <v>118.80489327201617</v>
      </c>
      <c r="N302" s="8">
        <v>3.1722299547035072E-2</v>
      </c>
      <c r="O302" s="3">
        <v>43.938299999999998</v>
      </c>
      <c r="P302" s="5">
        <v>194.21192690601001</v>
      </c>
      <c r="Q302" s="3">
        <v>0.15</v>
      </c>
      <c r="R302" s="12">
        <f t="shared" si="4"/>
        <v>9.7105963453005006E-4</v>
      </c>
      <c r="V302" s="3"/>
      <c r="W302" s="3"/>
    </row>
    <row r="303" spans="1:23" x14ac:dyDescent="0.3">
      <c r="B303" s="1">
        <v>22.2</v>
      </c>
      <c r="C303" s="5">
        <v>276</v>
      </c>
      <c r="D303" s="1">
        <v>2</v>
      </c>
      <c r="E303" s="4">
        <v>63.6</v>
      </c>
      <c r="F303" s="3">
        <v>2.8336917902498859</v>
      </c>
      <c r="G303" s="1">
        <v>38</v>
      </c>
      <c r="H303" s="1">
        <v>49.1</v>
      </c>
      <c r="I303" s="1">
        <v>152.4</v>
      </c>
      <c r="J303" s="1">
        <v>381</v>
      </c>
      <c r="K303" s="1">
        <v>774</v>
      </c>
      <c r="L303" s="1">
        <v>24399.24</v>
      </c>
      <c r="M303" s="5">
        <v>118.80489327201617</v>
      </c>
      <c r="N303" s="8">
        <v>3.1722299547035072E-2</v>
      </c>
      <c r="O303" s="3">
        <v>51.107000000000006</v>
      </c>
      <c r="P303" s="5">
        <v>225.89833808739655</v>
      </c>
      <c r="Q303" s="3">
        <v>0.18</v>
      </c>
      <c r="R303" s="12">
        <f t="shared" si="4"/>
        <v>1.1294916904369828E-3</v>
      </c>
      <c r="V303" s="3"/>
      <c r="W303" s="3"/>
    </row>
    <row r="304" spans="1:23" x14ac:dyDescent="0.3">
      <c r="B304" s="1">
        <v>22.2</v>
      </c>
      <c r="C304" s="5">
        <v>276</v>
      </c>
      <c r="D304" s="1">
        <v>2</v>
      </c>
      <c r="E304" s="4">
        <v>63.6</v>
      </c>
      <c r="F304" s="3">
        <v>2.8336917902498859</v>
      </c>
      <c r="G304" s="1">
        <v>38</v>
      </c>
      <c r="H304" s="1">
        <v>49.1</v>
      </c>
      <c r="I304" s="1">
        <v>152.4</v>
      </c>
      <c r="J304" s="1">
        <v>381</v>
      </c>
      <c r="K304" s="1">
        <v>774</v>
      </c>
      <c r="L304" s="1">
        <v>24399.24</v>
      </c>
      <c r="M304" s="5">
        <v>118.80489327201617</v>
      </c>
      <c r="N304" s="8">
        <v>3.1722299547035072E-2</v>
      </c>
      <c r="O304" s="3">
        <v>58.755900000000011</v>
      </c>
      <c r="P304" s="5">
        <v>259.70728398906732</v>
      </c>
      <c r="Q304" s="3">
        <v>0.22</v>
      </c>
      <c r="R304" s="12">
        <f t="shared" si="4"/>
        <v>1.2985364199453366E-3</v>
      </c>
      <c r="V304" s="3"/>
      <c r="W304" s="3"/>
    </row>
    <row r="305" spans="1:23" x14ac:dyDescent="0.3">
      <c r="B305" s="1">
        <v>22.2</v>
      </c>
      <c r="C305" s="5">
        <v>276</v>
      </c>
      <c r="D305" s="1">
        <v>2</v>
      </c>
      <c r="E305" s="4">
        <v>63.6</v>
      </c>
      <c r="F305" s="3">
        <v>2.8336917902498859</v>
      </c>
      <c r="G305" s="1">
        <v>38</v>
      </c>
      <c r="H305" s="1">
        <v>49.1</v>
      </c>
      <c r="I305" s="1">
        <v>152.4</v>
      </c>
      <c r="J305" s="1">
        <v>381</v>
      </c>
      <c r="K305" s="1">
        <v>774</v>
      </c>
      <c r="L305" s="1">
        <v>24399.24</v>
      </c>
      <c r="M305" s="5">
        <v>118.80489327201617</v>
      </c>
      <c r="N305" s="8">
        <v>3.1722299547035072E-2</v>
      </c>
      <c r="O305" s="3">
        <v>66.199000000000012</v>
      </c>
      <c r="P305" s="5">
        <v>275.8</v>
      </c>
      <c r="Q305" s="3">
        <v>0.25</v>
      </c>
      <c r="R305" s="12">
        <f t="shared" si="4"/>
        <v>1.379E-3</v>
      </c>
      <c r="V305" s="3"/>
      <c r="W305" s="3"/>
    </row>
    <row r="306" spans="1:23" x14ac:dyDescent="0.3">
      <c r="A306" t="s">
        <v>77</v>
      </c>
      <c r="B306" s="1">
        <v>22.2</v>
      </c>
      <c r="C306" s="5">
        <v>276</v>
      </c>
      <c r="D306" s="1">
        <v>2</v>
      </c>
      <c r="E306" s="4">
        <v>63.6</v>
      </c>
      <c r="F306" s="3">
        <v>2.7563734268389184</v>
      </c>
      <c r="G306" s="1">
        <v>38</v>
      </c>
      <c r="H306" s="1">
        <v>49.1</v>
      </c>
      <c r="I306" s="1">
        <v>152.4</v>
      </c>
      <c r="J306" s="1">
        <v>381</v>
      </c>
      <c r="K306" s="1">
        <v>774</v>
      </c>
      <c r="L306" s="1">
        <v>24399.24</v>
      </c>
      <c r="M306" s="5">
        <v>119.44859227094086</v>
      </c>
      <c r="N306" s="8">
        <v>3.1722299547035072E-2</v>
      </c>
      <c r="O306" s="3">
        <v>43.938299999999998</v>
      </c>
      <c r="P306" s="5">
        <v>194.35459603250266</v>
      </c>
      <c r="Q306" s="3">
        <v>0.2</v>
      </c>
      <c r="R306" s="12">
        <f t="shared" si="4"/>
        <v>9.7177298016251331E-4</v>
      </c>
      <c r="V306" s="3"/>
      <c r="W306" s="3"/>
    </row>
    <row r="307" spans="1:23" x14ac:dyDescent="0.3">
      <c r="B307" s="1">
        <v>22.2</v>
      </c>
      <c r="C307" s="5">
        <v>276</v>
      </c>
      <c r="D307" s="1">
        <v>2</v>
      </c>
      <c r="E307" s="4">
        <v>63.6</v>
      </c>
      <c r="F307" s="3">
        <v>2.7563734268389184</v>
      </c>
      <c r="G307" s="1">
        <v>38</v>
      </c>
      <c r="H307" s="1">
        <v>49.1</v>
      </c>
      <c r="I307" s="1">
        <v>152.4</v>
      </c>
      <c r="J307" s="1">
        <v>381</v>
      </c>
      <c r="K307" s="1">
        <v>774</v>
      </c>
      <c r="L307" s="1">
        <v>24399.24</v>
      </c>
      <c r="M307" s="5">
        <v>119.44859227094086</v>
      </c>
      <c r="N307" s="8">
        <v>3.1722299547035072E-2</v>
      </c>
      <c r="O307" s="3">
        <v>51.107000000000006</v>
      </c>
      <c r="P307" s="5">
        <v>226.06428422203666</v>
      </c>
      <c r="Q307" s="3">
        <v>0.25</v>
      </c>
      <c r="R307" s="12">
        <f t="shared" si="4"/>
        <v>1.1303214211101833E-3</v>
      </c>
      <c r="V307" s="3"/>
      <c r="W307" s="3"/>
    </row>
    <row r="308" spans="1:23" x14ac:dyDescent="0.3">
      <c r="B308" s="1">
        <v>22.2</v>
      </c>
      <c r="C308" s="5">
        <v>276</v>
      </c>
      <c r="D308" s="1">
        <v>2</v>
      </c>
      <c r="E308" s="4">
        <v>63.6</v>
      </c>
      <c r="F308" s="3">
        <v>2.7563734268389184</v>
      </c>
      <c r="G308" s="1">
        <v>38</v>
      </c>
      <c r="H308" s="1">
        <v>49.1</v>
      </c>
      <c r="I308" s="1">
        <v>152.4</v>
      </c>
      <c r="J308" s="1">
        <v>381</v>
      </c>
      <c r="K308" s="1">
        <v>774</v>
      </c>
      <c r="L308" s="1">
        <v>24399.24</v>
      </c>
      <c r="M308" s="5">
        <v>119.44859227094086</v>
      </c>
      <c r="N308" s="8">
        <v>3.1722299547035072E-2</v>
      </c>
      <c r="O308" s="3">
        <v>58.755900000000011</v>
      </c>
      <c r="P308" s="5">
        <v>259.8980663572811</v>
      </c>
      <c r="Q308" s="3">
        <v>0.3</v>
      </c>
      <c r="R308" s="12">
        <f t="shared" si="4"/>
        <v>1.2994903317864056E-3</v>
      </c>
      <c r="V308" s="3"/>
      <c r="W308" s="3"/>
    </row>
    <row r="309" spans="1:23" x14ac:dyDescent="0.3">
      <c r="B309" s="1">
        <v>22.2</v>
      </c>
      <c r="C309" s="5">
        <v>276</v>
      </c>
      <c r="D309" s="1">
        <v>2</v>
      </c>
      <c r="E309" s="4">
        <v>63.6</v>
      </c>
      <c r="F309" s="3">
        <v>2.7563734268389184</v>
      </c>
      <c r="G309" s="1">
        <v>38</v>
      </c>
      <c r="H309" s="1">
        <v>49.1</v>
      </c>
      <c r="I309" s="1">
        <v>152.4</v>
      </c>
      <c r="J309" s="1">
        <v>381</v>
      </c>
      <c r="K309" s="1">
        <v>774</v>
      </c>
      <c r="L309" s="1">
        <v>24399.24</v>
      </c>
      <c r="M309" s="5">
        <v>119.44859227094086</v>
      </c>
      <c r="N309" s="8">
        <v>3.1722299547035072E-2</v>
      </c>
      <c r="O309" s="3">
        <v>66.199000000000012</v>
      </c>
      <c r="P309" s="5">
        <v>275.8</v>
      </c>
      <c r="Q309" s="3">
        <v>0.35</v>
      </c>
      <c r="R309" s="12">
        <f t="shared" si="4"/>
        <v>1.379E-3</v>
      </c>
      <c r="V309" s="3"/>
      <c r="W309" s="3"/>
    </row>
    <row r="310" spans="1:23" x14ac:dyDescent="0.3">
      <c r="A310" t="s">
        <v>78</v>
      </c>
      <c r="B310" s="1">
        <v>28.7</v>
      </c>
      <c r="C310" s="5">
        <v>276</v>
      </c>
      <c r="D310" s="1">
        <v>2</v>
      </c>
      <c r="E310" s="4">
        <v>50.6</v>
      </c>
      <c r="F310" s="3">
        <v>2.7748174021560659</v>
      </c>
      <c r="G310" s="1">
        <v>22.2</v>
      </c>
      <c r="H310" s="1">
        <v>36.6</v>
      </c>
      <c r="I310" s="1">
        <v>152.4</v>
      </c>
      <c r="J310" s="1">
        <v>381</v>
      </c>
      <c r="K310" s="1">
        <v>1290</v>
      </c>
      <c r="L310" s="1">
        <v>19522.439999999999</v>
      </c>
      <c r="M310" s="5">
        <v>148.01498573118474</v>
      </c>
      <c r="N310" s="8">
        <v>6.6077805848039489E-2</v>
      </c>
      <c r="O310" s="3">
        <v>89.111400000000017</v>
      </c>
      <c r="P310" s="5">
        <v>234.11581828988642</v>
      </c>
      <c r="Q310" s="3">
        <v>0.17</v>
      </c>
      <c r="R310" s="12">
        <f t="shared" si="4"/>
        <v>1.1705790914494322E-3</v>
      </c>
      <c r="V310" s="3"/>
      <c r="W310" s="3"/>
    </row>
    <row r="311" spans="1:23" x14ac:dyDescent="0.3">
      <c r="B311" s="1">
        <v>28.7</v>
      </c>
      <c r="C311" s="5">
        <v>276</v>
      </c>
      <c r="D311" s="1">
        <v>2</v>
      </c>
      <c r="E311" s="4">
        <v>50.6</v>
      </c>
      <c r="F311" s="3">
        <v>2.7748174021560659</v>
      </c>
      <c r="G311" s="1">
        <v>22.2</v>
      </c>
      <c r="H311" s="1">
        <v>36.6</v>
      </c>
      <c r="I311" s="1">
        <v>152.4</v>
      </c>
      <c r="J311" s="1">
        <v>381</v>
      </c>
      <c r="K311" s="1">
        <v>1290</v>
      </c>
      <c r="L311" s="1">
        <v>19522.439999999999</v>
      </c>
      <c r="M311" s="5">
        <v>148.01498573118474</v>
      </c>
      <c r="N311" s="8">
        <v>6.6077805848039489E-2</v>
      </c>
      <c r="O311" s="3">
        <v>104.61500000000001</v>
      </c>
      <c r="P311" s="5">
        <v>274.84728475140628</v>
      </c>
      <c r="Q311" s="3">
        <v>0.2</v>
      </c>
      <c r="R311" s="12">
        <f t="shared" si="4"/>
        <v>1.3742364237570315E-3</v>
      </c>
      <c r="V311" s="3"/>
      <c r="W311" s="3"/>
    </row>
    <row r="312" spans="1:23" x14ac:dyDescent="0.3">
      <c r="A312" t="s">
        <v>79</v>
      </c>
      <c r="B312" s="1">
        <v>28.7</v>
      </c>
      <c r="C312" s="5">
        <v>276</v>
      </c>
      <c r="D312" s="1">
        <v>2</v>
      </c>
      <c r="E312" s="4">
        <v>50.6</v>
      </c>
      <c r="F312" s="3">
        <v>2.8017146470593879</v>
      </c>
      <c r="G312" s="1">
        <v>38.200000000000003</v>
      </c>
      <c r="H312" s="1">
        <v>52.5</v>
      </c>
      <c r="I312" s="1">
        <v>152.4</v>
      </c>
      <c r="J312" s="1">
        <v>381</v>
      </c>
      <c r="K312" s="1">
        <v>1290</v>
      </c>
      <c r="L312" s="1">
        <v>28003.5</v>
      </c>
      <c r="M312" s="5">
        <v>143.36625380284787</v>
      </c>
      <c r="N312" s="8">
        <v>4.6065670362633239E-2</v>
      </c>
      <c r="O312" s="3">
        <v>64.998500000000007</v>
      </c>
      <c r="P312" s="5">
        <v>179.49560032260422</v>
      </c>
      <c r="Q312" s="3">
        <v>0.17</v>
      </c>
      <c r="R312" s="12">
        <f t="shared" si="4"/>
        <v>8.9747800161302108E-4</v>
      </c>
      <c r="V312" s="3"/>
      <c r="W312" s="3"/>
    </row>
    <row r="313" spans="1:23" x14ac:dyDescent="0.3">
      <c r="B313" s="1">
        <v>28.7</v>
      </c>
      <c r="C313" s="5">
        <v>276</v>
      </c>
      <c r="D313" s="1">
        <v>2</v>
      </c>
      <c r="E313" s="4">
        <v>50.6</v>
      </c>
      <c r="F313" s="3">
        <v>2.8017146470593879</v>
      </c>
      <c r="G313" s="1">
        <v>38.200000000000003</v>
      </c>
      <c r="H313" s="1">
        <v>52.5</v>
      </c>
      <c r="I313" s="1">
        <v>152.4</v>
      </c>
      <c r="J313" s="1">
        <v>381</v>
      </c>
      <c r="K313" s="1">
        <v>1290</v>
      </c>
      <c r="L313" s="1">
        <v>28003.5</v>
      </c>
      <c r="M313" s="5">
        <v>143.36625380284787</v>
      </c>
      <c r="N313" s="8">
        <v>4.6065670362633239E-2</v>
      </c>
      <c r="O313" s="3">
        <v>77.037800000000004</v>
      </c>
      <c r="P313" s="5">
        <v>212.74254265148761</v>
      </c>
      <c r="Q313" s="3">
        <v>0.2</v>
      </c>
      <c r="R313" s="12">
        <f t="shared" si="4"/>
        <v>1.063712713257438E-3</v>
      </c>
      <c r="V313" s="3"/>
      <c r="W313" s="3"/>
    </row>
    <row r="314" spans="1:23" x14ac:dyDescent="0.3">
      <c r="B314" s="1">
        <v>28.7</v>
      </c>
      <c r="C314" s="5">
        <v>276</v>
      </c>
      <c r="D314" s="1">
        <v>2</v>
      </c>
      <c r="E314" s="4">
        <v>50.6</v>
      </c>
      <c r="F314" s="3">
        <v>2.8017146470593879</v>
      </c>
      <c r="G314" s="1">
        <v>38.200000000000003</v>
      </c>
      <c r="H314" s="1">
        <v>52.5</v>
      </c>
      <c r="I314" s="1">
        <v>152.4</v>
      </c>
      <c r="J314" s="1">
        <v>381</v>
      </c>
      <c r="K314" s="1">
        <v>1290</v>
      </c>
      <c r="L314" s="1">
        <v>28003.5</v>
      </c>
      <c r="M314" s="5">
        <v>143.36625380284787</v>
      </c>
      <c r="N314" s="8">
        <v>4.6065670362633239E-2</v>
      </c>
      <c r="O314" s="3">
        <v>88.802700000000002</v>
      </c>
      <c r="P314" s="5">
        <v>245.23171991304602</v>
      </c>
      <c r="Q314" s="3">
        <v>0.25</v>
      </c>
      <c r="R314" s="12">
        <f t="shared" si="4"/>
        <v>1.2261585995652301E-3</v>
      </c>
      <c r="V314" s="3"/>
      <c r="W314" s="3"/>
    </row>
    <row r="315" spans="1:23" x14ac:dyDescent="0.3">
      <c r="B315" s="1">
        <v>28.7</v>
      </c>
      <c r="C315" s="5">
        <v>276</v>
      </c>
      <c r="D315" s="1">
        <v>2</v>
      </c>
      <c r="E315" s="4">
        <v>50.6</v>
      </c>
      <c r="F315" s="3">
        <v>2.8017146470593879</v>
      </c>
      <c r="G315" s="1">
        <v>38.200000000000003</v>
      </c>
      <c r="H315" s="1">
        <v>52.5</v>
      </c>
      <c r="I315" s="1">
        <v>152.4</v>
      </c>
      <c r="J315" s="1">
        <v>381</v>
      </c>
      <c r="K315" s="1">
        <v>1290</v>
      </c>
      <c r="L315" s="1">
        <v>28003.5</v>
      </c>
      <c r="M315" s="5">
        <v>143.36625380284787</v>
      </c>
      <c r="N315" s="8">
        <v>4.6065670362633239E-2</v>
      </c>
      <c r="O315" s="3">
        <v>104.61500000000001</v>
      </c>
      <c r="P315" s="5">
        <v>275.8</v>
      </c>
      <c r="Q315" s="3">
        <v>0.28999999999999998</v>
      </c>
      <c r="R315" s="12">
        <f t="shared" si="4"/>
        <v>1.379E-3</v>
      </c>
      <c r="V315" s="3"/>
      <c r="W315" s="3"/>
    </row>
    <row r="316" spans="1:23" x14ac:dyDescent="0.3">
      <c r="A316" t="s">
        <v>80</v>
      </c>
      <c r="B316" s="1">
        <v>28.7</v>
      </c>
      <c r="C316" s="5">
        <v>276</v>
      </c>
      <c r="D316" s="1">
        <v>2</v>
      </c>
      <c r="E316" s="4">
        <v>50.6</v>
      </c>
      <c r="F316" s="3">
        <v>2.7153116457984496</v>
      </c>
      <c r="G316" s="1">
        <v>38.200000000000003</v>
      </c>
      <c r="H316" s="1">
        <v>52.5</v>
      </c>
      <c r="I316" s="1">
        <v>152.4</v>
      </c>
      <c r="J316" s="1">
        <v>381</v>
      </c>
      <c r="K316" s="1">
        <v>1290</v>
      </c>
      <c r="L316" s="1">
        <v>28003.5</v>
      </c>
      <c r="M316" s="5">
        <v>144.17675602863136</v>
      </c>
      <c r="N316" s="8">
        <v>4.6065670362633239E-2</v>
      </c>
      <c r="O316" s="3">
        <v>77.037800000000004</v>
      </c>
      <c r="P316" s="5">
        <v>212.94749158826474</v>
      </c>
      <c r="Q316" s="3">
        <v>0.17</v>
      </c>
      <c r="R316" s="12">
        <f t="shared" si="4"/>
        <v>1.0647374579413236E-3</v>
      </c>
      <c r="V316" s="3"/>
      <c r="W316" s="3"/>
    </row>
    <row r="317" spans="1:23" x14ac:dyDescent="0.3">
      <c r="A317" t="s">
        <v>81</v>
      </c>
      <c r="B317" s="1">
        <v>28.7</v>
      </c>
      <c r="C317" s="5">
        <v>276</v>
      </c>
      <c r="D317" s="1">
        <v>2</v>
      </c>
      <c r="E317" s="4">
        <v>50.6</v>
      </c>
      <c r="F317" s="3">
        <v>2.8017146470593879</v>
      </c>
      <c r="G317" s="1">
        <v>38.200000000000003</v>
      </c>
      <c r="H317" s="1">
        <v>52.5</v>
      </c>
      <c r="I317" s="1">
        <v>152.4</v>
      </c>
      <c r="J317" s="1">
        <v>381</v>
      </c>
      <c r="K317" s="1">
        <v>1290</v>
      </c>
      <c r="L317" s="1">
        <v>28003.5</v>
      </c>
      <c r="M317" s="5">
        <v>143.36625380284787</v>
      </c>
      <c r="N317" s="8">
        <v>4.6065670362633239E-2</v>
      </c>
      <c r="O317" s="3">
        <v>64.998500000000007</v>
      </c>
      <c r="P317" s="5">
        <v>179.49560032260422</v>
      </c>
      <c r="Q317" s="3">
        <v>0.15</v>
      </c>
      <c r="R317" s="12">
        <f t="shared" si="4"/>
        <v>8.9747800161302108E-4</v>
      </c>
      <c r="V317" s="3"/>
      <c r="W317" s="3"/>
    </row>
    <row r="318" spans="1:23" x14ac:dyDescent="0.3">
      <c r="B318" s="1">
        <v>28.7</v>
      </c>
      <c r="C318" s="5">
        <v>276</v>
      </c>
      <c r="D318" s="1">
        <v>2</v>
      </c>
      <c r="E318" s="4">
        <v>50.6</v>
      </c>
      <c r="F318" s="3">
        <v>2.8017146470593879</v>
      </c>
      <c r="G318" s="1">
        <v>38.200000000000003</v>
      </c>
      <c r="H318" s="1">
        <v>52.5</v>
      </c>
      <c r="I318" s="1">
        <v>152.4</v>
      </c>
      <c r="J318" s="1">
        <v>381</v>
      </c>
      <c r="K318" s="1">
        <v>1290</v>
      </c>
      <c r="L318" s="1">
        <v>28003.5</v>
      </c>
      <c r="M318" s="5">
        <v>143.36625380284787</v>
      </c>
      <c r="N318" s="8">
        <v>4.6065670362633239E-2</v>
      </c>
      <c r="O318" s="3">
        <v>77.037800000000004</v>
      </c>
      <c r="P318" s="5">
        <v>212.74254265148761</v>
      </c>
      <c r="Q318" s="3">
        <v>0.16</v>
      </c>
      <c r="R318" s="12">
        <f t="shared" si="4"/>
        <v>1.063712713257438E-3</v>
      </c>
      <c r="V318" s="3"/>
      <c r="W318" s="3"/>
    </row>
    <row r="319" spans="1:23" x14ac:dyDescent="0.3">
      <c r="B319" s="1">
        <v>28.7</v>
      </c>
      <c r="C319" s="5">
        <v>276</v>
      </c>
      <c r="D319" s="1">
        <v>2</v>
      </c>
      <c r="E319" s="4">
        <v>50.6</v>
      </c>
      <c r="F319" s="3">
        <v>2.8017146470593879</v>
      </c>
      <c r="G319" s="1">
        <v>38.200000000000003</v>
      </c>
      <c r="H319" s="1">
        <v>52.5</v>
      </c>
      <c r="I319" s="1">
        <v>152.4</v>
      </c>
      <c r="J319" s="1">
        <v>381</v>
      </c>
      <c r="K319" s="1">
        <v>1290</v>
      </c>
      <c r="L319" s="1">
        <v>28003.5</v>
      </c>
      <c r="M319" s="5">
        <v>143.36625380284787</v>
      </c>
      <c r="N319" s="8">
        <v>4.6065670362633239E-2</v>
      </c>
      <c r="O319" s="3">
        <v>88.802700000000002</v>
      </c>
      <c r="P319" s="5">
        <v>245.23171991304602</v>
      </c>
      <c r="Q319" s="3">
        <v>0.22</v>
      </c>
      <c r="R319" s="12">
        <f t="shared" si="4"/>
        <v>1.2261585995652301E-3</v>
      </c>
      <c r="V319" s="3"/>
      <c r="W319" s="3"/>
    </row>
    <row r="320" spans="1:23" x14ac:dyDescent="0.3">
      <c r="B320" s="1">
        <v>28.7</v>
      </c>
      <c r="C320" s="5">
        <v>276</v>
      </c>
      <c r="D320" s="1">
        <v>2</v>
      </c>
      <c r="E320" s="4">
        <v>50.6</v>
      </c>
      <c r="F320" s="3">
        <v>2.8017146470593879</v>
      </c>
      <c r="G320" s="1">
        <v>38.200000000000003</v>
      </c>
      <c r="H320" s="1">
        <v>52.5</v>
      </c>
      <c r="I320" s="1">
        <v>152.4</v>
      </c>
      <c r="J320" s="1">
        <v>381</v>
      </c>
      <c r="K320" s="1">
        <v>1290</v>
      </c>
      <c r="L320" s="1">
        <v>28003.5</v>
      </c>
      <c r="M320" s="5">
        <v>143.36625380284787</v>
      </c>
      <c r="N320" s="8">
        <v>4.6065670362633239E-2</v>
      </c>
      <c r="O320" s="3">
        <v>104.61500000000001</v>
      </c>
      <c r="P320" s="5">
        <v>275.8</v>
      </c>
      <c r="Q320" s="3">
        <v>0.26</v>
      </c>
      <c r="R320" s="12">
        <f t="shared" si="4"/>
        <v>1.379E-3</v>
      </c>
      <c r="V320" s="3"/>
      <c r="W320" s="3"/>
    </row>
    <row r="321" spans="1:23" x14ac:dyDescent="0.3">
      <c r="A321" t="s">
        <v>82</v>
      </c>
      <c r="B321" s="1">
        <v>28.7</v>
      </c>
      <c r="C321" s="5">
        <v>276</v>
      </c>
      <c r="D321" s="1">
        <v>2</v>
      </c>
      <c r="E321" s="4">
        <v>50.6</v>
      </c>
      <c r="F321" s="3">
        <v>2.524448068103379</v>
      </c>
      <c r="G321" s="1">
        <v>38.200000000000003</v>
      </c>
      <c r="H321" s="1">
        <v>52.5</v>
      </c>
      <c r="I321" s="1">
        <v>152.4</v>
      </c>
      <c r="J321" s="1">
        <v>381</v>
      </c>
      <c r="K321" s="1">
        <v>1290</v>
      </c>
      <c r="L321" s="1">
        <v>28003.5</v>
      </c>
      <c r="M321" s="5">
        <v>146.07134676739989</v>
      </c>
      <c r="N321" s="8">
        <v>4.6065670362633239E-2</v>
      </c>
      <c r="O321" s="3">
        <v>77.037800000000004</v>
      </c>
      <c r="P321" s="5">
        <v>213.42811414487335</v>
      </c>
      <c r="Q321" s="3">
        <v>0.17</v>
      </c>
      <c r="R321" s="12">
        <f t="shared" si="4"/>
        <v>1.0671405707243667E-3</v>
      </c>
      <c r="V321" s="3"/>
      <c r="W321" s="3"/>
    </row>
    <row r="322" spans="1:23" x14ac:dyDescent="0.3">
      <c r="B322" s="1">
        <v>28.7</v>
      </c>
      <c r="C322" s="5">
        <v>276</v>
      </c>
      <c r="D322" s="1">
        <v>2</v>
      </c>
      <c r="E322" s="4">
        <v>50.6</v>
      </c>
      <c r="F322" s="3">
        <v>2.524448068103379</v>
      </c>
      <c r="G322" s="1">
        <v>38.200000000000003</v>
      </c>
      <c r="H322" s="1">
        <v>52.5</v>
      </c>
      <c r="I322" s="1">
        <v>152.4</v>
      </c>
      <c r="J322" s="1">
        <v>381</v>
      </c>
      <c r="K322" s="1">
        <v>1290</v>
      </c>
      <c r="L322" s="1">
        <v>28003.5</v>
      </c>
      <c r="M322" s="5">
        <v>146.07134676739989</v>
      </c>
      <c r="N322" s="8">
        <v>4.6065670362633239E-2</v>
      </c>
      <c r="O322" s="3">
        <v>88.802700000000002</v>
      </c>
      <c r="P322" s="5">
        <v>246.02198910110286</v>
      </c>
      <c r="Q322" s="3">
        <v>0.2</v>
      </c>
      <c r="R322" s="12">
        <f t="shared" si="4"/>
        <v>1.2301099455055142E-3</v>
      </c>
      <c r="V322" s="3"/>
      <c r="W322" s="3"/>
    </row>
    <row r="323" spans="1:23" x14ac:dyDescent="0.3">
      <c r="B323" s="1">
        <v>28.7</v>
      </c>
      <c r="C323" s="5">
        <v>276</v>
      </c>
      <c r="D323" s="1">
        <v>2</v>
      </c>
      <c r="E323" s="4">
        <v>50.6</v>
      </c>
      <c r="F323" s="3">
        <v>2.524448068103379</v>
      </c>
      <c r="G323" s="1">
        <v>38.200000000000003</v>
      </c>
      <c r="H323" s="1">
        <v>52.5</v>
      </c>
      <c r="I323" s="1">
        <v>152.4</v>
      </c>
      <c r="J323" s="1">
        <v>381</v>
      </c>
      <c r="K323" s="1">
        <v>1290</v>
      </c>
      <c r="L323" s="1">
        <v>28003.5</v>
      </c>
      <c r="M323" s="5">
        <v>146.07134676739989</v>
      </c>
      <c r="N323" s="8">
        <v>4.6065670362633239E-2</v>
      </c>
      <c r="O323" s="3">
        <v>104.61500000000001</v>
      </c>
      <c r="P323" s="5">
        <v>275.8</v>
      </c>
      <c r="Q323" s="3">
        <v>0.24</v>
      </c>
      <c r="R323" s="12">
        <f t="shared" si="4"/>
        <v>1.379E-3</v>
      </c>
      <c r="V323" s="3"/>
      <c r="W323" s="3"/>
    </row>
    <row r="324" spans="1:23" x14ac:dyDescent="0.3">
      <c r="A324" t="s">
        <v>83</v>
      </c>
      <c r="B324" s="1">
        <v>32.299999999999997</v>
      </c>
      <c r="C324" s="5">
        <v>276</v>
      </c>
      <c r="D324" s="1">
        <v>1</v>
      </c>
      <c r="E324" s="4">
        <v>60</v>
      </c>
      <c r="F324" s="3">
        <v>2.5382184533279259</v>
      </c>
      <c r="G324" s="1">
        <v>38.299999999999997</v>
      </c>
      <c r="H324" s="1">
        <v>54.4</v>
      </c>
      <c r="I324" s="1">
        <v>152.4</v>
      </c>
      <c r="J324" s="1">
        <v>381</v>
      </c>
      <c r="K324" s="1">
        <v>819</v>
      </c>
      <c r="L324" s="1">
        <v>29016.960000000003</v>
      </c>
      <c r="M324" s="5">
        <v>122.83883123921107</v>
      </c>
      <c r="N324" s="8">
        <v>2.8224872626215838E-2</v>
      </c>
      <c r="O324" s="3">
        <v>39.959500000000006</v>
      </c>
      <c r="P324" s="5">
        <v>170.80329915468195</v>
      </c>
      <c r="Q324" s="3">
        <v>0.17</v>
      </c>
      <c r="R324" s="12">
        <f t="shared" ref="R324:R343" si="5">P324/200000</f>
        <v>8.5401649577340972E-4</v>
      </c>
      <c r="V324" s="3"/>
      <c r="W324" s="3"/>
    </row>
    <row r="325" spans="1:23" x14ac:dyDescent="0.3">
      <c r="B325" s="1">
        <v>32.299999999999997</v>
      </c>
      <c r="C325" s="5">
        <v>276</v>
      </c>
      <c r="D325" s="1">
        <v>1</v>
      </c>
      <c r="E325" s="4">
        <v>60</v>
      </c>
      <c r="F325" s="3">
        <v>2.5382184533279259</v>
      </c>
      <c r="G325" s="1">
        <v>38.299999999999997</v>
      </c>
      <c r="H325" s="1">
        <v>54.4</v>
      </c>
      <c r="I325" s="1">
        <v>152.4</v>
      </c>
      <c r="J325" s="1">
        <v>381</v>
      </c>
      <c r="K325" s="1">
        <v>819</v>
      </c>
      <c r="L325" s="1">
        <v>29016.960000000003</v>
      </c>
      <c r="M325" s="5">
        <v>122.83883123921107</v>
      </c>
      <c r="N325" s="8">
        <v>2.8224872626215838E-2</v>
      </c>
      <c r="O325" s="3">
        <v>49.186200000000007</v>
      </c>
      <c r="P325" s="5">
        <v>210.24200084790894</v>
      </c>
      <c r="Q325" s="3">
        <v>0.23</v>
      </c>
      <c r="R325" s="12">
        <f t="shared" si="5"/>
        <v>1.0512100042395446E-3</v>
      </c>
      <c r="V325" s="3"/>
      <c r="W325" s="3"/>
    </row>
    <row r="326" spans="1:23" x14ac:dyDescent="0.3">
      <c r="B326" s="1">
        <v>32.299999999999997</v>
      </c>
      <c r="C326" s="5">
        <v>276</v>
      </c>
      <c r="D326" s="1">
        <v>1</v>
      </c>
      <c r="E326" s="4">
        <v>60</v>
      </c>
      <c r="F326" s="3">
        <v>2.5382184533279259</v>
      </c>
      <c r="G326" s="1">
        <v>38.299999999999997</v>
      </c>
      <c r="H326" s="1">
        <v>54.4</v>
      </c>
      <c r="I326" s="1">
        <v>152.4</v>
      </c>
      <c r="J326" s="1">
        <v>381</v>
      </c>
      <c r="K326" s="1">
        <v>819</v>
      </c>
      <c r="L326" s="1">
        <v>29016.960000000003</v>
      </c>
      <c r="M326" s="5">
        <v>122.83883123921107</v>
      </c>
      <c r="N326" s="8">
        <v>2.8224872626215838E-2</v>
      </c>
      <c r="O326" s="3">
        <v>57.349600000000002</v>
      </c>
      <c r="P326" s="5">
        <v>245.13572204860782</v>
      </c>
      <c r="Q326" s="3">
        <v>0.27</v>
      </c>
      <c r="R326" s="12">
        <f t="shared" si="5"/>
        <v>1.2256786102430391E-3</v>
      </c>
      <c r="V326" s="3"/>
      <c r="W326" s="3"/>
    </row>
    <row r="327" spans="1:23" x14ac:dyDescent="0.3">
      <c r="B327" s="1">
        <v>32.299999999999997</v>
      </c>
      <c r="C327" s="5">
        <v>276</v>
      </c>
      <c r="D327" s="1">
        <v>1</v>
      </c>
      <c r="E327" s="4">
        <v>60</v>
      </c>
      <c r="F327" s="3">
        <v>2.5382184533279259</v>
      </c>
      <c r="G327" s="1">
        <v>38.299999999999997</v>
      </c>
      <c r="H327" s="1">
        <v>54.4</v>
      </c>
      <c r="I327" s="1">
        <v>152.4</v>
      </c>
      <c r="J327" s="1">
        <v>381</v>
      </c>
      <c r="K327" s="1">
        <v>819</v>
      </c>
      <c r="L327" s="1">
        <v>29016.960000000003</v>
      </c>
      <c r="M327" s="5">
        <v>122.83883123921107</v>
      </c>
      <c r="N327" s="8">
        <v>2.8224872626215838E-2</v>
      </c>
      <c r="O327" s="3">
        <v>63.180599999999998</v>
      </c>
      <c r="P327" s="5">
        <v>270.05980862053565</v>
      </c>
      <c r="Q327" s="3">
        <v>0.31</v>
      </c>
      <c r="R327" s="12">
        <f t="shared" si="5"/>
        <v>1.3502990431026782E-3</v>
      </c>
      <c r="V327" s="3"/>
      <c r="W327" s="3"/>
    </row>
    <row r="328" spans="1:23" x14ac:dyDescent="0.3">
      <c r="B328" s="1">
        <v>32.299999999999997</v>
      </c>
      <c r="C328" s="5">
        <v>276</v>
      </c>
      <c r="D328" s="1">
        <v>1</v>
      </c>
      <c r="E328" s="4">
        <v>60</v>
      </c>
      <c r="F328" s="3">
        <v>2.5382184533279259</v>
      </c>
      <c r="G328" s="1">
        <v>38.299999999999997</v>
      </c>
      <c r="H328" s="1">
        <v>54.4</v>
      </c>
      <c r="I328" s="1">
        <v>152.4</v>
      </c>
      <c r="J328" s="1">
        <v>381</v>
      </c>
      <c r="K328" s="1">
        <v>819</v>
      </c>
      <c r="L328" s="1">
        <v>29016.960000000003</v>
      </c>
      <c r="M328" s="5">
        <v>122.83883123921107</v>
      </c>
      <c r="N328" s="8">
        <v>2.8224872626215838E-2</v>
      </c>
      <c r="O328" s="3">
        <v>67.125100000000003</v>
      </c>
      <c r="P328" s="5">
        <v>275.8</v>
      </c>
      <c r="Q328" s="3">
        <v>0.35</v>
      </c>
      <c r="R328" s="12">
        <f t="shared" si="5"/>
        <v>1.379E-3</v>
      </c>
      <c r="V328" s="3"/>
      <c r="W328" s="3"/>
    </row>
    <row r="329" spans="1:23" x14ac:dyDescent="0.3">
      <c r="A329" t="s">
        <v>84</v>
      </c>
      <c r="B329" s="1">
        <v>32.299999999999997</v>
      </c>
      <c r="C329" s="5">
        <v>276</v>
      </c>
      <c r="D329" s="1">
        <v>1</v>
      </c>
      <c r="E329" s="4">
        <v>60</v>
      </c>
      <c r="F329" s="3">
        <v>2.8108695189494299</v>
      </c>
      <c r="G329" s="1">
        <v>38.299999999999997</v>
      </c>
      <c r="H329" s="1">
        <v>54.4</v>
      </c>
      <c r="I329" s="1">
        <v>152.4</v>
      </c>
      <c r="J329" s="1">
        <v>381</v>
      </c>
      <c r="K329" s="1">
        <v>819</v>
      </c>
      <c r="L329" s="1">
        <v>29016.960000000003</v>
      </c>
      <c r="M329" s="5">
        <v>120.44611657620311</v>
      </c>
      <c r="N329" s="8">
        <v>2.8224872626215838E-2</v>
      </c>
      <c r="O329" s="3">
        <v>39.959500000000006</v>
      </c>
      <c r="P329" s="5">
        <v>170.32772841920183</v>
      </c>
      <c r="Q329" s="3">
        <v>0.19</v>
      </c>
      <c r="R329" s="12">
        <f t="shared" si="5"/>
        <v>8.5163864209600911E-4</v>
      </c>
      <c r="V329" s="3"/>
      <c r="W329" s="3"/>
    </row>
    <row r="330" spans="1:23" x14ac:dyDescent="0.3">
      <c r="B330" s="1">
        <v>32.299999999999997</v>
      </c>
      <c r="C330" s="5">
        <v>276</v>
      </c>
      <c r="D330" s="1">
        <v>1</v>
      </c>
      <c r="E330" s="4">
        <v>60</v>
      </c>
      <c r="F330" s="3">
        <v>2.8108695189494299</v>
      </c>
      <c r="G330" s="1">
        <v>38.299999999999997</v>
      </c>
      <c r="H330" s="1">
        <v>54.4</v>
      </c>
      <c r="I330" s="1">
        <v>152.4</v>
      </c>
      <c r="J330" s="1">
        <v>381</v>
      </c>
      <c r="K330" s="1">
        <v>819</v>
      </c>
      <c r="L330" s="1">
        <v>29016.960000000003</v>
      </c>
      <c r="M330" s="5">
        <v>120.44611657620311</v>
      </c>
      <c r="N330" s="8">
        <v>2.8224872626215838E-2</v>
      </c>
      <c r="O330" s="3">
        <v>49.186200000000007</v>
      </c>
      <c r="P330" s="5">
        <v>209.6566202172836</v>
      </c>
      <c r="Q330" s="3">
        <v>0.24</v>
      </c>
      <c r="R330" s="12">
        <f t="shared" si="5"/>
        <v>1.048283101086418E-3</v>
      </c>
      <c r="V330" s="3"/>
      <c r="W330" s="3"/>
    </row>
    <row r="331" spans="1:23" x14ac:dyDescent="0.3">
      <c r="B331" s="1">
        <v>32.299999999999997</v>
      </c>
      <c r="C331" s="5">
        <v>276</v>
      </c>
      <c r="D331" s="1">
        <v>1</v>
      </c>
      <c r="E331" s="4">
        <v>60</v>
      </c>
      <c r="F331" s="3">
        <v>2.8108695189494299</v>
      </c>
      <c r="G331" s="1">
        <v>38.299999999999997</v>
      </c>
      <c r="H331" s="1">
        <v>54.4</v>
      </c>
      <c r="I331" s="1">
        <v>152.4</v>
      </c>
      <c r="J331" s="1">
        <v>381</v>
      </c>
      <c r="K331" s="1">
        <v>819</v>
      </c>
      <c r="L331" s="1">
        <v>29016.960000000003</v>
      </c>
      <c r="M331" s="5">
        <v>120.44611657620311</v>
      </c>
      <c r="N331" s="8">
        <v>2.8224872626215838E-2</v>
      </c>
      <c r="O331" s="3">
        <v>57.349600000000002</v>
      </c>
      <c r="P331" s="5">
        <v>244.45318619476859</v>
      </c>
      <c r="Q331" s="3">
        <v>0.28999999999999998</v>
      </c>
      <c r="R331" s="12">
        <f t="shared" si="5"/>
        <v>1.2222659309738429E-3</v>
      </c>
      <c r="V331" s="3"/>
      <c r="W331" s="3"/>
    </row>
    <row r="332" spans="1:23" x14ac:dyDescent="0.3">
      <c r="B332" s="1">
        <v>32.299999999999997</v>
      </c>
      <c r="C332" s="5">
        <v>276</v>
      </c>
      <c r="D332" s="1">
        <v>1</v>
      </c>
      <c r="E332" s="4">
        <v>60</v>
      </c>
      <c r="F332" s="3">
        <v>2.8108695189494299</v>
      </c>
      <c r="G332" s="1">
        <v>38.299999999999997</v>
      </c>
      <c r="H332" s="1">
        <v>54.4</v>
      </c>
      <c r="I332" s="1">
        <v>152.4</v>
      </c>
      <c r="J332" s="1">
        <v>381</v>
      </c>
      <c r="K332" s="1">
        <v>819</v>
      </c>
      <c r="L332" s="1">
        <v>29016.960000000003</v>
      </c>
      <c r="M332" s="5">
        <v>120.44611657620311</v>
      </c>
      <c r="N332" s="8">
        <v>2.8224872626215838E-2</v>
      </c>
      <c r="O332" s="3">
        <v>63.180599999999998</v>
      </c>
      <c r="P332" s="5">
        <v>269.30787617868646</v>
      </c>
      <c r="Q332" s="3">
        <v>0.36</v>
      </c>
      <c r="R332" s="12">
        <f t="shared" si="5"/>
        <v>1.3465393808934324E-3</v>
      </c>
      <c r="V332" s="3"/>
      <c r="W332" s="3"/>
    </row>
    <row r="333" spans="1:23" x14ac:dyDescent="0.3">
      <c r="B333" s="1">
        <v>32.299999999999997</v>
      </c>
      <c r="C333" s="5">
        <v>276</v>
      </c>
      <c r="D333" s="1">
        <v>1</v>
      </c>
      <c r="E333" s="4">
        <v>60</v>
      </c>
      <c r="F333" s="3">
        <v>2.8108695189494299</v>
      </c>
      <c r="G333" s="1">
        <v>38.299999999999997</v>
      </c>
      <c r="H333" s="1">
        <v>54.4</v>
      </c>
      <c r="I333" s="1">
        <v>152.4</v>
      </c>
      <c r="J333" s="1">
        <v>381</v>
      </c>
      <c r="K333" s="1">
        <v>819</v>
      </c>
      <c r="L333" s="1">
        <v>29016.960000000003</v>
      </c>
      <c r="M333" s="5">
        <v>120.44611657620311</v>
      </c>
      <c r="N333" s="8">
        <v>2.8224872626215838E-2</v>
      </c>
      <c r="O333" s="3">
        <v>67.125100000000003</v>
      </c>
      <c r="P333" s="5">
        <v>275.8</v>
      </c>
      <c r="Q333" s="3">
        <v>0.42</v>
      </c>
      <c r="R333" s="12">
        <f t="shared" si="5"/>
        <v>1.379E-3</v>
      </c>
      <c r="V333" s="3"/>
      <c r="W333" s="3"/>
    </row>
    <row r="334" spans="1:23" x14ac:dyDescent="0.3">
      <c r="A334" t="s">
        <v>85</v>
      </c>
      <c r="B334" s="1">
        <v>28.7</v>
      </c>
      <c r="C334" s="5">
        <v>276</v>
      </c>
      <c r="D334" s="1">
        <v>2</v>
      </c>
      <c r="E334" s="4">
        <v>50.6</v>
      </c>
      <c r="F334" s="3">
        <v>2.5765786179080412</v>
      </c>
      <c r="G334" s="1">
        <v>38</v>
      </c>
      <c r="H334" s="1">
        <v>52.3</v>
      </c>
      <c r="I334" s="1">
        <v>152.4</v>
      </c>
      <c r="J334" s="1">
        <v>584.20000000000005</v>
      </c>
      <c r="K334" s="1">
        <v>1290</v>
      </c>
      <c r="L334" s="1">
        <v>27896.82</v>
      </c>
      <c r="M334" s="5">
        <v>196.9266161393364</v>
      </c>
      <c r="N334" s="8">
        <v>4.6241829713924383E-2</v>
      </c>
      <c r="O334" s="3">
        <v>110.20799999999998</v>
      </c>
      <c r="P334" s="5">
        <v>183.23030547751344</v>
      </c>
      <c r="Q334" s="3">
        <v>0.18</v>
      </c>
      <c r="R334" s="12">
        <f t="shared" si="5"/>
        <v>9.1615152738756724E-4</v>
      </c>
      <c r="V334" s="3"/>
      <c r="W334" s="3"/>
    </row>
    <row r="335" spans="1:23" x14ac:dyDescent="0.3">
      <c r="B335" s="1">
        <v>28.7</v>
      </c>
      <c r="C335" s="5">
        <v>276</v>
      </c>
      <c r="D335" s="1">
        <v>2</v>
      </c>
      <c r="E335" s="4">
        <v>50.6</v>
      </c>
      <c r="F335" s="3">
        <v>2.5765786179080412</v>
      </c>
      <c r="G335" s="1">
        <v>38</v>
      </c>
      <c r="H335" s="1">
        <v>52.3</v>
      </c>
      <c r="I335" s="1">
        <v>152.4</v>
      </c>
      <c r="J335" s="1">
        <v>584.20000000000005</v>
      </c>
      <c r="K335" s="1">
        <v>1290</v>
      </c>
      <c r="L335" s="1">
        <v>27896.82</v>
      </c>
      <c r="M335" s="5">
        <v>196.9266161393364</v>
      </c>
      <c r="N335" s="8">
        <v>4.6241829713924383E-2</v>
      </c>
      <c r="O335" s="3">
        <v>132.25799999999998</v>
      </c>
      <c r="P335" s="5">
        <v>219.890332297519</v>
      </c>
      <c r="Q335" s="3">
        <v>0.22</v>
      </c>
      <c r="R335" s="12">
        <f t="shared" si="5"/>
        <v>1.0994516614875949E-3</v>
      </c>
      <c r="V335" s="3"/>
      <c r="W335" s="3"/>
    </row>
    <row r="336" spans="1:23" x14ac:dyDescent="0.3">
      <c r="B336" s="1">
        <v>28.7</v>
      </c>
      <c r="C336" s="5">
        <v>276</v>
      </c>
      <c r="D336" s="1">
        <v>2</v>
      </c>
      <c r="E336" s="4">
        <v>50.6</v>
      </c>
      <c r="F336" s="3">
        <v>2.5765786179080412</v>
      </c>
      <c r="G336" s="1">
        <v>38</v>
      </c>
      <c r="H336" s="1">
        <v>52.3</v>
      </c>
      <c r="I336" s="1">
        <v>152.4</v>
      </c>
      <c r="J336" s="1">
        <v>584.20000000000005</v>
      </c>
      <c r="K336" s="1">
        <v>1290</v>
      </c>
      <c r="L336" s="1">
        <v>27896.82</v>
      </c>
      <c r="M336" s="5">
        <v>196.9266161393364</v>
      </c>
      <c r="N336" s="8">
        <v>4.6241829713924383E-2</v>
      </c>
      <c r="O336" s="3">
        <v>149.26799999999997</v>
      </c>
      <c r="P336" s="5">
        <v>248.170924415809</v>
      </c>
      <c r="Q336" s="3">
        <v>0.27</v>
      </c>
      <c r="R336" s="12">
        <f t="shared" si="5"/>
        <v>1.240854622079045E-3</v>
      </c>
      <c r="V336" s="3"/>
      <c r="W336" s="3"/>
    </row>
    <row r="337" spans="1:23" x14ac:dyDescent="0.3">
      <c r="B337" s="1">
        <v>28.7</v>
      </c>
      <c r="C337" s="5">
        <v>276</v>
      </c>
      <c r="D337" s="1">
        <v>2</v>
      </c>
      <c r="E337" s="4">
        <v>50.6</v>
      </c>
      <c r="F337" s="3">
        <v>2.5765786179080412</v>
      </c>
      <c r="G337" s="1">
        <v>38</v>
      </c>
      <c r="H337" s="1">
        <v>52.3</v>
      </c>
      <c r="I337" s="1">
        <v>152.4</v>
      </c>
      <c r="J337" s="1">
        <v>584.20000000000005</v>
      </c>
      <c r="K337" s="1">
        <v>1290</v>
      </c>
      <c r="L337" s="1">
        <v>27896.82</v>
      </c>
      <c r="M337" s="5">
        <v>196.9266161393364</v>
      </c>
      <c r="N337" s="8">
        <v>4.6241829713924383E-2</v>
      </c>
      <c r="O337" s="3">
        <v>168.88200000000001</v>
      </c>
      <c r="P337" s="5">
        <v>275.8</v>
      </c>
      <c r="Q337" s="3">
        <v>0.32</v>
      </c>
      <c r="R337" s="12">
        <f t="shared" si="5"/>
        <v>1.379E-3</v>
      </c>
      <c r="V337" s="3"/>
      <c r="W337" s="3"/>
    </row>
    <row r="338" spans="1:23" x14ac:dyDescent="0.3">
      <c r="A338" t="s">
        <v>86</v>
      </c>
      <c r="B338" s="1">
        <v>28.7</v>
      </c>
      <c r="C338" s="5">
        <v>276</v>
      </c>
      <c r="D338" s="1">
        <v>2</v>
      </c>
      <c r="E338" s="4">
        <v>50.6</v>
      </c>
      <c r="F338" s="3">
        <v>2.5765786179080412</v>
      </c>
      <c r="G338" s="1">
        <v>38</v>
      </c>
      <c r="H338" s="1">
        <v>52.3</v>
      </c>
      <c r="I338" s="1">
        <v>152.4</v>
      </c>
      <c r="J338" s="1">
        <v>584.20000000000005</v>
      </c>
      <c r="K338" s="1">
        <v>1290</v>
      </c>
      <c r="L338" s="1">
        <v>27896.82</v>
      </c>
      <c r="M338" s="5">
        <v>196.9266161393364</v>
      </c>
      <c r="N338" s="8">
        <v>4.6241829713924383E-2</v>
      </c>
      <c r="O338" s="3">
        <v>132.25799999999998</v>
      </c>
      <c r="P338" s="5">
        <v>219.890332297519</v>
      </c>
      <c r="Q338" s="3">
        <v>0.16</v>
      </c>
      <c r="R338" s="12">
        <f t="shared" si="5"/>
        <v>1.0994516614875949E-3</v>
      </c>
      <c r="V338" s="3"/>
      <c r="W338" s="3"/>
    </row>
    <row r="339" spans="1:23" x14ac:dyDescent="0.3">
      <c r="B339" s="1">
        <v>28.7</v>
      </c>
      <c r="C339" s="5">
        <v>276</v>
      </c>
      <c r="D339" s="1">
        <v>2</v>
      </c>
      <c r="E339" s="4">
        <v>50.6</v>
      </c>
      <c r="F339" s="3">
        <v>2.5765786179080412</v>
      </c>
      <c r="G339" s="1">
        <v>38</v>
      </c>
      <c r="H339" s="1">
        <v>52.3</v>
      </c>
      <c r="I339" s="1">
        <v>152.4</v>
      </c>
      <c r="J339" s="1">
        <v>584.20000000000005</v>
      </c>
      <c r="K339" s="1">
        <v>1290</v>
      </c>
      <c r="L339" s="1">
        <v>27896.82</v>
      </c>
      <c r="M339" s="5">
        <v>196.9266161393364</v>
      </c>
      <c r="N339" s="8">
        <v>4.6241829713924383E-2</v>
      </c>
      <c r="O339" s="3">
        <v>149.26799999999997</v>
      </c>
      <c r="P339" s="5">
        <v>248.170924415809</v>
      </c>
      <c r="Q339" s="3">
        <v>0.19</v>
      </c>
      <c r="R339" s="12">
        <f t="shared" si="5"/>
        <v>1.240854622079045E-3</v>
      </c>
      <c r="V339" s="3"/>
      <c r="W339" s="3"/>
    </row>
    <row r="340" spans="1:23" x14ac:dyDescent="0.3">
      <c r="B340" s="1">
        <v>28.7</v>
      </c>
      <c r="C340" s="5">
        <v>276</v>
      </c>
      <c r="D340" s="1">
        <v>2</v>
      </c>
      <c r="E340" s="4">
        <v>50.6</v>
      </c>
      <c r="F340" s="3">
        <v>2.5765786179080412</v>
      </c>
      <c r="G340" s="1">
        <v>38</v>
      </c>
      <c r="H340" s="1">
        <v>52.3</v>
      </c>
      <c r="I340" s="1">
        <v>152.4</v>
      </c>
      <c r="J340" s="1">
        <v>584.20000000000005</v>
      </c>
      <c r="K340" s="1">
        <v>1290</v>
      </c>
      <c r="L340" s="1">
        <v>27896.82</v>
      </c>
      <c r="M340" s="5">
        <v>196.9266161393364</v>
      </c>
      <c r="N340" s="8">
        <v>4.6241829713924383E-2</v>
      </c>
      <c r="O340" s="3">
        <v>168.88200000000001</v>
      </c>
      <c r="P340" s="5">
        <v>275.8</v>
      </c>
      <c r="Q340" s="3">
        <v>0.22</v>
      </c>
      <c r="R340" s="12">
        <f t="shared" si="5"/>
        <v>1.379E-3</v>
      </c>
      <c r="V340" s="3"/>
      <c r="W340" s="3"/>
    </row>
    <row r="341" spans="1:23" x14ac:dyDescent="0.3">
      <c r="A341" t="s">
        <v>87</v>
      </c>
      <c r="B341" s="1">
        <v>35.799999999999997</v>
      </c>
      <c r="C341" s="5">
        <v>276</v>
      </c>
      <c r="D341" s="1">
        <v>2</v>
      </c>
      <c r="E341" s="4">
        <v>36.4</v>
      </c>
      <c r="F341" s="3">
        <v>2.5478355335404417</v>
      </c>
      <c r="G341" s="1">
        <v>38</v>
      </c>
      <c r="H341" s="1">
        <v>55.9</v>
      </c>
      <c r="I341" s="1">
        <v>152.4</v>
      </c>
      <c r="J341" s="1">
        <v>584.20000000000005</v>
      </c>
      <c r="K341" s="1">
        <v>2012</v>
      </c>
      <c r="L341" s="1">
        <v>29817.06</v>
      </c>
      <c r="M341" s="5">
        <v>231.96707915484524</v>
      </c>
      <c r="N341" s="8">
        <v>6.7478148415705638E-2</v>
      </c>
      <c r="O341" s="3">
        <v>167.03399999999999</v>
      </c>
      <c r="P341" s="5">
        <v>184.08648071345613</v>
      </c>
      <c r="Q341" s="3">
        <v>0.17</v>
      </c>
      <c r="R341" s="12">
        <f t="shared" si="5"/>
        <v>9.2043240356728061E-4</v>
      </c>
      <c r="V341" s="3"/>
      <c r="W341" s="3"/>
    </row>
    <row r="342" spans="1:23" x14ac:dyDescent="0.3">
      <c r="A342" t="s">
        <v>88</v>
      </c>
      <c r="B342" s="1">
        <v>35.799999999999997</v>
      </c>
      <c r="C342" s="5">
        <v>276</v>
      </c>
      <c r="D342" s="1">
        <v>2</v>
      </c>
      <c r="E342" s="4">
        <v>36.4</v>
      </c>
      <c r="F342" s="3">
        <v>2.7563734268389184</v>
      </c>
      <c r="G342" s="1">
        <v>38</v>
      </c>
      <c r="H342" s="1">
        <v>55.9</v>
      </c>
      <c r="I342" s="1">
        <v>152.4</v>
      </c>
      <c r="J342" s="1">
        <v>584.20000000000005</v>
      </c>
      <c r="K342" s="1">
        <v>2012</v>
      </c>
      <c r="L342" s="1">
        <v>29817.06</v>
      </c>
      <c r="M342" s="5">
        <v>228.69980068753716</v>
      </c>
      <c r="N342" s="8">
        <v>6.7478148415705638E-2</v>
      </c>
      <c r="O342" s="3">
        <v>130.78799999999998</v>
      </c>
      <c r="P342" s="5">
        <v>143.79287698695691</v>
      </c>
      <c r="Q342" s="3">
        <v>0.19</v>
      </c>
      <c r="R342" s="12">
        <f t="shared" si="5"/>
        <v>7.1896438493478456E-4</v>
      </c>
      <c r="V342" s="3"/>
      <c r="W342" s="3"/>
    </row>
    <row r="343" spans="1:23" x14ac:dyDescent="0.3">
      <c r="B343" s="1">
        <v>35.799999999999997</v>
      </c>
      <c r="C343" s="5">
        <v>276</v>
      </c>
      <c r="D343" s="1">
        <v>2</v>
      </c>
      <c r="E343" s="4">
        <v>36.4</v>
      </c>
      <c r="F343" s="3">
        <v>2.7563734268389184</v>
      </c>
      <c r="G343" s="1">
        <v>38</v>
      </c>
      <c r="H343" s="1">
        <v>55.9</v>
      </c>
      <c r="I343" s="1">
        <v>152.4</v>
      </c>
      <c r="J343" s="1">
        <v>584.20000000000005</v>
      </c>
      <c r="K343" s="1">
        <v>2012</v>
      </c>
      <c r="L343" s="1">
        <v>29817.06</v>
      </c>
      <c r="M343" s="5">
        <v>228.69980068753716</v>
      </c>
      <c r="N343" s="8">
        <v>6.7478148415705638E-2</v>
      </c>
      <c r="O343" s="3">
        <v>167.03399999999999</v>
      </c>
      <c r="P343" s="5">
        <v>183.6429902945176</v>
      </c>
      <c r="Q343" s="3">
        <v>0.25</v>
      </c>
      <c r="R343" s="12">
        <f t="shared" si="5"/>
        <v>9.1821495147258799E-4</v>
      </c>
      <c r="V343" s="3"/>
      <c r="W343" s="3"/>
    </row>
    <row r="345" spans="1:23" x14ac:dyDescent="0.3">
      <c r="W345" s="3"/>
    </row>
    <row r="346" spans="1:23" x14ac:dyDescent="0.3">
      <c r="W346" s="3"/>
    </row>
    <row r="347" spans="1:23" x14ac:dyDescent="0.3">
      <c r="W347" s="7"/>
    </row>
  </sheetData>
  <mergeCells count="1">
    <mergeCell ref="B1:P1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23D65-73CD-422B-8B95-A528E2510492}">
  <dimension ref="A1:AI343"/>
  <sheetViews>
    <sheetView tabSelected="1" zoomScale="120" zoomScaleNormal="120" workbookViewId="0">
      <pane xSplit="1" topLeftCell="AC1" activePane="topRight" state="frozen"/>
      <selection pane="topRight" activeCell="X2" sqref="X2"/>
    </sheetView>
  </sheetViews>
  <sheetFormatPr defaultRowHeight="14.4" x14ac:dyDescent="0.3"/>
  <cols>
    <col min="1" max="1" width="35.88671875" customWidth="1"/>
    <col min="2" max="2" width="24.77734375" style="1" customWidth="1"/>
    <col min="3" max="3" width="29.6640625" style="1" customWidth="1"/>
    <col min="4" max="4" width="29.33203125" style="4" customWidth="1"/>
    <col min="5" max="5" width="22.44140625" style="3" customWidth="1"/>
    <col min="6" max="6" width="16.44140625" style="1" customWidth="1"/>
    <col min="7" max="7" width="25.6640625" style="1" customWidth="1"/>
    <col min="8" max="8" width="30.6640625" style="33" customWidth="1"/>
    <col min="9" max="9" width="19.77734375" style="41" customWidth="1"/>
    <col min="10" max="10" width="19.77734375" style="32" customWidth="1"/>
    <col min="11" max="11" width="19.77734375" style="33" customWidth="1"/>
    <col min="12" max="12" width="19.77734375" style="32" customWidth="1"/>
    <col min="13" max="13" width="9.6640625" style="3" customWidth="1"/>
    <col min="14" max="14" width="28" style="17" customWidth="1"/>
    <col min="15" max="15" width="22.6640625" style="23" customWidth="1"/>
    <col min="16" max="16" width="37.33203125" style="23" customWidth="1"/>
    <col min="17" max="17" width="15.33203125" style="24" customWidth="1"/>
    <col min="18" max="18" width="8.88671875" style="17" customWidth="1"/>
    <col min="19" max="19" width="23.44140625" style="3" customWidth="1"/>
    <col min="20" max="20" width="22.6640625" style="23" customWidth="1"/>
    <col min="21" max="21" width="36.88671875" style="30" customWidth="1"/>
    <col min="22" max="22" width="19.77734375" style="32" customWidth="1"/>
    <col min="23" max="24" width="8.88671875" style="17"/>
    <col min="25" max="25" width="8.88671875" style="34" customWidth="1"/>
    <col min="26" max="26" width="16.109375" style="34" customWidth="1"/>
    <col min="27" max="27" width="22.6640625" style="30" customWidth="1"/>
    <col min="28" max="28" width="34.21875" style="30" customWidth="1"/>
    <col min="29" max="29" width="15.33203125" style="35" customWidth="1"/>
    <col min="30" max="30" width="8.88671875" style="34" customWidth="1"/>
    <col min="31" max="31" width="19.77734375" style="34" customWidth="1"/>
    <col min="32" max="32" width="23.44140625" style="34" customWidth="1"/>
    <col min="33" max="33" width="23" style="30" customWidth="1"/>
    <col min="34" max="34" width="15" style="35" customWidth="1"/>
    <col min="35" max="35" width="8.88671875" style="17"/>
  </cols>
  <sheetData>
    <row r="1" spans="1:35" x14ac:dyDescent="0.3">
      <c r="A1" t="s">
        <v>0</v>
      </c>
      <c r="B1" t="s">
        <v>1</v>
      </c>
      <c r="C1"/>
      <c r="D1"/>
      <c r="E1"/>
      <c r="F1"/>
      <c r="G1"/>
      <c r="H1" s="31"/>
      <c r="I1" s="31"/>
      <c r="M1" s="3" t="s">
        <v>2</v>
      </c>
      <c r="N1" s="22" t="s">
        <v>103</v>
      </c>
    </row>
    <row r="2" spans="1:35" ht="43.2" x14ac:dyDescent="0.35">
      <c r="B2" s="1" t="s">
        <v>96</v>
      </c>
      <c r="C2" s="1" t="s">
        <v>3</v>
      </c>
      <c r="D2" s="4" t="s">
        <v>4</v>
      </c>
      <c r="E2" s="27" t="s">
        <v>97</v>
      </c>
      <c r="F2" s="1" t="s">
        <v>98</v>
      </c>
      <c r="G2" s="26" t="s">
        <v>99</v>
      </c>
      <c r="H2" s="37" t="s">
        <v>120</v>
      </c>
      <c r="I2" s="38" t="s">
        <v>117</v>
      </c>
      <c r="J2" s="39" t="s">
        <v>138</v>
      </c>
      <c r="K2" s="37" t="s">
        <v>139</v>
      </c>
      <c r="L2" s="39" t="s">
        <v>143</v>
      </c>
      <c r="M2" s="3" t="s">
        <v>102</v>
      </c>
      <c r="N2" s="17" t="s">
        <v>136</v>
      </c>
      <c r="O2" s="25" t="s">
        <v>141</v>
      </c>
      <c r="P2" s="25" t="s">
        <v>142</v>
      </c>
      <c r="Q2" s="24" t="s">
        <v>93</v>
      </c>
      <c r="R2" s="17" t="s">
        <v>106</v>
      </c>
      <c r="S2" s="3" t="s">
        <v>137</v>
      </c>
      <c r="T2" s="25" t="s">
        <v>141</v>
      </c>
      <c r="U2" s="25" t="s">
        <v>142</v>
      </c>
      <c r="V2" s="39" t="s">
        <v>93</v>
      </c>
      <c r="W2" s="17" t="s">
        <v>144</v>
      </c>
      <c r="X2" s="17" t="s">
        <v>145</v>
      </c>
      <c r="Y2" s="34" t="s">
        <v>106</v>
      </c>
      <c r="Z2" s="34" t="s">
        <v>140</v>
      </c>
      <c r="AA2" s="30" t="s">
        <v>101</v>
      </c>
      <c r="AB2" s="36" t="s">
        <v>135</v>
      </c>
      <c r="AC2" s="35" t="s">
        <v>93</v>
      </c>
      <c r="AD2" s="34" t="s">
        <v>106</v>
      </c>
      <c r="AE2" s="40" t="s">
        <v>104</v>
      </c>
      <c r="AF2" s="40" t="s">
        <v>105</v>
      </c>
      <c r="AG2" s="30" t="s">
        <v>101</v>
      </c>
      <c r="AH2" s="35" t="s">
        <v>93</v>
      </c>
      <c r="AI2" s="17" t="s">
        <v>106</v>
      </c>
    </row>
    <row r="3" spans="1:35" x14ac:dyDescent="0.3">
      <c r="A3" t="s">
        <v>5</v>
      </c>
      <c r="B3" s="1">
        <v>20</v>
      </c>
      <c r="C3" s="1">
        <v>2</v>
      </c>
      <c r="D3" s="4">
        <v>126</v>
      </c>
      <c r="E3" s="3">
        <v>4.1203405239014401</v>
      </c>
      <c r="F3" s="1">
        <v>25</v>
      </c>
      <c r="G3" s="1">
        <v>39</v>
      </c>
      <c r="H3" s="33">
        <v>57.361776585620262</v>
      </c>
      <c r="I3" s="41">
        <v>201</v>
      </c>
      <c r="J3" s="32">
        <v>162</v>
      </c>
      <c r="K3" s="33">
        <v>104</v>
      </c>
      <c r="L3" s="32">
        <v>136.5</v>
      </c>
      <c r="M3" s="3">
        <v>0.16</v>
      </c>
      <c r="N3" s="17">
        <v>0.12573406896410511</v>
      </c>
      <c r="O3" s="23">
        <v>231.81100493873356</v>
      </c>
      <c r="P3" s="23">
        <v>90.135974541798177</v>
      </c>
      <c r="Q3" s="24">
        <v>6.0723545689225174E-2</v>
      </c>
      <c r="R3" s="17">
        <v>0.78583793102565691</v>
      </c>
      <c r="S3" s="3">
        <v>8.6159382513197727E-2</v>
      </c>
      <c r="T3" s="23">
        <v>231.81100493873356</v>
      </c>
      <c r="U3" s="30">
        <v>216</v>
      </c>
      <c r="V3" s="42">
        <v>2.1299687966354633E-2</v>
      </c>
      <c r="W3" s="17">
        <f>(I3-H3)/(J3-H3)</f>
        <v>1.3727127499628449</v>
      </c>
      <c r="X3" s="17">
        <f>0.5*(1+(I3-K3-L3)/(I3-K3))</f>
        <v>0.29639175257731959</v>
      </c>
      <c r="Y3" s="34">
        <v>0.53849614070748575</v>
      </c>
      <c r="Z3" s="34">
        <v>0.12529165250414639</v>
      </c>
      <c r="AA3" s="30">
        <v>231.81100493873356</v>
      </c>
      <c r="AB3" s="30">
        <v>90.135974541798177</v>
      </c>
      <c r="AC3" s="35">
        <v>6.0723545689225174E-2</v>
      </c>
      <c r="AD3" s="34">
        <v>0.78307282815091495</v>
      </c>
      <c r="AE3" s="34">
        <v>0.26246778690532796</v>
      </c>
      <c r="AF3" s="34">
        <v>0.15737967840740144</v>
      </c>
      <c r="AG3" s="30">
        <v>246.56221322808278</v>
      </c>
      <c r="AH3" s="35">
        <v>1.5699999999999999E-2</v>
      </c>
      <c r="AI3" s="17">
        <v>0.98362299004625897</v>
      </c>
    </row>
    <row r="4" spans="1:35" x14ac:dyDescent="0.3">
      <c r="B4" s="1">
        <v>20</v>
      </c>
      <c r="C4" s="1">
        <v>2</v>
      </c>
      <c r="D4" s="4">
        <v>126</v>
      </c>
      <c r="E4" s="3">
        <v>4.1203405239014401</v>
      </c>
      <c r="F4" s="1">
        <v>25</v>
      </c>
      <c r="G4" s="1">
        <v>39</v>
      </c>
      <c r="H4" s="33">
        <v>57.361776585620262</v>
      </c>
      <c r="I4" s="41">
        <v>201</v>
      </c>
      <c r="J4" s="43">
        <v>162</v>
      </c>
      <c r="K4" s="33">
        <v>104</v>
      </c>
      <c r="L4" s="32">
        <v>136.5</v>
      </c>
      <c r="M4" s="3">
        <v>0.23</v>
      </c>
      <c r="N4" s="17">
        <v>0.17698216291811808</v>
      </c>
      <c r="O4" s="23">
        <v>304.25194398208777</v>
      </c>
      <c r="P4" s="23">
        <v>90.135974541798177</v>
      </c>
      <c r="Q4" s="24">
        <v>6.0723545689225174E-2</v>
      </c>
      <c r="R4" s="17">
        <v>0.76948766486138287</v>
      </c>
      <c r="S4" s="3">
        <v>0.14712654185263452</v>
      </c>
      <c r="T4" s="23">
        <v>304.25194398208777</v>
      </c>
      <c r="U4" s="30">
        <v>216</v>
      </c>
      <c r="V4" s="35">
        <v>2.1299687966354633E-2</v>
      </c>
      <c r="W4" s="17">
        <f t="shared" ref="W4:W67" si="0">(I4-H4)/(J4-H4)</f>
        <v>1.3727127499628449</v>
      </c>
      <c r="X4" s="17">
        <f t="shared" ref="X4:X67" si="1">0.5*(1+(I4-K4-L4)/(I4-K4))</f>
        <v>0.29639175257731959</v>
      </c>
      <c r="Y4" s="34">
        <v>0.63968061675058485</v>
      </c>
      <c r="Z4" s="34">
        <v>0.17635942142379471</v>
      </c>
      <c r="AA4" s="30">
        <v>304.25194398208777</v>
      </c>
      <c r="AB4" s="30">
        <v>90.135974541798177</v>
      </c>
      <c r="AC4" s="35">
        <v>6.0723545689225174E-2</v>
      </c>
      <c r="AD4" s="34">
        <v>0.76678009314693352</v>
      </c>
      <c r="AE4" s="34">
        <v>0.34448897031324288</v>
      </c>
      <c r="AF4" s="34">
        <v>0.27111108663150013</v>
      </c>
      <c r="AG4" s="30">
        <v>323.61290486185862</v>
      </c>
      <c r="AH4" s="35">
        <v>1.5699999999999999E-2</v>
      </c>
      <c r="AI4" s="17">
        <v>1.1787438549195657</v>
      </c>
    </row>
    <row r="5" spans="1:35" x14ac:dyDescent="0.3">
      <c r="B5" s="1">
        <v>20</v>
      </c>
      <c r="C5" s="1">
        <v>2</v>
      </c>
      <c r="D5" s="4">
        <v>126</v>
      </c>
      <c r="E5" s="3">
        <v>4.1203405239014401</v>
      </c>
      <c r="F5" s="1">
        <v>25</v>
      </c>
      <c r="G5" s="1">
        <v>39</v>
      </c>
      <c r="H5" s="33">
        <v>57.361776585620262</v>
      </c>
      <c r="I5" s="41">
        <v>201</v>
      </c>
      <c r="J5" s="43">
        <v>162</v>
      </c>
      <c r="K5" s="33">
        <v>104</v>
      </c>
      <c r="L5" s="32">
        <v>136.5</v>
      </c>
      <c r="M5" s="3">
        <v>0.24</v>
      </c>
      <c r="N5" s="17">
        <v>0.1840780528502122</v>
      </c>
      <c r="O5" s="23">
        <v>314.28222784962912</v>
      </c>
      <c r="P5" s="23">
        <v>90.135974541798177</v>
      </c>
      <c r="Q5" s="24">
        <v>6.0723545689225174E-2</v>
      </c>
      <c r="R5" s="17">
        <v>0.76699188687588415</v>
      </c>
      <c r="S5" s="3">
        <v>0.15556814853040268</v>
      </c>
      <c r="T5" s="23">
        <v>314.28222784962912</v>
      </c>
      <c r="U5" s="30">
        <v>216</v>
      </c>
      <c r="V5" s="35">
        <v>2.1299687966354633E-2</v>
      </c>
      <c r="W5" s="17">
        <f t="shared" si="0"/>
        <v>1.3727127499628449</v>
      </c>
      <c r="X5" s="17">
        <f t="shared" si="1"/>
        <v>0.29639175257731959</v>
      </c>
      <c r="Y5" s="34">
        <v>0.6482006188766779</v>
      </c>
      <c r="Z5" s="34">
        <v>0.18343034327420754</v>
      </c>
      <c r="AA5" s="30">
        <v>314.28222784962912</v>
      </c>
      <c r="AB5" s="30">
        <v>90.135974541798177</v>
      </c>
      <c r="AC5" s="35">
        <v>6.0723545689225174E-2</v>
      </c>
      <c r="AD5" s="34">
        <v>0.76429309697586478</v>
      </c>
      <c r="AE5" s="34">
        <v>0.35584574955433879</v>
      </c>
      <c r="AF5" s="34">
        <v>0.28928119327085311</v>
      </c>
      <c r="AG5" s="30">
        <v>334.28146216499681</v>
      </c>
      <c r="AH5" s="35">
        <v>1.5699999999999999E-2</v>
      </c>
      <c r="AI5" s="17">
        <v>1.2053383052952213</v>
      </c>
    </row>
    <row r="6" spans="1:35" x14ac:dyDescent="0.3">
      <c r="B6" s="1">
        <v>20</v>
      </c>
      <c r="C6" s="1">
        <v>2</v>
      </c>
      <c r="D6" s="4">
        <v>126</v>
      </c>
      <c r="E6" s="3">
        <v>4.1203405239014401</v>
      </c>
      <c r="F6" s="1">
        <v>25</v>
      </c>
      <c r="G6" s="1">
        <v>39</v>
      </c>
      <c r="H6" s="33">
        <v>57.361776585620262</v>
      </c>
      <c r="I6" s="41">
        <v>201</v>
      </c>
      <c r="J6" s="43">
        <v>162</v>
      </c>
      <c r="K6" s="33">
        <v>104</v>
      </c>
      <c r="L6" s="32">
        <v>136.5</v>
      </c>
      <c r="M6" s="3">
        <v>0.27</v>
      </c>
      <c r="N6" s="17">
        <v>0.21876907029600567</v>
      </c>
      <c r="O6" s="23">
        <v>363.31917120205361</v>
      </c>
      <c r="P6" s="23">
        <v>90.135974541798177</v>
      </c>
      <c r="Q6" s="24">
        <v>6.0723545689225174E-2</v>
      </c>
      <c r="R6" s="17">
        <v>0.81025581591113205</v>
      </c>
      <c r="S6" s="3">
        <v>0.19683822562171382</v>
      </c>
      <c r="T6" s="23">
        <v>363.31917120205361</v>
      </c>
      <c r="U6" s="30">
        <v>216</v>
      </c>
      <c r="V6" s="35">
        <v>2.1299687966354633E-2</v>
      </c>
      <c r="W6" s="17">
        <f t="shared" si="0"/>
        <v>1.3727127499628449</v>
      </c>
      <c r="X6" s="17">
        <f t="shared" si="1"/>
        <v>0.29639175257731959</v>
      </c>
      <c r="Y6" s="34">
        <v>0.72903046526560666</v>
      </c>
      <c r="Z6" s="34">
        <v>0.2179992945428926</v>
      </c>
      <c r="AA6" s="30">
        <v>363.31917120205361</v>
      </c>
      <c r="AB6" s="30">
        <v>90.135974541798177</v>
      </c>
      <c r="AC6" s="35">
        <v>6.0723545689225174E-2</v>
      </c>
      <c r="AD6" s="34">
        <v>0.80740479460330583</v>
      </c>
      <c r="AE6" s="34">
        <v>0.41136778139969671</v>
      </c>
      <c r="AF6" s="34">
        <v>0.38659584648726419</v>
      </c>
      <c r="AG6" s="30">
        <v>386.43885342478364</v>
      </c>
      <c r="AH6" s="35">
        <v>1.5699999999999999E-2</v>
      </c>
      <c r="AI6" s="17">
        <v>1.4318364684713487</v>
      </c>
    </row>
    <row r="7" spans="1:35" x14ac:dyDescent="0.3">
      <c r="B7" s="1">
        <v>20</v>
      </c>
      <c r="C7" s="1">
        <v>2</v>
      </c>
      <c r="D7" s="4">
        <v>126</v>
      </c>
      <c r="E7" s="3">
        <v>4.1203405239014401</v>
      </c>
      <c r="F7" s="1">
        <v>25</v>
      </c>
      <c r="G7" s="1">
        <v>39</v>
      </c>
      <c r="H7" s="33">
        <v>57.361776585620262</v>
      </c>
      <c r="I7" s="41">
        <v>201</v>
      </c>
      <c r="J7" s="43">
        <v>162</v>
      </c>
      <c r="K7" s="33">
        <v>104</v>
      </c>
      <c r="L7" s="32">
        <v>136.5</v>
      </c>
      <c r="M7" s="3">
        <v>0.35</v>
      </c>
      <c r="N7" s="17">
        <v>0.28657424075823829</v>
      </c>
      <c r="O7" s="23">
        <v>459.16410593633765</v>
      </c>
      <c r="P7" s="23">
        <v>90.135974541798177</v>
      </c>
      <c r="Q7" s="24">
        <v>6.0723545689225174E-2</v>
      </c>
      <c r="R7" s="17">
        <v>0.81878354502353801</v>
      </c>
      <c r="S7" s="3">
        <v>0.27750246720927635</v>
      </c>
      <c r="T7" s="23">
        <v>459.16410593633765</v>
      </c>
      <c r="U7" s="30">
        <v>216</v>
      </c>
      <c r="V7" s="35">
        <v>2.1299687966354633E-2</v>
      </c>
      <c r="W7" s="17">
        <f t="shared" si="0"/>
        <v>1.3727127499628449</v>
      </c>
      <c r="X7" s="17">
        <f t="shared" si="1"/>
        <v>0.29639175257731959</v>
      </c>
      <c r="Y7" s="34">
        <v>0.79286419202650393</v>
      </c>
      <c r="Z7" s="34">
        <v>0.28556588111350423</v>
      </c>
      <c r="AA7" s="30">
        <v>459.16410593633765</v>
      </c>
      <c r="AB7" s="30">
        <v>90.135974541798177</v>
      </c>
      <c r="AC7" s="35">
        <v>6.0723545689225174E-2</v>
      </c>
      <c r="AD7" s="34">
        <v>0.81590251746715503</v>
      </c>
      <c r="AE7" s="34">
        <v>0.51988811637016885</v>
      </c>
      <c r="AF7" s="34">
        <v>0.61747078706513392</v>
      </c>
      <c r="AG7" s="30">
        <v>488.38284543254861</v>
      </c>
      <c r="AH7" s="35">
        <v>1.5699999999999999E-2</v>
      </c>
      <c r="AI7" s="17">
        <v>1.4853946182004825</v>
      </c>
    </row>
    <row r="8" spans="1:35" x14ac:dyDescent="0.3">
      <c r="B8" s="1">
        <v>20</v>
      </c>
      <c r="C8" s="1">
        <v>2</v>
      </c>
      <c r="D8" s="4">
        <v>126</v>
      </c>
      <c r="E8" s="3">
        <v>4.1203405239014401</v>
      </c>
      <c r="F8" s="1">
        <v>25</v>
      </c>
      <c r="G8" s="1">
        <v>39</v>
      </c>
      <c r="H8" s="33">
        <v>57.361776585620262</v>
      </c>
      <c r="I8" s="41">
        <v>201</v>
      </c>
      <c r="J8" s="43">
        <v>162</v>
      </c>
      <c r="K8" s="33">
        <v>104</v>
      </c>
      <c r="L8" s="32">
        <v>136.5</v>
      </c>
      <c r="M8" s="3">
        <v>0.4</v>
      </c>
      <c r="N8" s="17">
        <v>0.31546345400295095</v>
      </c>
      <c r="O8" s="23">
        <v>500</v>
      </c>
      <c r="P8" s="23">
        <v>90.135974541798177</v>
      </c>
      <c r="Q8" s="24">
        <v>6.0723545689225174E-2</v>
      </c>
      <c r="R8" s="17">
        <v>0.78865863500737732</v>
      </c>
      <c r="S8" s="3">
        <v>0.31187044328779839</v>
      </c>
      <c r="T8" s="23">
        <v>500</v>
      </c>
      <c r="U8" s="30">
        <v>216</v>
      </c>
      <c r="V8" s="35">
        <v>2.1299687966354633E-2</v>
      </c>
      <c r="W8" s="17">
        <f t="shared" si="0"/>
        <v>1.3727127499628449</v>
      </c>
      <c r="X8" s="17">
        <f t="shared" si="1"/>
        <v>0.29639175257731959</v>
      </c>
      <c r="Y8" s="34">
        <v>0.77967610821949596</v>
      </c>
      <c r="Z8" s="34">
        <v>0.31435344280458455</v>
      </c>
      <c r="AA8" s="30">
        <v>500</v>
      </c>
      <c r="AB8" s="30">
        <v>90.135974541798177</v>
      </c>
      <c r="AC8" s="35">
        <v>6.0723545689225174E-2</v>
      </c>
      <c r="AD8" s="34">
        <v>0.78588360701146132</v>
      </c>
      <c r="AE8" s="34">
        <v>0.53225468628992978</v>
      </c>
      <c r="AF8" s="34">
        <v>0.64719569928692966</v>
      </c>
      <c r="AG8" s="30">
        <v>500</v>
      </c>
      <c r="AH8" s="35">
        <v>1.5699999999999999E-2</v>
      </c>
      <c r="AI8" s="17">
        <v>1.3306367157248244</v>
      </c>
    </row>
    <row r="9" spans="1:35" x14ac:dyDescent="0.3">
      <c r="A9" t="s">
        <v>6</v>
      </c>
      <c r="B9" s="1">
        <v>10</v>
      </c>
      <c r="C9" s="1">
        <v>8</v>
      </c>
      <c r="D9" s="4">
        <v>87.7</v>
      </c>
      <c r="E9" s="3">
        <v>4.1311267633290143</v>
      </c>
      <c r="F9" s="1">
        <v>25</v>
      </c>
      <c r="G9" s="1">
        <v>53</v>
      </c>
      <c r="H9" s="33">
        <v>99.696400381800601</v>
      </c>
      <c r="I9" s="41">
        <v>604</v>
      </c>
      <c r="J9" s="43">
        <v>551</v>
      </c>
      <c r="K9" s="30">
        <v>306</v>
      </c>
      <c r="L9" s="43">
        <v>141</v>
      </c>
      <c r="M9" s="3">
        <v>0.16</v>
      </c>
      <c r="N9" s="17">
        <v>0.17110696370812956</v>
      </c>
      <c r="O9" s="23">
        <v>322.91971563781163</v>
      </c>
      <c r="P9" s="23">
        <v>290.76849438161628</v>
      </c>
      <c r="Q9" s="24">
        <v>1.5388385199705954E-2</v>
      </c>
      <c r="R9" s="17">
        <v>1.0694185231758098</v>
      </c>
      <c r="S9" s="3">
        <v>0.13580672680659342</v>
      </c>
      <c r="T9" s="23">
        <v>322.91971563781163</v>
      </c>
      <c r="U9" s="30">
        <v>308</v>
      </c>
      <c r="V9" s="35">
        <v>1.4460716588376162E-2</v>
      </c>
      <c r="W9" s="17">
        <f t="shared" si="0"/>
        <v>1.1174375742733667</v>
      </c>
      <c r="X9" s="17">
        <f t="shared" si="1"/>
        <v>0.76342281879194629</v>
      </c>
      <c r="Y9" s="34">
        <v>0.84879204254120888</v>
      </c>
      <c r="Z9" s="34">
        <v>0.18936618884976517</v>
      </c>
      <c r="AA9" s="30">
        <v>322.91971563781163</v>
      </c>
      <c r="AB9" s="30">
        <v>290.76849438161628</v>
      </c>
      <c r="AC9" s="35">
        <v>1.5388385199705954E-2</v>
      </c>
      <c r="AD9" s="34">
        <v>1.1835386803110322</v>
      </c>
      <c r="AE9" s="34">
        <v>0.2432137981836999</v>
      </c>
      <c r="AF9" s="34">
        <v>0.1448495333689632</v>
      </c>
      <c r="AG9" s="30">
        <v>334.96038495887177</v>
      </c>
      <c r="AH9" s="35">
        <v>1.0999999999999999E-2</v>
      </c>
      <c r="AI9" s="17">
        <v>0.90530958355601998</v>
      </c>
    </row>
    <row r="10" spans="1:35" x14ac:dyDescent="0.3">
      <c r="B10" s="1">
        <v>10</v>
      </c>
      <c r="C10" s="1">
        <v>8</v>
      </c>
      <c r="D10" s="4">
        <v>87.7</v>
      </c>
      <c r="E10" s="3">
        <v>4.1311267633290143</v>
      </c>
      <c r="F10" s="1">
        <v>25</v>
      </c>
      <c r="G10" s="1">
        <v>53</v>
      </c>
      <c r="H10" s="33">
        <v>99.696400381800601</v>
      </c>
      <c r="I10" s="41">
        <v>604</v>
      </c>
      <c r="J10" s="43">
        <v>551</v>
      </c>
      <c r="K10" s="30">
        <v>306</v>
      </c>
      <c r="L10" s="43">
        <v>141</v>
      </c>
      <c r="M10" s="3">
        <v>0.18</v>
      </c>
      <c r="N10" s="17">
        <v>0.22285815917347976</v>
      </c>
      <c r="O10" s="23">
        <v>367.82093324078352</v>
      </c>
      <c r="P10" s="23">
        <v>290.76849438161628</v>
      </c>
      <c r="Q10" s="24">
        <v>1.5388385199705954E-2</v>
      </c>
      <c r="R10" s="17">
        <v>1.2381008842971097</v>
      </c>
      <c r="S10" s="3">
        <v>0.17995415539612394</v>
      </c>
      <c r="T10" s="23">
        <v>367.82093324078352</v>
      </c>
      <c r="U10" s="30">
        <v>308</v>
      </c>
      <c r="V10" s="35">
        <v>1.4460716588376162E-2</v>
      </c>
      <c r="W10" s="17">
        <f t="shared" si="0"/>
        <v>1.1174375742733667</v>
      </c>
      <c r="X10" s="17">
        <f t="shared" si="1"/>
        <v>0.76342281879194629</v>
      </c>
      <c r="Y10" s="34">
        <v>0.99974530775624415</v>
      </c>
      <c r="Z10" s="34">
        <v>0.21569710653744678</v>
      </c>
      <c r="AA10" s="30">
        <v>367.82093324078352</v>
      </c>
      <c r="AB10" s="30">
        <v>290.76849438161628</v>
      </c>
      <c r="AC10" s="35">
        <v>1.5388385199705954E-2</v>
      </c>
      <c r="AD10" s="34">
        <v>1.1983172585413711</v>
      </c>
      <c r="AE10" s="34">
        <v>0.2770320977406715</v>
      </c>
      <c r="AF10" s="34">
        <v>0.18793205453378584</v>
      </c>
      <c r="AG10" s="30">
        <v>381.53582896267682</v>
      </c>
      <c r="AH10" s="35">
        <v>1.0999999999999999E-2</v>
      </c>
      <c r="AI10" s="17">
        <v>1.0440669696321436</v>
      </c>
    </row>
    <row r="11" spans="1:35" x14ac:dyDescent="0.3">
      <c r="B11" s="1">
        <v>10</v>
      </c>
      <c r="C11" s="1">
        <v>8</v>
      </c>
      <c r="D11" s="4">
        <v>87.7</v>
      </c>
      <c r="E11" s="3">
        <v>4.1311267633290143</v>
      </c>
      <c r="F11" s="1">
        <v>25</v>
      </c>
      <c r="G11" s="1">
        <v>53</v>
      </c>
      <c r="H11" s="33">
        <v>99.696400381800601</v>
      </c>
      <c r="I11" s="41">
        <v>604</v>
      </c>
      <c r="J11" s="43">
        <v>551</v>
      </c>
      <c r="K11" s="30">
        <v>306</v>
      </c>
      <c r="L11" s="43">
        <v>141</v>
      </c>
      <c r="M11" s="3">
        <v>0.26</v>
      </c>
      <c r="N11" s="17">
        <v>0.37520201721244406</v>
      </c>
      <c r="O11" s="23">
        <v>500</v>
      </c>
      <c r="P11" s="23">
        <v>290.76849438161628</v>
      </c>
      <c r="Q11" s="24">
        <v>1.5388385199705954E-2</v>
      </c>
      <c r="R11" s="17">
        <v>1.4430846815863232</v>
      </c>
      <c r="S11" s="3">
        <v>0.30991423715562322</v>
      </c>
      <c r="T11" s="23">
        <v>500</v>
      </c>
      <c r="U11" s="30">
        <v>308</v>
      </c>
      <c r="V11" s="35">
        <v>1.4460716588376162E-2</v>
      </c>
      <c r="W11" s="17">
        <f t="shared" si="0"/>
        <v>1.1174375742733667</v>
      </c>
      <c r="X11" s="17">
        <f t="shared" si="1"/>
        <v>0.76342281879194629</v>
      </c>
      <c r="Y11" s="34">
        <v>1.1919778352139354</v>
      </c>
      <c r="Z11" s="34">
        <v>0.318170216250936</v>
      </c>
      <c r="AA11" s="30">
        <v>500</v>
      </c>
      <c r="AB11" s="30">
        <v>290.76849438161628</v>
      </c>
      <c r="AC11" s="35">
        <v>1.5388385199705954E-2</v>
      </c>
      <c r="AD11" s="34">
        <v>1.2237316009651384</v>
      </c>
      <c r="AE11" s="34">
        <v>0.36304860082717388</v>
      </c>
      <c r="AF11" s="34">
        <v>0.32275294604101767</v>
      </c>
      <c r="AG11" s="30">
        <v>500</v>
      </c>
      <c r="AH11" s="35">
        <v>1.0999999999999999E-2</v>
      </c>
      <c r="AI11" s="17">
        <v>1.2413574847731448</v>
      </c>
    </row>
    <row r="12" spans="1:35" x14ac:dyDescent="0.3">
      <c r="A12" t="s">
        <v>7</v>
      </c>
      <c r="B12" s="1">
        <v>10</v>
      </c>
      <c r="C12" s="1">
        <v>4</v>
      </c>
      <c r="D12" s="4">
        <v>32.466666666666669</v>
      </c>
      <c r="E12" s="3">
        <v>3.262</v>
      </c>
      <c r="F12" s="1">
        <v>25</v>
      </c>
      <c r="G12" s="1">
        <v>36</v>
      </c>
      <c r="H12" s="33">
        <v>95.721926864521535</v>
      </c>
      <c r="I12" s="41">
        <v>600</v>
      </c>
      <c r="J12" s="43">
        <v>564</v>
      </c>
      <c r="K12" s="30">
        <v>304</v>
      </c>
      <c r="L12" s="43">
        <v>86</v>
      </c>
      <c r="M12" s="3">
        <v>0.16</v>
      </c>
      <c r="N12" s="17">
        <v>0.16007091811290758</v>
      </c>
      <c r="O12" s="23">
        <v>285.04803218471648</v>
      </c>
      <c r="P12" s="23">
        <v>207.32063354060747</v>
      </c>
      <c r="Q12" s="24">
        <v>1.7444444444444443E-2</v>
      </c>
      <c r="R12" s="17">
        <v>1.0004432382056723</v>
      </c>
      <c r="S12" s="3">
        <v>0.13868029025440845</v>
      </c>
      <c r="T12" s="23">
        <v>285.04803218471648</v>
      </c>
      <c r="U12" s="30">
        <v>199</v>
      </c>
      <c r="V12" s="35">
        <v>1.8255813953488371E-2</v>
      </c>
      <c r="W12" s="17">
        <f t="shared" si="0"/>
        <v>1.0768773984204569</v>
      </c>
      <c r="X12" s="17">
        <f t="shared" si="1"/>
        <v>0.85472972972972971</v>
      </c>
      <c r="Y12" s="34">
        <v>0.86675181409005275</v>
      </c>
      <c r="Z12" s="34">
        <v>0.1485932826557089</v>
      </c>
      <c r="AA12" s="30">
        <v>285.04803218471648</v>
      </c>
      <c r="AB12" s="30">
        <v>207.32063354060747</v>
      </c>
      <c r="AC12" s="35">
        <v>1.7444444444444443E-2</v>
      </c>
      <c r="AD12" s="34">
        <v>0.92870801659818059</v>
      </c>
      <c r="AE12" s="34">
        <v>0.18440399789461248</v>
      </c>
      <c r="AF12" s="34">
        <v>0.13403771715746998</v>
      </c>
      <c r="AG12" s="30">
        <v>293.39369402606366</v>
      </c>
      <c r="AH12" s="35">
        <v>1.23E-2</v>
      </c>
      <c r="AI12" s="17">
        <v>0.8377357322341874</v>
      </c>
    </row>
    <row r="13" spans="1:35" x14ac:dyDescent="0.3">
      <c r="B13" s="1">
        <v>10</v>
      </c>
      <c r="C13" s="1">
        <v>4</v>
      </c>
      <c r="D13" s="4">
        <v>32.466666666666669</v>
      </c>
      <c r="E13" s="3">
        <v>3.262</v>
      </c>
      <c r="F13" s="1">
        <v>25</v>
      </c>
      <c r="G13" s="1">
        <v>36</v>
      </c>
      <c r="H13" s="33">
        <v>95.721926864521535</v>
      </c>
      <c r="I13" s="41">
        <v>600</v>
      </c>
      <c r="J13" s="43">
        <v>564</v>
      </c>
      <c r="K13" s="30">
        <v>304</v>
      </c>
      <c r="L13" s="43">
        <v>86</v>
      </c>
      <c r="M13" s="3">
        <v>0.2</v>
      </c>
      <c r="N13" s="17">
        <v>0.19987712128481272</v>
      </c>
      <c r="O13" s="23">
        <v>324.99964614446418</v>
      </c>
      <c r="P13" s="23">
        <v>207.32063354060747</v>
      </c>
      <c r="Q13" s="24">
        <v>1.7444444444444443E-2</v>
      </c>
      <c r="R13" s="17">
        <v>0.9993856064240636</v>
      </c>
      <c r="S13" s="3">
        <v>0.17212891101716857</v>
      </c>
      <c r="T13" s="23">
        <v>324.99964614446418</v>
      </c>
      <c r="U13" s="30">
        <v>199</v>
      </c>
      <c r="V13" s="35">
        <v>1.8255813953488371E-2</v>
      </c>
      <c r="W13" s="17">
        <f t="shared" si="0"/>
        <v>1.0768773984204569</v>
      </c>
      <c r="X13" s="17">
        <f t="shared" si="1"/>
        <v>0.85472972972972971</v>
      </c>
      <c r="Y13" s="34">
        <v>0.86064455508584281</v>
      </c>
      <c r="Z13" s="34">
        <v>0.17429163285246455</v>
      </c>
      <c r="AA13" s="30">
        <v>324.99964614446418</v>
      </c>
      <c r="AB13" s="30">
        <v>207.32063354060747</v>
      </c>
      <c r="AC13" s="35">
        <v>1.7444444444444443E-2</v>
      </c>
      <c r="AD13" s="34">
        <v>0.8714581642623227</v>
      </c>
      <c r="AE13" s="34">
        <v>0.21024959759952672</v>
      </c>
      <c r="AF13" s="34">
        <v>0.17424354747035525</v>
      </c>
      <c r="AG13" s="30">
        <v>334.5150149210553</v>
      </c>
      <c r="AH13" s="35">
        <v>1.23E-2</v>
      </c>
      <c r="AI13" s="17">
        <v>0.87121773735177621</v>
      </c>
    </row>
    <row r="14" spans="1:35" x14ac:dyDescent="0.3">
      <c r="B14" s="1">
        <v>10</v>
      </c>
      <c r="C14" s="1">
        <v>4</v>
      </c>
      <c r="D14" s="4">
        <v>32.466666666666669</v>
      </c>
      <c r="E14" s="3">
        <v>3.262</v>
      </c>
      <c r="F14" s="1">
        <v>25</v>
      </c>
      <c r="G14" s="1">
        <v>36</v>
      </c>
      <c r="H14" s="33">
        <v>95.721926864521535</v>
      </c>
      <c r="I14" s="41">
        <v>600</v>
      </c>
      <c r="J14" s="43">
        <v>564</v>
      </c>
      <c r="K14" s="30">
        <v>304</v>
      </c>
      <c r="L14" s="43">
        <v>86</v>
      </c>
      <c r="M14" s="3">
        <v>0.2</v>
      </c>
      <c r="N14" s="17">
        <v>0.24236688871549797</v>
      </c>
      <c r="O14" s="23">
        <v>367.6446273374533</v>
      </c>
      <c r="P14" s="23">
        <v>207.32063354060747</v>
      </c>
      <c r="Q14" s="24">
        <v>1.7444444444444443E-2</v>
      </c>
      <c r="R14" s="17">
        <v>1.2118344435774897</v>
      </c>
      <c r="S14" s="3">
        <v>0.2078324949774181</v>
      </c>
      <c r="T14" s="23">
        <v>367.6446273374533</v>
      </c>
      <c r="U14" s="30">
        <v>199</v>
      </c>
      <c r="V14" s="35">
        <v>1.8255813953488371E-2</v>
      </c>
      <c r="W14" s="17">
        <f t="shared" si="0"/>
        <v>1.0768773984204569</v>
      </c>
      <c r="X14" s="17">
        <f t="shared" si="1"/>
        <v>0.85472972972972971</v>
      </c>
      <c r="Y14" s="34">
        <v>1.0391624748870905</v>
      </c>
      <c r="Z14" s="34">
        <v>0.21134245136241825</v>
      </c>
      <c r="AA14" s="30">
        <v>367.6446273374533</v>
      </c>
      <c r="AB14" s="30">
        <v>207.32063354060747</v>
      </c>
      <c r="AC14" s="35">
        <v>1.7444444444444443E-2</v>
      </c>
      <c r="AD14" s="34">
        <v>1.0567122568120912</v>
      </c>
      <c r="AE14" s="34">
        <v>0.23783759728454748</v>
      </c>
      <c r="AF14" s="34">
        <v>0.22297048347265605</v>
      </c>
      <c r="AG14" s="30">
        <v>378.40855969660811</v>
      </c>
      <c r="AH14" s="35">
        <v>1.23E-2</v>
      </c>
      <c r="AI14" s="17">
        <v>1.1148524173632801</v>
      </c>
    </row>
    <row r="15" spans="1:35" x14ac:dyDescent="0.3">
      <c r="B15" s="1">
        <v>10</v>
      </c>
      <c r="C15" s="1">
        <v>4</v>
      </c>
      <c r="D15" s="4">
        <v>32.466666666666669</v>
      </c>
      <c r="E15" s="3">
        <v>3.262</v>
      </c>
      <c r="F15" s="1">
        <v>25</v>
      </c>
      <c r="G15" s="1">
        <v>36</v>
      </c>
      <c r="H15" s="33">
        <v>95.721926864521535</v>
      </c>
      <c r="I15" s="41">
        <v>600</v>
      </c>
      <c r="J15" s="43">
        <v>564</v>
      </c>
      <c r="K15" s="30">
        <v>304</v>
      </c>
      <c r="L15" s="43">
        <v>86</v>
      </c>
      <c r="M15" s="3">
        <v>0.24</v>
      </c>
      <c r="N15" s="17">
        <v>0.28530391685597978</v>
      </c>
      <c r="O15" s="23">
        <v>410.73850306931587</v>
      </c>
      <c r="P15" s="23">
        <v>207.32063354060747</v>
      </c>
      <c r="Q15" s="24">
        <v>1.7444444444444443E-2</v>
      </c>
      <c r="R15" s="17">
        <v>1.188766320233249</v>
      </c>
      <c r="S15" s="3">
        <v>0.24391190613724908</v>
      </c>
      <c r="T15" s="23">
        <v>410.73850306931587</v>
      </c>
      <c r="U15" s="30">
        <v>199</v>
      </c>
      <c r="V15" s="35">
        <v>1.8255813953488371E-2</v>
      </c>
      <c r="W15" s="17">
        <f t="shared" si="0"/>
        <v>1.0768773984204569</v>
      </c>
      <c r="X15" s="17">
        <f t="shared" si="1"/>
        <v>0.85472972972972971</v>
      </c>
      <c r="Y15" s="34">
        <v>1.0162996089052045</v>
      </c>
      <c r="Z15" s="34">
        <v>0.24878327848826612</v>
      </c>
      <c r="AA15" s="30">
        <v>410.73850306931587</v>
      </c>
      <c r="AB15" s="30">
        <v>207.32063354060747</v>
      </c>
      <c r="AC15" s="35">
        <v>1.7444444444444443E-2</v>
      </c>
      <c r="AD15" s="34">
        <v>1.0365969937011088</v>
      </c>
      <c r="AE15" s="34">
        <v>0.26571599696625259</v>
      </c>
      <c r="AF15" s="34">
        <v>0.27830548142392658</v>
      </c>
      <c r="AG15" s="30">
        <v>422.76414178558775</v>
      </c>
      <c r="AH15" s="35">
        <v>1.23E-2</v>
      </c>
      <c r="AI15" s="17">
        <v>1.1071499873593857</v>
      </c>
    </row>
    <row r="16" spans="1:35" x14ac:dyDescent="0.3">
      <c r="B16" s="1">
        <v>10</v>
      </c>
      <c r="C16" s="1">
        <v>4</v>
      </c>
      <c r="D16" s="4">
        <v>32.466666666666669</v>
      </c>
      <c r="E16" s="3">
        <v>3.262</v>
      </c>
      <c r="F16" s="1">
        <v>25</v>
      </c>
      <c r="G16" s="1">
        <v>36</v>
      </c>
      <c r="H16" s="33">
        <v>95.721926864521535</v>
      </c>
      <c r="I16" s="41">
        <v>600</v>
      </c>
      <c r="J16" s="43">
        <v>564</v>
      </c>
      <c r="K16" s="30">
        <v>304</v>
      </c>
      <c r="L16" s="43">
        <v>86</v>
      </c>
      <c r="M16" s="3">
        <v>0.3</v>
      </c>
      <c r="N16" s="17">
        <v>0.31303408086337448</v>
      </c>
      <c r="O16" s="23">
        <v>438.56996447947728</v>
      </c>
      <c r="P16" s="23">
        <v>207.32063354060747</v>
      </c>
      <c r="Q16" s="24">
        <v>1.7444444444444443E-2</v>
      </c>
      <c r="R16" s="17">
        <v>1.0434469362112484</v>
      </c>
      <c r="S16" s="3">
        <v>0.26721319251130676</v>
      </c>
      <c r="T16" s="23">
        <v>438.56996447947728</v>
      </c>
      <c r="U16" s="30">
        <v>199</v>
      </c>
      <c r="V16" s="35">
        <v>1.8255813953488371E-2</v>
      </c>
      <c r="W16" s="17">
        <f t="shared" si="0"/>
        <v>1.0768773984204569</v>
      </c>
      <c r="X16" s="17">
        <f t="shared" si="1"/>
        <v>0.85472972972972971</v>
      </c>
      <c r="Y16" s="34">
        <v>0.89071064170435588</v>
      </c>
      <c r="Z16" s="34">
        <v>0.27296381267370967</v>
      </c>
      <c r="AA16" s="30">
        <v>438.56996447947728</v>
      </c>
      <c r="AB16" s="30">
        <v>207.32063354060747</v>
      </c>
      <c r="AC16" s="35">
        <v>1.7444444444444443E-2</v>
      </c>
      <c r="AD16" s="34">
        <v>0.90987937557903231</v>
      </c>
      <c r="AE16" s="34">
        <v>0.28372079676068723</v>
      </c>
      <c r="AF16" s="34">
        <v>0.31729899713708887</v>
      </c>
      <c r="AG16" s="30">
        <v>451.41045521805381</v>
      </c>
      <c r="AH16" s="35">
        <v>1.23E-2</v>
      </c>
      <c r="AI16" s="17">
        <v>0.94573598920229085</v>
      </c>
    </row>
    <row r="17" spans="1:35" x14ac:dyDescent="0.3">
      <c r="B17" s="1">
        <v>10</v>
      </c>
      <c r="C17" s="1">
        <v>4</v>
      </c>
      <c r="D17" s="4">
        <v>32.466666666666669</v>
      </c>
      <c r="E17" s="3">
        <v>3.262</v>
      </c>
      <c r="F17" s="1">
        <v>25</v>
      </c>
      <c r="G17" s="1">
        <v>36</v>
      </c>
      <c r="H17" s="33">
        <v>95.721926864521535</v>
      </c>
      <c r="I17" s="41">
        <v>600</v>
      </c>
      <c r="J17" s="43">
        <v>564</v>
      </c>
      <c r="K17" s="30">
        <v>304</v>
      </c>
      <c r="L17" s="43">
        <v>86</v>
      </c>
      <c r="M17" s="3">
        <v>0.32</v>
      </c>
      <c r="N17" s="17">
        <v>0.37251975526633363</v>
      </c>
      <c r="O17" s="23">
        <v>498.27293814966185</v>
      </c>
      <c r="P17" s="23">
        <v>207.32063354060747</v>
      </c>
      <c r="Q17" s="24">
        <v>1.7444444444444443E-2</v>
      </c>
      <c r="R17" s="17">
        <v>1.1641242352072925</v>
      </c>
      <c r="S17" s="3">
        <v>0.31719821005565602</v>
      </c>
      <c r="T17" s="23">
        <v>498.27293814966185</v>
      </c>
      <c r="U17" s="30">
        <v>199</v>
      </c>
      <c r="V17" s="35">
        <v>1.8255813953488371E-2</v>
      </c>
      <c r="W17" s="17">
        <f t="shared" si="0"/>
        <v>1.0768773984204569</v>
      </c>
      <c r="X17" s="17">
        <f t="shared" si="1"/>
        <v>0.85472972972972971</v>
      </c>
      <c r="Y17" s="34">
        <v>0.99124440642392508</v>
      </c>
      <c r="Z17" s="34">
        <v>0.32483495858764466</v>
      </c>
      <c r="AA17" s="30">
        <v>498.27293814966185</v>
      </c>
      <c r="AB17" s="30">
        <v>207.32063354060747</v>
      </c>
      <c r="AC17" s="35">
        <v>1.7444444444444443E-2</v>
      </c>
      <c r="AD17" s="34">
        <v>1.0151092455863895</v>
      </c>
      <c r="AE17" s="34">
        <v>0.32234399631971627</v>
      </c>
      <c r="AF17" s="34">
        <v>0.4095675399831824</v>
      </c>
      <c r="AG17" s="30">
        <v>512.86141790382771</v>
      </c>
      <c r="AH17" s="35">
        <v>1.23E-2</v>
      </c>
      <c r="AI17" s="17">
        <v>1.0073249884991133</v>
      </c>
    </row>
    <row r="18" spans="1:35" x14ac:dyDescent="0.3">
      <c r="B18" s="1">
        <v>10</v>
      </c>
      <c r="C18" s="1">
        <v>4</v>
      </c>
      <c r="D18" s="4">
        <v>32.466666666666669</v>
      </c>
      <c r="E18" s="3">
        <v>3.262</v>
      </c>
      <c r="F18" s="1">
        <v>25</v>
      </c>
      <c r="G18" s="1">
        <v>36</v>
      </c>
      <c r="H18" s="33">
        <v>95.721926864521535</v>
      </c>
      <c r="I18" s="41">
        <v>600</v>
      </c>
      <c r="J18" s="43">
        <v>564</v>
      </c>
      <c r="K18" s="30">
        <v>304</v>
      </c>
      <c r="L18" s="43">
        <v>86</v>
      </c>
      <c r="M18" s="3">
        <v>0.38</v>
      </c>
      <c r="N18" s="17">
        <v>0.37699236236430061</v>
      </c>
      <c r="O18" s="23">
        <v>502.76188353839768</v>
      </c>
      <c r="P18" s="23">
        <v>207.32063354060747</v>
      </c>
      <c r="Q18" s="24">
        <v>1.7444444444444443E-2</v>
      </c>
      <c r="R18" s="17">
        <v>0.99208516411658054</v>
      </c>
      <c r="S18" s="3">
        <v>0.32095648205147187</v>
      </c>
      <c r="T18" s="23">
        <v>502.76188353839768</v>
      </c>
      <c r="U18" s="30">
        <v>199</v>
      </c>
      <c r="V18" s="35">
        <v>1.8255813953488371E-2</v>
      </c>
      <c r="W18" s="17">
        <f t="shared" si="0"/>
        <v>1.0768773984204569</v>
      </c>
      <c r="X18" s="17">
        <f t="shared" si="1"/>
        <v>0.85472972972972971</v>
      </c>
      <c r="Y18" s="34">
        <v>0.84462232118808389</v>
      </c>
      <c r="Z18" s="34">
        <v>0.32873504474658727</v>
      </c>
      <c r="AA18" s="30">
        <v>502.76188353839768</v>
      </c>
      <c r="AB18" s="30">
        <v>207.32063354060747</v>
      </c>
      <c r="AC18" s="35">
        <v>1.7444444444444443E-2</v>
      </c>
      <c r="AD18" s="34">
        <v>0.8650922230173349</v>
      </c>
      <c r="AE18" s="34">
        <v>0.32524799628656048</v>
      </c>
      <c r="AF18" s="34">
        <v>0.4169803767185325</v>
      </c>
      <c r="AG18" s="30">
        <v>517.48179103809639</v>
      </c>
      <c r="AH18" s="35">
        <v>1.23E-2</v>
      </c>
      <c r="AI18" s="17">
        <v>0.85591577970147492</v>
      </c>
    </row>
    <row r="19" spans="1:35" x14ac:dyDescent="0.3">
      <c r="B19" s="1">
        <v>10</v>
      </c>
      <c r="C19" s="1">
        <v>4</v>
      </c>
      <c r="D19" s="4">
        <v>32.466666666666669</v>
      </c>
      <c r="E19" s="3">
        <v>3.262</v>
      </c>
      <c r="F19" s="1">
        <v>25</v>
      </c>
      <c r="G19" s="1">
        <v>36</v>
      </c>
      <c r="H19" s="33">
        <v>95.721926864521535</v>
      </c>
      <c r="I19" s="41">
        <v>600</v>
      </c>
      <c r="J19" s="43">
        <v>564</v>
      </c>
      <c r="K19" s="30">
        <v>304</v>
      </c>
      <c r="L19" s="43">
        <v>86</v>
      </c>
      <c r="M19" s="3">
        <v>0.42</v>
      </c>
      <c r="N19" s="17">
        <v>0.41277321914803544</v>
      </c>
      <c r="O19" s="23">
        <v>538.67344664828317</v>
      </c>
      <c r="P19" s="23">
        <v>207.32063354060747</v>
      </c>
      <c r="Q19" s="24">
        <v>1.7444444444444443E-2</v>
      </c>
      <c r="R19" s="17">
        <v>0.98279337892389396</v>
      </c>
      <c r="S19" s="3">
        <v>0.35102265801799776</v>
      </c>
      <c r="T19" s="23">
        <v>538.67344664828317</v>
      </c>
      <c r="U19" s="30">
        <v>199</v>
      </c>
      <c r="V19" s="35">
        <v>1.8255813953488371E-2</v>
      </c>
      <c r="W19" s="17">
        <f t="shared" si="0"/>
        <v>1.0768773984204569</v>
      </c>
      <c r="X19" s="17">
        <f t="shared" si="1"/>
        <v>0.85472972972972971</v>
      </c>
      <c r="Y19" s="34">
        <v>0.83576823337618522</v>
      </c>
      <c r="Z19" s="34">
        <v>0.35993573401812712</v>
      </c>
      <c r="AA19" s="30">
        <v>538.67344664828317</v>
      </c>
      <c r="AB19" s="30">
        <v>207.32063354060747</v>
      </c>
      <c r="AC19" s="35">
        <v>1.7444444444444443E-2</v>
      </c>
      <c r="AD19" s="34">
        <v>0.85698984290030267</v>
      </c>
      <c r="AE19" s="34">
        <v>0.34847999602131496</v>
      </c>
      <c r="AF19" s="34">
        <v>0.47867645286566257</v>
      </c>
      <c r="AG19" s="30">
        <v>554.44477611224625</v>
      </c>
      <c r="AH19" s="35">
        <v>1.23E-2</v>
      </c>
      <c r="AI19" s="17">
        <v>0.82971427624122618</v>
      </c>
    </row>
    <row r="20" spans="1:35" x14ac:dyDescent="0.3">
      <c r="B20" s="1">
        <v>10</v>
      </c>
      <c r="C20" s="1">
        <v>4</v>
      </c>
      <c r="D20" s="4">
        <v>32.466666666666669</v>
      </c>
      <c r="E20" s="3">
        <v>3.262</v>
      </c>
      <c r="F20" s="1">
        <v>25</v>
      </c>
      <c r="G20" s="1">
        <v>36</v>
      </c>
      <c r="H20" s="33">
        <v>95.721926864521535</v>
      </c>
      <c r="I20" s="41">
        <v>600</v>
      </c>
      <c r="J20" s="43">
        <v>564</v>
      </c>
      <c r="K20" s="30">
        <v>304</v>
      </c>
      <c r="L20" s="43">
        <v>86</v>
      </c>
      <c r="M20" s="3">
        <v>0.44</v>
      </c>
      <c r="N20" s="17">
        <v>0.50177465310629754</v>
      </c>
      <c r="O20" s="23">
        <v>628</v>
      </c>
      <c r="P20" s="23">
        <v>207.32063354060747</v>
      </c>
      <c r="Q20" s="24">
        <v>1.7444444444444443E-2</v>
      </c>
      <c r="R20" s="17">
        <v>1.1403969388779489</v>
      </c>
      <c r="S20" s="3">
        <v>0.42580937402192115</v>
      </c>
      <c r="T20" s="23">
        <v>628</v>
      </c>
      <c r="U20" s="30">
        <v>199</v>
      </c>
      <c r="V20" s="35">
        <v>1.8255813953488371E-2</v>
      </c>
      <c r="W20" s="17">
        <f t="shared" si="0"/>
        <v>1.0768773984204569</v>
      </c>
      <c r="X20" s="17">
        <f t="shared" si="1"/>
        <v>0.85472972972972971</v>
      </c>
      <c r="Y20" s="34">
        <v>0.96774857732254804</v>
      </c>
      <c r="Z20" s="34">
        <v>0.43754444256407587</v>
      </c>
      <c r="AA20" s="30">
        <v>628</v>
      </c>
      <c r="AB20" s="30">
        <v>207.32063354060747</v>
      </c>
      <c r="AC20" s="35">
        <v>1.7444444444444443E-2</v>
      </c>
      <c r="AD20" s="34">
        <v>0.99441918764562698</v>
      </c>
      <c r="AE20" s="34">
        <v>0.39471097380685027</v>
      </c>
      <c r="AF20" s="34">
        <v>0.61410800657888331</v>
      </c>
      <c r="AG20" s="30">
        <v>628</v>
      </c>
      <c r="AH20" s="35">
        <v>1.23E-2</v>
      </c>
      <c r="AI20" s="17">
        <v>0.89707039501556884</v>
      </c>
    </row>
    <row r="21" spans="1:35" x14ac:dyDescent="0.3">
      <c r="B21" s="1">
        <v>10</v>
      </c>
      <c r="C21" s="1">
        <v>4</v>
      </c>
      <c r="D21" s="4">
        <v>32.466666666666669</v>
      </c>
      <c r="E21" s="3">
        <v>3.262</v>
      </c>
      <c r="F21" s="1">
        <v>25</v>
      </c>
      <c r="G21" s="1">
        <v>36</v>
      </c>
      <c r="H21" s="33">
        <v>95.721926864521535</v>
      </c>
      <c r="I21" s="41">
        <v>600</v>
      </c>
      <c r="J21" s="43">
        <v>564</v>
      </c>
      <c r="K21" s="30">
        <v>304</v>
      </c>
      <c r="L21" s="43">
        <v>86</v>
      </c>
      <c r="M21" s="3">
        <v>0.5</v>
      </c>
      <c r="N21" s="17">
        <v>0.50177465310629754</v>
      </c>
      <c r="O21" s="23">
        <v>628</v>
      </c>
      <c r="P21" s="23">
        <v>207.32063354060747</v>
      </c>
      <c r="Q21" s="24">
        <v>1.7444444444444443E-2</v>
      </c>
      <c r="R21" s="17">
        <v>1.0035493062125951</v>
      </c>
      <c r="S21" s="3">
        <v>0.42580937402192115</v>
      </c>
      <c r="T21" s="23">
        <v>628</v>
      </c>
      <c r="U21" s="30">
        <v>199</v>
      </c>
      <c r="V21" s="35">
        <v>1.8255813953488371E-2</v>
      </c>
      <c r="W21" s="17">
        <f t="shared" si="0"/>
        <v>1.0768773984204569</v>
      </c>
      <c r="X21" s="17">
        <f t="shared" si="1"/>
        <v>0.85472972972972971</v>
      </c>
      <c r="Y21" s="34">
        <v>0.8516187480438423</v>
      </c>
      <c r="Z21" s="34">
        <v>0.43754444256407587</v>
      </c>
      <c r="AA21" s="30">
        <v>628</v>
      </c>
      <c r="AB21" s="30">
        <v>207.32063354060747</v>
      </c>
      <c r="AC21" s="35">
        <v>1.7444444444444443E-2</v>
      </c>
      <c r="AD21" s="34">
        <v>0.87508888512815175</v>
      </c>
      <c r="AE21" s="34">
        <v>0.39471097380685027</v>
      </c>
      <c r="AF21" s="34">
        <v>0.61410800657888331</v>
      </c>
      <c r="AG21" s="30">
        <v>628</v>
      </c>
      <c r="AH21" s="35">
        <v>1.23E-2</v>
      </c>
      <c r="AI21" s="17">
        <v>0.78942194761370055</v>
      </c>
    </row>
    <row r="22" spans="1:35" x14ac:dyDescent="0.3">
      <c r="A22" t="s">
        <v>8</v>
      </c>
      <c r="B22" s="1">
        <v>10</v>
      </c>
      <c r="C22" s="1">
        <v>4</v>
      </c>
      <c r="D22" s="4">
        <v>32.466666666666669</v>
      </c>
      <c r="E22" s="3">
        <v>3.5139999999999993</v>
      </c>
      <c r="F22" s="1">
        <v>25</v>
      </c>
      <c r="G22" s="1">
        <v>36</v>
      </c>
      <c r="H22" s="33">
        <v>87.120678710097735</v>
      </c>
      <c r="I22" s="41">
        <v>600</v>
      </c>
      <c r="J22" s="43">
        <v>564</v>
      </c>
      <c r="K22" s="30">
        <v>303</v>
      </c>
      <c r="L22" s="43">
        <v>86</v>
      </c>
      <c r="M22" s="3">
        <v>0.24</v>
      </c>
      <c r="N22" s="17">
        <v>0.18922989304623691</v>
      </c>
      <c r="O22" s="23">
        <v>321.47187644259361</v>
      </c>
      <c r="P22" s="23">
        <v>219.25122107583812</v>
      </c>
      <c r="Q22" s="24">
        <v>1.7444444444444443E-2</v>
      </c>
      <c r="R22" s="17">
        <v>0.78845788769265379</v>
      </c>
      <c r="S22" s="3">
        <v>0.16333872081928372</v>
      </c>
      <c r="T22" s="23">
        <v>321.47187644259361</v>
      </c>
      <c r="U22" s="30">
        <v>210</v>
      </c>
      <c r="V22" s="35">
        <v>1.8255813953488371E-2</v>
      </c>
      <c r="W22" s="17">
        <f t="shared" si="0"/>
        <v>1.0754907969224252</v>
      </c>
      <c r="X22" s="17">
        <f t="shared" si="1"/>
        <v>0.85521885521885521</v>
      </c>
      <c r="Y22" s="34">
        <v>0.68057800341368213</v>
      </c>
      <c r="Z22" s="34">
        <v>0.16758074432571601</v>
      </c>
      <c r="AA22" s="30">
        <v>321.47187644259361</v>
      </c>
      <c r="AB22" s="30">
        <v>219.25122107583812</v>
      </c>
      <c r="AC22" s="35">
        <v>1.7444444444444443E-2</v>
      </c>
      <c r="AD22" s="34">
        <v>0.69825310135715013</v>
      </c>
      <c r="AE22" s="34">
        <v>0.20908799761278896</v>
      </c>
      <c r="AF22" s="34">
        <v>0.15996566082219832</v>
      </c>
      <c r="AG22" s="30">
        <v>332.66686566734774</v>
      </c>
      <c r="AH22" s="35">
        <v>1.23E-2</v>
      </c>
      <c r="AI22" s="17">
        <v>0.66652358675915968</v>
      </c>
    </row>
    <row r="23" spans="1:35" x14ac:dyDescent="0.3">
      <c r="B23" s="1">
        <v>10</v>
      </c>
      <c r="C23" s="1">
        <v>4</v>
      </c>
      <c r="D23" s="4">
        <v>32.466666666666669</v>
      </c>
      <c r="E23" s="3">
        <v>3.5139999999999993</v>
      </c>
      <c r="F23" s="1">
        <v>25</v>
      </c>
      <c r="G23" s="1">
        <v>36</v>
      </c>
      <c r="H23" s="33">
        <v>87.120678710097735</v>
      </c>
      <c r="I23" s="41">
        <v>600</v>
      </c>
      <c r="J23" s="43">
        <v>564</v>
      </c>
      <c r="K23" s="30">
        <v>303</v>
      </c>
      <c r="L23" s="43">
        <v>86</v>
      </c>
      <c r="M23" s="3">
        <v>0.3</v>
      </c>
      <c r="N23" s="17">
        <v>0.2248189846147983</v>
      </c>
      <c r="O23" s="23">
        <v>357.19097382510409</v>
      </c>
      <c r="P23" s="23">
        <v>219.25122107583812</v>
      </c>
      <c r="Q23" s="24">
        <v>1.7444444444444443E-2</v>
      </c>
      <c r="R23" s="17">
        <v>0.749396615382661</v>
      </c>
      <c r="S23" s="3">
        <v>0.19321340015703939</v>
      </c>
      <c r="T23" s="23">
        <v>357.19097382510409</v>
      </c>
      <c r="U23" s="30">
        <v>210</v>
      </c>
      <c r="V23" s="35">
        <v>1.8255813953488371E-2</v>
      </c>
      <c r="W23" s="17">
        <f t="shared" si="0"/>
        <v>1.0754907969224252</v>
      </c>
      <c r="X23" s="17">
        <f t="shared" si="1"/>
        <v>0.85521885521885521</v>
      </c>
      <c r="Y23" s="34">
        <v>0.64404466719013131</v>
      </c>
      <c r="Z23" s="34">
        <v>0.19604078582316281</v>
      </c>
      <c r="AA23" s="30">
        <v>357.19097382510409</v>
      </c>
      <c r="AB23" s="30">
        <v>219.25122107583812</v>
      </c>
      <c r="AC23" s="35">
        <v>1.7444444444444443E-2</v>
      </c>
      <c r="AD23" s="34">
        <v>0.65346928607720944</v>
      </c>
      <c r="AE23" s="34">
        <v>0.23231999734754327</v>
      </c>
      <c r="AF23" s="34">
        <v>0.1974884701508621</v>
      </c>
      <c r="AG23" s="30">
        <v>369.62985074149748</v>
      </c>
      <c r="AH23" s="35">
        <v>1.23E-2</v>
      </c>
      <c r="AI23" s="17">
        <v>0.65829490050287365</v>
      </c>
    </row>
    <row r="24" spans="1:35" x14ac:dyDescent="0.3">
      <c r="B24" s="1">
        <v>10</v>
      </c>
      <c r="C24" s="1">
        <v>4</v>
      </c>
      <c r="D24" s="4">
        <v>32.466666666666669</v>
      </c>
      <c r="E24" s="3">
        <v>3.5139999999999993</v>
      </c>
      <c r="F24" s="1">
        <v>25</v>
      </c>
      <c r="G24" s="1">
        <v>36</v>
      </c>
      <c r="H24" s="33">
        <v>87.120678710097735</v>
      </c>
      <c r="I24" s="41">
        <v>600</v>
      </c>
      <c r="J24" s="43">
        <v>564</v>
      </c>
      <c r="K24" s="30">
        <v>303</v>
      </c>
      <c r="L24" s="43">
        <v>86</v>
      </c>
      <c r="M24" s="3">
        <v>0.3</v>
      </c>
      <c r="N24" s="17">
        <v>0.23816489395300877</v>
      </c>
      <c r="O24" s="23">
        <v>370.58563534354545</v>
      </c>
      <c r="P24" s="23">
        <v>219.25122107583812</v>
      </c>
      <c r="Q24" s="24">
        <v>1.7444444444444443E-2</v>
      </c>
      <c r="R24" s="17">
        <v>0.79388297984336265</v>
      </c>
      <c r="S24" s="3">
        <v>0.20441640490869767</v>
      </c>
      <c r="T24" s="23">
        <v>370.58563534354545</v>
      </c>
      <c r="U24" s="30">
        <v>210</v>
      </c>
      <c r="V24" s="35">
        <v>1.8255813953488371E-2</v>
      </c>
      <c r="W24" s="17">
        <f t="shared" si="0"/>
        <v>1.0754907969224252</v>
      </c>
      <c r="X24" s="17">
        <f t="shared" si="1"/>
        <v>0.85521885521885521</v>
      </c>
      <c r="Y24" s="34">
        <v>0.6813880163623256</v>
      </c>
      <c r="Z24" s="34">
        <v>0.20767833751244857</v>
      </c>
      <c r="AA24" s="30">
        <v>370.58563534354545</v>
      </c>
      <c r="AB24" s="30">
        <v>219.25122107583812</v>
      </c>
      <c r="AC24" s="35">
        <v>1.7444444444444443E-2</v>
      </c>
      <c r="AD24" s="34">
        <v>0.69226112504149528</v>
      </c>
      <c r="AE24" s="34">
        <v>0.24103199724807614</v>
      </c>
      <c r="AF24" s="34">
        <v>0.21257782357332636</v>
      </c>
      <c r="AG24" s="30">
        <v>383.49097014430362</v>
      </c>
      <c r="AH24" s="35">
        <v>1.23E-2</v>
      </c>
      <c r="AI24" s="17">
        <v>0.70859274524442117</v>
      </c>
    </row>
    <row r="25" spans="1:35" x14ac:dyDescent="0.3">
      <c r="B25" s="1">
        <v>10</v>
      </c>
      <c r="C25" s="1">
        <v>4</v>
      </c>
      <c r="D25" s="4">
        <v>32.466666666666669</v>
      </c>
      <c r="E25" s="3">
        <v>3.5139999999999993</v>
      </c>
      <c r="F25" s="1">
        <v>25</v>
      </c>
      <c r="G25" s="1">
        <v>36</v>
      </c>
      <c r="H25" s="33">
        <v>87.120678710097735</v>
      </c>
      <c r="I25" s="41">
        <v>600</v>
      </c>
      <c r="J25" s="43">
        <v>564</v>
      </c>
      <c r="K25" s="30">
        <v>303</v>
      </c>
      <c r="L25" s="43">
        <v>86</v>
      </c>
      <c r="M25" s="3">
        <v>0.3</v>
      </c>
      <c r="N25" s="17">
        <v>0.26040807618335954</v>
      </c>
      <c r="O25" s="23">
        <v>392.91007120761441</v>
      </c>
      <c r="P25" s="23">
        <v>219.25122107583812</v>
      </c>
      <c r="Q25" s="24">
        <v>1.7444444444444443E-2</v>
      </c>
      <c r="R25" s="17">
        <v>0.86802692061119846</v>
      </c>
      <c r="S25" s="3">
        <v>0.22308807949479487</v>
      </c>
      <c r="T25" s="23">
        <v>392.91007120761441</v>
      </c>
      <c r="U25" s="30">
        <v>210</v>
      </c>
      <c r="V25" s="35">
        <v>1.8255813953488371E-2</v>
      </c>
      <c r="W25" s="17">
        <f t="shared" si="0"/>
        <v>1.0754907969224252</v>
      </c>
      <c r="X25" s="17">
        <f t="shared" si="1"/>
        <v>0.85521885521885521</v>
      </c>
      <c r="Y25" s="34">
        <v>0.74362693164931626</v>
      </c>
      <c r="Z25" s="34">
        <v>0.22707425699459161</v>
      </c>
      <c r="AA25" s="30">
        <v>392.91007120761441</v>
      </c>
      <c r="AB25" s="30">
        <v>219.25122107583812</v>
      </c>
      <c r="AC25" s="35">
        <v>1.7444444444444443E-2</v>
      </c>
      <c r="AD25" s="34">
        <v>0.75691418998197202</v>
      </c>
      <c r="AE25" s="34">
        <v>0.25555199708229764</v>
      </c>
      <c r="AF25" s="34">
        <v>0.23896104888254321</v>
      </c>
      <c r="AG25" s="30">
        <v>406.59283581564728</v>
      </c>
      <c r="AH25" s="35">
        <v>1.23E-2</v>
      </c>
      <c r="AI25" s="17">
        <v>0.79653682960847738</v>
      </c>
    </row>
    <row r="26" spans="1:35" x14ac:dyDescent="0.3">
      <c r="B26" s="1">
        <v>10</v>
      </c>
      <c r="C26" s="1">
        <v>4</v>
      </c>
      <c r="D26" s="4">
        <v>32.466666666666669</v>
      </c>
      <c r="E26" s="3">
        <v>3.5139999999999993</v>
      </c>
      <c r="F26" s="1">
        <v>25</v>
      </c>
      <c r="G26" s="1">
        <v>36</v>
      </c>
      <c r="H26" s="33">
        <v>87.120678710097735</v>
      </c>
      <c r="I26" s="41">
        <v>600</v>
      </c>
      <c r="J26" s="43">
        <v>564</v>
      </c>
      <c r="K26" s="30">
        <v>303</v>
      </c>
      <c r="L26" s="43">
        <v>86</v>
      </c>
      <c r="M26" s="3">
        <v>0.38</v>
      </c>
      <c r="N26" s="17">
        <v>0.29154853130585062</v>
      </c>
      <c r="O26" s="23">
        <v>424.16428141731097</v>
      </c>
      <c r="P26" s="23">
        <v>219.25122107583812</v>
      </c>
      <c r="Q26" s="24">
        <v>1.7444444444444443E-2</v>
      </c>
      <c r="R26" s="17">
        <v>0.76723297712065952</v>
      </c>
      <c r="S26" s="3">
        <v>0.24922842391533095</v>
      </c>
      <c r="T26" s="23">
        <v>424.16428141731097</v>
      </c>
      <c r="U26" s="30">
        <v>210</v>
      </c>
      <c r="V26" s="35">
        <v>1.8255813953488371E-2</v>
      </c>
      <c r="W26" s="17">
        <f t="shared" si="0"/>
        <v>1.0754907969224252</v>
      </c>
      <c r="X26" s="17">
        <f t="shared" si="1"/>
        <v>0.85521885521885521</v>
      </c>
      <c r="Y26" s="34">
        <v>0.6558642734613972</v>
      </c>
      <c r="Z26" s="34">
        <v>0.25422854426959185</v>
      </c>
      <c r="AA26" s="30">
        <v>424.16428141731097</v>
      </c>
      <c r="AB26" s="30">
        <v>219.25122107583812</v>
      </c>
      <c r="AC26" s="35">
        <v>1.7444444444444443E-2</v>
      </c>
      <c r="AD26" s="34">
        <v>0.66902248491997851</v>
      </c>
      <c r="AE26" s="34">
        <v>0.27587999685020764</v>
      </c>
      <c r="AF26" s="34">
        <v>0.27848960048617671</v>
      </c>
      <c r="AG26" s="30">
        <v>438.93544775552829</v>
      </c>
      <c r="AH26" s="35">
        <v>1.23E-2</v>
      </c>
      <c r="AI26" s="17">
        <v>0.72599999171107277</v>
      </c>
    </row>
    <row r="27" spans="1:35" x14ac:dyDescent="0.3">
      <c r="B27" s="1">
        <v>10</v>
      </c>
      <c r="C27" s="1">
        <v>4</v>
      </c>
      <c r="D27" s="4">
        <v>32.466666666666669</v>
      </c>
      <c r="E27" s="3">
        <v>3.5139999999999993</v>
      </c>
      <c r="F27" s="1">
        <v>25</v>
      </c>
      <c r="G27" s="1">
        <v>36</v>
      </c>
      <c r="H27" s="33">
        <v>87.120678710097735</v>
      </c>
      <c r="I27" s="41">
        <v>600</v>
      </c>
      <c r="J27" s="43">
        <v>564</v>
      </c>
      <c r="K27" s="30">
        <v>303</v>
      </c>
      <c r="L27" s="43">
        <v>86</v>
      </c>
      <c r="M27" s="3">
        <v>0.44</v>
      </c>
      <c r="N27" s="17">
        <v>0.35827807799690314</v>
      </c>
      <c r="O27" s="23">
        <v>491.13758900951802</v>
      </c>
      <c r="P27" s="23">
        <v>219.25122107583812</v>
      </c>
      <c r="Q27" s="24">
        <v>1.7444444444444443E-2</v>
      </c>
      <c r="R27" s="17">
        <v>0.81426835908387074</v>
      </c>
      <c r="S27" s="3">
        <v>0.30524344767362266</v>
      </c>
      <c r="T27" s="23">
        <v>491.13758900951802</v>
      </c>
      <c r="U27" s="30">
        <v>210</v>
      </c>
      <c r="V27" s="35">
        <v>1.8255813953488371E-2</v>
      </c>
      <c r="W27" s="17">
        <f t="shared" si="0"/>
        <v>1.0754907969224252</v>
      </c>
      <c r="X27" s="17">
        <f t="shared" si="1"/>
        <v>0.85521885521885521</v>
      </c>
      <c r="Y27" s="34">
        <v>0.69373510834914243</v>
      </c>
      <c r="Z27" s="34">
        <v>0.31241630271602105</v>
      </c>
      <c r="AA27" s="30">
        <v>491.13758900951802</v>
      </c>
      <c r="AB27" s="30">
        <v>219.25122107583812</v>
      </c>
      <c r="AC27" s="35">
        <v>1.7444444444444443E-2</v>
      </c>
      <c r="AD27" s="34">
        <v>0.71003705162732056</v>
      </c>
      <c r="AE27" s="34">
        <v>0.31943999635287207</v>
      </c>
      <c r="AF27" s="34">
        <v>0.37337663887897365</v>
      </c>
      <c r="AG27" s="30">
        <v>508.24104476955904</v>
      </c>
      <c r="AH27" s="35">
        <v>1.23E-2</v>
      </c>
      <c r="AI27" s="17">
        <v>0.72599999171107288</v>
      </c>
    </row>
    <row r="28" spans="1:35" x14ac:dyDescent="0.3">
      <c r="A28" t="s">
        <v>9</v>
      </c>
      <c r="B28" s="1">
        <v>16</v>
      </c>
      <c r="C28" s="1">
        <v>4</v>
      </c>
      <c r="D28" s="4">
        <v>37</v>
      </c>
      <c r="E28" s="3">
        <v>4.2587999999999999</v>
      </c>
      <c r="F28" s="1">
        <v>20</v>
      </c>
      <c r="G28" s="1">
        <v>54</v>
      </c>
      <c r="H28" s="33">
        <v>87.082518617972042</v>
      </c>
      <c r="I28" s="41">
        <v>250</v>
      </c>
      <c r="J28" s="43">
        <v>196</v>
      </c>
      <c r="K28" s="30">
        <v>132</v>
      </c>
      <c r="L28" s="43">
        <v>128</v>
      </c>
      <c r="M28" s="3">
        <v>0.18</v>
      </c>
      <c r="N28" s="17">
        <v>3.8537839874132902E-2</v>
      </c>
      <c r="O28" s="23">
        <v>136.24998634844746</v>
      </c>
      <c r="P28" s="23">
        <v>59.302632231334044</v>
      </c>
      <c r="Q28" s="24">
        <v>0.11785107305322007</v>
      </c>
      <c r="R28" s="17">
        <v>0.21409911041184945</v>
      </c>
      <c r="S28" s="3">
        <v>4.3068885937083114E-2</v>
      </c>
      <c r="T28" s="23">
        <v>136.24998634844746</v>
      </c>
      <c r="U28" s="30">
        <v>108</v>
      </c>
      <c r="V28" s="35">
        <v>0.05</v>
      </c>
      <c r="W28" s="17">
        <f t="shared" si="0"/>
        <v>1.4957881812433311</v>
      </c>
      <c r="X28" s="17">
        <f t="shared" si="1"/>
        <v>0.4576271186440678</v>
      </c>
      <c r="Y28" s="34">
        <v>0.23927158853935063</v>
      </c>
      <c r="Z28" s="34">
        <v>4.5166877574692683E-2</v>
      </c>
      <c r="AA28" s="30">
        <v>136.24998634844746</v>
      </c>
      <c r="AB28" s="30">
        <v>59.302632231334044</v>
      </c>
      <c r="AC28" s="35">
        <v>0.11785107305322007</v>
      </c>
      <c r="AD28" s="34">
        <v>0.25092709763718157</v>
      </c>
      <c r="AE28" s="34">
        <v>4.8418033582336178E-2</v>
      </c>
      <c r="AF28" s="34">
        <v>4.2063309858943153E-2</v>
      </c>
      <c r="AG28" s="30">
        <v>145.97181571430423</v>
      </c>
      <c r="AH28" s="35">
        <v>5.45E-2</v>
      </c>
      <c r="AI28" s="17">
        <v>0.2336850547719064</v>
      </c>
    </row>
    <row r="29" spans="1:35" x14ac:dyDescent="0.3">
      <c r="B29" s="1">
        <v>16</v>
      </c>
      <c r="C29" s="1">
        <v>4</v>
      </c>
      <c r="D29" s="4">
        <v>37</v>
      </c>
      <c r="E29" s="3">
        <v>4.2587999999999999</v>
      </c>
      <c r="F29" s="1">
        <v>20</v>
      </c>
      <c r="G29" s="1">
        <v>54</v>
      </c>
      <c r="H29" s="33">
        <v>87.082518617972042</v>
      </c>
      <c r="I29" s="41">
        <v>250</v>
      </c>
      <c r="J29" s="43">
        <v>196</v>
      </c>
      <c r="K29" s="30">
        <v>132</v>
      </c>
      <c r="L29" s="43">
        <v>128</v>
      </c>
      <c r="M29" s="3">
        <v>0.2</v>
      </c>
      <c r="N29" s="17">
        <v>6.1464945828186207E-2</v>
      </c>
      <c r="O29" s="23">
        <v>196.14009023787494</v>
      </c>
      <c r="P29" s="23">
        <v>59.302632231334044</v>
      </c>
      <c r="Q29" s="24">
        <v>0.11785107305322007</v>
      </c>
      <c r="R29" s="17">
        <v>0.30732472914093101</v>
      </c>
      <c r="S29" s="3">
        <v>7.927348825357626E-2</v>
      </c>
      <c r="T29" s="23">
        <v>196.14009023787494</v>
      </c>
      <c r="U29" s="30">
        <v>108</v>
      </c>
      <c r="V29" s="35">
        <v>0.05</v>
      </c>
      <c r="W29" s="17">
        <f t="shared" si="0"/>
        <v>1.4957881812433311</v>
      </c>
      <c r="X29" s="17">
        <f t="shared" si="1"/>
        <v>0.4576271186440678</v>
      </c>
      <c r="Y29" s="34">
        <v>0.39636744126788126</v>
      </c>
      <c r="Z29" s="34">
        <v>7.2037760612011156E-2</v>
      </c>
      <c r="AA29" s="30">
        <v>196.14009023787494</v>
      </c>
      <c r="AB29" s="30">
        <v>59.302632231334044</v>
      </c>
      <c r="AC29" s="35">
        <v>0.11785107305322007</v>
      </c>
      <c r="AD29" s="34">
        <v>0.36018880306005574</v>
      </c>
      <c r="AE29" s="34">
        <v>6.9700685706440002E-2</v>
      </c>
      <c r="AF29" s="34">
        <v>8.7169238073822417E-2</v>
      </c>
      <c r="AG29" s="30">
        <v>210.13525119311927</v>
      </c>
      <c r="AH29" s="35">
        <v>5.45E-2</v>
      </c>
      <c r="AI29" s="17">
        <v>0.34850342853220001</v>
      </c>
    </row>
    <row r="30" spans="1:35" x14ac:dyDescent="0.3">
      <c r="B30" s="1">
        <v>16</v>
      </c>
      <c r="C30" s="1">
        <v>4</v>
      </c>
      <c r="D30" s="4">
        <v>37</v>
      </c>
      <c r="E30" s="3">
        <v>4.2587999999999999</v>
      </c>
      <c r="F30" s="1">
        <v>20</v>
      </c>
      <c r="G30" s="1">
        <v>54</v>
      </c>
      <c r="H30" s="33">
        <v>87.082518617972042</v>
      </c>
      <c r="I30" s="41">
        <v>250</v>
      </c>
      <c r="J30" s="43">
        <v>196</v>
      </c>
      <c r="K30" s="30">
        <v>132</v>
      </c>
      <c r="L30" s="43">
        <v>128</v>
      </c>
      <c r="M30" s="3">
        <v>0.26</v>
      </c>
      <c r="N30" s="17">
        <v>7.7227331171597871E-2</v>
      </c>
      <c r="O30" s="23">
        <v>237.31453666185638</v>
      </c>
      <c r="P30" s="23">
        <v>59.302632231334044</v>
      </c>
      <c r="Q30" s="24">
        <v>0.11785107305322007</v>
      </c>
      <c r="R30" s="17">
        <v>0.29702819681383796</v>
      </c>
      <c r="S30" s="3">
        <v>0.10416415234616534</v>
      </c>
      <c r="T30" s="23">
        <v>237.31453666185638</v>
      </c>
      <c r="U30" s="30">
        <v>108</v>
      </c>
      <c r="V30" s="35">
        <v>0.05</v>
      </c>
      <c r="W30" s="17">
        <f t="shared" si="0"/>
        <v>1.4957881812433311</v>
      </c>
      <c r="X30" s="17">
        <f t="shared" si="1"/>
        <v>0.4576271186440678</v>
      </c>
      <c r="Y30" s="34">
        <v>0.40063135517755899</v>
      </c>
      <c r="Z30" s="34">
        <v>9.0511492700167645E-2</v>
      </c>
      <c r="AA30" s="30">
        <v>237.31453666185638</v>
      </c>
      <c r="AB30" s="30">
        <v>59.302632231334044</v>
      </c>
      <c r="AC30" s="35">
        <v>0.11785107305322007</v>
      </c>
      <c r="AD30" s="34">
        <v>0.34812112576987553</v>
      </c>
      <c r="AE30" s="34">
        <v>8.4332509041761372E-2</v>
      </c>
      <c r="AF30" s="34">
        <v>0.12760837895228047</v>
      </c>
      <c r="AG30" s="30">
        <v>254.24761308480461</v>
      </c>
      <c r="AH30" s="35">
        <v>5.45E-2</v>
      </c>
      <c r="AI30" s="17">
        <v>0.3243558040067745</v>
      </c>
    </row>
    <row r="31" spans="1:35" x14ac:dyDescent="0.3">
      <c r="B31" s="1">
        <v>16</v>
      </c>
      <c r="C31" s="1">
        <v>4</v>
      </c>
      <c r="D31" s="4">
        <v>37</v>
      </c>
      <c r="E31" s="3">
        <v>4.2587999999999999</v>
      </c>
      <c r="F31" s="1">
        <v>20</v>
      </c>
      <c r="G31" s="1">
        <v>54</v>
      </c>
      <c r="H31" s="33">
        <v>87.082518617972042</v>
      </c>
      <c r="I31" s="41">
        <v>250</v>
      </c>
      <c r="J31" s="43">
        <v>196</v>
      </c>
      <c r="K31" s="30">
        <v>132</v>
      </c>
      <c r="L31" s="43">
        <v>128</v>
      </c>
      <c r="M31" s="3">
        <v>0.44</v>
      </c>
      <c r="N31" s="17">
        <v>0.10330691419433347</v>
      </c>
      <c r="O31" s="23">
        <v>305.43952983608006</v>
      </c>
      <c r="P31" s="23">
        <v>59.302632231334044</v>
      </c>
      <c r="Q31" s="24">
        <v>0.11785107305322007</v>
      </c>
      <c r="R31" s="17">
        <v>0.23478844135075788</v>
      </c>
      <c r="S31" s="3">
        <v>0.14534688748117627</v>
      </c>
      <c r="T31" s="23">
        <v>305.43952983608006</v>
      </c>
      <c r="U31" s="30">
        <v>108</v>
      </c>
      <c r="V31" s="35">
        <v>0.05</v>
      </c>
      <c r="W31" s="17">
        <f t="shared" si="0"/>
        <v>1.4957881812433311</v>
      </c>
      <c r="X31" s="17">
        <f t="shared" si="1"/>
        <v>0.4576271186440678</v>
      </c>
      <c r="Y31" s="34">
        <v>0.33033383518449155</v>
      </c>
      <c r="Z31" s="34">
        <v>0.12107712215511736</v>
      </c>
      <c r="AA31" s="30">
        <v>305.43952983608006</v>
      </c>
      <c r="AB31" s="30">
        <v>59.302632231334044</v>
      </c>
      <c r="AC31" s="35">
        <v>0.11785107305322007</v>
      </c>
      <c r="AD31" s="34">
        <v>0.27517527762526672</v>
      </c>
      <c r="AE31" s="34">
        <v>0.10854152583292943</v>
      </c>
      <c r="AF31" s="34">
        <v>0.21138832303946115</v>
      </c>
      <c r="AG31" s="30">
        <v>327.23352094195667</v>
      </c>
      <c r="AH31" s="35">
        <v>5.45E-2</v>
      </c>
      <c r="AI31" s="17">
        <v>0.24668528598393052</v>
      </c>
    </row>
    <row r="32" spans="1:35" x14ac:dyDescent="0.3">
      <c r="B32" s="1">
        <v>16</v>
      </c>
      <c r="C32" s="1">
        <v>4</v>
      </c>
      <c r="D32" s="4">
        <v>37</v>
      </c>
      <c r="E32" s="3">
        <v>4.2587999999999999</v>
      </c>
      <c r="F32" s="1">
        <v>20</v>
      </c>
      <c r="G32" s="1">
        <v>54</v>
      </c>
      <c r="H32" s="33">
        <v>87.082518617972042</v>
      </c>
      <c r="I32" s="41">
        <v>250</v>
      </c>
      <c r="J32" s="43">
        <v>196</v>
      </c>
      <c r="K32" s="30">
        <v>132</v>
      </c>
      <c r="L32" s="43">
        <v>128</v>
      </c>
      <c r="M32" s="3">
        <v>0.6</v>
      </c>
      <c r="N32" s="17">
        <v>0.14142322784294711</v>
      </c>
      <c r="O32" s="23">
        <v>405.00682755225324</v>
      </c>
      <c r="P32" s="23">
        <v>59.302632231334044</v>
      </c>
      <c r="Q32" s="24">
        <v>0.11785107305322007</v>
      </c>
      <c r="R32" s="17">
        <v>0.23570537973824521</v>
      </c>
      <c r="S32" s="3">
        <v>0.20553703883234614</v>
      </c>
      <c r="T32" s="23">
        <v>405.00682755225324</v>
      </c>
      <c r="U32" s="30">
        <v>108</v>
      </c>
      <c r="V32" s="35">
        <v>0.05</v>
      </c>
      <c r="W32" s="17">
        <f t="shared" si="0"/>
        <v>1.4957881812433311</v>
      </c>
      <c r="X32" s="17">
        <f t="shared" si="1"/>
        <v>0.4576271186440678</v>
      </c>
      <c r="Y32" s="34">
        <v>0.34256173138724361</v>
      </c>
      <c r="Z32" s="34">
        <v>0.16574996520465934</v>
      </c>
      <c r="AA32" s="30">
        <v>405.00682755225324</v>
      </c>
      <c r="AB32" s="30">
        <v>59.302632231334044</v>
      </c>
      <c r="AC32" s="35">
        <v>0.11785107305322007</v>
      </c>
      <c r="AD32" s="34">
        <v>0.27624994200776559</v>
      </c>
      <c r="AE32" s="34">
        <v>0.14392393498925204</v>
      </c>
      <c r="AF32" s="34">
        <v>0.37166802296900547</v>
      </c>
      <c r="AG32" s="30">
        <v>433.9052324254867</v>
      </c>
      <c r="AH32" s="35">
        <v>5.45E-2</v>
      </c>
      <c r="AI32" s="17">
        <v>0.23987322498208674</v>
      </c>
    </row>
    <row r="33" spans="1:35" x14ac:dyDescent="0.3">
      <c r="A33" t="s">
        <v>10</v>
      </c>
      <c r="B33" s="1">
        <v>12</v>
      </c>
      <c r="C33" s="1">
        <v>4</v>
      </c>
      <c r="D33" s="4">
        <v>79.3</v>
      </c>
      <c r="E33" s="3">
        <v>2.6933292113182881</v>
      </c>
      <c r="F33" s="1">
        <v>20</v>
      </c>
      <c r="G33" s="1">
        <v>38</v>
      </c>
      <c r="H33" s="33">
        <v>76.169428201642418</v>
      </c>
      <c r="I33" s="41">
        <v>450</v>
      </c>
      <c r="J33" s="43">
        <v>412</v>
      </c>
      <c r="K33" s="30">
        <v>228</v>
      </c>
      <c r="L33" s="43">
        <v>98</v>
      </c>
      <c r="M33" s="3">
        <v>0.36</v>
      </c>
      <c r="N33" s="17">
        <v>0.24349237783033942</v>
      </c>
      <c r="O33" s="23">
        <v>300.43295624924116</v>
      </c>
      <c r="P33" s="23">
        <v>216.14137246489236</v>
      </c>
      <c r="Q33" s="24">
        <v>1.3593984962406014E-2</v>
      </c>
      <c r="R33" s="17">
        <v>0.67636771619538727</v>
      </c>
      <c r="S33" s="3">
        <v>0.23427704146427794</v>
      </c>
      <c r="T33" s="23">
        <v>300.43295624924116</v>
      </c>
      <c r="U33" s="30">
        <v>222</v>
      </c>
      <c r="V33" s="35">
        <v>1.3177842565597668E-2</v>
      </c>
      <c r="W33" s="17">
        <f t="shared" si="0"/>
        <v>1.1131522952080024</v>
      </c>
      <c r="X33" s="17">
        <f t="shared" si="1"/>
        <v>0.77927927927927931</v>
      </c>
      <c r="Y33" s="34">
        <v>0.65076955962299432</v>
      </c>
      <c r="Z33" s="34">
        <v>0.19654297410838076</v>
      </c>
      <c r="AA33" s="30">
        <v>300.43295624924116</v>
      </c>
      <c r="AB33" s="30">
        <v>216.14137246489236</v>
      </c>
      <c r="AC33" s="35">
        <v>1.3593984962406014E-2</v>
      </c>
      <c r="AD33" s="34">
        <v>0.54595270585661326</v>
      </c>
      <c r="AE33" s="34">
        <v>0.22346339002485893</v>
      </c>
      <c r="AF33" s="34">
        <v>0.22693428965131127</v>
      </c>
      <c r="AG33" s="30">
        <v>309.032955202506</v>
      </c>
      <c r="AH33" s="35">
        <v>1.3599999999999999E-2</v>
      </c>
      <c r="AI33" s="17">
        <v>0.62073163895794148</v>
      </c>
    </row>
    <row r="34" spans="1:35" x14ac:dyDescent="0.3">
      <c r="B34" s="1">
        <v>12</v>
      </c>
      <c r="C34" s="1">
        <v>4</v>
      </c>
      <c r="D34" s="4">
        <v>79.3</v>
      </c>
      <c r="E34" s="3">
        <v>2.6933292113182881</v>
      </c>
      <c r="F34" s="1">
        <v>20</v>
      </c>
      <c r="G34" s="1">
        <v>38</v>
      </c>
      <c r="H34" s="33">
        <v>76.169428201642418</v>
      </c>
      <c r="I34" s="41">
        <v>450</v>
      </c>
      <c r="J34" s="43">
        <v>412</v>
      </c>
      <c r="K34" s="30">
        <v>228</v>
      </c>
      <c r="L34" s="43">
        <v>98</v>
      </c>
      <c r="M34" s="3">
        <v>0.43</v>
      </c>
      <c r="N34" s="17">
        <v>0.3659001333084595</v>
      </c>
      <c r="O34" s="23">
        <v>386.27094374902435</v>
      </c>
      <c r="P34" s="23">
        <v>216.14137246489236</v>
      </c>
      <c r="Q34" s="24">
        <v>1.3593984962406014E-2</v>
      </c>
      <c r="R34" s="17">
        <v>0.85093054257781275</v>
      </c>
      <c r="S34" s="3">
        <v>0.3546996371558378</v>
      </c>
      <c r="T34" s="23">
        <v>386.27094374902435</v>
      </c>
      <c r="U34" s="30">
        <v>222</v>
      </c>
      <c r="V34" s="35">
        <v>1.3177842565597668E-2</v>
      </c>
      <c r="W34" s="17">
        <f t="shared" si="0"/>
        <v>1.1131522952080024</v>
      </c>
      <c r="X34" s="17">
        <f t="shared" si="1"/>
        <v>0.77927927927927931</v>
      </c>
      <c r="Y34" s="34">
        <v>0.82488287710659958</v>
      </c>
      <c r="Z34" s="34">
        <v>0.27976402135554856</v>
      </c>
      <c r="AA34" s="30">
        <v>386.27094374902435</v>
      </c>
      <c r="AB34" s="30">
        <v>216.14137246489236</v>
      </c>
      <c r="AC34" s="35">
        <v>1.3593984962406014E-2</v>
      </c>
      <c r="AD34" s="34">
        <v>0.65061400315243856</v>
      </c>
      <c r="AE34" s="34">
        <v>0.28731007288910421</v>
      </c>
      <c r="AF34" s="34">
        <v>0.37513627472971839</v>
      </c>
      <c r="AG34" s="30">
        <v>397.32808526036473</v>
      </c>
      <c r="AH34" s="35">
        <v>1.3599999999999999E-2</v>
      </c>
      <c r="AI34" s="17">
        <v>0.6681629602072191</v>
      </c>
    </row>
    <row r="35" spans="1:35" x14ac:dyDescent="0.3">
      <c r="B35" s="1">
        <v>12</v>
      </c>
      <c r="C35" s="1">
        <v>4</v>
      </c>
      <c r="D35" s="4">
        <v>79.3</v>
      </c>
      <c r="E35" s="3">
        <v>2.6933292113182881</v>
      </c>
      <c r="F35" s="1">
        <v>20</v>
      </c>
      <c r="G35" s="1">
        <v>38</v>
      </c>
      <c r="H35" s="33">
        <v>76.169428201642418</v>
      </c>
      <c r="I35" s="41">
        <v>450</v>
      </c>
      <c r="J35" s="43">
        <v>412</v>
      </c>
      <c r="K35" s="30">
        <v>228</v>
      </c>
      <c r="L35" s="43">
        <v>98</v>
      </c>
      <c r="M35" s="3">
        <v>0.56000000000000005</v>
      </c>
      <c r="N35" s="17">
        <v>0.52808145784570992</v>
      </c>
      <c r="O35" s="23">
        <v>500</v>
      </c>
      <c r="P35" s="23">
        <v>216.14137246489236</v>
      </c>
      <c r="Q35" s="24">
        <v>1.3593984962406014E-2</v>
      </c>
      <c r="R35" s="17">
        <v>0.94300260329591046</v>
      </c>
      <c r="S35" s="3">
        <v>0.51425077014725951</v>
      </c>
      <c r="T35" s="23">
        <v>500</v>
      </c>
      <c r="U35" s="30">
        <v>222</v>
      </c>
      <c r="V35" s="35">
        <v>1.3177842565597668E-2</v>
      </c>
      <c r="W35" s="17">
        <f t="shared" si="0"/>
        <v>1.1131522952080024</v>
      </c>
      <c r="X35" s="17">
        <f t="shared" si="1"/>
        <v>0.77927927927927931</v>
      </c>
      <c r="Y35" s="34">
        <v>0.91830494669153473</v>
      </c>
      <c r="Z35" s="34">
        <v>0.40376643461255818</v>
      </c>
      <c r="AA35" s="30">
        <v>500</v>
      </c>
      <c r="AB35" s="30">
        <v>216.14137246489236</v>
      </c>
      <c r="AC35" s="35">
        <v>1.3593984962406014E-2</v>
      </c>
      <c r="AD35" s="34">
        <v>0.72101149037956813</v>
      </c>
      <c r="AE35" s="34">
        <v>0.36155268598849877</v>
      </c>
      <c r="AF35" s="34">
        <v>0.59406031512087509</v>
      </c>
      <c r="AG35" s="30">
        <v>500</v>
      </c>
      <c r="AH35" s="35">
        <v>1.3599999999999999E-2</v>
      </c>
      <c r="AI35" s="17">
        <v>0.64562979640803342</v>
      </c>
    </row>
    <row r="36" spans="1:35" x14ac:dyDescent="0.3">
      <c r="B36" s="1">
        <v>12</v>
      </c>
      <c r="C36" s="1">
        <v>4</v>
      </c>
      <c r="D36" s="4">
        <v>79.3</v>
      </c>
      <c r="E36" s="3">
        <v>2.6933292113182881</v>
      </c>
      <c r="F36" s="1">
        <v>20</v>
      </c>
      <c r="G36" s="1">
        <v>38</v>
      </c>
      <c r="H36" s="33">
        <v>76.169428201642418</v>
      </c>
      <c r="I36" s="41">
        <v>450</v>
      </c>
      <c r="J36" s="43">
        <v>412</v>
      </c>
      <c r="K36" s="30">
        <v>228</v>
      </c>
      <c r="L36" s="43">
        <v>98</v>
      </c>
      <c r="M36" s="3">
        <v>0.71</v>
      </c>
      <c r="N36" s="17">
        <v>0.52808145784570992</v>
      </c>
      <c r="O36" s="23">
        <v>500</v>
      </c>
      <c r="P36" s="23">
        <v>216.14137246489236</v>
      </c>
      <c r="Q36" s="24">
        <v>1.3593984962406014E-2</v>
      </c>
      <c r="R36" s="17">
        <v>0.74377670119114081</v>
      </c>
      <c r="S36" s="3">
        <v>0.51425077014725951</v>
      </c>
      <c r="T36" s="23">
        <v>500</v>
      </c>
      <c r="U36" s="30">
        <v>222</v>
      </c>
      <c r="V36" s="35">
        <v>1.3177842565597668E-2</v>
      </c>
      <c r="W36" s="17">
        <f t="shared" si="0"/>
        <v>1.1131522952080024</v>
      </c>
      <c r="X36" s="17">
        <f t="shared" si="1"/>
        <v>0.77927927927927931</v>
      </c>
      <c r="Y36" s="34">
        <v>0.72429685936233734</v>
      </c>
      <c r="Z36" s="34">
        <v>0.40376643461255818</v>
      </c>
      <c r="AA36" s="30">
        <v>500</v>
      </c>
      <c r="AB36" s="30">
        <v>216.14137246489236</v>
      </c>
      <c r="AC36" s="35">
        <v>1.3593984962406014E-2</v>
      </c>
      <c r="AD36" s="34">
        <v>0.56868511917261721</v>
      </c>
      <c r="AE36" s="34">
        <v>0.36155268598849877</v>
      </c>
      <c r="AF36" s="34">
        <v>0.59406031512087509</v>
      </c>
      <c r="AG36" s="30">
        <v>500</v>
      </c>
      <c r="AH36" s="35">
        <v>1.3599999999999999E-2</v>
      </c>
      <c r="AI36" s="17">
        <v>0.50922913519506874</v>
      </c>
    </row>
    <row r="37" spans="1:35" x14ac:dyDescent="0.3">
      <c r="B37" s="1">
        <v>12</v>
      </c>
      <c r="C37" s="1">
        <v>4</v>
      </c>
      <c r="D37" s="4">
        <v>79.3</v>
      </c>
      <c r="E37" s="3">
        <v>2.6933292113182881</v>
      </c>
      <c r="F37" s="1">
        <v>20</v>
      </c>
      <c r="G37" s="1">
        <v>38</v>
      </c>
      <c r="H37" s="33">
        <v>76.169428201642418</v>
      </c>
      <c r="I37" s="41">
        <v>450</v>
      </c>
      <c r="J37" s="43">
        <v>412</v>
      </c>
      <c r="K37" s="30">
        <v>228</v>
      </c>
      <c r="L37" s="43">
        <v>98</v>
      </c>
      <c r="M37" s="3">
        <v>0.79</v>
      </c>
      <c r="N37" s="17">
        <v>0.52808145784570992</v>
      </c>
      <c r="O37" s="23">
        <v>500</v>
      </c>
      <c r="P37" s="23">
        <v>216.14137246489236</v>
      </c>
      <c r="Q37" s="24">
        <v>1.3593984962406014E-2</v>
      </c>
      <c r="R37" s="17">
        <v>0.668457541576848</v>
      </c>
      <c r="S37" s="3">
        <v>0.51425077014725951</v>
      </c>
      <c r="T37" s="23">
        <v>500</v>
      </c>
      <c r="U37" s="30">
        <v>222</v>
      </c>
      <c r="V37" s="35">
        <v>1.3177842565597668E-2</v>
      </c>
      <c r="W37" s="17">
        <f t="shared" si="0"/>
        <v>1.1131522952080024</v>
      </c>
      <c r="X37" s="17">
        <f t="shared" si="1"/>
        <v>0.77927927927927931</v>
      </c>
      <c r="Y37" s="34">
        <v>0.65095034195855628</v>
      </c>
      <c r="Z37" s="34">
        <v>0.40376643461255818</v>
      </c>
      <c r="AA37" s="30">
        <v>500</v>
      </c>
      <c r="AB37" s="30">
        <v>216.14137246489236</v>
      </c>
      <c r="AC37" s="35">
        <v>1.3593984962406014E-2</v>
      </c>
      <c r="AD37" s="34">
        <v>0.51109675267412424</v>
      </c>
      <c r="AE37" s="34">
        <v>0.36155268598849877</v>
      </c>
      <c r="AF37" s="34">
        <v>0.59406031512087509</v>
      </c>
      <c r="AG37" s="30">
        <v>500</v>
      </c>
      <c r="AH37" s="35">
        <v>1.3599999999999999E-2</v>
      </c>
      <c r="AI37" s="17">
        <v>0.45766162783354275</v>
      </c>
    </row>
    <row r="38" spans="1:35" x14ac:dyDescent="0.3">
      <c r="A38" t="s">
        <v>11</v>
      </c>
      <c r="B38" s="1">
        <v>25</v>
      </c>
      <c r="C38" s="1">
        <v>4</v>
      </c>
      <c r="D38" s="4">
        <v>62</v>
      </c>
      <c r="E38" s="3">
        <v>2.6933292113182881</v>
      </c>
      <c r="F38" s="1">
        <v>20</v>
      </c>
      <c r="G38" s="1">
        <v>44.5</v>
      </c>
      <c r="H38" s="33">
        <v>140.9271689293702</v>
      </c>
      <c r="I38" s="41">
        <v>450</v>
      </c>
      <c r="J38" s="43">
        <v>405.5</v>
      </c>
      <c r="K38" s="30">
        <v>237</v>
      </c>
      <c r="L38" s="43">
        <v>155.75</v>
      </c>
      <c r="M38" s="3">
        <v>0.2</v>
      </c>
      <c r="N38" s="17">
        <v>5.5303249925340386E-2</v>
      </c>
      <c r="O38" s="23">
        <v>106.51265522599461</v>
      </c>
      <c r="P38" s="23">
        <v>67.463611650618674</v>
      </c>
      <c r="Q38" s="24">
        <v>5.4467051199458924E-2</v>
      </c>
      <c r="R38" s="17">
        <v>0.2765162496267019</v>
      </c>
      <c r="S38" s="3">
        <v>5.2197084757393944E-2</v>
      </c>
      <c r="T38" s="23">
        <v>106.51265522599461</v>
      </c>
      <c r="U38" s="30">
        <v>93</v>
      </c>
      <c r="V38" s="35">
        <v>3.6028433845448293E-2</v>
      </c>
      <c r="W38" s="17">
        <f t="shared" si="0"/>
        <v>1.1681956526674515</v>
      </c>
      <c r="X38" s="17">
        <f t="shared" si="1"/>
        <v>0.63438967136150237</v>
      </c>
      <c r="Y38" s="34">
        <v>0.26098542378696971</v>
      </c>
      <c r="Z38" s="34">
        <v>4.8214693594379979E-2</v>
      </c>
      <c r="AA38" s="30">
        <v>106.51265522599461</v>
      </c>
      <c r="AB38" s="30">
        <v>67.463611650618674</v>
      </c>
      <c r="AC38" s="35">
        <v>5.4467051199458924E-2</v>
      </c>
      <c r="AD38" s="34">
        <v>0.24107346797189988</v>
      </c>
      <c r="AE38" s="34">
        <v>8.9930527918053185E-2</v>
      </c>
      <c r="AF38" s="34">
        <v>6.1700380095881441E-2</v>
      </c>
      <c r="AG38" s="30">
        <v>111.63985715068755</v>
      </c>
      <c r="AH38" s="35">
        <v>2.9399999999999999E-2</v>
      </c>
      <c r="AI38" s="17">
        <v>0.30850190047940718</v>
      </c>
    </row>
    <row r="39" spans="1:35" x14ac:dyDescent="0.3">
      <c r="B39" s="1">
        <v>25</v>
      </c>
      <c r="C39" s="1">
        <v>4</v>
      </c>
      <c r="D39" s="4">
        <v>62</v>
      </c>
      <c r="E39" s="3">
        <v>2.6933292113182881</v>
      </c>
      <c r="F39" s="1">
        <v>20</v>
      </c>
      <c r="G39" s="1">
        <v>44.5</v>
      </c>
      <c r="H39" s="33">
        <v>140.9271689293702</v>
      </c>
      <c r="I39" s="41">
        <v>450</v>
      </c>
      <c r="J39" s="43">
        <v>405.5</v>
      </c>
      <c r="K39" s="30">
        <v>237</v>
      </c>
      <c r="L39" s="43">
        <v>155.75</v>
      </c>
      <c r="M39" s="3">
        <v>0.25</v>
      </c>
      <c r="N39" s="17">
        <v>0.12666591085677853</v>
      </c>
      <c r="O39" s="23">
        <v>191.72277940679027</v>
      </c>
      <c r="P39" s="23">
        <v>67.463611650618674</v>
      </c>
      <c r="Q39" s="24">
        <v>5.4467051199458924E-2</v>
      </c>
      <c r="R39" s="17">
        <v>0.50666364342711412</v>
      </c>
      <c r="S39" s="3">
        <v>0.13966391626237357</v>
      </c>
      <c r="T39" s="23">
        <v>191.72277940679027</v>
      </c>
      <c r="U39" s="30">
        <v>93</v>
      </c>
      <c r="V39" s="35">
        <v>3.6028433845448293E-2</v>
      </c>
      <c r="W39" s="17">
        <f t="shared" si="0"/>
        <v>1.1681956526674515</v>
      </c>
      <c r="X39" s="17">
        <f t="shared" si="1"/>
        <v>0.63438967136150237</v>
      </c>
      <c r="Y39" s="34">
        <v>0.55865566504949427</v>
      </c>
      <c r="Z39" s="34">
        <v>0.11043036510616128</v>
      </c>
      <c r="AA39" s="30">
        <v>191.72277940679027</v>
      </c>
      <c r="AB39" s="30">
        <v>67.463611650618674</v>
      </c>
      <c r="AC39" s="35">
        <v>5.4467051199458924E-2</v>
      </c>
      <c r="AD39" s="34">
        <v>0.44172146042464511</v>
      </c>
      <c r="AE39" s="34">
        <v>0.16187495025249571</v>
      </c>
      <c r="AF39" s="34">
        <v>0.19990923151065582</v>
      </c>
      <c r="AG39" s="30">
        <v>200.95174287123757</v>
      </c>
      <c r="AH39" s="35">
        <v>2.9399999999999999E-2</v>
      </c>
      <c r="AI39" s="17">
        <v>0.64749980100998283</v>
      </c>
    </row>
    <row r="40" spans="1:35" x14ac:dyDescent="0.3">
      <c r="B40" s="1">
        <v>25</v>
      </c>
      <c r="C40" s="1">
        <v>4</v>
      </c>
      <c r="D40" s="4">
        <v>62</v>
      </c>
      <c r="E40" s="3">
        <v>2.6933292113182881</v>
      </c>
      <c r="F40" s="1">
        <v>20</v>
      </c>
      <c r="G40" s="1">
        <v>44.5</v>
      </c>
      <c r="H40" s="33">
        <v>140.9271689293702</v>
      </c>
      <c r="I40" s="41">
        <v>450</v>
      </c>
      <c r="J40" s="43">
        <v>405.5</v>
      </c>
      <c r="K40" s="30">
        <v>237</v>
      </c>
      <c r="L40" s="43">
        <v>155.75</v>
      </c>
      <c r="M40" s="3">
        <v>0.36</v>
      </c>
      <c r="N40" s="17">
        <v>0.19802857178821667</v>
      </c>
      <c r="O40" s="23">
        <v>276.93290358758594</v>
      </c>
      <c r="P40" s="23">
        <v>67.463611650618674</v>
      </c>
      <c r="Q40" s="24">
        <v>5.4467051199458924E-2</v>
      </c>
      <c r="R40" s="17">
        <v>0.55007936607837971</v>
      </c>
      <c r="S40" s="3">
        <v>0.22713074776735323</v>
      </c>
      <c r="T40" s="23">
        <v>276.93290358758594</v>
      </c>
      <c r="U40" s="30">
        <v>93</v>
      </c>
      <c r="V40" s="35">
        <v>3.6028433845448293E-2</v>
      </c>
      <c r="W40" s="17">
        <f t="shared" si="0"/>
        <v>1.1681956526674515</v>
      </c>
      <c r="X40" s="17">
        <f t="shared" si="1"/>
        <v>0.63438967136150237</v>
      </c>
      <c r="Y40" s="34">
        <v>0.63091874379820345</v>
      </c>
      <c r="Z40" s="34">
        <v>0.17264603661794256</v>
      </c>
      <c r="AA40" s="30">
        <v>276.93290358758594</v>
      </c>
      <c r="AB40" s="30">
        <v>67.463611650618674</v>
      </c>
      <c r="AC40" s="35">
        <v>5.4467051199458924E-2</v>
      </c>
      <c r="AD40" s="34">
        <v>0.47957232393872934</v>
      </c>
      <c r="AE40" s="34">
        <v>0.23381937258693825</v>
      </c>
      <c r="AF40" s="34">
        <v>0.41709456944815854</v>
      </c>
      <c r="AG40" s="30">
        <v>290.26362859178761</v>
      </c>
      <c r="AH40" s="35">
        <v>2.9399999999999999E-2</v>
      </c>
      <c r="AI40" s="17">
        <v>0.64949825718593956</v>
      </c>
    </row>
    <row r="41" spans="1:35" x14ac:dyDescent="0.3">
      <c r="B41" s="1">
        <v>25</v>
      </c>
      <c r="C41" s="1">
        <v>4</v>
      </c>
      <c r="D41" s="4">
        <v>62</v>
      </c>
      <c r="E41" s="3">
        <v>2.6933292113182881</v>
      </c>
      <c r="F41" s="1">
        <v>20</v>
      </c>
      <c r="G41" s="1">
        <v>44.5</v>
      </c>
      <c r="H41" s="33">
        <v>140.9271689293702</v>
      </c>
      <c r="I41" s="41">
        <v>450</v>
      </c>
      <c r="J41" s="43">
        <v>405.5</v>
      </c>
      <c r="K41" s="30">
        <v>237</v>
      </c>
      <c r="L41" s="43">
        <v>155.75</v>
      </c>
      <c r="M41" s="3">
        <v>0.47</v>
      </c>
      <c r="N41" s="17">
        <v>0.26939123271965482</v>
      </c>
      <c r="O41" s="23">
        <v>362.14302776838161</v>
      </c>
      <c r="P41" s="23">
        <v>67.463611650618674</v>
      </c>
      <c r="Q41" s="24">
        <v>5.4467051199458924E-2</v>
      </c>
      <c r="R41" s="17">
        <v>0.57317283557373366</v>
      </c>
      <c r="S41" s="3">
        <v>0.31459757927233289</v>
      </c>
      <c r="T41" s="23">
        <v>362.14302776838161</v>
      </c>
      <c r="U41" s="30">
        <v>93</v>
      </c>
      <c r="V41" s="35">
        <v>3.6028433845448293E-2</v>
      </c>
      <c r="W41" s="17">
        <f t="shared" si="0"/>
        <v>1.1681956526674515</v>
      </c>
      <c r="X41" s="17">
        <f t="shared" si="1"/>
        <v>0.63438967136150237</v>
      </c>
      <c r="Y41" s="34">
        <v>0.66935655164326147</v>
      </c>
      <c r="Z41" s="34">
        <v>0.23486170812972385</v>
      </c>
      <c r="AA41" s="30">
        <v>362.14302776838161</v>
      </c>
      <c r="AB41" s="30">
        <v>67.463611650618674</v>
      </c>
      <c r="AC41" s="35">
        <v>5.4467051199458924E-2</v>
      </c>
      <c r="AD41" s="34">
        <v>0.49970576197813588</v>
      </c>
      <c r="AE41" s="34">
        <v>0.30576379492138084</v>
      </c>
      <c r="AF41" s="34">
        <v>0.71325639390838957</v>
      </c>
      <c r="AG41" s="30">
        <v>379.5755143123377</v>
      </c>
      <c r="AH41" s="35">
        <v>2.9399999999999999E-2</v>
      </c>
      <c r="AI41" s="17">
        <v>0.65056126579017204</v>
      </c>
    </row>
    <row r="42" spans="1:35" x14ac:dyDescent="0.3">
      <c r="B42" s="1">
        <v>25</v>
      </c>
      <c r="C42" s="1">
        <v>4</v>
      </c>
      <c r="D42" s="4">
        <v>62</v>
      </c>
      <c r="E42" s="3">
        <v>2.6933292113182881</v>
      </c>
      <c r="F42" s="1">
        <v>20</v>
      </c>
      <c r="G42" s="1">
        <v>44.5</v>
      </c>
      <c r="H42" s="33">
        <v>140.9271689293702</v>
      </c>
      <c r="I42" s="41">
        <v>450</v>
      </c>
      <c r="J42" s="43">
        <v>405.5</v>
      </c>
      <c r="K42" s="30">
        <v>237</v>
      </c>
      <c r="L42" s="43">
        <v>155.75</v>
      </c>
      <c r="M42" s="3">
        <v>0.56999999999999995</v>
      </c>
      <c r="N42" s="17">
        <v>0.32291322841823344</v>
      </c>
      <c r="O42" s="23">
        <v>426.05062090397843</v>
      </c>
      <c r="P42" s="23">
        <v>67.463611650618674</v>
      </c>
      <c r="Q42" s="24">
        <v>5.4467051199458924E-2</v>
      </c>
      <c r="R42" s="17">
        <v>0.56651443582146221</v>
      </c>
      <c r="S42" s="3">
        <v>0.38019770290106769</v>
      </c>
      <c r="T42" s="23">
        <v>426.05062090397843</v>
      </c>
      <c r="U42" s="30">
        <v>93</v>
      </c>
      <c r="V42" s="35">
        <v>3.6028433845448293E-2</v>
      </c>
      <c r="W42" s="17">
        <f t="shared" si="0"/>
        <v>1.1681956526674515</v>
      </c>
      <c r="X42" s="17">
        <f t="shared" si="1"/>
        <v>0.63438967136150237</v>
      </c>
      <c r="Y42" s="34">
        <v>0.6670135138615223</v>
      </c>
      <c r="Z42" s="34">
        <v>0.28152346176355986</v>
      </c>
      <c r="AA42" s="30">
        <v>426.05062090397843</v>
      </c>
      <c r="AB42" s="30">
        <v>67.463611650618674</v>
      </c>
      <c r="AC42" s="35">
        <v>5.4467051199458924E-2</v>
      </c>
      <c r="AD42" s="34">
        <v>0.49390081011150855</v>
      </c>
      <c r="AE42" s="34">
        <v>0.35972211167221274</v>
      </c>
      <c r="AF42" s="34">
        <v>0.98720608153410305</v>
      </c>
      <c r="AG42" s="30">
        <v>446.55942860275019</v>
      </c>
      <c r="AH42" s="35">
        <v>2.9399999999999999E-2</v>
      </c>
      <c r="AI42" s="17">
        <v>0.63109142398633822</v>
      </c>
    </row>
    <row r="43" spans="1:35" x14ac:dyDescent="0.3">
      <c r="B43" s="1">
        <v>25</v>
      </c>
      <c r="C43" s="1">
        <v>4</v>
      </c>
      <c r="D43" s="4">
        <v>62</v>
      </c>
      <c r="E43" s="3">
        <v>2.6933292113182881</v>
      </c>
      <c r="F43" s="1">
        <v>20</v>
      </c>
      <c r="G43" s="1">
        <v>44.5</v>
      </c>
      <c r="H43" s="33">
        <v>140.9271689293702</v>
      </c>
      <c r="I43" s="41">
        <v>450</v>
      </c>
      <c r="J43" s="43">
        <v>405.5</v>
      </c>
      <c r="K43" s="30">
        <v>237</v>
      </c>
      <c r="L43" s="43">
        <v>155.75</v>
      </c>
      <c r="M43" s="3">
        <v>0.78</v>
      </c>
      <c r="N43" s="17">
        <v>0.3848451234513019</v>
      </c>
      <c r="O43" s="23">
        <v>500</v>
      </c>
      <c r="P43" s="23">
        <v>67.463611650618674</v>
      </c>
      <c r="Q43" s="24">
        <v>5.4467051199458924E-2</v>
      </c>
      <c r="R43" s="17">
        <v>0.49339118391192549</v>
      </c>
      <c r="S43" s="3">
        <v>0.45610555943189235</v>
      </c>
      <c r="T43" s="23">
        <v>500</v>
      </c>
      <c r="U43" s="30">
        <v>93</v>
      </c>
      <c r="V43" s="35">
        <v>3.6028433845448293E-2</v>
      </c>
      <c r="W43" s="17">
        <f t="shared" si="0"/>
        <v>1.1681956526674515</v>
      </c>
      <c r="X43" s="17">
        <f t="shared" si="1"/>
        <v>0.63438967136150237</v>
      </c>
      <c r="Y43" s="34">
        <v>0.58475071722037475</v>
      </c>
      <c r="Z43" s="34">
        <v>0.33551716641509205</v>
      </c>
      <c r="AA43" s="30">
        <v>500</v>
      </c>
      <c r="AB43" s="30">
        <v>67.463611650618674</v>
      </c>
      <c r="AC43" s="35">
        <v>5.4467051199458924E-2</v>
      </c>
      <c r="AD43" s="34">
        <v>0.43015021335268211</v>
      </c>
      <c r="AE43" s="34">
        <v>0.40277070489560068</v>
      </c>
      <c r="AF43" s="34">
        <v>1.2376256565018231</v>
      </c>
      <c r="AG43" s="30">
        <v>500</v>
      </c>
      <c r="AH43" s="35">
        <v>2.9399999999999999E-2</v>
      </c>
      <c r="AI43" s="17">
        <v>0.5163726985841034</v>
      </c>
    </row>
    <row r="44" spans="1:35" x14ac:dyDescent="0.3">
      <c r="A44" t="s">
        <v>12</v>
      </c>
      <c r="B44" s="1">
        <v>12</v>
      </c>
      <c r="C44" s="1">
        <v>4</v>
      </c>
      <c r="D44" s="4">
        <v>79.3</v>
      </c>
      <c r="E44" s="3">
        <v>2.6933292113182881</v>
      </c>
      <c r="F44" s="1">
        <v>20</v>
      </c>
      <c r="G44" s="1">
        <v>34</v>
      </c>
      <c r="H44" s="33">
        <v>76.575869689672942</v>
      </c>
      <c r="I44" s="41">
        <v>450</v>
      </c>
      <c r="J44" s="43">
        <v>416</v>
      </c>
      <c r="K44" s="30">
        <v>228</v>
      </c>
      <c r="L44" s="43">
        <v>94</v>
      </c>
      <c r="M44" s="3">
        <v>0.21</v>
      </c>
      <c r="N44" s="17">
        <v>0.12360127884858937</v>
      </c>
      <c r="O44" s="23">
        <v>212.47112712608967</v>
      </c>
      <c r="P44" s="23">
        <v>195.28594715601179</v>
      </c>
      <c r="Q44" s="24">
        <v>1.5193277310924369E-2</v>
      </c>
      <c r="R44" s="17">
        <v>0.58857751832661609</v>
      </c>
      <c r="S44" s="3">
        <v>0.11503882209236421</v>
      </c>
      <c r="T44" s="23">
        <v>212.47112712608967</v>
      </c>
      <c r="U44" s="30">
        <v>214</v>
      </c>
      <c r="V44" s="35">
        <v>1.3738601823708207E-2</v>
      </c>
      <c r="W44" s="17">
        <f t="shared" si="0"/>
        <v>1.1001696607984666</v>
      </c>
      <c r="X44" s="17">
        <f t="shared" si="1"/>
        <v>0.78828828828828823</v>
      </c>
      <c r="Y44" s="34">
        <v>0.54780391472554391</v>
      </c>
      <c r="Z44" s="34">
        <v>0.12892954824311861</v>
      </c>
      <c r="AA44" s="30">
        <v>212.47112712608967</v>
      </c>
      <c r="AB44" s="30">
        <v>195.28594715601179</v>
      </c>
      <c r="AC44" s="35">
        <v>1.5193277310924369E-2</v>
      </c>
      <c r="AD44" s="34">
        <v>0.61395022972913627</v>
      </c>
      <c r="AE44" s="34">
        <v>0.15801973878160064</v>
      </c>
      <c r="AF44" s="34">
        <v>0.11347757222863582</v>
      </c>
      <c r="AG44" s="30">
        <v>218.52933874570545</v>
      </c>
      <c r="AH44" s="35">
        <v>1.3599999999999999E-2</v>
      </c>
      <c r="AI44" s="17">
        <v>0.54036939156493247</v>
      </c>
    </row>
    <row r="45" spans="1:35" x14ac:dyDescent="0.3">
      <c r="B45" s="1">
        <v>12</v>
      </c>
      <c r="C45" s="1">
        <v>4</v>
      </c>
      <c r="D45" s="4">
        <v>79.3</v>
      </c>
      <c r="E45" s="3">
        <v>2.6933292113182881</v>
      </c>
      <c r="F45" s="1">
        <v>20</v>
      </c>
      <c r="G45" s="1">
        <v>34</v>
      </c>
      <c r="H45" s="33">
        <v>76.575869689672942</v>
      </c>
      <c r="I45" s="41">
        <v>450</v>
      </c>
      <c r="J45" s="43">
        <v>416</v>
      </c>
      <c r="K45" s="30">
        <v>228</v>
      </c>
      <c r="L45" s="43">
        <v>94</v>
      </c>
      <c r="M45" s="3">
        <v>0.31</v>
      </c>
      <c r="N45" s="17">
        <v>0.17871528641151765</v>
      </c>
      <c r="O45" s="23">
        <v>254.96535255130757</v>
      </c>
      <c r="P45" s="23">
        <v>195.28594715601179</v>
      </c>
      <c r="Q45" s="24">
        <v>1.5193277310924369E-2</v>
      </c>
      <c r="R45" s="17">
        <v>0.57650092390812147</v>
      </c>
      <c r="S45" s="3">
        <v>0.17127121819076394</v>
      </c>
      <c r="T45" s="23">
        <v>254.96535255130757</v>
      </c>
      <c r="U45" s="30">
        <v>214</v>
      </c>
      <c r="V45" s="35">
        <v>1.3738601823708207E-2</v>
      </c>
      <c r="W45" s="17">
        <f t="shared" si="0"/>
        <v>1.1001696607984666</v>
      </c>
      <c r="X45" s="17">
        <f t="shared" si="1"/>
        <v>0.78828828828828823</v>
      </c>
      <c r="Y45" s="34">
        <v>0.55248780061536751</v>
      </c>
      <c r="Z45" s="34">
        <v>0.15471545789174235</v>
      </c>
      <c r="AA45" s="30">
        <v>254.96535255130757</v>
      </c>
      <c r="AB45" s="30">
        <v>195.28594715601179</v>
      </c>
      <c r="AC45" s="35">
        <v>1.5193277310924369E-2</v>
      </c>
      <c r="AD45" s="34">
        <v>0.49908212223142695</v>
      </c>
      <c r="AE45" s="34">
        <v>0.1896236865379208</v>
      </c>
      <c r="AF45" s="34">
        <v>0.16340770400923568</v>
      </c>
      <c r="AG45" s="30">
        <v>262.23520649484658</v>
      </c>
      <c r="AH45" s="35">
        <v>1.3599999999999999E-2</v>
      </c>
      <c r="AI45" s="17">
        <v>0.52712162583624411</v>
      </c>
    </row>
    <row r="46" spans="1:35" x14ac:dyDescent="0.3">
      <c r="B46" s="1">
        <v>12</v>
      </c>
      <c r="C46" s="1">
        <v>4</v>
      </c>
      <c r="D46" s="4">
        <v>79.3</v>
      </c>
      <c r="E46" s="3">
        <v>2.6933292113182881</v>
      </c>
      <c r="F46" s="1">
        <v>20</v>
      </c>
      <c r="G46" s="1">
        <v>34</v>
      </c>
      <c r="H46" s="33">
        <v>76.575869689672942</v>
      </c>
      <c r="I46" s="41">
        <v>450</v>
      </c>
      <c r="J46" s="43">
        <v>416</v>
      </c>
      <c r="K46" s="30">
        <v>228</v>
      </c>
      <c r="L46" s="43">
        <v>94</v>
      </c>
      <c r="M46" s="3">
        <v>0.38</v>
      </c>
      <c r="N46" s="17">
        <v>0.23382929397444591</v>
      </c>
      <c r="O46" s="23">
        <v>297.45957797652545</v>
      </c>
      <c r="P46" s="23">
        <v>195.28594715601179</v>
      </c>
      <c r="Q46" s="24">
        <v>1.5193277310924369E-2</v>
      </c>
      <c r="R46" s="17">
        <v>0.61534024730117343</v>
      </c>
      <c r="S46" s="3">
        <v>0.22879062923694596</v>
      </c>
      <c r="T46" s="23">
        <v>297.45957797652545</v>
      </c>
      <c r="U46" s="30">
        <v>214</v>
      </c>
      <c r="V46" s="35">
        <v>1.3738601823708207E-2</v>
      </c>
      <c r="W46" s="17">
        <f t="shared" si="0"/>
        <v>1.1001696607984666</v>
      </c>
      <c r="X46" s="17">
        <f t="shared" si="1"/>
        <v>0.78828828828828823</v>
      </c>
      <c r="Y46" s="34">
        <v>0.60208060325512092</v>
      </c>
      <c r="Z46" s="34">
        <v>0.18233419881936391</v>
      </c>
      <c r="AA46" s="30">
        <v>297.45957797652545</v>
      </c>
      <c r="AB46" s="30">
        <v>195.28594715601179</v>
      </c>
      <c r="AC46" s="35">
        <v>1.5193277310924369E-2</v>
      </c>
      <c r="AD46" s="34">
        <v>0.47982683899832607</v>
      </c>
      <c r="AE46" s="34">
        <v>0.22122763429424089</v>
      </c>
      <c r="AF46" s="34">
        <v>0.22241604156812622</v>
      </c>
      <c r="AG46" s="30">
        <v>305.9410742439876</v>
      </c>
      <c r="AH46" s="35">
        <v>1.3599999999999999E-2</v>
      </c>
      <c r="AI46" s="17">
        <v>0.58217798498484441</v>
      </c>
    </row>
    <row r="47" spans="1:35" x14ac:dyDescent="0.3">
      <c r="B47" s="1">
        <v>12</v>
      </c>
      <c r="C47" s="1">
        <v>4</v>
      </c>
      <c r="D47" s="4">
        <v>79.3</v>
      </c>
      <c r="E47" s="3">
        <v>2.6933292113182881</v>
      </c>
      <c r="F47" s="1">
        <v>20</v>
      </c>
      <c r="G47" s="1">
        <v>34</v>
      </c>
      <c r="H47" s="33">
        <v>76.575869689672942</v>
      </c>
      <c r="I47" s="41">
        <v>450</v>
      </c>
      <c r="J47" s="43">
        <v>416</v>
      </c>
      <c r="K47" s="30">
        <v>228</v>
      </c>
      <c r="L47" s="43">
        <v>94</v>
      </c>
      <c r="M47" s="3">
        <v>0.52</v>
      </c>
      <c r="N47" s="17">
        <v>0.34405730910030269</v>
      </c>
      <c r="O47" s="23">
        <v>382.44802882696138</v>
      </c>
      <c r="P47" s="23">
        <v>195.28594715601179</v>
      </c>
      <c r="Q47" s="24">
        <v>1.5193277310924369E-2</v>
      </c>
      <c r="R47" s="17">
        <v>0.66164867134673588</v>
      </c>
      <c r="S47" s="3">
        <v>0.34382945132931025</v>
      </c>
      <c r="T47" s="23">
        <v>382.44802882696138</v>
      </c>
      <c r="U47" s="30">
        <v>214</v>
      </c>
      <c r="V47" s="35">
        <v>1.3738601823708207E-2</v>
      </c>
      <c r="W47" s="17">
        <f t="shared" si="0"/>
        <v>1.1001696607984666</v>
      </c>
      <c r="X47" s="17">
        <f t="shared" si="1"/>
        <v>0.78828828828828823</v>
      </c>
      <c r="Y47" s="34">
        <v>0.66121048332559662</v>
      </c>
      <c r="Z47" s="34">
        <v>0.26828723098144308</v>
      </c>
      <c r="AA47" s="30">
        <v>382.44802882696138</v>
      </c>
      <c r="AB47" s="30">
        <v>195.28594715601179</v>
      </c>
      <c r="AC47" s="35">
        <v>1.5193277310924369E-2</v>
      </c>
      <c r="AD47" s="34">
        <v>0.51593698265662125</v>
      </c>
      <c r="AE47" s="34">
        <v>0.28443552980688114</v>
      </c>
      <c r="AF47" s="34">
        <v>0.36766733402078017</v>
      </c>
      <c r="AG47" s="30">
        <v>393.35280974226981</v>
      </c>
      <c r="AH47" s="35">
        <v>1.3599999999999999E-2</v>
      </c>
      <c r="AI47" s="17">
        <v>0.54699140347477138</v>
      </c>
    </row>
    <row r="48" spans="1:35" x14ac:dyDescent="0.3">
      <c r="B48" s="1">
        <v>12</v>
      </c>
      <c r="C48" s="1">
        <v>4</v>
      </c>
      <c r="D48" s="4">
        <v>79.3</v>
      </c>
      <c r="E48" s="3">
        <v>2.6933292113182881</v>
      </c>
      <c r="F48" s="1">
        <v>20</v>
      </c>
      <c r="G48" s="1">
        <v>34</v>
      </c>
      <c r="H48" s="33">
        <v>76.575869689672942</v>
      </c>
      <c r="I48" s="41">
        <v>450</v>
      </c>
      <c r="J48" s="43">
        <v>416</v>
      </c>
      <c r="K48" s="30">
        <v>228</v>
      </c>
      <c r="L48" s="43">
        <v>94</v>
      </c>
      <c r="M48" s="3">
        <v>0.74</v>
      </c>
      <c r="N48" s="17">
        <v>0.49651944162391848</v>
      </c>
      <c r="O48" s="23">
        <v>500</v>
      </c>
      <c r="P48" s="23">
        <v>195.28594715601179</v>
      </c>
      <c r="Q48" s="24">
        <v>1.5193277310924369E-2</v>
      </c>
      <c r="R48" s="17">
        <v>0.67097221841070065</v>
      </c>
      <c r="S48" s="3">
        <v>0.50294566256817608</v>
      </c>
      <c r="T48" s="23">
        <v>500</v>
      </c>
      <c r="U48" s="30">
        <v>214</v>
      </c>
      <c r="V48" s="35">
        <v>1.3738601823708207E-2</v>
      </c>
      <c r="W48" s="17">
        <f t="shared" si="0"/>
        <v>1.1001696607984666</v>
      </c>
      <c r="X48" s="17">
        <f t="shared" si="1"/>
        <v>0.78828828828828823</v>
      </c>
      <c r="Y48" s="34">
        <v>0.67965630076780548</v>
      </c>
      <c r="Z48" s="34">
        <v>0.38717336501314914</v>
      </c>
      <c r="AA48" s="30">
        <v>500</v>
      </c>
      <c r="AB48" s="30">
        <v>195.28594715601179</v>
      </c>
      <c r="AC48" s="35">
        <v>1.5193277310924369E-2</v>
      </c>
      <c r="AD48" s="34">
        <v>0.52320725001776913</v>
      </c>
      <c r="AE48" s="34">
        <v>0.36155268598849877</v>
      </c>
      <c r="AF48" s="34">
        <v>0.59406031512087509</v>
      </c>
      <c r="AG48" s="30">
        <v>500</v>
      </c>
      <c r="AH48" s="35">
        <v>1.3599999999999999E-2</v>
      </c>
      <c r="AI48" s="17">
        <v>0.48858471079526861</v>
      </c>
    </row>
    <row r="49" spans="1:35" x14ac:dyDescent="0.3">
      <c r="A49" t="s">
        <v>13</v>
      </c>
      <c r="B49" s="1">
        <v>12</v>
      </c>
      <c r="C49" s="1">
        <v>4</v>
      </c>
      <c r="D49" s="4">
        <v>79.3</v>
      </c>
      <c r="E49" s="3">
        <v>2.6933292113182881</v>
      </c>
      <c r="F49" s="1">
        <v>20</v>
      </c>
      <c r="G49" s="1">
        <v>34</v>
      </c>
      <c r="H49" s="33">
        <v>76.575869689672942</v>
      </c>
      <c r="I49" s="41">
        <v>450</v>
      </c>
      <c r="J49" s="43">
        <v>416</v>
      </c>
      <c r="K49" s="30">
        <v>228</v>
      </c>
      <c r="L49" s="43">
        <v>94</v>
      </c>
      <c r="M49" s="3">
        <v>0.17</v>
      </c>
      <c r="N49" s="17">
        <v>0.12360127884858937</v>
      </c>
      <c r="O49" s="23">
        <v>212.47112712608967</v>
      </c>
      <c r="P49" s="23">
        <v>195.28594715601179</v>
      </c>
      <c r="Q49" s="24">
        <v>1.5193277310924369E-2</v>
      </c>
      <c r="R49" s="17">
        <v>0.72706634616817278</v>
      </c>
      <c r="S49" s="3">
        <v>0.11503882209236421</v>
      </c>
      <c r="T49" s="23">
        <v>212.47112712608967</v>
      </c>
      <c r="U49" s="30">
        <v>214</v>
      </c>
      <c r="V49" s="35">
        <v>1.3738601823708207E-2</v>
      </c>
      <c r="W49" s="17">
        <f t="shared" si="0"/>
        <v>1.1001696607984666</v>
      </c>
      <c r="X49" s="17">
        <f t="shared" si="1"/>
        <v>0.78828828828828823</v>
      </c>
      <c r="Y49" s="34">
        <v>0.67669895348449527</v>
      </c>
      <c r="Z49" s="34">
        <v>0.12892954824311861</v>
      </c>
      <c r="AA49" s="30">
        <v>212.47112712608967</v>
      </c>
      <c r="AB49" s="30">
        <v>195.28594715601179</v>
      </c>
      <c r="AC49" s="35">
        <v>1.5193277310924369E-2</v>
      </c>
      <c r="AD49" s="34">
        <v>0.75840910731246236</v>
      </c>
      <c r="AE49" s="34">
        <v>0.15801973878160064</v>
      </c>
      <c r="AF49" s="34">
        <v>0.11347757222863582</v>
      </c>
      <c r="AG49" s="30">
        <v>218.52933874570545</v>
      </c>
      <c r="AH49" s="35">
        <v>1.3599999999999999E-2</v>
      </c>
      <c r="AI49" s="17">
        <v>0.66751513075668123</v>
      </c>
    </row>
    <row r="50" spans="1:35" x14ac:dyDescent="0.3">
      <c r="B50" s="1">
        <v>12</v>
      </c>
      <c r="C50" s="1">
        <v>4</v>
      </c>
      <c r="D50" s="4">
        <v>79.3</v>
      </c>
      <c r="E50" s="3">
        <v>2.6933292113182881</v>
      </c>
      <c r="F50" s="1">
        <v>20</v>
      </c>
      <c r="G50" s="1">
        <v>34</v>
      </c>
      <c r="H50" s="33">
        <v>76.575869689672942</v>
      </c>
      <c r="I50" s="41">
        <v>450</v>
      </c>
      <c r="J50" s="43">
        <v>416</v>
      </c>
      <c r="K50" s="30">
        <v>228</v>
      </c>
      <c r="L50" s="43">
        <v>94</v>
      </c>
      <c r="M50" s="3">
        <v>0.36</v>
      </c>
      <c r="N50" s="17">
        <v>0.23382929397444591</v>
      </c>
      <c r="O50" s="23">
        <v>297.45957797652545</v>
      </c>
      <c r="P50" s="23">
        <v>195.28594715601179</v>
      </c>
      <c r="Q50" s="24">
        <v>1.5193277310924369E-2</v>
      </c>
      <c r="R50" s="17">
        <v>0.64952581659568309</v>
      </c>
      <c r="S50" s="3">
        <v>0.22879062923694596</v>
      </c>
      <c r="T50" s="23">
        <v>297.45957797652545</v>
      </c>
      <c r="U50" s="30">
        <v>214</v>
      </c>
      <c r="V50" s="35">
        <v>1.3738601823708207E-2</v>
      </c>
      <c r="W50" s="17">
        <f t="shared" si="0"/>
        <v>1.1001696607984666</v>
      </c>
      <c r="X50" s="17">
        <f t="shared" si="1"/>
        <v>0.78828828828828823</v>
      </c>
      <c r="Y50" s="34">
        <v>0.63552952565818321</v>
      </c>
      <c r="Z50" s="34">
        <v>0.18233419881936391</v>
      </c>
      <c r="AA50" s="30">
        <v>297.45957797652545</v>
      </c>
      <c r="AB50" s="30">
        <v>195.28594715601179</v>
      </c>
      <c r="AC50" s="35">
        <v>1.5193277310924369E-2</v>
      </c>
      <c r="AD50" s="34">
        <v>0.50648388560934421</v>
      </c>
      <c r="AE50" s="34">
        <v>0.22122763429424089</v>
      </c>
      <c r="AF50" s="34">
        <v>0.22241604156812622</v>
      </c>
      <c r="AG50" s="30">
        <v>305.9410742439876</v>
      </c>
      <c r="AH50" s="35">
        <v>1.3599999999999999E-2</v>
      </c>
      <c r="AI50" s="17">
        <v>0.61452120637289143</v>
      </c>
    </row>
    <row r="51" spans="1:35" x14ac:dyDescent="0.3">
      <c r="B51" s="1">
        <v>12</v>
      </c>
      <c r="C51" s="1">
        <v>4</v>
      </c>
      <c r="D51" s="4">
        <v>79.3</v>
      </c>
      <c r="E51" s="3">
        <v>2.6933292113182881</v>
      </c>
      <c r="F51" s="1">
        <v>20</v>
      </c>
      <c r="G51" s="1">
        <v>34</v>
      </c>
      <c r="H51" s="33">
        <v>76.575869689672942</v>
      </c>
      <c r="I51" s="41">
        <v>450</v>
      </c>
      <c r="J51" s="43">
        <v>416</v>
      </c>
      <c r="K51" s="30">
        <v>228</v>
      </c>
      <c r="L51" s="43">
        <v>94</v>
      </c>
      <c r="M51" s="3">
        <v>0.56000000000000005</v>
      </c>
      <c r="N51" s="17">
        <v>0.34405730910030269</v>
      </c>
      <c r="O51" s="23">
        <v>382.44802882696138</v>
      </c>
      <c r="P51" s="23">
        <v>195.28594715601179</v>
      </c>
      <c r="Q51" s="24">
        <v>1.5193277310924369E-2</v>
      </c>
      <c r="R51" s="17">
        <v>0.61438805196482615</v>
      </c>
      <c r="S51" s="3">
        <v>0.34382945132931025</v>
      </c>
      <c r="T51" s="23">
        <v>382.44802882696138</v>
      </c>
      <c r="U51" s="30">
        <v>214</v>
      </c>
      <c r="V51" s="35">
        <v>1.3738601823708207E-2</v>
      </c>
      <c r="W51" s="17">
        <f t="shared" si="0"/>
        <v>1.1001696607984666</v>
      </c>
      <c r="X51" s="17">
        <f t="shared" si="1"/>
        <v>0.78828828828828823</v>
      </c>
      <c r="Y51" s="34">
        <v>0.61398116308805395</v>
      </c>
      <c r="Z51" s="34">
        <v>0.26828723098144308</v>
      </c>
      <c r="AA51" s="30">
        <v>382.44802882696138</v>
      </c>
      <c r="AB51" s="30">
        <v>195.28594715601179</v>
      </c>
      <c r="AC51" s="35">
        <v>1.5193277310924369E-2</v>
      </c>
      <c r="AD51" s="34">
        <v>0.47908434103829117</v>
      </c>
      <c r="AE51" s="34">
        <v>0.28443552980688114</v>
      </c>
      <c r="AF51" s="34">
        <v>0.36766733402078017</v>
      </c>
      <c r="AG51" s="30">
        <v>393.35280974226981</v>
      </c>
      <c r="AH51" s="35">
        <v>1.3599999999999999E-2</v>
      </c>
      <c r="AI51" s="17">
        <v>0.50792058894085912</v>
      </c>
    </row>
    <row r="52" spans="1:35" x14ac:dyDescent="0.3">
      <c r="B52" s="1">
        <v>12</v>
      </c>
      <c r="C52" s="1">
        <v>4</v>
      </c>
      <c r="D52" s="4">
        <v>79.3</v>
      </c>
      <c r="E52" s="3">
        <v>2.6933292113182881</v>
      </c>
      <c r="F52" s="1">
        <v>20</v>
      </c>
      <c r="G52" s="1">
        <v>34</v>
      </c>
      <c r="H52" s="33">
        <v>76.575869689672942</v>
      </c>
      <c r="I52" s="41">
        <v>450</v>
      </c>
      <c r="J52" s="43">
        <v>416</v>
      </c>
      <c r="K52" s="30">
        <v>228</v>
      </c>
      <c r="L52" s="43">
        <v>94</v>
      </c>
      <c r="M52" s="3">
        <v>0.78</v>
      </c>
      <c r="N52" s="17">
        <v>0.49651944162391848</v>
      </c>
      <c r="O52" s="23">
        <v>500</v>
      </c>
      <c r="P52" s="23">
        <v>195.28594715601179</v>
      </c>
      <c r="Q52" s="24">
        <v>1.5193277310924369E-2</v>
      </c>
      <c r="R52" s="17">
        <v>0.63656338669733137</v>
      </c>
      <c r="S52" s="3">
        <v>0.50294566256817608</v>
      </c>
      <c r="T52" s="23">
        <v>500</v>
      </c>
      <c r="U52" s="30">
        <v>214</v>
      </c>
      <c r="V52" s="35">
        <v>1.3738601823708207E-2</v>
      </c>
      <c r="W52" s="17">
        <f t="shared" si="0"/>
        <v>1.1001696607984666</v>
      </c>
      <c r="X52" s="17">
        <f t="shared" si="1"/>
        <v>0.78828828828828823</v>
      </c>
      <c r="Y52" s="34">
        <v>0.64480213149766163</v>
      </c>
      <c r="Z52" s="34">
        <v>0.38717336501314914</v>
      </c>
      <c r="AA52" s="30">
        <v>500</v>
      </c>
      <c r="AB52" s="30">
        <v>195.28594715601179</v>
      </c>
      <c r="AC52" s="35">
        <v>1.5193277310924369E-2</v>
      </c>
      <c r="AD52" s="34">
        <v>0.49637610899121681</v>
      </c>
      <c r="AE52" s="34">
        <v>0.36155268598849877</v>
      </c>
      <c r="AF52" s="34">
        <v>0.59406031512087509</v>
      </c>
      <c r="AG52" s="30">
        <v>500</v>
      </c>
      <c r="AH52" s="35">
        <v>1.3599999999999999E-2</v>
      </c>
      <c r="AI52" s="17">
        <v>0.46352908460063941</v>
      </c>
    </row>
    <row r="53" spans="1:35" x14ac:dyDescent="0.3">
      <c r="A53" t="s">
        <v>14</v>
      </c>
      <c r="B53" s="1">
        <v>12</v>
      </c>
      <c r="C53" s="1">
        <v>4</v>
      </c>
      <c r="D53" s="4">
        <v>46</v>
      </c>
      <c r="E53" s="3">
        <v>2.6933292113182881</v>
      </c>
      <c r="F53" s="1">
        <v>70</v>
      </c>
      <c r="G53" s="1">
        <v>88</v>
      </c>
      <c r="H53" s="33">
        <v>70.913891854445922</v>
      </c>
      <c r="I53" s="41">
        <v>450</v>
      </c>
      <c r="J53" s="43">
        <v>362</v>
      </c>
      <c r="K53" s="30">
        <v>227</v>
      </c>
      <c r="L53" s="43">
        <v>120</v>
      </c>
      <c r="M53" s="3">
        <v>0.31</v>
      </c>
      <c r="N53" s="17">
        <v>0.17775875829437093</v>
      </c>
      <c r="O53" s="23">
        <v>245.19477048546645</v>
      </c>
      <c r="P53" s="23">
        <v>281.54823249932105</v>
      </c>
      <c r="Q53" s="24">
        <v>1.0220067765707051E-2</v>
      </c>
      <c r="R53" s="17">
        <v>0.57341534933668048</v>
      </c>
      <c r="S53" s="3">
        <v>0.2614277011499988</v>
      </c>
      <c r="T53" s="23">
        <v>245.19477048546645</v>
      </c>
      <c r="U53" s="30">
        <v>268</v>
      </c>
      <c r="V53" s="35">
        <v>1.0761904761904762E-2</v>
      </c>
      <c r="W53" s="17">
        <f t="shared" si="0"/>
        <v>1.3023160416710668</v>
      </c>
      <c r="X53" s="17">
        <f t="shared" si="1"/>
        <v>0.73094170403587444</v>
      </c>
      <c r="Y53" s="34">
        <v>0.84331516499999615</v>
      </c>
      <c r="Z53" s="34">
        <v>0.32189705492002607</v>
      </c>
      <c r="AA53" s="30">
        <v>245.19477048546645</v>
      </c>
      <c r="AB53" s="30">
        <v>281.54823249932105</v>
      </c>
      <c r="AC53" s="35">
        <v>1.0220067765707051E-2</v>
      </c>
      <c r="AD53" s="34">
        <v>1.0383775965162132</v>
      </c>
      <c r="AE53" s="34">
        <v>0.35643211676505032</v>
      </c>
      <c r="AF53" s="34">
        <v>0.15160704695540023</v>
      </c>
      <c r="AG53" s="30">
        <v>252.58899675618133</v>
      </c>
      <c r="AH53" s="35">
        <v>6.4999999999999997E-3</v>
      </c>
      <c r="AI53" s="17">
        <v>0.4890549901787104</v>
      </c>
    </row>
    <row r="54" spans="1:35" x14ac:dyDescent="0.3">
      <c r="B54" s="1">
        <v>12</v>
      </c>
      <c r="C54" s="1">
        <v>4</v>
      </c>
      <c r="D54" s="4">
        <v>46</v>
      </c>
      <c r="E54" s="3">
        <v>2.6933292113182881</v>
      </c>
      <c r="F54" s="1">
        <v>70</v>
      </c>
      <c r="G54" s="1">
        <v>88</v>
      </c>
      <c r="H54" s="33">
        <v>70.913891854445922</v>
      </c>
      <c r="I54" s="41">
        <v>450</v>
      </c>
      <c r="J54" s="43">
        <v>362</v>
      </c>
      <c r="K54" s="30">
        <v>227</v>
      </c>
      <c r="L54" s="43">
        <v>120</v>
      </c>
      <c r="M54" s="3">
        <v>0.44</v>
      </c>
      <c r="N54" s="17">
        <v>0.29205769761843819</v>
      </c>
      <c r="O54" s="23">
        <v>294.23372458255977</v>
      </c>
      <c r="P54" s="23">
        <v>281.54823249932105</v>
      </c>
      <c r="Q54" s="24">
        <v>1.0220067765707051E-2</v>
      </c>
      <c r="R54" s="17">
        <v>0.66376749458735951</v>
      </c>
      <c r="S54" s="3">
        <v>0.35522130050725187</v>
      </c>
      <c r="T54" s="23">
        <v>294.23372458255977</v>
      </c>
      <c r="U54" s="30">
        <v>268</v>
      </c>
      <c r="V54" s="35">
        <v>1.0761904761904762E-2</v>
      </c>
      <c r="W54" s="17">
        <f t="shared" si="0"/>
        <v>1.3023160416710668</v>
      </c>
      <c r="X54" s="17">
        <f t="shared" si="1"/>
        <v>0.73094170403587444</v>
      </c>
      <c r="Y54" s="34">
        <v>0.80732113751648149</v>
      </c>
      <c r="Z54" s="34">
        <v>0.38627646590403136</v>
      </c>
      <c r="AA54" s="30">
        <v>294.23372458255977</v>
      </c>
      <c r="AB54" s="30">
        <v>281.54823249932105</v>
      </c>
      <c r="AC54" s="35">
        <v>1.0220067765707051E-2</v>
      </c>
      <c r="AD54" s="34">
        <v>0.87790105887279857</v>
      </c>
      <c r="AE54" s="34">
        <v>0.42771854011806032</v>
      </c>
      <c r="AF54" s="34">
        <v>0.21831414761577628</v>
      </c>
      <c r="AG54" s="30">
        <v>303.10679610741755</v>
      </c>
      <c r="AH54" s="35">
        <v>6.4999999999999997E-3</v>
      </c>
      <c r="AI54" s="17">
        <v>0.49616851730858247</v>
      </c>
    </row>
    <row r="55" spans="1:35" x14ac:dyDescent="0.3">
      <c r="A55" t="s">
        <v>15</v>
      </c>
      <c r="B55" s="1">
        <v>12</v>
      </c>
      <c r="C55" s="1">
        <v>4</v>
      </c>
      <c r="D55" s="4">
        <v>46</v>
      </c>
      <c r="E55" s="3">
        <v>2.6933292113182881</v>
      </c>
      <c r="F55" s="1">
        <v>70</v>
      </c>
      <c r="G55" s="1">
        <v>84</v>
      </c>
      <c r="H55" s="33">
        <v>71.347043658761123</v>
      </c>
      <c r="I55" s="41">
        <v>450</v>
      </c>
      <c r="J55" s="43">
        <v>366</v>
      </c>
      <c r="K55" s="30">
        <v>227</v>
      </c>
      <c r="L55" s="43">
        <v>120</v>
      </c>
      <c r="M55" s="3">
        <v>0.14000000000000001</v>
      </c>
      <c r="N55" s="17">
        <v>5.8682947698772012E-2</v>
      </c>
      <c r="O55" s="23">
        <v>193.94581491041436</v>
      </c>
      <c r="P55" s="23">
        <v>281.24711366257765</v>
      </c>
      <c r="Q55" s="24">
        <v>1.0231758789687727E-2</v>
      </c>
      <c r="R55" s="17">
        <v>0.41916391213408577</v>
      </c>
      <c r="S55" s="3">
        <v>0.20403700135961789</v>
      </c>
      <c r="T55" s="23">
        <v>193.94581491041436</v>
      </c>
      <c r="U55" s="30">
        <v>268</v>
      </c>
      <c r="V55" s="35">
        <v>1.0761904761904762E-2</v>
      </c>
      <c r="W55" s="17">
        <f t="shared" si="0"/>
        <v>1.2850811376306681</v>
      </c>
      <c r="X55" s="17">
        <f t="shared" si="1"/>
        <v>0.73094170403587444</v>
      </c>
      <c r="Y55" s="34">
        <v>1.4574071525686991</v>
      </c>
      <c r="Z55" s="34">
        <v>0.25448360281216226</v>
      </c>
      <c r="AA55" s="30">
        <v>193.94581491041436</v>
      </c>
      <c r="AB55" s="30">
        <v>281.24711366257765</v>
      </c>
      <c r="AC55" s="35">
        <v>1.0231758789687727E-2</v>
      </c>
      <c r="AD55" s="34">
        <v>1.8177400200868732</v>
      </c>
      <c r="AE55" s="34">
        <v>0.28189693997758725</v>
      </c>
      <c r="AF55" s="34">
        <v>9.4830153189527797E-2</v>
      </c>
      <c r="AG55" s="30">
        <v>199.76893750153238</v>
      </c>
      <c r="AH55" s="35">
        <v>6.4999999999999997E-3</v>
      </c>
      <c r="AI55" s="17">
        <v>0.67735823706805565</v>
      </c>
    </row>
    <row r="56" spans="1:35" x14ac:dyDescent="0.3">
      <c r="B56" s="1">
        <v>12</v>
      </c>
      <c r="C56" s="1">
        <v>4</v>
      </c>
      <c r="D56" s="4">
        <v>46</v>
      </c>
      <c r="E56" s="3">
        <v>2.6933292113182881</v>
      </c>
      <c r="F56" s="1">
        <v>70</v>
      </c>
      <c r="G56" s="1">
        <v>84</v>
      </c>
      <c r="H56" s="33">
        <v>71.347043658761123</v>
      </c>
      <c r="I56" s="41">
        <v>450</v>
      </c>
      <c r="J56" s="43">
        <v>366</v>
      </c>
      <c r="K56" s="30">
        <v>227</v>
      </c>
      <c r="L56" s="43">
        <v>120</v>
      </c>
      <c r="M56" s="3">
        <v>0.31</v>
      </c>
      <c r="N56" s="17">
        <v>0.17160378323165554</v>
      </c>
      <c r="O56" s="23">
        <v>242.43226863801794</v>
      </c>
      <c r="P56" s="23">
        <v>281.24711366257765</v>
      </c>
      <c r="Q56" s="24">
        <v>1.0231758789687727E-2</v>
      </c>
      <c r="R56" s="17">
        <v>0.55356059106985656</v>
      </c>
      <c r="S56" s="3">
        <v>0.25504625169952239</v>
      </c>
      <c r="T56" s="23">
        <v>242.43226863801794</v>
      </c>
      <c r="U56" s="30">
        <v>268</v>
      </c>
      <c r="V56" s="35">
        <v>1.0761904761904762E-2</v>
      </c>
      <c r="W56" s="17">
        <f t="shared" si="0"/>
        <v>1.2850811376306681</v>
      </c>
      <c r="X56" s="17">
        <f t="shared" si="1"/>
        <v>0.73094170403587444</v>
      </c>
      <c r="Y56" s="34">
        <v>0.82272984419200768</v>
      </c>
      <c r="Z56" s="34">
        <v>0.31810450351520281</v>
      </c>
      <c r="AA56" s="30">
        <v>242.43226863801794</v>
      </c>
      <c r="AB56" s="30">
        <v>281.24711366257765</v>
      </c>
      <c r="AC56" s="35">
        <v>1.0231758789687727E-2</v>
      </c>
      <c r="AD56" s="34">
        <v>1.0261435597264608</v>
      </c>
      <c r="AE56" s="34">
        <v>0.35237117497198406</v>
      </c>
      <c r="AF56" s="34">
        <v>0.14817211435863717</v>
      </c>
      <c r="AG56" s="30">
        <v>249.71117187691544</v>
      </c>
      <c r="AH56" s="35">
        <v>6.4999999999999997E-3</v>
      </c>
      <c r="AI56" s="17">
        <v>0.4779745624472167</v>
      </c>
    </row>
    <row r="57" spans="1:35" x14ac:dyDescent="0.3">
      <c r="B57" s="1">
        <v>12</v>
      </c>
      <c r="C57" s="1">
        <v>4</v>
      </c>
      <c r="D57" s="4">
        <v>46</v>
      </c>
      <c r="E57" s="3">
        <v>2.6933292113182881</v>
      </c>
      <c r="F57" s="1">
        <v>70</v>
      </c>
      <c r="G57" s="1">
        <v>84</v>
      </c>
      <c r="H57" s="33">
        <v>71.347043658761123</v>
      </c>
      <c r="I57" s="41">
        <v>450</v>
      </c>
      <c r="J57" s="43">
        <v>366</v>
      </c>
      <c r="K57" s="30">
        <v>227</v>
      </c>
      <c r="L57" s="43">
        <v>120</v>
      </c>
      <c r="M57" s="3">
        <v>0.4</v>
      </c>
      <c r="N57" s="17">
        <v>0.28452461876453911</v>
      </c>
      <c r="O57" s="23">
        <v>290.91872236562153</v>
      </c>
      <c r="P57" s="23">
        <v>281.24711366257765</v>
      </c>
      <c r="Q57" s="24">
        <v>1.0231758789687727E-2</v>
      </c>
      <c r="R57" s="17">
        <v>0.71131154691134768</v>
      </c>
      <c r="S57" s="3">
        <v>0.34178055859895096</v>
      </c>
      <c r="T57" s="23">
        <v>290.91872236562153</v>
      </c>
      <c r="U57" s="30">
        <v>268</v>
      </c>
      <c r="V57" s="35">
        <v>1.0761904761904762E-2</v>
      </c>
      <c r="W57" s="17">
        <f t="shared" si="0"/>
        <v>1.2850811376306681</v>
      </c>
      <c r="X57" s="17">
        <f t="shared" si="1"/>
        <v>0.73094170403587444</v>
      </c>
      <c r="Y57" s="34">
        <v>0.85445139649737734</v>
      </c>
      <c r="Z57" s="34">
        <v>0.38172540421824341</v>
      </c>
      <c r="AA57" s="30">
        <v>290.91872236562153</v>
      </c>
      <c r="AB57" s="30">
        <v>281.24711366257765</v>
      </c>
      <c r="AC57" s="35">
        <v>1.0231758789687727E-2</v>
      </c>
      <c r="AD57" s="34">
        <v>0.95431351054560853</v>
      </c>
      <c r="AE57" s="34">
        <v>0.42284540996638087</v>
      </c>
      <c r="AF57" s="34">
        <v>0.21336784467643757</v>
      </c>
      <c r="AG57" s="30">
        <v>299.65340625229857</v>
      </c>
      <c r="AH57" s="35">
        <v>6.4999999999999997E-3</v>
      </c>
      <c r="AI57" s="17">
        <v>0.53341961169109386</v>
      </c>
    </row>
    <row r="58" spans="1:35" x14ac:dyDescent="0.3">
      <c r="A58" t="s">
        <v>16</v>
      </c>
      <c r="B58" s="1">
        <v>12</v>
      </c>
      <c r="C58" s="1">
        <v>4</v>
      </c>
      <c r="D58" s="4">
        <v>46</v>
      </c>
      <c r="E58" s="3">
        <v>2.6933292113182881</v>
      </c>
      <c r="F58" s="1">
        <v>70</v>
      </c>
      <c r="G58" s="1">
        <v>84</v>
      </c>
      <c r="H58" s="33">
        <v>71.347043658761123</v>
      </c>
      <c r="I58" s="41">
        <v>450</v>
      </c>
      <c r="J58" s="43">
        <v>366</v>
      </c>
      <c r="K58" s="30">
        <v>227</v>
      </c>
      <c r="L58" s="43">
        <v>120</v>
      </c>
      <c r="M58" s="3">
        <v>0.25</v>
      </c>
      <c r="N58" s="17">
        <v>5.8682947698772012E-2</v>
      </c>
      <c r="O58" s="23">
        <v>193.94581491041436</v>
      </c>
      <c r="P58" s="23">
        <v>281.24711366257765</v>
      </c>
      <c r="Q58" s="24">
        <v>1.0231758789687727E-2</v>
      </c>
      <c r="R58" s="17">
        <v>0.23473179079508805</v>
      </c>
      <c r="S58" s="3">
        <v>0.20403700135961789</v>
      </c>
      <c r="T58" s="23">
        <v>193.94581491041436</v>
      </c>
      <c r="U58" s="30">
        <v>268</v>
      </c>
      <c r="V58" s="35">
        <v>1.0761904761904762E-2</v>
      </c>
      <c r="W58" s="17">
        <f t="shared" si="0"/>
        <v>1.2850811376306681</v>
      </c>
      <c r="X58" s="17">
        <f t="shared" si="1"/>
        <v>0.73094170403587444</v>
      </c>
      <c r="Y58" s="34">
        <v>0.81614800543847155</v>
      </c>
      <c r="Z58" s="34">
        <v>0.25448360281216226</v>
      </c>
      <c r="AA58" s="30">
        <v>193.94581491041436</v>
      </c>
      <c r="AB58" s="30">
        <v>281.24711366257765</v>
      </c>
      <c r="AC58" s="35">
        <v>1.0231758789687727E-2</v>
      </c>
      <c r="AD58" s="34">
        <v>1.017934411248649</v>
      </c>
      <c r="AE58" s="34">
        <v>0.28189693997758725</v>
      </c>
      <c r="AF58" s="34">
        <v>9.4830153189527797E-2</v>
      </c>
      <c r="AG58" s="30">
        <v>199.76893750153238</v>
      </c>
      <c r="AH58" s="35">
        <v>6.4999999999999997E-3</v>
      </c>
      <c r="AI58" s="17">
        <v>0.37932061275811119</v>
      </c>
    </row>
    <row r="59" spans="1:35" x14ac:dyDescent="0.3">
      <c r="B59" s="1">
        <v>12</v>
      </c>
      <c r="C59" s="1">
        <v>4</v>
      </c>
      <c r="D59" s="4">
        <v>46</v>
      </c>
      <c r="E59" s="3">
        <v>2.6933292113182881</v>
      </c>
      <c r="F59" s="1">
        <v>70</v>
      </c>
      <c r="G59" s="1">
        <v>84</v>
      </c>
      <c r="H59" s="33">
        <v>71.347043658761123</v>
      </c>
      <c r="I59" s="41">
        <v>450</v>
      </c>
      <c r="J59" s="43">
        <v>366</v>
      </c>
      <c r="K59" s="30">
        <v>227</v>
      </c>
      <c r="L59" s="43">
        <v>120</v>
      </c>
      <c r="M59" s="3">
        <v>0.44</v>
      </c>
      <c r="N59" s="17">
        <v>0.17160378323165554</v>
      </c>
      <c r="O59" s="23">
        <v>242.43226863801794</v>
      </c>
      <c r="P59" s="23">
        <v>281.24711366257765</v>
      </c>
      <c r="Q59" s="24">
        <v>1.0231758789687727E-2</v>
      </c>
      <c r="R59" s="17">
        <v>0.39000859825376261</v>
      </c>
      <c r="S59" s="3">
        <v>0.25504625169952239</v>
      </c>
      <c r="T59" s="23">
        <v>242.43226863801794</v>
      </c>
      <c r="U59" s="30">
        <v>268</v>
      </c>
      <c r="V59" s="35">
        <v>1.0761904761904762E-2</v>
      </c>
      <c r="W59" s="17">
        <f t="shared" si="0"/>
        <v>1.2850811376306681</v>
      </c>
      <c r="X59" s="17">
        <f t="shared" si="1"/>
        <v>0.73094170403587444</v>
      </c>
      <c r="Y59" s="34">
        <v>0.57965057204436909</v>
      </c>
      <c r="Z59" s="34">
        <v>0.31810450351520281</v>
      </c>
      <c r="AA59" s="30">
        <v>242.43226863801794</v>
      </c>
      <c r="AB59" s="30">
        <v>281.24711366257765</v>
      </c>
      <c r="AC59" s="35">
        <v>1.0231758789687727E-2</v>
      </c>
      <c r="AD59" s="34">
        <v>0.72296478071637005</v>
      </c>
      <c r="AE59" s="34">
        <v>0.35237117497198406</v>
      </c>
      <c r="AF59" s="34">
        <v>0.14817211435863717</v>
      </c>
      <c r="AG59" s="30">
        <v>249.71117187691544</v>
      </c>
      <c r="AH59" s="35">
        <v>6.4999999999999997E-3</v>
      </c>
      <c r="AI59" s="17">
        <v>0.33675480536053903</v>
      </c>
    </row>
    <row r="60" spans="1:35" x14ac:dyDescent="0.3">
      <c r="B60" s="1">
        <v>12</v>
      </c>
      <c r="C60" s="1">
        <v>4</v>
      </c>
      <c r="D60" s="4">
        <v>46</v>
      </c>
      <c r="E60" s="3">
        <v>2.6933292113182881</v>
      </c>
      <c r="F60" s="1">
        <v>70</v>
      </c>
      <c r="G60" s="1">
        <v>84</v>
      </c>
      <c r="H60" s="33">
        <v>71.347043658761123</v>
      </c>
      <c r="I60" s="41">
        <v>450</v>
      </c>
      <c r="J60" s="43">
        <v>366</v>
      </c>
      <c r="K60" s="30">
        <v>227</v>
      </c>
      <c r="L60" s="43">
        <v>120</v>
      </c>
      <c r="M60" s="3">
        <v>0.56000000000000005</v>
      </c>
      <c r="N60" s="17">
        <v>0.28452461876453911</v>
      </c>
      <c r="O60" s="23">
        <v>290.91872236562153</v>
      </c>
      <c r="P60" s="23">
        <v>281.24711366257765</v>
      </c>
      <c r="Q60" s="24">
        <v>1.0231758789687727E-2</v>
      </c>
      <c r="R60" s="17">
        <v>0.50807967636524831</v>
      </c>
      <c r="S60" s="3">
        <v>0.34178055859895096</v>
      </c>
      <c r="T60" s="23">
        <v>290.91872236562153</v>
      </c>
      <c r="U60" s="30">
        <v>268</v>
      </c>
      <c r="V60" s="35">
        <v>1.0761904761904762E-2</v>
      </c>
      <c r="W60" s="17">
        <f t="shared" si="0"/>
        <v>1.2850811376306681</v>
      </c>
      <c r="X60" s="17">
        <f t="shared" si="1"/>
        <v>0.73094170403587444</v>
      </c>
      <c r="Y60" s="34">
        <v>0.61032242606955522</v>
      </c>
      <c r="Z60" s="34">
        <v>0.38172540421824341</v>
      </c>
      <c r="AA60" s="30">
        <v>290.91872236562153</v>
      </c>
      <c r="AB60" s="30">
        <v>281.24711366257765</v>
      </c>
      <c r="AC60" s="35">
        <v>1.0231758789687727E-2</v>
      </c>
      <c r="AD60" s="34">
        <v>0.68165250753257745</v>
      </c>
      <c r="AE60" s="34">
        <v>0.42284540996638087</v>
      </c>
      <c r="AF60" s="34">
        <v>0.21336784467643757</v>
      </c>
      <c r="AG60" s="30">
        <v>299.65340625229857</v>
      </c>
      <c r="AH60" s="35">
        <v>6.4999999999999997E-3</v>
      </c>
      <c r="AI60" s="17">
        <v>0.38101400835078136</v>
      </c>
    </row>
    <row r="61" spans="1:35" x14ac:dyDescent="0.3">
      <c r="A61" t="s">
        <v>17</v>
      </c>
      <c r="B61" s="1">
        <v>25</v>
      </c>
      <c r="C61" s="1">
        <v>4</v>
      </c>
      <c r="D61" s="4">
        <v>62</v>
      </c>
      <c r="E61" s="3">
        <v>2.6933292113182881</v>
      </c>
      <c r="F61" s="1">
        <v>20</v>
      </c>
      <c r="G61" s="1">
        <v>40.5</v>
      </c>
      <c r="H61" s="33">
        <v>141.76646013770139</v>
      </c>
      <c r="I61" s="41">
        <v>450</v>
      </c>
      <c r="J61" s="43">
        <v>409.5</v>
      </c>
      <c r="K61" s="30">
        <v>237</v>
      </c>
      <c r="L61" s="43">
        <v>141.75</v>
      </c>
      <c r="M61" s="3">
        <v>0.23</v>
      </c>
      <c r="N61" s="17">
        <v>0.14122631889912982</v>
      </c>
      <c r="O61" s="23">
        <v>210.83754926858927</v>
      </c>
      <c r="P61" s="23">
        <v>66.612008163975105</v>
      </c>
      <c r="Q61" s="24">
        <v>5.5421516754850089E-2</v>
      </c>
      <c r="R61" s="17">
        <v>0.61402747347447739</v>
      </c>
      <c r="S61" s="3">
        <v>0.15610003267778957</v>
      </c>
      <c r="T61" s="23">
        <v>210.83754926858927</v>
      </c>
      <c r="U61" s="30">
        <v>86</v>
      </c>
      <c r="V61" s="35">
        <v>3.9586797682035775E-2</v>
      </c>
      <c r="W61" s="17">
        <f t="shared" si="0"/>
        <v>1.151269803629497</v>
      </c>
      <c r="X61" s="17">
        <f t="shared" si="1"/>
        <v>0.66725352112676051</v>
      </c>
      <c r="Y61" s="34">
        <v>0.67869579425125903</v>
      </c>
      <c r="Z61" s="34">
        <v>0.12361189410122388</v>
      </c>
      <c r="AA61" s="30">
        <v>210.83754926858927</v>
      </c>
      <c r="AB61" s="30">
        <v>66.612008163975105</v>
      </c>
      <c r="AC61" s="35">
        <v>5.5421516754850089E-2</v>
      </c>
      <c r="AD61" s="34">
        <v>0.53744301783140813</v>
      </c>
      <c r="AE61" s="34">
        <v>0.17799191159417418</v>
      </c>
      <c r="AF61" s="34">
        <v>0.24169857413436355</v>
      </c>
      <c r="AG61" s="30">
        <v>220.95935656530708</v>
      </c>
      <c r="AH61" s="35">
        <v>2.9399999999999999E-2</v>
      </c>
      <c r="AI61" s="17">
        <v>0.77387787649640949</v>
      </c>
    </row>
    <row r="62" spans="1:35" x14ac:dyDescent="0.3">
      <c r="B62" s="1">
        <v>25</v>
      </c>
      <c r="C62" s="1">
        <v>4</v>
      </c>
      <c r="D62" s="4">
        <v>62</v>
      </c>
      <c r="E62" s="3">
        <v>2.6933292113182881</v>
      </c>
      <c r="F62" s="1">
        <v>20</v>
      </c>
      <c r="G62" s="1">
        <v>40.5</v>
      </c>
      <c r="H62" s="33">
        <v>141.76646013770139</v>
      </c>
      <c r="I62" s="41">
        <v>450</v>
      </c>
      <c r="J62" s="43">
        <v>409.5</v>
      </c>
      <c r="K62" s="30">
        <v>237</v>
      </c>
      <c r="L62" s="43">
        <v>141.75</v>
      </c>
      <c r="M62" s="3">
        <v>0.35</v>
      </c>
      <c r="N62" s="17">
        <v>0.22835615725307237</v>
      </c>
      <c r="O62" s="23">
        <v>316.25632390288388</v>
      </c>
      <c r="P62" s="23">
        <v>66.612008163975105</v>
      </c>
      <c r="Q62" s="24">
        <v>5.5421516754850089E-2</v>
      </c>
      <c r="R62" s="17">
        <v>0.65244616358020679</v>
      </c>
      <c r="S62" s="3">
        <v>0.2594615172931995</v>
      </c>
      <c r="T62" s="23">
        <v>316.25632390288388</v>
      </c>
      <c r="U62" s="30">
        <v>86</v>
      </c>
      <c r="V62" s="35">
        <v>3.9586797682035775E-2</v>
      </c>
      <c r="W62" s="17">
        <f t="shared" si="0"/>
        <v>1.151269803629497</v>
      </c>
      <c r="X62" s="17">
        <f t="shared" si="1"/>
        <v>0.66725352112676051</v>
      </c>
      <c r="Y62" s="34">
        <v>0.74131862083771294</v>
      </c>
      <c r="Z62" s="34">
        <v>0.19987448053425924</v>
      </c>
      <c r="AA62" s="30">
        <v>316.25632390288388</v>
      </c>
      <c r="AB62" s="30">
        <v>66.612008163975105</v>
      </c>
      <c r="AC62" s="35">
        <v>5.5421516754850089E-2</v>
      </c>
      <c r="AD62" s="34">
        <v>0.57106994438359782</v>
      </c>
      <c r="AE62" s="34">
        <v>0.26698786739126135</v>
      </c>
      <c r="AF62" s="34">
        <v>0.54382179180231793</v>
      </c>
      <c r="AG62" s="30">
        <v>331.43903484796061</v>
      </c>
      <c r="AH62" s="35">
        <v>2.9399999999999999E-2</v>
      </c>
      <c r="AI62" s="17">
        <v>0.76282247826074678</v>
      </c>
    </row>
    <row r="63" spans="1:35" x14ac:dyDescent="0.3">
      <c r="B63" s="1">
        <v>25</v>
      </c>
      <c r="C63" s="1">
        <v>4</v>
      </c>
      <c r="D63" s="4">
        <v>62</v>
      </c>
      <c r="E63" s="3">
        <v>2.6933292113182881</v>
      </c>
      <c r="F63" s="1">
        <v>20</v>
      </c>
      <c r="G63" s="1">
        <v>40.5</v>
      </c>
      <c r="H63" s="33">
        <v>141.76646013770139</v>
      </c>
      <c r="I63" s="41">
        <v>450</v>
      </c>
      <c r="J63" s="43">
        <v>409.5</v>
      </c>
      <c r="K63" s="30">
        <v>237</v>
      </c>
      <c r="L63" s="43">
        <v>141.75</v>
      </c>
      <c r="M63" s="3">
        <v>0.49</v>
      </c>
      <c r="N63" s="17">
        <v>0.31548599560701496</v>
      </c>
      <c r="O63" s="23">
        <v>421.67509853717854</v>
      </c>
      <c r="P63" s="23">
        <v>66.612008163975105</v>
      </c>
      <c r="Q63" s="24">
        <v>5.5421516754850089E-2</v>
      </c>
      <c r="R63" s="17">
        <v>0.6438489706265611</v>
      </c>
      <c r="S63" s="3">
        <v>0.3628230019086095</v>
      </c>
      <c r="T63" s="23">
        <v>421.67509853717854</v>
      </c>
      <c r="U63" s="30">
        <v>86</v>
      </c>
      <c r="V63" s="35">
        <v>3.9586797682035775E-2</v>
      </c>
      <c r="W63" s="17">
        <f t="shared" si="0"/>
        <v>1.151269803629497</v>
      </c>
      <c r="X63" s="17">
        <f t="shared" si="1"/>
        <v>0.66725352112676051</v>
      </c>
      <c r="Y63" s="34">
        <v>0.74045510593593777</v>
      </c>
      <c r="Z63" s="34">
        <v>0.27613706696729462</v>
      </c>
      <c r="AA63" s="30">
        <v>421.67509853717854</v>
      </c>
      <c r="AB63" s="30">
        <v>66.612008163975105</v>
      </c>
      <c r="AC63" s="35">
        <v>5.5421516754850089E-2</v>
      </c>
      <c r="AD63" s="34">
        <v>0.5635450346271319</v>
      </c>
      <c r="AE63" s="34">
        <v>0.35598382318834837</v>
      </c>
      <c r="AF63" s="34">
        <v>0.96679429653745419</v>
      </c>
      <c r="AG63" s="30">
        <v>441.91871313061415</v>
      </c>
      <c r="AH63" s="35">
        <v>2.9399999999999999E-2</v>
      </c>
      <c r="AI63" s="17">
        <v>0.72649759834356809</v>
      </c>
    </row>
    <row r="64" spans="1:35" x14ac:dyDescent="0.3">
      <c r="B64" s="1">
        <v>25</v>
      </c>
      <c r="C64" s="1">
        <v>4</v>
      </c>
      <c r="D64" s="4">
        <v>62</v>
      </c>
      <c r="E64" s="3">
        <v>2.6933292113182881</v>
      </c>
      <c r="F64" s="1">
        <v>20</v>
      </c>
      <c r="G64" s="1">
        <v>40.5</v>
      </c>
      <c r="H64" s="33">
        <v>141.76646013770139</v>
      </c>
      <c r="I64" s="41">
        <v>450</v>
      </c>
      <c r="J64" s="43">
        <v>409.5</v>
      </c>
      <c r="K64" s="30">
        <v>237</v>
      </c>
      <c r="L64" s="43">
        <v>141.75</v>
      </c>
      <c r="M64" s="3">
        <v>0.67</v>
      </c>
      <c r="N64" s="17">
        <v>0.38022243394277228</v>
      </c>
      <c r="O64" s="23">
        <v>500</v>
      </c>
      <c r="P64" s="23">
        <v>66.612008163975105</v>
      </c>
      <c r="Q64" s="24">
        <v>5.5421516754850089E-2</v>
      </c>
      <c r="R64" s="17">
        <v>0.56749617006383923</v>
      </c>
      <c r="S64" s="3">
        <v>0.43961936124438972</v>
      </c>
      <c r="T64" s="23">
        <v>500</v>
      </c>
      <c r="U64" s="30">
        <v>86</v>
      </c>
      <c r="V64" s="35">
        <v>3.9586797682035775E-2</v>
      </c>
      <c r="W64" s="17">
        <f t="shared" si="0"/>
        <v>1.151269803629497</v>
      </c>
      <c r="X64" s="17">
        <f t="shared" si="1"/>
        <v>0.66725352112676051</v>
      </c>
      <c r="Y64" s="34">
        <v>0.65614830036476068</v>
      </c>
      <c r="Z64" s="34">
        <v>0.33279926578708802</v>
      </c>
      <c r="AA64" s="30">
        <v>500</v>
      </c>
      <c r="AB64" s="30">
        <v>66.612008163975105</v>
      </c>
      <c r="AC64" s="35">
        <v>5.5421516754850089E-2</v>
      </c>
      <c r="AD64" s="34">
        <v>0.49671532207028057</v>
      </c>
      <c r="AE64" s="34">
        <v>0.40277070489560068</v>
      </c>
      <c r="AF64" s="34">
        <v>1.2376256565018231</v>
      </c>
      <c r="AG64" s="30">
        <v>500</v>
      </c>
      <c r="AH64" s="35">
        <v>2.9399999999999999E-2</v>
      </c>
      <c r="AI64" s="17">
        <v>0.60115030581432938</v>
      </c>
    </row>
    <row r="65" spans="1:35" x14ac:dyDescent="0.3">
      <c r="A65" t="s">
        <v>18</v>
      </c>
      <c r="B65" s="1">
        <v>25</v>
      </c>
      <c r="C65" s="1">
        <v>4</v>
      </c>
      <c r="D65" s="4">
        <v>62</v>
      </c>
      <c r="E65" s="3">
        <v>2.6933292113182881</v>
      </c>
      <c r="F65" s="1">
        <v>20</v>
      </c>
      <c r="G65" s="1">
        <v>40.5</v>
      </c>
      <c r="H65" s="33">
        <v>141.76646013770139</v>
      </c>
      <c r="I65" s="41">
        <v>450</v>
      </c>
      <c r="J65" s="43">
        <v>409.5</v>
      </c>
      <c r="K65" s="30">
        <v>237</v>
      </c>
      <c r="L65" s="43">
        <v>141.75</v>
      </c>
      <c r="M65" s="3">
        <v>0.27</v>
      </c>
      <c r="N65" s="17">
        <v>0.14122631889912982</v>
      </c>
      <c r="O65" s="23">
        <v>210.83754926858927</v>
      </c>
      <c r="P65" s="23">
        <v>66.612008163975105</v>
      </c>
      <c r="Q65" s="24">
        <v>5.5421516754850089E-2</v>
      </c>
      <c r="R65" s="17">
        <v>0.52306044036714738</v>
      </c>
      <c r="S65" s="3">
        <v>0.15610003267778957</v>
      </c>
      <c r="T65" s="23">
        <v>210.83754926858927</v>
      </c>
      <c r="U65" s="30">
        <v>86</v>
      </c>
      <c r="V65" s="35">
        <v>3.9586797682035775E-2</v>
      </c>
      <c r="W65" s="17">
        <f t="shared" si="0"/>
        <v>1.151269803629497</v>
      </c>
      <c r="X65" s="17">
        <f t="shared" si="1"/>
        <v>0.66725352112676051</v>
      </c>
      <c r="Y65" s="34">
        <v>0.57814826917699835</v>
      </c>
      <c r="Z65" s="34">
        <v>0.12361189410122388</v>
      </c>
      <c r="AA65" s="30">
        <v>210.83754926858927</v>
      </c>
      <c r="AB65" s="30">
        <v>66.612008163975105</v>
      </c>
      <c r="AC65" s="35">
        <v>5.5421516754850089E-2</v>
      </c>
      <c r="AD65" s="34">
        <v>0.45782183000453286</v>
      </c>
      <c r="AE65" s="34">
        <v>0.17799191159417418</v>
      </c>
      <c r="AF65" s="34">
        <v>0.24169857413436355</v>
      </c>
      <c r="AG65" s="30">
        <v>220.95935656530708</v>
      </c>
      <c r="AH65" s="35">
        <v>2.9399999999999999E-2</v>
      </c>
      <c r="AI65" s="17">
        <v>0.65922930220064513</v>
      </c>
    </row>
    <row r="66" spans="1:35" x14ac:dyDescent="0.3">
      <c r="B66" s="1">
        <v>25</v>
      </c>
      <c r="C66" s="1">
        <v>4</v>
      </c>
      <c r="D66" s="4">
        <v>62</v>
      </c>
      <c r="E66" s="3">
        <v>2.6933292113182881</v>
      </c>
      <c r="F66" s="1">
        <v>20</v>
      </c>
      <c r="G66" s="1">
        <v>40.5</v>
      </c>
      <c r="H66" s="33">
        <v>141.76646013770139</v>
      </c>
      <c r="I66" s="41">
        <v>450</v>
      </c>
      <c r="J66" s="43">
        <v>409.5</v>
      </c>
      <c r="K66" s="30">
        <v>237</v>
      </c>
      <c r="L66" s="43">
        <v>141.75</v>
      </c>
      <c r="M66" s="3">
        <v>0.4</v>
      </c>
      <c r="N66" s="17">
        <v>0.22835615725307237</v>
      </c>
      <c r="O66" s="23">
        <v>316.25632390288388</v>
      </c>
      <c r="P66" s="23">
        <v>66.612008163975105</v>
      </c>
      <c r="Q66" s="24">
        <v>5.5421516754850089E-2</v>
      </c>
      <c r="R66" s="17">
        <v>0.57089039313268086</v>
      </c>
      <c r="S66" s="3">
        <v>0.2594615172931995</v>
      </c>
      <c r="T66" s="23">
        <v>316.25632390288388</v>
      </c>
      <c r="U66" s="30">
        <v>86</v>
      </c>
      <c r="V66" s="35">
        <v>3.9586797682035775E-2</v>
      </c>
      <c r="W66" s="17">
        <f t="shared" si="0"/>
        <v>1.151269803629497</v>
      </c>
      <c r="X66" s="17">
        <f t="shared" si="1"/>
        <v>0.66725352112676051</v>
      </c>
      <c r="Y66" s="34">
        <v>0.64865379323299865</v>
      </c>
      <c r="Z66" s="34">
        <v>0.19987448053425924</v>
      </c>
      <c r="AA66" s="30">
        <v>316.25632390288388</v>
      </c>
      <c r="AB66" s="30">
        <v>66.612008163975105</v>
      </c>
      <c r="AC66" s="35">
        <v>5.5421516754850089E-2</v>
      </c>
      <c r="AD66" s="34">
        <v>0.49968620133564806</v>
      </c>
      <c r="AE66" s="34">
        <v>0.26698786739126135</v>
      </c>
      <c r="AF66" s="34">
        <v>0.54382179180231793</v>
      </c>
      <c r="AG66" s="30">
        <v>331.43903484796061</v>
      </c>
      <c r="AH66" s="35">
        <v>2.9399999999999999E-2</v>
      </c>
      <c r="AI66" s="17">
        <v>0.66746966847815337</v>
      </c>
    </row>
    <row r="67" spans="1:35" x14ac:dyDescent="0.3">
      <c r="B67" s="1">
        <v>25</v>
      </c>
      <c r="C67" s="1">
        <v>4</v>
      </c>
      <c r="D67" s="4">
        <v>62</v>
      </c>
      <c r="E67" s="3">
        <v>2.6933292113182881</v>
      </c>
      <c r="F67" s="1">
        <v>20</v>
      </c>
      <c r="G67" s="1">
        <v>40.5</v>
      </c>
      <c r="H67" s="33">
        <v>141.76646013770139</v>
      </c>
      <c r="I67" s="41">
        <v>450</v>
      </c>
      <c r="J67" s="43">
        <v>409.5</v>
      </c>
      <c r="K67" s="30">
        <v>237</v>
      </c>
      <c r="L67" s="43">
        <v>141.75</v>
      </c>
      <c r="M67" s="3">
        <v>0.53</v>
      </c>
      <c r="N67" s="17">
        <v>0.31548599560701496</v>
      </c>
      <c r="O67" s="23">
        <v>421.67509853717854</v>
      </c>
      <c r="P67" s="23">
        <v>66.612008163975105</v>
      </c>
      <c r="Q67" s="24">
        <v>5.5421516754850089E-2</v>
      </c>
      <c r="R67" s="17">
        <v>0.59525659548493381</v>
      </c>
      <c r="S67" s="3">
        <v>0.3628230019086095</v>
      </c>
      <c r="T67" s="23">
        <v>421.67509853717854</v>
      </c>
      <c r="U67" s="30">
        <v>86</v>
      </c>
      <c r="V67" s="35">
        <v>3.9586797682035775E-2</v>
      </c>
      <c r="W67" s="17">
        <f t="shared" si="0"/>
        <v>1.151269803629497</v>
      </c>
      <c r="X67" s="17">
        <f t="shared" si="1"/>
        <v>0.66725352112676051</v>
      </c>
      <c r="Y67" s="34">
        <v>0.68457170171435755</v>
      </c>
      <c r="Z67" s="34">
        <v>0.27613706696729462</v>
      </c>
      <c r="AA67" s="30">
        <v>421.67509853717854</v>
      </c>
      <c r="AB67" s="30">
        <v>66.612008163975105</v>
      </c>
      <c r="AC67" s="35">
        <v>5.5421516754850089E-2</v>
      </c>
      <c r="AD67" s="34">
        <v>0.52101333390055582</v>
      </c>
      <c r="AE67" s="34">
        <v>0.35598382318834837</v>
      </c>
      <c r="AF67" s="34">
        <v>0.96679429653745419</v>
      </c>
      <c r="AG67" s="30">
        <v>441.91871313061415</v>
      </c>
      <c r="AH67" s="35">
        <v>2.9399999999999999E-2</v>
      </c>
      <c r="AI67" s="17">
        <v>0.67166759092141204</v>
      </c>
    </row>
    <row r="68" spans="1:35" x14ac:dyDescent="0.3">
      <c r="B68" s="1">
        <v>25</v>
      </c>
      <c r="C68" s="1">
        <v>4</v>
      </c>
      <c r="D68" s="4">
        <v>62</v>
      </c>
      <c r="E68" s="3">
        <v>2.6933292113182881</v>
      </c>
      <c r="F68" s="1">
        <v>20</v>
      </c>
      <c r="G68" s="1">
        <v>40.5</v>
      </c>
      <c r="H68" s="33">
        <v>141.76646013770139</v>
      </c>
      <c r="I68" s="41">
        <v>450</v>
      </c>
      <c r="J68" s="43">
        <v>409.5</v>
      </c>
      <c r="K68" s="30">
        <v>237</v>
      </c>
      <c r="L68" s="43">
        <v>141.75</v>
      </c>
      <c r="M68" s="3">
        <v>0.72</v>
      </c>
      <c r="N68" s="17">
        <v>0.38022243394277228</v>
      </c>
      <c r="O68" s="23">
        <v>500</v>
      </c>
      <c r="P68" s="23">
        <v>66.612008163975105</v>
      </c>
      <c r="Q68" s="24">
        <v>5.5421516754850089E-2</v>
      </c>
      <c r="R68" s="17">
        <v>0.52808671380940597</v>
      </c>
      <c r="S68" s="3">
        <v>0.43961936124438972</v>
      </c>
      <c r="T68" s="23">
        <v>500</v>
      </c>
      <c r="U68" s="30">
        <v>86</v>
      </c>
      <c r="V68" s="35">
        <v>3.9586797682035775E-2</v>
      </c>
      <c r="W68" s="17">
        <f t="shared" ref="W68:W131" si="2">(I68-H68)/(J68-H68)</f>
        <v>1.151269803629497</v>
      </c>
      <c r="X68" s="17">
        <f t="shared" ref="X68:X131" si="3">0.5*(1+(I68-K68-L68)/(I68-K68))</f>
        <v>0.66725352112676051</v>
      </c>
      <c r="Y68" s="34">
        <v>0.61058244617276347</v>
      </c>
      <c r="Z68" s="34">
        <v>0.33279926578708802</v>
      </c>
      <c r="AA68" s="30">
        <v>500</v>
      </c>
      <c r="AB68" s="30">
        <v>66.612008163975105</v>
      </c>
      <c r="AC68" s="35">
        <v>5.5421516754850089E-2</v>
      </c>
      <c r="AD68" s="34">
        <v>0.46222120248206672</v>
      </c>
      <c r="AE68" s="34">
        <v>0.40277070489560068</v>
      </c>
      <c r="AF68" s="34">
        <v>1.2376256565018231</v>
      </c>
      <c r="AG68" s="30">
        <v>500</v>
      </c>
      <c r="AH68" s="35">
        <v>2.9399999999999999E-2</v>
      </c>
      <c r="AI68" s="17">
        <v>0.55940375679944543</v>
      </c>
    </row>
    <row r="69" spans="1:35" x14ac:dyDescent="0.3">
      <c r="A69" t="s">
        <v>19</v>
      </c>
      <c r="B69" s="1">
        <v>25</v>
      </c>
      <c r="C69" s="1">
        <v>4</v>
      </c>
      <c r="D69" s="4">
        <v>28.7</v>
      </c>
      <c r="E69" s="3">
        <v>2.6933292113182881</v>
      </c>
      <c r="F69" s="1">
        <v>70</v>
      </c>
      <c r="G69" s="1">
        <v>94.5</v>
      </c>
      <c r="H69" s="33">
        <v>130.08181306692575</v>
      </c>
      <c r="I69" s="41">
        <v>450</v>
      </c>
      <c r="J69" s="43">
        <v>355.5</v>
      </c>
      <c r="K69" s="30">
        <v>234</v>
      </c>
      <c r="L69" s="43">
        <v>219.5</v>
      </c>
      <c r="M69" s="3">
        <v>0.3</v>
      </c>
      <c r="N69" s="17">
        <v>0.10990592534117057</v>
      </c>
      <c r="O69" s="23">
        <v>122.34076582972288</v>
      </c>
      <c r="P69" s="23">
        <v>69.198767762806767</v>
      </c>
      <c r="Q69" s="24">
        <v>5.2620596145749564E-2</v>
      </c>
      <c r="R69" s="17">
        <v>0.36635308447056858</v>
      </c>
      <c r="S69" s="3">
        <v>0.10939457736918726</v>
      </c>
      <c r="T69" s="23">
        <v>122.34076582972288</v>
      </c>
      <c r="U69" s="30">
        <v>123</v>
      </c>
      <c r="V69" s="35">
        <v>2.5564594858444516E-2</v>
      </c>
      <c r="W69" s="17">
        <f t="shared" si="2"/>
        <v>1.4192208325588949</v>
      </c>
      <c r="X69" s="17">
        <f t="shared" si="3"/>
        <v>0.49189814814814814</v>
      </c>
      <c r="Y69" s="34">
        <v>0.36464859123062421</v>
      </c>
      <c r="Z69" s="34">
        <v>0.12881608464782118</v>
      </c>
      <c r="AA69" s="30">
        <v>122.34076582972288</v>
      </c>
      <c r="AB69" s="30">
        <v>69.198767762806767</v>
      </c>
      <c r="AC69" s="35">
        <v>5.2620596145749564E-2</v>
      </c>
      <c r="AD69" s="34">
        <v>0.42938694882607065</v>
      </c>
      <c r="AE69" s="34">
        <v>0.16556711308129932</v>
      </c>
      <c r="AF69" s="34">
        <v>8.1665558272208852E-2</v>
      </c>
      <c r="AG69" s="30">
        <v>128.43838026067868</v>
      </c>
      <c r="AH69" s="35">
        <v>1.6299999999999999E-2</v>
      </c>
      <c r="AI69" s="17">
        <v>0.27221852757402953</v>
      </c>
    </row>
    <row r="70" spans="1:35" x14ac:dyDescent="0.3">
      <c r="B70" s="1">
        <v>25</v>
      </c>
      <c r="C70" s="1">
        <v>4</v>
      </c>
      <c r="D70" s="4">
        <v>28.7</v>
      </c>
      <c r="E70" s="3">
        <v>2.6933292113182881</v>
      </c>
      <c r="F70" s="1">
        <v>70</v>
      </c>
      <c r="G70" s="1">
        <v>94.5</v>
      </c>
      <c r="H70" s="33">
        <v>130.08181306692575</v>
      </c>
      <c r="I70" s="41">
        <v>450</v>
      </c>
      <c r="J70" s="43">
        <v>355.5</v>
      </c>
      <c r="K70" s="30">
        <v>234</v>
      </c>
      <c r="L70" s="43">
        <v>219.5</v>
      </c>
      <c r="M70" s="3">
        <v>0.56999999999999995</v>
      </c>
      <c r="N70" s="17">
        <v>0.27627222904761223</v>
      </c>
      <c r="O70" s="23">
        <v>244.68153165944577</v>
      </c>
      <c r="P70" s="23">
        <v>69.198767762806767</v>
      </c>
      <c r="Q70" s="24">
        <v>5.2620596145749564E-2</v>
      </c>
      <c r="R70" s="17">
        <v>0.48468812113616183</v>
      </c>
      <c r="S70" s="3">
        <v>0.38150227100816453</v>
      </c>
      <c r="T70" s="23">
        <v>244.68153165944577</v>
      </c>
      <c r="U70" s="30">
        <v>123</v>
      </c>
      <c r="V70" s="35">
        <v>2.5564594858444516E-2</v>
      </c>
      <c r="W70" s="17">
        <f t="shared" si="2"/>
        <v>1.4192208325588949</v>
      </c>
      <c r="X70" s="17">
        <f t="shared" si="3"/>
        <v>0.49189814814814814</v>
      </c>
      <c r="Y70" s="34">
        <v>0.66930222983888521</v>
      </c>
      <c r="Z70" s="34">
        <v>0.32380698977208044</v>
      </c>
      <c r="AA70" s="30">
        <v>244.68153165944577</v>
      </c>
      <c r="AB70" s="30">
        <v>69.198767762806767</v>
      </c>
      <c r="AC70" s="35">
        <v>5.2620596145749564E-2</v>
      </c>
      <c r="AD70" s="34">
        <v>0.5680824381966324</v>
      </c>
      <c r="AE70" s="34">
        <v>0.33113422616259863</v>
      </c>
      <c r="AF70" s="34">
        <v>0.32666223308883541</v>
      </c>
      <c r="AG70" s="30">
        <v>256.87676052135737</v>
      </c>
      <c r="AH70" s="35">
        <v>1.6299999999999999E-2</v>
      </c>
      <c r="AI70" s="17">
        <v>0.57309163699795695</v>
      </c>
    </row>
    <row r="71" spans="1:35" x14ac:dyDescent="0.3">
      <c r="A71" t="s">
        <v>20</v>
      </c>
      <c r="B71" s="1">
        <v>25</v>
      </c>
      <c r="C71" s="1">
        <v>4</v>
      </c>
      <c r="D71" s="4">
        <v>28.7</v>
      </c>
      <c r="E71" s="3">
        <v>2.6933292113182881</v>
      </c>
      <c r="F71" s="1">
        <v>70</v>
      </c>
      <c r="G71" s="1">
        <v>90.5</v>
      </c>
      <c r="H71" s="33">
        <v>130.97513055188566</v>
      </c>
      <c r="I71" s="41">
        <v>450</v>
      </c>
      <c r="J71" s="43">
        <v>359.5</v>
      </c>
      <c r="K71" s="30">
        <v>234</v>
      </c>
      <c r="L71" s="43">
        <v>215.5</v>
      </c>
      <c r="M71" s="3">
        <v>0.26</v>
      </c>
      <c r="N71" s="17">
        <v>0.1079259949450118</v>
      </c>
      <c r="O71" s="23">
        <v>120.90671371295994</v>
      </c>
      <c r="P71" s="23">
        <v>69.055845270099979</v>
      </c>
      <c r="Q71" s="24">
        <v>5.2767941707515108E-2</v>
      </c>
      <c r="R71" s="17">
        <v>0.41509998055773767</v>
      </c>
      <c r="S71" s="3">
        <v>0.10629770257672502</v>
      </c>
      <c r="T71" s="23">
        <v>120.90671371295994</v>
      </c>
      <c r="U71" s="30">
        <v>121</v>
      </c>
      <c r="V71" s="35">
        <v>2.60391117003646E-2</v>
      </c>
      <c r="W71" s="17">
        <f t="shared" si="2"/>
        <v>1.396018167381768</v>
      </c>
      <c r="X71" s="17">
        <f t="shared" si="3"/>
        <v>0.50115740740740744</v>
      </c>
      <c r="Y71" s="34">
        <v>0.40883731760278852</v>
      </c>
      <c r="Z71" s="34">
        <v>0.12657750301551265</v>
      </c>
      <c r="AA71" s="30">
        <v>120.90671371295994</v>
      </c>
      <c r="AB71" s="30">
        <v>69.055845270099979</v>
      </c>
      <c r="AC71" s="35">
        <v>5.2767941707515108E-2</v>
      </c>
      <c r="AD71" s="34">
        <v>0.48683655005966403</v>
      </c>
      <c r="AE71" s="34">
        <v>0.16360417247081654</v>
      </c>
      <c r="AF71" s="34">
        <v>7.9740606352613888E-2</v>
      </c>
      <c r="AG71" s="30">
        <v>126.91563273028888</v>
      </c>
      <c r="AH71" s="35">
        <v>1.6299999999999999E-2</v>
      </c>
      <c r="AI71" s="17">
        <v>0.3066946398177457</v>
      </c>
    </row>
    <row r="72" spans="1:35" x14ac:dyDescent="0.3">
      <c r="B72" s="1">
        <v>25</v>
      </c>
      <c r="C72" s="1">
        <v>4</v>
      </c>
      <c r="D72" s="4">
        <v>28.7</v>
      </c>
      <c r="E72" s="3">
        <v>2.6933292113182881</v>
      </c>
      <c r="F72" s="1">
        <v>70</v>
      </c>
      <c r="G72" s="1">
        <v>90.5</v>
      </c>
      <c r="H72" s="33">
        <v>130.97513055188566</v>
      </c>
      <c r="I72" s="41">
        <v>450</v>
      </c>
      <c r="J72" s="43">
        <v>359.5</v>
      </c>
      <c r="K72" s="30">
        <v>234</v>
      </c>
      <c r="L72" s="43">
        <v>215.5</v>
      </c>
      <c r="M72" s="3">
        <v>0.6</v>
      </c>
      <c r="N72" s="17">
        <v>0.27211941231575132</v>
      </c>
      <c r="O72" s="23">
        <v>241.81342742591988</v>
      </c>
      <c r="P72" s="23">
        <v>69.055845270099979</v>
      </c>
      <c r="Q72" s="24">
        <v>5.2767941707515108E-2</v>
      </c>
      <c r="R72" s="17">
        <v>0.45353235385958557</v>
      </c>
      <c r="S72" s="3">
        <v>0.37132705037540759</v>
      </c>
      <c r="T72" s="23">
        <v>241.81342742591988</v>
      </c>
      <c r="U72" s="30">
        <v>121</v>
      </c>
      <c r="V72" s="35">
        <v>2.60391117003646E-2</v>
      </c>
      <c r="W72" s="17">
        <f t="shared" si="2"/>
        <v>1.396018167381768</v>
      </c>
      <c r="X72" s="17">
        <f t="shared" si="3"/>
        <v>0.50115740740740744</v>
      </c>
      <c r="Y72" s="34">
        <v>0.61887841729234605</v>
      </c>
      <c r="Z72" s="34">
        <v>0.31914642761019552</v>
      </c>
      <c r="AA72" s="30">
        <v>241.81342742591988</v>
      </c>
      <c r="AB72" s="30">
        <v>69.055845270099979</v>
      </c>
      <c r="AC72" s="35">
        <v>5.2767941707515108E-2</v>
      </c>
      <c r="AD72" s="34">
        <v>0.53191071268365919</v>
      </c>
      <c r="AE72" s="34">
        <v>0.32720834494163309</v>
      </c>
      <c r="AF72" s="34">
        <v>0.31896242541045555</v>
      </c>
      <c r="AG72" s="30">
        <v>253.83126546057775</v>
      </c>
      <c r="AH72" s="35">
        <v>1.6299999999999999E-2</v>
      </c>
      <c r="AI72" s="17">
        <v>0.53160404235075931</v>
      </c>
    </row>
    <row r="73" spans="1:35" x14ac:dyDescent="0.3">
      <c r="A73" t="s">
        <v>21</v>
      </c>
      <c r="B73" s="1">
        <v>25</v>
      </c>
      <c r="C73" s="1">
        <v>4</v>
      </c>
      <c r="D73" s="4">
        <v>28.7</v>
      </c>
      <c r="E73" s="3">
        <v>2.6933292113182881</v>
      </c>
      <c r="F73" s="1">
        <v>70</v>
      </c>
      <c r="G73" s="1">
        <v>90.5</v>
      </c>
      <c r="H73" s="33">
        <v>130.97513055188566</v>
      </c>
      <c r="I73" s="41">
        <v>450</v>
      </c>
      <c r="J73" s="43">
        <v>359.5</v>
      </c>
      <c r="K73" s="30">
        <v>234</v>
      </c>
      <c r="L73" s="43">
        <v>215.5</v>
      </c>
      <c r="M73" s="3">
        <v>0.27</v>
      </c>
      <c r="N73" s="17">
        <v>0.1079259949450118</v>
      </c>
      <c r="O73" s="23">
        <v>120.90671371295994</v>
      </c>
      <c r="P73" s="23">
        <v>69.055845270099979</v>
      </c>
      <c r="Q73" s="24">
        <v>5.2767941707515108E-2</v>
      </c>
      <c r="R73" s="17">
        <v>0.3997259072037474</v>
      </c>
      <c r="S73" s="3">
        <v>0.10629770257672502</v>
      </c>
      <c r="T73" s="23">
        <v>120.90671371295994</v>
      </c>
      <c r="U73" s="30">
        <v>121</v>
      </c>
      <c r="V73" s="35">
        <v>2.60391117003646E-2</v>
      </c>
      <c r="W73" s="17">
        <f t="shared" si="2"/>
        <v>1.396018167381768</v>
      </c>
      <c r="X73" s="17">
        <f t="shared" si="3"/>
        <v>0.50115740740740744</v>
      </c>
      <c r="Y73" s="34">
        <v>0.39369519472861114</v>
      </c>
      <c r="Z73" s="34">
        <v>0.12657750301551265</v>
      </c>
      <c r="AA73" s="30">
        <v>120.90671371295994</v>
      </c>
      <c r="AB73" s="30">
        <v>69.055845270099979</v>
      </c>
      <c r="AC73" s="35">
        <v>5.2767941707515108E-2</v>
      </c>
      <c r="AD73" s="34">
        <v>0.46880556672412094</v>
      </c>
      <c r="AE73" s="34">
        <v>0.16360417247081654</v>
      </c>
      <c r="AF73" s="34">
        <v>7.9740606352613888E-2</v>
      </c>
      <c r="AG73" s="30">
        <v>126.91563273028888</v>
      </c>
      <c r="AH73" s="35">
        <v>1.6299999999999999E-2</v>
      </c>
      <c r="AI73" s="17">
        <v>0.29533557908375513</v>
      </c>
    </row>
    <row r="74" spans="1:35" x14ac:dyDescent="0.3">
      <c r="B74" s="1">
        <v>25</v>
      </c>
      <c r="C74" s="1">
        <v>4</v>
      </c>
      <c r="D74" s="4">
        <v>28.7</v>
      </c>
      <c r="E74" s="3">
        <v>2.6933292113182881</v>
      </c>
      <c r="F74" s="1">
        <v>70</v>
      </c>
      <c r="G74" s="1">
        <v>90.5</v>
      </c>
      <c r="H74" s="33">
        <v>130.97513055188566</v>
      </c>
      <c r="I74" s="41">
        <v>450</v>
      </c>
      <c r="J74" s="43">
        <v>359.5</v>
      </c>
      <c r="K74" s="30">
        <v>234</v>
      </c>
      <c r="L74" s="43">
        <v>215.5</v>
      </c>
      <c r="M74" s="3">
        <v>0.59</v>
      </c>
      <c r="N74" s="17">
        <v>0.27211941231575132</v>
      </c>
      <c r="O74" s="23">
        <v>241.81342742591988</v>
      </c>
      <c r="P74" s="23">
        <v>69.055845270099979</v>
      </c>
      <c r="Q74" s="24">
        <v>5.2767941707515108E-2</v>
      </c>
      <c r="R74" s="17">
        <v>0.46121934290805311</v>
      </c>
      <c r="S74" s="3">
        <v>0.37132705037540759</v>
      </c>
      <c r="T74" s="23">
        <v>241.81342742591988</v>
      </c>
      <c r="U74" s="30">
        <v>121</v>
      </c>
      <c r="V74" s="35">
        <v>2.60391117003646E-2</v>
      </c>
      <c r="W74" s="17">
        <f t="shared" si="2"/>
        <v>1.396018167381768</v>
      </c>
      <c r="X74" s="17">
        <f t="shared" si="3"/>
        <v>0.50115740740740744</v>
      </c>
      <c r="Y74" s="34">
        <v>0.62936788199221627</v>
      </c>
      <c r="Z74" s="34">
        <v>0.31914642761019552</v>
      </c>
      <c r="AA74" s="30">
        <v>241.81342742591988</v>
      </c>
      <c r="AB74" s="30">
        <v>69.055845270099979</v>
      </c>
      <c r="AC74" s="35">
        <v>5.2767941707515108E-2</v>
      </c>
      <c r="AD74" s="34">
        <v>0.54092614849185683</v>
      </c>
      <c r="AE74" s="34">
        <v>0.32720834494163309</v>
      </c>
      <c r="AF74" s="34">
        <v>0.31896242541045555</v>
      </c>
      <c r="AG74" s="30">
        <v>253.83126546057775</v>
      </c>
      <c r="AH74" s="35">
        <v>1.6299999999999999E-2</v>
      </c>
      <c r="AI74" s="17">
        <v>0.54061428035670434</v>
      </c>
    </row>
    <row r="75" spans="1:35" x14ac:dyDescent="0.3">
      <c r="A75" t="s">
        <v>22</v>
      </c>
      <c r="B75" s="1">
        <v>9.52</v>
      </c>
      <c r="C75" s="1">
        <v>3</v>
      </c>
      <c r="D75" s="4">
        <v>22.2</v>
      </c>
      <c r="E75" s="3">
        <v>3.5641600019995088</v>
      </c>
      <c r="F75" s="1">
        <v>20.64</v>
      </c>
      <c r="G75" s="1">
        <v>25.4</v>
      </c>
      <c r="H75" s="33">
        <v>56.390968153098974</v>
      </c>
      <c r="I75" s="41">
        <v>228.6</v>
      </c>
      <c r="J75" s="43">
        <v>203.2</v>
      </c>
      <c r="K75" s="30">
        <v>118</v>
      </c>
      <c r="L75" s="43">
        <v>73</v>
      </c>
      <c r="M75" s="3">
        <v>0.15</v>
      </c>
      <c r="N75" s="17">
        <v>0.13329381492770445</v>
      </c>
      <c r="O75" s="23">
        <v>295.47063165325955</v>
      </c>
      <c r="P75" s="23">
        <v>130.56402948394532</v>
      </c>
      <c r="Q75" s="24">
        <v>3.2448510099947522E-2</v>
      </c>
      <c r="R75" s="17">
        <v>0.88862543285136308</v>
      </c>
      <c r="S75" s="3">
        <v>0.12366214399887077</v>
      </c>
      <c r="T75" s="23">
        <v>295.47063165325955</v>
      </c>
      <c r="U75" s="30">
        <v>160</v>
      </c>
      <c r="V75" s="35">
        <v>2.5515646160668273E-2</v>
      </c>
      <c r="W75" s="17">
        <f t="shared" si="2"/>
        <v>1.1730138785091115</v>
      </c>
      <c r="X75" s="17">
        <f t="shared" si="3"/>
        <v>0.66998191681735986</v>
      </c>
      <c r="Y75" s="34">
        <v>0.82441429332580518</v>
      </c>
      <c r="Z75" s="34">
        <v>0.13033571952634693</v>
      </c>
      <c r="AA75" s="30">
        <v>295.47063165325955</v>
      </c>
      <c r="AB75" s="30">
        <v>130.56402948394532</v>
      </c>
      <c r="AC75" s="35">
        <v>3.2448510099947522E-2</v>
      </c>
      <c r="AD75" s="34">
        <v>0.86890479684231292</v>
      </c>
      <c r="AE75" s="34">
        <v>0.14133750002718667</v>
      </c>
      <c r="AF75" s="34">
        <v>0.13684830482913171</v>
      </c>
      <c r="AG75" s="30">
        <v>309.94202697710779</v>
      </c>
      <c r="AH75" s="35">
        <v>1.78E-2</v>
      </c>
      <c r="AI75" s="17">
        <v>0.91232203219421149</v>
      </c>
    </row>
    <row r="76" spans="1:35" x14ac:dyDescent="0.3">
      <c r="B76" s="1">
        <v>9.52</v>
      </c>
      <c r="C76" s="1">
        <v>3</v>
      </c>
      <c r="D76" s="4">
        <v>22.2</v>
      </c>
      <c r="E76" s="3">
        <v>3.5641600019995088</v>
      </c>
      <c r="F76" s="1">
        <v>20.64</v>
      </c>
      <c r="G76" s="1">
        <v>25.4</v>
      </c>
      <c r="H76" s="33">
        <v>56.390968153098974</v>
      </c>
      <c r="I76" s="41">
        <v>228.6</v>
      </c>
      <c r="J76" s="43">
        <v>203.2</v>
      </c>
      <c r="K76" s="30">
        <v>118</v>
      </c>
      <c r="L76" s="43">
        <v>73</v>
      </c>
      <c r="M76" s="3">
        <v>0.17</v>
      </c>
      <c r="N76" s="17">
        <v>0.1630033372764875</v>
      </c>
      <c r="O76" s="23">
        <v>343.86668338956935</v>
      </c>
      <c r="P76" s="23">
        <v>130.56402948394532</v>
      </c>
      <c r="Q76" s="24">
        <v>3.2448510099947522E-2</v>
      </c>
      <c r="R76" s="17">
        <v>0.95884316044992635</v>
      </c>
      <c r="S76" s="3">
        <v>0.1537022961834705</v>
      </c>
      <c r="T76" s="23">
        <v>343.86668338956935</v>
      </c>
      <c r="U76" s="30">
        <v>160</v>
      </c>
      <c r="V76" s="35">
        <v>2.5515646160668273E-2</v>
      </c>
      <c r="W76" s="17">
        <f t="shared" si="2"/>
        <v>1.1730138785091115</v>
      </c>
      <c r="X76" s="17">
        <f t="shared" si="3"/>
        <v>0.66998191681735986</v>
      </c>
      <c r="Y76" s="34">
        <v>0.90413115402041466</v>
      </c>
      <c r="Z76" s="34">
        <v>0.15938591944907343</v>
      </c>
      <c r="AA76" s="30">
        <v>343.86668338956935</v>
      </c>
      <c r="AB76" s="30">
        <v>130.56402948394532</v>
      </c>
      <c r="AC76" s="35">
        <v>3.2448510099947522E-2</v>
      </c>
      <c r="AD76" s="34">
        <v>0.93756423205337303</v>
      </c>
      <c r="AE76" s="34">
        <v>0.16448760779026034</v>
      </c>
      <c r="AF76" s="34">
        <v>0.18534931298386784</v>
      </c>
      <c r="AG76" s="30">
        <v>360.70839346473753</v>
      </c>
      <c r="AH76" s="35">
        <v>1.78E-2</v>
      </c>
      <c r="AI76" s="17">
        <v>0.96757416347211955</v>
      </c>
    </row>
    <row r="77" spans="1:35" x14ac:dyDescent="0.3">
      <c r="A77" t="s">
        <v>23</v>
      </c>
      <c r="B77" s="1">
        <v>12.7</v>
      </c>
      <c r="C77" s="1">
        <v>3</v>
      </c>
      <c r="D77" s="4">
        <v>19.05</v>
      </c>
      <c r="E77" s="3">
        <v>3.9766081638229425</v>
      </c>
      <c r="F77" s="1">
        <v>19.05</v>
      </c>
      <c r="G77" s="1">
        <v>25.4</v>
      </c>
      <c r="H77" s="33">
        <v>70.373657577616456</v>
      </c>
      <c r="I77" s="41">
        <v>228.6</v>
      </c>
      <c r="J77" s="43">
        <v>203.2</v>
      </c>
      <c r="K77" s="30">
        <v>120</v>
      </c>
      <c r="L77" s="43">
        <v>88.9</v>
      </c>
      <c r="M77" s="3">
        <v>0.15</v>
      </c>
      <c r="N77" s="17">
        <v>0.11767813019457772</v>
      </c>
      <c r="O77" s="23">
        <v>303.25602523129726</v>
      </c>
      <c r="P77" s="23">
        <v>83.818709045569435</v>
      </c>
      <c r="Q77" s="24">
        <v>6.4212474555939286E-2</v>
      </c>
      <c r="R77" s="17">
        <v>0.78452086796385145</v>
      </c>
      <c r="S77" s="3">
        <v>0.12257101888901509</v>
      </c>
      <c r="T77" s="23">
        <v>303.25602523129726</v>
      </c>
      <c r="U77" s="30">
        <v>126</v>
      </c>
      <c r="V77" s="35">
        <v>3.8095631746819056E-2</v>
      </c>
      <c r="W77" s="17">
        <f t="shared" si="2"/>
        <v>1.1912271281191258</v>
      </c>
      <c r="X77" s="17">
        <f t="shared" si="3"/>
        <v>0.59069981583793729</v>
      </c>
      <c r="Y77" s="34">
        <v>0.81714012592676732</v>
      </c>
      <c r="Z77" s="34">
        <v>0.12444951194564861</v>
      </c>
      <c r="AA77" s="30">
        <v>303.25602523129726</v>
      </c>
      <c r="AB77" s="30">
        <v>83.818709045569435</v>
      </c>
      <c r="AC77" s="35">
        <v>6.4212474555939286E-2</v>
      </c>
      <c r="AD77" s="34">
        <v>0.82966341297099078</v>
      </c>
      <c r="AE77" s="34">
        <v>0.14698610892576175</v>
      </c>
      <c r="AF77" s="34">
        <v>0.17649154312756957</v>
      </c>
      <c r="AG77" s="30">
        <v>321.89714557563946</v>
      </c>
      <c r="AH77" s="35">
        <v>2.5399999999999999E-2</v>
      </c>
      <c r="AI77" s="17">
        <v>0.97990739283841166</v>
      </c>
    </row>
    <row r="78" spans="1:35" x14ac:dyDescent="0.3">
      <c r="B78" s="1">
        <v>12.7</v>
      </c>
      <c r="C78" s="1">
        <v>3</v>
      </c>
      <c r="D78" s="4">
        <v>19.05</v>
      </c>
      <c r="E78" s="3">
        <v>3.9766081638229425</v>
      </c>
      <c r="F78" s="1">
        <v>19.05</v>
      </c>
      <c r="G78" s="1">
        <v>25.4</v>
      </c>
      <c r="H78" s="33">
        <v>70.373657577616456</v>
      </c>
      <c r="I78" s="41">
        <v>228.6</v>
      </c>
      <c r="J78" s="43">
        <v>203.2</v>
      </c>
      <c r="K78" s="30">
        <v>120</v>
      </c>
      <c r="L78" s="43">
        <v>88.9</v>
      </c>
      <c r="M78" s="3">
        <v>0.17</v>
      </c>
      <c r="N78" s="17">
        <v>0.13840455251524975</v>
      </c>
      <c r="O78" s="23">
        <v>347.81022799039772</v>
      </c>
      <c r="P78" s="23">
        <v>83.818709045569435</v>
      </c>
      <c r="Q78" s="24">
        <v>6.4212474555939286E-2</v>
      </c>
      <c r="R78" s="17">
        <v>0.81414442656029251</v>
      </c>
      <c r="S78" s="3">
        <v>0.1465765794133671</v>
      </c>
      <c r="T78" s="23">
        <v>347.81022799039772</v>
      </c>
      <c r="U78" s="30">
        <v>126</v>
      </c>
      <c r="V78" s="35">
        <v>3.8095631746819056E-2</v>
      </c>
      <c r="W78" s="17">
        <f t="shared" si="2"/>
        <v>1.1912271281191258</v>
      </c>
      <c r="X78" s="17">
        <f t="shared" si="3"/>
        <v>0.59069981583793729</v>
      </c>
      <c r="Y78" s="34">
        <v>0.86221517301980644</v>
      </c>
      <c r="Z78" s="34">
        <v>0.14636856468656209</v>
      </c>
      <c r="AA78" s="30">
        <v>347.81022799039772</v>
      </c>
      <c r="AB78" s="30">
        <v>83.818709045569435</v>
      </c>
      <c r="AC78" s="35">
        <v>6.4212474555939286E-2</v>
      </c>
      <c r="AD78" s="34">
        <v>0.86099155697977692</v>
      </c>
      <c r="AE78" s="34">
        <v>0.16858122445513909</v>
      </c>
      <c r="AF78" s="34">
        <v>0.23216124372145697</v>
      </c>
      <c r="AG78" s="30">
        <v>369.19009113414575</v>
      </c>
      <c r="AH78" s="35">
        <v>2.5399999999999999E-2</v>
      </c>
      <c r="AI78" s="17">
        <v>0.99165426150081815</v>
      </c>
    </row>
    <row r="79" spans="1:35" x14ac:dyDescent="0.3">
      <c r="B79" s="1">
        <v>12.7</v>
      </c>
      <c r="C79" s="1">
        <v>3</v>
      </c>
      <c r="D79" s="4">
        <v>19.05</v>
      </c>
      <c r="E79" s="3">
        <v>3.9766081638229425</v>
      </c>
      <c r="F79" s="1">
        <v>19.05</v>
      </c>
      <c r="G79" s="1">
        <v>25.4</v>
      </c>
      <c r="H79" s="33">
        <v>70.373657577616456</v>
      </c>
      <c r="I79" s="41">
        <v>228.6</v>
      </c>
      <c r="J79" s="43">
        <v>203.2</v>
      </c>
      <c r="K79" s="30">
        <v>120</v>
      </c>
      <c r="L79" s="43">
        <v>88.9</v>
      </c>
      <c r="M79" s="3">
        <v>0.2</v>
      </c>
      <c r="N79" s="17">
        <v>0.16782270032523594</v>
      </c>
      <c r="O79" s="23">
        <v>411.04845126137917</v>
      </c>
      <c r="P79" s="23">
        <v>83.818709045569435</v>
      </c>
      <c r="Q79" s="24">
        <v>6.4212474555939286E-2</v>
      </c>
      <c r="R79" s="17">
        <v>0.8391135016261797</v>
      </c>
      <c r="S79" s="3">
        <v>0.18064898789954423</v>
      </c>
      <c r="T79" s="23">
        <v>411.04845126137917</v>
      </c>
      <c r="U79" s="30">
        <v>126</v>
      </c>
      <c r="V79" s="35">
        <v>3.8095631746819056E-2</v>
      </c>
      <c r="W79" s="17">
        <f t="shared" si="2"/>
        <v>1.1912271281191258</v>
      </c>
      <c r="X79" s="17">
        <f t="shared" si="3"/>
        <v>0.59069981583793729</v>
      </c>
      <c r="Y79" s="34">
        <v>0.90324493949772111</v>
      </c>
      <c r="Z79" s="34">
        <v>0.17747947825431035</v>
      </c>
      <c r="AA79" s="30">
        <v>411.04845126137917</v>
      </c>
      <c r="AB79" s="30">
        <v>83.818709045569435</v>
      </c>
      <c r="AC79" s="35">
        <v>6.4212474555939286E-2</v>
      </c>
      <c r="AD79" s="34">
        <v>0.88739739127155171</v>
      </c>
      <c r="AE79" s="34">
        <v>0.19817501382220473</v>
      </c>
      <c r="AF79" s="34">
        <v>0.32082566870426454</v>
      </c>
      <c r="AG79" s="30">
        <v>434</v>
      </c>
      <c r="AH79" s="35">
        <v>2.5399999999999999E-2</v>
      </c>
      <c r="AI79" s="17">
        <v>0.99087506911102363</v>
      </c>
    </row>
    <row r="80" spans="1:35" x14ac:dyDescent="0.3">
      <c r="A80" t="s">
        <v>24</v>
      </c>
      <c r="B80" s="1">
        <v>15.9</v>
      </c>
      <c r="C80" s="1">
        <v>3</v>
      </c>
      <c r="D80" s="4">
        <v>15.9</v>
      </c>
      <c r="E80" s="3">
        <v>3.9766081638229425</v>
      </c>
      <c r="F80" s="1">
        <v>17.46</v>
      </c>
      <c r="G80" s="1">
        <v>25.4</v>
      </c>
      <c r="H80" s="33">
        <v>83.256822362436324</v>
      </c>
      <c r="I80" s="41">
        <v>228.6</v>
      </c>
      <c r="J80" s="43">
        <v>203.2</v>
      </c>
      <c r="K80" s="30">
        <v>123</v>
      </c>
      <c r="L80" s="43">
        <v>88.9</v>
      </c>
      <c r="M80" s="3">
        <v>0.16</v>
      </c>
      <c r="N80" s="17">
        <v>9.633661918313291E-2</v>
      </c>
      <c r="O80" s="23">
        <v>289.73492291565424</v>
      </c>
      <c r="P80" s="23">
        <v>58.591082217381022</v>
      </c>
      <c r="Q80" s="24">
        <v>0.10835067563565463</v>
      </c>
      <c r="R80" s="17">
        <v>0.60210386989458065</v>
      </c>
      <c r="S80" s="3">
        <v>0.11125206827518069</v>
      </c>
      <c r="T80" s="23">
        <v>289.73492291565424</v>
      </c>
      <c r="U80" s="30">
        <v>89</v>
      </c>
      <c r="V80" s="35">
        <v>5.9047737143093339E-2</v>
      </c>
      <c r="W80" s="17">
        <f t="shared" si="2"/>
        <v>1.2117669424829816</v>
      </c>
      <c r="X80" s="17">
        <f t="shared" si="3"/>
        <v>0.57907196969696961</v>
      </c>
      <c r="Y80" s="34">
        <v>0.69532542671987929</v>
      </c>
      <c r="Z80" s="34">
        <v>0.10731930169564004</v>
      </c>
      <c r="AA80" s="30">
        <v>289.73492291565424</v>
      </c>
      <c r="AB80" s="30">
        <v>58.591082217381022</v>
      </c>
      <c r="AC80" s="35">
        <v>0.10835067563565463</v>
      </c>
      <c r="AD80" s="34">
        <v>0.67074563559775024</v>
      </c>
      <c r="AE80" s="34">
        <v>0.14464187891341146</v>
      </c>
      <c r="AF80" s="34">
        <v>0.20413587615404677</v>
      </c>
      <c r="AG80" s="30">
        <v>309.39845616117924</v>
      </c>
      <c r="AH80" s="35">
        <v>3.32E-2</v>
      </c>
      <c r="AI80" s="17">
        <v>0.90401174320882161</v>
      </c>
    </row>
    <row r="81" spans="1:35" x14ac:dyDescent="0.3">
      <c r="B81" s="1">
        <v>15.9</v>
      </c>
      <c r="C81" s="1">
        <v>3</v>
      </c>
      <c r="D81" s="4">
        <v>15.9</v>
      </c>
      <c r="E81" s="3">
        <v>3.9766081638229425</v>
      </c>
      <c r="F81" s="1">
        <v>17.46</v>
      </c>
      <c r="G81" s="1">
        <v>25.4</v>
      </c>
      <c r="H81" s="33">
        <v>83.256822362436324</v>
      </c>
      <c r="I81" s="41">
        <v>228.6</v>
      </c>
      <c r="J81" s="43">
        <v>203.2</v>
      </c>
      <c r="K81" s="30">
        <v>123</v>
      </c>
      <c r="L81" s="43">
        <v>88.9</v>
      </c>
      <c r="M81" s="3">
        <v>0.21</v>
      </c>
      <c r="N81" s="17">
        <v>0.13048666289426775</v>
      </c>
      <c r="O81" s="23">
        <v>379.98022677462848</v>
      </c>
      <c r="P81" s="23">
        <v>58.591082217381022</v>
      </c>
      <c r="Q81" s="24">
        <v>0.10835067563565463</v>
      </c>
      <c r="R81" s="17">
        <v>0.62136506140127501</v>
      </c>
      <c r="S81" s="3">
        <v>0.1537594628733715</v>
      </c>
      <c r="T81" s="23">
        <v>379.98022677462848</v>
      </c>
      <c r="U81" s="30">
        <v>89</v>
      </c>
      <c r="V81" s="35">
        <v>5.9047737143093339E-2</v>
      </c>
      <c r="W81" s="17">
        <f t="shared" si="2"/>
        <v>1.2117669424829816</v>
      </c>
      <c r="X81" s="17">
        <f t="shared" si="3"/>
        <v>0.57907196969696961</v>
      </c>
      <c r="Y81" s="34">
        <v>0.73218791844462616</v>
      </c>
      <c r="Z81" s="34">
        <v>0.14536255954536384</v>
      </c>
      <c r="AA81" s="30">
        <v>379.98022677462848</v>
      </c>
      <c r="AB81" s="30">
        <v>58.591082217381022</v>
      </c>
      <c r="AC81" s="35">
        <v>0.10835067563565463</v>
      </c>
      <c r="AD81" s="34">
        <v>0.69220266450173262</v>
      </c>
      <c r="AE81" s="34">
        <v>0.18969426742742493</v>
      </c>
      <c r="AF81" s="34">
        <v>0.35110712372639064</v>
      </c>
      <c r="AG81" s="30">
        <v>405.76846709662857</v>
      </c>
      <c r="AH81" s="35">
        <v>3.32E-2</v>
      </c>
      <c r="AI81" s="17">
        <v>0.90330603536869014</v>
      </c>
    </row>
    <row r="82" spans="1:35" x14ac:dyDescent="0.3">
      <c r="A82" t="s">
        <v>25</v>
      </c>
      <c r="B82" s="1">
        <v>16</v>
      </c>
      <c r="C82" s="1">
        <v>2</v>
      </c>
      <c r="D82" s="4">
        <v>138</v>
      </c>
      <c r="E82" s="3">
        <v>3.2689999999999997</v>
      </c>
      <c r="F82" s="1">
        <v>40</v>
      </c>
      <c r="G82" s="1">
        <v>48</v>
      </c>
      <c r="H82" s="33">
        <v>73.386285342529078</v>
      </c>
      <c r="I82" s="41">
        <v>348</v>
      </c>
      <c r="J82" s="43">
        <v>300</v>
      </c>
      <c r="K82" s="30">
        <v>178</v>
      </c>
      <c r="L82" s="43">
        <v>128</v>
      </c>
      <c r="M82" s="3">
        <v>0.15</v>
      </c>
      <c r="N82" s="17">
        <v>9.7763317902372596E-2</v>
      </c>
      <c r="O82" s="23">
        <v>185.27396447016579</v>
      </c>
      <c r="P82" s="23">
        <v>211.30113906801034</v>
      </c>
      <c r="Q82" s="24">
        <v>1.7479097888417915E-2</v>
      </c>
      <c r="R82" s="17">
        <v>0.65175545268248403</v>
      </c>
      <c r="S82" s="3">
        <v>0.12206155113118464</v>
      </c>
      <c r="T82" s="23">
        <v>185.27396447016579</v>
      </c>
      <c r="U82" s="30">
        <v>286</v>
      </c>
      <c r="V82" s="35">
        <v>1.2500000000000001E-2</v>
      </c>
      <c r="W82" s="17">
        <f t="shared" si="2"/>
        <v>1.2118141881772362</v>
      </c>
      <c r="X82" s="17">
        <f t="shared" si="3"/>
        <v>0.62352941176470589</v>
      </c>
      <c r="Y82" s="34">
        <v>0.81374367420789762</v>
      </c>
      <c r="Z82" s="34">
        <v>0.16208568924502412</v>
      </c>
      <c r="AA82" s="30">
        <v>185.27396447016579</v>
      </c>
      <c r="AB82" s="30">
        <v>211.30113906801034</v>
      </c>
      <c r="AC82" s="35">
        <v>1.7479097888417915E-2</v>
      </c>
      <c r="AD82" s="34">
        <v>1.0805712616334942</v>
      </c>
      <c r="AE82" s="34">
        <v>0.25148969879103655</v>
      </c>
      <c r="AF82" s="34">
        <v>9.5278931346240325E-2</v>
      </c>
      <c r="AG82" s="30">
        <v>191.04978078703104</v>
      </c>
      <c r="AH82" s="35">
        <v>9.5999999999999992E-3</v>
      </c>
      <c r="AI82" s="17">
        <v>0.63519287564160221</v>
      </c>
    </row>
    <row r="83" spans="1:35" x14ac:dyDescent="0.3">
      <c r="B83" s="1">
        <v>16</v>
      </c>
      <c r="C83" s="1">
        <v>2</v>
      </c>
      <c r="D83" s="4">
        <v>138</v>
      </c>
      <c r="E83" s="3">
        <v>3.2689999999999997</v>
      </c>
      <c r="F83" s="1">
        <v>40</v>
      </c>
      <c r="G83" s="1">
        <v>48</v>
      </c>
      <c r="H83" s="33">
        <v>73.386285342529078</v>
      </c>
      <c r="I83" s="41">
        <v>348</v>
      </c>
      <c r="J83" s="43">
        <v>300</v>
      </c>
      <c r="K83" s="30">
        <v>178</v>
      </c>
      <c r="L83" s="43">
        <v>128</v>
      </c>
      <c r="M83" s="3">
        <v>0.2</v>
      </c>
      <c r="N83" s="17">
        <v>0.14204371000539809</v>
      </c>
      <c r="O83" s="23">
        <v>211.76759699968991</v>
      </c>
      <c r="P83" s="23">
        <v>211.30113906801034</v>
      </c>
      <c r="Q83" s="24">
        <v>1.7479097888417915E-2</v>
      </c>
      <c r="R83" s="17">
        <v>0.71021855002699041</v>
      </c>
      <c r="S83" s="3">
        <v>0.13951599429000236</v>
      </c>
      <c r="T83" s="23">
        <v>211.76759699968991</v>
      </c>
      <c r="U83" s="30">
        <v>286</v>
      </c>
      <c r="V83" s="35">
        <v>1.2500000000000001E-2</v>
      </c>
      <c r="W83" s="17">
        <f t="shared" si="2"/>
        <v>1.2118141881772362</v>
      </c>
      <c r="X83" s="17">
        <f t="shared" si="3"/>
        <v>0.62352941176470589</v>
      </c>
      <c r="Y83" s="34">
        <v>0.69757997145001172</v>
      </c>
      <c r="Z83" s="34">
        <v>0.18526346655136439</v>
      </c>
      <c r="AA83" s="30">
        <v>211.76759699968991</v>
      </c>
      <c r="AB83" s="30">
        <v>211.30113906801034</v>
      </c>
      <c r="AC83" s="35">
        <v>1.7479097888417915E-2</v>
      </c>
      <c r="AD83" s="34">
        <v>0.92631733275682193</v>
      </c>
      <c r="AE83" s="34">
        <v>0.28745198676703199</v>
      </c>
      <c r="AF83" s="34">
        <v>0.12447642459592428</v>
      </c>
      <c r="AG83" s="30">
        <v>218.36933807881022</v>
      </c>
      <c r="AH83" s="35">
        <v>9.5999999999999992E-3</v>
      </c>
      <c r="AI83" s="17">
        <v>0.62238212297962137</v>
      </c>
    </row>
    <row r="84" spans="1:35" x14ac:dyDescent="0.3">
      <c r="B84" s="1">
        <v>16</v>
      </c>
      <c r="C84" s="1">
        <v>2</v>
      </c>
      <c r="D84" s="4">
        <v>138</v>
      </c>
      <c r="E84" s="3">
        <v>3.2689999999999997</v>
      </c>
      <c r="F84" s="1">
        <v>40</v>
      </c>
      <c r="G84" s="1">
        <v>48</v>
      </c>
      <c r="H84" s="33">
        <v>73.386285342529078</v>
      </c>
      <c r="I84" s="41">
        <v>348</v>
      </c>
      <c r="J84" s="43">
        <v>300</v>
      </c>
      <c r="K84" s="30">
        <v>178</v>
      </c>
      <c r="L84" s="43">
        <v>128</v>
      </c>
      <c r="M84" s="3">
        <v>0.25</v>
      </c>
      <c r="N84" s="17">
        <v>0.18632410210842379</v>
      </c>
      <c r="O84" s="23">
        <v>238.26122952921415</v>
      </c>
      <c r="P84" s="23">
        <v>211.30113906801034</v>
      </c>
      <c r="Q84" s="24">
        <v>1.7479097888417915E-2</v>
      </c>
      <c r="R84" s="17">
        <v>0.74529640843369516</v>
      </c>
      <c r="S84" s="3">
        <v>0.15697043744882017</v>
      </c>
      <c r="T84" s="23">
        <v>238.26122952921415</v>
      </c>
      <c r="U84" s="30">
        <v>286</v>
      </c>
      <c r="V84" s="35">
        <v>1.2500000000000001E-2</v>
      </c>
      <c r="W84" s="17">
        <f t="shared" si="2"/>
        <v>1.2118141881772362</v>
      </c>
      <c r="X84" s="17">
        <f t="shared" si="3"/>
        <v>0.62352941176470589</v>
      </c>
      <c r="Y84" s="34">
        <v>0.62788174979528066</v>
      </c>
      <c r="Z84" s="34">
        <v>0.20844124385770482</v>
      </c>
      <c r="AA84" s="30">
        <v>238.26122952921415</v>
      </c>
      <c r="AB84" s="30">
        <v>211.30113906801034</v>
      </c>
      <c r="AC84" s="35">
        <v>1.7479097888417915E-2</v>
      </c>
      <c r="AD84" s="34">
        <v>0.83376497543081929</v>
      </c>
      <c r="AE84" s="34">
        <v>0.32341427474302747</v>
      </c>
      <c r="AF84" s="34">
        <v>0.15757047544565747</v>
      </c>
      <c r="AG84" s="30">
        <v>245.68889537058939</v>
      </c>
      <c r="AH84" s="35">
        <v>9.5999999999999992E-3</v>
      </c>
      <c r="AI84" s="17">
        <v>0.63028190178262988</v>
      </c>
    </row>
    <row r="85" spans="1:35" x14ac:dyDescent="0.3">
      <c r="B85" s="1">
        <v>16</v>
      </c>
      <c r="C85" s="1">
        <v>2</v>
      </c>
      <c r="D85" s="4">
        <v>138</v>
      </c>
      <c r="E85" s="3">
        <v>3.2689999999999997</v>
      </c>
      <c r="F85" s="1">
        <v>40</v>
      </c>
      <c r="G85" s="1">
        <v>48</v>
      </c>
      <c r="H85" s="33">
        <v>73.386285342529078</v>
      </c>
      <c r="I85" s="41">
        <v>348</v>
      </c>
      <c r="J85" s="43">
        <v>300</v>
      </c>
      <c r="K85" s="30">
        <v>178</v>
      </c>
      <c r="L85" s="43">
        <v>128</v>
      </c>
      <c r="M85" s="3">
        <v>0.28000000000000003</v>
      </c>
      <c r="N85" s="17">
        <v>0.2305286716222319</v>
      </c>
      <c r="O85" s="23">
        <v>264.70949624961241</v>
      </c>
      <c r="P85" s="23">
        <v>211.30113906801034</v>
      </c>
      <c r="Q85" s="24">
        <v>1.7479097888417915E-2</v>
      </c>
      <c r="R85" s="17">
        <v>0.82331668436511385</v>
      </c>
      <c r="S85" s="3">
        <v>0.17439499286250298</v>
      </c>
      <c r="T85" s="23">
        <v>264.70949624961241</v>
      </c>
      <c r="U85" s="30">
        <v>286</v>
      </c>
      <c r="V85" s="35">
        <v>1.2500000000000001E-2</v>
      </c>
      <c r="W85" s="17">
        <f t="shared" si="2"/>
        <v>1.2118141881772362</v>
      </c>
      <c r="X85" s="17">
        <f t="shared" si="3"/>
        <v>0.62352941176470589</v>
      </c>
      <c r="Y85" s="34">
        <v>0.62283926022322489</v>
      </c>
      <c r="Z85" s="34">
        <v>0.23157933318920554</v>
      </c>
      <c r="AA85" s="30">
        <v>264.70949624961241</v>
      </c>
      <c r="AB85" s="30">
        <v>211.30113906801034</v>
      </c>
      <c r="AC85" s="35">
        <v>1.7479097888417915E-2</v>
      </c>
      <c r="AD85" s="34">
        <v>0.8270690471043054</v>
      </c>
      <c r="AE85" s="34">
        <v>0.35931498345878993</v>
      </c>
      <c r="AF85" s="34">
        <v>0.19449441343113166</v>
      </c>
      <c r="AG85" s="30">
        <v>272.96167259851273</v>
      </c>
      <c r="AH85" s="35">
        <v>9.5999999999999992E-3</v>
      </c>
      <c r="AI85" s="17">
        <v>0.69462290511118441</v>
      </c>
    </row>
    <row r="86" spans="1:35" x14ac:dyDescent="0.3">
      <c r="B86" s="1">
        <v>16</v>
      </c>
      <c r="C86" s="1">
        <v>2</v>
      </c>
      <c r="D86" s="4">
        <v>138</v>
      </c>
      <c r="E86" s="3">
        <v>3.2689999999999997</v>
      </c>
      <c r="F86" s="1">
        <v>40</v>
      </c>
      <c r="G86" s="1">
        <v>48</v>
      </c>
      <c r="H86" s="33">
        <v>73.386285342529078</v>
      </c>
      <c r="I86" s="41">
        <v>348</v>
      </c>
      <c r="J86" s="43">
        <v>300</v>
      </c>
      <c r="K86" s="30">
        <v>178</v>
      </c>
      <c r="L86" s="43">
        <v>128</v>
      </c>
      <c r="M86" s="3">
        <v>0.28000000000000003</v>
      </c>
      <c r="N86" s="17">
        <v>0.27473324113604009</v>
      </c>
      <c r="O86" s="23">
        <v>291.15776297001077</v>
      </c>
      <c r="P86" s="23">
        <v>211.30113906801034</v>
      </c>
      <c r="Q86" s="24">
        <v>1.7479097888417915E-2</v>
      </c>
      <c r="R86" s="17">
        <v>0.98119014691442874</v>
      </c>
      <c r="S86" s="3">
        <v>0.19711643896364461</v>
      </c>
      <c r="T86" s="23">
        <v>291.15776297001077</v>
      </c>
      <c r="U86" s="30">
        <v>286</v>
      </c>
      <c r="V86" s="35">
        <v>1.2500000000000001E-2</v>
      </c>
      <c r="W86" s="17">
        <f t="shared" si="2"/>
        <v>1.2118141881772362</v>
      </c>
      <c r="X86" s="17">
        <f t="shared" si="3"/>
        <v>0.62352941176470589</v>
      </c>
      <c r="Y86" s="34">
        <v>0.70398728201301641</v>
      </c>
      <c r="Z86" s="34">
        <v>0.25471742252070634</v>
      </c>
      <c r="AA86" s="30">
        <v>291.15776297001077</v>
      </c>
      <c r="AB86" s="30">
        <v>211.30113906801034</v>
      </c>
      <c r="AC86" s="35">
        <v>1.7479097888417915E-2</v>
      </c>
      <c r="AD86" s="34">
        <v>0.90970508043109399</v>
      </c>
      <c r="AE86" s="34">
        <v>0.39521569217455249</v>
      </c>
      <c r="AF86" s="34">
        <v>0.23530157606629135</v>
      </c>
      <c r="AG86" s="30">
        <v>300.23444982643611</v>
      </c>
      <c r="AH86" s="35">
        <v>9.5999999999999992E-3</v>
      </c>
      <c r="AI86" s="17">
        <v>0.84036277166532614</v>
      </c>
    </row>
    <row r="87" spans="1:35" x14ac:dyDescent="0.3">
      <c r="B87" s="1">
        <v>16</v>
      </c>
      <c r="C87" s="1">
        <v>2</v>
      </c>
      <c r="D87" s="4">
        <v>138</v>
      </c>
      <c r="E87" s="3">
        <v>3.2689999999999997</v>
      </c>
      <c r="F87" s="1">
        <v>40</v>
      </c>
      <c r="G87" s="1">
        <v>48</v>
      </c>
      <c r="H87" s="33">
        <v>73.386285342529078</v>
      </c>
      <c r="I87" s="41">
        <v>348</v>
      </c>
      <c r="J87" s="43">
        <v>300</v>
      </c>
      <c r="K87" s="30">
        <v>178</v>
      </c>
      <c r="L87" s="43">
        <v>128</v>
      </c>
      <c r="M87" s="3">
        <v>0.3</v>
      </c>
      <c r="N87" s="17">
        <v>0.31901363323906562</v>
      </c>
      <c r="O87" s="23">
        <v>317.65139549953489</v>
      </c>
      <c r="P87" s="23">
        <v>211.30113906801034</v>
      </c>
      <c r="Q87" s="24">
        <v>1.7479097888417915E-2</v>
      </c>
      <c r="R87" s="17">
        <v>1.0633787774635521</v>
      </c>
      <c r="S87" s="3">
        <v>0.24075254686068898</v>
      </c>
      <c r="T87" s="23">
        <v>317.65139549953489</v>
      </c>
      <c r="U87" s="30">
        <v>286</v>
      </c>
      <c r="V87" s="35">
        <v>1.2500000000000001E-2</v>
      </c>
      <c r="W87" s="17">
        <f t="shared" si="2"/>
        <v>1.2118141881772362</v>
      </c>
      <c r="X87" s="17">
        <f t="shared" si="3"/>
        <v>0.62352941176470589</v>
      </c>
      <c r="Y87" s="34">
        <v>0.80250848953562992</v>
      </c>
      <c r="Z87" s="34">
        <v>0.27830327743026689</v>
      </c>
      <c r="AA87" s="30">
        <v>317.65139549953489</v>
      </c>
      <c r="AB87" s="30">
        <v>211.30113906801034</v>
      </c>
      <c r="AC87" s="35">
        <v>1.7479097888417915E-2</v>
      </c>
      <c r="AD87" s="34">
        <v>0.92767759143422301</v>
      </c>
      <c r="AE87" s="34">
        <v>0.43117798015054798</v>
      </c>
      <c r="AF87" s="34">
        <v>0.28007195534082957</v>
      </c>
      <c r="AG87" s="30">
        <v>327.55400711821528</v>
      </c>
      <c r="AH87" s="35">
        <v>9.5999999999999992E-3</v>
      </c>
      <c r="AI87" s="17">
        <v>0.93357318446943194</v>
      </c>
    </row>
    <row r="88" spans="1:35" x14ac:dyDescent="0.3">
      <c r="B88" s="1">
        <v>16</v>
      </c>
      <c r="C88" s="1">
        <v>2</v>
      </c>
      <c r="D88" s="4">
        <v>138</v>
      </c>
      <c r="E88" s="3">
        <v>3.2689999999999997</v>
      </c>
      <c r="F88" s="1">
        <v>40</v>
      </c>
      <c r="G88" s="1">
        <v>48</v>
      </c>
      <c r="H88" s="33">
        <v>73.386285342529078</v>
      </c>
      <c r="I88" s="41">
        <v>348</v>
      </c>
      <c r="J88" s="43">
        <v>300</v>
      </c>
      <c r="K88" s="30">
        <v>178</v>
      </c>
      <c r="L88" s="43">
        <v>128</v>
      </c>
      <c r="M88" s="3">
        <v>0.33</v>
      </c>
      <c r="N88" s="17">
        <v>0.36329402534209126</v>
      </c>
      <c r="O88" s="23">
        <v>344.14502802905912</v>
      </c>
      <c r="P88" s="23">
        <v>211.30113906801034</v>
      </c>
      <c r="Q88" s="24">
        <v>1.7479097888417915E-2</v>
      </c>
      <c r="R88" s="17">
        <v>1.100890985885125</v>
      </c>
      <c r="S88" s="3">
        <v>0.28438865475773345</v>
      </c>
      <c r="T88" s="23">
        <v>344.14502802905912</v>
      </c>
      <c r="U88" s="30">
        <v>286</v>
      </c>
      <c r="V88" s="35">
        <v>1.2500000000000001E-2</v>
      </c>
      <c r="W88" s="17">
        <f t="shared" si="2"/>
        <v>1.2118141881772362</v>
      </c>
      <c r="X88" s="17">
        <f t="shared" si="3"/>
        <v>0.62352941176470589</v>
      </c>
      <c r="Y88" s="34">
        <v>0.86178380229616192</v>
      </c>
      <c r="Z88" s="34">
        <v>0.31693290627416754</v>
      </c>
      <c r="AA88" s="30">
        <v>344.14502802905912</v>
      </c>
      <c r="AB88" s="30">
        <v>211.30113906801034</v>
      </c>
      <c r="AC88" s="35">
        <v>1.7479097888417915E-2</v>
      </c>
      <c r="AD88" s="34">
        <v>0.96040274628535616</v>
      </c>
      <c r="AE88" s="34">
        <v>0.46714026812654336</v>
      </c>
      <c r="AF88" s="34">
        <v>0.32873889221541702</v>
      </c>
      <c r="AG88" s="30">
        <v>354.87356440999446</v>
      </c>
      <c r="AH88" s="35">
        <v>9.5999999999999992E-3</v>
      </c>
      <c r="AI88" s="17">
        <v>0.99617846125883946</v>
      </c>
    </row>
    <row r="89" spans="1:35" x14ac:dyDescent="0.3">
      <c r="B89" s="1">
        <v>16</v>
      </c>
      <c r="C89" s="1">
        <v>2</v>
      </c>
      <c r="D89" s="4">
        <v>138</v>
      </c>
      <c r="E89" s="3">
        <v>3.2689999999999997</v>
      </c>
      <c r="F89" s="1">
        <v>40</v>
      </c>
      <c r="G89" s="1">
        <v>48</v>
      </c>
      <c r="H89" s="33">
        <v>73.386285342529078</v>
      </c>
      <c r="I89" s="41">
        <v>348</v>
      </c>
      <c r="J89" s="43">
        <v>300</v>
      </c>
      <c r="K89" s="30">
        <v>178</v>
      </c>
      <c r="L89" s="43">
        <v>128</v>
      </c>
      <c r="M89" s="3">
        <v>0.33</v>
      </c>
      <c r="N89" s="17">
        <v>0.407422772266682</v>
      </c>
      <c r="O89" s="23">
        <v>370.54792894033159</v>
      </c>
      <c r="P89" s="23">
        <v>211.30113906801034</v>
      </c>
      <c r="Q89" s="24">
        <v>1.7479097888417915E-2</v>
      </c>
      <c r="R89" s="17">
        <v>1.2346144614141878</v>
      </c>
      <c r="S89" s="3">
        <v>0.32787532392910324</v>
      </c>
      <c r="T89" s="23">
        <v>370.54792894033159</v>
      </c>
      <c r="U89" s="30">
        <v>286</v>
      </c>
      <c r="V89" s="35">
        <v>1.2500000000000001E-2</v>
      </c>
      <c r="W89" s="17">
        <f t="shared" si="2"/>
        <v>1.2118141881772362</v>
      </c>
      <c r="X89" s="17">
        <f t="shared" si="3"/>
        <v>0.62352941176470589</v>
      </c>
      <c r="Y89" s="34">
        <v>0.9935615876639492</v>
      </c>
      <c r="Z89" s="34">
        <v>0.35543024186860289</v>
      </c>
      <c r="AA89" s="30">
        <v>370.54792894033159</v>
      </c>
      <c r="AB89" s="30">
        <v>211.30113906801034</v>
      </c>
      <c r="AC89" s="35">
        <v>1.7479097888417915E-2</v>
      </c>
      <c r="AD89" s="34">
        <v>1.0770613389957664</v>
      </c>
      <c r="AE89" s="34">
        <v>0.50297939758207311</v>
      </c>
      <c r="AF89" s="34">
        <v>0.3811157253849613</v>
      </c>
      <c r="AG89" s="30">
        <v>382.09956157406208</v>
      </c>
      <c r="AH89" s="35">
        <v>9.5999999999999992E-3</v>
      </c>
      <c r="AI89" s="17">
        <v>1.1548961375301856</v>
      </c>
    </row>
    <row r="90" spans="1:35" x14ac:dyDescent="0.3">
      <c r="A90" t="s">
        <v>26</v>
      </c>
      <c r="B90" s="1">
        <v>16</v>
      </c>
      <c r="C90" s="1">
        <v>2</v>
      </c>
      <c r="D90" s="4">
        <v>138</v>
      </c>
      <c r="E90" s="3">
        <v>3.2689999999999997</v>
      </c>
      <c r="F90" s="1">
        <v>40</v>
      </c>
      <c r="G90" s="1">
        <v>48</v>
      </c>
      <c r="H90" s="33">
        <v>73.386285342529078</v>
      </c>
      <c r="I90" s="41">
        <v>348</v>
      </c>
      <c r="J90" s="43">
        <v>300</v>
      </c>
      <c r="K90" s="30">
        <v>178</v>
      </c>
      <c r="L90" s="43">
        <v>128</v>
      </c>
      <c r="M90" s="3">
        <v>0.15</v>
      </c>
      <c r="N90" s="17">
        <v>0.14204371000539809</v>
      </c>
      <c r="O90" s="23">
        <v>211.76759699968991</v>
      </c>
      <c r="P90" s="23">
        <v>211.30113906801034</v>
      </c>
      <c r="Q90" s="24">
        <v>1.7479097888417915E-2</v>
      </c>
      <c r="R90" s="17">
        <v>0.94695806670265392</v>
      </c>
      <c r="S90" s="3">
        <v>0.13951599429000236</v>
      </c>
      <c r="T90" s="23">
        <v>211.76759699968991</v>
      </c>
      <c r="U90" s="30">
        <v>286</v>
      </c>
      <c r="V90" s="35">
        <v>1.2500000000000001E-2</v>
      </c>
      <c r="W90" s="17">
        <f t="shared" si="2"/>
        <v>1.2118141881772362</v>
      </c>
      <c r="X90" s="17">
        <f t="shared" si="3"/>
        <v>0.62352941176470589</v>
      </c>
      <c r="Y90" s="34">
        <v>0.93010662860001581</v>
      </c>
      <c r="Z90" s="34">
        <v>0.18526346655136439</v>
      </c>
      <c r="AA90" s="30">
        <v>211.76759699968991</v>
      </c>
      <c r="AB90" s="30">
        <v>211.30113906801034</v>
      </c>
      <c r="AC90" s="35">
        <v>1.7479097888417915E-2</v>
      </c>
      <c r="AD90" s="34">
        <v>1.2350897770090961</v>
      </c>
      <c r="AE90" s="34">
        <v>0.28745198676703199</v>
      </c>
      <c r="AF90" s="34">
        <v>0.12447642459592428</v>
      </c>
      <c r="AG90" s="30">
        <v>218.36933807881022</v>
      </c>
      <c r="AH90" s="35">
        <v>9.5999999999999992E-3</v>
      </c>
      <c r="AI90" s="17">
        <v>0.82984283063949527</v>
      </c>
    </row>
    <row r="91" spans="1:35" x14ac:dyDescent="0.3">
      <c r="B91" s="1">
        <v>16</v>
      </c>
      <c r="C91" s="1">
        <v>2</v>
      </c>
      <c r="D91" s="4">
        <v>138</v>
      </c>
      <c r="E91" s="3">
        <v>3.2689999999999997</v>
      </c>
      <c r="F91" s="1">
        <v>40</v>
      </c>
      <c r="G91" s="1">
        <v>48</v>
      </c>
      <c r="H91" s="33">
        <v>73.386285342529078</v>
      </c>
      <c r="I91" s="41">
        <v>348</v>
      </c>
      <c r="J91" s="43">
        <v>300</v>
      </c>
      <c r="K91" s="30">
        <v>178</v>
      </c>
      <c r="L91" s="43">
        <v>128</v>
      </c>
      <c r="M91" s="3">
        <v>0.18</v>
      </c>
      <c r="N91" s="17">
        <v>0.18632410210842379</v>
      </c>
      <c r="O91" s="23">
        <v>238.26122952921415</v>
      </c>
      <c r="P91" s="23">
        <v>211.30113906801034</v>
      </c>
      <c r="Q91" s="24">
        <v>1.7479097888417915E-2</v>
      </c>
      <c r="R91" s="17">
        <v>1.0351339006023543</v>
      </c>
      <c r="S91" s="3">
        <v>0.15697043744882017</v>
      </c>
      <c r="T91" s="23">
        <v>238.26122952921415</v>
      </c>
      <c r="U91" s="30">
        <v>286</v>
      </c>
      <c r="V91" s="35">
        <v>1.2500000000000001E-2</v>
      </c>
      <c r="W91" s="17">
        <f t="shared" si="2"/>
        <v>1.2118141881772362</v>
      </c>
      <c r="X91" s="17">
        <f t="shared" si="3"/>
        <v>0.62352941176470589</v>
      </c>
      <c r="Y91" s="34">
        <v>0.87205798582677874</v>
      </c>
      <c r="Z91" s="34">
        <v>0.20844124385770482</v>
      </c>
      <c r="AA91" s="30">
        <v>238.26122952921415</v>
      </c>
      <c r="AB91" s="30">
        <v>211.30113906801034</v>
      </c>
      <c r="AC91" s="35">
        <v>1.7479097888417915E-2</v>
      </c>
      <c r="AD91" s="34">
        <v>1.1580069103205823</v>
      </c>
      <c r="AE91" s="34">
        <v>0.32341427474302747</v>
      </c>
      <c r="AF91" s="34">
        <v>0.15757047544565747</v>
      </c>
      <c r="AG91" s="30">
        <v>245.68889537058939</v>
      </c>
      <c r="AH91" s="35">
        <v>9.5999999999999992E-3</v>
      </c>
      <c r="AI91" s="17">
        <v>0.87539153025365268</v>
      </c>
    </row>
    <row r="92" spans="1:35" x14ac:dyDescent="0.3">
      <c r="B92" s="1">
        <v>16</v>
      </c>
      <c r="C92" s="1">
        <v>2</v>
      </c>
      <c r="D92" s="4">
        <v>138</v>
      </c>
      <c r="E92" s="3">
        <v>3.2689999999999997</v>
      </c>
      <c r="F92" s="1">
        <v>40</v>
      </c>
      <c r="G92" s="1">
        <v>48</v>
      </c>
      <c r="H92" s="33">
        <v>73.386285342529078</v>
      </c>
      <c r="I92" s="41">
        <v>348</v>
      </c>
      <c r="J92" s="43">
        <v>300</v>
      </c>
      <c r="K92" s="30">
        <v>178</v>
      </c>
      <c r="L92" s="43">
        <v>128</v>
      </c>
      <c r="M92" s="3">
        <v>0.2</v>
      </c>
      <c r="N92" s="17">
        <v>0.2305286716222319</v>
      </c>
      <c r="O92" s="23">
        <v>264.70949624961241</v>
      </c>
      <c r="P92" s="23">
        <v>211.30113906801034</v>
      </c>
      <c r="Q92" s="24">
        <v>1.7479097888417915E-2</v>
      </c>
      <c r="R92" s="17">
        <v>1.1526433581111595</v>
      </c>
      <c r="S92" s="3">
        <v>0.17439499286250298</v>
      </c>
      <c r="T92" s="23">
        <v>264.70949624961241</v>
      </c>
      <c r="U92" s="30">
        <v>286</v>
      </c>
      <c r="V92" s="35">
        <v>1.2500000000000001E-2</v>
      </c>
      <c r="W92" s="17">
        <f t="shared" si="2"/>
        <v>1.2118141881772362</v>
      </c>
      <c r="X92" s="17">
        <f t="shared" si="3"/>
        <v>0.62352941176470589</v>
      </c>
      <c r="Y92" s="34">
        <v>0.87197496431251487</v>
      </c>
      <c r="Z92" s="34">
        <v>0.23157933318920554</v>
      </c>
      <c r="AA92" s="30">
        <v>264.70949624961241</v>
      </c>
      <c r="AB92" s="30">
        <v>211.30113906801034</v>
      </c>
      <c r="AC92" s="35">
        <v>1.7479097888417915E-2</v>
      </c>
      <c r="AD92" s="34">
        <v>1.1578966659460277</v>
      </c>
      <c r="AE92" s="34">
        <v>0.35931498345878993</v>
      </c>
      <c r="AF92" s="34">
        <v>0.19449441343113166</v>
      </c>
      <c r="AG92" s="30">
        <v>272.96167259851273</v>
      </c>
      <c r="AH92" s="35">
        <v>9.5999999999999992E-3</v>
      </c>
      <c r="AI92" s="17">
        <v>0.97247206715565826</v>
      </c>
    </row>
    <row r="93" spans="1:35" x14ac:dyDescent="0.3">
      <c r="B93" s="1">
        <v>16</v>
      </c>
      <c r="C93" s="1">
        <v>2</v>
      </c>
      <c r="D93" s="4">
        <v>138</v>
      </c>
      <c r="E93" s="3">
        <v>3.2689999999999997</v>
      </c>
      <c r="F93" s="1">
        <v>40</v>
      </c>
      <c r="G93" s="1">
        <v>48</v>
      </c>
      <c r="H93" s="33">
        <v>73.386285342529078</v>
      </c>
      <c r="I93" s="41">
        <v>348</v>
      </c>
      <c r="J93" s="43">
        <v>300</v>
      </c>
      <c r="K93" s="30">
        <v>178</v>
      </c>
      <c r="L93" s="43">
        <v>128</v>
      </c>
      <c r="M93" s="3">
        <v>0.25</v>
      </c>
      <c r="N93" s="17">
        <v>0.27473324113604009</v>
      </c>
      <c r="O93" s="23">
        <v>291.15776297001077</v>
      </c>
      <c r="P93" s="23">
        <v>211.30113906801034</v>
      </c>
      <c r="Q93" s="24">
        <v>1.7479097888417915E-2</v>
      </c>
      <c r="R93" s="17">
        <v>1.0989329645441603</v>
      </c>
      <c r="S93" s="3">
        <v>0.19711643896364461</v>
      </c>
      <c r="T93" s="23">
        <v>291.15776297001077</v>
      </c>
      <c r="U93" s="30">
        <v>286</v>
      </c>
      <c r="V93" s="35">
        <v>1.2500000000000001E-2</v>
      </c>
      <c r="W93" s="17">
        <f t="shared" si="2"/>
        <v>1.2118141881772362</v>
      </c>
      <c r="X93" s="17">
        <f t="shared" si="3"/>
        <v>0.62352941176470589</v>
      </c>
      <c r="Y93" s="34">
        <v>0.78846575585457845</v>
      </c>
      <c r="Z93" s="34">
        <v>0.25471742252070634</v>
      </c>
      <c r="AA93" s="30">
        <v>291.15776297001077</v>
      </c>
      <c r="AB93" s="30">
        <v>211.30113906801034</v>
      </c>
      <c r="AC93" s="35">
        <v>1.7479097888417915E-2</v>
      </c>
      <c r="AD93" s="34">
        <v>1.0188696900828254</v>
      </c>
      <c r="AE93" s="34">
        <v>0.39521569217455249</v>
      </c>
      <c r="AF93" s="34">
        <v>0.23530157606629135</v>
      </c>
      <c r="AG93" s="30">
        <v>300.23444982643611</v>
      </c>
      <c r="AH93" s="35">
        <v>9.5999999999999992E-3</v>
      </c>
      <c r="AI93" s="17">
        <v>0.94120630426516538</v>
      </c>
    </row>
    <row r="94" spans="1:35" x14ac:dyDescent="0.3">
      <c r="B94" s="1">
        <v>16</v>
      </c>
      <c r="C94" s="1">
        <v>2</v>
      </c>
      <c r="D94" s="4">
        <v>138</v>
      </c>
      <c r="E94" s="3">
        <v>3.2689999999999997</v>
      </c>
      <c r="F94" s="1">
        <v>40</v>
      </c>
      <c r="G94" s="1">
        <v>48</v>
      </c>
      <c r="H94" s="33">
        <v>73.386285342529078</v>
      </c>
      <c r="I94" s="41">
        <v>348</v>
      </c>
      <c r="J94" s="43">
        <v>300</v>
      </c>
      <c r="K94" s="30">
        <v>178</v>
      </c>
      <c r="L94" s="43">
        <v>128</v>
      </c>
      <c r="M94" s="3">
        <v>0.3</v>
      </c>
      <c r="N94" s="17">
        <v>0.31901363323906562</v>
      </c>
      <c r="O94" s="23">
        <v>317.65139549953489</v>
      </c>
      <c r="P94" s="23">
        <v>211.30113906801034</v>
      </c>
      <c r="Q94" s="24">
        <v>1.7479097888417915E-2</v>
      </c>
      <c r="R94" s="17">
        <v>1.0633787774635521</v>
      </c>
      <c r="S94" s="3">
        <v>0.24075254686068898</v>
      </c>
      <c r="T94" s="23">
        <v>317.65139549953489</v>
      </c>
      <c r="U94" s="30">
        <v>286</v>
      </c>
      <c r="V94" s="35">
        <v>1.2500000000000001E-2</v>
      </c>
      <c r="W94" s="17">
        <f t="shared" si="2"/>
        <v>1.2118141881772362</v>
      </c>
      <c r="X94" s="17">
        <f t="shared" si="3"/>
        <v>0.62352941176470589</v>
      </c>
      <c r="Y94" s="34">
        <v>0.80250848953562992</v>
      </c>
      <c r="Z94" s="34">
        <v>0.27830327743026689</v>
      </c>
      <c r="AA94" s="30">
        <v>317.65139549953489</v>
      </c>
      <c r="AB94" s="30">
        <v>211.30113906801034</v>
      </c>
      <c r="AC94" s="35">
        <v>1.7479097888417915E-2</v>
      </c>
      <c r="AD94" s="34">
        <v>0.92767759143422301</v>
      </c>
      <c r="AE94" s="34">
        <v>0.43117798015054798</v>
      </c>
      <c r="AF94" s="34">
        <v>0.28007195534082957</v>
      </c>
      <c r="AG94" s="30">
        <v>327.55400711821528</v>
      </c>
      <c r="AH94" s="35">
        <v>9.5999999999999992E-3</v>
      </c>
      <c r="AI94" s="17">
        <v>0.93357318446943194</v>
      </c>
    </row>
    <row r="95" spans="1:35" x14ac:dyDescent="0.3">
      <c r="B95" s="1">
        <v>16</v>
      </c>
      <c r="C95" s="1">
        <v>2</v>
      </c>
      <c r="D95" s="4">
        <v>138</v>
      </c>
      <c r="E95" s="3">
        <v>3.2689999999999997</v>
      </c>
      <c r="F95" s="1">
        <v>40</v>
      </c>
      <c r="G95" s="1">
        <v>48</v>
      </c>
      <c r="H95" s="33">
        <v>73.386285342529078</v>
      </c>
      <c r="I95" s="41">
        <v>348</v>
      </c>
      <c r="J95" s="43">
        <v>300</v>
      </c>
      <c r="K95" s="30">
        <v>178</v>
      </c>
      <c r="L95" s="43">
        <v>128</v>
      </c>
      <c r="M95" s="3">
        <v>0.33</v>
      </c>
      <c r="N95" s="17">
        <v>0.36329402534209126</v>
      </c>
      <c r="O95" s="23">
        <v>344.14502802905912</v>
      </c>
      <c r="P95" s="23">
        <v>211.30113906801034</v>
      </c>
      <c r="Q95" s="24">
        <v>1.7479097888417915E-2</v>
      </c>
      <c r="R95" s="17">
        <v>1.100890985885125</v>
      </c>
      <c r="S95" s="3">
        <v>0.28438865475773345</v>
      </c>
      <c r="T95" s="23">
        <v>344.14502802905912</v>
      </c>
      <c r="U95" s="30">
        <v>286</v>
      </c>
      <c r="V95" s="35">
        <v>1.2500000000000001E-2</v>
      </c>
      <c r="W95" s="17">
        <f t="shared" si="2"/>
        <v>1.2118141881772362</v>
      </c>
      <c r="X95" s="17">
        <f t="shared" si="3"/>
        <v>0.62352941176470589</v>
      </c>
      <c r="Y95" s="34">
        <v>0.86178380229616192</v>
      </c>
      <c r="Z95" s="34">
        <v>0.31693290627416754</v>
      </c>
      <c r="AA95" s="30">
        <v>344.14502802905912</v>
      </c>
      <c r="AB95" s="30">
        <v>211.30113906801034</v>
      </c>
      <c r="AC95" s="35">
        <v>1.7479097888417915E-2</v>
      </c>
      <c r="AD95" s="34">
        <v>0.96040274628535616</v>
      </c>
      <c r="AE95" s="34">
        <v>0.46714026812654336</v>
      </c>
      <c r="AF95" s="34">
        <v>0.32873889221541702</v>
      </c>
      <c r="AG95" s="30">
        <v>354.87356440999446</v>
      </c>
      <c r="AH95" s="35">
        <v>9.5999999999999992E-3</v>
      </c>
      <c r="AI95" s="17">
        <v>0.99617846125883946</v>
      </c>
    </row>
    <row r="96" spans="1:35" x14ac:dyDescent="0.3">
      <c r="B96" s="1">
        <v>16</v>
      </c>
      <c r="C96" s="1">
        <v>2</v>
      </c>
      <c r="D96" s="4">
        <v>138</v>
      </c>
      <c r="E96" s="3">
        <v>3.2689999999999997</v>
      </c>
      <c r="F96" s="1">
        <v>40</v>
      </c>
      <c r="G96" s="1">
        <v>48</v>
      </c>
      <c r="H96" s="33">
        <v>73.386285342529078</v>
      </c>
      <c r="I96" s="41">
        <v>348</v>
      </c>
      <c r="J96" s="43">
        <v>300</v>
      </c>
      <c r="K96" s="30">
        <v>178</v>
      </c>
      <c r="L96" s="43">
        <v>128</v>
      </c>
      <c r="M96" s="3">
        <v>0.38</v>
      </c>
      <c r="N96" s="17">
        <v>0.407422772266682</v>
      </c>
      <c r="O96" s="23">
        <v>370.54792894033159</v>
      </c>
      <c r="P96" s="23">
        <v>211.30113906801034</v>
      </c>
      <c r="Q96" s="24">
        <v>1.7479097888417915E-2</v>
      </c>
      <c r="R96" s="17">
        <v>1.072165190175479</v>
      </c>
      <c r="S96" s="3">
        <v>0.32787532392910324</v>
      </c>
      <c r="T96" s="23">
        <v>370.54792894033159</v>
      </c>
      <c r="U96" s="30">
        <v>286</v>
      </c>
      <c r="V96" s="35">
        <v>1.2500000000000001E-2</v>
      </c>
      <c r="W96" s="17">
        <f t="shared" si="2"/>
        <v>1.2118141881772362</v>
      </c>
      <c r="X96" s="17">
        <f t="shared" si="3"/>
        <v>0.62352941176470589</v>
      </c>
      <c r="Y96" s="34">
        <v>0.86282979981342955</v>
      </c>
      <c r="Z96" s="34">
        <v>0.35543024186860289</v>
      </c>
      <c r="AA96" s="30">
        <v>370.54792894033159</v>
      </c>
      <c r="AB96" s="30">
        <v>211.30113906801034</v>
      </c>
      <c r="AC96" s="35">
        <v>1.7479097888417915E-2</v>
      </c>
      <c r="AD96" s="34">
        <v>0.93534274175948129</v>
      </c>
      <c r="AE96" s="34">
        <v>0.50297939758207311</v>
      </c>
      <c r="AF96" s="34">
        <v>0.3811157253849613</v>
      </c>
      <c r="AG96" s="30">
        <v>382.09956157406208</v>
      </c>
      <c r="AH96" s="35">
        <v>9.5999999999999992E-3</v>
      </c>
      <c r="AI96" s="17">
        <v>1.0029361194341087</v>
      </c>
    </row>
    <row r="97" spans="1:35" x14ac:dyDescent="0.3">
      <c r="A97" t="s">
        <v>27</v>
      </c>
      <c r="B97" s="1">
        <v>16</v>
      </c>
      <c r="C97" s="1">
        <v>2</v>
      </c>
      <c r="D97" s="4">
        <v>168</v>
      </c>
      <c r="E97" s="3">
        <v>3.2689999999999997</v>
      </c>
      <c r="F97" s="1">
        <v>25</v>
      </c>
      <c r="G97" s="1">
        <v>33</v>
      </c>
      <c r="H97" s="33">
        <v>73.386285342529078</v>
      </c>
      <c r="I97" s="41">
        <v>333</v>
      </c>
      <c r="J97" s="43">
        <v>300</v>
      </c>
      <c r="K97" s="30">
        <v>170</v>
      </c>
      <c r="L97" s="43">
        <v>113</v>
      </c>
      <c r="M97" s="3">
        <v>0.15</v>
      </c>
      <c r="N97" s="17">
        <v>0.13409248123173162</v>
      </c>
      <c r="O97" s="23">
        <v>211.76759699968994</v>
      </c>
      <c r="P97" s="23">
        <v>192.83556964816188</v>
      </c>
      <c r="Q97" s="24">
        <v>1.9393939393939394E-2</v>
      </c>
      <c r="R97" s="17">
        <v>0.89394987487821087</v>
      </c>
      <c r="S97" s="3">
        <v>9.9274752045339976E-2</v>
      </c>
      <c r="T97" s="23">
        <v>211.76759699968994</v>
      </c>
      <c r="U97" s="30">
        <v>232</v>
      </c>
      <c r="V97" s="35">
        <v>1.5746098349890107E-2</v>
      </c>
      <c r="W97" s="17">
        <f t="shared" si="2"/>
        <v>1.1456222543718499</v>
      </c>
      <c r="X97" s="17">
        <f t="shared" si="3"/>
        <v>0.65337423312883436</v>
      </c>
      <c r="Y97" s="34">
        <v>0.66183168030226658</v>
      </c>
      <c r="Z97" s="34">
        <v>0.14310195367254047</v>
      </c>
      <c r="AA97" s="30">
        <v>211.76759699968994</v>
      </c>
      <c r="AB97" s="30">
        <v>192.83556964816188</v>
      </c>
      <c r="AC97" s="35">
        <v>1.9393939393939394E-2</v>
      </c>
      <c r="AD97" s="34">
        <v>0.95401302448360314</v>
      </c>
      <c r="AE97" s="34">
        <v>0.2642822803837333</v>
      </c>
      <c r="AF97" s="34">
        <v>0.12447642459592426</v>
      </c>
      <c r="AG97" s="30">
        <v>218.36933807881019</v>
      </c>
      <c r="AH97" s="35">
        <v>1.0500000000000001E-2</v>
      </c>
      <c r="AI97" s="17">
        <v>0.82984283063949504</v>
      </c>
    </row>
    <row r="98" spans="1:35" x14ac:dyDescent="0.3">
      <c r="B98" s="1">
        <v>16</v>
      </c>
      <c r="C98" s="1">
        <v>2</v>
      </c>
      <c r="D98" s="4">
        <v>168</v>
      </c>
      <c r="E98" s="3">
        <v>3.2689999999999997</v>
      </c>
      <c r="F98" s="1">
        <v>25</v>
      </c>
      <c r="G98" s="1">
        <v>33</v>
      </c>
      <c r="H98" s="33">
        <v>73.386285342529078</v>
      </c>
      <c r="I98" s="41">
        <v>333</v>
      </c>
      <c r="J98" s="43">
        <v>300</v>
      </c>
      <c r="K98" s="30">
        <v>170</v>
      </c>
      <c r="L98" s="43">
        <v>113</v>
      </c>
      <c r="M98" s="3">
        <v>0.18</v>
      </c>
      <c r="N98" s="17">
        <v>0.1710731766375258</v>
      </c>
      <c r="O98" s="23">
        <v>238.26122952921412</v>
      </c>
      <c r="P98" s="23">
        <v>192.83556964816188</v>
      </c>
      <c r="Q98" s="24">
        <v>1.9393939393939394E-2</v>
      </c>
      <c r="R98" s="17">
        <v>0.95040653687514343</v>
      </c>
      <c r="S98" s="3">
        <v>0.11617858999591686</v>
      </c>
      <c r="T98" s="23">
        <v>238.26122952921412</v>
      </c>
      <c r="U98" s="30">
        <v>232</v>
      </c>
      <c r="V98" s="35">
        <v>1.5746098349890107E-2</v>
      </c>
      <c r="W98" s="17">
        <f t="shared" si="2"/>
        <v>1.1456222543718499</v>
      </c>
      <c r="X98" s="17">
        <f t="shared" si="3"/>
        <v>0.65337423312883436</v>
      </c>
      <c r="Y98" s="34">
        <v>0.64543661108842698</v>
      </c>
      <c r="Z98" s="34">
        <v>0.16100502585436646</v>
      </c>
      <c r="AA98" s="30">
        <v>238.26122952921412</v>
      </c>
      <c r="AB98" s="30">
        <v>192.83556964816188</v>
      </c>
      <c r="AC98" s="35">
        <v>1.9393939393939394E-2</v>
      </c>
      <c r="AD98" s="34">
        <v>0.89447236585759149</v>
      </c>
      <c r="AE98" s="34">
        <v>0.29734587330234952</v>
      </c>
      <c r="AF98" s="34">
        <v>0.15757047544565744</v>
      </c>
      <c r="AG98" s="30">
        <v>245.68889537058936</v>
      </c>
      <c r="AH98" s="35">
        <v>1.0500000000000001E-2</v>
      </c>
      <c r="AI98" s="17">
        <v>0.87539153025365246</v>
      </c>
    </row>
    <row r="99" spans="1:35" x14ac:dyDescent="0.3">
      <c r="B99" s="1">
        <v>16</v>
      </c>
      <c r="C99" s="1">
        <v>2</v>
      </c>
      <c r="D99" s="4">
        <v>168</v>
      </c>
      <c r="E99" s="3">
        <v>3.2689999999999997</v>
      </c>
      <c r="F99" s="1">
        <v>25</v>
      </c>
      <c r="G99" s="1">
        <v>33</v>
      </c>
      <c r="H99" s="33">
        <v>73.386285342529078</v>
      </c>
      <c r="I99" s="41">
        <v>333</v>
      </c>
      <c r="J99" s="43">
        <v>300</v>
      </c>
      <c r="K99" s="30">
        <v>170</v>
      </c>
      <c r="L99" s="43">
        <v>113</v>
      </c>
      <c r="M99" s="3">
        <v>0.2</v>
      </c>
      <c r="N99" s="17">
        <v>0.20799054893474836</v>
      </c>
      <c r="O99" s="23">
        <v>264.70949624961241</v>
      </c>
      <c r="P99" s="23">
        <v>192.83556964816188</v>
      </c>
      <c r="Q99" s="24">
        <v>1.9393939393939394E-2</v>
      </c>
      <c r="R99" s="17">
        <v>1.0399527446737418</v>
      </c>
      <c r="S99" s="3">
        <v>0.14717536615403232</v>
      </c>
      <c r="T99" s="23">
        <v>264.70949624961241</v>
      </c>
      <c r="U99" s="30">
        <v>232</v>
      </c>
      <c r="V99" s="35">
        <v>1.5746098349890107E-2</v>
      </c>
      <c r="W99" s="17">
        <f t="shared" si="2"/>
        <v>1.1456222543718499</v>
      </c>
      <c r="X99" s="17">
        <f t="shared" si="3"/>
        <v>0.65337423312883436</v>
      </c>
      <c r="Y99" s="34">
        <v>0.73587683077016153</v>
      </c>
      <c r="Z99" s="34">
        <v>0.1788774420906756</v>
      </c>
      <c r="AA99" s="30">
        <v>264.70949624961241</v>
      </c>
      <c r="AB99" s="30">
        <v>192.83556964816188</v>
      </c>
      <c r="AC99" s="35">
        <v>1.9393939393939394E-2</v>
      </c>
      <c r="AD99" s="34">
        <v>0.89438721045337799</v>
      </c>
      <c r="AE99" s="34">
        <v>0.33035285047966667</v>
      </c>
      <c r="AF99" s="34">
        <v>0.19449441343113166</v>
      </c>
      <c r="AG99" s="30">
        <v>272.96167259851273</v>
      </c>
      <c r="AH99" s="35">
        <v>1.0500000000000001E-2</v>
      </c>
      <c r="AI99" s="17">
        <v>0.97247206715565826</v>
      </c>
    </row>
    <row r="100" spans="1:35" x14ac:dyDescent="0.3">
      <c r="B100" s="1">
        <v>16</v>
      </c>
      <c r="C100" s="1">
        <v>2</v>
      </c>
      <c r="D100" s="4">
        <v>168</v>
      </c>
      <c r="E100" s="3">
        <v>3.2689999999999997</v>
      </c>
      <c r="F100" s="1">
        <v>25</v>
      </c>
      <c r="G100" s="1">
        <v>33</v>
      </c>
      <c r="H100" s="33">
        <v>73.386285342529078</v>
      </c>
      <c r="I100" s="41">
        <v>333</v>
      </c>
      <c r="J100" s="43">
        <v>300</v>
      </c>
      <c r="K100" s="30">
        <v>170</v>
      </c>
      <c r="L100" s="43">
        <v>113</v>
      </c>
      <c r="M100" s="3">
        <v>0.23</v>
      </c>
      <c r="N100" s="17">
        <v>0.24490792123197097</v>
      </c>
      <c r="O100" s="23">
        <v>291.15776297001071</v>
      </c>
      <c r="P100" s="23">
        <v>192.83556964816188</v>
      </c>
      <c r="Q100" s="24">
        <v>1.9393939393939394E-2</v>
      </c>
      <c r="R100" s="17">
        <v>1.0648170488346564</v>
      </c>
      <c r="S100" s="3">
        <v>0.17817214231214781</v>
      </c>
      <c r="T100" s="23">
        <v>291.15776297001071</v>
      </c>
      <c r="U100" s="30">
        <v>232</v>
      </c>
      <c r="V100" s="35">
        <v>1.5746098349890107E-2</v>
      </c>
      <c r="W100" s="17">
        <f t="shared" si="2"/>
        <v>1.1456222543718499</v>
      </c>
      <c r="X100" s="17">
        <f t="shared" si="3"/>
        <v>0.65337423312883436</v>
      </c>
      <c r="Y100" s="34">
        <v>0.77466148831368609</v>
      </c>
      <c r="Z100" s="34">
        <v>0.19760779435522915</v>
      </c>
      <c r="AA100" s="30">
        <v>291.15776297001071</v>
      </c>
      <c r="AB100" s="30">
        <v>192.83556964816188</v>
      </c>
      <c r="AC100" s="35">
        <v>1.9393939393939394E-2</v>
      </c>
      <c r="AD100" s="34">
        <v>0.85916432328360504</v>
      </c>
      <c r="AE100" s="34">
        <v>0.36335982765698382</v>
      </c>
      <c r="AF100" s="34">
        <v>0.23530157606629135</v>
      </c>
      <c r="AG100" s="30">
        <v>300.23444982643611</v>
      </c>
      <c r="AH100" s="35">
        <v>1.0500000000000001E-2</v>
      </c>
      <c r="AI100" s="17">
        <v>1.0230503307230059</v>
      </c>
    </row>
    <row r="101" spans="1:35" x14ac:dyDescent="0.3">
      <c r="B101" s="1">
        <v>16</v>
      </c>
      <c r="C101" s="1">
        <v>2</v>
      </c>
      <c r="D101" s="4">
        <v>168</v>
      </c>
      <c r="E101" s="3">
        <v>3.2689999999999997</v>
      </c>
      <c r="F101" s="1">
        <v>25</v>
      </c>
      <c r="G101" s="1">
        <v>33</v>
      </c>
      <c r="H101" s="33">
        <v>73.386285342529078</v>
      </c>
      <c r="I101" s="41">
        <v>333</v>
      </c>
      <c r="J101" s="43">
        <v>300</v>
      </c>
      <c r="K101" s="30">
        <v>170</v>
      </c>
      <c r="L101" s="43">
        <v>113</v>
      </c>
      <c r="M101" s="3">
        <v>0.25</v>
      </c>
      <c r="N101" s="17">
        <v>0.28188861663776515</v>
      </c>
      <c r="O101" s="23">
        <v>317.65139549953489</v>
      </c>
      <c r="P101" s="23">
        <v>192.83556964816188</v>
      </c>
      <c r="Q101" s="24">
        <v>1.9393939393939394E-2</v>
      </c>
      <c r="R101" s="17">
        <v>1.1275544665510606</v>
      </c>
      <c r="S101" s="3">
        <v>0.20922208618236979</v>
      </c>
      <c r="T101" s="23">
        <v>317.65139549953489</v>
      </c>
      <c r="U101" s="30">
        <v>232</v>
      </c>
      <c r="V101" s="35">
        <v>1.5746098349890107E-2</v>
      </c>
      <c r="W101" s="17">
        <f t="shared" si="2"/>
        <v>1.1456222543718499</v>
      </c>
      <c r="X101" s="17">
        <f t="shared" si="3"/>
        <v>0.65337423312883436</v>
      </c>
      <c r="Y101" s="34">
        <v>0.83688834472947915</v>
      </c>
      <c r="Z101" s="34">
        <v>0.22744624799160579</v>
      </c>
      <c r="AA101" s="30">
        <v>317.65139549953489</v>
      </c>
      <c r="AB101" s="30">
        <v>192.83556964816188</v>
      </c>
      <c r="AC101" s="35">
        <v>1.9393939393939394E-2</v>
      </c>
      <c r="AD101" s="34">
        <v>0.90978499196642315</v>
      </c>
      <c r="AE101" s="34">
        <v>0.39642342057560004</v>
      </c>
      <c r="AF101" s="34">
        <v>0.28007195534082957</v>
      </c>
      <c r="AG101" s="30">
        <v>327.55400711821528</v>
      </c>
      <c r="AH101" s="35">
        <v>1.0500000000000001E-2</v>
      </c>
      <c r="AI101" s="17">
        <v>1.1202878213633183</v>
      </c>
    </row>
    <row r="102" spans="1:35" x14ac:dyDescent="0.3">
      <c r="B102" s="1">
        <v>16</v>
      </c>
      <c r="C102" s="1">
        <v>2</v>
      </c>
      <c r="D102" s="4">
        <v>168</v>
      </c>
      <c r="E102" s="3">
        <v>3.2689999999999997</v>
      </c>
      <c r="F102" s="1">
        <v>25</v>
      </c>
      <c r="G102" s="1">
        <v>33</v>
      </c>
      <c r="H102" s="33">
        <v>73.386285342529078</v>
      </c>
      <c r="I102" s="41">
        <v>333</v>
      </c>
      <c r="J102" s="43">
        <v>300</v>
      </c>
      <c r="K102" s="30">
        <v>170</v>
      </c>
      <c r="L102" s="43">
        <v>113</v>
      </c>
      <c r="M102" s="3">
        <v>0.3</v>
      </c>
      <c r="N102" s="17">
        <v>0.31886931204355928</v>
      </c>
      <c r="O102" s="23">
        <v>344.14502802905906</v>
      </c>
      <c r="P102" s="23">
        <v>192.83556964816188</v>
      </c>
      <c r="Q102" s="24">
        <v>1.9393939393939394E-2</v>
      </c>
      <c r="R102" s="17">
        <v>1.0628977068118644</v>
      </c>
      <c r="S102" s="3">
        <v>0.24027203005259176</v>
      </c>
      <c r="T102" s="23">
        <v>344.14502802905906</v>
      </c>
      <c r="U102" s="30">
        <v>232</v>
      </c>
      <c r="V102" s="35">
        <v>1.5746098349890107E-2</v>
      </c>
      <c r="W102" s="17">
        <f t="shared" si="2"/>
        <v>1.1456222543718499</v>
      </c>
      <c r="X102" s="17">
        <f t="shared" si="3"/>
        <v>0.65337423312883436</v>
      </c>
      <c r="Y102" s="34">
        <v>0.80090676684197259</v>
      </c>
      <c r="Z102" s="34">
        <v>0.25728470162798234</v>
      </c>
      <c r="AA102" s="30">
        <v>344.14502802905906</v>
      </c>
      <c r="AB102" s="30">
        <v>192.83556964816188</v>
      </c>
      <c r="AC102" s="35">
        <v>1.9393939393939394E-2</v>
      </c>
      <c r="AD102" s="34">
        <v>0.85761567209327449</v>
      </c>
      <c r="AE102" s="34">
        <v>0.42948701349421625</v>
      </c>
      <c r="AF102" s="34">
        <v>0.32873889221541713</v>
      </c>
      <c r="AG102" s="30">
        <v>354.87356440999451</v>
      </c>
      <c r="AH102" s="35">
        <v>1.0500000000000001E-2</v>
      </c>
      <c r="AI102" s="17">
        <v>1.0957963073847239</v>
      </c>
    </row>
    <row r="103" spans="1:35" x14ac:dyDescent="0.3">
      <c r="B103" s="1">
        <v>16</v>
      </c>
      <c r="C103" s="1">
        <v>2</v>
      </c>
      <c r="D103" s="4">
        <v>168</v>
      </c>
      <c r="E103" s="3">
        <v>3.2689999999999997</v>
      </c>
      <c r="F103" s="1">
        <v>25</v>
      </c>
      <c r="G103" s="1">
        <v>33</v>
      </c>
      <c r="H103" s="33">
        <v>73.386285342529078</v>
      </c>
      <c r="I103" s="41">
        <v>333</v>
      </c>
      <c r="J103" s="43">
        <v>300</v>
      </c>
      <c r="K103" s="30">
        <v>170</v>
      </c>
      <c r="L103" s="43">
        <v>113</v>
      </c>
      <c r="M103" s="3">
        <v>0.3</v>
      </c>
      <c r="N103" s="17">
        <v>0.35572336123221043</v>
      </c>
      <c r="O103" s="23">
        <v>370.54792894033153</v>
      </c>
      <c r="P103" s="23">
        <v>192.83556964816188</v>
      </c>
      <c r="Q103" s="24">
        <v>1.9393939393939394E-2</v>
      </c>
      <c r="R103" s="17">
        <v>1.1857445374407014</v>
      </c>
      <c r="S103" s="3">
        <v>0.27121563849860081</v>
      </c>
      <c r="T103" s="23">
        <v>370.54792894033153</v>
      </c>
      <c r="U103" s="30">
        <v>232</v>
      </c>
      <c r="V103" s="35">
        <v>1.5746098349890107E-2</v>
      </c>
      <c r="W103" s="17">
        <f t="shared" si="2"/>
        <v>1.1456222543718499</v>
      </c>
      <c r="X103" s="17">
        <f t="shared" si="3"/>
        <v>0.65337423312883436</v>
      </c>
      <c r="Y103" s="34">
        <v>0.90405212832866944</v>
      </c>
      <c r="Z103" s="34">
        <v>0.28702096877930294</v>
      </c>
      <c r="AA103" s="30">
        <v>370.54792894033153</v>
      </c>
      <c r="AB103" s="30">
        <v>192.83556964816188</v>
      </c>
      <c r="AC103" s="35">
        <v>1.9393939393939394E-2</v>
      </c>
      <c r="AD103" s="34">
        <v>0.95673656259767648</v>
      </c>
      <c r="AE103" s="34">
        <v>0.46243737493023435</v>
      </c>
      <c r="AF103" s="34">
        <v>0.38111572538496119</v>
      </c>
      <c r="AG103" s="30">
        <v>382.09956157406202</v>
      </c>
      <c r="AH103" s="35">
        <v>1.0500000000000001E-2</v>
      </c>
      <c r="AI103" s="17">
        <v>1.270385751283204</v>
      </c>
    </row>
    <row r="104" spans="1:35" x14ac:dyDescent="0.3">
      <c r="A104" t="s">
        <v>28</v>
      </c>
      <c r="B104" s="1">
        <v>16</v>
      </c>
      <c r="C104" s="1">
        <v>2</v>
      </c>
      <c r="D104" s="4">
        <v>168</v>
      </c>
      <c r="E104" s="3">
        <v>3.2689999999999997</v>
      </c>
      <c r="F104" s="1">
        <v>25</v>
      </c>
      <c r="G104" s="1">
        <v>33</v>
      </c>
      <c r="H104" s="33">
        <v>73.386285342529078</v>
      </c>
      <c r="I104" s="41">
        <v>333</v>
      </c>
      <c r="J104" s="43">
        <v>300</v>
      </c>
      <c r="K104" s="30">
        <v>170</v>
      </c>
      <c r="L104" s="43">
        <v>113</v>
      </c>
      <c r="M104" s="3">
        <v>0.15</v>
      </c>
      <c r="N104" s="17">
        <v>9.7111785825937463E-2</v>
      </c>
      <c r="O104" s="23">
        <v>185.27396447016577</v>
      </c>
      <c r="P104" s="23">
        <v>192.83556964816188</v>
      </c>
      <c r="Q104" s="24">
        <v>1.9393939393939394E-2</v>
      </c>
      <c r="R104" s="17">
        <v>0.64741190550624983</v>
      </c>
      <c r="S104" s="3">
        <v>8.685477449725118E-2</v>
      </c>
      <c r="T104" s="23">
        <v>185.27396447016577</v>
      </c>
      <c r="U104" s="30">
        <v>232</v>
      </c>
      <c r="V104" s="35">
        <v>1.5746098349890107E-2</v>
      </c>
      <c r="W104" s="17">
        <f t="shared" si="2"/>
        <v>1.1456222543718499</v>
      </c>
      <c r="X104" s="17">
        <f t="shared" si="3"/>
        <v>0.65337423312883436</v>
      </c>
      <c r="Y104" s="34">
        <v>0.57903182998167457</v>
      </c>
      <c r="Z104" s="34">
        <v>0.12519888149071451</v>
      </c>
      <c r="AA104" s="30">
        <v>185.27396447016577</v>
      </c>
      <c r="AB104" s="30">
        <v>192.83556964816188</v>
      </c>
      <c r="AC104" s="35">
        <v>1.9393939393939394E-2</v>
      </c>
      <c r="AD104" s="34">
        <v>0.83465920993809672</v>
      </c>
      <c r="AE104" s="34">
        <v>0.23121868746511717</v>
      </c>
      <c r="AF104" s="34">
        <v>9.5278931346240298E-2</v>
      </c>
      <c r="AG104" s="30">
        <v>191.04978078703101</v>
      </c>
      <c r="AH104" s="35">
        <v>1.0500000000000001E-2</v>
      </c>
      <c r="AI104" s="17">
        <v>0.63519287564160198</v>
      </c>
    </row>
    <row r="105" spans="1:35" x14ac:dyDescent="0.3">
      <c r="B105" s="1">
        <v>16</v>
      </c>
      <c r="C105" s="1">
        <v>2</v>
      </c>
      <c r="D105" s="4">
        <v>168</v>
      </c>
      <c r="E105" s="3">
        <v>3.2689999999999997</v>
      </c>
      <c r="F105" s="1">
        <v>25</v>
      </c>
      <c r="G105" s="1">
        <v>33</v>
      </c>
      <c r="H105" s="33">
        <v>73.386285342529078</v>
      </c>
      <c r="I105" s="41">
        <v>333</v>
      </c>
      <c r="J105" s="43">
        <v>300</v>
      </c>
      <c r="K105" s="30">
        <v>170</v>
      </c>
      <c r="L105" s="43">
        <v>113</v>
      </c>
      <c r="M105" s="3">
        <v>0.18</v>
      </c>
      <c r="N105" s="17">
        <v>0.13409248123173162</v>
      </c>
      <c r="O105" s="23">
        <v>211.76759699968994</v>
      </c>
      <c r="P105" s="23">
        <v>192.83556964816188</v>
      </c>
      <c r="Q105" s="24">
        <v>1.9393939393939394E-2</v>
      </c>
      <c r="R105" s="17">
        <v>0.74495822906517573</v>
      </c>
      <c r="S105" s="3">
        <v>9.9274752045339976E-2</v>
      </c>
      <c r="T105" s="23">
        <v>211.76759699968994</v>
      </c>
      <c r="U105" s="30">
        <v>232</v>
      </c>
      <c r="V105" s="35">
        <v>1.5746098349890107E-2</v>
      </c>
      <c r="W105" s="17">
        <f t="shared" si="2"/>
        <v>1.1456222543718499</v>
      </c>
      <c r="X105" s="17">
        <f t="shared" si="3"/>
        <v>0.65337423312883436</v>
      </c>
      <c r="Y105" s="34">
        <v>0.55152640025188882</v>
      </c>
      <c r="Z105" s="34">
        <v>0.14310195367254047</v>
      </c>
      <c r="AA105" s="30">
        <v>211.76759699968994</v>
      </c>
      <c r="AB105" s="30">
        <v>192.83556964816188</v>
      </c>
      <c r="AC105" s="35">
        <v>1.9393939393939394E-2</v>
      </c>
      <c r="AD105" s="34">
        <v>0.79501085373633595</v>
      </c>
      <c r="AE105" s="34">
        <v>0.2642822803837333</v>
      </c>
      <c r="AF105" s="34">
        <v>0.12447642459592426</v>
      </c>
      <c r="AG105" s="30">
        <v>218.36933807881019</v>
      </c>
      <c r="AH105" s="35">
        <v>1.0500000000000001E-2</v>
      </c>
      <c r="AI105" s="17">
        <v>0.69153569219957922</v>
      </c>
    </row>
    <row r="106" spans="1:35" x14ac:dyDescent="0.3">
      <c r="B106" s="1">
        <v>16</v>
      </c>
      <c r="C106" s="1">
        <v>2</v>
      </c>
      <c r="D106" s="4">
        <v>168</v>
      </c>
      <c r="E106" s="3">
        <v>3.2689999999999997</v>
      </c>
      <c r="F106" s="1">
        <v>25</v>
      </c>
      <c r="G106" s="1">
        <v>33</v>
      </c>
      <c r="H106" s="33">
        <v>73.386285342529078</v>
      </c>
      <c r="I106" s="41">
        <v>333</v>
      </c>
      <c r="J106" s="43">
        <v>300</v>
      </c>
      <c r="K106" s="30">
        <v>170</v>
      </c>
      <c r="L106" s="43">
        <v>113</v>
      </c>
      <c r="M106" s="3">
        <v>0.18</v>
      </c>
      <c r="N106" s="17">
        <v>0.1710731766375258</v>
      </c>
      <c r="O106" s="23">
        <v>238.26122952921412</v>
      </c>
      <c r="P106" s="23">
        <v>192.83556964816188</v>
      </c>
      <c r="Q106" s="24">
        <v>1.9393939393939394E-2</v>
      </c>
      <c r="R106" s="17">
        <v>0.95040653687514343</v>
      </c>
      <c r="S106" s="3">
        <v>0.11617858999591686</v>
      </c>
      <c r="T106" s="23">
        <v>238.26122952921412</v>
      </c>
      <c r="U106" s="30">
        <v>232</v>
      </c>
      <c r="V106" s="35">
        <v>1.5746098349890107E-2</v>
      </c>
      <c r="W106" s="17">
        <f t="shared" si="2"/>
        <v>1.1456222543718499</v>
      </c>
      <c r="X106" s="17">
        <f t="shared" si="3"/>
        <v>0.65337423312883436</v>
      </c>
      <c r="Y106" s="34">
        <v>0.64543661108842698</v>
      </c>
      <c r="Z106" s="34">
        <v>0.16100502585436646</v>
      </c>
      <c r="AA106" s="30">
        <v>238.26122952921412</v>
      </c>
      <c r="AB106" s="30">
        <v>192.83556964816188</v>
      </c>
      <c r="AC106" s="35">
        <v>1.9393939393939394E-2</v>
      </c>
      <c r="AD106" s="34">
        <v>0.89447236585759149</v>
      </c>
      <c r="AE106" s="34">
        <v>0.29734587330234952</v>
      </c>
      <c r="AF106" s="34">
        <v>0.15757047544565744</v>
      </c>
      <c r="AG106" s="30">
        <v>245.68889537058936</v>
      </c>
      <c r="AH106" s="35">
        <v>1.0500000000000001E-2</v>
      </c>
      <c r="AI106" s="17">
        <v>0.87539153025365246</v>
      </c>
    </row>
    <row r="107" spans="1:35" x14ac:dyDescent="0.3">
      <c r="B107" s="1">
        <v>16</v>
      </c>
      <c r="C107" s="1">
        <v>2</v>
      </c>
      <c r="D107" s="4">
        <v>168</v>
      </c>
      <c r="E107" s="3">
        <v>3.2689999999999997</v>
      </c>
      <c r="F107" s="1">
        <v>25</v>
      </c>
      <c r="G107" s="1">
        <v>33</v>
      </c>
      <c r="H107" s="33">
        <v>73.386285342529078</v>
      </c>
      <c r="I107" s="41">
        <v>333</v>
      </c>
      <c r="J107" s="43">
        <v>300</v>
      </c>
      <c r="K107" s="30">
        <v>170</v>
      </c>
      <c r="L107" s="43">
        <v>113</v>
      </c>
      <c r="M107" s="3">
        <v>0.25</v>
      </c>
      <c r="N107" s="17">
        <v>0.20799054893474836</v>
      </c>
      <c r="O107" s="23">
        <v>264.70949624961241</v>
      </c>
      <c r="P107" s="23">
        <v>192.83556964816188</v>
      </c>
      <c r="Q107" s="24">
        <v>1.9393939393939394E-2</v>
      </c>
      <c r="R107" s="17">
        <v>0.83196219573899344</v>
      </c>
      <c r="S107" s="3">
        <v>0.14717536615403232</v>
      </c>
      <c r="T107" s="23">
        <v>264.70949624961241</v>
      </c>
      <c r="U107" s="30">
        <v>232</v>
      </c>
      <c r="V107" s="35">
        <v>1.5746098349890107E-2</v>
      </c>
      <c r="W107" s="17">
        <f t="shared" si="2"/>
        <v>1.1456222543718499</v>
      </c>
      <c r="X107" s="17">
        <f t="shared" si="3"/>
        <v>0.65337423312883436</v>
      </c>
      <c r="Y107" s="34">
        <v>0.58870146461612927</v>
      </c>
      <c r="Z107" s="34">
        <v>0.1788774420906756</v>
      </c>
      <c r="AA107" s="30">
        <v>264.70949624961241</v>
      </c>
      <c r="AB107" s="30">
        <v>192.83556964816188</v>
      </c>
      <c r="AC107" s="35">
        <v>1.9393939393939394E-2</v>
      </c>
      <c r="AD107" s="34">
        <v>0.71550976836270241</v>
      </c>
      <c r="AE107" s="34">
        <v>0.33035285047966667</v>
      </c>
      <c r="AF107" s="34">
        <v>0.19449441343113166</v>
      </c>
      <c r="AG107" s="30">
        <v>272.96167259851273</v>
      </c>
      <c r="AH107" s="35">
        <v>1.0500000000000001E-2</v>
      </c>
      <c r="AI107" s="17">
        <v>0.77797765372452665</v>
      </c>
    </row>
    <row r="108" spans="1:35" x14ac:dyDescent="0.3">
      <c r="B108" s="1">
        <v>16</v>
      </c>
      <c r="C108" s="1">
        <v>2</v>
      </c>
      <c r="D108" s="4">
        <v>168</v>
      </c>
      <c r="E108" s="3">
        <v>3.2689999999999997</v>
      </c>
      <c r="F108" s="1">
        <v>25</v>
      </c>
      <c r="G108" s="1">
        <v>33</v>
      </c>
      <c r="H108" s="33">
        <v>73.386285342529078</v>
      </c>
      <c r="I108" s="41">
        <v>333</v>
      </c>
      <c r="J108" s="43">
        <v>300</v>
      </c>
      <c r="K108" s="30">
        <v>170</v>
      </c>
      <c r="L108" s="43">
        <v>113</v>
      </c>
      <c r="M108" s="3">
        <v>0.28000000000000003</v>
      </c>
      <c r="N108" s="17">
        <v>0.24490792123197097</v>
      </c>
      <c r="O108" s="23">
        <v>291.15776297001071</v>
      </c>
      <c r="P108" s="23">
        <v>192.83556964816188</v>
      </c>
      <c r="Q108" s="24">
        <v>1.9393939393939394E-2</v>
      </c>
      <c r="R108" s="17">
        <v>0.87467114725703909</v>
      </c>
      <c r="S108" s="3">
        <v>0.17817214231214781</v>
      </c>
      <c r="T108" s="23">
        <v>291.15776297001071</v>
      </c>
      <c r="U108" s="30">
        <v>232</v>
      </c>
      <c r="V108" s="35">
        <v>1.5746098349890107E-2</v>
      </c>
      <c r="W108" s="17">
        <f t="shared" si="2"/>
        <v>1.1456222543718499</v>
      </c>
      <c r="X108" s="17">
        <f t="shared" si="3"/>
        <v>0.65337423312883436</v>
      </c>
      <c r="Y108" s="34">
        <v>0.63632907968624208</v>
      </c>
      <c r="Z108" s="34">
        <v>0.19760779435522915</v>
      </c>
      <c r="AA108" s="30">
        <v>291.15776297001071</v>
      </c>
      <c r="AB108" s="30">
        <v>192.83556964816188</v>
      </c>
      <c r="AC108" s="35">
        <v>1.9393939393939394E-2</v>
      </c>
      <c r="AD108" s="34">
        <v>0.7057421226972469</v>
      </c>
      <c r="AE108" s="34">
        <v>0.36335982765698382</v>
      </c>
      <c r="AF108" s="34">
        <v>0.23530157606629135</v>
      </c>
      <c r="AG108" s="30">
        <v>300.23444982643611</v>
      </c>
      <c r="AH108" s="35">
        <v>1.0500000000000001E-2</v>
      </c>
      <c r="AI108" s="17">
        <v>0.84036277166532614</v>
      </c>
    </row>
    <row r="109" spans="1:35" x14ac:dyDescent="0.3">
      <c r="B109" s="1">
        <v>16</v>
      </c>
      <c r="C109" s="1">
        <v>2</v>
      </c>
      <c r="D109" s="4">
        <v>168</v>
      </c>
      <c r="E109" s="3">
        <v>3.2689999999999997</v>
      </c>
      <c r="F109" s="1">
        <v>25</v>
      </c>
      <c r="G109" s="1">
        <v>33</v>
      </c>
      <c r="H109" s="33">
        <v>73.386285342529078</v>
      </c>
      <c r="I109" s="41">
        <v>333</v>
      </c>
      <c r="J109" s="43">
        <v>300</v>
      </c>
      <c r="K109" s="30">
        <v>170</v>
      </c>
      <c r="L109" s="43">
        <v>113</v>
      </c>
      <c r="M109" s="3">
        <v>0.33</v>
      </c>
      <c r="N109" s="17">
        <v>0.28188861663776515</v>
      </c>
      <c r="O109" s="23">
        <v>317.65139549953489</v>
      </c>
      <c r="P109" s="23">
        <v>192.83556964816188</v>
      </c>
      <c r="Q109" s="24">
        <v>1.9393939393939394E-2</v>
      </c>
      <c r="R109" s="17">
        <v>0.85420792920534894</v>
      </c>
      <c r="S109" s="3">
        <v>0.20922208618236979</v>
      </c>
      <c r="T109" s="23">
        <v>317.65139549953489</v>
      </c>
      <c r="U109" s="30">
        <v>232</v>
      </c>
      <c r="V109" s="35">
        <v>1.5746098349890107E-2</v>
      </c>
      <c r="W109" s="17">
        <f t="shared" si="2"/>
        <v>1.1456222543718499</v>
      </c>
      <c r="X109" s="17">
        <f t="shared" si="3"/>
        <v>0.65337423312883436</v>
      </c>
      <c r="Y109" s="34">
        <v>0.63400632176475691</v>
      </c>
      <c r="Z109" s="34">
        <v>0.22744624799160579</v>
      </c>
      <c r="AA109" s="30">
        <v>317.65139549953489</v>
      </c>
      <c r="AB109" s="30">
        <v>192.83556964816188</v>
      </c>
      <c r="AC109" s="35">
        <v>1.9393939393939394E-2</v>
      </c>
      <c r="AD109" s="34">
        <v>0.68923105452001754</v>
      </c>
      <c r="AE109" s="34">
        <v>0.39642342057560004</v>
      </c>
      <c r="AF109" s="34">
        <v>0.28007195534082957</v>
      </c>
      <c r="AG109" s="30">
        <v>327.55400711821528</v>
      </c>
      <c r="AH109" s="35">
        <v>1.0500000000000001E-2</v>
      </c>
      <c r="AI109" s="17">
        <v>0.84870289497221074</v>
      </c>
    </row>
    <row r="110" spans="1:35" x14ac:dyDescent="0.3">
      <c r="B110" s="1">
        <v>16</v>
      </c>
      <c r="C110" s="1">
        <v>2</v>
      </c>
      <c r="D110" s="4">
        <v>168</v>
      </c>
      <c r="E110" s="3">
        <v>3.2689999999999997</v>
      </c>
      <c r="F110" s="1">
        <v>25</v>
      </c>
      <c r="G110" s="1">
        <v>33</v>
      </c>
      <c r="H110" s="33">
        <v>73.386285342529078</v>
      </c>
      <c r="I110" s="41">
        <v>333</v>
      </c>
      <c r="J110" s="43">
        <v>300</v>
      </c>
      <c r="K110" s="30">
        <v>170</v>
      </c>
      <c r="L110" s="43">
        <v>113</v>
      </c>
      <c r="M110" s="3">
        <v>0.38</v>
      </c>
      <c r="N110" s="17">
        <v>0.31886931204355928</v>
      </c>
      <c r="O110" s="23">
        <v>344.14502802905906</v>
      </c>
      <c r="P110" s="23">
        <v>192.83556964816188</v>
      </c>
      <c r="Q110" s="24">
        <v>1.9393939393939394E-2</v>
      </c>
      <c r="R110" s="17">
        <v>0.83912976853568233</v>
      </c>
      <c r="S110" s="3">
        <v>0.24027203005259176</v>
      </c>
      <c r="T110" s="23">
        <v>344.14502802905906</v>
      </c>
      <c r="U110" s="30">
        <v>232</v>
      </c>
      <c r="V110" s="35">
        <v>1.5746098349890107E-2</v>
      </c>
      <c r="W110" s="17">
        <f t="shared" si="2"/>
        <v>1.1456222543718499</v>
      </c>
      <c r="X110" s="17">
        <f t="shared" si="3"/>
        <v>0.65337423312883436</v>
      </c>
      <c r="Y110" s="34">
        <v>0.63229481592787307</v>
      </c>
      <c r="Z110" s="34">
        <v>0.25728470162798234</v>
      </c>
      <c r="AA110" s="30">
        <v>344.14502802905906</v>
      </c>
      <c r="AB110" s="30">
        <v>192.83556964816188</v>
      </c>
      <c r="AC110" s="35">
        <v>1.9393939393939394E-2</v>
      </c>
      <c r="AD110" s="34">
        <v>0.67706500428416405</v>
      </c>
      <c r="AE110" s="34">
        <v>0.42948701349421625</v>
      </c>
      <c r="AF110" s="34">
        <v>0.32873889221541713</v>
      </c>
      <c r="AG110" s="30">
        <v>354.87356440999451</v>
      </c>
      <c r="AH110" s="35">
        <v>1.0500000000000001E-2</v>
      </c>
      <c r="AI110" s="17">
        <v>0.86510234793530827</v>
      </c>
    </row>
    <row r="111" spans="1:35" x14ac:dyDescent="0.3">
      <c r="B111" s="1">
        <v>16</v>
      </c>
      <c r="C111" s="1">
        <v>2</v>
      </c>
      <c r="D111" s="4">
        <v>168</v>
      </c>
      <c r="E111" s="3">
        <v>3.2689999999999997</v>
      </c>
      <c r="F111" s="1">
        <v>25</v>
      </c>
      <c r="G111" s="1">
        <v>33</v>
      </c>
      <c r="H111" s="33">
        <v>73.386285342529078</v>
      </c>
      <c r="I111" s="41">
        <v>333</v>
      </c>
      <c r="J111" s="43">
        <v>300</v>
      </c>
      <c r="K111" s="30">
        <v>170</v>
      </c>
      <c r="L111" s="43">
        <v>113</v>
      </c>
      <c r="M111" s="3">
        <v>0.43</v>
      </c>
      <c r="N111" s="17">
        <v>0.35572336123221043</v>
      </c>
      <c r="O111" s="23">
        <v>370.54792894033153</v>
      </c>
      <c r="P111" s="23">
        <v>192.83556964816188</v>
      </c>
      <c r="Q111" s="24">
        <v>1.9393939393939394E-2</v>
      </c>
      <c r="R111" s="17">
        <v>0.82726363077258247</v>
      </c>
      <c r="S111" s="3">
        <v>0.27121563849860081</v>
      </c>
      <c r="T111" s="23">
        <v>370.54792894033153</v>
      </c>
      <c r="U111" s="30">
        <v>232</v>
      </c>
      <c r="V111" s="35">
        <v>1.5746098349890107E-2</v>
      </c>
      <c r="W111" s="17">
        <f t="shared" si="2"/>
        <v>1.1456222543718499</v>
      </c>
      <c r="X111" s="17">
        <f t="shared" si="3"/>
        <v>0.65337423312883436</v>
      </c>
      <c r="Y111" s="34">
        <v>0.63073404302000191</v>
      </c>
      <c r="Z111" s="34">
        <v>0.28702096877930294</v>
      </c>
      <c r="AA111" s="30">
        <v>370.54792894033153</v>
      </c>
      <c r="AB111" s="30">
        <v>192.83556964816188</v>
      </c>
      <c r="AC111" s="35">
        <v>1.9393939393939394E-2</v>
      </c>
      <c r="AD111" s="34">
        <v>0.66749062506814638</v>
      </c>
      <c r="AE111" s="34">
        <v>0.46243737493023435</v>
      </c>
      <c r="AF111" s="34">
        <v>0.38111572538496119</v>
      </c>
      <c r="AG111" s="30">
        <v>382.09956157406202</v>
      </c>
      <c r="AH111" s="35">
        <v>1.0500000000000001E-2</v>
      </c>
      <c r="AI111" s="17">
        <v>0.88631564043014233</v>
      </c>
    </row>
    <row r="112" spans="1:35" x14ac:dyDescent="0.3">
      <c r="A112" t="s">
        <v>29</v>
      </c>
      <c r="B112" s="1">
        <v>16</v>
      </c>
      <c r="C112" s="1">
        <v>3</v>
      </c>
      <c r="D112" s="4">
        <v>76</v>
      </c>
      <c r="E112" s="3">
        <v>3.2689999999999997</v>
      </c>
      <c r="F112" s="1">
        <v>25</v>
      </c>
      <c r="G112" s="1">
        <v>33</v>
      </c>
      <c r="H112" s="33">
        <v>87.114505405349817</v>
      </c>
      <c r="I112" s="41">
        <v>333</v>
      </c>
      <c r="J112" s="43">
        <v>300</v>
      </c>
      <c r="K112" s="30">
        <v>172</v>
      </c>
      <c r="L112" s="43">
        <v>113</v>
      </c>
      <c r="M112" s="3">
        <v>0.15</v>
      </c>
      <c r="N112" s="17">
        <v>0.1531062354497946</v>
      </c>
      <c r="O112" s="23">
        <v>233.30469206437246</v>
      </c>
      <c r="P112" s="23">
        <v>135.9166018467607</v>
      </c>
      <c r="Q112" s="24">
        <v>2.9281922513849066E-2</v>
      </c>
      <c r="R112" s="17">
        <v>1.0207082363319639</v>
      </c>
      <c r="S112" s="3">
        <v>0.12226734357024087</v>
      </c>
      <c r="T112" s="23">
        <v>233.30469206437246</v>
      </c>
      <c r="U112" s="30">
        <v>178</v>
      </c>
      <c r="V112" s="35">
        <v>2.1238938053097345E-2</v>
      </c>
      <c r="W112" s="17">
        <f t="shared" si="2"/>
        <v>1.1550129099346784</v>
      </c>
      <c r="X112" s="17">
        <f t="shared" si="3"/>
        <v>0.64906832298136652</v>
      </c>
      <c r="Y112" s="34">
        <v>0.81511562380160585</v>
      </c>
      <c r="Z112" s="34">
        <v>0.13497830291539226</v>
      </c>
      <c r="AA112" s="30">
        <v>233.30469206437246</v>
      </c>
      <c r="AB112" s="30">
        <v>135.9166018467607</v>
      </c>
      <c r="AC112" s="35">
        <v>2.9281922513849066E-2</v>
      </c>
      <c r="AD112" s="34">
        <v>0.89985535276928175</v>
      </c>
      <c r="AE112" s="34">
        <v>0.19624775636841521</v>
      </c>
      <c r="AF112" s="34">
        <v>0.15248177687827655</v>
      </c>
      <c r="AG112" s="30">
        <v>241.68910700956383</v>
      </c>
      <c r="AH112" s="35">
        <v>1.66E-2</v>
      </c>
      <c r="AI112" s="17">
        <v>1.0165451791885103</v>
      </c>
    </row>
    <row r="113" spans="1:35" x14ac:dyDescent="0.3">
      <c r="B113" s="1">
        <v>16</v>
      </c>
      <c r="C113" s="1">
        <v>3</v>
      </c>
      <c r="D113" s="4">
        <v>76</v>
      </c>
      <c r="E113" s="3">
        <v>3.2689999999999997</v>
      </c>
      <c r="F113" s="1">
        <v>25</v>
      </c>
      <c r="G113" s="1">
        <v>33</v>
      </c>
      <c r="H113" s="33">
        <v>87.114505405349817</v>
      </c>
      <c r="I113" s="41">
        <v>333</v>
      </c>
      <c r="J113" s="43">
        <v>300</v>
      </c>
      <c r="K113" s="30">
        <v>172</v>
      </c>
      <c r="L113" s="43">
        <v>113</v>
      </c>
      <c r="M113" s="3">
        <v>0.18</v>
      </c>
      <c r="N113" s="17">
        <v>0.17116484293996007</v>
      </c>
      <c r="O113" s="23">
        <v>251.20389200920044</v>
      </c>
      <c r="P113" s="23">
        <v>135.9166018467607</v>
      </c>
      <c r="Q113" s="24">
        <v>2.9281922513849066E-2</v>
      </c>
      <c r="R113" s="17">
        <v>0.95091579411088933</v>
      </c>
      <c r="S113" s="3">
        <v>0.13958286394040598</v>
      </c>
      <c r="T113" s="23">
        <v>251.20389200920044</v>
      </c>
      <c r="U113" s="30">
        <v>178</v>
      </c>
      <c r="V113" s="35">
        <v>2.1238938053097345E-2</v>
      </c>
      <c r="W113" s="17">
        <f t="shared" si="2"/>
        <v>1.1550129099346784</v>
      </c>
      <c r="X113" s="17">
        <f t="shared" si="3"/>
        <v>0.64906832298136652</v>
      </c>
      <c r="Y113" s="34">
        <v>0.77546035522447765</v>
      </c>
      <c r="Z113" s="34">
        <v>0.15089875308436673</v>
      </c>
      <c r="AA113" s="30">
        <v>251.20389200920044</v>
      </c>
      <c r="AB113" s="30">
        <v>135.9166018467607</v>
      </c>
      <c r="AC113" s="35">
        <v>2.9281922513849066E-2</v>
      </c>
      <c r="AD113" s="34">
        <v>0.83832640602425967</v>
      </c>
      <c r="AE113" s="34">
        <v>0.21130393804603426</v>
      </c>
      <c r="AF113" s="34">
        <v>0.17677617215084976</v>
      </c>
      <c r="AG113" s="30">
        <v>260.23156156790373</v>
      </c>
      <c r="AH113" s="35">
        <v>1.66E-2</v>
      </c>
      <c r="AI113" s="17">
        <v>0.98208984528249865</v>
      </c>
    </row>
    <row r="114" spans="1:35" x14ac:dyDescent="0.3">
      <c r="B114" s="1">
        <v>16</v>
      </c>
      <c r="C114" s="1">
        <v>3</v>
      </c>
      <c r="D114" s="4">
        <v>76</v>
      </c>
      <c r="E114" s="3">
        <v>3.2689999999999997</v>
      </c>
      <c r="F114" s="1">
        <v>25</v>
      </c>
      <c r="G114" s="1">
        <v>33</v>
      </c>
      <c r="H114" s="33">
        <v>87.114505405349817</v>
      </c>
      <c r="I114" s="41">
        <v>333</v>
      </c>
      <c r="J114" s="43">
        <v>300</v>
      </c>
      <c r="K114" s="30">
        <v>172</v>
      </c>
      <c r="L114" s="43">
        <v>113</v>
      </c>
      <c r="M114" s="3">
        <v>0.18</v>
      </c>
      <c r="N114" s="17">
        <v>0.18928550750053849</v>
      </c>
      <c r="O114" s="23">
        <v>269.16460123218928</v>
      </c>
      <c r="P114" s="23">
        <v>135.9166018467607</v>
      </c>
      <c r="Q114" s="24">
        <v>2.9281922513849066E-2</v>
      </c>
      <c r="R114" s="17">
        <v>1.0515861527807695</v>
      </c>
      <c r="S114" s="3">
        <v>0.15695788781699774</v>
      </c>
      <c r="T114" s="23">
        <v>269.16460123218928</v>
      </c>
      <c r="U114" s="30">
        <v>178</v>
      </c>
      <c r="V114" s="35">
        <v>2.1238938053097345E-2</v>
      </c>
      <c r="W114" s="17">
        <f t="shared" si="2"/>
        <v>1.1550129099346784</v>
      </c>
      <c r="X114" s="17">
        <f t="shared" si="3"/>
        <v>0.64906832298136652</v>
      </c>
      <c r="Y114" s="34">
        <v>0.87198826564998744</v>
      </c>
      <c r="Z114" s="34">
        <v>0.16687391270409369</v>
      </c>
      <c r="AA114" s="30">
        <v>269.16460123218928</v>
      </c>
      <c r="AB114" s="30">
        <v>135.9166018467607</v>
      </c>
      <c r="AC114" s="35">
        <v>2.9281922513849066E-2</v>
      </c>
      <c r="AD114" s="34">
        <v>0.92707729280052054</v>
      </c>
      <c r="AE114" s="34">
        <v>0.22641185917959003</v>
      </c>
      <c r="AF114" s="34">
        <v>0.20295833219561998</v>
      </c>
      <c r="AG114" s="30">
        <v>278.83773590135809</v>
      </c>
      <c r="AH114" s="35">
        <v>1.66E-2</v>
      </c>
      <c r="AI114" s="17">
        <v>1.1275462899756665</v>
      </c>
    </row>
    <row r="115" spans="1:35" x14ac:dyDescent="0.3">
      <c r="B115" s="1">
        <v>16</v>
      </c>
      <c r="C115" s="1">
        <v>3</v>
      </c>
      <c r="D115" s="4">
        <v>76</v>
      </c>
      <c r="E115" s="3">
        <v>3.2689999999999997</v>
      </c>
      <c r="F115" s="1">
        <v>25</v>
      </c>
      <c r="G115" s="1">
        <v>33</v>
      </c>
      <c r="H115" s="33">
        <v>87.114505405349817</v>
      </c>
      <c r="I115" s="41">
        <v>333</v>
      </c>
      <c r="J115" s="43">
        <v>300</v>
      </c>
      <c r="K115" s="30">
        <v>172</v>
      </c>
      <c r="L115" s="43">
        <v>113</v>
      </c>
      <c r="M115" s="3">
        <v>0.2</v>
      </c>
      <c r="N115" s="17">
        <v>0.20740617206111689</v>
      </c>
      <c r="O115" s="23">
        <v>287.12531045517812</v>
      </c>
      <c r="P115" s="23">
        <v>135.9166018467607</v>
      </c>
      <c r="Q115" s="24">
        <v>2.9281922513849066E-2</v>
      </c>
      <c r="R115" s="17">
        <v>1.0370308603055844</v>
      </c>
      <c r="S115" s="3">
        <v>0.1743329116935895</v>
      </c>
      <c r="T115" s="23">
        <v>287.12531045517812</v>
      </c>
      <c r="U115" s="30">
        <v>178</v>
      </c>
      <c r="V115" s="35">
        <v>2.1238938053097345E-2</v>
      </c>
      <c r="W115" s="17">
        <f t="shared" si="2"/>
        <v>1.1550129099346784</v>
      </c>
      <c r="X115" s="17">
        <f t="shared" si="3"/>
        <v>0.64906832298136652</v>
      </c>
      <c r="Y115" s="34">
        <v>0.87166455846794744</v>
      </c>
      <c r="Z115" s="34">
        <v>0.18284907232382061</v>
      </c>
      <c r="AA115" s="30">
        <v>287.12531045517812</v>
      </c>
      <c r="AB115" s="30">
        <v>135.9166018467607</v>
      </c>
      <c r="AC115" s="35">
        <v>2.9281922513849066E-2</v>
      </c>
      <c r="AD115" s="34">
        <v>0.91424536161910297</v>
      </c>
      <c r="AE115" s="34">
        <v>0.24151978031314592</v>
      </c>
      <c r="AF115" s="34">
        <v>0.23094786593615235</v>
      </c>
      <c r="AG115" s="30">
        <v>297.44391023481256</v>
      </c>
      <c r="AH115" s="35">
        <v>1.66E-2</v>
      </c>
      <c r="AI115" s="17">
        <v>1.1547393296807618</v>
      </c>
    </row>
    <row r="116" spans="1:35" x14ac:dyDescent="0.3">
      <c r="B116" s="1">
        <v>16</v>
      </c>
      <c r="C116" s="1">
        <v>3</v>
      </c>
      <c r="D116" s="4">
        <v>76</v>
      </c>
      <c r="E116" s="3">
        <v>3.2689999999999997</v>
      </c>
      <c r="F116" s="1">
        <v>25</v>
      </c>
      <c r="G116" s="1">
        <v>33</v>
      </c>
      <c r="H116" s="33">
        <v>87.114505405349817</v>
      </c>
      <c r="I116" s="41">
        <v>333</v>
      </c>
      <c r="J116" s="43">
        <v>300</v>
      </c>
      <c r="K116" s="30">
        <v>172</v>
      </c>
      <c r="L116" s="43">
        <v>113</v>
      </c>
      <c r="M116" s="3">
        <v>0.2</v>
      </c>
      <c r="N116" s="17">
        <v>0.2255268366216954</v>
      </c>
      <c r="O116" s="23">
        <v>305.08601967816708</v>
      </c>
      <c r="P116" s="23">
        <v>135.9166018467607</v>
      </c>
      <c r="Q116" s="24">
        <v>2.9281922513849066E-2</v>
      </c>
      <c r="R116" s="17">
        <v>1.1276341831084769</v>
      </c>
      <c r="S116" s="3">
        <v>0.19170793557018131</v>
      </c>
      <c r="T116" s="23">
        <v>305.08601967816708</v>
      </c>
      <c r="U116" s="30">
        <v>178</v>
      </c>
      <c r="V116" s="35">
        <v>2.1238938053097345E-2</v>
      </c>
      <c r="W116" s="17">
        <f t="shared" si="2"/>
        <v>1.1550129099346784</v>
      </c>
      <c r="X116" s="17">
        <f t="shared" si="3"/>
        <v>0.64906832298136652</v>
      </c>
      <c r="Y116" s="34">
        <v>0.95853967785090655</v>
      </c>
      <c r="Z116" s="34">
        <v>0.19882423194354767</v>
      </c>
      <c r="AA116" s="30">
        <v>305.08601967816708</v>
      </c>
      <c r="AB116" s="30">
        <v>135.9166018467607</v>
      </c>
      <c r="AC116" s="35">
        <v>2.9281922513849066E-2</v>
      </c>
      <c r="AD116" s="34">
        <v>0.99412115971773829</v>
      </c>
      <c r="AE116" s="34">
        <v>0.25662770144670172</v>
      </c>
      <c r="AF116" s="34">
        <v>0.26074477337244656</v>
      </c>
      <c r="AG116" s="30">
        <v>316.05008456826698</v>
      </c>
      <c r="AH116" s="35">
        <v>1.66E-2</v>
      </c>
      <c r="AI116" s="17">
        <v>1.2831385072335084</v>
      </c>
    </row>
    <row r="117" spans="1:35" x14ac:dyDescent="0.3">
      <c r="A117" t="s">
        <v>30</v>
      </c>
      <c r="B117" s="1">
        <v>16</v>
      </c>
      <c r="C117" s="1">
        <v>3</v>
      </c>
      <c r="D117" s="4">
        <v>76</v>
      </c>
      <c r="E117" s="3">
        <v>3.2689999999999997</v>
      </c>
      <c r="F117" s="1">
        <v>25</v>
      </c>
      <c r="G117" s="1">
        <v>33</v>
      </c>
      <c r="H117" s="33">
        <v>87.114505405349817</v>
      </c>
      <c r="I117" s="41">
        <v>333</v>
      </c>
      <c r="J117" s="43">
        <v>300</v>
      </c>
      <c r="K117" s="30">
        <v>172</v>
      </c>
      <c r="L117" s="43">
        <v>113</v>
      </c>
      <c r="M117" s="3">
        <v>0.15</v>
      </c>
      <c r="N117" s="17">
        <v>0.17116484293996007</v>
      </c>
      <c r="O117" s="23">
        <v>251.20389200920044</v>
      </c>
      <c r="P117" s="23">
        <v>135.9166018467607</v>
      </c>
      <c r="Q117" s="24">
        <v>2.9281922513849066E-2</v>
      </c>
      <c r="R117" s="17">
        <v>1.1410989529330671</v>
      </c>
      <c r="S117" s="3">
        <v>0.13958286394040598</v>
      </c>
      <c r="T117" s="23">
        <v>251.20389200920044</v>
      </c>
      <c r="U117" s="30">
        <v>178</v>
      </c>
      <c r="V117" s="35">
        <v>2.1238938053097345E-2</v>
      </c>
      <c r="W117" s="17">
        <f t="shared" si="2"/>
        <v>1.1550129099346784</v>
      </c>
      <c r="X117" s="17">
        <f t="shared" si="3"/>
        <v>0.64906832298136652</v>
      </c>
      <c r="Y117" s="34">
        <v>0.93055242626937318</v>
      </c>
      <c r="Z117" s="34">
        <v>0.15089875308436673</v>
      </c>
      <c r="AA117" s="30">
        <v>251.20389200920044</v>
      </c>
      <c r="AB117" s="30">
        <v>135.9166018467607</v>
      </c>
      <c r="AC117" s="35">
        <v>2.9281922513849066E-2</v>
      </c>
      <c r="AD117" s="34">
        <v>1.0059916872291117</v>
      </c>
      <c r="AE117" s="34">
        <v>0.21130393804603426</v>
      </c>
      <c r="AF117" s="34">
        <v>0.17677617215084976</v>
      </c>
      <c r="AG117" s="30">
        <v>260.23156156790373</v>
      </c>
      <c r="AH117" s="35">
        <v>1.66E-2</v>
      </c>
      <c r="AI117" s="17">
        <v>1.1785078143389984</v>
      </c>
    </row>
    <row r="118" spans="1:35" x14ac:dyDescent="0.3">
      <c r="B118" s="1">
        <v>16</v>
      </c>
      <c r="C118" s="1">
        <v>3</v>
      </c>
      <c r="D118" s="4">
        <v>76</v>
      </c>
      <c r="E118" s="3">
        <v>3.2689999999999997</v>
      </c>
      <c r="F118" s="1">
        <v>25</v>
      </c>
      <c r="G118" s="1">
        <v>33</v>
      </c>
      <c r="H118" s="33">
        <v>87.114505405349817</v>
      </c>
      <c r="I118" s="41">
        <v>333</v>
      </c>
      <c r="J118" s="43">
        <v>300</v>
      </c>
      <c r="K118" s="30">
        <v>172</v>
      </c>
      <c r="L118" s="43">
        <v>113</v>
      </c>
      <c r="M118" s="3">
        <v>0.18</v>
      </c>
      <c r="N118" s="17">
        <v>0.18928550750053849</v>
      </c>
      <c r="O118" s="23">
        <v>269.16460123218928</v>
      </c>
      <c r="P118" s="23">
        <v>135.9166018467607</v>
      </c>
      <c r="Q118" s="24">
        <v>2.9281922513849066E-2</v>
      </c>
      <c r="R118" s="17">
        <v>1.0515861527807695</v>
      </c>
      <c r="S118" s="3">
        <v>0.15695788781699774</v>
      </c>
      <c r="T118" s="23">
        <v>269.16460123218928</v>
      </c>
      <c r="U118" s="30">
        <v>178</v>
      </c>
      <c r="V118" s="35">
        <v>2.1238938053097345E-2</v>
      </c>
      <c r="W118" s="17">
        <f t="shared" si="2"/>
        <v>1.1550129099346784</v>
      </c>
      <c r="X118" s="17">
        <f t="shared" si="3"/>
        <v>0.64906832298136652</v>
      </c>
      <c r="Y118" s="34">
        <v>0.87198826564998744</v>
      </c>
      <c r="Z118" s="34">
        <v>0.16687391270409369</v>
      </c>
      <c r="AA118" s="30">
        <v>269.16460123218928</v>
      </c>
      <c r="AB118" s="30">
        <v>135.9166018467607</v>
      </c>
      <c r="AC118" s="35">
        <v>2.9281922513849066E-2</v>
      </c>
      <c r="AD118" s="34">
        <v>0.92707729280052054</v>
      </c>
      <c r="AE118" s="34">
        <v>0.22641185917959003</v>
      </c>
      <c r="AF118" s="34">
        <v>0.20295833219561998</v>
      </c>
      <c r="AG118" s="30">
        <v>278.83773590135809</v>
      </c>
      <c r="AH118" s="35">
        <v>1.66E-2</v>
      </c>
      <c r="AI118" s="17">
        <v>1.1275462899756665</v>
      </c>
    </row>
    <row r="119" spans="1:35" x14ac:dyDescent="0.3">
      <c r="B119" s="1">
        <v>16</v>
      </c>
      <c r="C119" s="1">
        <v>3</v>
      </c>
      <c r="D119" s="4">
        <v>76</v>
      </c>
      <c r="E119" s="3">
        <v>3.2689999999999997</v>
      </c>
      <c r="F119" s="1">
        <v>25</v>
      </c>
      <c r="G119" s="1">
        <v>33</v>
      </c>
      <c r="H119" s="33">
        <v>87.114505405349817</v>
      </c>
      <c r="I119" s="41">
        <v>333</v>
      </c>
      <c r="J119" s="43">
        <v>300</v>
      </c>
      <c r="K119" s="30">
        <v>172</v>
      </c>
      <c r="L119" s="43">
        <v>113</v>
      </c>
      <c r="M119" s="3">
        <v>0.2</v>
      </c>
      <c r="N119" s="17">
        <v>0.20740617206111689</v>
      </c>
      <c r="O119" s="23">
        <v>287.12531045517812</v>
      </c>
      <c r="P119" s="23">
        <v>135.9166018467607</v>
      </c>
      <c r="Q119" s="24">
        <v>2.9281922513849066E-2</v>
      </c>
      <c r="R119" s="17">
        <v>1.0370308603055844</v>
      </c>
      <c r="S119" s="3">
        <v>0.1743329116935895</v>
      </c>
      <c r="T119" s="23">
        <v>287.12531045517812</v>
      </c>
      <c r="U119" s="30">
        <v>178</v>
      </c>
      <c r="V119" s="35">
        <v>2.1238938053097345E-2</v>
      </c>
      <c r="W119" s="17">
        <f t="shared" si="2"/>
        <v>1.1550129099346784</v>
      </c>
      <c r="X119" s="17">
        <f t="shared" si="3"/>
        <v>0.64906832298136652</v>
      </c>
      <c r="Y119" s="34">
        <v>0.87166455846794744</v>
      </c>
      <c r="Z119" s="34">
        <v>0.18284907232382061</v>
      </c>
      <c r="AA119" s="30">
        <v>287.12531045517812</v>
      </c>
      <c r="AB119" s="30">
        <v>135.9166018467607</v>
      </c>
      <c r="AC119" s="35">
        <v>2.9281922513849066E-2</v>
      </c>
      <c r="AD119" s="34">
        <v>0.91424536161910297</v>
      </c>
      <c r="AE119" s="34">
        <v>0.24151978031314592</v>
      </c>
      <c r="AF119" s="34">
        <v>0.23094786593615235</v>
      </c>
      <c r="AG119" s="30">
        <v>297.44391023481256</v>
      </c>
      <c r="AH119" s="35">
        <v>1.66E-2</v>
      </c>
      <c r="AI119" s="17">
        <v>1.1547393296807618</v>
      </c>
    </row>
    <row r="120" spans="1:35" x14ac:dyDescent="0.3">
      <c r="B120" s="1">
        <v>16</v>
      </c>
      <c r="C120" s="1">
        <v>3</v>
      </c>
      <c r="D120" s="4">
        <v>76</v>
      </c>
      <c r="E120" s="3">
        <v>3.2689999999999997</v>
      </c>
      <c r="F120" s="1">
        <v>25</v>
      </c>
      <c r="G120" s="1">
        <v>33</v>
      </c>
      <c r="H120" s="33">
        <v>87.114505405349817</v>
      </c>
      <c r="I120" s="41">
        <v>333</v>
      </c>
      <c r="J120" s="43">
        <v>300</v>
      </c>
      <c r="K120" s="30">
        <v>172</v>
      </c>
      <c r="L120" s="43">
        <v>113</v>
      </c>
      <c r="M120" s="3">
        <v>0.2</v>
      </c>
      <c r="N120" s="17">
        <v>0.2255268366216954</v>
      </c>
      <c r="O120" s="23">
        <v>305.08601967816708</v>
      </c>
      <c r="P120" s="23">
        <v>135.9166018467607</v>
      </c>
      <c r="Q120" s="24">
        <v>2.9281922513849066E-2</v>
      </c>
      <c r="R120" s="17">
        <v>1.1276341831084769</v>
      </c>
      <c r="S120" s="3">
        <v>0.19170793557018131</v>
      </c>
      <c r="T120" s="23">
        <v>305.08601967816708</v>
      </c>
      <c r="U120" s="30">
        <v>178</v>
      </c>
      <c r="V120" s="35">
        <v>2.1238938053097345E-2</v>
      </c>
      <c r="W120" s="17">
        <f t="shared" si="2"/>
        <v>1.1550129099346784</v>
      </c>
      <c r="X120" s="17">
        <f t="shared" si="3"/>
        <v>0.64906832298136652</v>
      </c>
      <c r="Y120" s="34">
        <v>0.95853967785090655</v>
      </c>
      <c r="Z120" s="34">
        <v>0.19882423194354767</v>
      </c>
      <c r="AA120" s="30">
        <v>305.08601967816708</v>
      </c>
      <c r="AB120" s="30">
        <v>135.9166018467607</v>
      </c>
      <c r="AC120" s="35">
        <v>2.9281922513849066E-2</v>
      </c>
      <c r="AD120" s="34">
        <v>0.99412115971773829</v>
      </c>
      <c r="AE120" s="34">
        <v>0.25662770144670172</v>
      </c>
      <c r="AF120" s="34">
        <v>0.26074477337244656</v>
      </c>
      <c r="AG120" s="30">
        <v>316.05008456826698</v>
      </c>
      <c r="AH120" s="35">
        <v>1.66E-2</v>
      </c>
      <c r="AI120" s="17">
        <v>1.2831385072335084</v>
      </c>
    </row>
    <row r="121" spans="1:35" x14ac:dyDescent="0.3">
      <c r="A121" t="s">
        <v>31</v>
      </c>
      <c r="B121" s="1">
        <v>12</v>
      </c>
      <c r="C121" s="1">
        <v>2</v>
      </c>
      <c r="D121" s="4">
        <v>296</v>
      </c>
      <c r="E121" s="3">
        <v>3.2689999999999997</v>
      </c>
      <c r="F121" s="1">
        <v>25</v>
      </c>
      <c r="G121" s="1">
        <v>31</v>
      </c>
      <c r="H121" s="33">
        <v>28.758860606294373</v>
      </c>
      <c r="I121" s="41">
        <v>161</v>
      </c>
      <c r="J121" s="43">
        <v>130</v>
      </c>
      <c r="K121" s="30">
        <v>82</v>
      </c>
      <c r="L121" s="43">
        <v>91</v>
      </c>
      <c r="M121" s="3">
        <v>0.2</v>
      </c>
      <c r="N121" s="17">
        <v>7.1690562907373032E-3</v>
      </c>
      <c r="O121" s="23">
        <v>176.28617352026819</v>
      </c>
      <c r="P121" s="23">
        <v>286.27550543787316</v>
      </c>
      <c r="Q121" s="24">
        <v>1.2477206469672451E-2</v>
      </c>
      <c r="R121" s="17">
        <v>3.5845281453686512E-2</v>
      </c>
      <c r="S121" s="3">
        <v>7.2148609668635899E-2</v>
      </c>
      <c r="T121" s="23">
        <v>176.28617352026819</v>
      </c>
      <c r="U121" s="30">
        <v>303</v>
      </c>
      <c r="V121" s="35">
        <v>1.1724791159986788E-2</v>
      </c>
      <c r="W121" s="17">
        <f t="shared" si="2"/>
        <v>1.3061996356979695</v>
      </c>
      <c r="X121" s="17">
        <f t="shared" si="3"/>
        <v>0.42405063291139239</v>
      </c>
      <c r="Y121" s="34">
        <v>0.3607430483431795</v>
      </c>
      <c r="Z121" s="34">
        <v>0.13142035655526946</v>
      </c>
      <c r="AA121" s="30">
        <v>176.28617352026819</v>
      </c>
      <c r="AB121" s="30">
        <v>286.27550543787316</v>
      </c>
      <c r="AC121" s="35">
        <v>1.2477206469672451E-2</v>
      </c>
      <c r="AD121" s="34">
        <v>0.65710178277634723</v>
      </c>
      <c r="AE121" s="34">
        <v>0.24254206377240639</v>
      </c>
      <c r="AF121" s="34">
        <v>6.4368016399245206E-2</v>
      </c>
      <c r="AG121" s="30">
        <v>181.32284984641888</v>
      </c>
      <c r="AH121" s="35">
        <v>6.8999999999999999E-3</v>
      </c>
      <c r="AI121" s="17">
        <v>0.32184008199622599</v>
      </c>
    </row>
    <row r="122" spans="1:35" x14ac:dyDescent="0.3">
      <c r="B122" s="1">
        <v>12</v>
      </c>
      <c r="C122" s="1">
        <v>2</v>
      </c>
      <c r="D122" s="4">
        <v>296</v>
      </c>
      <c r="E122" s="3">
        <v>3.2689999999999997</v>
      </c>
      <c r="F122" s="1">
        <v>25</v>
      </c>
      <c r="G122" s="1">
        <v>31</v>
      </c>
      <c r="H122" s="33">
        <v>28.758860606294373</v>
      </c>
      <c r="I122" s="41">
        <v>161</v>
      </c>
      <c r="J122" s="43">
        <v>130</v>
      </c>
      <c r="K122" s="30">
        <v>82</v>
      </c>
      <c r="L122" s="43">
        <v>91</v>
      </c>
      <c r="M122" s="3">
        <v>0.25</v>
      </c>
      <c r="N122" s="17">
        <v>0.11192516701366445</v>
      </c>
      <c r="O122" s="23">
        <v>242.34630278375195</v>
      </c>
      <c r="P122" s="23">
        <v>286.27550543787316</v>
      </c>
      <c r="Q122" s="24">
        <v>1.2477206469672451E-2</v>
      </c>
      <c r="R122" s="17">
        <v>0.4477006680546578</v>
      </c>
      <c r="S122" s="3">
        <v>9.9185026568017642E-2</v>
      </c>
      <c r="T122" s="23">
        <v>242.34630278375195</v>
      </c>
      <c r="U122" s="30">
        <v>303</v>
      </c>
      <c r="V122" s="35">
        <v>1.1724791159986788E-2</v>
      </c>
      <c r="W122" s="17">
        <f t="shared" si="2"/>
        <v>1.3061996356979695</v>
      </c>
      <c r="X122" s="17">
        <f t="shared" si="3"/>
        <v>0.42405063291139239</v>
      </c>
      <c r="Y122" s="34">
        <v>0.39674010627207057</v>
      </c>
      <c r="Z122" s="34">
        <v>0.18066781350852884</v>
      </c>
      <c r="AA122" s="30">
        <v>242.34630278375195</v>
      </c>
      <c r="AB122" s="30">
        <v>286.27550543787316</v>
      </c>
      <c r="AC122" s="35">
        <v>1.2477206469672451E-2</v>
      </c>
      <c r="AD122" s="34">
        <v>0.72267125403411536</v>
      </c>
      <c r="AE122" s="34">
        <v>0.33343041743444302</v>
      </c>
      <c r="AF122" s="34">
        <v>0.12164840551874925</v>
      </c>
      <c r="AG122" s="30">
        <v>249.27038458544095</v>
      </c>
      <c r="AH122" s="35">
        <v>6.8999999999999999E-3</v>
      </c>
      <c r="AI122" s="17">
        <v>0.48659362207499701</v>
      </c>
    </row>
    <row r="123" spans="1:35" x14ac:dyDescent="0.3">
      <c r="B123" s="1">
        <v>12</v>
      </c>
      <c r="C123" s="1">
        <v>2</v>
      </c>
      <c r="D123" s="4">
        <v>296</v>
      </c>
      <c r="E123" s="3">
        <v>3.2689999999999997</v>
      </c>
      <c r="F123" s="1">
        <v>25</v>
      </c>
      <c r="G123" s="1">
        <v>31</v>
      </c>
      <c r="H123" s="33">
        <v>28.758860606294373</v>
      </c>
      <c r="I123" s="41">
        <v>161</v>
      </c>
      <c r="J123" s="43">
        <v>130</v>
      </c>
      <c r="K123" s="30">
        <v>82</v>
      </c>
      <c r="L123" s="43">
        <v>91</v>
      </c>
      <c r="M123" s="3">
        <v>0.33</v>
      </c>
      <c r="N123" s="17">
        <v>0.21668127773659174</v>
      </c>
      <c r="O123" s="23">
        <v>308.4064320472358</v>
      </c>
      <c r="P123" s="23">
        <v>286.27550543787316</v>
      </c>
      <c r="Q123" s="24">
        <v>1.2477206469672451E-2</v>
      </c>
      <c r="R123" s="17">
        <v>0.65660993253512645</v>
      </c>
      <c r="S123" s="3">
        <v>0.12948602837323961</v>
      </c>
      <c r="T123" s="23">
        <v>308.4064320472358</v>
      </c>
      <c r="U123" s="30">
        <v>303</v>
      </c>
      <c r="V123" s="35">
        <v>1.1724791159986788E-2</v>
      </c>
      <c r="W123" s="17">
        <f t="shared" si="2"/>
        <v>1.3061996356979695</v>
      </c>
      <c r="X123" s="17">
        <f t="shared" si="3"/>
        <v>0.42405063291139239</v>
      </c>
      <c r="Y123" s="34">
        <v>0.39238190416133212</v>
      </c>
      <c r="Z123" s="34">
        <v>0.22991527046178831</v>
      </c>
      <c r="AA123" s="30">
        <v>308.4064320472358</v>
      </c>
      <c r="AB123" s="30">
        <v>286.27550543787316</v>
      </c>
      <c r="AC123" s="35">
        <v>1.2477206469672451E-2</v>
      </c>
      <c r="AD123" s="34">
        <v>0.69671294079329782</v>
      </c>
      <c r="AE123" s="34">
        <v>0.42431877109647964</v>
      </c>
      <c r="AF123" s="34">
        <v>0.19700646478417433</v>
      </c>
      <c r="AG123" s="30">
        <v>317.21791932446303</v>
      </c>
      <c r="AH123" s="35">
        <v>6.8999999999999999E-3</v>
      </c>
      <c r="AI123" s="17">
        <v>0.59698928722477063</v>
      </c>
    </row>
    <row r="124" spans="1:35" x14ac:dyDescent="0.3">
      <c r="A124" t="s">
        <v>32</v>
      </c>
      <c r="B124" s="1">
        <v>12</v>
      </c>
      <c r="C124" s="1">
        <v>2</v>
      </c>
      <c r="D124" s="4">
        <v>296</v>
      </c>
      <c r="E124" s="3">
        <v>3.2689999999999997</v>
      </c>
      <c r="F124" s="1">
        <v>25</v>
      </c>
      <c r="G124" s="1">
        <v>31</v>
      </c>
      <c r="H124" s="33">
        <v>28.758860606294373</v>
      </c>
      <c r="I124" s="41">
        <v>161</v>
      </c>
      <c r="J124" s="43">
        <v>130</v>
      </c>
      <c r="K124" s="30">
        <v>82</v>
      </c>
      <c r="L124" s="43">
        <v>91</v>
      </c>
      <c r="M124" s="3">
        <v>0.23</v>
      </c>
      <c r="N124" s="17">
        <v>0.11192516701366445</v>
      </c>
      <c r="O124" s="23">
        <v>242.34630278375195</v>
      </c>
      <c r="P124" s="23">
        <v>286.27550543787316</v>
      </c>
      <c r="Q124" s="24">
        <v>1.2477206469672451E-2</v>
      </c>
      <c r="R124" s="17">
        <v>0.48663116092897585</v>
      </c>
      <c r="S124" s="3">
        <v>9.9185026568017642E-2</v>
      </c>
      <c r="T124" s="23">
        <v>242.34630278375195</v>
      </c>
      <c r="U124" s="30">
        <v>303</v>
      </c>
      <c r="V124" s="35">
        <v>1.1724791159986788E-2</v>
      </c>
      <c r="W124" s="17">
        <f t="shared" si="2"/>
        <v>1.3061996356979695</v>
      </c>
      <c r="X124" s="17">
        <f t="shared" si="3"/>
        <v>0.42405063291139239</v>
      </c>
      <c r="Y124" s="34">
        <v>0.43123924594790275</v>
      </c>
      <c r="Z124" s="34">
        <v>0.18066781350852884</v>
      </c>
      <c r="AA124" s="30">
        <v>242.34630278375195</v>
      </c>
      <c r="AB124" s="30">
        <v>286.27550543787316</v>
      </c>
      <c r="AC124" s="35">
        <v>1.2477206469672451E-2</v>
      </c>
      <c r="AD124" s="34">
        <v>0.78551223264577752</v>
      </c>
      <c r="AE124" s="34">
        <v>0.33343041743444302</v>
      </c>
      <c r="AF124" s="34">
        <v>0.12164840551874925</v>
      </c>
      <c r="AG124" s="30">
        <v>249.27038458544095</v>
      </c>
      <c r="AH124" s="35">
        <v>6.8999999999999999E-3</v>
      </c>
      <c r="AI124" s="17">
        <v>0.52890611095108364</v>
      </c>
    </row>
    <row r="125" spans="1:35" x14ac:dyDescent="0.3">
      <c r="B125" s="1">
        <v>12</v>
      </c>
      <c r="C125" s="1">
        <v>2</v>
      </c>
      <c r="D125" s="4">
        <v>296</v>
      </c>
      <c r="E125" s="3">
        <v>3.2689999999999997</v>
      </c>
      <c r="F125" s="1">
        <v>25</v>
      </c>
      <c r="G125" s="1">
        <v>31</v>
      </c>
      <c r="H125" s="33">
        <v>28.758860606294373</v>
      </c>
      <c r="I125" s="41">
        <v>161</v>
      </c>
      <c r="J125" s="43">
        <v>130</v>
      </c>
      <c r="K125" s="30">
        <v>82</v>
      </c>
      <c r="L125" s="43">
        <v>91</v>
      </c>
      <c r="M125" s="3">
        <v>0.28000000000000003</v>
      </c>
      <c r="N125" s="17">
        <v>0.21668127773659174</v>
      </c>
      <c r="O125" s="23">
        <v>308.4064320472358</v>
      </c>
      <c r="P125" s="23">
        <v>286.27550543787316</v>
      </c>
      <c r="Q125" s="24">
        <v>1.2477206469672451E-2</v>
      </c>
      <c r="R125" s="17">
        <v>0.77386170620211325</v>
      </c>
      <c r="S125" s="3">
        <v>0.12948602837323961</v>
      </c>
      <c r="T125" s="23">
        <v>308.4064320472358</v>
      </c>
      <c r="U125" s="30">
        <v>303</v>
      </c>
      <c r="V125" s="35">
        <v>1.1724791159986788E-2</v>
      </c>
      <c r="W125" s="17">
        <f t="shared" si="2"/>
        <v>1.3061996356979695</v>
      </c>
      <c r="X125" s="17">
        <f t="shared" si="3"/>
        <v>0.42405063291139239</v>
      </c>
      <c r="Y125" s="34">
        <v>0.46245010133299858</v>
      </c>
      <c r="Z125" s="34">
        <v>0.22991527046178831</v>
      </c>
      <c r="AA125" s="30">
        <v>308.4064320472358</v>
      </c>
      <c r="AB125" s="30">
        <v>286.27550543787316</v>
      </c>
      <c r="AC125" s="35">
        <v>1.2477206469672451E-2</v>
      </c>
      <c r="AD125" s="34">
        <v>0.82112596593495812</v>
      </c>
      <c r="AE125" s="34">
        <v>0.42431877109647964</v>
      </c>
      <c r="AF125" s="34">
        <v>0.19700646478417433</v>
      </c>
      <c r="AG125" s="30">
        <v>317.21791932446303</v>
      </c>
      <c r="AH125" s="35">
        <v>6.8999999999999999E-3</v>
      </c>
      <c r="AI125" s="17">
        <v>0.7035945170863368</v>
      </c>
    </row>
    <row r="126" spans="1:35" x14ac:dyDescent="0.3">
      <c r="A126" t="s">
        <v>33</v>
      </c>
      <c r="B126" s="1">
        <v>12</v>
      </c>
      <c r="C126" s="1">
        <v>3</v>
      </c>
      <c r="D126" s="4">
        <v>142</v>
      </c>
      <c r="E126" s="3">
        <v>3.2689999999999997</v>
      </c>
      <c r="F126" s="1">
        <v>25</v>
      </c>
      <c r="G126" s="1">
        <v>31</v>
      </c>
      <c r="H126" s="33">
        <v>34.253185076505957</v>
      </c>
      <c r="I126" s="41">
        <v>161</v>
      </c>
      <c r="J126" s="43">
        <v>130</v>
      </c>
      <c r="K126" s="30">
        <v>82</v>
      </c>
      <c r="L126" s="43">
        <v>91</v>
      </c>
      <c r="M126" s="3">
        <v>0.18</v>
      </c>
      <c r="N126" s="17">
        <v>0.10347446244459625</v>
      </c>
      <c r="O126" s="23">
        <v>208.77973928930371</v>
      </c>
      <c r="P126" s="23">
        <v>191.68597451579905</v>
      </c>
      <c r="Q126" s="24">
        <v>1.9527117912145887E-2</v>
      </c>
      <c r="R126" s="17">
        <v>0.57485812469220143</v>
      </c>
      <c r="S126" s="3">
        <v>8.6147565717616184E-2</v>
      </c>
      <c r="T126" s="23">
        <v>208.77973928930371</v>
      </c>
      <c r="U126" s="30">
        <v>303</v>
      </c>
      <c r="V126" s="35">
        <v>1.1724791159986788E-2</v>
      </c>
      <c r="W126" s="17">
        <f t="shared" si="2"/>
        <v>1.3237705611906816</v>
      </c>
      <c r="X126" s="17">
        <f t="shared" si="3"/>
        <v>0.42405063291139239</v>
      </c>
      <c r="Y126" s="34">
        <v>0.47859758732008995</v>
      </c>
      <c r="Z126" s="34">
        <v>0.11867255549449668</v>
      </c>
      <c r="AA126" s="30">
        <v>208.77973928930371</v>
      </c>
      <c r="AB126" s="30">
        <v>191.68597451579905</v>
      </c>
      <c r="AC126" s="35">
        <v>1.9527117912145887E-2</v>
      </c>
      <c r="AD126" s="34">
        <v>0.65929197496942604</v>
      </c>
      <c r="AE126" s="34">
        <v>0.26293747900386055</v>
      </c>
      <c r="AF126" s="34">
        <v>9.1097171658443665E-2</v>
      </c>
      <c r="AG126" s="30">
        <v>215.70982177723022</v>
      </c>
      <c r="AH126" s="35">
        <v>7.6E-3</v>
      </c>
      <c r="AI126" s="17">
        <v>0.50609539810246484</v>
      </c>
    </row>
    <row r="127" spans="1:35" x14ac:dyDescent="0.3">
      <c r="B127" s="1">
        <v>12</v>
      </c>
      <c r="C127" s="1">
        <v>3</v>
      </c>
      <c r="D127" s="4">
        <v>142</v>
      </c>
      <c r="E127" s="3">
        <v>3.2689999999999997</v>
      </c>
      <c r="F127" s="1">
        <v>25</v>
      </c>
      <c r="G127" s="1">
        <v>31</v>
      </c>
      <c r="H127" s="33">
        <v>34.253185076505957</v>
      </c>
      <c r="I127" s="41">
        <v>161</v>
      </c>
      <c r="J127" s="43">
        <v>130</v>
      </c>
      <c r="K127" s="30">
        <v>82</v>
      </c>
      <c r="L127" s="43">
        <v>91</v>
      </c>
      <c r="M127" s="3">
        <v>0.23</v>
      </c>
      <c r="N127" s="17">
        <v>0.15282389384059317</v>
      </c>
      <c r="O127" s="23">
        <v>253.50000168297348</v>
      </c>
      <c r="P127" s="23">
        <v>191.68597451579905</v>
      </c>
      <c r="Q127" s="24">
        <v>1.9527117912145887E-2</v>
      </c>
      <c r="R127" s="17">
        <v>0.66445171235040501</v>
      </c>
      <c r="S127" s="3">
        <v>0.10460022667304195</v>
      </c>
      <c r="T127" s="23">
        <v>253.50000168297348</v>
      </c>
      <c r="U127" s="30">
        <v>303</v>
      </c>
      <c r="V127" s="35">
        <v>1.1724791159986788E-2</v>
      </c>
      <c r="W127" s="17">
        <f t="shared" si="2"/>
        <v>1.3237705611906816</v>
      </c>
      <c r="X127" s="17">
        <f t="shared" si="3"/>
        <v>0.42405063291139239</v>
      </c>
      <c r="Y127" s="34">
        <v>0.45478359423061715</v>
      </c>
      <c r="Z127" s="34">
        <v>0.14409201352575365</v>
      </c>
      <c r="AA127" s="30">
        <v>253.50000168297348</v>
      </c>
      <c r="AB127" s="30">
        <v>191.68597451579905</v>
      </c>
      <c r="AC127" s="35">
        <v>1.9527117912145887E-2</v>
      </c>
      <c r="AD127" s="34">
        <v>0.62648701532936368</v>
      </c>
      <c r="AE127" s="34">
        <v>0.319258236440428</v>
      </c>
      <c r="AF127" s="34">
        <v>0.13430250855204315</v>
      </c>
      <c r="AG127" s="30">
        <v>261.91449596451946</v>
      </c>
      <c r="AH127" s="35">
        <v>7.6E-3</v>
      </c>
      <c r="AI127" s="17">
        <v>0.58392395022627452</v>
      </c>
    </row>
    <row r="128" spans="1:35" x14ac:dyDescent="0.3">
      <c r="B128" s="1">
        <v>12</v>
      </c>
      <c r="C128" s="1">
        <v>3</v>
      </c>
      <c r="D128" s="4">
        <v>142</v>
      </c>
      <c r="E128" s="3">
        <v>3.2689999999999997</v>
      </c>
      <c r="F128" s="1">
        <v>25</v>
      </c>
      <c r="G128" s="1">
        <v>31</v>
      </c>
      <c r="H128" s="33">
        <v>34.253185076505957</v>
      </c>
      <c r="I128" s="41">
        <v>161</v>
      </c>
      <c r="J128" s="43">
        <v>130</v>
      </c>
      <c r="K128" s="30">
        <v>82</v>
      </c>
      <c r="L128" s="43">
        <v>91</v>
      </c>
      <c r="M128" s="3">
        <v>0.25</v>
      </c>
      <c r="N128" s="17">
        <v>0.20217332523658993</v>
      </c>
      <c r="O128" s="23">
        <v>298.2202640766431</v>
      </c>
      <c r="P128" s="23">
        <v>191.68597451579905</v>
      </c>
      <c r="Q128" s="24">
        <v>1.9527117912145887E-2</v>
      </c>
      <c r="R128" s="17">
        <v>0.80869330094635972</v>
      </c>
      <c r="S128" s="3">
        <v>0.12305288762846765</v>
      </c>
      <c r="T128" s="23">
        <v>298.2202640766431</v>
      </c>
      <c r="U128" s="30">
        <v>303</v>
      </c>
      <c r="V128" s="35">
        <v>1.1724791159986788E-2</v>
      </c>
      <c r="W128" s="17">
        <f t="shared" si="2"/>
        <v>1.3237705611906816</v>
      </c>
      <c r="X128" s="17">
        <f t="shared" si="3"/>
        <v>0.42405063291139239</v>
      </c>
      <c r="Y128" s="34">
        <v>0.49221155051387061</v>
      </c>
      <c r="Z128" s="34">
        <v>0.17356283583266158</v>
      </c>
      <c r="AA128" s="30">
        <v>298.2202640766431</v>
      </c>
      <c r="AB128" s="30">
        <v>191.68597451579905</v>
      </c>
      <c r="AC128" s="35">
        <v>1.9527117912145887E-2</v>
      </c>
      <c r="AD128" s="34">
        <v>0.69425134333064631</v>
      </c>
      <c r="AE128" s="34">
        <v>0.3755789938769955</v>
      </c>
      <c r="AF128" s="34">
        <v>0.18586708696734508</v>
      </c>
      <c r="AG128" s="30">
        <v>308.1191701518087</v>
      </c>
      <c r="AH128" s="35">
        <v>7.6E-3</v>
      </c>
      <c r="AI128" s="17">
        <v>0.74346834786938032</v>
      </c>
    </row>
    <row r="129" spans="1:35" x14ac:dyDescent="0.3">
      <c r="A129" t="s">
        <v>34</v>
      </c>
      <c r="B129" s="1">
        <v>12</v>
      </c>
      <c r="C129" s="1">
        <v>3</v>
      </c>
      <c r="D129" s="4">
        <v>142</v>
      </c>
      <c r="E129" s="3">
        <v>3.2689999999999997</v>
      </c>
      <c r="F129" s="1">
        <v>25</v>
      </c>
      <c r="G129" s="1">
        <v>31</v>
      </c>
      <c r="H129" s="33">
        <v>34.253185076505957</v>
      </c>
      <c r="I129" s="41">
        <v>161</v>
      </c>
      <c r="J129" s="43">
        <v>130</v>
      </c>
      <c r="K129" s="30">
        <v>82</v>
      </c>
      <c r="L129" s="43">
        <v>91</v>
      </c>
      <c r="M129" s="3">
        <v>0.18</v>
      </c>
      <c r="N129" s="17">
        <v>0.10347446244459625</v>
      </c>
      <c r="O129" s="23">
        <v>208.77973928930371</v>
      </c>
      <c r="P129" s="23">
        <v>191.68597451579905</v>
      </c>
      <c r="Q129" s="24">
        <v>1.9527117912145887E-2</v>
      </c>
      <c r="R129" s="17">
        <v>0.57485812469220143</v>
      </c>
      <c r="S129" s="3">
        <v>8.6147565717616184E-2</v>
      </c>
      <c r="T129" s="23">
        <v>208.77973928930371</v>
      </c>
      <c r="U129" s="30">
        <v>303</v>
      </c>
      <c r="V129" s="35">
        <v>1.1724791159986788E-2</v>
      </c>
      <c r="W129" s="17">
        <f t="shared" si="2"/>
        <v>1.3237705611906816</v>
      </c>
      <c r="X129" s="17">
        <f t="shared" si="3"/>
        <v>0.42405063291139239</v>
      </c>
      <c r="Y129" s="34">
        <v>0.47859758732008995</v>
      </c>
      <c r="Z129" s="34">
        <v>0.11867255549449668</v>
      </c>
      <c r="AA129" s="30">
        <v>208.77973928930371</v>
      </c>
      <c r="AB129" s="30">
        <v>191.68597451579905</v>
      </c>
      <c r="AC129" s="35">
        <v>1.9527117912145887E-2</v>
      </c>
      <c r="AD129" s="34">
        <v>0.65929197496942604</v>
      </c>
      <c r="AE129" s="34">
        <v>0.26293747900386055</v>
      </c>
      <c r="AF129" s="34">
        <v>9.1097171658443665E-2</v>
      </c>
      <c r="AG129" s="30">
        <v>215.70982177723022</v>
      </c>
      <c r="AH129" s="35">
        <v>7.6E-3</v>
      </c>
      <c r="AI129" s="17">
        <v>0.50609539810246484</v>
      </c>
    </row>
    <row r="130" spans="1:35" x14ac:dyDescent="0.3">
      <c r="B130" s="1">
        <v>12</v>
      </c>
      <c r="C130" s="1">
        <v>3</v>
      </c>
      <c r="D130" s="4">
        <v>142</v>
      </c>
      <c r="E130" s="3">
        <v>3.2689999999999997</v>
      </c>
      <c r="F130" s="1">
        <v>25</v>
      </c>
      <c r="G130" s="1">
        <v>31</v>
      </c>
      <c r="H130" s="33">
        <v>34.253185076505957</v>
      </c>
      <c r="I130" s="41">
        <v>161</v>
      </c>
      <c r="J130" s="43">
        <v>130</v>
      </c>
      <c r="K130" s="30">
        <v>82</v>
      </c>
      <c r="L130" s="43">
        <v>91</v>
      </c>
      <c r="M130" s="3">
        <v>0.23</v>
      </c>
      <c r="N130" s="17">
        <v>0.15282389384059317</v>
      </c>
      <c r="O130" s="23">
        <v>253.50000168297348</v>
      </c>
      <c r="P130" s="23">
        <v>191.68597451579905</v>
      </c>
      <c r="Q130" s="24">
        <v>1.9527117912145887E-2</v>
      </c>
      <c r="R130" s="17">
        <v>0.66445171235040501</v>
      </c>
      <c r="S130" s="3">
        <v>0.10460022667304195</v>
      </c>
      <c r="T130" s="23">
        <v>253.50000168297348</v>
      </c>
      <c r="U130" s="30">
        <v>303</v>
      </c>
      <c r="V130" s="35">
        <v>1.1724791159986788E-2</v>
      </c>
      <c r="W130" s="17">
        <f t="shared" si="2"/>
        <v>1.3237705611906816</v>
      </c>
      <c r="X130" s="17">
        <f t="shared" si="3"/>
        <v>0.42405063291139239</v>
      </c>
      <c r="Y130" s="34">
        <v>0.45478359423061715</v>
      </c>
      <c r="Z130" s="34">
        <v>0.14409201352575365</v>
      </c>
      <c r="AA130" s="30">
        <v>253.50000168297348</v>
      </c>
      <c r="AB130" s="30">
        <v>191.68597451579905</v>
      </c>
      <c r="AC130" s="35">
        <v>1.9527117912145887E-2</v>
      </c>
      <c r="AD130" s="34">
        <v>0.62648701532936368</v>
      </c>
      <c r="AE130" s="34">
        <v>0.319258236440428</v>
      </c>
      <c r="AF130" s="34">
        <v>0.13430250855204315</v>
      </c>
      <c r="AG130" s="30">
        <v>261.91449596451946</v>
      </c>
      <c r="AH130" s="35">
        <v>7.6E-3</v>
      </c>
      <c r="AI130" s="17">
        <v>0.58392395022627452</v>
      </c>
    </row>
    <row r="131" spans="1:35" x14ac:dyDescent="0.3">
      <c r="B131" s="1">
        <v>12</v>
      </c>
      <c r="C131" s="1">
        <v>3</v>
      </c>
      <c r="D131" s="4">
        <v>142</v>
      </c>
      <c r="E131" s="3">
        <v>3.2689999999999997</v>
      </c>
      <c r="F131" s="1">
        <v>25</v>
      </c>
      <c r="G131" s="1">
        <v>31</v>
      </c>
      <c r="H131" s="33">
        <v>34.253185076505957</v>
      </c>
      <c r="I131" s="41">
        <v>161</v>
      </c>
      <c r="J131" s="43">
        <v>130</v>
      </c>
      <c r="K131" s="30">
        <v>82</v>
      </c>
      <c r="L131" s="43">
        <v>91</v>
      </c>
      <c r="M131" s="3">
        <v>0.25</v>
      </c>
      <c r="N131" s="17">
        <v>0.20217332523658993</v>
      </c>
      <c r="O131" s="23">
        <v>298.2202640766431</v>
      </c>
      <c r="P131" s="23">
        <v>191.68597451579905</v>
      </c>
      <c r="Q131" s="24">
        <v>1.9527117912145887E-2</v>
      </c>
      <c r="R131" s="17">
        <v>0.80869330094635972</v>
      </c>
      <c r="S131" s="3">
        <v>0.12305288762846765</v>
      </c>
      <c r="T131" s="23">
        <v>298.2202640766431</v>
      </c>
      <c r="U131" s="30">
        <v>303</v>
      </c>
      <c r="V131" s="35">
        <v>1.1724791159986788E-2</v>
      </c>
      <c r="W131" s="17">
        <f t="shared" si="2"/>
        <v>1.3237705611906816</v>
      </c>
      <c r="X131" s="17">
        <f t="shared" si="3"/>
        <v>0.42405063291139239</v>
      </c>
      <c r="Y131" s="34">
        <v>0.49221155051387061</v>
      </c>
      <c r="Z131" s="34">
        <v>0.17356283583266158</v>
      </c>
      <c r="AA131" s="30">
        <v>298.2202640766431</v>
      </c>
      <c r="AB131" s="30">
        <v>191.68597451579905</v>
      </c>
      <c r="AC131" s="35">
        <v>1.9527117912145887E-2</v>
      </c>
      <c r="AD131" s="34">
        <v>0.69425134333064631</v>
      </c>
      <c r="AE131" s="34">
        <v>0.3755789938769955</v>
      </c>
      <c r="AF131" s="34">
        <v>0.18586708696734508</v>
      </c>
      <c r="AG131" s="30">
        <v>308.1191701518087</v>
      </c>
      <c r="AH131" s="35">
        <v>7.6E-3</v>
      </c>
      <c r="AI131" s="17">
        <v>0.74346834786938032</v>
      </c>
    </row>
    <row r="132" spans="1:35" x14ac:dyDescent="0.3">
      <c r="A132" t="s">
        <v>35</v>
      </c>
      <c r="B132" s="1">
        <v>12</v>
      </c>
      <c r="C132" s="1">
        <v>4</v>
      </c>
      <c r="D132" s="4">
        <v>90.67</v>
      </c>
      <c r="E132" s="3">
        <v>3.2689999999999997</v>
      </c>
      <c r="F132" s="1">
        <v>25</v>
      </c>
      <c r="G132" s="1">
        <v>31</v>
      </c>
      <c r="H132" s="33">
        <v>38.636261189159299</v>
      </c>
      <c r="I132" s="41">
        <v>161</v>
      </c>
      <c r="J132" s="43">
        <v>130</v>
      </c>
      <c r="K132" s="30">
        <v>83</v>
      </c>
      <c r="L132" s="43">
        <v>91</v>
      </c>
      <c r="M132" s="3">
        <v>0.15</v>
      </c>
      <c r="N132" s="17">
        <v>0.12079077595334915</v>
      </c>
      <c r="O132" s="23">
        <v>226.45530266575949</v>
      </c>
      <c r="P132" s="23">
        <v>145.49201841259773</v>
      </c>
      <c r="Q132" s="24">
        <v>2.6968773854657992E-2</v>
      </c>
      <c r="R132" s="17">
        <v>0.80527183968899441</v>
      </c>
      <c r="S132" s="3">
        <v>9.2384993595776857E-2</v>
      </c>
      <c r="T132" s="23">
        <v>226.45530266575949</v>
      </c>
      <c r="U132" s="30">
        <v>295</v>
      </c>
      <c r="V132" s="35">
        <v>1.2087912087912088E-2</v>
      </c>
      <c r="W132" s="17">
        <f t="shared" ref="W132:W195" si="4">(I132-H132)/(J132-H132)</f>
        <v>1.3393031021221924</v>
      </c>
      <c r="X132" s="17">
        <f t="shared" ref="X132:X195" si="5">0.5*(1+(I132-K132-L132)/(I132-K132))</f>
        <v>0.41666666666666669</v>
      </c>
      <c r="Y132" s="34">
        <v>0.6158999573051791</v>
      </c>
      <c r="Z132" s="34">
        <v>0.11177549980360031</v>
      </c>
      <c r="AA132" s="30">
        <v>226.45530266575949</v>
      </c>
      <c r="AB132" s="30">
        <v>145.49201841259773</v>
      </c>
      <c r="AC132" s="35">
        <v>2.6968773854657992E-2</v>
      </c>
      <c r="AD132" s="34">
        <v>0.7451699986906688</v>
      </c>
      <c r="AE132" s="34">
        <v>0.23113702289701121</v>
      </c>
      <c r="AF132" s="34">
        <v>0.10788433067807927</v>
      </c>
      <c r="AG132" s="30">
        <v>234.74516667902384</v>
      </c>
      <c r="AH132" s="35">
        <v>9.5999999999999992E-3</v>
      </c>
      <c r="AI132" s="17">
        <v>0.71922887118719514</v>
      </c>
    </row>
    <row r="133" spans="1:35" x14ac:dyDescent="0.3">
      <c r="B133" s="1">
        <v>12</v>
      </c>
      <c r="C133" s="1">
        <v>4</v>
      </c>
      <c r="D133" s="4">
        <v>90.67</v>
      </c>
      <c r="E133" s="3">
        <v>3.2689999999999997</v>
      </c>
      <c r="F133" s="1">
        <v>25</v>
      </c>
      <c r="G133" s="1">
        <v>31</v>
      </c>
      <c r="H133" s="33">
        <v>38.636261189159299</v>
      </c>
      <c r="I133" s="41">
        <v>161</v>
      </c>
      <c r="J133" s="43">
        <v>130</v>
      </c>
      <c r="K133" s="30">
        <v>83</v>
      </c>
      <c r="L133" s="43">
        <v>91</v>
      </c>
      <c r="M133" s="3">
        <v>0.15</v>
      </c>
      <c r="N133" s="17">
        <v>0.1502667898333386</v>
      </c>
      <c r="O133" s="23">
        <v>260.41389561049635</v>
      </c>
      <c r="P133" s="23">
        <v>145.49201841259773</v>
      </c>
      <c r="Q133" s="24">
        <v>2.6968773854657992E-2</v>
      </c>
      <c r="R133" s="17">
        <v>1.0017785988889241</v>
      </c>
      <c r="S133" s="3">
        <v>0.10623878440919669</v>
      </c>
      <c r="T133" s="23">
        <v>260.41389561049635</v>
      </c>
      <c r="U133" s="30">
        <v>295</v>
      </c>
      <c r="V133" s="35">
        <v>1.2087912087912088E-2</v>
      </c>
      <c r="W133" s="17">
        <f t="shared" si="4"/>
        <v>1.3393031021221924</v>
      </c>
      <c r="X133" s="17">
        <f t="shared" si="5"/>
        <v>0.41666666666666669</v>
      </c>
      <c r="Y133" s="34">
        <v>0.70825856272797794</v>
      </c>
      <c r="Z133" s="34">
        <v>0.1390515575791223</v>
      </c>
      <c r="AA133" s="30">
        <v>260.41389561049635</v>
      </c>
      <c r="AB133" s="30">
        <v>145.49201841259773</v>
      </c>
      <c r="AC133" s="35">
        <v>2.6968773854657992E-2</v>
      </c>
      <c r="AD133" s="34">
        <v>0.92701038386081536</v>
      </c>
      <c r="AE133" s="34">
        <v>0.26579767328859388</v>
      </c>
      <c r="AF133" s="34">
        <v>0.14266639624471333</v>
      </c>
      <c r="AG133" s="30">
        <v>269.94688404734364</v>
      </c>
      <c r="AH133" s="35">
        <v>9.5999999999999992E-3</v>
      </c>
      <c r="AI133" s="17">
        <v>0.95110930829808893</v>
      </c>
    </row>
    <row r="134" spans="1:35" x14ac:dyDescent="0.3">
      <c r="B134" s="1">
        <v>12</v>
      </c>
      <c r="C134" s="1">
        <v>4</v>
      </c>
      <c r="D134" s="4">
        <v>90.67</v>
      </c>
      <c r="E134" s="3">
        <v>3.2689999999999997</v>
      </c>
      <c r="F134" s="1">
        <v>25</v>
      </c>
      <c r="G134" s="1">
        <v>31</v>
      </c>
      <c r="H134" s="33">
        <v>38.636261189159299</v>
      </c>
      <c r="I134" s="41">
        <v>161</v>
      </c>
      <c r="J134" s="43">
        <v>130</v>
      </c>
      <c r="K134" s="30">
        <v>83</v>
      </c>
      <c r="L134" s="43">
        <v>91</v>
      </c>
      <c r="M134" s="3">
        <v>0.18</v>
      </c>
      <c r="N134" s="17">
        <v>0.17974280371332815</v>
      </c>
      <c r="O134" s="23">
        <v>294.3724885552333</v>
      </c>
      <c r="P134" s="23">
        <v>145.49201841259773</v>
      </c>
      <c r="Q134" s="24">
        <v>2.6968773854657992E-2</v>
      </c>
      <c r="R134" s="17">
        <v>0.99857113174071199</v>
      </c>
      <c r="S134" s="3">
        <v>0.12009257522261656</v>
      </c>
      <c r="T134" s="23">
        <v>294.3724885552333</v>
      </c>
      <c r="U134" s="30">
        <v>295</v>
      </c>
      <c r="V134" s="35">
        <v>1.2087912087912088E-2</v>
      </c>
      <c r="W134" s="17">
        <f t="shared" si="4"/>
        <v>1.3393031021221924</v>
      </c>
      <c r="X134" s="17">
        <f t="shared" si="5"/>
        <v>0.41666666666666669</v>
      </c>
      <c r="Y134" s="34">
        <v>0.66718097345898086</v>
      </c>
      <c r="Z134" s="34">
        <v>0.16632761535464433</v>
      </c>
      <c r="AA134" s="30">
        <v>294.3724885552333</v>
      </c>
      <c r="AB134" s="30">
        <v>145.49201841259773</v>
      </c>
      <c r="AC134" s="35">
        <v>2.6968773854657992E-2</v>
      </c>
      <c r="AD134" s="34">
        <v>0.92404230752580185</v>
      </c>
      <c r="AE134" s="34">
        <v>0.30045832368017661</v>
      </c>
      <c r="AF134" s="34">
        <v>0.18230048371183444</v>
      </c>
      <c r="AG134" s="30">
        <v>305.14860141566345</v>
      </c>
      <c r="AH134" s="35">
        <v>9.5999999999999992E-3</v>
      </c>
      <c r="AI134" s="17">
        <v>1.0127804650657468</v>
      </c>
    </row>
    <row r="135" spans="1:35" x14ac:dyDescent="0.3">
      <c r="A135" t="s">
        <v>36</v>
      </c>
      <c r="B135" s="1">
        <v>12</v>
      </c>
      <c r="C135" s="1">
        <v>4</v>
      </c>
      <c r="D135" s="4">
        <v>90.67</v>
      </c>
      <c r="E135" s="3">
        <v>3.2689999999999997</v>
      </c>
      <c r="F135" s="1">
        <v>25</v>
      </c>
      <c r="G135" s="1">
        <v>31</v>
      </c>
      <c r="H135" s="33">
        <v>38.636261189159299</v>
      </c>
      <c r="I135" s="41">
        <v>161</v>
      </c>
      <c r="J135" s="43">
        <v>130</v>
      </c>
      <c r="K135" s="30">
        <v>83</v>
      </c>
      <c r="L135" s="43">
        <v>91</v>
      </c>
      <c r="M135" s="3">
        <v>0.18</v>
      </c>
      <c r="N135" s="17">
        <v>0.12079077595334915</v>
      </c>
      <c r="O135" s="23">
        <v>226.45530266575949</v>
      </c>
      <c r="P135" s="23">
        <v>145.49201841259773</v>
      </c>
      <c r="Q135" s="24">
        <v>2.6968773854657992E-2</v>
      </c>
      <c r="R135" s="17">
        <v>0.67105986640749526</v>
      </c>
      <c r="S135" s="3">
        <v>9.2384993595776857E-2</v>
      </c>
      <c r="T135" s="23">
        <v>226.45530266575949</v>
      </c>
      <c r="U135" s="30">
        <v>295</v>
      </c>
      <c r="V135" s="35">
        <v>1.2087912087912088E-2</v>
      </c>
      <c r="W135" s="17">
        <f t="shared" si="4"/>
        <v>1.3393031021221924</v>
      </c>
      <c r="X135" s="17">
        <f t="shared" si="5"/>
        <v>0.41666666666666669</v>
      </c>
      <c r="Y135" s="34">
        <v>0.51324996442098259</v>
      </c>
      <c r="Z135" s="34">
        <v>0.11177549980360031</v>
      </c>
      <c r="AA135" s="30">
        <v>226.45530266575949</v>
      </c>
      <c r="AB135" s="30">
        <v>145.49201841259773</v>
      </c>
      <c r="AC135" s="35">
        <v>2.6968773854657992E-2</v>
      </c>
      <c r="AD135" s="34">
        <v>0.62097499890889063</v>
      </c>
      <c r="AE135" s="34">
        <v>0.23113702289701121</v>
      </c>
      <c r="AF135" s="34">
        <v>0.10788433067807927</v>
      </c>
      <c r="AG135" s="30">
        <v>234.74516667902384</v>
      </c>
      <c r="AH135" s="35">
        <v>9.5999999999999992E-3</v>
      </c>
      <c r="AI135" s="17">
        <v>0.59935739265599597</v>
      </c>
    </row>
    <row r="136" spans="1:35" x14ac:dyDescent="0.3">
      <c r="B136" s="1">
        <v>12</v>
      </c>
      <c r="C136" s="1">
        <v>4</v>
      </c>
      <c r="D136" s="4">
        <v>90.67</v>
      </c>
      <c r="E136" s="3">
        <v>3.2689999999999997</v>
      </c>
      <c r="F136" s="1">
        <v>25</v>
      </c>
      <c r="G136" s="1">
        <v>31</v>
      </c>
      <c r="H136" s="33">
        <v>38.636261189159299</v>
      </c>
      <c r="I136" s="41">
        <v>161</v>
      </c>
      <c r="J136" s="43">
        <v>130</v>
      </c>
      <c r="K136" s="30">
        <v>83</v>
      </c>
      <c r="L136" s="43">
        <v>91</v>
      </c>
      <c r="M136" s="3">
        <v>0.2</v>
      </c>
      <c r="N136" s="17">
        <v>0.1502667898333386</v>
      </c>
      <c r="O136" s="23">
        <v>260.41389561049635</v>
      </c>
      <c r="P136" s="23">
        <v>145.49201841259773</v>
      </c>
      <c r="Q136" s="24">
        <v>2.6968773854657992E-2</v>
      </c>
      <c r="R136" s="17">
        <v>0.75133394916669294</v>
      </c>
      <c r="S136" s="3">
        <v>0.10623878440919669</v>
      </c>
      <c r="T136" s="23">
        <v>260.41389561049635</v>
      </c>
      <c r="U136" s="30">
        <v>295</v>
      </c>
      <c r="V136" s="35">
        <v>1.2087912087912088E-2</v>
      </c>
      <c r="W136" s="17">
        <f t="shared" si="4"/>
        <v>1.3393031021221924</v>
      </c>
      <c r="X136" s="17">
        <f t="shared" si="5"/>
        <v>0.41666666666666669</v>
      </c>
      <c r="Y136" s="34">
        <v>0.53119392204598348</v>
      </c>
      <c r="Z136" s="34">
        <v>0.1390515575791223</v>
      </c>
      <c r="AA136" s="30">
        <v>260.41389561049635</v>
      </c>
      <c r="AB136" s="30">
        <v>145.49201841259773</v>
      </c>
      <c r="AC136" s="35">
        <v>2.6968773854657992E-2</v>
      </c>
      <c r="AD136" s="34">
        <v>0.69525778789561143</v>
      </c>
      <c r="AE136" s="34">
        <v>0.26579767328859388</v>
      </c>
      <c r="AF136" s="34">
        <v>0.14266639624471333</v>
      </c>
      <c r="AG136" s="30">
        <v>269.94688404734364</v>
      </c>
      <c r="AH136" s="35">
        <v>9.5999999999999992E-3</v>
      </c>
      <c r="AI136" s="17">
        <v>0.71333198122356667</v>
      </c>
    </row>
    <row r="137" spans="1:35" x14ac:dyDescent="0.3">
      <c r="B137" s="1">
        <v>12</v>
      </c>
      <c r="C137" s="1">
        <v>4</v>
      </c>
      <c r="D137" s="4">
        <v>90.67</v>
      </c>
      <c r="E137" s="3">
        <v>3.2689999999999997</v>
      </c>
      <c r="F137" s="1">
        <v>25</v>
      </c>
      <c r="G137" s="1">
        <v>31</v>
      </c>
      <c r="H137" s="33">
        <v>38.636261189159299</v>
      </c>
      <c r="I137" s="41">
        <v>161</v>
      </c>
      <c r="J137" s="43">
        <v>130</v>
      </c>
      <c r="K137" s="30">
        <v>83</v>
      </c>
      <c r="L137" s="43">
        <v>91</v>
      </c>
      <c r="M137" s="3">
        <v>0.23</v>
      </c>
      <c r="N137" s="17">
        <v>0.17974280371332815</v>
      </c>
      <c r="O137" s="23">
        <v>294.3724885552333</v>
      </c>
      <c r="P137" s="23">
        <v>145.49201841259773</v>
      </c>
      <c r="Q137" s="24">
        <v>2.6968773854657992E-2</v>
      </c>
      <c r="R137" s="17">
        <v>0.78149045092751368</v>
      </c>
      <c r="S137" s="3">
        <v>0.12009257522261656</v>
      </c>
      <c r="T137" s="23">
        <v>294.3724885552333</v>
      </c>
      <c r="U137" s="30">
        <v>295</v>
      </c>
      <c r="V137" s="35">
        <v>1.2087912087912088E-2</v>
      </c>
      <c r="W137" s="17">
        <f t="shared" si="4"/>
        <v>1.3393031021221924</v>
      </c>
      <c r="X137" s="17">
        <f t="shared" si="5"/>
        <v>0.41666666666666669</v>
      </c>
      <c r="Y137" s="34">
        <v>0.52214163140268066</v>
      </c>
      <c r="Z137" s="34">
        <v>0.16632761535464433</v>
      </c>
      <c r="AA137" s="30">
        <v>294.3724885552333</v>
      </c>
      <c r="AB137" s="30">
        <v>145.49201841259773</v>
      </c>
      <c r="AC137" s="35">
        <v>2.6968773854657992E-2</v>
      </c>
      <c r="AD137" s="34">
        <v>0.72316354502019264</v>
      </c>
      <c r="AE137" s="34">
        <v>0.30045832368017661</v>
      </c>
      <c r="AF137" s="34">
        <v>0.18230048371183444</v>
      </c>
      <c r="AG137" s="30">
        <v>305.14860141566345</v>
      </c>
      <c r="AH137" s="35">
        <v>9.5999999999999992E-3</v>
      </c>
      <c r="AI137" s="17">
        <v>0.79261079874710627</v>
      </c>
    </row>
    <row r="138" spans="1:35" x14ac:dyDescent="0.3">
      <c r="A138" t="s">
        <v>37</v>
      </c>
      <c r="B138" s="1">
        <v>10</v>
      </c>
      <c r="C138" s="1">
        <v>1</v>
      </c>
      <c r="D138" s="4">
        <v>45</v>
      </c>
      <c r="E138" s="3">
        <v>2.8</v>
      </c>
      <c r="F138" s="1">
        <v>40</v>
      </c>
      <c r="G138" s="1">
        <v>45</v>
      </c>
      <c r="H138" s="33">
        <v>43.445968908792679</v>
      </c>
      <c r="I138" s="41">
        <v>250</v>
      </c>
      <c r="J138" s="43">
        <v>205</v>
      </c>
      <c r="K138" s="30">
        <v>127</v>
      </c>
      <c r="L138" s="43">
        <v>95</v>
      </c>
      <c r="M138" s="3">
        <v>0.16</v>
      </c>
      <c r="N138" s="17">
        <v>0.16512721124267726</v>
      </c>
      <c r="O138" s="23">
        <v>274.14363221273135</v>
      </c>
      <c r="P138" s="23">
        <v>266.42161994155299</v>
      </c>
      <c r="Q138" s="24">
        <v>1.140137516348016E-2</v>
      </c>
      <c r="R138" s="17">
        <v>1.032045070266733</v>
      </c>
      <c r="S138" s="3">
        <v>0.16285127956433496</v>
      </c>
      <c r="T138" s="23">
        <v>274.14363221273135</v>
      </c>
      <c r="U138" s="30">
        <v>360</v>
      </c>
      <c r="V138" s="35">
        <v>8.263157894736842E-3</v>
      </c>
      <c r="W138" s="17">
        <f t="shared" si="4"/>
        <v>1.2785445816241794</v>
      </c>
      <c r="X138" s="17">
        <f t="shared" si="5"/>
        <v>0.61382113821138207</v>
      </c>
      <c r="Y138" s="34">
        <v>1.0178204972770934</v>
      </c>
      <c r="Z138" s="34">
        <v>0.20935626192980678</v>
      </c>
      <c r="AA138" s="30">
        <v>274.14363221273135</v>
      </c>
      <c r="AB138" s="30">
        <v>266.42161994155299</v>
      </c>
      <c r="AC138" s="35">
        <v>1.140137516348016E-2</v>
      </c>
      <c r="AD138" s="34">
        <v>1.3084766370612924</v>
      </c>
      <c r="AE138" s="34">
        <v>0.23187521693293625</v>
      </c>
      <c r="AF138" s="34">
        <v>0.1349186115491853</v>
      </c>
      <c r="AG138" s="30">
        <v>281.65962364336315</v>
      </c>
      <c r="AH138" s="35">
        <v>8.3999999999999995E-3</v>
      </c>
      <c r="AI138" s="17">
        <v>0.8432413221824081</v>
      </c>
    </row>
    <row r="139" spans="1:35" x14ac:dyDescent="0.3">
      <c r="B139" s="1">
        <v>10</v>
      </c>
      <c r="C139" s="1">
        <v>1</v>
      </c>
      <c r="D139" s="4">
        <v>45</v>
      </c>
      <c r="E139" s="3">
        <v>2.8</v>
      </c>
      <c r="F139" s="1">
        <v>40</v>
      </c>
      <c r="G139" s="1">
        <v>45</v>
      </c>
      <c r="H139" s="33">
        <v>43.445968908792679</v>
      </c>
      <c r="I139" s="41">
        <v>250</v>
      </c>
      <c r="J139" s="43">
        <v>205</v>
      </c>
      <c r="K139" s="30">
        <v>127</v>
      </c>
      <c r="L139" s="43">
        <v>95</v>
      </c>
      <c r="M139" s="3">
        <v>0.18</v>
      </c>
      <c r="N139" s="17">
        <v>0.19410888513240512</v>
      </c>
      <c r="O139" s="23">
        <v>294.20292237463855</v>
      </c>
      <c r="P139" s="23">
        <v>266.42161994155299</v>
      </c>
      <c r="Q139" s="24">
        <v>1.140137516348016E-2</v>
      </c>
      <c r="R139" s="17">
        <v>1.0783826951800286</v>
      </c>
      <c r="S139" s="3">
        <v>0.17476722684953019</v>
      </c>
      <c r="T139" s="23">
        <v>294.20292237463855</v>
      </c>
      <c r="U139" s="30">
        <v>360</v>
      </c>
      <c r="V139" s="35">
        <v>8.263157894736842E-3</v>
      </c>
      <c r="W139" s="17">
        <f t="shared" si="4"/>
        <v>1.2785445816241794</v>
      </c>
      <c r="X139" s="17">
        <f t="shared" si="5"/>
        <v>0.61382113821138207</v>
      </c>
      <c r="Y139" s="34">
        <v>0.9709290380529455</v>
      </c>
      <c r="Z139" s="34">
        <v>0.22467501280271945</v>
      </c>
      <c r="AA139" s="30">
        <v>294.20292237463855</v>
      </c>
      <c r="AB139" s="30">
        <v>266.42161994155299</v>
      </c>
      <c r="AC139" s="35">
        <v>1.140137516348016E-2</v>
      </c>
      <c r="AD139" s="34">
        <v>1.2481945155706637</v>
      </c>
      <c r="AE139" s="34">
        <v>0.24884169622071209</v>
      </c>
      <c r="AF139" s="34">
        <v>0.15538514691208971</v>
      </c>
      <c r="AG139" s="30">
        <v>302.26886439775558</v>
      </c>
      <c r="AH139" s="35">
        <v>8.3999999999999995E-3</v>
      </c>
      <c r="AI139" s="17">
        <v>0.86325081617827626</v>
      </c>
    </row>
    <row r="140" spans="1:35" x14ac:dyDescent="0.3">
      <c r="B140" s="1">
        <v>10</v>
      </c>
      <c r="C140" s="1">
        <v>1</v>
      </c>
      <c r="D140" s="4">
        <v>45</v>
      </c>
      <c r="E140" s="3">
        <v>2.8</v>
      </c>
      <c r="F140" s="1">
        <v>40</v>
      </c>
      <c r="G140" s="1">
        <v>45</v>
      </c>
      <c r="H140" s="33">
        <v>43.445968908792679</v>
      </c>
      <c r="I140" s="41">
        <v>250</v>
      </c>
      <c r="J140" s="43">
        <v>205</v>
      </c>
      <c r="K140" s="30">
        <v>127</v>
      </c>
      <c r="L140" s="43">
        <v>95</v>
      </c>
      <c r="M140" s="3">
        <v>0.2</v>
      </c>
      <c r="N140" s="17">
        <v>0.22695478220742998</v>
      </c>
      <c r="O140" s="23">
        <v>316.93678455813335</v>
      </c>
      <c r="P140" s="23">
        <v>266.42161994155299</v>
      </c>
      <c r="Q140" s="24">
        <v>1.140137516348016E-2</v>
      </c>
      <c r="R140" s="17">
        <v>1.1347739110371498</v>
      </c>
      <c r="S140" s="3">
        <v>0.18827196710608479</v>
      </c>
      <c r="T140" s="23">
        <v>316.93678455813335</v>
      </c>
      <c r="U140" s="30">
        <v>360</v>
      </c>
      <c r="V140" s="35">
        <v>8.263157894736842E-3</v>
      </c>
      <c r="W140" s="17">
        <f t="shared" si="4"/>
        <v>1.2785445816241794</v>
      </c>
      <c r="X140" s="17">
        <f t="shared" si="5"/>
        <v>0.61382113821138207</v>
      </c>
      <c r="Y140" s="34">
        <v>0.94135983553042391</v>
      </c>
      <c r="Z140" s="34">
        <v>0.24203626379202053</v>
      </c>
      <c r="AA140" s="30">
        <v>316.93678455813335</v>
      </c>
      <c r="AB140" s="30">
        <v>266.42161994155299</v>
      </c>
      <c r="AC140" s="35">
        <v>1.140137516348016E-2</v>
      </c>
      <c r="AD140" s="34">
        <v>1.2101813189601025</v>
      </c>
      <c r="AE140" s="34">
        <v>0.26807037274685808</v>
      </c>
      <c r="AF140" s="34">
        <v>0.18032703134101588</v>
      </c>
      <c r="AG140" s="30">
        <v>325.62600391940038</v>
      </c>
      <c r="AH140" s="35">
        <v>8.3999999999999995E-3</v>
      </c>
      <c r="AI140" s="17">
        <v>0.90163515670507932</v>
      </c>
    </row>
    <row r="141" spans="1:35" x14ac:dyDescent="0.3">
      <c r="B141" s="1">
        <v>10</v>
      </c>
      <c r="C141" s="1">
        <v>1</v>
      </c>
      <c r="D141" s="4">
        <v>45</v>
      </c>
      <c r="E141" s="3">
        <v>2.8</v>
      </c>
      <c r="F141" s="1">
        <v>40</v>
      </c>
      <c r="G141" s="1">
        <v>45</v>
      </c>
      <c r="H141" s="33">
        <v>43.445968908792679</v>
      </c>
      <c r="I141" s="41">
        <v>250</v>
      </c>
      <c r="J141" s="43">
        <v>205</v>
      </c>
      <c r="K141" s="30">
        <v>127</v>
      </c>
      <c r="L141" s="43">
        <v>95</v>
      </c>
      <c r="M141" s="3">
        <v>0.22</v>
      </c>
      <c r="N141" s="17">
        <v>0.25593645609715776</v>
      </c>
      <c r="O141" s="23">
        <v>336.9960747200405</v>
      </c>
      <c r="P141" s="23">
        <v>266.42161994155299</v>
      </c>
      <c r="Q141" s="24">
        <v>1.140137516348016E-2</v>
      </c>
      <c r="R141" s="17">
        <v>1.1633475277143535</v>
      </c>
      <c r="S141" s="3">
        <v>0.20018791439128003</v>
      </c>
      <c r="T141" s="23">
        <v>336.9960747200405</v>
      </c>
      <c r="U141" s="30">
        <v>360</v>
      </c>
      <c r="V141" s="35">
        <v>8.263157894736842E-3</v>
      </c>
      <c r="W141" s="17">
        <f t="shared" si="4"/>
        <v>1.2785445816241794</v>
      </c>
      <c r="X141" s="17">
        <f t="shared" si="5"/>
        <v>0.61382113821138207</v>
      </c>
      <c r="Y141" s="34">
        <v>0.90994506541490927</v>
      </c>
      <c r="Z141" s="34">
        <v>0.25735501466493321</v>
      </c>
      <c r="AA141" s="30">
        <v>336.9960747200405</v>
      </c>
      <c r="AB141" s="30">
        <v>266.42161994155299</v>
      </c>
      <c r="AC141" s="35">
        <v>1.140137516348016E-2</v>
      </c>
      <c r="AD141" s="34">
        <v>1.1697955212042419</v>
      </c>
      <c r="AE141" s="34">
        <v>0.28503685203463386</v>
      </c>
      <c r="AF141" s="34">
        <v>0.20387558614680465</v>
      </c>
      <c r="AG141" s="30">
        <v>346.23524467379275</v>
      </c>
      <c r="AH141" s="35">
        <v>8.3999999999999995E-3</v>
      </c>
      <c r="AI141" s="17">
        <v>0.92670720975820298</v>
      </c>
    </row>
    <row r="142" spans="1:35" x14ac:dyDescent="0.3">
      <c r="B142" s="1">
        <v>10</v>
      </c>
      <c r="C142" s="1">
        <v>1</v>
      </c>
      <c r="D142" s="4">
        <v>45</v>
      </c>
      <c r="E142" s="3">
        <v>2.8</v>
      </c>
      <c r="F142" s="1">
        <v>40</v>
      </c>
      <c r="G142" s="1">
        <v>45</v>
      </c>
      <c r="H142" s="33">
        <v>43.445968908792679</v>
      </c>
      <c r="I142" s="41">
        <v>250</v>
      </c>
      <c r="J142" s="43">
        <v>205</v>
      </c>
      <c r="K142" s="30">
        <v>127</v>
      </c>
      <c r="L142" s="43">
        <v>95</v>
      </c>
      <c r="M142" s="3">
        <v>0.24</v>
      </c>
      <c r="N142" s="17">
        <v>0.28878235317218248</v>
      </c>
      <c r="O142" s="23">
        <v>359.72993690353525</v>
      </c>
      <c r="P142" s="23">
        <v>266.42161994155299</v>
      </c>
      <c r="Q142" s="24">
        <v>1.140137516348016E-2</v>
      </c>
      <c r="R142" s="17">
        <v>1.2032598048840937</v>
      </c>
      <c r="S142" s="3">
        <v>0.21372760574098071</v>
      </c>
      <c r="T142" s="23">
        <v>359.72993690353525</v>
      </c>
      <c r="U142" s="30">
        <v>360</v>
      </c>
      <c r="V142" s="35">
        <v>8.263157894736842E-3</v>
      </c>
      <c r="W142" s="17">
        <f t="shared" si="4"/>
        <v>1.2785445816241794</v>
      </c>
      <c r="X142" s="17">
        <f t="shared" si="5"/>
        <v>0.61382113821138207</v>
      </c>
      <c r="Y142" s="34">
        <v>0.89053169058741966</v>
      </c>
      <c r="Z142" s="34">
        <v>0.27471626565423424</v>
      </c>
      <c r="AA142" s="30">
        <v>359.72993690353525</v>
      </c>
      <c r="AB142" s="30">
        <v>266.42161994155299</v>
      </c>
      <c r="AC142" s="35">
        <v>1.140137516348016E-2</v>
      </c>
      <c r="AD142" s="34">
        <v>1.1446511068926426</v>
      </c>
      <c r="AE142" s="34">
        <v>0.30426552856077982</v>
      </c>
      <c r="AF142" s="34">
        <v>0.23231042594433315</v>
      </c>
      <c r="AG142" s="30">
        <v>369.59238419543755</v>
      </c>
      <c r="AH142" s="35">
        <v>8.3999999999999995E-3</v>
      </c>
      <c r="AI142" s="17">
        <v>0.96796010810138822</v>
      </c>
    </row>
    <row r="143" spans="1:35" x14ac:dyDescent="0.3">
      <c r="B143" s="1">
        <v>10</v>
      </c>
      <c r="C143" s="1">
        <v>1</v>
      </c>
      <c r="D143" s="4">
        <v>45</v>
      </c>
      <c r="E143" s="3">
        <v>2.8</v>
      </c>
      <c r="F143" s="1">
        <v>40</v>
      </c>
      <c r="G143" s="1">
        <v>45</v>
      </c>
      <c r="H143" s="33">
        <v>43.445968908792679</v>
      </c>
      <c r="I143" s="41">
        <v>250</v>
      </c>
      <c r="J143" s="43">
        <v>205</v>
      </c>
      <c r="K143" s="30">
        <v>127</v>
      </c>
      <c r="L143" s="43">
        <v>95</v>
      </c>
      <c r="M143" s="3">
        <v>0.26</v>
      </c>
      <c r="N143" s="17">
        <v>0.31776402706191037</v>
      </c>
      <c r="O143" s="23">
        <v>379.78922706544245</v>
      </c>
      <c r="P143" s="23">
        <v>266.42161994155299</v>
      </c>
      <c r="Q143" s="24">
        <v>1.140137516348016E-2</v>
      </c>
      <c r="R143" s="17">
        <v>1.2221693348535014</v>
      </c>
      <c r="S143" s="3">
        <v>0.24351747395396883</v>
      </c>
      <c r="T143" s="23">
        <v>379.78922706544245</v>
      </c>
      <c r="U143" s="30">
        <v>360</v>
      </c>
      <c r="V143" s="35">
        <v>8.263157894736842E-3</v>
      </c>
      <c r="W143" s="17">
        <f t="shared" si="4"/>
        <v>1.2785445816241794</v>
      </c>
      <c r="X143" s="17">
        <f t="shared" si="5"/>
        <v>0.61382113821138207</v>
      </c>
      <c r="Y143" s="34">
        <v>0.93660566905372622</v>
      </c>
      <c r="Z143" s="34">
        <v>0.29003501652714692</v>
      </c>
      <c r="AA143" s="30">
        <v>379.78922706544245</v>
      </c>
      <c r="AB143" s="30">
        <v>266.42161994155299</v>
      </c>
      <c r="AC143" s="35">
        <v>1.140137516348016E-2</v>
      </c>
      <c r="AD143" s="34">
        <v>1.1155192943351804</v>
      </c>
      <c r="AE143" s="34">
        <v>0.32123200784855555</v>
      </c>
      <c r="AF143" s="34">
        <v>0.25894100019300625</v>
      </c>
      <c r="AG143" s="30">
        <v>390.20162494982986</v>
      </c>
      <c r="AH143" s="35">
        <v>8.3999999999999995E-3</v>
      </c>
      <c r="AI143" s="17">
        <v>0.99592692381925474</v>
      </c>
    </row>
    <row r="144" spans="1:35" x14ac:dyDescent="0.3">
      <c r="B144" s="1">
        <v>10</v>
      </c>
      <c r="C144" s="1">
        <v>1</v>
      </c>
      <c r="D144" s="4">
        <v>45</v>
      </c>
      <c r="E144" s="3">
        <v>2.8</v>
      </c>
      <c r="F144" s="1">
        <v>40</v>
      </c>
      <c r="G144" s="1">
        <v>45</v>
      </c>
      <c r="H144" s="33">
        <v>43.445968908792679</v>
      </c>
      <c r="I144" s="41">
        <v>250</v>
      </c>
      <c r="J144" s="43">
        <v>205</v>
      </c>
      <c r="K144" s="30">
        <v>127</v>
      </c>
      <c r="L144" s="43">
        <v>95</v>
      </c>
      <c r="M144" s="3">
        <v>0.28000000000000003</v>
      </c>
      <c r="N144" s="17">
        <v>0.35254203572958381</v>
      </c>
      <c r="O144" s="23">
        <v>403.86037525973109</v>
      </c>
      <c r="P144" s="23">
        <v>266.42161994155299</v>
      </c>
      <c r="Q144" s="24">
        <v>1.140137516348016E-2</v>
      </c>
      <c r="R144" s="17">
        <v>1.2590786990342278</v>
      </c>
      <c r="S144" s="3">
        <v>0.2792653158095546</v>
      </c>
      <c r="T144" s="23">
        <v>403.86037525973109</v>
      </c>
      <c r="U144" s="30">
        <v>360</v>
      </c>
      <c r="V144" s="35">
        <v>8.263157894736842E-3</v>
      </c>
      <c r="W144" s="17">
        <f t="shared" si="4"/>
        <v>1.2785445816241794</v>
      </c>
      <c r="X144" s="17">
        <f t="shared" si="5"/>
        <v>0.61382113821138207</v>
      </c>
      <c r="Y144" s="34">
        <v>0.9973761278912664</v>
      </c>
      <c r="Z144" s="34">
        <v>0.31057003114677012</v>
      </c>
      <c r="AA144" s="30">
        <v>403.86037525973109</v>
      </c>
      <c r="AB144" s="30">
        <v>266.42161994155299</v>
      </c>
      <c r="AC144" s="35">
        <v>1.140137516348016E-2</v>
      </c>
      <c r="AD144" s="34">
        <v>1.109178682667036</v>
      </c>
      <c r="AE144" s="34">
        <v>0.34159178299388665</v>
      </c>
      <c r="AF144" s="34">
        <v>0.29280468882169908</v>
      </c>
      <c r="AG144" s="30">
        <v>414.93271385510087</v>
      </c>
      <c r="AH144" s="35">
        <v>8.3999999999999995E-3</v>
      </c>
      <c r="AI144" s="17">
        <v>1.0457310315060679</v>
      </c>
    </row>
    <row r="145" spans="1:35" x14ac:dyDescent="0.3">
      <c r="A145" t="s">
        <v>38</v>
      </c>
      <c r="B145" s="1">
        <v>10</v>
      </c>
      <c r="C145" s="1">
        <v>1</v>
      </c>
      <c r="D145" s="4">
        <v>45</v>
      </c>
      <c r="E145" s="3">
        <v>2.8</v>
      </c>
      <c r="F145" s="1">
        <v>40</v>
      </c>
      <c r="G145" s="1">
        <v>45</v>
      </c>
      <c r="H145" s="33">
        <v>43.445968908792679</v>
      </c>
      <c r="I145" s="41">
        <v>250</v>
      </c>
      <c r="J145" s="43">
        <v>205</v>
      </c>
      <c r="K145" s="30">
        <v>127</v>
      </c>
      <c r="L145" s="43">
        <v>95</v>
      </c>
      <c r="M145" s="3">
        <v>0.15</v>
      </c>
      <c r="N145" s="17">
        <v>0.13228131416765246</v>
      </c>
      <c r="O145" s="23">
        <v>251.40977002923657</v>
      </c>
      <c r="P145" s="23">
        <v>266.42161994155299</v>
      </c>
      <c r="Q145" s="24">
        <v>1.140137516348016E-2</v>
      </c>
      <c r="R145" s="17">
        <v>0.8818754277843498</v>
      </c>
      <c r="S145" s="3">
        <v>0.14934653930778033</v>
      </c>
      <c r="T145" s="23">
        <v>251.40977002923657</v>
      </c>
      <c r="U145" s="30">
        <v>360</v>
      </c>
      <c r="V145" s="35">
        <v>8.263157894736842E-3</v>
      </c>
      <c r="W145" s="17">
        <f t="shared" si="4"/>
        <v>1.2785445816241794</v>
      </c>
      <c r="X145" s="17">
        <f t="shared" si="5"/>
        <v>0.61382113821138207</v>
      </c>
      <c r="Y145" s="34">
        <v>0.9956435953852022</v>
      </c>
      <c r="Z145" s="34">
        <v>0.19199501094050575</v>
      </c>
      <c r="AA145" s="30">
        <v>251.40977002923657</v>
      </c>
      <c r="AB145" s="30">
        <v>266.42161994155299</v>
      </c>
      <c r="AC145" s="35">
        <v>1.140137516348016E-2</v>
      </c>
      <c r="AD145" s="34">
        <v>1.2799667396033718</v>
      </c>
      <c r="AE145" s="34">
        <v>0.21264654040679032</v>
      </c>
      <c r="AF145" s="34">
        <v>0.11346968248886155</v>
      </c>
      <c r="AG145" s="30">
        <v>258.30248412171841</v>
      </c>
      <c r="AH145" s="35">
        <v>8.3999999999999995E-3</v>
      </c>
      <c r="AI145" s="17">
        <v>0.75646454992574375</v>
      </c>
    </row>
    <row r="146" spans="1:35" x14ac:dyDescent="0.3">
      <c r="B146" s="1">
        <v>10</v>
      </c>
      <c r="C146" s="1">
        <v>1</v>
      </c>
      <c r="D146" s="4">
        <v>45</v>
      </c>
      <c r="E146" s="3">
        <v>2.8</v>
      </c>
      <c r="F146" s="1">
        <v>40</v>
      </c>
      <c r="G146" s="1">
        <v>45</v>
      </c>
      <c r="H146" s="33">
        <v>43.445968908792679</v>
      </c>
      <c r="I146" s="41">
        <v>250</v>
      </c>
      <c r="J146" s="43">
        <v>205</v>
      </c>
      <c r="K146" s="30">
        <v>127</v>
      </c>
      <c r="L146" s="43">
        <v>95</v>
      </c>
      <c r="M146" s="3">
        <v>0.17</v>
      </c>
      <c r="N146" s="17">
        <v>0.16512721124267726</v>
      </c>
      <c r="O146" s="23">
        <v>274.14363221273135</v>
      </c>
      <c r="P146" s="23">
        <v>266.42161994155299</v>
      </c>
      <c r="Q146" s="24">
        <v>1.140137516348016E-2</v>
      </c>
      <c r="R146" s="17">
        <v>0.97133653672163089</v>
      </c>
      <c r="S146" s="3">
        <v>0.16285127956433496</v>
      </c>
      <c r="T146" s="23">
        <v>274.14363221273135</v>
      </c>
      <c r="U146" s="30">
        <v>360</v>
      </c>
      <c r="V146" s="35">
        <v>8.263157894736842E-3</v>
      </c>
      <c r="W146" s="17">
        <f t="shared" si="4"/>
        <v>1.2785445816241794</v>
      </c>
      <c r="X146" s="17">
        <f t="shared" si="5"/>
        <v>0.61382113821138207</v>
      </c>
      <c r="Y146" s="34">
        <v>0.95794870331961735</v>
      </c>
      <c r="Z146" s="34">
        <v>0.20935626192980678</v>
      </c>
      <c r="AA146" s="30">
        <v>274.14363221273135</v>
      </c>
      <c r="AB146" s="30">
        <v>266.42161994155299</v>
      </c>
      <c r="AC146" s="35">
        <v>1.140137516348016E-2</v>
      </c>
      <c r="AD146" s="34">
        <v>1.2315074231165104</v>
      </c>
      <c r="AE146" s="34">
        <v>0.23187521693293625</v>
      </c>
      <c r="AF146" s="34">
        <v>0.1349186115491853</v>
      </c>
      <c r="AG146" s="30">
        <v>281.65962364336315</v>
      </c>
      <c r="AH146" s="35">
        <v>8.3999999999999995E-3</v>
      </c>
      <c r="AI146" s="17">
        <v>0.7936388914657958</v>
      </c>
    </row>
    <row r="147" spans="1:35" x14ac:dyDescent="0.3">
      <c r="B147" s="1">
        <v>10</v>
      </c>
      <c r="C147" s="1">
        <v>1</v>
      </c>
      <c r="D147" s="4">
        <v>45</v>
      </c>
      <c r="E147" s="3">
        <v>2.8</v>
      </c>
      <c r="F147" s="1">
        <v>40</v>
      </c>
      <c r="G147" s="1">
        <v>45</v>
      </c>
      <c r="H147" s="33">
        <v>43.445968908792679</v>
      </c>
      <c r="I147" s="41">
        <v>250</v>
      </c>
      <c r="J147" s="43">
        <v>205</v>
      </c>
      <c r="K147" s="30">
        <v>127</v>
      </c>
      <c r="L147" s="43">
        <v>95</v>
      </c>
      <c r="M147" s="3">
        <v>0.19</v>
      </c>
      <c r="N147" s="17">
        <v>0.19604099672505357</v>
      </c>
      <c r="O147" s="23">
        <v>295.54020838543232</v>
      </c>
      <c r="P147" s="23">
        <v>266.42161994155299</v>
      </c>
      <c r="Q147" s="24">
        <v>1.140137516348016E-2</v>
      </c>
      <c r="R147" s="17">
        <v>1.031794719605545</v>
      </c>
      <c r="S147" s="3">
        <v>0.17556162333520986</v>
      </c>
      <c r="T147" s="23">
        <v>295.54020838543232</v>
      </c>
      <c r="U147" s="30">
        <v>360</v>
      </c>
      <c r="V147" s="35">
        <v>8.263157894736842E-3</v>
      </c>
      <c r="W147" s="17">
        <f t="shared" si="4"/>
        <v>1.2785445816241794</v>
      </c>
      <c r="X147" s="17">
        <f t="shared" si="5"/>
        <v>0.61382113821138207</v>
      </c>
      <c r="Y147" s="34">
        <v>0.92400854386952558</v>
      </c>
      <c r="Z147" s="34">
        <v>0.22569626286091363</v>
      </c>
      <c r="AA147" s="30">
        <v>295.54020838543232</v>
      </c>
      <c r="AB147" s="30">
        <v>266.42161994155299</v>
      </c>
      <c r="AC147" s="35">
        <v>1.140137516348016E-2</v>
      </c>
      <c r="AD147" s="34">
        <v>1.1878750676890191</v>
      </c>
      <c r="AE147" s="34">
        <v>0.24997279483989715</v>
      </c>
      <c r="AF147" s="34">
        <v>0.15680094959366475</v>
      </c>
      <c r="AG147" s="30">
        <v>303.64281378138173</v>
      </c>
      <c r="AH147" s="35">
        <v>8.3999999999999995E-3</v>
      </c>
      <c r="AI147" s="17">
        <v>0.82526815575613022</v>
      </c>
    </row>
    <row r="148" spans="1:35" x14ac:dyDescent="0.3">
      <c r="B148" s="1">
        <v>10</v>
      </c>
      <c r="C148" s="1">
        <v>1</v>
      </c>
      <c r="D148" s="4">
        <v>45</v>
      </c>
      <c r="E148" s="3">
        <v>2.8</v>
      </c>
      <c r="F148" s="1">
        <v>40</v>
      </c>
      <c r="G148" s="1">
        <v>45</v>
      </c>
      <c r="H148" s="33">
        <v>43.445968908792679</v>
      </c>
      <c r="I148" s="41">
        <v>250</v>
      </c>
      <c r="J148" s="43">
        <v>205</v>
      </c>
      <c r="K148" s="30">
        <v>127</v>
      </c>
      <c r="L148" s="43">
        <v>95</v>
      </c>
      <c r="M148" s="3">
        <v>0.2</v>
      </c>
      <c r="N148" s="17">
        <v>0.22405661481845726</v>
      </c>
      <c r="O148" s="23">
        <v>314.93085554194266</v>
      </c>
      <c r="P148" s="23">
        <v>266.42161994155299</v>
      </c>
      <c r="Q148" s="24">
        <v>1.140137516348016E-2</v>
      </c>
      <c r="R148" s="17">
        <v>1.1202830740922862</v>
      </c>
      <c r="S148" s="3">
        <v>0.18708037237756528</v>
      </c>
      <c r="T148" s="23">
        <v>314.93085554194266</v>
      </c>
      <c r="U148" s="30">
        <v>360</v>
      </c>
      <c r="V148" s="35">
        <v>8.263157894736842E-3</v>
      </c>
      <c r="W148" s="17">
        <f t="shared" si="4"/>
        <v>1.2785445816241794</v>
      </c>
      <c r="X148" s="17">
        <f t="shared" si="5"/>
        <v>0.61382113821138207</v>
      </c>
      <c r="Y148" s="34">
        <v>0.93540186188782637</v>
      </c>
      <c r="Z148" s="34">
        <v>0.24050438870472929</v>
      </c>
      <c r="AA148" s="30">
        <v>314.93085554194266</v>
      </c>
      <c r="AB148" s="30">
        <v>266.42161994155299</v>
      </c>
      <c r="AC148" s="35">
        <v>1.140137516348016E-2</v>
      </c>
      <c r="AD148" s="34">
        <v>1.2025219435236463</v>
      </c>
      <c r="AE148" s="34">
        <v>0.26637372481808047</v>
      </c>
      <c r="AF148" s="34">
        <v>0.17805163417419886</v>
      </c>
      <c r="AG148" s="30">
        <v>323.56507984396114</v>
      </c>
      <c r="AH148" s="35">
        <v>8.3999999999999995E-3</v>
      </c>
      <c r="AI148" s="17">
        <v>0.89025817087099424</v>
      </c>
    </row>
    <row r="149" spans="1:35" x14ac:dyDescent="0.3">
      <c r="B149" s="1">
        <v>10</v>
      </c>
      <c r="C149" s="1">
        <v>1</v>
      </c>
      <c r="D149" s="4">
        <v>45</v>
      </c>
      <c r="E149" s="3">
        <v>2.8</v>
      </c>
      <c r="F149" s="1">
        <v>40</v>
      </c>
      <c r="G149" s="1">
        <v>45</v>
      </c>
      <c r="H149" s="33">
        <v>43.445968908792679</v>
      </c>
      <c r="I149" s="41">
        <v>250</v>
      </c>
      <c r="J149" s="43">
        <v>205</v>
      </c>
      <c r="K149" s="30">
        <v>127</v>
      </c>
      <c r="L149" s="43">
        <v>95</v>
      </c>
      <c r="M149" s="3">
        <v>0.22</v>
      </c>
      <c r="N149" s="17">
        <v>0.25593645609715776</v>
      </c>
      <c r="O149" s="23">
        <v>336.9960747200405</v>
      </c>
      <c r="P149" s="23">
        <v>266.42161994155299</v>
      </c>
      <c r="Q149" s="24">
        <v>1.140137516348016E-2</v>
      </c>
      <c r="R149" s="17">
        <v>1.1633475277143535</v>
      </c>
      <c r="S149" s="3">
        <v>0.20018791439128003</v>
      </c>
      <c r="T149" s="23">
        <v>336.9960747200405</v>
      </c>
      <c r="U149" s="30">
        <v>360</v>
      </c>
      <c r="V149" s="35">
        <v>8.263157894736842E-3</v>
      </c>
      <c r="W149" s="17">
        <f t="shared" si="4"/>
        <v>1.2785445816241794</v>
      </c>
      <c r="X149" s="17">
        <f t="shared" si="5"/>
        <v>0.61382113821138207</v>
      </c>
      <c r="Y149" s="34">
        <v>0.90994506541490927</v>
      </c>
      <c r="Z149" s="34">
        <v>0.25735501466493321</v>
      </c>
      <c r="AA149" s="30">
        <v>336.9960747200405</v>
      </c>
      <c r="AB149" s="30">
        <v>266.42161994155299</v>
      </c>
      <c r="AC149" s="35">
        <v>1.140137516348016E-2</v>
      </c>
      <c r="AD149" s="34">
        <v>1.1697955212042419</v>
      </c>
      <c r="AE149" s="34">
        <v>0.28503685203463386</v>
      </c>
      <c r="AF149" s="34">
        <v>0.20387558614680465</v>
      </c>
      <c r="AG149" s="30">
        <v>346.23524467379275</v>
      </c>
      <c r="AH149" s="35">
        <v>8.3999999999999995E-3</v>
      </c>
      <c r="AI149" s="17">
        <v>0.92670720975820298</v>
      </c>
    </row>
    <row r="150" spans="1:35" x14ac:dyDescent="0.3">
      <c r="B150" s="1">
        <v>10</v>
      </c>
      <c r="C150" s="1">
        <v>1</v>
      </c>
      <c r="D150" s="4">
        <v>45</v>
      </c>
      <c r="E150" s="3">
        <v>2.8</v>
      </c>
      <c r="F150" s="1">
        <v>40</v>
      </c>
      <c r="G150" s="1">
        <v>45</v>
      </c>
      <c r="H150" s="33">
        <v>43.445968908792679</v>
      </c>
      <c r="I150" s="41">
        <v>250</v>
      </c>
      <c r="J150" s="43">
        <v>205</v>
      </c>
      <c r="K150" s="30">
        <v>127</v>
      </c>
      <c r="L150" s="43">
        <v>95</v>
      </c>
      <c r="M150" s="3">
        <v>0.24</v>
      </c>
      <c r="N150" s="17">
        <v>0.28781629737585829</v>
      </c>
      <c r="O150" s="23">
        <v>359.06129389813839</v>
      </c>
      <c r="P150" s="23">
        <v>266.42161994155299</v>
      </c>
      <c r="Q150" s="24">
        <v>1.140137516348016E-2</v>
      </c>
      <c r="R150" s="17">
        <v>1.1992345723994096</v>
      </c>
      <c r="S150" s="3">
        <v>0.21329545640499481</v>
      </c>
      <c r="T150" s="23">
        <v>359.06129389813839</v>
      </c>
      <c r="U150" s="30">
        <v>360</v>
      </c>
      <c r="V150" s="35">
        <v>8.263157894736842E-3</v>
      </c>
      <c r="W150" s="17">
        <f t="shared" si="4"/>
        <v>1.2785445816241794</v>
      </c>
      <c r="X150" s="17">
        <f t="shared" si="5"/>
        <v>0.61382113821138207</v>
      </c>
      <c r="Y150" s="34">
        <v>0.88873106835414506</v>
      </c>
      <c r="Z150" s="34">
        <v>0.27420564062513714</v>
      </c>
      <c r="AA150" s="30">
        <v>359.06129389813839</v>
      </c>
      <c r="AB150" s="30">
        <v>266.42161994155299</v>
      </c>
      <c r="AC150" s="35">
        <v>1.140137516348016E-2</v>
      </c>
      <c r="AD150" s="34">
        <v>1.142523502604738</v>
      </c>
      <c r="AE150" s="34">
        <v>0.30369997925118725</v>
      </c>
      <c r="AF150" s="34">
        <v>0.23144762102217148</v>
      </c>
      <c r="AG150" s="30">
        <v>368.90540950362441</v>
      </c>
      <c r="AH150" s="35">
        <v>8.3999999999999995E-3</v>
      </c>
      <c r="AI150" s="17">
        <v>0.96436508759238115</v>
      </c>
    </row>
    <row r="151" spans="1:35" x14ac:dyDescent="0.3">
      <c r="B151" s="1">
        <v>10</v>
      </c>
      <c r="C151" s="1">
        <v>1</v>
      </c>
      <c r="D151" s="4">
        <v>45</v>
      </c>
      <c r="E151" s="3">
        <v>2.8</v>
      </c>
      <c r="F151" s="1">
        <v>40</v>
      </c>
      <c r="G151" s="1">
        <v>45</v>
      </c>
      <c r="H151" s="33">
        <v>43.445968908792679</v>
      </c>
      <c r="I151" s="41">
        <v>250</v>
      </c>
      <c r="J151" s="43">
        <v>205</v>
      </c>
      <c r="K151" s="30">
        <v>127</v>
      </c>
      <c r="L151" s="43">
        <v>95</v>
      </c>
      <c r="M151" s="3">
        <v>0.26</v>
      </c>
      <c r="N151" s="17">
        <v>0.31486585967293762</v>
      </c>
      <c r="O151" s="23">
        <v>377.78329804925175</v>
      </c>
      <c r="P151" s="23">
        <v>266.42161994155299</v>
      </c>
      <c r="Q151" s="24">
        <v>1.140137516348016E-2</v>
      </c>
      <c r="R151" s="17">
        <v>1.2110225372036061</v>
      </c>
      <c r="S151" s="3">
        <v>0.24053848713267006</v>
      </c>
      <c r="T151" s="23">
        <v>377.78329804925175</v>
      </c>
      <c r="U151" s="30">
        <v>360</v>
      </c>
      <c r="V151" s="35">
        <v>8.263157894736842E-3</v>
      </c>
      <c r="W151" s="17">
        <f t="shared" si="4"/>
        <v>1.2785445816241794</v>
      </c>
      <c r="X151" s="17">
        <f t="shared" si="5"/>
        <v>0.61382113821138207</v>
      </c>
      <c r="Y151" s="34">
        <v>0.92514802743334634</v>
      </c>
      <c r="Z151" s="34">
        <v>0.28850314143985567</v>
      </c>
      <c r="AA151" s="30">
        <v>377.78329804925175</v>
      </c>
      <c r="AB151" s="30">
        <v>266.42161994155299</v>
      </c>
      <c r="AC151" s="35">
        <v>1.140137516348016E-2</v>
      </c>
      <c r="AD151" s="34">
        <v>1.1096274670763679</v>
      </c>
      <c r="AE151" s="34">
        <v>0.31953535991977811</v>
      </c>
      <c r="AF151" s="34">
        <v>0.25621293142051577</v>
      </c>
      <c r="AG151" s="30">
        <v>388.14070087439075</v>
      </c>
      <c r="AH151" s="35">
        <v>8.3999999999999995E-3</v>
      </c>
      <c r="AI151" s="17">
        <v>0.98543435161736825</v>
      </c>
    </row>
    <row r="152" spans="1:35" x14ac:dyDescent="0.3">
      <c r="B152" s="1">
        <v>10</v>
      </c>
      <c r="C152" s="1">
        <v>1</v>
      </c>
      <c r="D152" s="4">
        <v>45</v>
      </c>
      <c r="E152" s="3">
        <v>2.8</v>
      </c>
      <c r="F152" s="1">
        <v>40</v>
      </c>
      <c r="G152" s="1">
        <v>45</v>
      </c>
      <c r="H152" s="33">
        <v>43.445968908792679</v>
      </c>
      <c r="I152" s="41">
        <v>250</v>
      </c>
      <c r="J152" s="43">
        <v>205</v>
      </c>
      <c r="K152" s="30">
        <v>127</v>
      </c>
      <c r="L152" s="43">
        <v>95</v>
      </c>
      <c r="M152" s="3">
        <v>0.28999999999999998</v>
      </c>
      <c r="N152" s="17">
        <v>0.34094936617369254</v>
      </c>
      <c r="O152" s="23">
        <v>395.83665919496815</v>
      </c>
      <c r="P152" s="23">
        <v>266.42161994155299</v>
      </c>
      <c r="Q152" s="24">
        <v>1.140137516348016E-2</v>
      </c>
      <c r="R152" s="17">
        <v>1.175687469564457</v>
      </c>
      <c r="S152" s="3">
        <v>0.26734936852435925</v>
      </c>
      <c r="T152" s="23">
        <v>395.83665919496815</v>
      </c>
      <c r="U152" s="30">
        <v>360</v>
      </c>
      <c r="V152" s="35">
        <v>8.263157894736842E-3</v>
      </c>
      <c r="W152" s="17">
        <f t="shared" si="4"/>
        <v>1.2785445816241794</v>
      </c>
      <c r="X152" s="17">
        <f t="shared" si="5"/>
        <v>0.61382113821138207</v>
      </c>
      <c r="Y152" s="34">
        <v>0.92189437422192855</v>
      </c>
      <c r="Z152" s="34">
        <v>0.30229001722547705</v>
      </c>
      <c r="AA152" s="30">
        <v>395.83665919496815</v>
      </c>
      <c r="AB152" s="30">
        <v>266.42161994155299</v>
      </c>
      <c r="AC152" s="35">
        <v>1.140137516348016E-2</v>
      </c>
      <c r="AD152" s="34">
        <v>1.0423793697430244</v>
      </c>
      <c r="AE152" s="34">
        <v>0.33480519127877628</v>
      </c>
      <c r="AF152" s="34">
        <v>0.28128564115391846</v>
      </c>
      <c r="AG152" s="30">
        <v>406.68901755334389</v>
      </c>
      <c r="AH152" s="35">
        <v>8.3999999999999995E-3</v>
      </c>
      <c r="AI152" s="17">
        <v>0.96995048673764994</v>
      </c>
    </row>
    <row r="153" spans="1:35" x14ac:dyDescent="0.3">
      <c r="A153" t="s">
        <v>39</v>
      </c>
      <c r="B153" s="1">
        <v>20</v>
      </c>
      <c r="C153" s="1">
        <v>1</v>
      </c>
      <c r="D153" s="4">
        <v>40</v>
      </c>
      <c r="E153" s="3">
        <v>2.8</v>
      </c>
      <c r="F153" s="1">
        <v>40</v>
      </c>
      <c r="G153" s="1">
        <v>50</v>
      </c>
      <c r="H153" s="33">
        <v>75.400393066082174</v>
      </c>
      <c r="I153" s="41">
        <v>250</v>
      </c>
      <c r="J153" s="43">
        <v>200</v>
      </c>
      <c r="K153" s="30">
        <v>130</v>
      </c>
      <c r="L153" s="43">
        <v>150</v>
      </c>
      <c r="M153" s="3">
        <v>0.17</v>
      </c>
      <c r="N153" s="17">
        <v>0.13248092114240001</v>
      </c>
      <c r="O153" s="23">
        <v>201.33268539095971</v>
      </c>
      <c r="P153" s="23">
        <v>72.012286636750844</v>
      </c>
      <c r="Q153" s="24">
        <v>5.4123833185813645E-2</v>
      </c>
      <c r="R153" s="17">
        <v>0.77929953613176473</v>
      </c>
      <c r="S153" s="3">
        <v>0.12448001593101213</v>
      </c>
      <c r="T153" s="23">
        <v>201.33268539095971</v>
      </c>
      <c r="U153" s="30">
        <v>154</v>
      </c>
      <c r="V153" s="35">
        <v>2.1000000000000001E-2</v>
      </c>
      <c r="W153" s="17">
        <f t="shared" si="4"/>
        <v>1.4012853750535328</v>
      </c>
      <c r="X153" s="17">
        <f t="shared" si="5"/>
        <v>0.375</v>
      </c>
      <c r="Y153" s="34">
        <v>0.73223538782948305</v>
      </c>
      <c r="Z153" s="34">
        <v>0.14421239382681603</v>
      </c>
      <c r="AA153" s="30">
        <v>201.33268539095971</v>
      </c>
      <c r="AB153" s="30">
        <v>72.012286636750844</v>
      </c>
      <c r="AC153" s="35">
        <v>5.4123833185813645E-2</v>
      </c>
      <c r="AD153" s="34">
        <v>0.84830819898127063</v>
      </c>
      <c r="AE153" s="34">
        <v>0.17073851136246324</v>
      </c>
      <c r="AF153" s="34">
        <v>0.15478528012645698</v>
      </c>
      <c r="AG153" s="30">
        <v>210.44699635818637</v>
      </c>
      <c r="AH153" s="35">
        <v>1.9599999999999999E-2</v>
      </c>
      <c r="AI153" s="17">
        <v>0.91050164780268805</v>
      </c>
    </row>
    <row r="154" spans="1:35" x14ac:dyDescent="0.3">
      <c r="B154" s="1">
        <v>20</v>
      </c>
      <c r="C154" s="1">
        <v>1</v>
      </c>
      <c r="D154" s="4">
        <v>40</v>
      </c>
      <c r="E154" s="3">
        <v>2.8</v>
      </c>
      <c r="F154" s="1">
        <v>40</v>
      </c>
      <c r="G154" s="1">
        <v>50</v>
      </c>
      <c r="H154" s="33">
        <v>75.400393066082174</v>
      </c>
      <c r="I154" s="41">
        <v>250</v>
      </c>
      <c r="J154" s="43">
        <v>200</v>
      </c>
      <c r="K154" s="30">
        <v>130</v>
      </c>
      <c r="L154" s="43">
        <v>150</v>
      </c>
      <c r="M154" s="3">
        <v>0.2</v>
      </c>
      <c r="N154" s="17">
        <v>0.1609239791113681</v>
      </c>
      <c r="O154" s="23">
        <v>235.28147905021083</v>
      </c>
      <c r="P154" s="23">
        <v>72.012286636750844</v>
      </c>
      <c r="Q154" s="24">
        <v>5.4123833185813645E-2</v>
      </c>
      <c r="R154" s="17">
        <v>0.80461989555684044</v>
      </c>
      <c r="S154" s="3">
        <v>0.16319147975293574</v>
      </c>
      <c r="T154" s="23">
        <v>235.28147905021083</v>
      </c>
      <c r="U154" s="30">
        <v>154</v>
      </c>
      <c r="V154" s="35">
        <v>2.1000000000000001E-2</v>
      </c>
      <c r="W154" s="17">
        <f t="shared" si="4"/>
        <v>1.4012853750535328</v>
      </c>
      <c r="X154" s="17">
        <f t="shared" si="5"/>
        <v>0.375</v>
      </c>
      <c r="Y154" s="34">
        <v>0.81595739876467865</v>
      </c>
      <c r="Z154" s="34">
        <v>0.17517414622172003</v>
      </c>
      <c r="AA154" s="30">
        <v>235.28147905021083</v>
      </c>
      <c r="AB154" s="30">
        <v>72.012286636750844</v>
      </c>
      <c r="AC154" s="35">
        <v>5.4123833185813645E-2</v>
      </c>
      <c r="AD154" s="34">
        <v>0.87587073110860014</v>
      </c>
      <c r="AE154" s="34">
        <v>0.19952850381041692</v>
      </c>
      <c r="AF154" s="34">
        <v>0.211386169121142</v>
      </c>
      <c r="AG154" s="30">
        <v>245.93264858449916</v>
      </c>
      <c r="AH154" s="35">
        <v>1.9599999999999999E-2</v>
      </c>
      <c r="AI154" s="17">
        <v>0.99764251905208456</v>
      </c>
    </row>
    <row r="155" spans="1:35" x14ac:dyDescent="0.3">
      <c r="B155" s="1">
        <v>20</v>
      </c>
      <c r="C155" s="1">
        <v>1</v>
      </c>
      <c r="D155" s="4">
        <v>40</v>
      </c>
      <c r="E155" s="3">
        <v>2.8</v>
      </c>
      <c r="F155" s="1">
        <v>40</v>
      </c>
      <c r="G155" s="1">
        <v>50</v>
      </c>
      <c r="H155" s="33">
        <v>75.400393066082174</v>
      </c>
      <c r="I155" s="41">
        <v>250</v>
      </c>
      <c r="J155" s="43">
        <v>200</v>
      </c>
      <c r="K155" s="30">
        <v>130</v>
      </c>
      <c r="L155" s="43">
        <v>150</v>
      </c>
      <c r="M155" s="3">
        <v>0.24</v>
      </c>
      <c r="N155" s="17">
        <v>0.18845442559470083</v>
      </c>
      <c r="O155" s="23">
        <v>268.14100660274795</v>
      </c>
      <c r="P155" s="23">
        <v>72.012286636750844</v>
      </c>
      <c r="Q155" s="24">
        <v>5.4123833185813645E-2</v>
      </c>
      <c r="R155" s="17">
        <v>0.78522677331125346</v>
      </c>
      <c r="S155" s="3">
        <v>0.20066086452174944</v>
      </c>
      <c r="T155" s="23">
        <v>268.14100660274795</v>
      </c>
      <c r="U155" s="30">
        <v>154</v>
      </c>
      <c r="V155" s="35">
        <v>2.1000000000000001E-2</v>
      </c>
      <c r="W155" s="17">
        <f t="shared" si="4"/>
        <v>1.4012853750535328</v>
      </c>
      <c r="X155" s="17">
        <f t="shared" si="5"/>
        <v>0.375</v>
      </c>
      <c r="Y155" s="34">
        <v>0.83608693550728941</v>
      </c>
      <c r="Z155" s="34">
        <v>0.20514247340609224</v>
      </c>
      <c r="AA155" s="30">
        <v>268.14100660274795</v>
      </c>
      <c r="AB155" s="30">
        <v>72.012286636750844</v>
      </c>
      <c r="AC155" s="35">
        <v>5.4123833185813645E-2</v>
      </c>
      <c r="AD155" s="34">
        <v>0.85476030585871765</v>
      </c>
      <c r="AE155" s="34">
        <v>0.22739475318517421</v>
      </c>
      <c r="AF155" s="34">
        <v>0.27455386120201025</v>
      </c>
      <c r="AG155" s="30">
        <v>280.27972373403179</v>
      </c>
      <c r="AH155" s="35">
        <v>1.9599999999999999E-2</v>
      </c>
      <c r="AI155" s="17">
        <v>0.94747813827155924</v>
      </c>
    </row>
    <row r="156" spans="1:35" x14ac:dyDescent="0.3">
      <c r="B156" s="1">
        <v>20</v>
      </c>
      <c r="C156" s="1">
        <v>1</v>
      </c>
      <c r="D156" s="4">
        <v>40</v>
      </c>
      <c r="E156" s="3">
        <v>2.8</v>
      </c>
      <c r="F156" s="1">
        <v>40</v>
      </c>
      <c r="G156" s="1">
        <v>50</v>
      </c>
      <c r="H156" s="33">
        <v>75.400393066082174</v>
      </c>
      <c r="I156" s="41">
        <v>250</v>
      </c>
      <c r="J156" s="43">
        <v>200</v>
      </c>
      <c r="K156" s="30">
        <v>130</v>
      </c>
      <c r="L156" s="43">
        <v>150</v>
      </c>
      <c r="M156" s="3">
        <v>0.27</v>
      </c>
      <c r="N156" s="17">
        <v>0.21583277016376104</v>
      </c>
      <c r="O156" s="23">
        <v>300.81898980416611</v>
      </c>
      <c r="P156" s="23">
        <v>72.012286636750844</v>
      </c>
      <c r="Q156" s="24">
        <v>5.4123833185813645E-2</v>
      </c>
      <c r="R156" s="17">
        <v>0.79938063023615191</v>
      </c>
      <c r="S156" s="3">
        <v>0.23792323611504487</v>
      </c>
      <c r="T156" s="23">
        <v>300.81898980416611</v>
      </c>
      <c r="U156" s="30">
        <v>154</v>
      </c>
      <c r="V156" s="35">
        <v>2.1000000000000001E-2</v>
      </c>
      <c r="W156" s="17">
        <f t="shared" si="4"/>
        <v>1.4012853750535328</v>
      </c>
      <c r="X156" s="17">
        <f t="shared" si="5"/>
        <v>0.375</v>
      </c>
      <c r="Y156" s="34">
        <v>0.88119717079646243</v>
      </c>
      <c r="Z156" s="34">
        <v>0.23494522972204257</v>
      </c>
      <c r="AA156" s="30">
        <v>300.81898980416611</v>
      </c>
      <c r="AB156" s="30">
        <v>72.012286636750844</v>
      </c>
      <c r="AC156" s="35">
        <v>5.4123833185813645E-2</v>
      </c>
      <c r="AD156" s="34">
        <v>0.87016751748904653</v>
      </c>
      <c r="AE156" s="34">
        <v>0.25510704538106549</v>
      </c>
      <c r="AF156" s="34">
        <v>0.34555054480386854</v>
      </c>
      <c r="AG156" s="30">
        <v>314.4370360374345</v>
      </c>
      <c r="AH156" s="35">
        <v>1.9599999999999999E-2</v>
      </c>
      <c r="AI156" s="17">
        <v>0.94484090881876104</v>
      </c>
    </row>
    <row r="157" spans="1:35" x14ac:dyDescent="0.3">
      <c r="B157" s="1">
        <v>20</v>
      </c>
      <c r="C157" s="1">
        <v>1</v>
      </c>
      <c r="D157" s="4">
        <v>40</v>
      </c>
      <c r="E157" s="3">
        <v>2.8</v>
      </c>
      <c r="F157" s="1">
        <v>40</v>
      </c>
      <c r="G157" s="1">
        <v>50</v>
      </c>
      <c r="H157" s="33">
        <v>75.400393066082174</v>
      </c>
      <c r="I157" s="41">
        <v>250</v>
      </c>
      <c r="J157" s="43">
        <v>200</v>
      </c>
      <c r="K157" s="30">
        <v>130</v>
      </c>
      <c r="L157" s="43">
        <v>150</v>
      </c>
      <c r="M157" s="3">
        <v>0.32</v>
      </c>
      <c r="N157" s="17">
        <v>0.24290691090427621</v>
      </c>
      <c r="O157" s="23">
        <v>333.13388430334641</v>
      </c>
      <c r="P157" s="23">
        <v>72.012286636750844</v>
      </c>
      <c r="Q157" s="24">
        <v>5.4123833185813645E-2</v>
      </c>
      <c r="R157" s="17">
        <v>0.75908409657586318</v>
      </c>
      <c r="S157" s="3">
        <v>0.27477158135730378</v>
      </c>
      <c r="T157" s="23">
        <v>333.13388430334641</v>
      </c>
      <c r="U157" s="30">
        <v>154</v>
      </c>
      <c r="V157" s="35">
        <v>2.1000000000000001E-2</v>
      </c>
      <c r="W157" s="17">
        <f t="shared" si="4"/>
        <v>1.4012853750535328</v>
      </c>
      <c r="X157" s="17">
        <f t="shared" si="5"/>
        <v>0.375</v>
      </c>
      <c r="Y157" s="34">
        <v>0.85866119174157429</v>
      </c>
      <c r="Z157" s="34">
        <v>0.26441684430114909</v>
      </c>
      <c r="AA157" s="30">
        <v>333.13388430334641</v>
      </c>
      <c r="AB157" s="30">
        <v>72.012286636750844</v>
      </c>
      <c r="AC157" s="35">
        <v>5.4123833185813645E-2</v>
      </c>
      <c r="AD157" s="34">
        <v>0.82630263844109086</v>
      </c>
      <c r="AE157" s="34">
        <v>0.28251142321922457</v>
      </c>
      <c r="AF157" s="34">
        <v>0.42377828820333779</v>
      </c>
      <c r="AG157" s="30">
        <v>348.21482264857713</v>
      </c>
      <c r="AH157" s="35">
        <v>1.9599999999999999E-2</v>
      </c>
      <c r="AI157" s="17">
        <v>0.88284819756007671</v>
      </c>
    </row>
    <row r="158" spans="1:35" x14ac:dyDescent="0.3">
      <c r="B158" s="1">
        <v>20</v>
      </c>
      <c r="C158" s="1">
        <v>1</v>
      </c>
      <c r="D158" s="4">
        <v>40</v>
      </c>
      <c r="E158" s="3">
        <v>2.8</v>
      </c>
      <c r="F158" s="1">
        <v>40</v>
      </c>
      <c r="G158" s="1">
        <v>50</v>
      </c>
      <c r="H158" s="33">
        <v>75.400393066082174</v>
      </c>
      <c r="I158" s="41">
        <v>250</v>
      </c>
      <c r="J158" s="43">
        <v>200</v>
      </c>
      <c r="K158" s="30">
        <v>130</v>
      </c>
      <c r="L158" s="43">
        <v>150</v>
      </c>
      <c r="M158" s="3">
        <v>0.34</v>
      </c>
      <c r="N158" s="17">
        <v>0.27074156121615395</v>
      </c>
      <c r="O158" s="23">
        <v>366.35650055812141</v>
      </c>
      <c r="P158" s="23">
        <v>72.012286636750844</v>
      </c>
      <c r="Q158" s="24">
        <v>5.4123833185813645E-2</v>
      </c>
      <c r="R158" s="17">
        <v>0.79629870945927628</v>
      </c>
      <c r="S158" s="3">
        <v>0.312654992477154</v>
      </c>
      <c r="T158" s="23">
        <v>366.35650055812141</v>
      </c>
      <c r="U158" s="30">
        <v>154</v>
      </c>
      <c r="V158" s="35">
        <v>2.1000000000000001E-2</v>
      </c>
      <c r="W158" s="17">
        <f t="shared" si="4"/>
        <v>1.4012853750535328</v>
      </c>
      <c r="X158" s="17">
        <f t="shared" si="5"/>
        <v>0.375</v>
      </c>
      <c r="Y158" s="34">
        <v>0.91957350728574705</v>
      </c>
      <c r="Z158" s="34">
        <v>0.29471631322236513</v>
      </c>
      <c r="AA158" s="30">
        <v>366.35650055812141</v>
      </c>
      <c r="AB158" s="30">
        <v>72.012286636750844</v>
      </c>
      <c r="AC158" s="35">
        <v>5.4123833185813645E-2</v>
      </c>
      <c r="AD158" s="34">
        <v>0.86681268594813266</v>
      </c>
      <c r="AE158" s="34">
        <v>0.31068558695171394</v>
      </c>
      <c r="AF158" s="34">
        <v>0.51251772415842989</v>
      </c>
      <c r="AG158" s="30">
        <v>382.9414234903698</v>
      </c>
      <c r="AH158" s="35">
        <v>1.9599999999999999E-2</v>
      </c>
      <c r="AI158" s="17">
        <v>0.91378113809327621</v>
      </c>
    </row>
    <row r="159" spans="1:35" x14ac:dyDescent="0.3">
      <c r="A159" t="s">
        <v>40</v>
      </c>
      <c r="B159" s="1">
        <v>20</v>
      </c>
      <c r="C159" s="1">
        <v>1</v>
      </c>
      <c r="D159" s="4">
        <v>40</v>
      </c>
      <c r="E159" s="3">
        <v>2.8</v>
      </c>
      <c r="F159" s="1">
        <v>40</v>
      </c>
      <c r="G159" s="1">
        <v>50</v>
      </c>
      <c r="H159" s="33">
        <v>75.400393066082174</v>
      </c>
      <c r="I159" s="41">
        <v>250</v>
      </c>
      <c r="J159" s="43">
        <v>200</v>
      </c>
      <c r="K159" s="30">
        <v>130</v>
      </c>
      <c r="L159" s="43">
        <v>150</v>
      </c>
      <c r="M159" s="3">
        <v>0.16</v>
      </c>
      <c r="N159" s="17">
        <v>0.10601518805897511</v>
      </c>
      <c r="O159" s="23">
        <v>169.74396829625545</v>
      </c>
      <c r="P159" s="23">
        <v>72.012286636750844</v>
      </c>
      <c r="Q159" s="24">
        <v>5.4123833185813645E-2</v>
      </c>
      <c r="R159" s="17">
        <v>0.66259492536859443</v>
      </c>
      <c r="S159" s="3">
        <v>8.84597233908265E-2</v>
      </c>
      <c r="T159" s="23">
        <v>169.74396829625545</v>
      </c>
      <c r="U159" s="30">
        <v>154</v>
      </c>
      <c r="V159" s="35">
        <v>2.1000000000000001E-2</v>
      </c>
      <c r="W159" s="17">
        <f t="shared" si="4"/>
        <v>1.4012853750535328</v>
      </c>
      <c r="X159" s="17">
        <f t="shared" si="5"/>
        <v>0.375</v>
      </c>
      <c r="Y159" s="34">
        <v>0.55287327119266561</v>
      </c>
      <c r="Z159" s="34">
        <v>0.11540306272139735</v>
      </c>
      <c r="AA159" s="30">
        <v>169.74396829625545</v>
      </c>
      <c r="AB159" s="30">
        <v>72.012286636750844</v>
      </c>
      <c r="AC159" s="35">
        <v>5.4123833185813645E-2</v>
      </c>
      <c r="AD159" s="34">
        <v>0.72126914200873338</v>
      </c>
      <c r="AE159" s="34">
        <v>0.14394996223976839</v>
      </c>
      <c r="AF159" s="34">
        <v>0.11002459711025039</v>
      </c>
      <c r="AG159" s="30">
        <v>177.4282611315638</v>
      </c>
      <c r="AH159" s="35">
        <v>1.9599999999999999E-2</v>
      </c>
      <c r="AI159" s="17">
        <v>0.68765373193906498</v>
      </c>
    </row>
    <row r="160" spans="1:35" x14ac:dyDescent="0.3">
      <c r="B160" s="1">
        <v>20</v>
      </c>
      <c r="C160" s="1">
        <v>1</v>
      </c>
      <c r="D160" s="4">
        <v>40</v>
      </c>
      <c r="E160" s="3">
        <v>2.8</v>
      </c>
      <c r="F160" s="1">
        <v>40</v>
      </c>
      <c r="G160" s="1">
        <v>50</v>
      </c>
      <c r="H160" s="33">
        <v>75.400393066082174</v>
      </c>
      <c r="I160" s="41">
        <v>250</v>
      </c>
      <c r="J160" s="43">
        <v>200</v>
      </c>
      <c r="K160" s="30">
        <v>130</v>
      </c>
      <c r="L160" s="43">
        <v>150</v>
      </c>
      <c r="M160" s="3">
        <v>0.2</v>
      </c>
      <c r="N160" s="17">
        <v>0.13293722688521767</v>
      </c>
      <c r="O160" s="23">
        <v>201.87731844431667</v>
      </c>
      <c r="P160" s="23">
        <v>72.012286636750844</v>
      </c>
      <c r="Q160" s="24">
        <v>5.4123833185813645E-2</v>
      </c>
      <c r="R160" s="17">
        <v>0.66468613442608826</v>
      </c>
      <c r="S160" s="3">
        <v>0.12510105545756706</v>
      </c>
      <c r="T160" s="23">
        <v>201.87731844431667</v>
      </c>
      <c r="U160" s="30">
        <v>154</v>
      </c>
      <c r="V160" s="35">
        <v>2.1000000000000001E-2</v>
      </c>
      <c r="W160" s="17">
        <f t="shared" si="4"/>
        <v>1.4012853750535328</v>
      </c>
      <c r="X160" s="17">
        <f t="shared" si="5"/>
        <v>0.375</v>
      </c>
      <c r="Y160" s="34">
        <v>0.62550527728783523</v>
      </c>
      <c r="Z160" s="34">
        <v>0.14470910643208187</v>
      </c>
      <c r="AA160" s="30">
        <v>201.87731844431667</v>
      </c>
      <c r="AB160" s="30">
        <v>72.012286636750844</v>
      </c>
      <c r="AC160" s="35">
        <v>5.4123833185813645E-2</v>
      </c>
      <c r="AD160" s="34">
        <v>0.72354553216040929</v>
      </c>
      <c r="AE160" s="34">
        <v>0.17120038289906145</v>
      </c>
      <c r="AF160" s="34">
        <v>0.15562384444404753</v>
      </c>
      <c r="AG160" s="30">
        <v>211.01628489657639</v>
      </c>
      <c r="AH160" s="35">
        <v>1.9599999999999999E-2</v>
      </c>
      <c r="AI160" s="17">
        <v>0.77811922222023766</v>
      </c>
    </row>
    <row r="161" spans="1:35" x14ac:dyDescent="0.3">
      <c r="B161" s="1">
        <v>20</v>
      </c>
      <c r="C161" s="1">
        <v>1</v>
      </c>
      <c r="D161" s="4">
        <v>40</v>
      </c>
      <c r="E161" s="3">
        <v>2.8</v>
      </c>
      <c r="F161" s="1">
        <v>40</v>
      </c>
      <c r="G161" s="1">
        <v>50</v>
      </c>
      <c r="H161" s="33">
        <v>75.400393066082174</v>
      </c>
      <c r="I161" s="41">
        <v>250</v>
      </c>
      <c r="J161" s="43">
        <v>200</v>
      </c>
      <c r="K161" s="30">
        <v>130</v>
      </c>
      <c r="L161" s="43">
        <v>150</v>
      </c>
      <c r="M161" s="3">
        <v>0.24</v>
      </c>
      <c r="N161" s="17">
        <v>0.16046767336855042</v>
      </c>
      <c r="O161" s="23">
        <v>234.73684599685382</v>
      </c>
      <c r="P161" s="23">
        <v>72.012286636750844</v>
      </c>
      <c r="Q161" s="24">
        <v>5.4123833185813645E-2</v>
      </c>
      <c r="R161" s="17">
        <v>0.66861530570229344</v>
      </c>
      <c r="S161" s="3">
        <v>0.16257044022638076</v>
      </c>
      <c r="T161" s="23">
        <v>234.73684599685382</v>
      </c>
      <c r="U161" s="30">
        <v>154</v>
      </c>
      <c r="V161" s="35">
        <v>2.1000000000000001E-2</v>
      </c>
      <c r="W161" s="17">
        <f t="shared" si="4"/>
        <v>1.4012853750535328</v>
      </c>
      <c r="X161" s="17">
        <f t="shared" si="5"/>
        <v>0.375</v>
      </c>
      <c r="Y161" s="34">
        <v>0.67737683427658657</v>
      </c>
      <c r="Z161" s="34">
        <v>0.17467743361645416</v>
      </c>
      <c r="AA161" s="30">
        <v>234.73684599685382</v>
      </c>
      <c r="AB161" s="30">
        <v>72.012286636750844</v>
      </c>
      <c r="AC161" s="35">
        <v>5.4123833185813645E-2</v>
      </c>
      <c r="AD161" s="34">
        <v>0.72782264006855901</v>
      </c>
      <c r="AE161" s="34">
        <v>0.19906663227381871</v>
      </c>
      <c r="AF161" s="34">
        <v>0.21040866213409018</v>
      </c>
      <c r="AG161" s="30">
        <v>245.36336004610908</v>
      </c>
      <c r="AH161" s="35">
        <v>1.9599999999999999E-2</v>
      </c>
      <c r="AI161" s="17">
        <v>0.82944430114091128</v>
      </c>
    </row>
    <row r="162" spans="1:35" x14ac:dyDescent="0.3">
      <c r="B162" s="1">
        <v>20</v>
      </c>
      <c r="C162" s="1">
        <v>1</v>
      </c>
      <c r="D162" s="4">
        <v>40</v>
      </c>
      <c r="E162" s="3">
        <v>2.8</v>
      </c>
      <c r="F162" s="1">
        <v>40</v>
      </c>
      <c r="G162" s="1">
        <v>50</v>
      </c>
      <c r="H162" s="33">
        <v>75.400393066082174</v>
      </c>
      <c r="I162" s="41">
        <v>250</v>
      </c>
      <c r="J162" s="43">
        <v>200</v>
      </c>
      <c r="K162" s="30">
        <v>130</v>
      </c>
      <c r="L162" s="43">
        <v>150</v>
      </c>
      <c r="M162" s="3">
        <v>0.27</v>
      </c>
      <c r="N162" s="17">
        <v>0.18769391602333804</v>
      </c>
      <c r="O162" s="23">
        <v>267.23328484715302</v>
      </c>
      <c r="P162" s="23">
        <v>72.012286636750844</v>
      </c>
      <c r="Q162" s="24">
        <v>5.4123833185813645E-2</v>
      </c>
      <c r="R162" s="17">
        <v>0.69516265193828897</v>
      </c>
      <c r="S162" s="3">
        <v>0.19962579864415791</v>
      </c>
      <c r="T162" s="23">
        <v>267.23328484715302</v>
      </c>
      <c r="U162" s="30">
        <v>154</v>
      </c>
      <c r="V162" s="35">
        <v>2.1000000000000001E-2</v>
      </c>
      <c r="W162" s="17">
        <f t="shared" si="4"/>
        <v>1.4012853750535328</v>
      </c>
      <c r="X162" s="17">
        <f t="shared" si="5"/>
        <v>0.375</v>
      </c>
      <c r="Y162" s="34">
        <v>0.73935480979317736</v>
      </c>
      <c r="Z162" s="34">
        <v>0.20431461906398254</v>
      </c>
      <c r="AA162" s="30">
        <v>267.23328484715302</v>
      </c>
      <c r="AB162" s="30">
        <v>72.012286636750844</v>
      </c>
      <c r="AC162" s="35">
        <v>5.4123833185813645E-2</v>
      </c>
      <c r="AD162" s="34">
        <v>0.75672081134808344</v>
      </c>
      <c r="AE162" s="34">
        <v>0.22662496729084392</v>
      </c>
      <c r="AF162" s="34">
        <v>0.27269814592917929</v>
      </c>
      <c r="AG162" s="30">
        <v>279.33090950338175</v>
      </c>
      <c r="AH162" s="35">
        <v>1.9599999999999999E-2</v>
      </c>
      <c r="AI162" s="17">
        <v>0.83935173070682922</v>
      </c>
    </row>
    <row r="163" spans="1:35" x14ac:dyDescent="0.3">
      <c r="B163" s="1">
        <v>20</v>
      </c>
      <c r="C163" s="1">
        <v>1</v>
      </c>
      <c r="D163" s="4">
        <v>40</v>
      </c>
      <c r="E163" s="3">
        <v>2.8</v>
      </c>
      <c r="F163" s="1">
        <v>40</v>
      </c>
      <c r="G163" s="1">
        <v>50</v>
      </c>
      <c r="H163" s="33">
        <v>75.400393066082174</v>
      </c>
      <c r="I163" s="41">
        <v>250</v>
      </c>
      <c r="J163" s="43">
        <v>200</v>
      </c>
      <c r="K163" s="30">
        <v>130</v>
      </c>
      <c r="L163" s="43">
        <v>150</v>
      </c>
      <c r="M163" s="3">
        <v>0.28999999999999998</v>
      </c>
      <c r="N163" s="17">
        <v>0.21598487207803357</v>
      </c>
      <c r="O163" s="23">
        <v>301.0005341552851</v>
      </c>
      <c r="P163" s="23">
        <v>72.012286636750844</v>
      </c>
      <c r="Q163" s="24">
        <v>5.4123833185813645E-2</v>
      </c>
      <c r="R163" s="17">
        <v>0.7447754209587365</v>
      </c>
      <c r="S163" s="3">
        <v>0.23813024929056317</v>
      </c>
      <c r="T163" s="23">
        <v>301.0005341552851</v>
      </c>
      <c r="U163" s="30">
        <v>154</v>
      </c>
      <c r="V163" s="35">
        <v>2.1000000000000001E-2</v>
      </c>
      <c r="W163" s="17">
        <f t="shared" si="4"/>
        <v>1.4012853750535328</v>
      </c>
      <c r="X163" s="17">
        <f t="shared" si="5"/>
        <v>0.375</v>
      </c>
      <c r="Y163" s="34">
        <v>0.82113879065711448</v>
      </c>
      <c r="Z163" s="34">
        <v>0.23511080059046452</v>
      </c>
      <c r="AA163" s="30">
        <v>301.0005341552851</v>
      </c>
      <c r="AB163" s="30">
        <v>72.012286636750844</v>
      </c>
      <c r="AC163" s="35">
        <v>5.4123833185813645E-2</v>
      </c>
      <c r="AD163" s="34">
        <v>0.81072689858780878</v>
      </c>
      <c r="AE163" s="34">
        <v>0.25526100255993156</v>
      </c>
      <c r="AF163" s="34">
        <v>0.34596775037385386</v>
      </c>
      <c r="AG163" s="30">
        <v>314.6267988835645</v>
      </c>
      <c r="AH163" s="35">
        <v>1.9599999999999999E-2</v>
      </c>
      <c r="AI163" s="17">
        <v>0.88021035365493649</v>
      </c>
    </row>
    <row r="164" spans="1:35" x14ac:dyDescent="0.3">
      <c r="B164" s="1">
        <v>20</v>
      </c>
      <c r="C164" s="1">
        <v>1</v>
      </c>
      <c r="D164" s="4">
        <v>40</v>
      </c>
      <c r="E164" s="3">
        <v>2.8</v>
      </c>
      <c r="F164" s="1">
        <v>40</v>
      </c>
      <c r="G164" s="1">
        <v>50</v>
      </c>
      <c r="H164" s="33">
        <v>75.400393066082174</v>
      </c>
      <c r="I164" s="41">
        <v>250</v>
      </c>
      <c r="J164" s="43">
        <v>200</v>
      </c>
      <c r="K164" s="30">
        <v>130</v>
      </c>
      <c r="L164" s="43">
        <v>150</v>
      </c>
      <c r="M164" s="3">
        <v>0.32</v>
      </c>
      <c r="N164" s="17">
        <v>0.24290691090427621</v>
      </c>
      <c r="O164" s="23">
        <v>333.13388430334641</v>
      </c>
      <c r="P164" s="23">
        <v>72.012286636750844</v>
      </c>
      <c r="Q164" s="24">
        <v>5.4123833185813645E-2</v>
      </c>
      <c r="R164" s="17">
        <v>0.75908409657586318</v>
      </c>
      <c r="S164" s="3">
        <v>0.27477158135730378</v>
      </c>
      <c r="T164" s="23">
        <v>333.13388430334641</v>
      </c>
      <c r="U164" s="30">
        <v>154</v>
      </c>
      <c r="V164" s="35">
        <v>2.1000000000000001E-2</v>
      </c>
      <c r="W164" s="17">
        <f t="shared" si="4"/>
        <v>1.4012853750535328</v>
      </c>
      <c r="X164" s="17">
        <f t="shared" si="5"/>
        <v>0.375</v>
      </c>
      <c r="Y164" s="34">
        <v>0.85866119174157429</v>
      </c>
      <c r="Z164" s="34">
        <v>0.26441684430114909</v>
      </c>
      <c r="AA164" s="30">
        <v>333.13388430334641</v>
      </c>
      <c r="AB164" s="30">
        <v>72.012286636750844</v>
      </c>
      <c r="AC164" s="35">
        <v>5.4123833185813645E-2</v>
      </c>
      <c r="AD164" s="34">
        <v>0.82630263844109086</v>
      </c>
      <c r="AE164" s="34">
        <v>0.28251142321922457</v>
      </c>
      <c r="AF164" s="34">
        <v>0.42377828820333779</v>
      </c>
      <c r="AG164" s="30">
        <v>348.21482264857713</v>
      </c>
      <c r="AH164" s="35">
        <v>1.9599999999999999E-2</v>
      </c>
      <c r="AI164" s="17">
        <v>0.88284819756007671</v>
      </c>
    </row>
    <row r="165" spans="1:35" x14ac:dyDescent="0.3">
      <c r="B165" s="1">
        <v>20</v>
      </c>
      <c r="C165" s="1">
        <v>1</v>
      </c>
      <c r="D165" s="4">
        <v>40</v>
      </c>
      <c r="E165" s="3">
        <v>2.8</v>
      </c>
      <c r="F165" s="1">
        <v>40</v>
      </c>
      <c r="G165" s="1">
        <v>50</v>
      </c>
      <c r="H165" s="33">
        <v>75.400393066082174</v>
      </c>
      <c r="I165" s="41">
        <v>250</v>
      </c>
      <c r="J165" s="43">
        <v>200</v>
      </c>
      <c r="K165" s="30">
        <v>130</v>
      </c>
      <c r="L165" s="43">
        <v>150</v>
      </c>
      <c r="M165" s="3">
        <v>0.33</v>
      </c>
      <c r="N165" s="17">
        <v>0.25598767553171597</v>
      </c>
      <c r="O165" s="23">
        <v>348.7466984995794</v>
      </c>
      <c r="P165" s="23">
        <v>72.012286636750844</v>
      </c>
      <c r="Q165" s="24">
        <v>5.4123833185813645E-2</v>
      </c>
      <c r="R165" s="17">
        <v>0.77572022888398773</v>
      </c>
      <c r="S165" s="3">
        <v>0.29257471445187816</v>
      </c>
      <c r="T165" s="23">
        <v>348.7466984995794</v>
      </c>
      <c r="U165" s="30">
        <v>154</v>
      </c>
      <c r="V165" s="35">
        <v>2.1000000000000001E-2</v>
      </c>
      <c r="W165" s="17">
        <f t="shared" si="4"/>
        <v>1.4012853750535328</v>
      </c>
      <c r="X165" s="17">
        <f t="shared" si="5"/>
        <v>0.375</v>
      </c>
      <c r="Y165" s="34">
        <v>0.88659004379357009</v>
      </c>
      <c r="Z165" s="34">
        <v>0.27865593898543639</v>
      </c>
      <c r="AA165" s="30">
        <v>348.7466984995794</v>
      </c>
      <c r="AB165" s="30">
        <v>72.012286636750844</v>
      </c>
      <c r="AC165" s="35">
        <v>5.4123833185813645E-2</v>
      </c>
      <c r="AD165" s="34">
        <v>0.84441193631950417</v>
      </c>
      <c r="AE165" s="34">
        <v>0.295751740601706</v>
      </c>
      <c r="AF165" s="34">
        <v>0.46443110099199603</v>
      </c>
      <c r="AG165" s="30">
        <v>364.53442741575844</v>
      </c>
      <c r="AH165" s="35">
        <v>1.9599999999999999E-2</v>
      </c>
      <c r="AI165" s="17">
        <v>0.89621739576274539</v>
      </c>
    </row>
    <row r="166" spans="1:35" x14ac:dyDescent="0.3">
      <c r="A166" t="s">
        <v>41</v>
      </c>
      <c r="B166" s="1">
        <v>10</v>
      </c>
      <c r="C166" s="1">
        <v>1</v>
      </c>
      <c r="D166" s="4">
        <v>45</v>
      </c>
      <c r="E166" s="3">
        <v>2.8</v>
      </c>
      <c r="F166" s="1">
        <v>40</v>
      </c>
      <c r="G166" s="1">
        <v>45</v>
      </c>
      <c r="H166" s="33">
        <v>54.13865484956586</v>
      </c>
      <c r="I166" s="41">
        <v>350</v>
      </c>
      <c r="J166" s="43">
        <v>305</v>
      </c>
      <c r="K166" s="30">
        <v>177</v>
      </c>
      <c r="L166" s="43">
        <v>95</v>
      </c>
      <c r="M166" s="3">
        <v>0.15</v>
      </c>
      <c r="N166" s="17">
        <v>0.16612686256381681</v>
      </c>
      <c r="O166" s="23">
        <v>310.30985357473827</v>
      </c>
      <c r="P166" s="23">
        <v>372.60441372747022</v>
      </c>
      <c r="Q166" s="24">
        <v>7.9598096831560491E-3</v>
      </c>
      <c r="R166" s="17">
        <v>1.1075124170921122</v>
      </c>
      <c r="S166" s="3">
        <v>0.18861841261242762</v>
      </c>
      <c r="T166" s="23">
        <v>310.30985357473827</v>
      </c>
      <c r="U166" s="30">
        <v>360</v>
      </c>
      <c r="V166" s="35">
        <v>8.263157894736842E-3</v>
      </c>
      <c r="W166" s="17">
        <f t="shared" si="4"/>
        <v>1.1793819608717111</v>
      </c>
      <c r="X166" s="17">
        <f t="shared" si="5"/>
        <v>0.72543352601156075</v>
      </c>
      <c r="Y166" s="34">
        <v>1.2574560840828508</v>
      </c>
      <c r="Z166" s="34">
        <v>0.29056052556803114</v>
      </c>
      <c r="AA166" s="30">
        <v>310.30985357473827</v>
      </c>
      <c r="AB166" s="30">
        <v>372.60441372747022</v>
      </c>
      <c r="AC166" s="35">
        <v>7.9598096831560491E-3</v>
      </c>
      <c r="AD166" s="34">
        <v>1.9370701704535409</v>
      </c>
      <c r="AE166" s="34">
        <v>0.26142925199470496</v>
      </c>
      <c r="AF166" s="34">
        <v>0.17150293522078491</v>
      </c>
      <c r="AG166" s="30">
        <v>317.55901169675775</v>
      </c>
      <c r="AH166" s="35">
        <v>8.3999999999999995E-3</v>
      </c>
      <c r="AI166" s="17">
        <v>1.1433529014718995</v>
      </c>
    </row>
    <row r="167" spans="1:35" x14ac:dyDescent="0.3">
      <c r="B167" s="1">
        <v>10</v>
      </c>
      <c r="C167" s="1">
        <v>1</v>
      </c>
      <c r="D167" s="4">
        <v>45</v>
      </c>
      <c r="E167" s="3">
        <v>2.8</v>
      </c>
      <c r="F167" s="1">
        <v>40</v>
      </c>
      <c r="G167" s="1">
        <v>45</v>
      </c>
      <c r="H167" s="33">
        <v>54.13865484956586</v>
      </c>
      <c r="I167" s="41">
        <v>350</v>
      </c>
      <c r="J167" s="43">
        <v>305</v>
      </c>
      <c r="K167" s="30">
        <v>177</v>
      </c>
      <c r="L167" s="43">
        <v>95</v>
      </c>
      <c r="M167" s="3">
        <v>0.19</v>
      </c>
      <c r="N167" s="17">
        <v>0.20438424701114277</v>
      </c>
      <c r="O167" s="23">
        <v>330.28688277482877</v>
      </c>
      <c r="P167" s="23">
        <v>372.60441372747022</v>
      </c>
      <c r="Q167" s="24">
        <v>7.9598096831560491E-3</v>
      </c>
      <c r="R167" s="17">
        <v>1.0757065632165408</v>
      </c>
      <c r="S167" s="3">
        <v>0.20076122887503028</v>
      </c>
      <c r="T167" s="23">
        <v>330.28688277482877</v>
      </c>
      <c r="U167" s="30">
        <v>360</v>
      </c>
      <c r="V167" s="35">
        <v>8.263157894736842E-3</v>
      </c>
      <c r="W167" s="17">
        <f t="shared" si="4"/>
        <v>1.1793819608717111</v>
      </c>
      <c r="X167" s="17">
        <f t="shared" si="5"/>
        <v>0.72543352601156075</v>
      </c>
      <c r="Y167" s="34">
        <v>1.0566380467106857</v>
      </c>
      <c r="Z167" s="34">
        <v>0.30926613880202458</v>
      </c>
      <c r="AA167" s="30">
        <v>330.28688277482877</v>
      </c>
      <c r="AB167" s="30">
        <v>372.60441372747022</v>
      </c>
      <c r="AC167" s="35">
        <v>7.9598096831560491E-3</v>
      </c>
      <c r="AD167" s="34">
        <v>1.6277165200106556</v>
      </c>
      <c r="AE167" s="34">
        <v>0.27825946135058727</v>
      </c>
      <c r="AF167" s="34">
        <v>0.19429564972313279</v>
      </c>
      <c r="AG167" s="30">
        <v>338.00272489611984</v>
      </c>
      <c r="AH167" s="35">
        <v>8.3999999999999995E-3</v>
      </c>
      <c r="AI167" s="17">
        <v>1.0226086827533305</v>
      </c>
    </row>
    <row r="168" spans="1:35" x14ac:dyDescent="0.3">
      <c r="B168" s="1">
        <v>10</v>
      </c>
      <c r="C168" s="1">
        <v>1</v>
      </c>
      <c r="D168" s="4">
        <v>45</v>
      </c>
      <c r="E168" s="3">
        <v>2.8</v>
      </c>
      <c r="F168" s="1">
        <v>40</v>
      </c>
      <c r="G168" s="1">
        <v>45</v>
      </c>
      <c r="H168" s="33">
        <v>54.13865484956586</v>
      </c>
      <c r="I168" s="41">
        <v>350</v>
      </c>
      <c r="J168" s="43">
        <v>305</v>
      </c>
      <c r="K168" s="30">
        <v>177</v>
      </c>
      <c r="L168" s="43">
        <v>95</v>
      </c>
      <c r="M168" s="3">
        <v>0.2</v>
      </c>
      <c r="N168" s="17">
        <v>0.21203572390060799</v>
      </c>
      <c r="O168" s="23">
        <v>334.28228861484689</v>
      </c>
      <c r="P168" s="23">
        <v>372.60441372747022</v>
      </c>
      <c r="Q168" s="24">
        <v>7.9598096831560491E-3</v>
      </c>
      <c r="R168" s="17">
        <v>1.0601786195030398</v>
      </c>
      <c r="S168" s="3">
        <v>0.20318979212755081</v>
      </c>
      <c r="T168" s="23">
        <v>334.28228861484689</v>
      </c>
      <c r="U168" s="30">
        <v>360</v>
      </c>
      <c r="V168" s="35">
        <v>8.263157894736842E-3</v>
      </c>
      <c r="W168" s="17">
        <f t="shared" si="4"/>
        <v>1.1793819608717111</v>
      </c>
      <c r="X168" s="17">
        <f t="shared" si="5"/>
        <v>0.72543352601156075</v>
      </c>
      <c r="Y168" s="34">
        <v>1.0159489606377541</v>
      </c>
      <c r="Z168" s="34">
        <v>0.31300726144882329</v>
      </c>
      <c r="AA168" s="30">
        <v>334.28228861484689</v>
      </c>
      <c r="AB168" s="30">
        <v>372.60441372747022</v>
      </c>
      <c r="AC168" s="35">
        <v>7.9598096831560491E-3</v>
      </c>
      <c r="AD168" s="34">
        <v>1.5650363072441165</v>
      </c>
      <c r="AE168" s="34">
        <v>0.28162550322176372</v>
      </c>
      <c r="AF168" s="34">
        <v>0.19902478258661369</v>
      </c>
      <c r="AG168" s="30">
        <v>342.09146753599225</v>
      </c>
      <c r="AH168" s="35">
        <v>8.3999999999999995E-3</v>
      </c>
      <c r="AI168" s="17">
        <v>0.99512391293306834</v>
      </c>
    </row>
    <row r="169" spans="1:35" x14ac:dyDescent="0.3">
      <c r="B169" s="1">
        <v>10</v>
      </c>
      <c r="C169" s="1">
        <v>1</v>
      </c>
      <c r="D169" s="4">
        <v>45</v>
      </c>
      <c r="E169" s="3">
        <v>2.8</v>
      </c>
      <c r="F169" s="1">
        <v>40</v>
      </c>
      <c r="G169" s="1">
        <v>45</v>
      </c>
      <c r="H169" s="33">
        <v>54.13865484956586</v>
      </c>
      <c r="I169" s="41">
        <v>350</v>
      </c>
      <c r="J169" s="43">
        <v>305</v>
      </c>
      <c r="K169" s="30">
        <v>177</v>
      </c>
      <c r="L169" s="43">
        <v>95</v>
      </c>
      <c r="M169" s="3">
        <v>0.23</v>
      </c>
      <c r="N169" s="17">
        <v>0.24434195965612746</v>
      </c>
      <c r="O169" s="23">
        <v>351.15177993936766</v>
      </c>
      <c r="P169" s="23">
        <v>372.60441372747022</v>
      </c>
      <c r="Q169" s="24">
        <v>7.9598096831560491E-3</v>
      </c>
      <c r="R169" s="17">
        <v>1.0623563463309889</v>
      </c>
      <c r="S169" s="3">
        <v>0.21344372586041524</v>
      </c>
      <c r="T169" s="23">
        <v>351.15177993936766</v>
      </c>
      <c r="U169" s="30">
        <v>360</v>
      </c>
      <c r="V169" s="35">
        <v>8.263157894736842E-3</v>
      </c>
      <c r="W169" s="17">
        <f t="shared" si="4"/>
        <v>1.1793819608717111</v>
      </c>
      <c r="X169" s="17">
        <f t="shared" si="5"/>
        <v>0.72543352601156075</v>
      </c>
      <c r="Y169" s="34">
        <v>0.92801619939310975</v>
      </c>
      <c r="Z169" s="34">
        <v>0.32880311262419548</v>
      </c>
      <c r="AA169" s="30">
        <v>351.15177993936766</v>
      </c>
      <c r="AB169" s="30">
        <v>372.60441372747022</v>
      </c>
      <c r="AC169" s="35">
        <v>7.9598096831560491E-3</v>
      </c>
      <c r="AD169" s="34">
        <v>1.4295787505399804</v>
      </c>
      <c r="AE169" s="34">
        <v>0.2958376800111755</v>
      </c>
      <c r="AF169" s="34">
        <v>0.21961913301830313</v>
      </c>
      <c r="AG169" s="30">
        <v>359.35504757100915</v>
      </c>
      <c r="AH169" s="35">
        <v>8.3999999999999995E-3</v>
      </c>
      <c r="AI169" s="17">
        <v>0.95486579573175268</v>
      </c>
    </row>
    <row r="170" spans="1:35" x14ac:dyDescent="0.3">
      <c r="B170" s="1">
        <v>10</v>
      </c>
      <c r="C170" s="1">
        <v>1</v>
      </c>
      <c r="D170" s="4">
        <v>45</v>
      </c>
      <c r="E170" s="3">
        <v>2.8</v>
      </c>
      <c r="F170" s="1">
        <v>40</v>
      </c>
      <c r="G170" s="1">
        <v>45</v>
      </c>
      <c r="H170" s="33">
        <v>54.13865484956586</v>
      </c>
      <c r="I170" s="41">
        <v>350</v>
      </c>
      <c r="J170" s="43">
        <v>305</v>
      </c>
      <c r="K170" s="30">
        <v>177</v>
      </c>
      <c r="L170" s="43">
        <v>95</v>
      </c>
      <c r="M170" s="3">
        <v>0.25</v>
      </c>
      <c r="N170" s="17">
        <v>0.26644622622569353</v>
      </c>
      <c r="O170" s="23">
        <v>362.69406347719769</v>
      </c>
      <c r="P170" s="23">
        <v>372.60441372747022</v>
      </c>
      <c r="Q170" s="24">
        <v>7.9598096831560491E-3</v>
      </c>
      <c r="R170" s="17">
        <v>1.0657849049027741</v>
      </c>
      <c r="S170" s="3">
        <v>0.22319790578213533</v>
      </c>
      <c r="T170" s="23">
        <v>362.69406347719769</v>
      </c>
      <c r="U170" s="30">
        <v>360</v>
      </c>
      <c r="V170" s="35">
        <v>8.263157894736842E-3</v>
      </c>
      <c r="W170" s="17">
        <f t="shared" si="4"/>
        <v>1.1793819608717111</v>
      </c>
      <c r="X170" s="17">
        <f t="shared" si="5"/>
        <v>0.72543352601156075</v>
      </c>
      <c r="Y170" s="34">
        <v>0.89279162312854132</v>
      </c>
      <c r="Z170" s="34">
        <v>0.33961080027050283</v>
      </c>
      <c r="AA170" s="30">
        <v>362.69406347719769</v>
      </c>
      <c r="AB170" s="30">
        <v>372.60441372747022</v>
      </c>
      <c r="AC170" s="35">
        <v>7.9598096831560491E-3</v>
      </c>
      <c r="AD170" s="34">
        <v>1.3584432010820113</v>
      </c>
      <c r="AE170" s="34">
        <v>0.30556180097235186</v>
      </c>
      <c r="AF170" s="34">
        <v>0.2342940819351301</v>
      </c>
      <c r="AG170" s="30">
        <v>371.16697075286277</v>
      </c>
      <c r="AH170" s="35">
        <v>8.3999999999999995E-3</v>
      </c>
      <c r="AI170" s="17">
        <v>0.9371763277405204</v>
      </c>
    </row>
    <row r="171" spans="1:35" x14ac:dyDescent="0.3">
      <c r="B171" s="1">
        <v>10</v>
      </c>
      <c r="C171" s="1">
        <v>1</v>
      </c>
      <c r="D171" s="4">
        <v>45</v>
      </c>
      <c r="E171" s="3">
        <v>2.8</v>
      </c>
      <c r="F171" s="1">
        <v>40</v>
      </c>
      <c r="G171" s="1">
        <v>45</v>
      </c>
      <c r="H171" s="33">
        <v>54.13865484956586</v>
      </c>
      <c r="I171" s="41">
        <v>350</v>
      </c>
      <c r="J171" s="43">
        <v>305</v>
      </c>
      <c r="K171" s="30">
        <v>177</v>
      </c>
      <c r="L171" s="43">
        <v>95</v>
      </c>
      <c r="M171" s="3">
        <v>0.28000000000000003</v>
      </c>
      <c r="N171" s="17">
        <v>0.29110098509174809</v>
      </c>
      <c r="O171" s="23">
        <v>375.5681489617005</v>
      </c>
      <c r="P171" s="23">
        <v>372.60441372747022</v>
      </c>
      <c r="Q171" s="24">
        <v>7.9598096831560491E-3</v>
      </c>
      <c r="R171" s="17">
        <v>1.0396463753276717</v>
      </c>
      <c r="S171" s="3">
        <v>0.24276133198299524</v>
      </c>
      <c r="T171" s="23">
        <v>375.5681489617005</v>
      </c>
      <c r="U171" s="30">
        <v>360</v>
      </c>
      <c r="V171" s="35">
        <v>8.263157894736842E-3</v>
      </c>
      <c r="W171" s="17">
        <f t="shared" si="4"/>
        <v>1.1793819608717111</v>
      </c>
      <c r="X171" s="17">
        <f t="shared" si="5"/>
        <v>0.72543352601156075</v>
      </c>
      <c r="Y171" s="34">
        <v>0.86700475708212577</v>
      </c>
      <c r="Z171" s="34">
        <v>0.35166552879907637</v>
      </c>
      <c r="AA171" s="30">
        <v>375.5681489617005</v>
      </c>
      <c r="AB171" s="30">
        <v>372.60441372747022</v>
      </c>
      <c r="AC171" s="35">
        <v>7.9598096831560491E-3</v>
      </c>
      <c r="AD171" s="34">
        <v>1.2559483171395582</v>
      </c>
      <c r="AE171" s="34">
        <v>0.31640793589058713</v>
      </c>
      <c r="AF171" s="34">
        <v>0.25122215219469318</v>
      </c>
      <c r="AG171" s="30">
        <v>384.34180814800726</v>
      </c>
      <c r="AH171" s="35">
        <v>8.3999999999999995E-3</v>
      </c>
      <c r="AI171" s="17">
        <v>0.89722197212390409</v>
      </c>
    </row>
    <row r="172" spans="1:35" x14ac:dyDescent="0.3">
      <c r="B172" s="1">
        <v>10</v>
      </c>
      <c r="C172" s="1">
        <v>1</v>
      </c>
      <c r="D172" s="4">
        <v>45</v>
      </c>
      <c r="E172" s="3">
        <v>2.8</v>
      </c>
      <c r="F172" s="1">
        <v>40</v>
      </c>
      <c r="G172" s="1">
        <v>45</v>
      </c>
      <c r="H172" s="33">
        <v>54.13865484956586</v>
      </c>
      <c r="I172" s="41">
        <v>350</v>
      </c>
      <c r="J172" s="43">
        <v>305</v>
      </c>
      <c r="K172" s="30">
        <v>177</v>
      </c>
      <c r="L172" s="43">
        <v>95</v>
      </c>
      <c r="M172" s="3">
        <v>0.31</v>
      </c>
      <c r="N172" s="17">
        <v>0.31320525166131397</v>
      </c>
      <c r="O172" s="23">
        <v>387.11043249953048</v>
      </c>
      <c r="P172" s="23">
        <v>372.60441372747022</v>
      </c>
      <c r="Q172" s="24">
        <v>7.9598096831560491E-3</v>
      </c>
      <c r="R172" s="17">
        <v>1.0103395214881097</v>
      </c>
      <c r="S172" s="3">
        <v>0.26030095547342114</v>
      </c>
      <c r="T172" s="23">
        <v>387.11043249953048</v>
      </c>
      <c r="U172" s="30">
        <v>360</v>
      </c>
      <c r="V172" s="35">
        <v>8.263157894736842E-3</v>
      </c>
      <c r="W172" s="17">
        <f t="shared" si="4"/>
        <v>1.1793819608717111</v>
      </c>
      <c r="X172" s="17">
        <f t="shared" si="5"/>
        <v>0.72543352601156075</v>
      </c>
      <c r="Y172" s="34">
        <v>0.839680501527165</v>
      </c>
      <c r="Z172" s="34">
        <v>0.36247321644538366</v>
      </c>
      <c r="AA172" s="30">
        <v>387.11043249953048</v>
      </c>
      <c r="AB172" s="30">
        <v>372.60441372747022</v>
      </c>
      <c r="AC172" s="35">
        <v>7.9598096831560491E-3</v>
      </c>
      <c r="AD172" s="34">
        <v>1.1692684401463989</v>
      </c>
      <c r="AE172" s="34">
        <v>0.32613205685176361</v>
      </c>
      <c r="AF172" s="34">
        <v>0.26690098443294497</v>
      </c>
      <c r="AG172" s="30">
        <v>396.15373132986093</v>
      </c>
      <c r="AH172" s="35">
        <v>8.3999999999999995E-3</v>
      </c>
      <c r="AI172" s="17">
        <v>0.86097091752562893</v>
      </c>
    </row>
    <row r="173" spans="1:35" x14ac:dyDescent="0.3">
      <c r="B173" s="1">
        <v>10</v>
      </c>
      <c r="C173" s="1">
        <v>1</v>
      </c>
      <c r="D173" s="4">
        <v>45</v>
      </c>
      <c r="E173" s="3">
        <v>2.8</v>
      </c>
      <c r="F173" s="1">
        <v>40</v>
      </c>
      <c r="G173" s="1">
        <v>45</v>
      </c>
      <c r="H173" s="33">
        <v>54.13865484956586</v>
      </c>
      <c r="I173" s="41">
        <v>350</v>
      </c>
      <c r="J173" s="43">
        <v>305</v>
      </c>
      <c r="K173" s="30">
        <v>177</v>
      </c>
      <c r="L173" s="43">
        <v>95</v>
      </c>
      <c r="M173" s="3">
        <v>0.36</v>
      </c>
      <c r="N173" s="17">
        <v>0.33956033872502711</v>
      </c>
      <c r="O173" s="23">
        <v>400.87238594848156</v>
      </c>
      <c r="P173" s="23">
        <v>372.60441372747022</v>
      </c>
      <c r="Q173" s="24">
        <v>7.9598096831560491E-3</v>
      </c>
      <c r="R173" s="17">
        <v>0.94322316312507537</v>
      </c>
      <c r="S173" s="3">
        <v>0.28121358348123665</v>
      </c>
      <c r="T173" s="23">
        <v>400.87238594848156</v>
      </c>
      <c r="U173" s="30">
        <v>360</v>
      </c>
      <c r="V173" s="35">
        <v>8.263157894736842E-3</v>
      </c>
      <c r="W173" s="17">
        <f t="shared" si="4"/>
        <v>1.1793819608717111</v>
      </c>
      <c r="X173" s="17">
        <f t="shared" si="5"/>
        <v>0.72543352601156075</v>
      </c>
      <c r="Y173" s="34">
        <v>0.78114884300343512</v>
      </c>
      <c r="Z173" s="34">
        <v>0.37535930556213459</v>
      </c>
      <c r="AA173" s="30">
        <v>400.87238594848156</v>
      </c>
      <c r="AB173" s="30">
        <v>372.60441372747022</v>
      </c>
      <c r="AC173" s="35">
        <v>7.9598096831560491E-3</v>
      </c>
      <c r="AD173" s="34">
        <v>1.0426647376725962</v>
      </c>
      <c r="AE173" s="34">
        <v>0.33772620107470475</v>
      </c>
      <c r="AF173" s="34">
        <v>0.28621520812574058</v>
      </c>
      <c r="AG173" s="30">
        <v>410.23717820053253</v>
      </c>
      <c r="AH173" s="35">
        <v>8.3999999999999995E-3</v>
      </c>
      <c r="AI173" s="17">
        <v>0.79504224479372387</v>
      </c>
    </row>
    <row r="174" spans="1:35" x14ac:dyDescent="0.3">
      <c r="A174" t="s">
        <v>42</v>
      </c>
      <c r="B174" s="1">
        <v>10</v>
      </c>
      <c r="C174" s="1">
        <v>1</v>
      </c>
      <c r="D174" s="4">
        <v>45</v>
      </c>
      <c r="E174" s="3">
        <v>2.8</v>
      </c>
      <c r="F174" s="1">
        <v>40</v>
      </c>
      <c r="G174" s="1">
        <v>45</v>
      </c>
      <c r="H174" s="33">
        <v>54.13865484956586</v>
      </c>
      <c r="I174" s="41">
        <v>350</v>
      </c>
      <c r="J174" s="43">
        <v>305</v>
      </c>
      <c r="K174" s="30">
        <v>177</v>
      </c>
      <c r="L174" s="43">
        <v>95</v>
      </c>
      <c r="M174" s="3">
        <v>0.16</v>
      </c>
      <c r="N174" s="17">
        <v>0.16357637026732849</v>
      </c>
      <c r="O174" s="23">
        <v>308.9780516280656</v>
      </c>
      <c r="P174" s="23">
        <v>372.60441372747022</v>
      </c>
      <c r="Q174" s="24">
        <v>7.9598096831560491E-3</v>
      </c>
      <c r="R174" s="17">
        <v>1.0223523141708031</v>
      </c>
      <c r="S174" s="3">
        <v>0.18780889152825411</v>
      </c>
      <c r="T174" s="23">
        <v>308.9780516280656</v>
      </c>
      <c r="U174" s="30">
        <v>360</v>
      </c>
      <c r="V174" s="35">
        <v>8.263157894736842E-3</v>
      </c>
      <c r="W174" s="17">
        <f t="shared" si="4"/>
        <v>1.1793819608717111</v>
      </c>
      <c r="X174" s="17">
        <f t="shared" si="5"/>
        <v>0.72543352601156075</v>
      </c>
      <c r="Y174" s="34">
        <v>1.1738055720515881</v>
      </c>
      <c r="Z174" s="34">
        <v>0.28931348468576495</v>
      </c>
      <c r="AA174" s="30">
        <v>308.9780516280656</v>
      </c>
      <c r="AB174" s="30">
        <v>372.60441372747022</v>
      </c>
      <c r="AC174" s="35">
        <v>7.9598096831560491E-3</v>
      </c>
      <c r="AD174" s="34">
        <v>1.8082092792860309</v>
      </c>
      <c r="AE174" s="34">
        <v>0.26030723803764622</v>
      </c>
      <c r="AF174" s="34">
        <v>0.17003396609485399</v>
      </c>
      <c r="AG174" s="30">
        <v>316.19609748346699</v>
      </c>
      <c r="AH174" s="35">
        <v>8.3999999999999995E-3</v>
      </c>
      <c r="AI174" s="17">
        <v>1.0627122880928375</v>
      </c>
    </row>
    <row r="175" spans="1:35" x14ac:dyDescent="0.3">
      <c r="B175" s="1">
        <v>10</v>
      </c>
      <c r="C175" s="1">
        <v>1</v>
      </c>
      <c r="D175" s="4">
        <v>45</v>
      </c>
      <c r="E175" s="3">
        <v>2.8</v>
      </c>
      <c r="F175" s="1">
        <v>40</v>
      </c>
      <c r="G175" s="1">
        <v>45</v>
      </c>
      <c r="H175" s="33">
        <v>54.13865484956586</v>
      </c>
      <c r="I175" s="41">
        <v>350</v>
      </c>
      <c r="J175" s="43">
        <v>305</v>
      </c>
      <c r="K175" s="30">
        <v>177</v>
      </c>
      <c r="L175" s="43">
        <v>95</v>
      </c>
      <c r="M175" s="3">
        <v>0.18</v>
      </c>
      <c r="N175" s="17">
        <v>0.1890812932322124</v>
      </c>
      <c r="O175" s="23">
        <v>322.29607109479258</v>
      </c>
      <c r="P175" s="23">
        <v>372.60441372747022</v>
      </c>
      <c r="Q175" s="24">
        <v>7.9598096831560491E-3</v>
      </c>
      <c r="R175" s="17">
        <v>1.0504516290678467</v>
      </c>
      <c r="S175" s="3">
        <v>0.19590410236998923</v>
      </c>
      <c r="T175" s="23">
        <v>322.29607109479258</v>
      </c>
      <c r="U175" s="30">
        <v>360</v>
      </c>
      <c r="V175" s="35">
        <v>8.263157894736842E-3</v>
      </c>
      <c r="W175" s="17">
        <f t="shared" si="4"/>
        <v>1.1793819608717111</v>
      </c>
      <c r="X175" s="17">
        <f t="shared" si="5"/>
        <v>0.72543352601156075</v>
      </c>
      <c r="Y175" s="34">
        <v>1.088356124277718</v>
      </c>
      <c r="Z175" s="34">
        <v>0.30178389350842721</v>
      </c>
      <c r="AA175" s="30">
        <v>322.29607109479258</v>
      </c>
      <c r="AB175" s="30">
        <v>372.60441372747022</v>
      </c>
      <c r="AC175" s="35">
        <v>7.9598096831560491E-3</v>
      </c>
      <c r="AD175" s="34">
        <v>1.6765771861579291</v>
      </c>
      <c r="AE175" s="34">
        <v>0.27152737760823437</v>
      </c>
      <c r="AF175" s="34">
        <v>0.18500797395918225</v>
      </c>
      <c r="AG175" s="30">
        <v>329.82523961637497</v>
      </c>
      <c r="AH175" s="35">
        <v>8.3999999999999995E-3</v>
      </c>
      <c r="AI175" s="17">
        <v>1.0278220775510125</v>
      </c>
    </row>
    <row r="176" spans="1:35" x14ac:dyDescent="0.3">
      <c r="B176" s="1">
        <v>10</v>
      </c>
      <c r="C176" s="1">
        <v>1</v>
      </c>
      <c r="D176" s="4">
        <v>45</v>
      </c>
      <c r="E176" s="3">
        <v>2.8</v>
      </c>
      <c r="F176" s="1">
        <v>40</v>
      </c>
      <c r="G176" s="1">
        <v>45</v>
      </c>
      <c r="H176" s="33">
        <v>54.13865484956586</v>
      </c>
      <c r="I176" s="41">
        <v>350</v>
      </c>
      <c r="J176" s="43">
        <v>305</v>
      </c>
      <c r="K176" s="30">
        <v>177</v>
      </c>
      <c r="L176" s="43">
        <v>95</v>
      </c>
      <c r="M176" s="3">
        <v>0.2</v>
      </c>
      <c r="N176" s="17">
        <v>0.21288588799943745</v>
      </c>
      <c r="O176" s="23">
        <v>334.72622259707111</v>
      </c>
      <c r="P176" s="23">
        <v>372.60441372747022</v>
      </c>
      <c r="Q176" s="24">
        <v>7.9598096831560491E-3</v>
      </c>
      <c r="R176" s="17">
        <v>1.0644294399971872</v>
      </c>
      <c r="S176" s="3">
        <v>0.203459632488942</v>
      </c>
      <c r="T176" s="23">
        <v>334.72622259707111</v>
      </c>
      <c r="U176" s="30">
        <v>360</v>
      </c>
      <c r="V176" s="35">
        <v>8.263157894736842E-3</v>
      </c>
      <c r="W176" s="17">
        <f t="shared" si="4"/>
        <v>1.1793819608717111</v>
      </c>
      <c r="X176" s="17">
        <f t="shared" si="5"/>
        <v>0.72543352601156075</v>
      </c>
      <c r="Y176" s="34">
        <v>1.0172981624447099</v>
      </c>
      <c r="Z176" s="34">
        <v>0.31342294174291202</v>
      </c>
      <c r="AA176" s="30">
        <v>334.72622259707111</v>
      </c>
      <c r="AB176" s="30">
        <v>372.60441372747022</v>
      </c>
      <c r="AC176" s="35">
        <v>7.9598096831560491E-3</v>
      </c>
      <c r="AD176" s="34">
        <v>1.56711470871456</v>
      </c>
      <c r="AE176" s="34">
        <v>0.28199950787411665</v>
      </c>
      <c r="AF176" s="34">
        <v>0.19955375187521049</v>
      </c>
      <c r="AG176" s="30">
        <v>342.5457722737558</v>
      </c>
      <c r="AH176" s="35">
        <v>8.3999999999999995E-3</v>
      </c>
      <c r="AI176" s="17">
        <v>0.99776875937605236</v>
      </c>
    </row>
    <row r="177" spans="1:35" x14ac:dyDescent="0.3">
      <c r="B177" s="1">
        <v>10</v>
      </c>
      <c r="C177" s="1">
        <v>1</v>
      </c>
      <c r="D177" s="4">
        <v>45</v>
      </c>
      <c r="E177" s="3">
        <v>2.8</v>
      </c>
      <c r="F177" s="1">
        <v>40</v>
      </c>
      <c r="G177" s="1">
        <v>45</v>
      </c>
      <c r="H177" s="33">
        <v>54.13865484956586</v>
      </c>
      <c r="I177" s="41">
        <v>350</v>
      </c>
      <c r="J177" s="43">
        <v>305</v>
      </c>
      <c r="K177" s="30">
        <v>177</v>
      </c>
      <c r="L177" s="43">
        <v>95</v>
      </c>
      <c r="M177" s="3">
        <v>0.23</v>
      </c>
      <c r="N177" s="17">
        <v>0.23754064686549181</v>
      </c>
      <c r="O177" s="23">
        <v>347.60030808157381</v>
      </c>
      <c r="P177" s="23">
        <v>372.60441372747022</v>
      </c>
      <c r="Q177" s="24">
        <v>7.9598096831560491E-3</v>
      </c>
      <c r="R177" s="17">
        <v>1.0327854211543122</v>
      </c>
      <c r="S177" s="3">
        <v>0.2112850029692859</v>
      </c>
      <c r="T177" s="23">
        <v>347.60030808157381</v>
      </c>
      <c r="U177" s="30">
        <v>360</v>
      </c>
      <c r="V177" s="35">
        <v>8.263157894736842E-3</v>
      </c>
      <c r="W177" s="17">
        <f t="shared" si="4"/>
        <v>1.1793819608717111</v>
      </c>
      <c r="X177" s="17">
        <f t="shared" si="5"/>
        <v>0.72543352601156075</v>
      </c>
      <c r="Y177" s="34">
        <v>0.91863044769254731</v>
      </c>
      <c r="Z177" s="34">
        <v>0.32547767027148555</v>
      </c>
      <c r="AA177" s="30">
        <v>347.60030808157381</v>
      </c>
      <c r="AB177" s="30">
        <v>372.60441372747022</v>
      </c>
      <c r="AC177" s="35">
        <v>7.9598096831560491E-3</v>
      </c>
      <c r="AD177" s="34">
        <v>1.415120305528198</v>
      </c>
      <c r="AE177" s="34">
        <v>0.29284564279235192</v>
      </c>
      <c r="AF177" s="34">
        <v>0.2151992383387995</v>
      </c>
      <c r="AG177" s="30">
        <v>355.72060966890029</v>
      </c>
      <c r="AH177" s="35">
        <v>8.3999999999999995E-3</v>
      </c>
      <c r="AI177" s="17">
        <v>0.93564886234260647</v>
      </c>
    </row>
    <row r="178" spans="1:35" x14ac:dyDescent="0.3">
      <c r="B178" s="1">
        <v>10</v>
      </c>
      <c r="C178" s="1">
        <v>1</v>
      </c>
      <c r="D178" s="4">
        <v>45</v>
      </c>
      <c r="E178" s="3">
        <v>2.8</v>
      </c>
      <c r="F178" s="1">
        <v>40</v>
      </c>
      <c r="G178" s="1">
        <v>45</v>
      </c>
      <c r="H178" s="33">
        <v>54.13865484956586</v>
      </c>
      <c r="I178" s="41">
        <v>350</v>
      </c>
      <c r="J178" s="43">
        <v>305</v>
      </c>
      <c r="K178" s="30">
        <v>177</v>
      </c>
      <c r="L178" s="43">
        <v>95</v>
      </c>
      <c r="M178" s="3">
        <v>0.24</v>
      </c>
      <c r="N178" s="17">
        <v>0.26389573392920529</v>
      </c>
      <c r="O178" s="23">
        <v>361.36226153052507</v>
      </c>
      <c r="P178" s="23">
        <v>372.60441372747022</v>
      </c>
      <c r="Q178" s="24">
        <v>7.9598096831560491E-3</v>
      </c>
      <c r="R178" s="17">
        <v>1.0995655580383554</v>
      </c>
      <c r="S178" s="3">
        <v>0.22117410307170166</v>
      </c>
      <c r="T178" s="23">
        <v>361.36226153052507</v>
      </c>
      <c r="U178" s="30">
        <v>360</v>
      </c>
      <c r="V178" s="35">
        <v>8.263157894736842E-3</v>
      </c>
      <c r="W178" s="17">
        <f t="shared" si="4"/>
        <v>1.1793819608717111</v>
      </c>
      <c r="X178" s="17">
        <f t="shared" si="5"/>
        <v>0.72543352601156075</v>
      </c>
      <c r="Y178" s="34">
        <v>0.92155876279875693</v>
      </c>
      <c r="Z178" s="34">
        <v>0.33836375938823665</v>
      </c>
      <c r="AA178" s="30">
        <v>361.36226153052507</v>
      </c>
      <c r="AB178" s="30">
        <v>372.60441372747022</v>
      </c>
      <c r="AC178" s="35">
        <v>7.9598096831560491E-3</v>
      </c>
      <c r="AD178" s="34">
        <v>1.409848997450986</v>
      </c>
      <c r="AE178" s="34">
        <v>0.30443978701529306</v>
      </c>
      <c r="AF178" s="34">
        <v>0.23257659903592331</v>
      </c>
      <c r="AG178" s="30">
        <v>369.80405653957195</v>
      </c>
      <c r="AH178" s="35">
        <v>8.3999999999999995E-3</v>
      </c>
      <c r="AI178" s="17">
        <v>0.96906916264968046</v>
      </c>
    </row>
    <row r="179" spans="1:35" x14ac:dyDescent="0.3">
      <c r="B179" s="1">
        <v>10</v>
      </c>
      <c r="C179" s="1">
        <v>1</v>
      </c>
      <c r="D179" s="4">
        <v>45</v>
      </c>
      <c r="E179" s="3">
        <v>2.8</v>
      </c>
      <c r="F179" s="1">
        <v>40</v>
      </c>
      <c r="G179" s="1">
        <v>45</v>
      </c>
      <c r="H179" s="33">
        <v>54.13865484956586</v>
      </c>
      <c r="I179" s="41">
        <v>350</v>
      </c>
      <c r="J179" s="43">
        <v>305</v>
      </c>
      <c r="K179" s="30">
        <v>177</v>
      </c>
      <c r="L179" s="43">
        <v>95</v>
      </c>
      <c r="M179" s="3">
        <v>0.25</v>
      </c>
      <c r="N179" s="17">
        <v>0.29110098509174809</v>
      </c>
      <c r="O179" s="23">
        <v>375.5681489617005</v>
      </c>
      <c r="P179" s="23">
        <v>372.60441372747022</v>
      </c>
      <c r="Q179" s="24">
        <v>7.9598096831560491E-3</v>
      </c>
      <c r="R179" s="17">
        <v>1.1644039403669924</v>
      </c>
      <c r="S179" s="3">
        <v>0.24276133198299524</v>
      </c>
      <c r="T179" s="23">
        <v>375.5681489617005</v>
      </c>
      <c r="U179" s="30">
        <v>360</v>
      </c>
      <c r="V179" s="35">
        <v>8.263157894736842E-3</v>
      </c>
      <c r="W179" s="17">
        <f t="shared" si="4"/>
        <v>1.1793819608717111</v>
      </c>
      <c r="X179" s="17">
        <f t="shared" si="5"/>
        <v>0.72543352601156075</v>
      </c>
      <c r="Y179" s="34">
        <v>0.97104532793198095</v>
      </c>
      <c r="Z179" s="34">
        <v>0.35166552879907637</v>
      </c>
      <c r="AA179" s="30">
        <v>375.5681489617005</v>
      </c>
      <c r="AB179" s="30">
        <v>372.60441372747022</v>
      </c>
      <c r="AC179" s="35">
        <v>7.9598096831560491E-3</v>
      </c>
      <c r="AD179" s="34">
        <v>1.4066621151963055</v>
      </c>
      <c r="AE179" s="34">
        <v>0.31640793589058713</v>
      </c>
      <c r="AF179" s="34">
        <v>0.25122215219469318</v>
      </c>
      <c r="AG179" s="30">
        <v>384.34180814800726</v>
      </c>
      <c r="AH179" s="35">
        <v>8.3999999999999995E-3</v>
      </c>
      <c r="AI179" s="17">
        <v>1.0048886087787727</v>
      </c>
    </row>
    <row r="180" spans="1:35" x14ac:dyDescent="0.3">
      <c r="B180" s="1">
        <v>10</v>
      </c>
      <c r="C180" s="1">
        <v>1</v>
      </c>
      <c r="D180" s="4">
        <v>45</v>
      </c>
      <c r="E180" s="3">
        <v>2.8</v>
      </c>
      <c r="F180" s="1">
        <v>40</v>
      </c>
      <c r="G180" s="1">
        <v>45</v>
      </c>
      <c r="H180" s="33">
        <v>54.13865484956586</v>
      </c>
      <c r="I180" s="41">
        <v>350</v>
      </c>
      <c r="J180" s="43">
        <v>305</v>
      </c>
      <c r="K180" s="30">
        <v>177</v>
      </c>
      <c r="L180" s="43">
        <v>95</v>
      </c>
      <c r="M180" s="3">
        <v>0.27</v>
      </c>
      <c r="N180" s="17">
        <v>0.31575574395780237</v>
      </c>
      <c r="O180" s="23">
        <v>388.44223444620314</v>
      </c>
      <c r="P180" s="23">
        <v>372.60441372747022</v>
      </c>
      <c r="Q180" s="24">
        <v>7.9598096831560491E-3</v>
      </c>
      <c r="R180" s="17">
        <v>1.169465718362231</v>
      </c>
      <c r="S180" s="3">
        <v>0.26232475818385492</v>
      </c>
      <c r="T180" s="23">
        <v>388.44223444620314</v>
      </c>
      <c r="U180" s="30">
        <v>360</v>
      </c>
      <c r="V180" s="35">
        <v>8.263157894736842E-3</v>
      </c>
      <c r="W180" s="17">
        <f t="shared" si="4"/>
        <v>1.1793819608717111</v>
      </c>
      <c r="X180" s="17">
        <f t="shared" si="5"/>
        <v>0.72543352601156075</v>
      </c>
      <c r="Y180" s="34">
        <v>0.97157317845872182</v>
      </c>
      <c r="Z180" s="34">
        <v>0.36372025732764984</v>
      </c>
      <c r="AA180" s="30">
        <v>388.44223444620314</v>
      </c>
      <c r="AB180" s="30">
        <v>372.60441372747022</v>
      </c>
      <c r="AC180" s="35">
        <v>7.9598096831560491E-3</v>
      </c>
      <c r="AD180" s="34">
        <v>1.3471120641764809</v>
      </c>
      <c r="AE180" s="34">
        <v>0.32725407080882235</v>
      </c>
      <c r="AF180" s="34">
        <v>0.26874061816986333</v>
      </c>
      <c r="AG180" s="30">
        <v>397.51664554315164</v>
      </c>
      <c r="AH180" s="35">
        <v>8.3999999999999995E-3</v>
      </c>
      <c r="AI180" s="17">
        <v>0.99533562285134558</v>
      </c>
    </row>
    <row r="181" spans="1:35" x14ac:dyDescent="0.3">
      <c r="B181" s="1">
        <v>10</v>
      </c>
      <c r="C181" s="1">
        <v>1</v>
      </c>
      <c r="D181" s="4">
        <v>45</v>
      </c>
      <c r="E181" s="3">
        <v>2.8</v>
      </c>
      <c r="F181" s="1">
        <v>40</v>
      </c>
      <c r="G181" s="1">
        <v>45</v>
      </c>
      <c r="H181" s="33">
        <v>54.13865484956586</v>
      </c>
      <c r="I181" s="41">
        <v>350</v>
      </c>
      <c r="J181" s="43">
        <v>305</v>
      </c>
      <c r="K181" s="30">
        <v>177</v>
      </c>
      <c r="L181" s="43">
        <v>95</v>
      </c>
      <c r="M181" s="3">
        <v>0.28999999999999998</v>
      </c>
      <c r="N181" s="17">
        <v>0.33786001052736836</v>
      </c>
      <c r="O181" s="23">
        <v>399.98451798403318</v>
      </c>
      <c r="P181" s="23">
        <v>372.60441372747022</v>
      </c>
      <c r="Q181" s="24">
        <v>7.9598096831560491E-3</v>
      </c>
      <c r="R181" s="17">
        <v>1.165034519059891</v>
      </c>
      <c r="S181" s="3">
        <v>0.2798643816742809</v>
      </c>
      <c r="T181" s="23">
        <v>399.98451798403318</v>
      </c>
      <c r="U181" s="30">
        <v>360</v>
      </c>
      <c r="V181" s="35">
        <v>8.263157894736842E-3</v>
      </c>
      <c r="W181" s="17">
        <f t="shared" si="4"/>
        <v>1.1793819608717111</v>
      </c>
      <c r="X181" s="17">
        <f t="shared" si="5"/>
        <v>0.72543352601156075</v>
      </c>
      <c r="Y181" s="34">
        <v>0.96504959198027906</v>
      </c>
      <c r="Z181" s="34">
        <v>0.37452794497395714</v>
      </c>
      <c r="AA181" s="30">
        <v>399.98451798403318</v>
      </c>
      <c r="AB181" s="30">
        <v>372.60441372747022</v>
      </c>
      <c r="AC181" s="35">
        <v>7.9598096831560491E-3</v>
      </c>
      <c r="AD181" s="34">
        <v>1.2914756723239902</v>
      </c>
      <c r="AE181" s="34">
        <v>0.33697819176999888</v>
      </c>
      <c r="AF181" s="34">
        <v>0.28494877070486641</v>
      </c>
      <c r="AG181" s="30">
        <v>409.32856872500537</v>
      </c>
      <c r="AH181" s="35">
        <v>8.3999999999999995E-3</v>
      </c>
      <c r="AI181" s="17">
        <v>0.98258196794781527</v>
      </c>
    </row>
    <row r="182" spans="1:35" x14ac:dyDescent="0.3">
      <c r="A182" t="s">
        <v>43</v>
      </c>
      <c r="B182" s="1">
        <v>10</v>
      </c>
      <c r="C182" s="1">
        <v>1</v>
      </c>
      <c r="D182" s="4">
        <v>45</v>
      </c>
      <c r="E182" s="3">
        <v>2.8</v>
      </c>
      <c r="F182" s="1">
        <v>40</v>
      </c>
      <c r="G182" s="1">
        <v>45</v>
      </c>
      <c r="H182" s="33">
        <v>54.13865484956586</v>
      </c>
      <c r="I182" s="41">
        <v>350</v>
      </c>
      <c r="J182" s="43">
        <v>305</v>
      </c>
      <c r="K182" s="30">
        <v>177</v>
      </c>
      <c r="L182" s="43">
        <v>95</v>
      </c>
      <c r="M182" s="3">
        <v>0.15</v>
      </c>
      <c r="N182" s="17">
        <v>0.19163178552870083</v>
      </c>
      <c r="O182" s="23">
        <v>323.62787304146531</v>
      </c>
      <c r="P182" s="23">
        <v>372.60441372747022</v>
      </c>
      <c r="Q182" s="24">
        <v>7.9598096831560491E-3</v>
      </c>
      <c r="R182" s="17">
        <v>1.2775452368580056</v>
      </c>
      <c r="S182" s="3">
        <v>0.19671362345416274</v>
      </c>
      <c r="T182" s="23">
        <v>323.62787304146531</v>
      </c>
      <c r="U182" s="30">
        <v>360</v>
      </c>
      <c r="V182" s="35">
        <v>8.263157894736842E-3</v>
      </c>
      <c r="W182" s="17">
        <f t="shared" si="4"/>
        <v>1.1793819608717111</v>
      </c>
      <c r="X182" s="17">
        <f t="shared" si="5"/>
        <v>0.72543352601156075</v>
      </c>
      <c r="Y182" s="34">
        <v>1.3114241563610849</v>
      </c>
      <c r="Z182" s="34">
        <v>0.30303093439069345</v>
      </c>
      <c r="AA182" s="30">
        <v>323.62787304146531</v>
      </c>
      <c r="AB182" s="30">
        <v>372.60441372747022</v>
      </c>
      <c r="AC182" s="35">
        <v>7.9598096831560491E-3</v>
      </c>
      <c r="AD182" s="34">
        <v>2.0202062292712899</v>
      </c>
      <c r="AE182" s="34">
        <v>0.27264939156529311</v>
      </c>
      <c r="AF182" s="34">
        <v>0.1865401245528952</v>
      </c>
      <c r="AG182" s="30">
        <v>331.18815382966579</v>
      </c>
      <c r="AH182" s="35">
        <v>8.3999999999999995E-3</v>
      </c>
      <c r="AI182" s="17">
        <v>1.2436008303526347</v>
      </c>
    </row>
    <row r="183" spans="1:35" x14ac:dyDescent="0.3">
      <c r="B183" s="1">
        <v>10</v>
      </c>
      <c r="C183" s="1">
        <v>1</v>
      </c>
      <c r="D183" s="4">
        <v>45</v>
      </c>
      <c r="E183" s="3">
        <v>2.8</v>
      </c>
      <c r="F183" s="1">
        <v>40</v>
      </c>
      <c r="G183" s="1">
        <v>45</v>
      </c>
      <c r="H183" s="33">
        <v>54.13865484956586</v>
      </c>
      <c r="I183" s="41">
        <v>350</v>
      </c>
      <c r="J183" s="43">
        <v>305</v>
      </c>
      <c r="K183" s="30">
        <v>177</v>
      </c>
      <c r="L183" s="43">
        <v>95</v>
      </c>
      <c r="M183" s="3">
        <v>0.16</v>
      </c>
      <c r="N183" s="17">
        <v>0.21628654439475523</v>
      </c>
      <c r="O183" s="23">
        <v>336.50195852596801</v>
      </c>
      <c r="P183" s="23">
        <v>372.60441372747022</v>
      </c>
      <c r="Q183" s="24">
        <v>7.9598096831560491E-3</v>
      </c>
      <c r="R183" s="17">
        <v>1.3517909024672201</v>
      </c>
      <c r="S183" s="3">
        <v>0.20453899393450664</v>
      </c>
      <c r="T183" s="23">
        <v>336.50195852596801</v>
      </c>
      <c r="U183" s="30">
        <v>360</v>
      </c>
      <c r="V183" s="35">
        <v>8.263157894736842E-3</v>
      </c>
      <c r="W183" s="17">
        <f t="shared" si="4"/>
        <v>1.1793819608717111</v>
      </c>
      <c r="X183" s="17">
        <f t="shared" si="5"/>
        <v>0.72543352601156075</v>
      </c>
      <c r="Y183" s="34">
        <v>1.2783687120906664</v>
      </c>
      <c r="Z183" s="34">
        <v>0.31508566291926698</v>
      </c>
      <c r="AA183" s="30">
        <v>336.50195852596801</v>
      </c>
      <c r="AB183" s="30">
        <v>372.60441372747022</v>
      </c>
      <c r="AC183" s="35">
        <v>7.9598096831560491E-3</v>
      </c>
      <c r="AD183" s="34">
        <v>1.9692853932454186</v>
      </c>
      <c r="AE183" s="34">
        <v>0.28349552648352838</v>
      </c>
      <c r="AF183" s="34">
        <v>0.20167664919268491</v>
      </c>
      <c r="AG183" s="30">
        <v>344.36299122481023</v>
      </c>
      <c r="AH183" s="35">
        <v>8.3999999999999995E-3</v>
      </c>
      <c r="AI183" s="17">
        <v>1.2604790574542806</v>
      </c>
    </row>
    <row r="184" spans="1:35" x14ac:dyDescent="0.3">
      <c r="B184" s="1">
        <v>10</v>
      </c>
      <c r="C184" s="1">
        <v>1</v>
      </c>
      <c r="D184" s="4">
        <v>45</v>
      </c>
      <c r="E184" s="3">
        <v>2.8</v>
      </c>
      <c r="F184" s="1">
        <v>40</v>
      </c>
      <c r="G184" s="1">
        <v>45</v>
      </c>
      <c r="H184" s="33">
        <v>54.13865484956586</v>
      </c>
      <c r="I184" s="41">
        <v>350</v>
      </c>
      <c r="J184" s="43">
        <v>305</v>
      </c>
      <c r="K184" s="30">
        <v>177</v>
      </c>
      <c r="L184" s="43">
        <v>95</v>
      </c>
      <c r="M184" s="3">
        <v>0.18</v>
      </c>
      <c r="N184" s="17">
        <v>0.25114327244676327</v>
      </c>
      <c r="O184" s="23">
        <v>354.70325179716156</v>
      </c>
      <c r="P184" s="23">
        <v>372.60441372747022</v>
      </c>
      <c r="Q184" s="24">
        <v>7.9598096831560491E-3</v>
      </c>
      <c r="R184" s="17">
        <v>1.3952404024820182</v>
      </c>
      <c r="S184" s="3">
        <v>0.21560244875154463</v>
      </c>
      <c r="T184" s="23">
        <v>354.70325179716156</v>
      </c>
      <c r="U184" s="30">
        <v>360</v>
      </c>
      <c r="V184" s="35">
        <v>8.263157894736842E-3</v>
      </c>
      <c r="W184" s="17">
        <f t="shared" si="4"/>
        <v>1.1793819608717111</v>
      </c>
      <c r="X184" s="17">
        <f t="shared" si="5"/>
        <v>0.72543352601156075</v>
      </c>
      <c r="Y184" s="34">
        <v>1.1977913819530257</v>
      </c>
      <c r="Z184" s="34">
        <v>0.33212855497690541</v>
      </c>
      <c r="AA184" s="30">
        <v>354.70325179716156</v>
      </c>
      <c r="AB184" s="30">
        <v>372.60441372747022</v>
      </c>
      <c r="AC184" s="35">
        <v>7.9598096831560491E-3</v>
      </c>
      <c r="AD184" s="34">
        <v>1.8451586387605856</v>
      </c>
      <c r="AE184" s="34">
        <v>0.29882971722999896</v>
      </c>
      <c r="AF184" s="34">
        <v>0.22408395674156276</v>
      </c>
      <c r="AG184" s="30">
        <v>362.98948547311795</v>
      </c>
      <c r="AH184" s="35">
        <v>8.3999999999999995E-3</v>
      </c>
      <c r="AI184" s="17">
        <v>1.2449108707864598</v>
      </c>
    </row>
    <row r="185" spans="1:35" x14ac:dyDescent="0.3">
      <c r="B185" s="1">
        <v>10</v>
      </c>
      <c r="C185" s="1">
        <v>1</v>
      </c>
      <c r="D185" s="4">
        <v>45</v>
      </c>
      <c r="E185" s="3">
        <v>2.8</v>
      </c>
      <c r="F185" s="1">
        <v>40</v>
      </c>
      <c r="G185" s="1">
        <v>45</v>
      </c>
      <c r="H185" s="33">
        <v>54.13865484956586</v>
      </c>
      <c r="I185" s="41">
        <v>350</v>
      </c>
      <c r="J185" s="43">
        <v>305</v>
      </c>
      <c r="K185" s="30">
        <v>177</v>
      </c>
      <c r="L185" s="43">
        <v>95</v>
      </c>
      <c r="M185" s="3">
        <v>0.18</v>
      </c>
      <c r="N185" s="17">
        <v>0.27154721081867028</v>
      </c>
      <c r="O185" s="23">
        <v>365.35766737054308</v>
      </c>
      <c r="P185" s="23">
        <v>372.60441372747022</v>
      </c>
      <c r="Q185" s="24">
        <v>7.9598096831560491E-3</v>
      </c>
      <c r="R185" s="17">
        <v>1.5085956156592795</v>
      </c>
      <c r="S185" s="3">
        <v>0.22724551120300288</v>
      </c>
      <c r="T185" s="23">
        <v>365.35766737054308</v>
      </c>
      <c r="U185" s="30">
        <v>360</v>
      </c>
      <c r="V185" s="35">
        <v>8.263157894736842E-3</v>
      </c>
      <c r="W185" s="17">
        <f t="shared" si="4"/>
        <v>1.1793819608717111</v>
      </c>
      <c r="X185" s="17">
        <f t="shared" si="5"/>
        <v>0.72543352601156075</v>
      </c>
      <c r="Y185" s="34">
        <v>1.2624750622389049</v>
      </c>
      <c r="Z185" s="34">
        <v>0.34210488203503525</v>
      </c>
      <c r="AA185" s="30">
        <v>365.35766737054308</v>
      </c>
      <c r="AB185" s="30">
        <v>372.60441372747022</v>
      </c>
      <c r="AC185" s="35">
        <v>7.9598096831560491E-3</v>
      </c>
      <c r="AD185" s="34">
        <v>1.9005826779724182</v>
      </c>
      <c r="AE185" s="34">
        <v>0.30780582888646951</v>
      </c>
      <c r="AF185" s="34">
        <v>0.23774800217387809</v>
      </c>
      <c r="AG185" s="30">
        <v>373.89279917944435</v>
      </c>
      <c r="AH185" s="35">
        <v>8.3999999999999995E-3</v>
      </c>
      <c r="AI185" s="17">
        <v>1.3208222342993228</v>
      </c>
    </row>
    <row r="186" spans="1:35" x14ac:dyDescent="0.3">
      <c r="B186" s="1">
        <v>10</v>
      </c>
      <c r="C186" s="1">
        <v>1</v>
      </c>
      <c r="D186" s="4">
        <v>45</v>
      </c>
      <c r="E186" s="3">
        <v>2.8</v>
      </c>
      <c r="F186" s="1">
        <v>40</v>
      </c>
      <c r="G186" s="1">
        <v>45</v>
      </c>
      <c r="H186" s="33">
        <v>54.13865484956586</v>
      </c>
      <c r="I186" s="41">
        <v>350</v>
      </c>
      <c r="J186" s="43">
        <v>305</v>
      </c>
      <c r="K186" s="30">
        <v>177</v>
      </c>
      <c r="L186" s="43">
        <v>95</v>
      </c>
      <c r="M186" s="3">
        <v>0.19</v>
      </c>
      <c r="N186" s="17">
        <v>0.29110098509174809</v>
      </c>
      <c r="O186" s="23">
        <v>375.5681489617005</v>
      </c>
      <c r="P186" s="23">
        <v>372.60441372747022</v>
      </c>
      <c r="Q186" s="24">
        <v>7.9598096831560491E-3</v>
      </c>
      <c r="R186" s="17">
        <v>1.5321104478513057</v>
      </c>
      <c r="S186" s="3">
        <v>0.24276133198299524</v>
      </c>
      <c r="T186" s="23">
        <v>375.5681489617005</v>
      </c>
      <c r="U186" s="30">
        <v>360</v>
      </c>
      <c r="V186" s="35">
        <v>8.263157894736842E-3</v>
      </c>
      <c r="W186" s="17">
        <f t="shared" si="4"/>
        <v>1.1793819608717111</v>
      </c>
      <c r="X186" s="17">
        <f t="shared" si="5"/>
        <v>0.72543352601156075</v>
      </c>
      <c r="Y186" s="34">
        <v>1.2776912209631328</v>
      </c>
      <c r="Z186" s="34">
        <v>0.35166552879907637</v>
      </c>
      <c r="AA186" s="30">
        <v>375.5681489617005</v>
      </c>
      <c r="AB186" s="30">
        <v>372.60441372747022</v>
      </c>
      <c r="AC186" s="35">
        <v>7.9598096831560491E-3</v>
      </c>
      <c r="AD186" s="34">
        <v>1.850871204205665</v>
      </c>
      <c r="AE186" s="34">
        <v>0.31640793589058713</v>
      </c>
      <c r="AF186" s="34">
        <v>0.25122215219469318</v>
      </c>
      <c r="AG186" s="30">
        <v>384.34180814800726</v>
      </c>
      <c r="AH186" s="35">
        <v>8.3999999999999995E-3</v>
      </c>
      <c r="AI186" s="17">
        <v>1.32222185365628</v>
      </c>
    </row>
    <row r="187" spans="1:35" x14ac:dyDescent="0.3">
      <c r="B187" s="1">
        <v>10</v>
      </c>
      <c r="C187" s="1">
        <v>1</v>
      </c>
      <c r="D187" s="4">
        <v>45</v>
      </c>
      <c r="E187" s="3">
        <v>2.8</v>
      </c>
      <c r="F187" s="1">
        <v>40</v>
      </c>
      <c r="G187" s="1">
        <v>45</v>
      </c>
      <c r="H187" s="33">
        <v>54.13865484956586</v>
      </c>
      <c r="I187" s="41">
        <v>350</v>
      </c>
      <c r="J187" s="43">
        <v>305</v>
      </c>
      <c r="K187" s="30">
        <v>177</v>
      </c>
      <c r="L187" s="43">
        <v>95</v>
      </c>
      <c r="M187" s="3">
        <v>0.2</v>
      </c>
      <c r="N187" s="17">
        <v>0.31235508756248465</v>
      </c>
      <c r="O187" s="23">
        <v>386.66649851730631</v>
      </c>
      <c r="P187" s="23">
        <v>372.60441372747022</v>
      </c>
      <c r="Q187" s="24">
        <v>7.9598096831560491E-3</v>
      </c>
      <c r="R187" s="17">
        <v>1.5617754378124231</v>
      </c>
      <c r="S187" s="3">
        <v>0.25962635456994337</v>
      </c>
      <c r="T187" s="23">
        <v>386.66649851730631</v>
      </c>
      <c r="U187" s="30">
        <v>360</v>
      </c>
      <c r="V187" s="35">
        <v>8.263157894736842E-3</v>
      </c>
      <c r="W187" s="17">
        <f t="shared" si="4"/>
        <v>1.1793819608717111</v>
      </c>
      <c r="X187" s="17">
        <f t="shared" si="5"/>
        <v>0.72543352601156075</v>
      </c>
      <c r="Y187" s="34">
        <v>1.2981317728497168</v>
      </c>
      <c r="Z187" s="34">
        <v>0.36205753615129493</v>
      </c>
      <c r="AA187" s="30">
        <v>386.66649851730631</v>
      </c>
      <c r="AB187" s="30">
        <v>372.60441372747022</v>
      </c>
      <c r="AC187" s="35">
        <v>7.9598096831560491E-3</v>
      </c>
      <c r="AD187" s="34">
        <v>1.8102876807564745</v>
      </c>
      <c r="AE187" s="34">
        <v>0.32575805219941062</v>
      </c>
      <c r="AF187" s="34">
        <v>0.26628917721992273</v>
      </c>
      <c r="AG187" s="30">
        <v>395.69942659209727</v>
      </c>
      <c r="AH187" s="35">
        <v>8.3999999999999995E-3</v>
      </c>
      <c r="AI187" s="17">
        <v>1.3314458860996137</v>
      </c>
    </row>
    <row r="188" spans="1:35" x14ac:dyDescent="0.3">
      <c r="B188" s="1">
        <v>10</v>
      </c>
      <c r="C188" s="1">
        <v>1</v>
      </c>
      <c r="D188" s="4">
        <v>45</v>
      </c>
      <c r="E188" s="3">
        <v>2.8</v>
      </c>
      <c r="F188" s="1">
        <v>40</v>
      </c>
      <c r="G188" s="1">
        <v>45</v>
      </c>
      <c r="H188" s="33">
        <v>54.13865484956586</v>
      </c>
      <c r="I188" s="41">
        <v>350</v>
      </c>
      <c r="J188" s="43">
        <v>305</v>
      </c>
      <c r="K188" s="30">
        <v>177</v>
      </c>
      <c r="L188" s="43">
        <v>95</v>
      </c>
      <c r="M188" s="3">
        <v>0.22</v>
      </c>
      <c r="N188" s="17">
        <v>0.34041050282385693</v>
      </c>
      <c r="O188" s="23">
        <v>401.31631993070596</v>
      </c>
      <c r="P188" s="23">
        <v>372.60441372747022</v>
      </c>
      <c r="Q188" s="24">
        <v>7.9598096831560491E-3</v>
      </c>
      <c r="R188" s="17">
        <v>1.5473204673811678</v>
      </c>
      <c r="S188" s="3">
        <v>0.28188818438471486</v>
      </c>
      <c r="T188" s="23">
        <v>401.31631993070596</v>
      </c>
      <c r="U188" s="30">
        <v>360</v>
      </c>
      <c r="V188" s="35">
        <v>8.263157894736842E-3</v>
      </c>
      <c r="W188" s="17">
        <f t="shared" si="4"/>
        <v>1.1793819608717111</v>
      </c>
      <c r="X188" s="17">
        <f t="shared" si="5"/>
        <v>0.72543352601156075</v>
      </c>
      <c r="Y188" s="34">
        <v>1.2813099290214311</v>
      </c>
      <c r="Z188" s="34">
        <v>0.37577498585622349</v>
      </c>
      <c r="AA188" s="30">
        <v>401.31631993070596</v>
      </c>
      <c r="AB188" s="30">
        <v>372.60441372747022</v>
      </c>
      <c r="AC188" s="35">
        <v>7.9598096831560491E-3</v>
      </c>
      <c r="AD188" s="34">
        <v>1.7080681175282886</v>
      </c>
      <c r="AE188" s="34">
        <v>0.33810020572705757</v>
      </c>
      <c r="AF188" s="34">
        <v>0.28684947986064074</v>
      </c>
      <c r="AG188" s="30">
        <v>410.69148293829608</v>
      </c>
      <c r="AH188" s="35">
        <v>8.3999999999999995E-3</v>
      </c>
      <c r="AI188" s="17">
        <v>1.3038612720938216</v>
      </c>
    </row>
    <row r="189" spans="1:35" x14ac:dyDescent="0.3">
      <c r="A189" t="s">
        <v>44</v>
      </c>
      <c r="B189" s="1">
        <v>20</v>
      </c>
      <c r="C189" s="1">
        <v>1</v>
      </c>
      <c r="D189" s="4">
        <v>40</v>
      </c>
      <c r="E189" s="3">
        <v>2.8</v>
      </c>
      <c r="F189" s="1">
        <v>40</v>
      </c>
      <c r="G189" s="1">
        <v>50</v>
      </c>
      <c r="H189" s="33">
        <v>96.386921369125758</v>
      </c>
      <c r="I189" s="41">
        <v>350</v>
      </c>
      <c r="J189" s="43">
        <v>300</v>
      </c>
      <c r="K189" s="30">
        <v>182</v>
      </c>
      <c r="L189" s="43">
        <v>150</v>
      </c>
      <c r="M189" s="3">
        <v>0.16</v>
      </c>
      <c r="N189" s="17">
        <v>0.17621750604544575</v>
      </c>
      <c r="O189" s="23">
        <v>224.93648942333181</v>
      </c>
      <c r="P189" s="23">
        <v>95.423685658071264</v>
      </c>
      <c r="Q189" s="24">
        <v>3.7261485294905368E-2</v>
      </c>
      <c r="R189" s="17">
        <v>1.101359412784036</v>
      </c>
      <c r="S189" s="3">
        <v>0.16250526374056309</v>
      </c>
      <c r="T189" s="23">
        <v>224.93648942333181</v>
      </c>
      <c r="U189" s="30">
        <v>154</v>
      </c>
      <c r="V189" s="35">
        <v>2.1000000000000001E-2</v>
      </c>
      <c r="W189" s="17">
        <f t="shared" si="4"/>
        <v>1.2455637935254833</v>
      </c>
      <c r="X189" s="17">
        <f t="shared" si="5"/>
        <v>0.5535714285714286</v>
      </c>
      <c r="Y189" s="34">
        <v>1.0156578983785194</v>
      </c>
      <c r="Z189" s="34">
        <v>0.17479495534935269</v>
      </c>
      <c r="AA189" s="30">
        <v>224.93648942333181</v>
      </c>
      <c r="AB189" s="30">
        <v>95.423685658071264</v>
      </c>
      <c r="AC189" s="35">
        <v>3.7261485294905368E-2</v>
      </c>
      <c r="AD189" s="34">
        <v>1.0924684709334542</v>
      </c>
      <c r="AE189" s="34">
        <v>0.1898757685393937</v>
      </c>
      <c r="AF189" s="34">
        <v>0.19142813392713337</v>
      </c>
      <c r="AG189" s="30">
        <v>234.03498631593746</v>
      </c>
      <c r="AH189" s="35">
        <v>1.9599999999999999E-2</v>
      </c>
      <c r="AI189" s="17">
        <v>1.1867235533712106</v>
      </c>
    </row>
    <row r="190" spans="1:35" x14ac:dyDescent="0.3">
      <c r="B190" s="1">
        <v>20</v>
      </c>
      <c r="C190" s="1">
        <v>1</v>
      </c>
      <c r="D190" s="4">
        <v>40</v>
      </c>
      <c r="E190" s="3">
        <v>2.8</v>
      </c>
      <c r="F190" s="1">
        <v>40</v>
      </c>
      <c r="G190" s="1">
        <v>50</v>
      </c>
      <c r="H190" s="33">
        <v>96.386921369125758</v>
      </c>
      <c r="I190" s="41">
        <v>350</v>
      </c>
      <c r="J190" s="43">
        <v>300</v>
      </c>
      <c r="K190" s="30">
        <v>182</v>
      </c>
      <c r="L190" s="43">
        <v>150</v>
      </c>
      <c r="M190" s="3">
        <v>0.2</v>
      </c>
      <c r="N190" s="17">
        <v>0.2129582212234726</v>
      </c>
      <c r="O190" s="23">
        <v>259.89764030841235</v>
      </c>
      <c r="P190" s="23">
        <v>95.423685658071264</v>
      </c>
      <c r="Q190" s="24">
        <v>3.7261485294905368E-2</v>
      </c>
      <c r="R190" s="17">
        <v>1.0647911061173629</v>
      </c>
      <c r="S190" s="3">
        <v>0.20529664584009563</v>
      </c>
      <c r="T190" s="23">
        <v>259.89764030841235</v>
      </c>
      <c r="U190" s="30">
        <v>154</v>
      </c>
      <c r="V190" s="35">
        <v>2.1000000000000001E-2</v>
      </c>
      <c r="W190" s="17">
        <f t="shared" si="4"/>
        <v>1.2455637935254833</v>
      </c>
      <c r="X190" s="17">
        <f t="shared" si="5"/>
        <v>0.5535714285714286</v>
      </c>
      <c r="Y190" s="34">
        <v>1.0264832292004782</v>
      </c>
      <c r="Z190" s="34">
        <v>0.21123907383205465</v>
      </c>
      <c r="AA190" s="30">
        <v>259.89764030841235</v>
      </c>
      <c r="AB190" s="30">
        <v>95.423685658071264</v>
      </c>
      <c r="AC190" s="35">
        <v>3.7261485294905368E-2</v>
      </c>
      <c r="AD190" s="34">
        <v>1.0561953691602732</v>
      </c>
      <c r="AE190" s="34">
        <v>0.21938754499836161</v>
      </c>
      <c r="AF190" s="34">
        <v>0.25555866628532853</v>
      </c>
      <c r="AG190" s="30">
        <v>270.41028713954211</v>
      </c>
      <c r="AH190" s="35">
        <v>1.9599999999999999E-2</v>
      </c>
      <c r="AI190" s="17">
        <v>1.096937724991808</v>
      </c>
    </row>
    <row r="191" spans="1:35" x14ac:dyDescent="0.3">
      <c r="B191" s="1">
        <v>20</v>
      </c>
      <c r="C191" s="1">
        <v>1</v>
      </c>
      <c r="D191" s="4">
        <v>40</v>
      </c>
      <c r="E191" s="3">
        <v>2.8</v>
      </c>
      <c r="F191" s="1">
        <v>40</v>
      </c>
      <c r="G191" s="1">
        <v>50</v>
      </c>
      <c r="H191" s="33">
        <v>96.386921369125758</v>
      </c>
      <c r="I191" s="41">
        <v>350</v>
      </c>
      <c r="J191" s="43">
        <v>300</v>
      </c>
      <c r="K191" s="30">
        <v>182</v>
      </c>
      <c r="L191" s="43">
        <v>150</v>
      </c>
      <c r="M191" s="3">
        <v>0.23</v>
      </c>
      <c r="N191" s="17">
        <v>0.24957439160428585</v>
      </c>
      <c r="O191" s="23">
        <v>294.74027881761134</v>
      </c>
      <c r="P191" s="23">
        <v>95.423685658071264</v>
      </c>
      <c r="Q191" s="24">
        <v>3.7261485294905368E-2</v>
      </c>
      <c r="R191" s="17">
        <v>1.0851060504534167</v>
      </c>
      <c r="S191" s="3">
        <v>0.24794297240708743</v>
      </c>
      <c r="T191" s="23">
        <v>294.74027881761134</v>
      </c>
      <c r="U191" s="30">
        <v>154</v>
      </c>
      <c r="V191" s="35">
        <v>2.1000000000000001E-2</v>
      </c>
      <c r="W191" s="17">
        <f t="shared" si="4"/>
        <v>1.2455637935254833</v>
      </c>
      <c r="X191" s="17">
        <f t="shared" si="5"/>
        <v>0.5535714285714286</v>
      </c>
      <c r="Y191" s="34">
        <v>1.0780129235090758</v>
      </c>
      <c r="Z191" s="34">
        <v>0.24755965293006962</v>
      </c>
      <c r="AA191" s="30">
        <v>294.74027881761134</v>
      </c>
      <c r="AB191" s="30">
        <v>95.423685658071264</v>
      </c>
      <c r="AC191" s="35">
        <v>3.7261485294905368E-2</v>
      </c>
      <c r="AD191" s="34">
        <v>1.0763463170872591</v>
      </c>
      <c r="AE191" s="34">
        <v>0.24879928153712966</v>
      </c>
      <c r="AF191" s="34">
        <v>0.32867367449457463</v>
      </c>
      <c r="AG191" s="30">
        <v>306.66228185865992</v>
      </c>
      <c r="AH191" s="35">
        <v>1.9599999999999999E-2</v>
      </c>
      <c r="AI191" s="17">
        <v>1.0817360066831723</v>
      </c>
    </row>
    <row r="192" spans="1:35" x14ac:dyDescent="0.3">
      <c r="A192" t="s">
        <v>45</v>
      </c>
      <c r="B192" s="1">
        <v>20</v>
      </c>
      <c r="C192" s="1">
        <v>1</v>
      </c>
      <c r="D192" s="4">
        <v>40</v>
      </c>
      <c r="E192" s="3">
        <v>2.8</v>
      </c>
      <c r="F192" s="1">
        <v>40</v>
      </c>
      <c r="G192" s="1">
        <v>50</v>
      </c>
      <c r="H192" s="33">
        <v>96.386921369125758</v>
      </c>
      <c r="I192" s="41">
        <v>350</v>
      </c>
      <c r="J192" s="43">
        <v>300</v>
      </c>
      <c r="K192" s="30">
        <v>182</v>
      </c>
      <c r="L192" s="43">
        <v>150</v>
      </c>
      <c r="M192" s="3">
        <v>0.14000000000000001</v>
      </c>
      <c r="N192" s="17">
        <v>0.17621750604544575</v>
      </c>
      <c r="O192" s="23">
        <v>224.93648942333181</v>
      </c>
      <c r="P192" s="23">
        <v>95.423685658071264</v>
      </c>
      <c r="Q192" s="24">
        <v>3.7261485294905368E-2</v>
      </c>
      <c r="R192" s="17">
        <v>1.2586964717531839</v>
      </c>
      <c r="S192" s="3">
        <v>0.16250526374056309</v>
      </c>
      <c r="T192" s="23">
        <v>224.93648942333181</v>
      </c>
      <c r="U192" s="30">
        <v>154</v>
      </c>
      <c r="V192" s="35">
        <v>2.1000000000000001E-2</v>
      </c>
      <c r="W192" s="17">
        <f t="shared" si="4"/>
        <v>1.2455637935254833</v>
      </c>
      <c r="X192" s="17">
        <f t="shared" si="5"/>
        <v>0.5535714285714286</v>
      </c>
      <c r="Y192" s="34">
        <v>1.1607518838611648</v>
      </c>
      <c r="Z192" s="34">
        <v>0.17479495534935269</v>
      </c>
      <c r="AA192" s="30">
        <v>224.93648942333181</v>
      </c>
      <c r="AB192" s="30">
        <v>95.423685658071264</v>
      </c>
      <c r="AC192" s="35">
        <v>3.7261485294905368E-2</v>
      </c>
      <c r="AD192" s="34">
        <v>1.2485353953525191</v>
      </c>
      <c r="AE192" s="34">
        <v>0.1898757685393937</v>
      </c>
      <c r="AF192" s="34">
        <v>0.19142813392713337</v>
      </c>
      <c r="AG192" s="30">
        <v>234.03498631593746</v>
      </c>
      <c r="AH192" s="35">
        <v>1.9599999999999999E-2</v>
      </c>
      <c r="AI192" s="17">
        <v>1.3562554895670977</v>
      </c>
    </row>
    <row r="193" spans="1:35" x14ac:dyDescent="0.3">
      <c r="B193" s="1">
        <v>20</v>
      </c>
      <c r="C193" s="1">
        <v>1</v>
      </c>
      <c r="D193" s="4">
        <v>40</v>
      </c>
      <c r="E193" s="3">
        <v>2.8</v>
      </c>
      <c r="F193" s="1">
        <v>40</v>
      </c>
      <c r="G193" s="1">
        <v>50</v>
      </c>
      <c r="H193" s="33">
        <v>96.386921369125758</v>
      </c>
      <c r="I193" s="41">
        <v>350</v>
      </c>
      <c r="J193" s="43">
        <v>300</v>
      </c>
      <c r="K193" s="30">
        <v>182</v>
      </c>
      <c r="L193" s="43">
        <v>150</v>
      </c>
      <c r="M193" s="3">
        <v>0.17</v>
      </c>
      <c r="N193" s="17">
        <v>0.21246004203461805</v>
      </c>
      <c r="O193" s="23">
        <v>259.42359080488586</v>
      </c>
      <c r="P193" s="23">
        <v>95.423685658071264</v>
      </c>
      <c r="Q193" s="24">
        <v>3.7261485294905368E-2</v>
      </c>
      <c r="R193" s="17">
        <v>1.2497649531448118</v>
      </c>
      <c r="S193" s="3">
        <v>0.20471642370993251</v>
      </c>
      <c r="T193" s="23">
        <v>259.42359080488586</v>
      </c>
      <c r="U193" s="30">
        <v>154</v>
      </c>
      <c r="V193" s="35">
        <v>2.1000000000000001E-2</v>
      </c>
      <c r="W193" s="17">
        <f t="shared" si="4"/>
        <v>1.2455637935254833</v>
      </c>
      <c r="X193" s="17">
        <f t="shared" si="5"/>
        <v>0.5535714285714286</v>
      </c>
      <c r="Y193" s="34">
        <v>1.2042142571172501</v>
      </c>
      <c r="Z193" s="34">
        <v>0.21074491629330622</v>
      </c>
      <c r="AA193" s="30">
        <v>259.42359080488586</v>
      </c>
      <c r="AB193" s="30">
        <v>95.423685658071264</v>
      </c>
      <c r="AC193" s="35">
        <v>3.7261485294905368E-2</v>
      </c>
      <c r="AD193" s="34">
        <v>1.2396759781959188</v>
      </c>
      <c r="AE193" s="34">
        <v>0.21898738531756209</v>
      </c>
      <c r="AF193" s="34">
        <v>0.25462724595282982</v>
      </c>
      <c r="AG193" s="30">
        <v>269.91706272159496</v>
      </c>
      <c r="AH193" s="35">
        <v>1.9599999999999999E-2</v>
      </c>
      <c r="AI193" s="17">
        <v>1.2881610901033063</v>
      </c>
    </row>
    <row r="194" spans="1:35" x14ac:dyDescent="0.3">
      <c r="B194" s="1">
        <v>20</v>
      </c>
      <c r="C194" s="1">
        <v>1</v>
      </c>
      <c r="D194" s="4">
        <v>40</v>
      </c>
      <c r="E194" s="3">
        <v>2.8</v>
      </c>
      <c r="F194" s="1">
        <v>40</v>
      </c>
      <c r="G194" s="1">
        <v>50</v>
      </c>
      <c r="H194" s="33">
        <v>96.386921369125758</v>
      </c>
      <c r="I194" s="41">
        <v>350</v>
      </c>
      <c r="J194" s="43">
        <v>300</v>
      </c>
      <c r="K194" s="30">
        <v>182</v>
      </c>
      <c r="L194" s="43">
        <v>150</v>
      </c>
      <c r="M194" s="3">
        <v>0.21</v>
      </c>
      <c r="N194" s="17">
        <v>0.24895166761821755</v>
      </c>
      <c r="O194" s="23">
        <v>294.14771693820313</v>
      </c>
      <c r="P194" s="23">
        <v>95.423685658071264</v>
      </c>
      <c r="Q194" s="24">
        <v>3.7261485294905368E-2</v>
      </c>
      <c r="R194" s="17">
        <v>1.1854841315153217</v>
      </c>
      <c r="S194" s="3">
        <v>0.2472176947443834</v>
      </c>
      <c r="T194" s="23">
        <v>294.14771693820313</v>
      </c>
      <c r="U194" s="30">
        <v>154</v>
      </c>
      <c r="V194" s="35">
        <v>2.1000000000000001E-2</v>
      </c>
      <c r="W194" s="17">
        <f t="shared" si="4"/>
        <v>1.2455637935254833</v>
      </c>
      <c r="X194" s="17">
        <f t="shared" si="5"/>
        <v>0.5535714285714286</v>
      </c>
      <c r="Y194" s="34">
        <v>1.1772271178303972</v>
      </c>
      <c r="Z194" s="34">
        <v>0.24694195600663396</v>
      </c>
      <c r="AA194" s="30">
        <v>294.14771693820313</v>
      </c>
      <c r="AB194" s="30">
        <v>95.423685658071264</v>
      </c>
      <c r="AC194" s="35">
        <v>3.7261485294905368E-2</v>
      </c>
      <c r="AD194" s="34">
        <v>1.1759140762220666</v>
      </c>
      <c r="AE194" s="34">
        <v>0.24829908193613023</v>
      </c>
      <c r="AF194" s="34">
        <v>0.32735343612391454</v>
      </c>
      <c r="AG194" s="30">
        <v>306.04575133622598</v>
      </c>
      <c r="AH194" s="35">
        <v>1.9599999999999999E-2</v>
      </c>
      <c r="AI194" s="17">
        <v>1.1823765806482394</v>
      </c>
    </row>
    <row r="195" spans="1:35" x14ac:dyDescent="0.3">
      <c r="A195" t="s">
        <v>46</v>
      </c>
      <c r="B195" s="1">
        <v>20</v>
      </c>
      <c r="C195" s="1">
        <v>1</v>
      </c>
      <c r="D195" s="4">
        <v>40</v>
      </c>
      <c r="E195" s="3">
        <v>2.8</v>
      </c>
      <c r="F195" s="1">
        <v>40</v>
      </c>
      <c r="G195" s="1">
        <v>50</v>
      </c>
      <c r="H195" s="33">
        <v>96.386921369125758</v>
      </c>
      <c r="I195" s="41">
        <v>350</v>
      </c>
      <c r="J195" s="43">
        <v>300</v>
      </c>
      <c r="K195" s="30">
        <v>182</v>
      </c>
      <c r="L195" s="43">
        <v>150</v>
      </c>
      <c r="M195" s="3">
        <v>0.21</v>
      </c>
      <c r="N195" s="17">
        <v>0.10198880690611019</v>
      </c>
      <c r="O195" s="23">
        <v>154.30311339788094</v>
      </c>
      <c r="P195" s="23">
        <v>95.423685658071264</v>
      </c>
      <c r="Q195" s="24">
        <v>3.7261485294905368E-2</v>
      </c>
      <c r="R195" s="17">
        <v>0.48566098526719137</v>
      </c>
      <c r="S195" s="3">
        <v>7.6052166346253336E-2</v>
      </c>
      <c r="T195" s="23">
        <v>154.30311339788094</v>
      </c>
      <c r="U195" s="30">
        <v>154</v>
      </c>
      <c r="V195" s="35">
        <v>2.1000000000000001E-2</v>
      </c>
      <c r="W195" s="17">
        <f t="shared" si="4"/>
        <v>1.2455637935254833</v>
      </c>
      <c r="X195" s="17">
        <f t="shared" si="5"/>
        <v>0.5535714285714286</v>
      </c>
      <c r="Y195" s="34">
        <v>0.36215317307739686</v>
      </c>
      <c r="Z195" s="34">
        <v>0.10116548207582587</v>
      </c>
      <c r="AA195" s="30">
        <v>154.30311339788094</v>
      </c>
      <c r="AB195" s="30">
        <v>95.423685658071264</v>
      </c>
      <c r="AC195" s="35">
        <v>3.7261485294905368E-2</v>
      </c>
      <c r="AD195" s="34">
        <v>0.48174039083726611</v>
      </c>
      <c r="AE195" s="34">
        <v>0.13025197610025843</v>
      </c>
      <c r="AF195" s="34">
        <v>9.0081439601391769E-2</v>
      </c>
      <c r="AG195" s="30">
        <v>160.54454804180745</v>
      </c>
      <c r="AH195" s="35">
        <v>1.9599999999999999E-2</v>
      </c>
      <c r="AI195" s="17">
        <v>0.42895923619710369</v>
      </c>
    </row>
    <row r="196" spans="1:35" x14ac:dyDescent="0.3">
      <c r="B196" s="1">
        <v>20</v>
      </c>
      <c r="C196" s="1">
        <v>1</v>
      </c>
      <c r="D196" s="4">
        <v>40</v>
      </c>
      <c r="E196" s="3">
        <v>2.8</v>
      </c>
      <c r="F196" s="1">
        <v>40</v>
      </c>
      <c r="G196" s="1">
        <v>50</v>
      </c>
      <c r="H196" s="33">
        <v>96.386921369125758</v>
      </c>
      <c r="I196" s="41">
        <v>350</v>
      </c>
      <c r="J196" s="43">
        <v>300</v>
      </c>
      <c r="K196" s="30">
        <v>182</v>
      </c>
      <c r="L196" s="43">
        <v>150</v>
      </c>
      <c r="M196" s="3">
        <v>0.25</v>
      </c>
      <c r="N196" s="17">
        <v>0.13985042525905989</v>
      </c>
      <c r="O196" s="23">
        <v>190.33087566589617</v>
      </c>
      <c r="P196" s="23">
        <v>95.423685658071264</v>
      </c>
      <c r="Q196" s="24">
        <v>3.7261485294905368E-2</v>
      </c>
      <c r="R196" s="17">
        <v>0.55940170103623954</v>
      </c>
      <c r="S196" s="3">
        <v>0.12014904823865298</v>
      </c>
      <c r="T196" s="23">
        <v>190.33087566589617</v>
      </c>
      <c r="U196" s="30">
        <v>154</v>
      </c>
      <c r="V196" s="35">
        <v>2.1000000000000001E-2</v>
      </c>
      <c r="W196" s="17">
        <f t="shared" ref="W196:W259" si="6">(I196-H196)/(J196-H196)</f>
        <v>1.2455637935254833</v>
      </c>
      <c r="X196" s="17">
        <f t="shared" ref="X196:X259" si="7">0.5*(1+(I196-K196-L196)/(I196-K196))</f>
        <v>0.5535714285714286</v>
      </c>
      <c r="Y196" s="34">
        <v>0.48059619295461192</v>
      </c>
      <c r="Z196" s="34">
        <v>0.13872145502071204</v>
      </c>
      <c r="AA196" s="30">
        <v>190.33087566589617</v>
      </c>
      <c r="AB196" s="30">
        <v>95.423685658071264</v>
      </c>
      <c r="AC196" s="35">
        <v>3.7261485294905368E-2</v>
      </c>
      <c r="AD196" s="34">
        <v>0.55488582008284815</v>
      </c>
      <c r="AE196" s="34">
        <v>0.16066411184102541</v>
      </c>
      <c r="AF196" s="34">
        <v>0.13705801304842097</v>
      </c>
      <c r="AG196" s="30">
        <v>198.02960380579324</v>
      </c>
      <c r="AH196" s="35">
        <v>1.9599999999999999E-2</v>
      </c>
      <c r="AI196" s="17">
        <v>0.54823205219368387</v>
      </c>
    </row>
    <row r="197" spans="1:35" x14ac:dyDescent="0.3">
      <c r="B197" s="1">
        <v>20</v>
      </c>
      <c r="C197" s="1">
        <v>1</v>
      </c>
      <c r="D197" s="4">
        <v>40</v>
      </c>
      <c r="E197" s="3">
        <v>2.8</v>
      </c>
      <c r="F197" s="1">
        <v>40</v>
      </c>
      <c r="G197" s="1">
        <v>50</v>
      </c>
      <c r="H197" s="33">
        <v>96.386921369125758</v>
      </c>
      <c r="I197" s="41">
        <v>350</v>
      </c>
      <c r="J197" s="43">
        <v>300</v>
      </c>
      <c r="K197" s="30">
        <v>182</v>
      </c>
      <c r="L197" s="43">
        <v>150</v>
      </c>
      <c r="M197" s="3">
        <v>0.28999999999999998</v>
      </c>
      <c r="N197" s="17">
        <v>0.17559478205937751</v>
      </c>
      <c r="O197" s="23">
        <v>224.34392754392366</v>
      </c>
      <c r="P197" s="23">
        <v>95.423685658071264</v>
      </c>
      <c r="Q197" s="24">
        <v>3.7261485294905368E-2</v>
      </c>
      <c r="R197" s="17">
        <v>0.6054992484806121</v>
      </c>
      <c r="S197" s="3">
        <v>0.16177998607785915</v>
      </c>
      <c r="T197" s="23">
        <v>224.34392754392366</v>
      </c>
      <c r="U197" s="30">
        <v>154</v>
      </c>
      <c r="V197" s="35">
        <v>2.1000000000000001E-2</v>
      </c>
      <c r="W197" s="17">
        <f t="shared" si="6"/>
        <v>1.2455637935254833</v>
      </c>
      <c r="X197" s="17">
        <f t="shared" si="7"/>
        <v>0.5535714285714286</v>
      </c>
      <c r="Y197" s="34">
        <v>0.55786202095813509</v>
      </c>
      <c r="Z197" s="34">
        <v>0.17417725842591705</v>
      </c>
      <c r="AA197" s="30">
        <v>224.34392754392366</v>
      </c>
      <c r="AB197" s="30">
        <v>95.423685658071264</v>
      </c>
      <c r="AC197" s="35">
        <v>3.7261485294905368E-2</v>
      </c>
      <c r="AD197" s="34">
        <v>0.60061123595143817</v>
      </c>
      <c r="AE197" s="34">
        <v>0.18937556893839419</v>
      </c>
      <c r="AF197" s="34">
        <v>0.19042088424647874</v>
      </c>
      <c r="AG197" s="30">
        <v>233.41845579350345</v>
      </c>
      <c r="AH197" s="35">
        <v>1.9599999999999999E-2</v>
      </c>
      <c r="AI197" s="17">
        <v>0.65301920323584206</v>
      </c>
    </row>
    <row r="198" spans="1:35" x14ac:dyDescent="0.3">
      <c r="B198" s="1">
        <v>20</v>
      </c>
      <c r="C198" s="1">
        <v>1</v>
      </c>
      <c r="D198" s="4">
        <v>40</v>
      </c>
      <c r="E198" s="3">
        <v>2.8</v>
      </c>
      <c r="F198" s="1">
        <v>40</v>
      </c>
      <c r="G198" s="1">
        <v>50</v>
      </c>
      <c r="H198" s="33">
        <v>96.386921369125758</v>
      </c>
      <c r="I198" s="41">
        <v>350</v>
      </c>
      <c r="J198" s="43">
        <v>300</v>
      </c>
      <c r="K198" s="30">
        <v>182</v>
      </c>
      <c r="L198" s="43">
        <v>150</v>
      </c>
      <c r="M198" s="3">
        <v>0.33</v>
      </c>
      <c r="N198" s="17">
        <v>0.21146368365690876</v>
      </c>
      <c r="O198" s="23">
        <v>258.47549179783277</v>
      </c>
      <c r="P198" s="23">
        <v>95.423685658071264</v>
      </c>
      <c r="Q198" s="24">
        <v>3.7261485294905368E-2</v>
      </c>
      <c r="R198" s="17">
        <v>0.640799041384572</v>
      </c>
      <c r="S198" s="3">
        <v>0.2035559794496061</v>
      </c>
      <c r="T198" s="23">
        <v>258.47549179783277</v>
      </c>
      <c r="U198" s="30">
        <v>154</v>
      </c>
      <c r="V198" s="35">
        <v>2.1000000000000001E-2</v>
      </c>
      <c r="W198" s="17">
        <f t="shared" si="6"/>
        <v>1.2455637935254833</v>
      </c>
      <c r="X198" s="17">
        <f t="shared" si="7"/>
        <v>0.5535714285714286</v>
      </c>
      <c r="Y198" s="34">
        <v>0.61683630136244272</v>
      </c>
      <c r="Z198" s="34">
        <v>0.20975660121580914</v>
      </c>
      <c r="AA198" s="30">
        <v>258.47549179783277</v>
      </c>
      <c r="AB198" s="30">
        <v>95.423685658071264</v>
      </c>
      <c r="AC198" s="35">
        <v>3.7261485294905368E-2</v>
      </c>
      <c r="AD198" s="34">
        <v>0.63562606429033064</v>
      </c>
      <c r="AE198" s="34">
        <v>0.21818706595596291</v>
      </c>
      <c r="AF198" s="34">
        <v>0.25276950663150632</v>
      </c>
      <c r="AG198" s="30">
        <v>268.93061388570055</v>
      </c>
      <c r="AH198" s="35">
        <v>1.9599999999999999E-2</v>
      </c>
      <c r="AI198" s="17">
        <v>0.66117292713928155</v>
      </c>
    </row>
    <row r="199" spans="1:35" x14ac:dyDescent="0.3">
      <c r="B199" s="1">
        <v>20</v>
      </c>
      <c r="C199" s="1">
        <v>1</v>
      </c>
      <c r="D199" s="4">
        <v>40</v>
      </c>
      <c r="E199" s="3">
        <v>2.8</v>
      </c>
      <c r="F199" s="1">
        <v>40</v>
      </c>
      <c r="G199" s="1">
        <v>50</v>
      </c>
      <c r="H199" s="33">
        <v>96.386921369125758</v>
      </c>
      <c r="I199" s="41">
        <v>350</v>
      </c>
      <c r="J199" s="43">
        <v>300</v>
      </c>
      <c r="K199" s="30">
        <v>182</v>
      </c>
      <c r="L199" s="43">
        <v>150</v>
      </c>
      <c r="M199" s="3">
        <v>0.37</v>
      </c>
      <c r="N199" s="17">
        <v>0.26215341612286447</v>
      </c>
      <c r="O199" s="23">
        <v>306.71002878165581</v>
      </c>
      <c r="P199" s="23">
        <v>95.423685658071264</v>
      </c>
      <c r="Q199" s="24">
        <v>3.7261485294905368E-2</v>
      </c>
      <c r="R199" s="17">
        <v>0.70852274627801204</v>
      </c>
      <c r="S199" s="3">
        <v>0.26259358119370696</v>
      </c>
      <c r="T199" s="23">
        <v>306.71002878165581</v>
      </c>
      <c r="U199" s="30">
        <v>154</v>
      </c>
      <c r="V199" s="35">
        <v>2.1000000000000001E-2</v>
      </c>
      <c r="W199" s="17">
        <f t="shared" si="6"/>
        <v>1.2455637935254833</v>
      </c>
      <c r="X199" s="17">
        <f t="shared" si="7"/>
        <v>0.5535714285714286</v>
      </c>
      <c r="Y199" s="34">
        <v>0.70971238160461336</v>
      </c>
      <c r="Z199" s="34">
        <v>0.26003713078346924</v>
      </c>
      <c r="AA199" s="30">
        <v>306.71002878165581</v>
      </c>
      <c r="AB199" s="30">
        <v>95.423685658071264</v>
      </c>
      <c r="AC199" s="35">
        <v>3.7261485294905368E-2</v>
      </c>
      <c r="AD199" s="34">
        <v>0.70280305617153849</v>
      </c>
      <c r="AE199" s="34">
        <v>0.25890331347731865</v>
      </c>
      <c r="AF199" s="34">
        <v>0.35591139567956681</v>
      </c>
      <c r="AG199" s="30">
        <v>319.11619841182625</v>
      </c>
      <c r="AH199" s="35">
        <v>1.9599999999999999E-2</v>
      </c>
      <c r="AI199" s="17">
        <v>0.69973868507383419</v>
      </c>
    </row>
    <row r="200" spans="1:35" x14ac:dyDescent="0.3">
      <c r="A200" t="s">
        <v>47</v>
      </c>
      <c r="B200" s="1">
        <v>20</v>
      </c>
      <c r="C200" s="1">
        <v>6</v>
      </c>
      <c r="D200" s="4">
        <v>84</v>
      </c>
      <c r="E200" s="3">
        <v>3.5088212858554391</v>
      </c>
      <c r="F200" s="1">
        <v>50</v>
      </c>
      <c r="G200" s="1">
        <v>64</v>
      </c>
      <c r="H200" s="33">
        <v>96.251010941284974</v>
      </c>
      <c r="I200" s="41">
        <v>400</v>
      </c>
      <c r="J200" s="43">
        <v>336</v>
      </c>
      <c r="K200" s="30">
        <v>205</v>
      </c>
      <c r="L200" s="43">
        <v>164</v>
      </c>
      <c r="M200" s="3">
        <v>0.15</v>
      </c>
      <c r="N200" s="17">
        <v>0.13165888294921016</v>
      </c>
      <c r="O200" s="23">
        <v>179.8880402629556</v>
      </c>
      <c r="P200" s="23">
        <v>134.73248610695447</v>
      </c>
      <c r="Q200" s="24">
        <v>3.1012448894699375E-2</v>
      </c>
      <c r="R200" s="17">
        <v>0.87772588632806781</v>
      </c>
      <c r="S200" s="3">
        <v>0.11112967472357412</v>
      </c>
      <c r="T200" s="23">
        <v>179.8880402629556</v>
      </c>
      <c r="U200" s="30">
        <v>205</v>
      </c>
      <c r="V200" s="35">
        <v>1.9146341463414634E-2</v>
      </c>
      <c r="W200" s="17">
        <f t="shared" si="6"/>
        <v>1.266945859714663</v>
      </c>
      <c r="X200" s="17">
        <f t="shared" si="7"/>
        <v>0.57948717948717943</v>
      </c>
      <c r="Y200" s="34">
        <v>0.74086449815716082</v>
      </c>
      <c r="Z200" s="34">
        <v>0.14372200877992905</v>
      </c>
      <c r="AA200" s="30">
        <v>179.8880402629556</v>
      </c>
      <c r="AB200" s="30">
        <v>134.73248610695447</v>
      </c>
      <c r="AC200" s="35">
        <v>3.1012448894699375E-2</v>
      </c>
      <c r="AD200" s="34">
        <v>0.95814672519952704</v>
      </c>
      <c r="AE200" s="34">
        <v>0.18553423573636568</v>
      </c>
      <c r="AF200" s="34">
        <v>0.1026441456405006</v>
      </c>
      <c r="AG200" s="30">
        <v>188.29032467668762</v>
      </c>
      <c r="AH200" s="35">
        <v>1.6299999999999999E-2</v>
      </c>
      <c r="AI200" s="17">
        <v>0.68429430427000404</v>
      </c>
    </row>
    <row r="201" spans="1:35" x14ac:dyDescent="0.3">
      <c r="B201" s="1">
        <v>20</v>
      </c>
      <c r="C201" s="1">
        <v>6</v>
      </c>
      <c r="D201" s="4">
        <v>84</v>
      </c>
      <c r="E201" s="3">
        <v>3.5088212858554391</v>
      </c>
      <c r="F201" s="1">
        <v>50</v>
      </c>
      <c r="G201" s="1">
        <v>64</v>
      </c>
      <c r="H201" s="33">
        <v>96.251010941284974</v>
      </c>
      <c r="I201" s="41">
        <v>400</v>
      </c>
      <c r="J201" s="43">
        <v>336</v>
      </c>
      <c r="K201" s="30">
        <v>205</v>
      </c>
      <c r="L201" s="43">
        <v>164</v>
      </c>
      <c r="M201" s="3">
        <v>0.23</v>
      </c>
      <c r="N201" s="17">
        <v>0.19201766444682036</v>
      </c>
      <c r="O201" s="23">
        <v>225.29667178564338</v>
      </c>
      <c r="P201" s="23">
        <v>134.73248610695447</v>
      </c>
      <c r="Q201" s="24">
        <v>3.1012448894699375E-2</v>
      </c>
      <c r="R201" s="17">
        <v>0.83485941063834934</v>
      </c>
      <c r="S201" s="3">
        <v>0.15812571226520117</v>
      </c>
      <c r="T201" s="23">
        <v>225.29667178564338</v>
      </c>
      <c r="U201" s="30">
        <v>205</v>
      </c>
      <c r="V201" s="35">
        <v>1.9146341463414634E-2</v>
      </c>
      <c r="W201" s="17">
        <f t="shared" si="6"/>
        <v>1.266945859714663</v>
      </c>
      <c r="X201" s="17">
        <f t="shared" si="7"/>
        <v>0.57948717948717943</v>
      </c>
      <c r="Y201" s="34">
        <v>0.68750309680522248</v>
      </c>
      <c r="Z201" s="34">
        <v>0.19235738777105407</v>
      </c>
      <c r="AA201" s="30">
        <v>225.29667178564338</v>
      </c>
      <c r="AB201" s="30">
        <v>134.73248610695447</v>
      </c>
      <c r="AC201" s="35">
        <v>3.1012448894699375E-2</v>
      </c>
      <c r="AD201" s="34">
        <v>0.83633646856980026</v>
      </c>
      <c r="AE201" s="34">
        <v>0.23236812048535119</v>
      </c>
      <c r="AF201" s="34">
        <v>0.16100492295254692</v>
      </c>
      <c r="AG201" s="30">
        <v>235.81992119701653</v>
      </c>
      <c r="AH201" s="35">
        <v>1.6299999999999999E-2</v>
      </c>
      <c r="AI201" s="17">
        <v>0.70002140414150837</v>
      </c>
    </row>
    <row r="202" spans="1:35" x14ac:dyDescent="0.3">
      <c r="B202" s="1">
        <v>20</v>
      </c>
      <c r="C202" s="1">
        <v>6</v>
      </c>
      <c r="D202" s="4">
        <v>84</v>
      </c>
      <c r="E202" s="3">
        <v>3.5088212858554391</v>
      </c>
      <c r="F202" s="1">
        <v>50</v>
      </c>
      <c r="G202" s="1">
        <v>64</v>
      </c>
      <c r="H202" s="33">
        <v>96.251010941284974</v>
      </c>
      <c r="I202" s="41">
        <v>400</v>
      </c>
      <c r="J202" s="43">
        <v>336</v>
      </c>
      <c r="K202" s="30">
        <v>205</v>
      </c>
      <c r="L202" s="43">
        <v>164</v>
      </c>
      <c r="M202" s="3">
        <v>0.28000000000000003</v>
      </c>
      <c r="N202" s="17">
        <v>0.25237644594443065</v>
      </c>
      <c r="O202" s="23">
        <v>270.70530330833117</v>
      </c>
      <c r="P202" s="23">
        <v>134.73248610695447</v>
      </c>
      <c r="Q202" s="24">
        <v>3.1012448894699375E-2</v>
      </c>
      <c r="R202" s="17">
        <v>0.90134444980153794</v>
      </c>
      <c r="S202" s="3">
        <v>0.22825608951794205</v>
      </c>
      <c r="T202" s="23">
        <v>270.70530330833117</v>
      </c>
      <c r="U202" s="30">
        <v>205</v>
      </c>
      <c r="V202" s="35">
        <v>1.9146341463414634E-2</v>
      </c>
      <c r="W202" s="17">
        <f t="shared" si="6"/>
        <v>1.266945859714663</v>
      </c>
      <c r="X202" s="17">
        <f t="shared" si="7"/>
        <v>0.57948717948717943</v>
      </c>
      <c r="Y202" s="34">
        <v>0.81520031970693585</v>
      </c>
      <c r="Z202" s="34">
        <v>0.25282295780791741</v>
      </c>
      <c r="AA202" s="30">
        <v>270.70530330833117</v>
      </c>
      <c r="AB202" s="30">
        <v>134.73248610695447</v>
      </c>
      <c r="AC202" s="35">
        <v>3.1012448894699375E-2</v>
      </c>
      <c r="AD202" s="34">
        <v>0.90293913502827639</v>
      </c>
      <c r="AE202" s="34">
        <v>0.27920200523433669</v>
      </c>
      <c r="AF202" s="34">
        <v>0.2324465641448796</v>
      </c>
      <c r="AG202" s="30">
        <v>283.34951771734546</v>
      </c>
      <c r="AH202" s="35">
        <v>1.6299999999999999E-2</v>
      </c>
      <c r="AI202" s="17">
        <v>0.83016630051742712</v>
      </c>
    </row>
    <row r="203" spans="1:35" x14ac:dyDescent="0.3">
      <c r="A203" t="s">
        <v>48</v>
      </c>
      <c r="B203" s="1">
        <v>20</v>
      </c>
      <c r="C203" s="1">
        <v>9</v>
      </c>
      <c r="D203" s="4">
        <v>45</v>
      </c>
      <c r="E203" s="3">
        <v>3.5088212858554391</v>
      </c>
      <c r="F203" s="1">
        <v>50</v>
      </c>
      <c r="G203" s="1">
        <v>64</v>
      </c>
      <c r="H203" s="33">
        <v>113.55033398296069</v>
      </c>
      <c r="I203" s="41">
        <v>400</v>
      </c>
      <c r="J203" s="43">
        <v>336</v>
      </c>
      <c r="K203" s="30">
        <v>208</v>
      </c>
      <c r="L203" s="43">
        <v>164</v>
      </c>
      <c r="M203" s="3">
        <v>0.18</v>
      </c>
      <c r="N203" s="17">
        <v>0.12272095972411494</v>
      </c>
      <c r="O203" s="23">
        <v>176.83957373352104</v>
      </c>
      <c r="P203" s="23">
        <v>92.722529128704892</v>
      </c>
      <c r="Q203" s="24">
        <v>4.9328037963777847E-2</v>
      </c>
      <c r="R203" s="17">
        <v>0.68178310957841637</v>
      </c>
      <c r="S203" s="3">
        <v>0.11794821671353553</v>
      </c>
      <c r="T203" s="23">
        <v>176.83957373352104</v>
      </c>
      <c r="U203" s="30">
        <v>144</v>
      </c>
      <c r="V203" s="35">
        <v>2.8719512195121952E-2</v>
      </c>
      <c r="W203" s="17">
        <f t="shared" si="6"/>
        <v>1.2877055342267751</v>
      </c>
      <c r="X203" s="17">
        <f t="shared" si="7"/>
        <v>0.57291666666666663</v>
      </c>
      <c r="Y203" s="34">
        <v>0.65526787063075298</v>
      </c>
      <c r="Z203" s="34">
        <v>0.13790150792584993</v>
      </c>
      <c r="AA203" s="30">
        <v>176.83957373352104</v>
      </c>
      <c r="AB203" s="30">
        <v>92.722529128704892</v>
      </c>
      <c r="AC203" s="35">
        <v>4.9328037963777847E-2</v>
      </c>
      <c r="AD203" s="34">
        <v>0.76611948847694411</v>
      </c>
      <c r="AE203" s="34">
        <v>0.15058108016807392</v>
      </c>
      <c r="AF203" s="34">
        <v>0.10035281057140449</v>
      </c>
      <c r="AG203" s="30">
        <v>186.17685184047309</v>
      </c>
      <c r="AH203" s="35">
        <v>2.06E-2</v>
      </c>
      <c r="AI203" s="17">
        <v>0.5575156142855805</v>
      </c>
    </row>
    <row r="204" spans="1:35" x14ac:dyDescent="0.3">
      <c r="B204" s="1">
        <v>20</v>
      </c>
      <c r="C204" s="1">
        <v>9</v>
      </c>
      <c r="D204" s="4">
        <v>45</v>
      </c>
      <c r="E204" s="3">
        <v>3.5088212858554391</v>
      </c>
      <c r="F204" s="1">
        <v>50</v>
      </c>
      <c r="G204" s="1">
        <v>64</v>
      </c>
      <c r="H204" s="33">
        <v>113.55033398296069</v>
      </c>
      <c r="I204" s="41">
        <v>400</v>
      </c>
      <c r="J204" s="43">
        <v>336</v>
      </c>
      <c r="K204" s="30">
        <v>208</v>
      </c>
      <c r="L204" s="43">
        <v>164</v>
      </c>
      <c r="M204" s="3">
        <v>0.26</v>
      </c>
      <c r="N204" s="17">
        <v>0.16718299484634599</v>
      </c>
      <c r="O204" s="23">
        <v>220.75275647271758</v>
      </c>
      <c r="P204" s="23">
        <v>92.722529128704892</v>
      </c>
      <c r="Q204" s="24">
        <v>4.9328037963777847E-2</v>
      </c>
      <c r="R204" s="17">
        <v>0.64301151863979222</v>
      </c>
      <c r="S204" s="3">
        <v>0.17512939694084201</v>
      </c>
      <c r="T204" s="23">
        <v>220.75275647271758</v>
      </c>
      <c r="U204" s="30">
        <v>144</v>
      </c>
      <c r="V204" s="35">
        <v>2.8719512195121952E-2</v>
      </c>
      <c r="W204" s="17">
        <f t="shared" si="6"/>
        <v>1.2877055342267751</v>
      </c>
      <c r="X204" s="17">
        <f t="shared" si="7"/>
        <v>0.57291666666666663</v>
      </c>
      <c r="Y204" s="34">
        <v>0.67357460361862309</v>
      </c>
      <c r="Z204" s="34">
        <v>0.18786348428743904</v>
      </c>
      <c r="AA204" s="30">
        <v>220.75275647271758</v>
      </c>
      <c r="AB204" s="30">
        <v>92.722529128704892</v>
      </c>
      <c r="AC204" s="35">
        <v>4.9328037963777847E-2</v>
      </c>
      <c r="AD204" s="34">
        <v>0.72255186264399629</v>
      </c>
      <c r="AE204" s="34">
        <v>0.18797369739101846</v>
      </c>
      <c r="AF204" s="34">
        <v>0.15638060603253504</v>
      </c>
      <c r="AG204" s="30">
        <v>232.40868753240267</v>
      </c>
      <c r="AH204" s="35">
        <v>2.06E-2</v>
      </c>
      <c r="AI204" s="17">
        <v>0.60146386935590401</v>
      </c>
    </row>
    <row r="205" spans="1:35" x14ac:dyDescent="0.3">
      <c r="B205" s="1">
        <v>20</v>
      </c>
      <c r="C205" s="1">
        <v>9</v>
      </c>
      <c r="D205" s="4">
        <v>45</v>
      </c>
      <c r="E205" s="3">
        <v>3.5088212858554391</v>
      </c>
      <c r="F205" s="1">
        <v>50</v>
      </c>
      <c r="G205" s="1">
        <v>64</v>
      </c>
      <c r="H205" s="33">
        <v>113.55033398296069</v>
      </c>
      <c r="I205" s="41">
        <v>400</v>
      </c>
      <c r="J205" s="43">
        <v>336</v>
      </c>
      <c r="K205" s="30">
        <v>208</v>
      </c>
      <c r="L205" s="43">
        <v>164</v>
      </c>
      <c r="M205" s="3">
        <v>0.34</v>
      </c>
      <c r="N205" s="17">
        <v>0.21164502996857701</v>
      </c>
      <c r="O205" s="23">
        <v>264.66593921191406</v>
      </c>
      <c r="P205" s="23">
        <v>92.722529128704892</v>
      </c>
      <c r="Q205" s="24">
        <v>4.9328037963777847E-2</v>
      </c>
      <c r="R205" s="17">
        <v>0.62248538226052053</v>
      </c>
      <c r="S205" s="3">
        <v>0.23231057716814843</v>
      </c>
      <c r="T205" s="23">
        <v>264.66593921191406</v>
      </c>
      <c r="U205" s="30">
        <v>144</v>
      </c>
      <c r="V205" s="35">
        <v>2.8719512195121952E-2</v>
      </c>
      <c r="W205" s="17">
        <f t="shared" si="6"/>
        <v>1.2877055342267751</v>
      </c>
      <c r="X205" s="17">
        <f t="shared" si="7"/>
        <v>0.57291666666666663</v>
      </c>
      <c r="Y205" s="34">
        <v>0.68326640343573064</v>
      </c>
      <c r="Z205" s="34">
        <v>0.23782546064902813</v>
      </c>
      <c r="AA205" s="30">
        <v>264.66593921191406</v>
      </c>
      <c r="AB205" s="30">
        <v>92.722529128704892</v>
      </c>
      <c r="AC205" s="35">
        <v>4.9328037963777847E-2</v>
      </c>
      <c r="AD205" s="34">
        <v>0.69948664896772972</v>
      </c>
      <c r="AE205" s="34">
        <v>0.22536631461396298</v>
      </c>
      <c r="AF205" s="34">
        <v>0.22478469064030332</v>
      </c>
      <c r="AG205" s="30">
        <v>278.64052322433218</v>
      </c>
      <c r="AH205" s="35">
        <v>2.06E-2</v>
      </c>
      <c r="AI205" s="17">
        <v>0.66113144305971561</v>
      </c>
    </row>
    <row r="206" spans="1:35" x14ac:dyDescent="0.3">
      <c r="A206" t="s">
        <v>49</v>
      </c>
      <c r="B206" s="1">
        <v>16</v>
      </c>
      <c r="C206" s="1">
        <v>2</v>
      </c>
      <c r="D206" s="4">
        <v>52</v>
      </c>
      <c r="E206" s="3">
        <v>3.42</v>
      </c>
      <c r="F206" s="1">
        <v>27</v>
      </c>
      <c r="G206" s="1">
        <v>35</v>
      </c>
      <c r="H206" s="33">
        <v>69.840426640711158</v>
      </c>
      <c r="I206" s="41">
        <v>235</v>
      </c>
      <c r="J206" s="43">
        <v>200</v>
      </c>
      <c r="K206" s="30">
        <v>123</v>
      </c>
      <c r="L206" s="43">
        <v>115</v>
      </c>
      <c r="M206" s="3">
        <v>0.15</v>
      </c>
      <c r="N206" s="17">
        <v>0.12947798925127468</v>
      </c>
      <c r="O206" s="23">
        <v>234.72234542321382</v>
      </c>
      <c r="P206" s="23">
        <v>94.165512992369187</v>
      </c>
      <c r="Q206" s="24">
        <v>4.8680193563528699E-2</v>
      </c>
      <c r="R206" s="17">
        <v>0.86318659500849793</v>
      </c>
      <c r="S206" s="3">
        <v>0.1175277819493063</v>
      </c>
      <c r="T206" s="23">
        <v>234.72234542321382</v>
      </c>
      <c r="U206" s="30">
        <v>171</v>
      </c>
      <c r="V206" s="35">
        <v>2.3304347826086955E-2</v>
      </c>
      <c r="W206" s="17">
        <f t="shared" si="6"/>
        <v>1.2689006970189352</v>
      </c>
      <c r="X206" s="17">
        <f t="shared" si="7"/>
        <v>0.48660714285714285</v>
      </c>
      <c r="Y206" s="34">
        <v>0.78351854632870865</v>
      </c>
      <c r="Z206" s="34">
        <v>0.13159532895532036</v>
      </c>
      <c r="AA206" s="30">
        <v>234.72234542321382</v>
      </c>
      <c r="AB206" s="30">
        <v>94.165512992369187</v>
      </c>
      <c r="AC206" s="35">
        <v>4.8680193563528699E-2</v>
      </c>
      <c r="AD206" s="34">
        <v>0.87730219303546908</v>
      </c>
      <c r="AE206" s="34">
        <v>0.17990147855742625</v>
      </c>
      <c r="AF206" s="34">
        <v>0.15021092609657113</v>
      </c>
      <c r="AG206" s="30">
        <v>245.36039355332269</v>
      </c>
      <c r="AH206" s="35">
        <v>1.8800000000000001E-2</v>
      </c>
      <c r="AI206" s="17">
        <v>1.0014061739771409</v>
      </c>
    </row>
    <row r="207" spans="1:35" x14ac:dyDescent="0.3">
      <c r="B207" s="1">
        <v>16</v>
      </c>
      <c r="C207" s="1">
        <v>2</v>
      </c>
      <c r="D207" s="4">
        <v>52</v>
      </c>
      <c r="E207" s="3">
        <v>3.42</v>
      </c>
      <c r="F207" s="1">
        <v>27</v>
      </c>
      <c r="G207" s="1">
        <v>35</v>
      </c>
      <c r="H207" s="33">
        <v>69.840426640711158</v>
      </c>
      <c r="I207" s="41">
        <v>235</v>
      </c>
      <c r="J207" s="43">
        <v>200</v>
      </c>
      <c r="K207" s="30">
        <v>123</v>
      </c>
      <c r="L207" s="43">
        <v>115</v>
      </c>
      <c r="M207" s="3">
        <v>0.19</v>
      </c>
      <c r="N207" s="17">
        <v>0.18827950796327195</v>
      </c>
      <c r="O207" s="23">
        <v>315.66108522432211</v>
      </c>
      <c r="P207" s="23">
        <v>94.165512992369187</v>
      </c>
      <c r="Q207" s="24">
        <v>4.8680193563528699E-2</v>
      </c>
      <c r="R207" s="17">
        <v>0.99094477875406284</v>
      </c>
      <c r="S207" s="3">
        <v>0.18941639586178169</v>
      </c>
      <c r="T207" s="23">
        <v>315.66108522432211</v>
      </c>
      <c r="U207" s="30">
        <v>171</v>
      </c>
      <c r="V207" s="35">
        <v>2.3304347826086955E-2</v>
      </c>
      <c r="W207" s="17">
        <f t="shared" si="6"/>
        <v>1.2689006970189352</v>
      </c>
      <c r="X207" s="17">
        <f t="shared" si="7"/>
        <v>0.48660714285714285</v>
      </c>
      <c r="Y207" s="34">
        <v>0.99692839927253518</v>
      </c>
      <c r="Z207" s="34">
        <v>0.19135842261103625</v>
      </c>
      <c r="AA207" s="30">
        <v>315.66108522432211</v>
      </c>
      <c r="AB207" s="30">
        <v>94.165512992369187</v>
      </c>
      <c r="AC207" s="35">
        <v>4.8680193563528699E-2</v>
      </c>
      <c r="AD207" s="34">
        <v>1.0071495926896645</v>
      </c>
      <c r="AE207" s="34">
        <v>0.24193647116343533</v>
      </c>
      <c r="AF207" s="34">
        <v>0.27166565825551103</v>
      </c>
      <c r="AG207" s="30">
        <v>329.96742581308922</v>
      </c>
      <c r="AH207" s="35">
        <v>1.8800000000000001E-2</v>
      </c>
      <c r="AI207" s="17">
        <v>1.273349848228607</v>
      </c>
    </row>
    <row r="208" spans="1:35" x14ac:dyDescent="0.3">
      <c r="B208" s="1">
        <v>16</v>
      </c>
      <c r="C208" s="1">
        <v>2</v>
      </c>
      <c r="D208" s="4">
        <v>52</v>
      </c>
      <c r="E208" s="3">
        <v>3.42</v>
      </c>
      <c r="F208" s="1">
        <v>27</v>
      </c>
      <c r="G208" s="1">
        <v>35</v>
      </c>
      <c r="H208" s="33">
        <v>69.840426640711158</v>
      </c>
      <c r="I208" s="41">
        <v>235</v>
      </c>
      <c r="J208" s="43">
        <v>200</v>
      </c>
      <c r="K208" s="30">
        <v>123</v>
      </c>
      <c r="L208" s="43">
        <v>115</v>
      </c>
      <c r="M208" s="3">
        <v>0.22</v>
      </c>
      <c r="N208" s="17">
        <v>0.22356041919047023</v>
      </c>
      <c r="O208" s="23">
        <v>364.22432910498702</v>
      </c>
      <c r="P208" s="23">
        <v>94.165512992369187</v>
      </c>
      <c r="Q208" s="24">
        <v>4.8680193563528699E-2</v>
      </c>
      <c r="R208" s="17">
        <v>1.0161837235930464</v>
      </c>
      <c r="S208" s="3">
        <v>0.23254956420926687</v>
      </c>
      <c r="T208" s="23">
        <v>364.22432910498702</v>
      </c>
      <c r="U208" s="30">
        <v>171</v>
      </c>
      <c r="V208" s="35">
        <v>2.3304347826086955E-2</v>
      </c>
      <c r="W208" s="17">
        <f t="shared" si="6"/>
        <v>1.2689006970189352</v>
      </c>
      <c r="X208" s="17">
        <f t="shared" si="7"/>
        <v>0.48660714285714285</v>
      </c>
      <c r="Y208" s="34">
        <v>1.0570434736784857</v>
      </c>
      <c r="Z208" s="34">
        <v>0.22721627880446577</v>
      </c>
      <c r="AA208" s="30">
        <v>364.22432910498702</v>
      </c>
      <c r="AB208" s="30">
        <v>94.165512992369187</v>
      </c>
      <c r="AC208" s="35">
        <v>4.8680193563528699E-2</v>
      </c>
      <c r="AD208" s="34">
        <v>1.0328012672930262</v>
      </c>
      <c r="AE208" s="34">
        <v>0.27915746672704078</v>
      </c>
      <c r="AF208" s="34">
        <v>0.36168504797331352</v>
      </c>
      <c r="AG208" s="30">
        <v>380.73164516894911</v>
      </c>
      <c r="AH208" s="35">
        <v>1.8800000000000001E-2</v>
      </c>
      <c r="AI208" s="17">
        <v>1.2688975760320036</v>
      </c>
    </row>
    <row r="209" spans="1:35" x14ac:dyDescent="0.3">
      <c r="B209" s="1">
        <v>16</v>
      </c>
      <c r="C209" s="1">
        <v>2</v>
      </c>
      <c r="D209" s="4">
        <v>52</v>
      </c>
      <c r="E209" s="3">
        <v>3.42</v>
      </c>
      <c r="F209" s="1">
        <v>27</v>
      </c>
      <c r="G209" s="1">
        <v>35</v>
      </c>
      <c r="H209" s="33">
        <v>69.840426640711158</v>
      </c>
      <c r="I209" s="41">
        <v>235</v>
      </c>
      <c r="J209" s="43">
        <v>200</v>
      </c>
      <c r="K209" s="30">
        <v>123</v>
      </c>
      <c r="L209" s="43">
        <v>115</v>
      </c>
      <c r="M209" s="3">
        <v>0.22</v>
      </c>
      <c r="N209" s="17">
        <v>0.25296117854646882</v>
      </c>
      <c r="O209" s="23">
        <v>404.69369900554108</v>
      </c>
      <c r="P209" s="23">
        <v>94.165512992369187</v>
      </c>
      <c r="Q209" s="24">
        <v>4.8680193563528699E-2</v>
      </c>
      <c r="R209" s="17">
        <v>1.1498235388475855</v>
      </c>
      <c r="S209" s="3">
        <v>0.26849387116550444</v>
      </c>
      <c r="T209" s="23">
        <v>404.69369900554108</v>
      </c>
      <c r="U209" s="30">
        <v>171</v>
      </c>
      <c r="V209" s="35">
        <v>2.3304347826086955E-2</v>
      </c>
      <c r="W209" s="17">
        <f t="shared" si="6"/>
        <v>1.2689006970189352</v>
      </c>
      <c r="X209" s="17">
        <f t="shared" si="7"/>
        <v>0.48660714285714285</v>
      </c>
      <c r="Y209" s="34">
        <v>1.2204266871159293</v>
      </c>
      <c r="Z209" s="34">
        <v>0.25709782563232364</v>
      </c>
      <c r="AA209" s="30">
        <v>404.69369900554108</v>
      </c>
      <c r="AB209" s="30">
        <v>94.165512992369187</v>
      </c>
      <c r="AC209" s="35">
        <v>4.8680193563528699E-2</v>
      </c>
      <c r="AD209" s="34">
        <v>1.1686264801469257</v>
      </c>
      <c r="AE209" s="34">
        <v>0.31017496303004533</v>
      </c>
      <c r="AF209" s="34">
        <v>0.44652475058433772</v>
      </c>
      <c r="AG209" s="30">
        <v>423.03516129883235</v>
      </c>
      <c r="AH209" s="35">
        <v>1.8800000000000001E-2</v>
      </c>
      <c r="AI209" s="17">
        <v>1.4098861955911151</v>
      </c>
    </row>
    <row r="210" spans="1:35" x14ac:dyDescent="0.3">
      <c r="B210" s="1">
        <v>16</v>
      </c>
      <c r="C210" s="1">
        <v>2</v>
      </c>
      <c r="D210" s="4">
        <v>52</v>
      </c>
      <c r="E210" s="3">
        <v>3.42</v>
      </c>
      <c r="F210" s="1">
        <v>27</v>
      </c>
      <c r="G210" s="1">
        <v>35</v>
      </c>
      <c r="H210" s="33">
        <v>69.840426640711158</v>
      </c>
      <c r="I210" s="41">
        <v>235</v>
      </c>
      <c r="J210" s="43">
        <v>200</v>
      </c>
      <c r="K210" s="30">
        <v>123</v>
      </c>
      <c r="L210" s="43">
        <v>115</v>
      </c>
      <c r="M210" s="3">
        <v>0.25</v>
      </c>
      <c r="N210" s="17">
        <v>0.30000239351606656</v>
      </c>
      <c r="O210" s="23">
        <v>469.44469084642765</v>
      </c>
      <c r="P210" s="23">
        <v>94.165512992369187</v>
      </c>
      <c r="Q210" s="24">
        <v>4.8680193563528699E-2</v>
      </c>
      <c r="R210" s="17">
        <v>1.2000095740642662</v>
      </c>
      <c r="S210" s="3">
        <v>0.32600476229548475</v>
      </c>
      <c r="T210" s="23">
        <v>469.44469084642765</v>
      </c>
      <c r="U210" s="30">
        <v>171</v>
      </c>
      <c r="V210" s="35">
        <v>2.3304347826086955E-2</v>
      </c>
      <c r="W210" s="17">
        <f t="shared" si="6"/>
        <v>1.2689006970189352</v>
      </c>
      <c r="X210" s="17">
        <f t="shared" si="7"/>
        <v>0.48660714285714285</v>
      </c>
      <c r="Y210" s="34">
        <v>1.304019049181939</v>
      </c>
      <c r="Z210" s="34">
        <v>0.30490830055689627</v>
      </c>
      <c r="AA210" s="30">
        <v>469.44469084642765</v>
      </c>
      <c r="AB210" s="30">
        <v>94.165512992369187</v>
      </c>
      <c r="AC210" s="35">
        <v>4.8680193563528699E-2</v>
      </c>
      <c r="AD210" s="34">
        <v>1.2196332022275851</v>
      </c>
      <c r="AE210" s="34">
        <v>0.3598029571148525</v>
      </c>
      <c r="AF210" s="34">
        <v>0.60084370438628454</v>
      </c>
      <c r="AG210" s="30">
        <v>490.72078710664539</v>
      </c>
      <c r="AH210" s="35">
        <v>1.8800000000000001E-2</v>
      </c>
      <c r="AI210" s="17">
        <v>1.43921182845941</v>
      </c>
    </row>
    <row r="211" spans="1:35" x14ac:dyDescent="0.3">
      <c r="B211" s="1">
        <v>16</v>
      </c>
      <c r="C211" s="1">
        <v>2</v>
      </c>
      <c r="D211" s="4">
        <v>52</v>
      </c>
      <c r="E211" s="3">
        <v>3.42</v>
      </c>
      <c r="F211" s="1">
        <v>27</v>
      </c>
      <c r="G211" s="1">
        <v>35</v>
      </c>
      <c r="H211" s="33">
        <v>69.840426640711158</v>
      </c>
      <c r="I211" s="41">
        <v>235</v>
      </c>
      <c r="J211" s="43">
        <v>200</v>
      </c>
      <c r="K211" s="30">
        <v>123</v>
      </c>
      <c r="L211" s="43">
        <v>115</v>
      </c>
      <c r="M211" s="3">
        <v>0.28999999999999998</v>
      </c>
      <c r="N211" s="17">
        <v>0.34116345661446468</v>
      </c>
      <c r="O211" s="23">
        <v>526.10180870720353</v>
      </c>
      <c r="P211" s="23">
        <v>94.165512992369187</v>
      </c>
      <c r="Q211" s="24">
        <v>4.8680193563528699E-2</v>
      </c>
      <c r="R211" s="17">
        <v>1.1764257124636714</v>
      </c>
      <c r="S211" s="3">
        <v>0.37632679203421759</v>
      </c>
      <c r="T211" s="23">
        <v>526.10180870720353</v>
      </c>
      <c r="U211" s="30">
        <v>171</v>
      </c>
      <c r="V211" s="35">
        <v>2.3304347826086955E-2</v>
      </c>
      <c r="W211" s="17">
        <f t="shared" si="6"/>
        <v>1.2689006970189352</v>
      </c>
      <c r="X211" s="17">
        <f t="shared" si="7"/>
        <v>0.48660714285714285</v>
      </c>
      <c r="Y211" s="34">
        <v>1.2976785932214401</v>
      </c>
      <c r="Z211" s="34">
        <v>0.34674246611589749</v>
      </c>
      <c r="AA211" s="30">
        <v>526.10180870720353</v>
      </c>
      <c r="AB211" s="30">
        <v>94.165512992369187</v>
      </c>
      <c r="AC211" s="35">
        <v>4.8680193563528699E-2</v>
      </c>
      <c r="AD211" s="34">
        <v>1.1956636762617157</v>
      </c>
      <c r="AE211" s="34">
        <v>0.38713656797945217</v>
      </c>
      <c r="AF211" s="34">
        <v>0.69560140350877198</v>
      </c>
      <c r="AG211" s="30">
        <v>528</v>
      </c>
      <c r="AH211" s="35">
        <v>1.8800000000000001E-2</v>
      </c>
      <c r="AI211" s="17">
        <v>1.3349536826877662</v>
      </c>
    </row>
    <row r="212" spans="1:35" x14ac:dyDescent="0.3">
      <c r="A212" t="s">
        <v>50</v>
      </c>
      <c r="B212" s="1">
        <v>20</v>
      </c>
      <c r="C212" s="1">
        <v>2</v>
      </c>
      <c r="D212" s="4">
        <v>44</v>
      </c>
      <c r="E212" s="3">
        <v>3.42</v>
      </c>
      <c r="F212" s="1">
        <v>25</v>
      </c>
      <c r="G212" s="1">
        <v>35</v>
      </c>
      <c r="H212" s="33">
        <v>82.823824444556394</v>
      </c>
      <c r="I212" s="41">
        <v>235</v>
      </c>
      <c r="J212" s="43">
        <v>200</v>
      </c>
      <c r="K212" s="30">
        <v>125</v>
      </c>
      <c r="L212" s="43">
        <v>122.5</v>
      </c>
      <c r="M212" s="3">
        <v>0.17</v>
      </c>
      <c r="N212" s="17">
        <v>0.13588199007541207</v>
      </c>
      <c r="O212" s="23">
        <v>270.87013331072598</v>
      </c>
      <c r="P212" s="23">
        <v>65.34757400943748</v>
      </c>
      <c r="Q212" s="24">
        <v>8.2535915718449052E-2</v>
      </c>
      <c r="R212" s="17">
        <v>0.79930582397301209</v>
      </c>
      <c r="S212" s="3">
        <v>0.15128120300738629</v>
      </c>
      <c r="T212" s="23">
        <v>270.87013331072598</v>
      </c>
      <c r="U212" s="30">
        <v>124</v>
      </c>
      <c r="V212" s="35">
        <v>3.4176870748299316E-2</v>
      </c>
      <c r="W212" s="17">
        <f t="shared" si="6"/>
        <v>1.2986955311870478</v>
      </c>
      <c r="X212" s="17">
        <f t="shared" si="7"/>
        <v>0.44318181818181818</v>
      </c>
      <c r="Y212" s="34">
        <v>0.88988942945521343</v>
      </c>
      <c r="Z212" s="34">
        <v>0.14617173010832946</v>
      </c>
      <c r="AA212" s="30">
        <v>270.87013331072598</v>
      </c>
      <c r="AB212" s="30">
        <v>65.34757400943748</v>
      </c>
      <c r="AC212" s="35">
        <v>8.2535915718449052E-2</v>
      </c>
      <c r="AD212" s="34">
        <v>0.85983370651958502</v>
      </c>
      <c r="AE212" s="34">
        <v>0.20519523255216443</v>
      </c>
      <c r="AF212" s="34">
        <v>0.25252771133111879</v>
      </c>
      <c r="AG212" s="30">
        <v>284.54647677583353</v>
      </c>
      <c r="AH212" s="35">
        <v>2.53E-2</v>
      </c>
      <c r="AI212" s="17">
        <v>1.2070307797186142</v>
      </c>
    </row>
    <row r="213" spans="1:35" x14ac:dyDescent="0.3">
      <c r="B213" s="1">
        <v>20</v>
      </c>
      <c r="C213" s="1">
        <v>2</v>
      </c>
      <c r="D213" s="4">
        <v>44</v>
      </c>
      <c r="E213" s="3">
        <v>3.42</v>
      </c>
      <c r="F213" s="1">
        <v>25</v>
      </c>
      <c r="G213" s="1">
        <v>35</v>
      </c>
      <c r="H213" s="33">
        <v>82.823824444556394</v>
      </c>
      <c r="I213" s="41">
        <v>235</v>
      </c>
      <c r="J213" s="43">
        <v>200</v>
      </c>
      <c r="K213" s="30">
        <v>125</v>
      </c>
      <c r="L213" s="43">
        <v>122.5</v>
      </c>
      <c r="M213" s="3">
        <v>0.19</v>
      </c>
      <c r="N213" s="17">
        <v>0.15768903676554977</v>
      </c>
      <c r="O213" s="23">
        <v>308.0483869023941</v>
      </c>
      <c r="P213" s="23">
        <v>65.34757400943748</v>
      </c>
      <c r="Q213" s="24">
        <v>8.2535915718449052E-2</v>
      </c>
      <c r="R213" s="17">
        <v>0.82994229876605141</v>
      </c>
      <c r="S213" s="3">
        <v>0.17990644867800365</v>
      </c>
      <c r="T213" s="23">
        <v>308.0483869023941</v>
      </c>
      <c r="U213" s="30">
        <v>124</v>
      </c>
      <c r="V213" s="35">
        <v>3.4176870748299316E-2</v>
      </c>
      <c r="W213" s="17">
        <f t="shared" si="6"/>
        <v>1.2986955311870478</v>
      </c>
      <c r="X213" s="17">
        <f t="shared" si="7"/>
        <v>0.44318181818181818</v>
      </c>
      <c r="Y213" s="34">
        <v>0.94687604567370343</v>
      </c>
      <c r="Z213" s="34">
        <v>0.16963012765962743</v>
      </c>
      <c r="AA213" s="30">
        <v>308.0483869023941</v>
      </c>
      <c r="AB213" s="30">
        <v>65.34757400943748</v>
      </c>
      <c r="AC213" s="35">
        <v>8.2535915718449052E-2</v>
      </c>
      <c r="AD213" s="34">
        <v>0.89279014557698644</v>
      </c>
      <c r="AE213" s="34">
        <v>0.23335928407893206</v>
      </c>
      <c r="AF213" s="34">
        <v>0.32660639020295401</v>
      </c>
      <c r="AG213" s="30">
        <v>323.6018755489871</v>
      </c>
      <c r="AH213" s="35">
        <v>2.53E-2</v>
      </c>
      <c r="AI213" s="17">
        <v>1.2282067583101688</v>
      </c>
    </row>
    <row r="214" spans="1:35" x14ac:dyDescent="0.3">
      <c r="B214" s="1">
        <v>20</v>
      </c>
      <c r="C214" s="1">
        <v>2</v>
      </c>
      <c r="D214" s="4">
        <v>44</v>
      </c>
      <c r="E214" s="3">
        <v>3.42</v>
      </c>
      <c r="F214" s="1">
        <v>25</v>
      </c>
      <c r="G214" s="1">
        <v>35</v>
      </c>
      <c r="H214" s="33">
        <v>82.823824444556394</v>
      </c>
      <c r="I214" s="41">
        <v>235</v>
      </c>
      <c r="J214" s="43">
        <v>200</v>
      </c>
      <c r="K214" s="30">
        <v>125</v>
      </c>
      <c r="L214" s="43">
        <v>122.5</v>
      </c>
      <c r="M214" s="3">
        <v>0.21</v>
      </c>
      <c r="N214" s="17">
        <v>0.18572666822429837</v>
      </c>
      <c r="O214" s="23">
        <v>355.84899866311054</v>
      </c>
      <c r="P214" s="23">
        <v>65.34757400943748</v>
      </c>
      <c r="Q214" s="24">
        <v>8.2535915718449052E-2</v>
      </c>
      <c r="R214" s="17">
        <v>0.88441270582999232</v>
      </c>
      <c r="S214" s="3">
        <v>0.21671033596879763</v>
      </c>
      <c r="T214" s="23">
        <v>355.84899866311054</v>
      </c>
      <c r="U214" s="30">
        <v>124</v>
      </c>
      <c r="V214" s="35">
        <v>3.4176870748299316E-2</v>
      </c>
      <c r="W214" s="17">
        <f t="shared" si="6"/>
        <v>1.2986955311870478</v>
      </c>
      <c r="X214" s="17">
        <f t="shared" si="7"/>
        <v>0.44318181818181818</v>
      </c>
      <c r="Y214" s="34">
        <v>1.0319539808037983</v>
      </c>
      <c r="Z214" s="34">
        <v>0.19979092451129646</v>
      </c>
      <c r="AA214" s="30">
        <v>355.84899866311054</v>
      </c>
      <c r="AB214" s="30">
        <v>65.34757400943748</v>
      </c>
      <c r="AC214" s="35">
        <v>8.2535915718449052E-2</v>
      </c>
      <c r="AD214" s="34">
        <v>0.95138535481569741</v>
      </c>
      <c r="AE214" s="34">
        <v>0.26957020747049049</v>
      </c>
      <c r="AF214" s="34">
        <v>0.43583117884098121</v>
      </c>
      <c r="AG214" s="30">
        <v>373.81595968589892</v>
      </c>
      <c r="AH214" s="35">
        <v>2.53E-2</v>
      </c>
      <c r="AI214" s="17">
        <v>1.2836676546213832</v>
      </c>
    </row>
    <row r="215" spans="1:35" x14ac:dyDescent="0.3">
      <c r="B215" s="1">
        <v>20</v>
      </c>
      <c r="C215" s="1">
        <v>2</v>
      </c>
      <c r="D215" s="4">
        <v>44</v>
      </c>
      <c r="E215" s="3">
        <v>3.42</v>
      </c>
      <c r="F215" s="1">
        <v>25</v>
      </c>
      <c r="G215" s="1">
        <v>35</v>
      </c>
      <c r="H215" s="33">
        <v>82.823824444556394</v>
      </c>
      <c r="I215" s="41">
        <v>235</v>
      </c>
      <c r="J215" s="43">
        <v>200</v>
      </c>
      <c r="K215" s="30">
        <v>125</v>
      </c>
      <c r="L215" s="43">
        <v>122.5</v>
      </c>
      <c r="M215" s="3">
        <v>0.23</v>
      </c>
      <c r="N215" s="17">
        <v>0.19818783776151991</v>
      </c>
      <c r="O215" s="23">
        <v>377.09371500120665</v>
      </c>
      <c r="P215" s="23">
        <v>65.34757400943748</v>
      </c>
      <c r="Q215" s="24">
        <v>8.2535915718449052E-2</v>
      </c>
      <c r="R215" s="17">
        <v>0.861686251137043</v>
      </c>
      <c r="S215" s="3">
        <v>0.2330676192091504</v>
      </c>
      <c r="T215" s="23">
        <v>377.09371500120665</v>
      </c>
      <c r="U215" s="30">
        <v>124</v>
      </c>
      <c r="V215" s="35">
        <v>3.4176870748299316E-2</v>
      </c>
      <c r="W215" s="17">
        <f t="shared" si="6"/>
        <v>1.2986955311870478</v>
      </c>
      <c r="X215" s="17">
        <f t="shared" si="7"/>
        <v>0.44318181818181818</v>
      </c>
      <c r="Y215" s="34">
        <v>1.0133374748223929</v>
      </c>
      <c r="Z215" s="34">
        <v>0.21319572311203822</v>
      </c>
      <c r="AA215" s="30">
        <v>377.09371500120665</v>
      </c>
      <c r="AB215" s="30">
        <v>65.34757400943748</v>
      </c>
      <c r="AC215" s="35">
        <v>8.2535915718449052E-2</v>
      </c>
      <c r="AD215" s="34">
        <v>0.92693792657407914</v>
      </c>
      <c r="AE215" s="34">
        <v>0.28566395120007193</v>
      </c>
      <c r="AF215" s="34">
        <v>0.48942414179937288</v>
      </c>
      <c r="AG215" s="30">
        <v>396.13333041341514</v>
      </c>
      <c r="AH215" s="35">
        <v>2.53E-2</v>
      </c>
      <c r="AI215" s="17">
        <v>1.2420171791307475</v>
      </c>
    </row>
    <row r="216" spans="1:35" x14ac:dyDescent="0.3">
      <c r="B216" s="1">
        <v>20</v>
      </c>
      <c r="C216" s="1">
        <v>2</v>
      </c>
      <c r="D216" s="4">
        <v>44</v>
      </c>
      <c r="E216" s="3">
        <v>3.42</v>
      </c>
      <c r="F216" s="1">
        <v>25</v>
      </c>
      <c r="G216" s="1">
        <v>35</v>
      </c>
      <c r="H216" s="33">
        <v>82.823824444556394</v>
      </c>
      <c r="I216" s="41">
        <v>235</v>
      </c>
      <c r="J216" s="43">
        <v>200</v>
      </c>
      <c r="K216" s="30">
        <v>125</v>
      </c>
      <c r="L216" s="43">
        <v>122.5</v>
      </c>
      <c r="M216" s="3">
        <v>0.25</v>
      </c>
      <c r="N216" s="17">
        <v>0.22622546922026851</v>
      </c>
      <c r="O216" s="23">
        <v>424.89432676192303</v>
      </c>
      <c r="P216" s="23">
        <v>65.34757400943748</v>
      </c>
      <c r="Q216" s="24">
        <v>8.2535915718449052E-2</v>
      </c>
      <c r="R216" s="17">
        <v>0.90490187688107404</v>
      </c>
      <c r="S216" s="3">
        <v>0.26987150649994435</v>
      </c>
      <c r="T216" s="23">
        <v>424.89432676192303</v>
      </c>
      <c r="U216" s="30">
        <v>124</v>
      </c>
      <c r="V216" s="35">
        <v>3.4176870748299316E-2</v>
      </c>
      <c r="W216" s="17">
        <f t="shared" si="6"/>
        <v>1.2986955311870478</v>
      </c>
      <c r="X216" s="17">
        <f t="shared" si="7"/>
        <v>0.44318181818181818</v>
      </c>
      <c r="Y216" s="34">
        <v>1.0794860259997774</v>
      </c>
      <c r="Z216" s="34">
        <v>0.24335651996370719</v>
      </c>
      <c r="AA216" s="30">
        <v>424.89432676192303</v>
      </c>
      <c r="AB216" s="30">
        <v>65.34757400943748</v>
      </c>
      <c r="AC216" s="35">
        <v>8.2535915718449052E-2</v>
      </c>
      <c r="AD216" s="34">
        <v>0.97342607985482876</v>
      </c>
      <c r="AE216" s="34">
        <v>0.32187487459163039</v>
      </c>
      <c r="AF216" s="34">
        <v>0.62136768647410989</v>
      </c>
      <c r="AG216" s="30">
        <v>446.34741455032702</v>
      </c>
      <c r="AH216" s="35">
        <v>2.53E-2</v>
      </c>
      <c r="AI216" s="17">
        <v>1.2874994983665216</v>
      </c>
    </row>
    <row r="217" spans="1:35" x14ac:dyDescent="0.3">
      <c r="B217" s="1">
        <v>20</v>
      </c>
      <c r="C217" s="1">
        <v>2</v>
      </c>
      <c r="D217" s="4">
        <v>44</v>
      </c>
      <c r="E217" s="3">
        <v>3.42</v>
      </c>
      <c r="F217" s="1">
        <v>25</v>
      </c>
      <c r="G217" s="1">
        <v>35</v>
      </c>
      <c r="H217" s="33">
        <v>82.823824444556394</v>
      </c>
      <c r="I217" s="41">
        <v>235</v>
      </c>
      <c r="J217" s="43">
        <v>200</v>
      </c>
      <c r="K217" s="30">
        <v>125</v>
      </c>
      <c r="L217" s="43">
        <v>122.5</v>
      </c>
      <c r="M217" s="3">
        <v>0.25</v>
      </c>
      <c r="N217" s="17">
        <v>0.28541602452207099</v>
      </c>
      <c r="O217" s="23">
        <v>525.80672936787971</v>
      </c>
      <c r="P217" s="23">
        <v>65.34757400943748</v>
      </c>
      <c r="Q217" s="24">
        <v>8.2535915718449052E-2</v>
      </c>
      <c r="R217" s="17">
        <v>1.141664098088284</v>
      </c>
      <c r="S217" s="3">
        <v>0.34756860189162025</v>
      </c>
      <c r="T217" s="23">
        <v>525.80672936787971</v>
      </c>
      <c r="U217" s="30">
        <v>124</v>
      </c>
      <c r="V217" s="35">
        <v>3.4176870748299316E-2</v>
      </c>
      <c r="W217" s="17">
        <f t="shared" si="6"/>
        <v>1.2986955311870478</v>
      </c>
      <c r="X217" s="17">
        <f t="shared" si="7"/>
        <v>0.44318181818181818</v>
      </c>
      <c r="Y217" s="34">
        <v>1.390274407566481</v>
      </c>
      <c r="Z217" s="34">
        <v>0.30702931331723049</v>
      </c>
      <c r="AA217" s="30">
        <v>525.80672936787971</v>
      </c>
      <c r="AB217" s="30">
        <v>65.34757400943748</v>
      </c>
      <c r="AC217" s="35">
        <v>8.2535915718449052E-2</v>
      </c>
      <c r="AD217" s="34">
        <v>1.228117253268922</v>
      </c>
      <c r="AE217" s="34">
        <v>0.38075707004060283</v>
      </c>
      <c r="AF217" s="34">
        <v>0.86950175438596489</v>
      </c>
      <c r="AG217" s="30">
        <v>528</v>
      </c>
      <c r="AH217" s="35">
        <v>2.53E-2</v>
      </c>
      <c r="AI217" s="17">
        <v>1.5230282801624113</v>
      </c>
    </row>
    <row r="218" spans="1:35" x14ac:dyDescent="0.3">
      <c r="A218" t="s">
        <v>51</v>
      </c>
      <c r="B218" s="1">
        <v>20</v>
      </c>
      <c r="C218" s="1">
        <v>3</v>
      </c>
      <c r="D218" s="4">
        <v>12</v>
      </c>
      <c r="E218" s="3">
        <v>3.42</v>
      </c>
      <c r="F218" s="1">
        <v>25</v>
      </c>
      <c r="G218" s="1">
        <v>35</v>
      </c>
      <c r="H218" s="33">
        <v>95.701732145716321</v>
      </c>
      <c r="I218" s="41">
        <v>235</v>
      </c>
      <c r="J218" s="43">
        <v>200</v>
      </c>
      <c r="K218" s="30">
        <v>129</v>
      </c>
      <c r="L218" s="43">
        <v>122.5</v>
      </c>
      <c r="M218" s="3">
        <v>0.18</v>
      </c>
      <c r="N218" s="17">
        <v>9.9001541127222883E-2</v>
      </c>
      <c r="O218" s="23">
        <v>246.92191294539825</v>
      </c>
      <c r="P218" s="23">
        <v>49.197695849258317</v>
      </c>
      <c r="Q218" s="24">
        <v>0.13524934868327321</v>
      </c>
      <c r="R218" s="17">
        <v>0.55000856181790492</v>
      </c>
      <c r="S218" s="3">
        <v>0.12703849644400417</v>
      </c>
      <c r="T218" s="23">
        <v>246.92191294539825</v>
      </c>
      <c r="U218" s="30">
        <v>91</v>
      </c>
      <c r="V218" s="35">
        <v>5.1265306122448978E-2</v>
      </c>
      <c r="W218" s="17">
        <f t="shared" si="6"/>
        <v>1.3355760428245931</v>
      </c>
      <c r="X218" s="17">
        <f t="shared" si="7"/>
        <v>0.42216981132075471</v>
      </c>
      <c r="Y218" s="34">
        <v>0.70576942468891202</v>
      </c>
      <c r="Z218" s="34">
        <v>0.11972263952840977</v>
      </c>
      <c r="AA218" s="30">
        <v>246.92191294539825</v>
      </c>
      <c r="AB218" s="30">
        <v>49.197695849258317</v>
      </c>
      <c r="AC218" s="35">
        <v>0.13524934868327321</v>
      </c>
      <c r="AD218" s="34">
        <v>0.66512577515783211</v>
      </c>
      <c r="AE218" s="34">
        <v>0.15281153215677173</v>
      </c>
      <c r="AF218" s="34">
        <v>0.21127454925494149</v>
      </c>
      <c r="AG218" s="30">
        <v>260.26890393373083</v>
      </c>
      <c r="AH218" s="35">
        <v>3.3300000000000003E-2</v>
      </c>
      <c r="AI218" s="17">
        <v>0.8489529564265097</v>
      </c>
    </row>
    <row r="219" spans="1:35" x14ac:dyDescent="0.3">
      <c r="B219" s="1">
        <v>20</v>
      </c>
      <c r="C219" s="1">
        <v>3</v>
      </c>
      <c r="D219" s="4">
        <v>12</v>
      </c>
      <c r="E219" s="3">
        <v>3.42</v>
      </c>
      <c r="F219" s="1">
        <v>25</v>
      </c>
      <c r="G219" s="1">
        <v>35</v>
      </c>
      <c r="H219" s="33">
        <v>95.701732145716321</v>
      </c>
      <c r="I219" s="41">
        <v>235</v>
      </c>
      <c r="J219" s="43">
        <v>200</v>
      </c>
      <c r="K219" s="30">
        <v>129</v>
      </c>
      <c r="L219" s="43">
        <v>122.5</v>
      </c>
      <c r="M219" s="3">
        <v>0.19</v>
      </c>
      <c r="N219" s="17">
        <v>0.11553739220709007</v>
      </c>
      <c r="O219" s="23">
        <v>283.23395896678039</v>
      </c>
      <c r="P219" s="23">
        <v>49.197695849258317</v>
      </c>
      <c r="Q219" s="24">
        <v>0.13524934868327321</v>
      </c>
      <c r="R219" s="17">
        <v>0.60809153793205295</v>
      </c>
      <c r="S219" s="3">
        <v>0.15099627778839889</v>
      </c>
      <c r="T219" s="23">
        <v>283.23395896678039</v>
      </c>
      <c r="U219" s="30">
        <v>91</v>
      </c>
      <c r="V219" s="35">
        <v>5.1265306122448978E-2</v>
      </c>
      <c r="W219" s="17">
        <f t="shared" si="6"/>
        <v>1.3355760428245931</v>
      </c>
      <c r="X219" s="17">
        <f t="shared" si="7"/>
        <v>0.42216981132075471</v>
      </c>
      <c r="Y219" s="34">
        <v>0.79471725151788886</v>
      </c>
      <c r="Z219" s="34">
        <v>0.13971945690710444</v>
      </c>
      <c r="AA219" s="30">
        <v>283.23395896678039</v>
      </c>
      <c r="AB219" s="30">
        <v>49.197695849258317</v>
      </c>
      <c r="AC219" s="35">
        <v>0.13524934868327321</v>
      </c>
      <c r="AD219" s="34">
        <v>0.73536556266897068</v>
      </c>
      <c r="AE219" s="34">
        <v>0.17528381629747347</v>
      </c>
      <c r="AF219" s="34">
        <v>0.27798320883803285</v>
      </c>
      <c r="AG219" s="30">
        <v>298.54374274751478</v>
      </c>
      <c r="AH219" s="35">
        <v>3.3300000000000003E-2</v>
      </c>
      <c r="AI219" s="17">
        <v>0.92254640156564982</v>
      </c>
    </row>
    <row r="220" spans="1:35" x14ac:dyDescent="0.3">
      <c r="B220" s="1">
        <v>20</v>
      </c>
      <c r="C220" s="1">
        <v>3</v>
      </c>
      <c r="D220" s="4">
        <v>12</v>
      </c>
      <c r="E220" s="3">
        <v>3.42</v>
      </c>
      <c r="F220" s="1">
        <v>25</v>
      </c>
      <c r="G220" s="1">
        <v>35</v>
      </c>
      <c r="H220" s="33">
        <v>95.701732145716321</v>
      </c>
      <c r="I220" s="41">
        <v>235</v>
      </c>
      <c r="J220" s="43">
        <v>200</v>
      </c>
      <c r="K220" s="30">
        <v>129</v>
      </c>
      <c r="L220" s="43">
        <v>122.5</v>
      </c>
      <c r="M220" s="3">
        <v>0.21</v>
      </c>
      <c r="N220" s="17">
        <v>0.13041965817897053</v>
      </c>
      <c r="O220" s="23">
        <v>315.9148003860243</v>
      </c>
      <c r="P220" s="23">
        <v>49.197695849258317</v>
      </c>
      <c r="Q220" s="24">
        <v>0.13524934868327321</v>
      </c>
      <c r="R220" s="17">
        <v>0.62104599132843108</v>
      </c>
      <c r="S220" s="3">
        <v>0.17255828099835413</v>
      </c>
      <c r="T220" s="23">
        <v>315.9148003860243</v>
      </c>
      <c r="U220" s="30">
        <v>91</v>
      </c>
      <c r="V220" s="35">
        <v>5.1265306122448978E-2</v>
      </c>
      <c r="W220" s="17">
        <f t="shared" si="6"/>
        <v>1.3355760428245931</v>
      </c>
      <c r="X220" s="17">
        <f t="shared" si="7"/>
        <v>0.42216981132075471</v>
      </c>
      <c r="Y220" s="34">
        <v>0.8217060999921626</v>
      </c>
      <c r="Z220" s="34">
        <v>0.15771659254792961</v>
      </c>
      <c r="AA220" s="30">
        <v>315.9148003860243</v>
      </c>
      <c r="AB220" s="30">
        <v>49.197695849258317</v>
      </c>
      <c r="AC220" s="35">
        <v>0.13524934868327321</v>
      </c>
      <c r="AD220" s="34">
        <v>0.75103139308537914</v>
      </c>
      <c r="AE220" s="34">
        <v>0.19550887202410502</v>
      </c>
      <c r="AF220" s="34">
        <v>0.34583413998932788</v>
      </c>
      <c r="AG220" s="30">
        <v>332.99109767992036</v>
      </c>
      <c r="AH220" s="35">
        <v>3.3300000000000003E-2</v>
      </c>
      <c r="AI220" s="17">
        <v>0.93099462868621441</v>
      </c>
    </row>
    <row r="221" spans="1:35" x14ac:dyDescent="0.3">
      <c r="B221" s="1">
        <v>20</v>
      </c>
      <c r="C221" s="1">
        <v>3</v>
      </c>
      <c r="D221" s="4">
        <v>12</v>
      </c>
      <c r="E221" s="3">
        <v>3.42</v>
      </c>
      <c r="F221" s="1">
        <v>25</v>
      </c>
      <c r="G221" s="1">
        <v>35</v>
      </c>
      <c r="H221" s="33">
        <v>95.701732145716321</v>
      </c>
      <c r="I221" s="41">
        <v>235</v>
      </c>
      <c r="J221" s="43">
        <v>200</v>
      </c>
      <c r="K221" s="30">
        <v>129</v>
      </c>
      <c r="L221" s="43">
        <v>122.5</v>
      </c>
      <c r="M221" s="3">
        <v>0.23</v>
      </c>
      <c r="N221" s="17">
        <v>0.1486090943668244</v>
      </c>
      <c r="O221" s="23">
        <v>355.85805100954457</v>
      </c>
      <c r="P221" s="23">
        <v>49.197695849258317</v>
      </c>
      <c r="Q221" s="24">
        <v>0.13524934868327321</v>
      </c>
      <c r="R221" s="17">
        <v>0.64612649724706261</v>
      </c>
      <c r="S221" s="3">
        <v>0.19891184047718827</v>
      </c>
      <c r="T221" s="23">
        <v>355.85805100954457</v>
      </c>
      <c r="U221" s="30">
        <v>91</v>
      </c>
      <c r="V221" s="35">
        <v>5.1265306122448978E-2</v>
      </c>
      <c r="W221" s="17">
        <f t="shared" si="6"/>
        <v>1.3355760428245931</v>
      </c>
      <c r="X221" s="17">
        <f t="shared" si="7"/>
        <v>0.42216981132075471</v>
      </c>
      <c r="Y221" s="34">
        <v>0.86483408903125325</v>
      </c>
      <c r="Z221" s="34">
        <v>0.1797130916644937</v>
      </c>
      <c r="AA221" s="30">
        <v>355.85805100954457</v>
      </c>
      <c r="AB221" s="30">
        <v>49.197695849258317</v>
      </c>
      <c r="AC221" s="35">
        <v>0.13524934868327321</v>
      </c>
      <c r="AD221" s="34">
        <v>0.78136126810649431</v>
      </c>
      <c r="AE221" s="34">
        <v>0.22022838457887689</v>
      </c>
      <c r="AF221" s="34">
        <v>0.43881504564110252</v>
      </c>
      <c r="AG221" s="30">
        <v>375.0934203750827</v>
      </c>
      <c r="AH221" s="35">
        <v>3.3300000000000003E-2</v>
      </c>
      <c r="AI221" s="17">
        <v>0.9575147155603343</v>
      </c>
    </row>
    <row r="222" spans="1:35" x14ac:dyDescent="0.3">
      <c r="B222" s="1">
        <v>20</v>
      </c>
      <c r="C222" s="1">
        <v>3</v>
      </c>
      <c r="D222" s="4">
        <v>12</v>
      </c>
      <c r="E222" s="3">
        <v>3.42</v>
      </c>
      <c r="F222" s="1">
        <v>25</v>
      </c>
      <c r="G222" s="1">
        <v>35</v>
      </c>
      <c r="H222" s="33">
        <v>95.701732145716321</v>
      </c>
      <c r="I222" s="41">
        <v>235</v>
      </c>
      <c r="J222" s="43">
        <v>200</v>
      </c>
      <c r="K222" s="30">
        <v>129</v>
      </c>
      <c r="L222" s="43">
        <v>122.5</v>
      </c>
      <c r="M222" s="3">
        <v>0.25</v>
      </c>
      <c r="N222" s="17">
        <v>0.16679853055467833</v>
      </c>
      <c r="O222" s="23">
        <v>395.80130163306495</v>
      </c>
      <c r="P222" s="23">
        <v>49.197695849258317</v>
      </c>
      <c r="Q222" s="24">
        <v>0.13524934868327321</v>
      </c>
      <c r="R222" s="17">
        <v>0.66719412221871333</v>
      </c>
      <c r="S222" s="3">
        <v>0.22526539995602249</v>
      </c>
      <c r="T222" s="23">
        <v>395.80130163306495</v>
      </c>
      <c r="U222" s="30">
        <v>91</v>
      </c>
      <c r="V222" s="35">
        <v>5.1265306122448978E-2</v>
      </c>
      <c r="W222" s="17">
        <f t="shared" si="6"/>
        <v>1.3355760428245931</v>
      </c>
      <c r="X222" s="17">
        <f t="shared" si="7"/>
        <v>0.42216981132075471</v>
      </c>
      <c r="Y222" s="34">
        <v>0.90106159982408995</v>
      </c>
      <c r="Z222" s="34">
        <v>0.20170959078105782</v>
      </c>
      <c r="AA222" s="30">
        <v>395.80130163306495</v>
      </c>
      <c r="AB222" s="30">
        <v>49.197695849258317</v>
      </c>
      <c r="AC222" s="35">
        <v>0.13524934868327321</v>
      </c>
      <c r="AD222" s="34">
        <v>0.80683836312423129</v>
      </c>
      <c r="AE222" s="34">
        <v>0.2449478971336489</v>
      </c>
      <c r="AF222" s="34">
        <v>0.54285314007308849</v>
      </c>
      <c r="AG222" s="30">
        <v>417.1957430702451</v>
      </c>
      <c r="AH222" s="35">
        <v>3.3300000000000003E-2</v>
      </c>
      <c r="AI222" s="17">
        <v>0.97979158853459558</v>
      </c>
    </row>
    <row r="223" spans="1:35" x14ac:dyDescent="0.3">
      <c r="B223" s="1">
        <v>20</v>
      </c>
      <c r="C223" s="1">
        <v>3</v>
      </c>
      <c r="D223" s="4">
        <v>12</v>
      </c>
      <c r="E223" s="3">
        <v>3.42</v>
      </c>
      <c r="F223" s="1">
        <v>25</v>
      </c>
      <c r="G223" s="1">
        <v>35</v>
      </c>
      <c r="H223" s="33">
        <v>95.701732145716321</v>
      </c>
      <c r="I223" s="41">
        <v>235</v>
      </c>
      <c r="J223" s="43">
        <v>200</v>
      </c>
      <c r="K223" s="30">
        <v>129</v>
      </c>
      <c r="L223" s="43">
        <v>122.5</v>
      </c>
      <c r="M223" s="3">
        <v>0.28999999999999998</v>
      </c>
      <c r="N223" s="17">
        <v>0.18333438163454549</v>
      </c>
      <c r="O223" s="23">
        <v>432.11334765444701</v>
      </c>
      <c r="P223" s="23">
        <v>49.197695849258317</v>
      </c>
      <c r="Q223" s="24">
        <v>0.13524934868327321</v>
      </c>
      <c r="R223" s="17">
        <v>0.63218752287774316</v>
      </c>
      <c r="S223" s="3">
        <v>0.24922318130041712</v>
      </c>
      <c r="T223" s="23">
        <v>432.11334765444701</v>
      </c>
      <c r="U223" s="30">
        <v>91</v>
      </c>
      <c r="V223" s="35">
        <v>5.1265306122448978E-2</v>
      </c>
      <c r="W223" s="17">
        <f t="shared" si="6"/>
        <v>1.3355760428245931</v>
      </c>
      <c r="X223" s="17">
        <f t="shared" si="7"/>
        <v>0.42216981132075471</v>
      </c>
      <c r="Y223" s="34">
        <v>0.85939028034626597</v>
      </c>
      <c r="Z223" s="34">
        <v>0.22170640815975243</v>
      </c>
      <c r="AA223" s="30">
        <v>432.11334765444701</v>
      </c>
      <c r="AB223" s="30">
        <v>49.197695849258317</v>
      </c>
      <c r="AC223" s="35">
        <v>0.13524934868327321</v>
      </c>
      <c r="AD223" s="34">
        <v>0.7645048557232843</v>
      </c>
      <c r="AE223" s="34">
        <v>0.26742018127435052</v>
      </c>
      <c r="AF223" s="34">
        <v>0.64702830709325831</v>
      </c>
      <c r="AG223" s="30">
        <v>455.470581884029</v>
      </c>
      <c r="AH223" s="35">
        <v>3.3300000000000003E-2</v>
      </c>
      <c r="AI223" s="17">
        <v>0.92213855611845019</v>
      </c>
    </row>
    <row r="224" spans="1:35" x14ac:dyDescent="0.3">
      <c r="B224" s="1">
        <v>20</v>
      </c>
      <c r="C224" s="1">
        <v>3</v>
      </c>
      <c r="D224" s="4">
        <v>12</v>
      </c>
      <c r="E224" s="3">
        <v>3.42</v>
      </c>
      <c r="F224" s="1">
        <v>25</v>
      </c>
      <c r="G224" s="1">
        <v>35</v>
      </c>
      <c r="H224" s="33">
        <v>95.701732145716321</v>
      </c>
      <c r="I224" s="41">
        <v>235</v>
      </c>
      <c r="J224" s="43">
        <v>200</v>
      </c>
      <c r="K224" s="30">
        <v>129</v>
      </c>
      <c r="L224" s="43">
        <v>122.5</v>
      </c>
      <c r="M224" s="3">
        <v>0.31</v>
      </c>
      <c r="N224" s="17">
        <v>0.19987023271441262</v>
      </c>
      <c r="O224" s="23">
        <v>468.42539367582907</v>
      </c>
      <c r="P224" s="23">
        <v>49.197695849258317</v>
      </c>
      <c r="Q224" s="24">
        <v>0.13524934868327321</v>
      </c>
      <c r="R224" s="17">
        <v>0.64474268617552455</v>
      </c>
      <c r="S224" s="3">
        <v>0.27318096264481179</v>
      </c>
      <c r="T224" s="23">
        <v>468.42539367582907</v>
      </c>
      <c r="U224" s="30">
        <v>91</v>
      </c>
      <c r="V224" s="35">
        <v>5.1265306122448978E-2</v>
      </c>
      <c r="W224" s="17">
        <f t="shared" si="6"/>
        <v>1.3355760428245931</v>
      </c>
      <c r="X224" s="17">
        <f t="shared" si="7"/>
        <v>0.42216981132075471</v>
      </c>
      <c r="Y224" s="34">
        <v>0.88122891175745743</v>
      </c>
      <c r="Z224" s="34">
        <v>0.24170322553844709</v>
      </c>
      <c r="AA224" s="30">
        <v>468.42539367582907</v>
      </c>
      <c r="AB224" s="30">
        <v>49.197695849258317</v>
      </c>
      <c r="AC224" s="35">
        <v>0.13524934868327321</v>
      </c>
      <c r="AD224" s="34">
        <v>0.77968782431757122</v>
      </c>
      <c r="AE224" s="34">
        <v>0.28989246541505231</v>
      </c>
      <c r="AF224" s="34">
        <v>0.76034164665905757</v>
      </c>
      <c r="AG224" s="30">
        <v>493.74542069781302</v>
      </c>
      <c r="AH224" s="35">
        <v>3.3300000000000003E-2</v>
      </c>
      <c r="AI224" s="17">
        <v>0.93513698520984623</v>
      </c>
    </row>
    <row r="225" spans="1:35" x14ac:dyDescent="0.3">
      <c r="B225" s="1">
        <v>20</v>
      </c>
      <c r="C225" s="1">
        <v>3</v>
      </c>
      <c r="D225" s="4">
        <v>12</v>
      </c>
      <c r="E225" s="3">
        <v>3.42</v>
      </c>
      <c r="F225" s="1">
        <v>25</v>
      </c>
      <c r="G225" s="1">
        <v>35</v>
      </c>
      <c r="H225" s="33">
        <v>95.701732145716321</v>
      </c>
      <c r="I225" s="41">
        <v>235</v>
      </c>
      <c r="J225" s="43">
        <v>200</v>
      </c>
      <c r="K225" s="30">
        <v>129</v>
      </c>
      <c r="L225" s="43">
        <v>122.5</v>
      </c>
      <c r="M225" s="3">
        <v>0.37</v>
      </c>
      <c r="N225" s="17">
        <v>0.21475249868629306</v>
      </c>
      <c r="O225" s="23">
        <v>501.10623509507292</v>
      </c>
      <c r="P225" s="23">
        <v>49.197695849258317</v>
      </c>
      <c r="Q225" s="24">
        <v>0.13524934868327321</v>
      </c>
      <c r="R225" s="17">
        <v>0.58041215861160289</v>
      </c>
      <c r="S225" s="3">
        <v>0.294742965854767</v>
      </c>
      <c r="T225" s="23">
        <v>501.10623509507292</v>
      </c>
      <c r="U225" s="30">
        <v>91</v>
      </c>
      <c r="V225" s="35">
        <v>5.1265306122448978E-2</v>
      </c>
      <c r="W225" s="17">
        <f t="shared" si="6"/>
        <v>1.3355760428245931</v>
      </c>
      <c r="X225" s="17">
        <f t="shared" si="7"/>
        <v>0.42216981132075471</v>
      </c>
      <c r="Y225" s="34">
        <v>0.79660261041828917</v>
      </c>
      <c r="Z225" s="34">
        <v>0.2597003611792722</v>
      </c>
      <c r="AA225" s="30">
        <v>501.10623509507292</v>
      </c>
      <c r="AB225" s="30">
        <v>49.197695849258317</v>
      </c>
      <c r="AC225" s="35">
        <v>0.13524934868327321</v>
      </c>
      <c r="AD225" s="34">
        <v>0.70189286805208706</v>
      </c>
      <c r="AE225" s="34">
        <v>0.3100043368965783</v>
      </c>
      <c r="AF225" s="34">
        <v>0.86950175438596489</v>
      </c>
      <c r="AG225" s="30">
        <v>528</v>
      </c>
      <c r="AH225" s="35">
        <v>3.3300000000000003E-2</v>
      </c>
      <c r="AI225" s="17">
        <v>0.83784955917994142</v>
      </c>
    </row>
    <row r="226" spans="1:35" x14ac:dyDescent="0.3">
      <c r="A226" t="s">
        <v>52</v>
      </c>
      <c r="B226" s="1">
        <v>16</v>
      </c>
      <c r="C226" s="1">
        <v>2</v>
      </c>
      <c r="D226" s="4">
        <v>52</v>
      </c>
      <c r="E226" s="3">
        <v>2.98</v>
      </c>
      <c r="F226" s="1">
        <v>27</v>
      </c>
      <c r="G226" s="1">
        <v>35</v>
      </c>
      <c r="H226" s="33">
        <v>67.594050734713008</v>
      </c>
      <c r="I226" s="41">
        <v>235</v>
      </c>
      <c r="J226" s="43">
        <v>200</v>
      </c>
      <c r="K226" s="30">
        <v>122</v>
      </c>
      <c r="L226" s="43">
        <v>115</v>
      </c>
      <c r="M226" s="3">
        <v>0.16</v>
      </c>
      <c r="N226" s="17">
        <v>0.23593566188489304</v>
      </c>
      <c r="O226" s="23">
        <v>370.74728404873275</v>
      </c>
      <c r="P226" s="23">
        <v>81.233434783322465</v>
      </c>
      <c r="Q226" s="24">
        <v>4.8026966994219954E-2</v>
      </c>
      <c r="R226" s="17">
        <v>1.4745978867805816</v>
      </c>
      <c r="S226" s="3">
        <v>0.2505652204437212</v>
      </c>
      <c r="T226" s="23">
        <v>370.74728404873275</v>
      </c>
      <c r="U226" s="30">
        <v>147</v>
      </c>
      <c r="V226" s="35">
        <v>2.3304347826086955E-2</v>
      </c>
      <c r="W226" s="17">
        <f t="shared" si="6"/>
        <v>1.2643385753752983</v>
      </c>
      <c r="X226" s="17">
        <f t="shared" si="7"/>
        <v>0.49115044247787609</v>
      </c>
      <c r="Y226" s="34">
        <v>1.5660326277732575</v>
      </c>
      <c r="Z226" s="34">
        <v>0.23898546695454101</v>
      </c>
      <c r="AA226" s="30">
        <v>370.74728404873275</v>
      </c>
      <c r="AB226" s="30">
        <v>81.233434783322465</v>
      </c>
      <c r="AC226" s="35">
        <v>4.8026966994219954E-2</v>
      </c>
      <c r="AD226" s="34">
        <v>1.4936591684658813</v>
      </c>
      <c r="AE226" s="34">
        <v>0.28536096598764171</v>
      </c>
      <c r="AF226" s="34">
        <v>0.4337415561139179</v>
      </c>
      <c r="AG226" s="30">
        <v>389.19234839492577</v>
      </c>
      <c r="AH226" s="35">
        <v>1.8800000000000001E-2</v>
      </c>
      <c r="AI226" s="17">
        <v>1.7835060374227607</v>
      </c>
    </row>
    <row r="227" spans="1:35" x14ac:dyDescent="0.3">
      <c r="B227" s="1">
        <v>16</v>
      </c>
      <c r="C227" s="1">
        <v>2</v>
      </c>
      <c r="D227" s="4">
        <v>52</v>
      </c>
      <c r="E227" s="3">
        <v>2.98</v>
      </c>
      <c r="F227" s="1">
        <v>27</v>
      </c>
      <c r="G227" s="1">
        <v>35</v>
      </c>
      <c r="H227" s="33">
        <v>67.594050734713008</v>
      </c>
      <c r="I227" s="41">
        <v>235</v>
      </c>
      <c r="J227" s="43">
        <v>200</v>
      </c>
      <c r="K227" s="30">
        <v>122</v>
      </c>
      <c r="L227" s="43">
        <v>115</v>
      </c>
      <c r="M227" s="3">
        <v>0.2</v>
      </c>
      <c r="N227" s="17">
        <v>0.28908411538548223</v>
      </c>
      <c r="O227" s="23">
        <v>443.28479614522388</v>
      </c>
      <c r="P227" s="23">
        <v>81.233434783322465</v>
      </c>
      <c r="Q227" s="24">
        <v>4.8026966994219954E-2</v>
      </c>
      <c r="R227" s="17">
        <v>1.4454205769274111</v>
      </c>
      <c r="S227" s="3">
        <v>0.31490001064532835</v>
      </c>
      <c r="T227" s="23">
        <v>443.28479614522388</v>
      </c>
      <c r="U227" s="30">
        <v>147</v>
      </c>
      <c r="V227" s="35">
        <v>2.3304347826086955E-2</v>
      </c>
      <c r="W227" s="17">
        <f t="shared" si="6"/>
        <v>1.2643385753752983</v>
      </c>
      <c r="X227" s="17">
        <f t="shared" si="7"/>
        <v>0.49115044247787609</v>
      </c>
      <c r="Y227" s="34">
        <v>1.5745000532266418</v>
      </c>
      <c r="Z227" s="34">
        <v>0.2928209400503668</v>
      </c>
      <c r="AA227" s="30">
        <v>443.28479614522388</v>
      </c>
      <c r="AB227" s="30">
        <v>81.233434783322465</v>
      </c>
      <c r="AC227" s="35">
        <v>4.8026966994219954E-2</v>
      </c>
      <c r="AD227" s="34">
        <v>1.4641047002518339</v>
      </c>
      <c r="AE227" s="34">
        <v>0.34119245933304981</v>
      </c>
      <c r="AF227" s="34">
        <v>0.62007004123090814</v>
      </c>
      <c r="AG227" s="30">
        <v>465.33867742871558</v>
      </c>
      <c r="AH227" s="35">
        <v>1.8800000000000001E-2</v>
      </c>
      <c r="AI227" s="17">
        <v>1.705962296665249</v>
      </c>
    </row>
    <row r="228" spans="1:35" x14ac:dyDescent="0.3">
      <c r="B228" s="1">
        <v>16</v>
      </c>
      <c r="C228" s="1">
        <v>2</v>
      </c>
      <c r="D228" s="4">
        <v>52</v>
      </c>
      <c r="E228" s="3">
        <v>2.98</v>
      </c>
      <c r="F228" s="1">
        <v>27</v>
      </c>
      <c r="G228" s="1">
        <v>35</v>
      </c>
      <c r="H228" s="33">
        <v>67.594050734713008</v>
      </c>
      <c r="I228" s="41">
        <v>235</v>
      </c>
      <c r="J228" s="43">
        <v>200</v>
      </c>
      <c r="K228" s="30">
        <v>122</v>
      </c>
      <c r="L228" s="43">
        <v>115</v>
      </c>
      <c r="M228" s="3">
        <v>0.26</v>
      </c>
      <c r="N228" s="17">
        <v>0.34813795260835928</v>
      </c>
      <c r="O228" s="23">
        <v>523.88203180799201</v>
      </c>
      <c r="P228" s="23">
        <v>81.233434783322465</v>
      </c>
      <c r="Q228" s="24">
        <v>4.8026966994219954E-2</v>
      </c>
      <c r="R228" s="17">
        <v>1.3389921254167665</v>
      </c>
      <c r="S228" s="3">
        <v>0.38638311086933647</v>
      </c>
      <c r="T228" s="23">
        <v>523.88203180799201</v>
      </c>
      <c r="U228" s="30">
        <v>147</v>
      </c>
      <c r="V228" s="35">
        <v>2.3304347826086955E-2</v>
      </c>
      <c r="W228" s="17">
        <f t="shared" si="6"/>
        <v>1.2643385753752983</v>
      </c>
      <c r="X228" s="17">
        <f t="shared" si="7"/>
        <v>0.49115044247787609</v>
      </c>
      <c r="Y228" s="34">
        <v>1.4860888879589864</v>
      </c>
      <c r="Z228" s="34">
        <v>0.35263813237906227</v>
      </c>
      <c r="AA228" s="30">
        <v>523.88203180799201</v>
      </c>
      <c r="AB228" s="30">
        <v>81.233434783322465</v>
      </c>
      <c r="AC228" s="35">
        <v>4.8026966994219954E-2</v>
      </c>
      <c r="AD228" s="34">
        <v>1.3563005091502394</v>
      </c>
      <c r="AE228" s="34">
        <v>0.38713656797945217</v>
      </c>
      <c r="AF228" s="34">
        <v>0.79830765100671142</v>
      </c>
      <c r="AG228" s="30">
        <v>528</v>
      </c>
      <c r="AH228" s="35">
        <v>1.8800000000000001E-2</v>
      </c>
      <c r="AI228" s="17">
        <v>1.4889867999209698</v>
      </c>
    </row>
    <row r="229" spans="1:35" x14ac:dyDescent="0.3">
      <c r="A229" t="s">
        <v>53</v>
      </c>
      <c r="B229" s="1">
        <v>20</v>
      </c>
      <c r="C229" s="1">
        <v>2</v>
      </c>
      <c r="D229" s="4">
        <v>44</v>
      </c>
      <c r="E229" s="3">
        <v>2.98</v>
      </c>
      <c r="F229" s="1">
        <v>25</v>
      </c>
      <c r="G229" s="1">
        <v>35</v>
      </c>
      <c r="H229" s="33">
        <v>80.321192218194966</v>
      </c>
      <c r="I229" s="41">
        <v>235</v>
      </c>
      <c r="J229" s="43">
        <v>200</v>
      </c>
      <c r="K229" s="30">
        <v>125</v>
      </c>
      <c r="L229" s="43">
        <v>122.5</v>
      </c>
      <c r="M229" s="3">
        <v>0.17</v>
      </c>
      <c r="N229" s="17">
        <v>0.13662419439598317</v>
      </c>
      <c r="O229" s="23">
        <v>264.28009430947355</v>
      </c>
      <c r="P229" s="23">
        <v>55.884232323737898</v>
      </c>
      <c r="Q229" s="24">
        <v>8.1200522425266847E-2</v>
      </c>
      <c r="R229" s="17">
        <v>0.80367173174107742</v>
      </c>
      <c r="S229" s="3">
        <v>0.15414349743096403</v>
      </c>
      <c r="T229" s="23">
        <v>264.28009430947355</v>
      </c>
      <c r="U229" s="30">
        <v>106</v>
      </c>
      <c r="V229" s="35">
        <v>3.4176870748299316E-2</v>
      </c>
      <c r="W229" s="17">
        <f t="shared" si="6"/>
        <v>1.2924494373624693</v>
      </c>
      <c r="X229" s="17">
        <f t="shared" si="7"/>
        <v>0.44318181818181818</v>
      </c>
      <c r="Y229" s="34">
        <v>0.90672645547625896</v>
      </c>
      <c r="Z229" s="34">
        <v>0.14637788590728448</v>
      </c>
      <c r="AA229" s="30">
        <v>264.28009430947355</v>
      </c>
      <c r="AB229" s="30">
        <v>55.884232323737898</v>
      </c>
      <c r="AC229" s="35">
        <v>8.1200522425266847E-2</v>
      </c>
      <c r="AD229" s="34">
        <v>0.86104638768990871</v>
      </c>
      <c r="AE229" s="34">
        <v>0.20117179661976903</v>
      </c>
      <c r="AF229" s="34">
        <v>0.27855986364060603</v>
      </c>
      <c r="AG229" s="30">
        <v>278.96713409395437</v>
      </c>
      <c r="AH229" s="35">
        <v>2.53E-2</v>
      </c>
      <c r="AI229" s="17">
        <v>1.183363509528053</v>
      </c>
    </row>
    <row r="230" spans="1:35" x14ac:dyDescent="0.3">
      <c r="B230" s="1">
        <v>20</v>
      </c>
      <c r="C230" s="1">
        <v>2</v>
      </c>
      <c r="D230" s="4">
        <v>44</v>
      </c>
      <c r="E230" s="3">
        <v>2.98</v>
      </c>
      <c r="F230" s="1">
        <v>25</v>
      </c>
      <c r="G230" s="1">
        <v>35</v>
      </c>
      <c r="H230" s="33">
        <v>80.321192218194966</v>
      </c>
      <c r="I230" s="41">
        <v>235</v>
      </c>
      <c r="J230" s="43">
        <v>200</v>
      </c>
      <c r="K230" s="30">
        <v>125</v>
      </c>
      <c r="L230" s="43">
        <v>122.5</v>
      </c>
      <c r="M230" s="3">
        <v>0.19</v>
      </c>
      <c r="N230" s="17">
        <v>0.15853100890336841</v>
      </c>
      <c r="O230" s="23">
        <v>301.27930751279979</v>
      </c>
      <c r="P230" s="23">
        <v>55.884232323737898</v>
      </c>
      <c r="Q230" s="24">
        <v>8.1200522425266847E-2</v>
      </c>
      <c r="R230" s="17">
        <v>0.83437373107036006</v>
      </c>
      <c r="S230" s="3">
        <v>0.18259499046456978</v>
      </c>
      <c r="T230" s="23">
        <v>301.27930751279979</v>
      </c>
      <c r="U230" s="30">
        <v>106</v>
      </c>
      <c r="V230" s="35">
        <v>3.4176870748299316E-2</v>
      </c>
      <c r="W230" s="17">
        <f t="shared" si="6"/>
        <v>1.2924494373624693</v>
      </c>
      <c r="X230" s="17">
        <f t="shared" si="7"/>
        <v>0.44318181818181818</v>
      </c>
      <c r="Y230" s="34">
        <v>0.96102626560299886</v>
      </c>
      <c r="Z230" s="34">
        <v>0.16984864237710898</v>
      </c>
      <c r="AA230" s="30">
        <v>301.27930751279979</v>
      </c>
      <c r="AB230" s="30">
        <v>55.884232323737898</v>
      </c>
      <c r="AC230" s="35">
        <v>8.1200522425266847E-2</v>
      </c>
      <c r="AD230" s="34">
        <v>0.8939402230374156</v>
      </c>
      <c r="AE230" s="34">
        <v>0.22933584814653671</v>
      </c>
      <c r="AF230" s="34">
        <v>0.36201639878733166</v>
      </c>
      <c r="AG230" s="30">
        <v>318.022532867108</v>
      </c>
      <c r="AH230" s="35">
        <v>2.53E-2</v>
      </c>
      <c r="AI230" s="17">
        <v>1.2070307797186142</v>
      </c>
    </row>
    <row r="231" spans="1:35" x14ac:dyDescent="0.3">
      <c r="B231" s="1">
        <v>20</v>
      </c>
      <c r="C231" s="1">
        <v>2</v>
      </c>
      <c r="D231" s="4">
        <v>44</v>
      </c>
      <c r="E231" s="3">
        <v>2.98</v>
      </c>
      <c r="F231" s="1">
        <v>25</v>
      </c>
      <c r="G231" s="1">
        <v>35</v>
      </c>
      <c r="H231" s="33">
        <v>80.321192218194966</v>
      </c>
      <c r="I231" s="41">
        <v>235</v>
      </c>
      <c r="J231" s="43">
        <v>200</v>
      </c>
      <c r="K231" s="30">
        <v>125</v>
      </c>
      <c r="L231" s="43">
        <v>122.5</v>
      </c>
      <c r="M231" s="3">
        <v>0.23</v>
      </c>
      <c r="N231" s="17">
        <v>0.18669691327000662</v>
      </c>
      <c r="O231" s="23">
        <v>348.84972448850499</v>
      </c>
      <c r="P231" s="23">
        <v>55.884232323737898</v>
      </c>
      <c r="Q231" s="24">
        <v>8.1200522425266847E-2</v>
      </c>
      <c r="R231" s="17">
        <v>0.81172570986959391</v>
      </c>
      <c r="S231" s="3">
        <v>0.21917548150777719</v>
      </c>
      <c r="T231" s="23">
        <v>348.84972448850499</v>
      </c>
      <c r="U231" s="30">
        <v>106</v>
      </c>
      <c r="V231" s="35">
        <v>3.4176870748299316E-2</v>
      </c>
      <c r="W231" s="17">
        <f t="shared" si="6"/>
        <v>1.2924494373624693</v>
      </c>
      <c r="X231" s="17">
        <f t="shared" si="7"/>
        <v>0.44318181818181818</v>
      </c>
      <c r="Y231" s="34">
        <v>0.95293687612077038</v>
      </c>
      <c r="Z231" s="34">
        <v>0.20002532926688341</v>
      </c>
      <c r="AA231" s="30">
        <v>348.84972448850499</v>
      </c>
      <c r="AB231" s="30">
        <v>55.884232323737898</v>
      </c>
      <c r="AC231" s="35">
        <v>8.1200522425266847E-2</v>
      </c>
      <c r="AD231" s="34">
        <v>0.8696753446386235</v>
      </c>
      <c r="AE231" s="34">
        <v>0.26554677153809503</v>
      </c>
      <c r="AF231" s="34">
        <v>0.48536270640739188</v>
      </c>
      <c r="AG231" s="30">
        <v>368.23661700401971</v>
      </c>
      <c r="AH231" s="35">
        <v>2.53E-2</v>
      </c>
      <c r="AI231" s="17">
        <v>1.1545511806004132</v>
      </c>
    </row>
    <row r="232" spans="1:35" x14ac:dyDescent="0.3">
      <c r="B232" s="1">
        <v>20</v>
      </c>
      <c r="C232" s="1">
        <v>2</v>
      </c>
      <c r="D232" s="4">
        <v>44</v>
      </c>
      <c r="E232" s="3">
        <v>2.98</v>
      </c>
      <c r="F232" s="1">
        <v>25</v>
      </c>
      <c r="G232" s="1">
        <v>35</v>
      </c>
      <c r="H232" s="33">
        <v>80.321192218194966</v>
      </c>
      <c r="I232" s="41">
        <v>235</v>
      </c>
      <c r="J232" s="43">
        <v>200</v>
      </c>
      <c r="K232" s="30">
        <v>125</v>
      </c>
      <c r="L232" s="43">
        <v>122.5</v>
      </c>
      <c r="M232" s="3">
        <v>0.25</v>
      </c>
      <c r="N232" s="17">
        <v>0.1992150929885125</v>
      </c>
      <c r="O232" s="23">
        <v>369.99213203326286</v>
      </c>
      <c r="P232" s="23">
        <v>55.884232323737898</v>
      </c>
      <c r="Q232" s="24">
        <v>8.1200522425266847E-2</v>
      </c>
      <c r="R232" s="17">
        <v>0.79686037195405002</v>
      </c>
      <c r="S232" s="3">
        <v>0.23543347752698049</v>
      </c>
      <c r="T232" s="23">
        <v>369.99213203326286</v>
      </c>
      <c r="U232" s="30">
        <v>106</v>
      </c>
      <c r="V232" s="35">
        <v>3.4176870748299316E-2</v>
      </c>
      <c r="W232" s="17">
        <f t="shared" si="6"/>
        <v>1.2924494373624693</v>
      </c>
      <c r="X232" s="17">
        <f t="shared" si="7"/>
        <v>0.44318181818181818</v>
      </c>
      <c r="Y232" s="34">
        <v>0.94173391010792196</v>
      </c>
      <c r="Z232" s="34">
        <v>0.21343719010678314</v>
      </c>
      <c r="AA232" s="30">
        <v>369.99213203326286</v>
      </c>
      <c r="AB232" s="30">
        <v>55.884232323737898</v>
      </c>
      <c r="AC232" s="35">
        <v>8.1200522425266847E-2</v>
      </c>
      <c r="AD232" s="34">
        <v>0.85374876042713255</v>
      </c>
      <c r="AE232" s="34">
        <v>0.28164051526767664</v>
      </c>
      <c r="AF232" s="34">
        <v>0.54597733273558791</v>
      </c>
      <c r="AG232" s="30">
        <v>390.55398773153615</v>
      </c>
      <c r="AH232" s="35">
        <v>2.53E-2</v>
      </c>
      <c r="AI232" s="17">
        <v>1.1265620610707066</v>
      </c>
    </row>
    <row r="233" spans="1:35" x14ac:dyDescent="0.3">
      <c r="B233" s="1">
        <v>20</v>
      </c>
      <c r="C233" s="1">
        <v>2</v>
      </c>
      <c r="D233" s="4">
        <v>44</v>
      </c>
      <c r="E233" s="3">
        <v>2.98</v>
      </c>
      <c r="F233" s="1">
        <v>25</v>
      </c>
      <c r="G233" s="1">
        <v>35</v>
      </c>
      <c r="H233" s="33">
        <v>80.321192218194966</v>
      </c>
      <c r="I233" s="41">
        <v>235</v>
      </c>
      <c r="J233" s="43">
        <v>200</v>
      </c>
      <c r="K233" s="30">
        <v>125</v>
      </c>
      <c r="L233" s="43">
        <v>122.5</v>
      </c>
      <c r="M233" s="3">
        <v>0.3</v>
      </c>
      <c r="N233" s="17">
        <v>0.21799236256627133</v>
      </c>
      <c r="O233" s="23">
        <v>401.7057433503997</v>
      </c>
      <c r="P233" s="23">
        <v>55.884232323737898</v>
      </c>
      <c r="Q233" s="24">
        <v>8.1200522425266847E-2</v>
      </c>
      <c r="R233" s="17">
        <v>0.72664120855423775</v>
      </c>
      <c r="S233" s="3">
        <v>0.25982047155578547</v>
      </c>
      <c r="T233" s="23">
        <v>401.7057433503997</v>
      </c>
      <c r="U233" s="30">
        <v>106</v>
      </c>
      <c r="V233" s="35">
        <v>3.4176870748299316E-2</v>
      </c>
      <c r="W233" s="17">
        <f t="shared" si="6"/>
        <v>1.2924494373624693</v>
      </c>
      <c r="X233" s="17">
        <f t="shared" si="7"/>
        <v>0.44318181818181818</v>
      </c>
      <c r="Y233" s="34">
        <v>0.86606823851928494</v>
      </c>
      <c r="Z233" s="34">
        <v>0.23355498136663277</v>
      </c>
      <c r="AA233" s="30">
        <v>401.7057433503997</v>
      </c>
      <c r="AB233" s="30">
        <v>55.884232323737898</v>
      </c>
      <c r="AC233" s="35">
        <v>8.1200522425266847E-2</v>
      </c>
      <c r="AD233" s="34">
        <v>0.77851660455544258</v>
      </c>
      <c r="AE233" s="34">
        <v>0.30578113086204883</v>
      </c>
      <c r="AF233" s="34">
        <v>0.64358470895525621</v>
      </c>
      <c r="AG233" s="30">
        <v>424.03004382281063</v>
      </c>
      <c r="AH233" s="35">
        <v>2.53E-2</v>
      </c>
      <c r="AI233" s="17">
        <v>1.0192704362068294</v>
      </c>
    </row>
    <row r="234" spans="1:35" x14ac:dyDescent="0.3">
      <c r="B234" s="1">
        <v>20</v>
      </c>
      <c r="C234" s="1">
        <v>2</v>
      </c>
      <c r="D234" s="4">
        <v>44</v>
      </c>
      <c r="E234" s="3">
        <v>2.98</v>
      </c>
      <c r="F234" s="1">
        <v>25</v>
      </c>
      <c r="G234" s="1">
        <v>35</v>
      </c>
      <c r="H234" s="33">
        <v>80.321192218194966</v>
      </c>
      <c r="I234" s="41">
        <v>235</v>
      </c>
      <c r="J234" s="43">
        <v>200</v>
      </c>
      <c r="K234" s="30">
        <v>125</v>
      </c>
      <c r="L234" s="43">
        <v>122.5</v>
      </c>
      <c r="M234" s="3">
        <v>0.32</v>
      </c>
      <c r="N234" s="17">
        <v>0.23051054228477727</v>
      </c>
      <c r="O234" s="23">
        <v>422.84815089515763</v>
      </c>
      <c r="P234" s="23">
        <v>55.884232323737898</v>
      </c>
      <c r="Q234" s="24">
        <v>8.1200522425266847E-2</v>
      </c>
      <c r="R234" s="17">
        <v>0.720345444639929</v>
      </c>
      <c r="S234" s="3">
        <v>0.27607846757498877</v>
      </c>
      <c r="T234" s="23">
        <v>422.84815089515763</v>
      </c>
      <c r="U234" s="30">
        <v>106</v>
      </c>
      <c r="V234" s="35">
        <v>3.4176870748299316E-2</v>
      </c>
      <c r="W234" s="17">
        <f t="shared" si="6"/>
        <v>1.2924494373624693</v>
      </c>
      <c r="X234" s="17">
        <f t="shared" si="7"/>
        <v>0.44318181818181818</v>
      </c>
      <c r="Y234" s="34">
        <v>0.86274521117183989</v>
      </c>
      <c r="Z234" s="34">
        <v>0.24696684220653253</v>
      </c>
      <c r="AA234" s="30">
        <v>422.84815089515763</v>
      </c>
      <c r="AB234" s="30">
        <v>55.884232323737898</v>
      </c>
      <c r="AC234" s="35">
        <v>8.1200522425266847E-2</v>
      </c>
      <c r="AD234" s="34">
        <v>0.77177138189541417</v>
      </c>
      <c r="AE234" s="34">
        <v>0.32187487459163039</v>
      </c>
      <c r="AF234" s="34">
        <v>0.71311325091995159</v>
      </c>
      <c r="AG234" s="30">
        <v>446.34741455032702</v>
      </c>
      <c r="AH234" s="35">
        <v>2.53E-2</v>
      </c>
      <c r="AI234" s="17">
        <v>1.0058589830988449</v>
      </c>
    </row>
    <row r="235" spans="1:35" x14ac:dyDescent="0.3">
      <c r="B235" s="1">
        <v>20</v>
      </c>
      <c r="C235" s="1">
        <v>2</v>
      </c>
      <c r="D235" s="4">
        <v>44</v>
      </c>
      <c r="E235" s="3">
        <v>2.98</v>
      </c>
      <c r="F235" s="1">
        <v>25</v>
      </c>
      <c r="G235" s="1">
        <v>35</v>
      </c>
      <c r="H235" s="33">
        <v>80.321192218194966</v>
      </c>
      <c r="I235" s="41">
        <v>235</v>
      </c>
      <c r="J235" s="43">
        <v>200</v>
      </c>
      <c r="K235" s="30">
        <v>125</v>
      </c>
      <c r="L235" s="43">
        <v>122.5</v>
      </c>
      <c r="M235" s="3">
        <v>0.36</v>
      </c>
      <c r="N235" s="17">
        <v>0.2611800825951166</v>
      </c>
      <c r="O235" s="23">
        <v>474.64704937981429</v>
      </c>
      <c r="P235" s="23">
        <v>55.884232323737898</v>
      </c>
      <c r="Q235" s="24">
        <v>8.1200522425266847E-2</v>
      </c>
      <c r="R235" s="17">
        <v>0.72550022943087944</v>
      </c>
      <c r="S235" s="3">
        <v>0.31591055782203681</v>
      </c>
      <c r="T235" s="23">
        <v>474.64704937981429</v>
      </c>
      <c r="U235" s="30">
        <v>106</v>
      </c>
      <c r="V235" s="35">
        <v>3.4176870748299316E-2</v>
      </c>
      <c r="W235" s="17">
        <f t="shared" si="6"/>
        <v>1.2924494373624693</v>
      </c>
      <c r="X235" s="17">
        <f t="shared" si="7"/>
        <v>0.44318181818181818</v>
      </c>
      <c r="Y235" s="34">
        <v>0.87752932728343558</v>
      </c>
      <c r="Z235" s="34">
        <v>0.27982590126428686</v>
      </c>
      <c r="AA235" s="30">
        <v>474.64704937981429</v>
      </c>
      <c r="AB235" s="30">
        <v>55.884232323737898</v>
      </c>
      <c r="AC235" s="35">
        <v>8.1200522425266847E-2</v>
      </c>
      <c r="AD235" s="34">
        <v>0.77729417017857461</v>
      </c>
      <c r="AE235" s="34">
        <v>0.36130454672910511</v>
      </c>
      <c r="AF235" s="34">
        <v>0.89852715311695708</v>
      </c>
      <c r="AG235" s="30">
        <v>501.02497283274204</v>
      </c>
      <c r="AH235" s="35">
        <v>2.53E-2</v>
      </c>
      <c r="AI235" s="17">
        <v>1.0036237409141808</v>
      </c>
    </row>
    <row r="236" spans="1:35" x14ac:dyDescent="0.3">
      <c r="B236" s="1">
        <v>20</v>
      </c>
      <c r="C236" s="1">
        <v>2</v>
      </c>
      <c r="D236" s="4">
        <v>44</v>
      </c>
      <c r="E236" s="3">
        <v>2.98</v>
      </c>
      <c r="F236" s="1">
        <v>25</v>
      </c>
      <c r="G236" s="1">
        <v>35</v>
      </c>
      <c r="H236" s="33">
        <v>80.321192218194966</v>
      </c>
      <c r="I236" s="41">
        <v>235</v>
      </c>
      <c r="J236" s="43">
        <v>200</v>
      </c>
      <c r="K236" s="30">
        <v>125</v>
      </c>
      <c r="L236" s="43">
        <v>122.5</v>
      </c>
      <c r="M236" s="3">
        <v>0.47</v>
      </c>
      <c r="N236" s="17">
        <v>0.29184962290545596</v>
      </c>
      <c r="O236" s="23">
        <v>526.44594786447112</v>
      </c>
      <c r="P236" s="23">
        <v>55.884232323737898</v>
      </c>
      <c r="Q236" s="24">
        <v>8.1200522425266847E-2</v>
      </c>
      <c r="R236" s="17">
        <v>0.62095664447969356</v>
      </c>
      <c r="S236" s="3">
        <v>0.3557426480690849</v>
      </c>
      <c r="T236" s="23">
        <v>526.44594786447112</v>
      </c>
      <c r="U236" s="30">
        <v>106</v>
      </c>
      <c r="V236" s="35">
        <v>3.4176870748299316E-2</v>
      </c>
      <c r="W236" s="17">
        <f t="shared" si="6"/>
        <v>1.2924494373624693</v>
      </c>
      <c r="X236" s="17">
        <f t="shared" si="7"/>
        <v>0.44318181818181818</v>
      </c>
      <c r="Y236" s="34">
        <v>0.75689925121081902</v>
      </c>
      <c r="Z236" s="34">
        <v>0.31268496032204124</v>
      </c>
      <c r="AA236" s="30">
        <v>526.44594786447112</v>
      </c>
      <c r="AB236" s="30">
        <v>55.884232323737898</v>
      </c>
      <c r="AC236" s="35">
        <v>8.1200522425266847E-2</v>
      </c>
      <c r="AD236" s="34">
        <v>0.66528714962136437</v>
      </c>
      <c r="AE236" s="34">
        <v>0.38075707004060283</v>
      </c>
      <c r="AF236" s="34">
        <v>0.9978845637583893</v>
      </c>
      <c r="AG236" s="30">
        <v>528</v>
      </c>
      <c r="AH236" s="35">
        <v>2.53E-2</v>
      </c>
      <c r="AI236" s="17">
        <v>0.81012142561830391</v>
      </c>
    </row>
    <row r="237" spans="1:35" x14ac:dyDescent="0.3">
      <c r="A237" t="s">
        <v>54</v>
      </c>
      <c r="B237" s="1">
        <v>20</v>
      </c>
      <c r="C237" s="1">
        <v>3</v>
      </c>
      <c r="D237" s="4">
        <v>12</v>
      </c>
      <c r="E237" s="3">
        <v>2.98</v>
      </c>
      <c r="F237" s="1">
        <v>25</v>
      </c>
      <c r="G237" s="1">
        <v>35</v>
      </c>
      <c r="H237" s="33">
        <v>93.01135812514184</v>
      </c>
      <c r="I237" s="41">
        <v>235</v>
      </c>
      <c r="J237" s="43">
        <v>200</v>
      </c>
      <c r="K237" s="30">
        <v>128</v>
      </c>
      <c r="L237" s="43">
        <v>122.5</v>
      </c>
      <c r="M237" s="3">
        <v>0.16</v>
      </c>
      <c r="N237" s="17">
        <v>0.12789012791537674</v>
      </c>
      <c r="O237" s="23">
        <v>303.4025683141906</v>
      </c>
      <c r="P237" s="23">
        <v>41.643886357836031</v>
      </c>
      <c r="Q237" s="24">
        <v>0.1326866695196976</v>
      </c>
      <c r="R237" s="17">
        <v>0.79931329947110463</v>
      </c>
      <c r="S237" s="3">
        <v>0.16920059472353005</v>
      </c>
      <c r="T237" s="23">
        <v>303.4025683141906</v>
      </c>
      <c r="U237" s="30">
        <v>77</v>
      </c>
      <c r="V237" s="35">
        <v>5.1265306122448978E-2</v>
      </c>
      <c r="W237" s="17">
        <f t="shared" si="6"/>
        <v>1.3271375296168222</v>
      </c>
      <c r="X237" s="17">
        <f t="shared" si="7"/>
        <v>0.42757009345794394</v>
      </c>
      <c r="Y237" s="34">
        <v>1.0575037170220627</v>
      </c>
      <c r="Z237" s="34">
        <v>0.15399797461207157</v>
      </c>
      <c r="AA237" s="30">
        <v>303.4025683141906</v>
      </c>
      <c r="AB237" s="30">
        <v>41.643886357836031</v>
      </c>
      <c r="AC237" s="35">
        <v>0.1326866695196976</v>
      </c>
      <c r="AD237" s="34">
        <v>0.96248734132544733</v>
      </c>
      <c r="AE237" s="34">
        <v>0.18876718678189455</v>
      </c>
      <c r="AF237" s="34">
        <v>0.36999663347029554</v>
      </c>
      <c r="AG237" s="30">
        <v>321.5086460357852</v>
      </c>
      <c r="AH237" s="35">
        <v>3.3300000000000003E-2</v>
      </c>
      <c r="AI237" s="17">
        <v>1.1797949173868409</v>
      </c>
    </row>
    <row r="238" spans="1:35" x14ac:dyDescent="0.3">
      <c r="B238" s="1">
        <v>20</v>
      </c>
      <c r="C238" s="1">
        <v>3</v>
      </c>
      <c r="D238" s="4">
        <v>12</v>
      </c>
      <c r="E238" s="3">
        <v>2.98</v>
      </c>
      <c r="F238" s="1">
        <v>25</v>
      </c>
      <c r="G238" s="1">
        <v>35</v>
      </c>
      <c r="H238" s="33">
        <v>93.01135812514184</v>
      </c>
      <c r="I238" s="41">
        <v>235</v>
      </c>
      <c r="J238" s="43">
        <v>200</v>
      </c>
      <c r="K238" s="30">
        <v>128</v>
      </c>
      <c r="L238" s="43">
        <v>122.5</v>
      </c>
      <c r="M238" s="3">
        <v>0.18</v>
      </c>
      <c r="N238" s="17">
        <v>0.13452667868681525</v>
      </c>
      <c r="O238" s="23">
        <v>317.8503096624853</v>
      </c>
      <c r="P238" s="23">
        <v>41.643886357836031</v>
      </c>
      <c r="Q238" s="24">
        <v>0.1326866695196976</v>
      </c>
      <c r="R238" s="17">
        <v>0.74737043714897367</v>
      </c>
      <c r="S238" s="3">
        <v>0.17871200070263188</v>
      </c>
      <c r="T238" s="23">
        <v>317.8503096624853</v>
      </c>
      <c r="U238" s="30">
        <v>77</v>
      </c>
      <c r="V238" s="35">
        <v>5.1265306122448978E-2</v>
      </c>
      <c r="W238" s="17">
        <f t="shared" si="6"/>
        <v>1.3271375296168222</v>
      </c>
      <c r="X238" s="17">
        <f t="shared" si="7"/>
        <v>0.42757009345794394</v>
      </c>
      <c r="Y238" s="34">
        <v>0.99284444834795493</v>
      </c>
      <c r="Z238" s="34">
        <v>0.16198932933092808</v>
      </c>
      <c r="AA238" s="30">
        <v>317.8503096624853</v>
      </c>
      <c r="AB238" s="30">
        <v>41.643886357836031</v>
      </c>
      <c r="AC238" s="35">
        <v>0.1326866695196976</v>
      </c>
      <c r="AD238" s="34">
        <v>0.899940718505156</v>
      </c>
      <c r="AE238" s="34">
        <v>0.19775610043817518</v>
      </c>
      <c r="AF238" s="34">
        <v>0.40607340272023357</v>
      </c>
      <c r="AG238" s="30">
        <v>336.81858156129874</v>
      </c>
      <c r="AH238" s="35">
        <v>3.3300000000000003E-2</v>
      </c>
      <c r="AI238" s="17">
        <v>1.0986450024343066</v>
      </c>
    </row>
    <row r="239" spans="1:35" x14ac:dyDescent="0.3">
      <c r="B239" s="1">
        <v>20</v>
      </c>
      <c r="C239" s="1">
        <v>3</v>
      </c>
      <c r="D239" s="4">
        <v>12</v>
      </c>
      <c r="E239" s="3">
        <v>2.98</v>
      </c>
      <c r="F239" s="1">
        <v>25</v>
      </c>
      <c r="G239" s="1">
        <v>35</v>
      </c>
      <c r="H239" s="33">
        <v>93.01135812514184</v>
      </c>
      <c r="I239" s="41">
        <v>235</v>
      </c>
      <c r="J239" s="43">
        <v>200</v>
      </c>
      <c r="K239" s="30">
        <v>128</v>
      </c>
      <c r="L239" s="43">
        <v>122.5</v>
      </c>
      <c r="M239" s="3">
        <v>0.18</v>
      </c>
      <c r="N239" s="17">
        <v>0.15111805561541164</v>
      </c>
      <c r="O239" s="23">
        <v>353.96966303322239</v>
      </c>
      <c r="P239" s="23">
        <v>41.643886357836031</v>
      </c>
      <c r="Q239" s="24">
        <v>0.1326866695196976</v>
      </c>
      <c r="R239" s="17">
        <v>0.83954475341895363</v>
      </c>
      <c r="S239" s="3">
        <v>0.20249051565038667</v>
      </c>
      <c r="T239" s="23">
        <v>353.96966303322239</v>
      </c>
      <c r="U239" s="30">
        <v>77</v>
      </c>
      <c r="V239" s="35">
        <v>5.1265306122448978E-2</v>
      </c>
      <c r="W239" s="17">
        <f t="shared" si="6"/>
        <v>1.3271375296168222</v>
      </c>
      <c r="X239" s="17">
        <f t="shared" si="7"/>
        <v>0.42757009345794394</v>
      </c>
      <c r="Y239" s="34">
        <v>1.1249473091688149</v>
      </c>
      <c r="Z239" s="34">
        <v>0.18196771612806956</v>
      </c>
      <c r="AA239" s="30">
        <v>353.96966303322239</v>
      </c>
      <c r="AB239" s="30">
        <v>41.643886357836031</v>
      </c>
      <c r="AC239" s="35">
        <v>0.1326866695196976</v>
      </c>
      <c r="AD239" s="34">
        <v>1.0109317562670532</v>
      </c>
      <c r="AE239" s="34">
        <v>0.22022838457887689</v>
      </c>
      <c r="AF239" s="34">
        <v>0.50360652889012436</v>
      </c>
      <c r="AG239" s="30">
        <v>375.0934203750827</v>
      </c>
      <c r="AH239" s="35">
        <v>3.3300000000000003E-2</v>
      </c>
      <c r="AI239" s="17">
        <v>1.223491025438205</v>
      </c>
    </row>
    <row r="240" spans="1:35" x14ac:dyDescent="0.3">
      <c r="B240" s="1">
        <v>20</v>
      </c>
      <c r="C240" s="1">
        <v>3</v>
      </c>
      <c r="D240" s="4">
        <v>12</v>
      </c>
      <c r="E240" s="3">
        <v>2.98</v>
      </c>
      <c r="F240" s="1">
        <v>25</v>
      </c>
      <c r="G240" s="1">
        <v>35</v>
      </c>
      <c r="H240" s="33">
        <v>93.01135812514184</v>
      </c>
      <c r="I240" s="41">
        <v>235</v>
      </c>
      <c r="J240" s="43">
        <v>200</v>
      </c>
      <c r="K240" s="30">
        <v>128</v>
      </c>
      <c r="L240" s="43">
        <v>122.5</v>
      </c>
      <c r="M240" s="3">
        <v>0.2</v>
      </c>
      <c r="N240" s="17">
        <v>0.16936857023686763</v>
      </c>
      <c r="O240" s="23">
        <v>393.70095174103312</v>
      </c>
      <c r="P240" s="23">
        <v>41.643886357836031</v>
      </c>
      <c r="Q240" s="24">
        <v>0.1326866695196976</v>
      </c>
      <c r="R240" s="17">
        <v>0.84684285118433811</v>
      </c>
      <c r="S240" s="3">
        <v>0.22864688209291692</v>
      </c>
      <c r="T240" s="23">
        <v>393.70095174103312</v>
      </c>
      <c r="U240" s="30">
        <v>77</v>
      </c>
      <c r="V240" s="35">
        <v>5.1265306122448978E-2</v>
      </c>
      <c r="W240" s="17">
        <f t="shared" si="6"/>
        <v>1.3271375296168222</v>
      </c>
      <c r="X240" s="17">
        <f t="shared" si="7"/>
        <v>0.42757009345794394</v>
      </c>
      <c r="Y240" s="34">
        <v>1.1432344104645846</v>
      </c>
      <c r="Z240" s="34">
        <v>0.20394394160492516</v>
      </c>
      <c r="AA240" s="30">
        <v>393.70095174103312</v>
      </c>
      <c r="AB240" s="30">
        <v>41.643886357836031</v>
      </c>
      <c r="AC240" s="35">
        <v>0.1326866695196976</v>
      </c>
      <c r="AD240" s="34">
        <v>1.0197197080246256</v>
      </c>
      <c r="AE240" s="34">
        <v>0.2449478971336489</v>
      </c>
      <c r="AF240" s="34">
        <v>0.62300595270132975</v>
      </c>
      <c r="AG240" s="30">
        <v>417.1957430702451</v>
      </c>
      <c r="AH240" s="35">
        <v>3.3300000000000003E-2</v>
      </c>
      <c r="AI240" s="17">
        <v>1.2247394856682443</v>
      </c>
    </row>
    <row r="241" spans="1:35" x14ac:dyDescent="0.3">
      <c r="B241" s="1">
        <v>20</v>
      </c>
      <c r="C241" s="1">
        <v>3</v>
      </c>
      <c r="D241" s="4">
        <v>12</v>
      </c>
      <c r="E241" s="3">
        <v>2.98</v>
      </c>
      <c r="F241" s="1">
        <v>25</v>
      </c>
      <c r="G241" s="1">
        <v>35</v>
      </c>
      <c r="H241" s="33">
        <v>93.01135812514184</v>
      </c>
      <c r="I241" s="41">
        <v>235</v>
      </c>
      <c r="J241" s="43">
        <v>200</v>
      </c>
      <c r="K241" s="30">
        <v>128</v>
      </c>
      <c r="L241" s="43">
        <v>122.5</v>
      </c>
      <c r="M241" s="3">
        <v>0.2</v>
      </c>
      <c r="N241" s="17">
        <v>0.18595994716546396</v>
      </c>
      <c r="O241" s="23">
        <v>429.82030511177004</v>
      </c>
      <c r="P241" s="23">
        <v>41.643886357836031</v>
      </c>
      <c r="Q241" s="24">
        <v>0.1326866695196976</v>
      </c>
      <c r="R241" s="17">
        <v>0.92979973582731978</v>
      </c>
      <c r="S241" s="3">
        <v>0.25242539704067157</v>
      </c>
      <c r="T241" s="23">
        <v>429.82030511177004</v>
      </c>
      <c r="U241" s="30">
        <v>77</v>
      </c>
      <c r="V241" s="35">
        <v>5.1265306122448978E-2</v>
      </c>
      <c r="W241" s="17">
        <f t="shared" si="6"/>
        <v>1.3271375296168222</v>
      </c>
      <c r="X241" s="17">
        <f t="shared" si="7"/>
        <v>0.42757009345794394</v>
      </c>
      <c r="Y241" s="34">
        <v>1.2621269852033579</v>
      </c>
      <c r="Z241" s="34">
        <v>0.22392232840206655</v>
      </c>
      <c r="AA241" s="30">
        <v>429.82030511177004</v>
      </c>
      <c r="AB241" s="30">
        <v>41.643886357836031</v>
      </c>
      <c r="AC241" s="35">
        <v>0.1326866695196976</v>
      </c>
      <c r="AD241" s="34">
        <v>1.1196116420103326</v>
      </c>
      <c r="AE241" s="34">
        <v>0.26742018127435052</v>
      </c>
      <c r="AF241" s="34">
        <v>0.74256268800635683</v>
      </c>
      <c r="AG241" s="30">
        <v>455.470581884029</v>
      </c>
      <c r="AH241" s="35">
        <v>3.3300000000000003E-2</v>
      </c>
      <c r="AI241" s="17">
        <v>1.3371009063717525</v>
      </c>
    </row>
    <row r="242" spans="1:35" x14ac:dyDescent="0.3">
      <c r="B242" s="1">
        <v>20</v>
      </c>
      <c r="C242" s="1">
        <v>3</v>
      </c>
      <c r="D242" s="4">
        <v>12</v>
      </c>
      <c r="E242" s="3">
        <v>2.98</v>
      </c>
      <c r="F242" s="1">
        <v>25</v>
      </c>
      <c r="G242" s="1">
        <v>35</v>
      </c>
      <c r="H242" s="33">
        <v>93.01135812514184</v>
      </c>
      <c r="I242" s="41">
        <v>235</v>
      </c>
      <c r="J242" s="43">
        <v>200</v>
      </c>
      <c r="K242" s="30">
        <v>128</v>
      </c>
      <c r="L242" s="43">
        <v>122.5</v>
      </c>
      <c r="M242" s="3">
        <v>0.2</v>
      </c>
      <c r="N242" s="17">
        <v>0.20089218640120066</v>
      </c>
      <c r="O242" s="23">
        <v>462.32772314543331</v>
      </c>
      <c r="P242" s="23">
        <v>41.643886357836031</v>
      </c>
      <c r="Q242" s="24">
        <v>0.1326866695196976</v>
      </c>
      <c r="R242" s="17">
        <v>1.0044609320060032</v>
      </c>
      <c r="S242" s="3">
        <v>0.27382606049365088</v>
      </c>
      <c r="T242" s="23">
        <v>462.32772314543331</v>
      </c>
      <c r="U242" s="30">
        <v>77</v>
      </c>
      <c r="V242" s="35">
        <v>5.1265306122448978E-2</v>
      </c>
      <c r="W242" s="17">
        <f t="shared" si="6"/>
        <v>1.3271375296168222</v>
      </c>
      <c r="X242" s="17">
        <f t="shared" si="7"/>
        <v>0.42757009345794394</v>
      </c>
      <c r="Y242" s="34">
        <v>1.3691303024682544</v>
      </c>
      <c r="Z242" s="34">
        <v>0.24190287651949383</v>
      </c>
      <c r="AA242" s="30">
        <v>462.32772314543331</v>
      </c>
      <c r="AB242" s="30">
        <v>41.643886357836031</v>
      </c>
      <c r="AC242" s="35">
        <v>0.1326866695196976</v>
      </c>
      <c r="AD242" s="34">
        <v>1.209514382597469</v>
      </c>
      <c r="AE242" s="34">
        <v>0.28764523700098216</v>
      </c>
      <c r="AF242" s="34">
        <v>0.85913050492875898</v>
      </c>
      <c r="AG242" s="30">
        <v>489.91793681643463</v>
      </c>
      <c r="AH242" s="35">
        <v>3.3300000000000003E-2</v>
      </c>
      <c r="AI242" s="17">
        <v>1.4382261850049107</v>
      </c>
    </row>
    <row r="243" spans="1:35" x14ac:dyDescent="0.3">
      <c r="B243" s="1">
        <v>20</v>
      </c>
      <c r="C243" s="1">
        <v>3</v>
      </c>
      <c r="D243" s="4">
        <v>12</v>
      </c>
      <c r="E243" s="3">
        <v>2.98</v>
      </c>
      <c r="F243" s="1">
        <v>25</v>
      </c>
      <c r="G243" s="1">
        <v>35</v>
      </c>
      <c r="H243" s="33">
        <v>93.01135812514184</v>
      </c>
      <c r="I243" s="41">
        <v>235</v>
      </c>
      <c r="J243" s="43">
        <v>200</v>
      </c>
      <c r="K243" s="30">
        <v>128</v>
      </c>
      <c r="L243" s="43">
        <v>122.5</v>
      </c>
      <c r="M243" s="3">
        <v>0.22</v>
      </c>
      <c r="N243" s="17">
        <v>0.21914270102265665</v>
      </c>
      <c r="O243" s="23">
        <v>502.05901185324399</v>
      </c>
      <c r="P243" s="23">
        <v>41.643886357836031</v>
      </c>
      <c r="Q243" s="24">
        <v>0.1326866695196976</v>
      </c>
      <c r="R243" s="17">
        <v>0.9961031864666211</v>
      </c>
      <c r="S243" s="3">
        <v>0.29998242693618105</v>
      </c>
      <c r="T243" s="23">
        <v>502.05901185324399</v>
      </c>
      <c r="U243" s="30">
        <v>77</v>
      </c>
      <c r="V243" s="35">
        <v>5.1265306122448978E-2</v>
      </c>
      <c r="W243" s="17">
        <f t="shared" si="6"/>
        <v>1.3271375296168222</v>
      </c>
      <c r="X243" s="17">
        <f t="shared" si="7"/>
        <v>0.42757009345794394</v>
      </c>
      <c r="Y243" s="34">
        <v>1.3635564860735503</v>
      </c>
      <c r="Z243" s="34">
        <v>0.2638791019963494</v>
      </c>
      <c r="AA243" s="30">
        <v>502.05901185324399</v>
      </c>
      <c r="AB243" s="30">
        <v>41.643886357836031</v>
      </c>
      <c r="AC243" s="35">
        <v>0.1326866695196976</v>
      </c>
      <c r="AD243" s="34">
        <v>1.19945046361977</v>
      </c>
      <c r="AE243" s="34">
        <v>0.3100043368965783</v>
      </c>
      <c r="AF243" s="34">
        <v>0.9978845637583893</v>
      </c>
      <c r="AG243" s="30">
        <v>528</v>
      </c>
      <c r="AH243" s="35">
        <v>3.3300000000000003E-2</v>
      </c>
      <c r="AI243" s="17">
        <v>1.4091106222571741</v>
      </c>
    </row>
    <row r="244" spans="1:35" x14ac:dyDescent="0.3">
      <c r="A244" t="s">
        <v>55</v>
      </c>
      <c r="B244" s="1">
        <v>28</v>
      </c>
      <c r="C244" s="1">
        <v>4</v>
      </c>
      <c r="D244" s="4">
        <v>16</v>
      </c>
      <c r="E244" s="3">
        <v>5.3084743571011064</v>
      </c>
      <c r="F244" s="1">
        <v>30</v>
      </c>
      <c r="G244" s="1">
        <v>44</v>
      </c>
      <c r="H244" s="33">
        <v>133.49341623498307</v>
      </c>
      <c r="I244" s="41">
        <v>300</v>
      </c>
      <c r="J244" s="43">
        <v>256</v>
      </c>
      <c r="K244" s="30">
        <v>168</v>
      </c>
      <c r="L244" s="43">
        <v>154</v>
      </c>
      <c r="M244" s="3">
        <v>0.22</v>
      </c>
      <c r="N244" s="17">
        <v>5.6084396803587552E-2</v>
      </c>
      <c r="O244" s="23">
        <v>151.17196997745879</v>
      </c>
      <c r="P244" s="23">
        <v>55.276666442213227</v>
      </c>
      <c r="Q244" s="24">
        <v>0.22188311816029316</v>
      </c>
      <c r="R244" s="17">
        <v>0.25492907637994344</v>
      </c>
      <c r="S244" s="3">
        <v>6.7647653042968173E-2</v>
      </c>
      <c r="T244" s="23">
        <v>151.17196997745879</v>
      </c>
      <c r="U244" s="30">
        <v>98</v>
      </c>
      <c r="V244" s="35">
        <v>7.9967532467532465E-2</v>
      </c>
      <c r="W244" s="17">
        <f t="shared" si="6"/>
        <v>1.3591643701729332</v>
      </c>
      <c r="X244" s="17">
        <f t="shared" si="7"/>
        <v>0.41666666666666669</v>
      </c>
      <c r="Y244" s="34">
        <v>0.30748933201349171</v>
      </c>
      <c r="Z244" s="34">
        <v>7.28407994883951E-2</v>
      </c>
      <c r="AA244" s="30">
        <v>151.17196997745879</v>
      </c>
      <c r="AB244" s="30">
        <v>55.276666442213227</v>
      </c>
      <c r="AC244" s="35">
        <v>0.22188311816029316</v>
      </c>
      <c r="AD244" s="34">
        <v>0.33109454312906861</v>
      </c>
      <c r="AE244" s="34">
        <v>0.11044982359729417</v>
      </c>
      <c r="AF244" s="34">
        <v>7.3361377368608163E-2</v>
      </c>
      <c r="AG244" s="30">
        <v>161.48798687135795</v>
      </c>
      <c r="AH244" s="35">
        <v>4.3299999999999998E-2</v>
      </c>
      <c r="AI244" s="17">
        <v>0.3334608062209462</v>
      </c>
    </row>
    <row r="245" spans="1:35" x14ac:dyDescent="0.3">
      <c r="B245" s="1">
        <v>28</v>
      </c>
      <c r="C245" s="1">
        <v>4</v>
      </c>
      <c r="D245" s="4">
        <v>16</v>
      </c>
      <c r="E245" s="3">
        <v>5.3084743571011064</v>
      </c>
      <c r="F245" s="1">
        <v>30</v>
      </c>
      <c r="G245" s="1">
        <v>44</v>
      </c>
      <c r="H245" s="33">
        <v>133.49341623498307</v>
      </c>
      <c r="I245" s="41">
        <v>300</v>
      </c>
      <c r="J245" s="43">
        <v>256</v>
      </c>
      <c r="K245" s="30">
        <v>168</v>
      </c>
      <c r="L245" s="43">
        <v>154</v>
      </c>
      <c r="M245" s="3">
        <v>0.25</v>
      </c>
      <c r="N245" s="17">
        <v>8.0101861653241874E-2</v>
      </c>
      <c r="O245" s="23">
        <v>201.70659994135215</v>
      </c>
      <c r="P245" s="23">
        <v>55.276666442213227</v>
      </c>
      <c r="Q245" s="24">
        <v>0.22188311816029316</v>
      </c>
      <c r="R245" s="17">
        <v>0.32040744661296749</v>
      </c>
      <c r="S245" s="3">
        <v>0.10459254586081865</v>
      </c>
      <c r="T245" s="23">
        <v>201.70659994135215</v>
      </c>
      <c r="U245" s="30">
        <v>98</v>
      </c>
      <c r="V245" s="35">
        <v>7.9967532467532465E-2</v>
      </c>
      <c r="W245" s="17">
        <f t="shared" si="6"/>
        <v>1.3591643701729332</v>
      </c>
      <c r="X245" s="17">
        <f t="shared" si="7"/>
        <v>0.41666666666666669</v>
      </c>
      <c r="Y245" s="34">
        <v>0.41837018344327459</v>
      </c>
      <c r="Z245" s="34">
        <v>0.10403399119659834</v>
      </c>
      <c r="AA245" s="30">
        <v>201.70659994135215</v>
      </c>
      <c r="AB245" s="30">
        <v>55.276666442213227</v>
      </c>
      <c r="AC245" s="35">
        <v>0.22188311816029316</v>
      </c>
      <c r="AD245" s="34">
        <v>0.41613596478639336</v>
      </c>
      <c r="AE245" s="34">
        <v>0.14737162177124677</v>
      </c>
      <c r="AF245" s="34">
        <v>0.13060660758320314</v>
      </c>
      <c r="AG245" s="30">
        <v>215.47111391121189</v>
      </c>
      <c r="AH245" s="35">
        <v>4.3299999999999998E-2</v>
      </c>
      <c r="AI245" s="17">
        <v>0.52242643033281255</v>
      </c>
    </row>
    <row r="246" spans="1:35" x14ac:dyDescent="0.3">
      <c r="B246" s="1">
        <v>28</v>
      </c>
      <c r="C246" s="1">
        <v>4</v>
      </c>
      <c r="D246" s="4">
        <v>16</v>
      </c>
      <c r="E246" s="3">
        <v>5.3084743571011064</v>
      </c>
      <c r="F246" s="1">
        <v>30</v>
      </c>
      <c r="G246" s="1">
        <v>44</v>
      </c>
      <c r="H246" s="33">
        <v>133.49341623498307</v>
      </c>
      <c r="I246" s="41">
        <v>300</v>
      </c>
      <c r="J246" s="43">
        <v>256</v>
      </c>
      <c r="K246" s="30">
        <v>168</v>
      </c>
      <c r="L246" s="43">
        <v>154</v>
      </c>
      <c r="M246" s="3">
        <v>0.28999999999999998</v>
      </c>
      <c r="N246" s="17">
        <v>9.3855452635522557E-2</v>
      </c>
      <c r="O246" s="23">
        <v>230.64523419418001</v>
      </c>
      <c r="P246" s="23">
        <v>55.276666442213227</v>
      </c>
      <c r="Q246" s="24">
        <v>0.22188311816029316</v>
      </c>
      <c r="R246" s="17">
        <v>0.32363949184662955</v>
      </c>
      <c r="S246" s="3">
        <v>0.12574902294454501</v>
      </c>
      <c r="T246" s="23">
        <v>230.64523419418001</v>
      </c>
      <c r="U246" s="30">
        <v>98</v>
      </c>
      <c r="V246" s="35">
        <v>7.9967532467532465E-2</v>
      </c>
      <c r="W246" s="17">
        <f t="shared" si="6"/>
        <v>1.3591643701729332</v>
      </c>
      <c r="X246" s="17">
        <f t="shared" si="7"/>
        <v>0.41666666666666669</v>
      </c>
      <c r="Y246" s="34">
        <v>0.4336173204984311</v>
      </c>
      <c r="Z246" s="34">
        <v>0.12189675909787713</v>
      </c>
      <c r="AA246" s="30">
        <v>230.64523419418001</v>
      </c>
      <c r="AB246" s="30">
        <v>55.276666442213227</v>
      </c>
      <c r="AC246" s="35">
        <v>0.22188311816029316</v>
      </c>
      <c r="AD246" s="34">
        <v>0.4203336520616453</v>
      </c>
      <c r="AE246" s="34">
        <v>0.16851487371701451</v>
      </c>
      <c r="AF246" s="34">
        <v>0.17077091367283942</v>
      </c>
      <c r="AG246" s="30">
        <v>246.38452854087183</v>
      </c>
      <c r="AH246" s="35">
        <v>4.3299999999999998E-2</v>
      </c>
      <c r="AI246" s="17">
        <v>0.58108577143798112</v>
      </c>
    </row>
    <row r="247" spans="1:35" x14ac:dyDescent="0.3">
      <c r="B247" s="1">
        <v>28</v>
      </c>
      <c r="C247" s="1">
        <v>4</v>
      </c>
      <c r="D247" s="4">
        <v>16</v>
      </c>
      <c r="E247" s="3">
        <v>5.3084743571011064</v>
      </c>
      <c r="F247" s="1">
        <v>30</v>
      </c>
      <c r="G247" s="1">
        <v>44</v>
      </c>
      <c r="H247" s="33">
        <v>133.49341623498307</v>
      </c>
      <c r="I247" s="41">
        <v>300</v>
      </c>
      <c r="J247" s="43">
        <v>256</v>
      </c>
      <c r="K247" s="30">
        <v>168</v>
      </c>
      <c r="L247" s="43">
        <v>154</v>
      </c>
      <c r="M247" s="3">
        <v>0.31</v>
      </c>
      <c r="N247" s="17">
        <v>0.10966181839127793</v>
      </c>
      <c r="O247" s="23">
        <v>263.90306758922088</v>
      </c>
      <c r="P247" s="23">
        <v>55.276666442213227</v>
      </c>
      <c r="Q247" s="24">
        <v>0.22188311816029316</v>
      </c>
      <c r="R247" s="17">
        <v>0.35374780126218691</v>
      </c>
      <c r="S247" s="3">
        <v>0.15006318317509615</v>
      </c>
      <c r="T247" s="23">
        <v>263.90306758922088</v>
      </c>
      <c r="U247" s="30">
        <v>98</v>
      </c>
      <c r="V247" s="35">
        <v>7.9967532467532465E-2</v>
      </c>
      <c r="W247" s="17">
        <f t="shared" si="6"/>
        <v>1.3591643701729332</v>
      </c>
      <c r="X247" s="17">
        <f t="shared" si="7"/>
        <v>0.41666666666666669</v>
      </c>
      <c r="Y247" s="34">
        <v>0.48407478443579405</v>
      </c>
      <c r="Z247" s="34">
        <v>0.14242561176054078</v>
      </c>
      <c r="AA247" s="30">
        <v>263.90306758922088</v>
      </c>
      <c r="AB247" s="30">
        <v>55.276666442213227</v>
      </c>
      <c r="AC247" s="35">
        <v>0.22188311816029316</v>
      </c>
      <c r="AD247" s="34">
        <v>0.45943745729206703</v>
      </c>
      <c r="AE247" s="34">
        <v>0.19281383490841922</v>
      </c>
      <c r="AF247" s="34">
        <v>0.22357014498470335</v>
      </c>
      <c r="AG247" s="30">
        <v>281.91188565257056</v>
      </c>
      <c r="AH247" s="35">
        <v>4.3299999999999998E-2</v>
      </c>
      <c r="AI247" s="17">
        <v>0.62198011260780395</v>
      </c>
    </row>
    <row r="248" spans="1:35" x14ac:dyDescent="0.3">
      <c r="B248" s="1">
        <v>28</v>
      </c>
      <c r="C248" s="1">
        <v>4</v>
      </c>
      <c r="D248" s="4">
        <v>16</v>
      </c>
      <c r="E248" s="3">
        <v>5.3084743571011064</v>
      </c>
      <c r="F248" s="1">
        <v>30</v>
      </c>
      <c r="G248" s="1">
        <v>44</v>
      </c>
      <c r="H248" s="33">
        <v>133.49341623498307</v>
      </c>
      <c r="I248" s="41">
        <v>300</v>
      </c>
      <c r="J248" s="43">
        <v>256</v>
      </c>
      <c r="K248" s="30">
        <v>168</v>
      </c>
      <c r="L248" s="43">
        <v>154</v>
      </c>
      <c r="M248" s="3">
        <v>0.33</v>
      </c>
      <c r="N248" s="17">
        <v>0.13429511567297467</v>
      </c>
      <c r="O248" s="23">
        <v>315.73345729577818</v>
      </c>
      <c r="P248" s="23">
        <v>55.276666442213227</v>
      </c>
      <c r="Q248" s="24">
        <v>0.22188311816029316</v>
      </c>
      <c r="R248" s="17">
        <v>0.4069548959787111</v>
      </c>
      <c r="S248" s="3">
        <v>0.18795538093699407</v>
      </c>
      <c r="T248" s="23">
        <v>315.73345729577818</v>
      </c>
      <c r="U248" s="30">
        <v>98</v>
      </c>
      <c r="V248" s="35">
        <v>7.9967532467532465E-2</v>
      </c>
      <c r="W248" s="17">
        <f t="shared" si="6"/>
        <v>1.3591643701729332</v>
      </c>
      <c r="X248" s="17">
        <f t="shared" si="7"/>
        <v>0.41666666666666669</v>
      </c>
      <c r="Y248" s="34">
        <v>0.56956176041513351</v>
      </c>
      <c r="Z248" s="34">
        <v>0.17441862889715948</v>
      </c>
      <c r="AA248" s="30">
        <v>315.73345729577818</v>
      </c>
      <c r="AB248" s="30">
        <v>55.276666442213227</v>
      </c>
      <c r="AC248" s="35">
        <v>0.22188311816029316</v>
      </c>
      <c r="AD248" s="34">
        <v>0.52854129968836205</v>
      </c>
      <c r="AE248" s="34">
        <v>0.23068234585606295</v>
      </c>
      <c r="AF248" s="34">
        <v>0.32001190997605566</v>
      </c>
      <c r="AG248" s="30">
        <v>337.27919543703615</v>
      </c>
      <c r="AH248" s="35">
        <v>4.3299999999999998E-2</v>
      </c>
      <c r="AI248" s="17">
        <v>0.69903741168503919</v>
      </c>
    </row>
    <row r="249" spans="1:35" x14ac:dyDescent="0.3">
      <c r="B249" s="1">
        <v>28</v>
      </c>
      <c r="C249" s="1">
        <v>4</v>
      </c>
      <c r="D249" s="4">
        <v>16</v>
      </c>
      <c r="E249" s="3">
        <v>5.3084743571011064</v>
      </c>
      <c r="F249" s="1">
        <v>30</v>
      </c>
      <c r="G249" s="1">
        <v>44</v>
      </c>
      <c r="H249" s="33">
        <v>133.49341623498307</v>
      </c>
      <c r="I249" s="41">
        <v>300</v>
      </c>
      <c r="J249" s="43">
        <v>256</v>
      </c>
      <c r="K249" s="30">
        <v>168</v>
      </c>
      <c r="L249" s="43">
        <v>154</v>
      </c>
      <c r="M249" s="3">
        <v>0.34</v>
      </c>
      <c r="N249" s="17">
        <v>0.14681704179117055</v>
      </c>
      <c r="O249" s="23">
        <v>342.08057206327823</v>
      </c>
      <c r="P249" s="23">
        <v>55.276666442213227</v>
      </c>
      <c r="Q249" s="24">
        <v>0.22188311816029316</v>
      </c>
      <c r="R249" s="17">
        <v>0.43181482879756045</v>
      </c>
      <c r="S249" s="3">
        <v>0.20721724813262554</v>
      </c>
      <c r="T249" s="23">
        <v>342.08057206327823</v>
      </c>
      <c r="U249" s="30">
        <v>98</v>
      </c>
      <c r="V249" s="35">
        <v>7.9967532467532465E-2</v>
      </c>
      <c r="W249" s="17">
        <f t="shared" si="6"/>
        <v>1.3591643701729332</v>
      </c>
      <c r="X249" s="17">
        <f t="shared" si="7"/>
        <v>0.41666666666666669</v>
      </c>
      <c r="Y249" s="34">
        <v>0.60946249450772216</v>
      </c>
      <c r="Z249" s="34">
        <v>0.19068174594160736</v>
      </c>
      <c r="AA249" s="30">
        <v>342.08057206327823</v>
      </c>
      <c r="AB249" s="30">
        <v>55.276666442213227</v>
      </c>
      <c r="AC249" s="35">
        <v>0.22188311816029316</v>
      </c>
      <c r="AD249" s="34">
        <v>0.56082866453413927</v>
      </c>
      <c r="AE249" s="34">
        <v>0.24993217225444855</v>
      </c>
      <c r="AF249" s="34">
        <v>0.3756485797040216</v>
      </c>
      <c r="AG249" s="30">
        <v>365.4242445774729</v>
      </c>
      <c r="AH249" s="35">
        <v>4.3299999999999998E-2</v>
      </c>
      <c r="AI249" s="17">
        <v>0.73509462427778982</v>
      </c>
    </row>
    <row r="250" spans="1:35" x14ac:dyDescent="0.3">
      <c r="B250" s="1">
        <v>28</v>
      </c>
      <c r="C250" s="1">
        <v>4</v>
      </c>
      <c r="D250" s="4">
        <v>16</v>
      </c>
      <c r="E250" s="3">
        <v>5.3084743571011064</v>
      </c>
      <c r="F250" s="1">
        <v>30</v>
      </c>
      <c r="G250" s="1">
        <v>44</v>
      </c>
      <c r="H250" s="33">
        <v>133.49341623498307</v>
      </c>
      <c r="I250" s="41">
        <v>300</v>
      </c>
      <c r="J250" s="43">
        <v>256</v>
      </c>
      <c r="K250" s="30">
        <v>168</v>
      </c>
      <c r="L250" s="43">
        <v>154</v>
      </c>
      <c r="M250" s="3">
        <v>0.37</v>
      </c>
      <c r="N250" s="17">
        <v>0.1650867372750956</v>
      </c>
      <c r="O250" s="23">
        <v>380.5214444289748</v>
      </c>
      <c r="P250" s="23">
        <v>55.276666442213227</v>
      </c>
      <c r="Q250" s="24">
        <v>0.22188311816029316</v>
      </c>
      <c r="R250" s="17">
        <v>0.44618037101377189</v>
      </c>
      <c r="S250" s="3">
        <v>0.23532062813936647</v>
      </c>
      <c r="T250" s="23">
        <v>380.5214444289748</v>
      </c>
      <c r="U250" s="30">
        <v>98</v>
      </c>
      <c r="V250" s="35">
        <v>7.9967532467532465E-2</v>
      </c>
      <c r="W250" s="17">
        <f t="shared" si="6"/>
        <v>1.3591643701729332</v>
      </c>
      <c r="X250" s="17">
        <f t="shared" si="7"/>
        <v>0.41666666666666669</v>
      </c>
      <c r="Y250" s="34">
        <v>0.63600169767396342</v>
      </c>
      <c r="Z250" s="34">
        <v>0.21440990031793289</v>
      </c>
      <c r="AA250" s="30">
        <v>380.5214444289748</v>
      </c>
      <c r="AB250" s="30">
        <v>55.276666442213227</v>
      </c>
      <c r="AC250" s="35">
        <v>0.22188311816029316</v>
      </c>
      <c r="AD250" s="34">
        <v>0.5794862170754943</v>
      </c>
      <c r="AE250" s="34">
        <v>0.27358028479302049</v>
      </c>
      <c r="AF250" s="34">
        <v>0.45009793258907616</v>
      </c>
      <c r="AG250" s="30">
        <v>400</v>
      </c>
      <c r="AH250" s="35">
        <v>4.3299999999999998E-2</v>
      </c>
      <c r="AI250" s="17">
        <v>0.7394061751162716</v>
      </c>
    </row>
    <row r="251" spans="1:35" x14ac:dyDescent="0.3">
      <c r="A251" t="s">
        <v>56</v>
      </c>
      <c r="B251" s="1">
        <v>15.9</v>
      </c>
      <c r="C251" s="1">
        <v>2</v>
      </c>
      <c r="D251" s="4">
        <v>46</v>
      </c>
      <c r="E251" s="3">
        <v>2.8258773978663156</v>
      </c>
      <c r="F251" s="1">
        <v>30</v>
      </c>
      <c r="G251" s="1">
        <v>38</v>
      </c>
      <c r="H251" s="33">
        <v>70.061381209483116</v>
      </c>
      <c r="I251" s="41">
        <v>250</v>
      </c>
      <c r="J251" s="43">
        <v>212</v>
      </c>
      <c r="K251" s="30">
        <v>130</v>
      </c>
      <c r="L251" s="43">
        <v>117.5</v>
      </c>
      <c r="M251" s="3">
        <v>0.2</v>
      </c>
      <c r="N251" s="17">
        <v>0.24981880799060688</v>
      </c>
      <c r="O251" s="23">
        <v>361.66957450902817</v>
      </c>
      <c r="P251" s="23">
        <v>82.461414706622364</v>
      </c>
      <c r="Q251" s="24">
        <v>4.4148388230368388E-2</v>
      </c>
      <c r="R251" s="17">
        <v>1.2490940399530344</v>
      </c>
      <c r="S251" s="3">
        <v>0.26728929873091839</v>
      </c>
      <c r="T251" s="23">
        <v>361.66957450902817</v>
      </c>
      <c r="U251" s="30">
        <v>144</v>
      </c>
      <c r="V251" s="35">
        <v>2.2536170212765955E-2</v>
      </c>
      <c r="W251" s="17">
        <f t="shared" si="6"/>
        <v>1.2677213595834909</v>
      </c>
      <c r="X251" s="17">
        <f t="shared" si="7"/>
        <v>0.51041666666666663</v>
      </c>
      <c r="Y251" s="34">
        <v>1.3364464936545919</v>
      </c>
      <c r="Z251" s="34">
        <v>0.25478881615385329</v>
      </c>
      <c r="AA251" s="30">
        <v>361.66957450902817</v>
      </c>
      <c r="AB251" s="30">
        <v>82.461414706622364</v>
      </c>
      <c r="AC251" s="35">
        <v>4.4148388230368388E-2</v>
      </c>
      <c r="AD251" s="34">
        <v>1.2739440807692664</v>
      </c>
      <c r="AE251" s="34">
        <v>0.28199361842550319</v>
      </c>
      <c r="AF251" s="34">
        <v>0.43113366848373058</v>
      </c>
      <c r="AG251" s="30">
        <v>379.03970165110024</v>
      </c>
      <c r="AH251" s="35">
        <v>1.83E-2</v>
      </c>
      <c r="AI251" s="17">
        <v>1.4099680921275159</v>
      </c>
    </row>
    <row r="252" spans="1:35" x14ac:dyDescent="0.3">
      <c r="B252" s="1">
        <v>15.9</v>
      </c>
      <c r="C252" s="1">
        <v>2</v>
      </c>
      <c r="D252" s="4">
        <v>46</v>
      </c>
      <c r="E252" s="3">
        <v>2.8258773978663156</v>
      </c>
      <c r="F252" s="1">
        <v>30</v>
      </c>
      <c r="G252" s="1">
        <v>38</v>
      </c>
      <c r="H252" s="33">
        <v>70.061381209483116</v>
      </c>
      <c r="I252" s="41">
        <v>250</v>
      </c>
      <c r="J252" s="43">
        <v>212</v>
      </c>
      <c r="K252" s="30">
        <v>130</v>
      </c>
      <c r="L252" s="43">
        <v>117.5</v>
      </c>
      <c r="M252" s="3">
        <v>0.35</v>
      </c>
      <c r="N252" s="17">
        <v>0.27432948922960282</v>
      </c>
      <c r="O252" s="23">
        <v>392.3</v>
      </c>
      <c r="P252" s="23">
        <v>82.461414706622364</v>
      </c>
      <c r="Q252" s="24">
        <v>4.4148388230368388E-2</v>
      </c>
      <c r="R252" s="17">
        <v>0.78379854065600807</v>
      </c>
      <c r="S252" s="3">
        <v>0.29702172941567545</v>
      </c>
      <c r="T252" s="23">
        <v>392.3</v>
      </c>
      <c r="U252" s="30">
        <v>144</v>
      </c>
      <c r="V252" s="35">
        <v>2.2536170212765955E-2</v>
      </c>
      <c r="W252" s="17">
        <f t="shared" si="6"/>
        <v>1.2677213595834909</v>
      </c>
      <c r="X252" s="17">
        <f t="shared" si="7"/>
        <v>0.51041666666666663</v>
      </c>
      <c r="Y252" s="34">
        <v>0.84863351261621567</v>
      </c>
      <c r="Z252" s="34">
        <v>0.27978712395237204</v>
      </c>
      <c r="AA252" s="30">
        <v>392.3</v>
      </c>
      <c r="AB252" s="30">
        <v>82.461414706622364</v>
      </c>
      <c r="AC252" s="35">
        <v>4.4148388230368388E-2</v>
      </c>
      <c r="AD252" s="34">
        <v>0.79939178272106304</v>
      </c>
      <c r="AE252" s="34">
        <v>0.29185886340253192</v>
      </c>
      <c r="AF252" s="34">
        <v>0.46182682241819578</v>
      </c>
      <c r="AG252" s="30">
        <v>392.3</v>
      </c>
      <c r="AH252" s="35">
        <v>1.83E-2</v>
      </c>
      <c r="AI252" s="17">
        <v>0.83388246686437695</v>
      </c>
    </row>
    <row r="253" spans="1:35" x14ac:dyDescent="0.3">
      <c r="A253" t="s">
        <v>57</v>
      </c>
      <c r="B253" s="1">
        <v>15.9</v>
      </c>
      <c r="C253" s="1">
        <v>2</v>
      </c>
      <c r="D253" s="4">
        <v>46</v>
      </c>
      <c r="E253" s="3">
        <v>2.8258773978663156</v>
      </c>
      <c r="F253" s="1">
        <v>30</v>
      </c>
      <c r="G253" s="1">
        <v>38</v>
      </c>
      <c r="H253" s="33">
        <v>70.061381209483116</v>
      </c>
      <c r="I253" s="41">
        <v>250</v>
      </c>
      <c r="J253" s="43">
        <v>212</v>
      </c>
      <c r="K253" s="30">
        <v>130</v>
      </c>
      <c r="L253" s="43">
        <v>117.5</v>
      </c>
      <c r="M253" s="3">
        <v>0.2</v>
      </c>
      <c r="N253" s="17">
        <v>0.25088674352315238</v>
      </c>
      <c r="O253" s="23">
        <v>363.0041485847072</v>
      </c>
      <c r="P253" s="23">
        <v>82.461414706622364</v>
      </c>
      <c r="Q253" s="24">
        <v>4.4148388230368388E-2</v>
      </c>
      <c r="R253" s="17">
        <v>1.2544337176157618</v>
      </c>
      <c r="S253" s="3">
        <v>0.26858474698417545</v>
      </c>
      <c r="T253" s="23">
        <v>363.0041485847072</v>
      </c>
      <c r="U253" s="30">
        <v>144</v>
      </c>
      <c r="V253" s="35">
        <v>2.2536170212765955E-2</v>
      </c>
      <c r="W253" s="17">
        <f t="shared" si="6"/>
        <v>1.2677213595834909</v>
      </c>
      <c r="X253" s="17">
        <f t="shared" si="7"/>
        <v>0.51041666666666663</v>
      </c>
      <c r="Y253" s="34">
        <v>1.3429237349208771</v>
      </c>
      <c r="Z253" s="34">
        <v>0.25587799767807279</v>
      </c>
      <c r="AA253" s="30">
        <v>363.0041485847072</v>
      </c>
      <c r="AB253" s="30">
        <v>82.461414706622364</v>
      </c>
      <c r="AC253" s="35">
        <v>4.4148388230368388E-2</v>
      </c>
      <c r="AD253" s="34">
        <v>1.2793899883903639</v>
      </c>
      <c r="AE253" s="34">
        <v>0.28303418528316193</v>
      </c>
      <c r="AF253" s="34">
        <v>0.43432133725167588</v>
      </c>
      <c r="AG253" s="30">
        <v>380.43837213689773</v>
      </c>
      <c r="AH253" s="35">
        <v>1.83E-2</v>
      </c>
      <c r="AI253" s="17">
        <v>1.4151709264158097</v>
      </c>
    </row>
    <row r="254" spans="1:35" x14ac:dyDescent="0.3">
      <c r="B254" s="1">
        <v>15.9</v>
      </c>
      <c r="C254" s="1">
        <v>2</v>
      </c>
      <c r="D254" s="4">
        <v>46</v>
      </c>
      <c r="E254" s="3">
        <v>2.8258773978663156</v>
      </c>
      <c r="F254" s="1">
        <v>30</v>
      </c>
      <c r="G254" s="1">
        <v>38</v>
      </c>
      <c r="H254" s="33">
        <v>70.061381209483116</v>
      </c>
      <c r="I254" s="41">
        <v>250</v>
      </c>
      <c r="J254" s="43">
        <v>212</v>
      </c>
      <c r="K254" s="30">
        <v>130</v>
      </c>
      <c r="L254" s="43">
        <v>117.5</v>
      </c>
      <c r="M254" s="3">
        <v>0.25</v>
      </c>
      <c r="N254" s="17">
        <v>0.27432948922960282</v>
      </c>
      <c r="O254" s="23">
        <v>392.3</v>
      </c>
      <c r="P254" s="23">
        <v>82.461414706622364</v>
      </c>
      <c r="Q254" s="24">
        <v>4.4148388230368388E-2</v>
      </c>
      <c r="R254" s="17">
        <v>1.0973179569184113</v>
      </c>
      <c r="S254" s="3">
        <v>0.29702172941567545</v>
      </c>
      <c r="T254" s="23">
        <v>392.3</v>
      </c>
      <c r="U254" s="30">
        <v>144</v>
      </c>
      <c r="V254" s="35">
        <v>2.2536170212765955E-2</v>
      </c>
      <c r="W254" s="17">
        <f t="shared" si="6"/>
        <v>1.2677213595834909</v>
      </c>
      <c r="X254" s="17">
        <f t="shared" si="7"/>
        <v>0.51041666666666663</v>
      </c>
      <c r="Y254" s="34">
        <v>1.1880869176627018</v>
      </c>
      <c r="Z254" s="34">
        <v>0.27978712395237204</v>
      </c>
      <c r="AA254" s="30">
        <v>392.3</v>
      </c>
      <c r="AB254" s="30">
        <v>82.461414706622364</v>
      </c>
      <c r="AC254" s="35">
        <v>4.4148388230368388E-2</v>
      </c>
      <c r="AD254" s="34">
        <v>1.1191484958094882</v>
      </c>
      <c r="AE254" s="34">
        <v>0.29185886340253192</v>
      </c>
      <c r="AF254" s="34">
        <v>0.46182682241819578</v>
      </c>
      <c r="AG254" s="30">
        <v>392.3</v>
      </c>
      <c r="AH254" s="35">
        <v>1.83E-2</v>
      </c>
      <c r="AI254" s="17">
        <v>1.1674354536101277</v>
      </c>
    </row>
    <row r="255" spans="1:35" x14ac:dyDescent="0.3">
      <c r="A255" t="s">
        <v>58</v>
      </c>
      <c r="B255" s="1">
        <v>15.9</v>
      </c>
      <c r="C255" s="1">
        <v>2</v>
      </c>
      <c r="D255" s="4">
        <v>46</v>
      </c>
      <c r="E255" s="3">
        <v>2.8258773978663156</v>
      </c>
      <c r="F255" s="1">
        <v>30</v>
      </c>
      <c r="G255" s="1">
        <v>38</v>
      </c>
      <c r="H255" s="33">
        <v>70.061381209483116</v>
      </c>
      <c r="I255" s="41">
        <v>250</v>
      </c>
      <c r="J255" s="43">
        <v>212</v>
      </c>
      <c r="K255" s="30">
        <v>130</v>
      </c>
      <c r="L255" s="43">
        <v>117.5</v>
      </c>
      <c r="M255" s="3">
        <v>0.2</v>
      </c>
      <c r="N255" s="17">
        <v>0.25088674352315238</v>
      </c>
      <c r="O255" s="23">
        <v>363.0041485847072</v>
      </c>
      <c r="P255" s="23">
        <v>82.461414706622364</v>
      </c>
      <c r="Q255" s="24">
        <v>4.4148388230368388E-2</v>
      </c>
      <c r="R255" s="17">
        <v>1.2544337176157618</v>
      </c>
      <c r="S255" s="3">
        <v>0.26858474698417545</v>
      </c>
      <c r="T255" s="23">
        <v>363.0041485847072</v>
      </c>
      <c r="U255" s="30">
        <v>144</v>
      </c>
      <c r="V255" s="35">
        <v>2.2536170212765955E-2</v>
      </c>
      <c r="W255" s="17">
        <f t="shared" si="6"/>
        <v>1.2677213595834909</v>
      </c>
      <c r="X255" s="17">
        <f t="shared" si="7"/>
        <v>0.51041666666666663</v>
      </c>
      <c r="Y255" s="34">
        <v>1.3429237349208771</v>
      </c>
      <c r="Z255" s="34">
        <v>0.25587799767807279</v>
      </c>
      <c r="AA255" s="30">
        <v>363.0041485847072</v>
      </c>
      <c r="AB255" s="30">
        <v>82.461414706622364</v>
      </c>
      <c r="AC255" s="35">
        <v>4.4148388230368388E-2</v>
      </c>
      <c r="AD255" s="34">
        <v>1.2793899883903639</v>
      </c>
      <c r="AE255" s="34">
        <v>0.28303418528316193</v>
      </c>
      <c r="AF255" s="34">
        <v>0.43432133725167588</v>
      </c>
      <c r="AG255" s="30">
        <v>380.43837213689773</v>
      </c>
      <c r="AH255" s="35">
        <v>1.83E-2</v>
      </c>
      <c r="AI255" s="17">
        <v>1.4151709264158097</v>
      </c>
    </row>
    <row r="256" spans="1:35" x14ac:dyDescent="0.3">
      <c r="B256" s="1">
        <v>15.9</v>
      </c>
      <c r="C256" s="1">
        <v>2</v>
      </c>
      <c r="D256" s="4">
        <v>46</v>
      </c>
      <c r="E256" s="3">
        <v>2.8258773978663156</v>
      </c>
      <c r="F256" s="1">
        <v>30</v>
      </c>
      <c r="G256" s="1">
        <v>38</v>
      </c>
      <c r="H256" s="33">
        <v>70.061381209483116</v>
      </c>
      <c r="I256" s="41">
        <v>250</v>
      </c>
      <c r="J256" s="43">
        <v>212</v>
      </c>
      <c r="K256" s="30">
        <v>130</v>
      </c>
      <c r="L256" s="43">
        <v>117.5</v>
      </c>
      <c r="M256" s="3">
        <v>0.25</v>
      </c>
      <c r="N256" s="17">
        <v>0.27432948922960282</v>
      </c>
      <c r="O256" s="23">
        <v>392.3</v>
      </c>
      <c r="P256" s="23">
        <v>82.461414706622364</v>
      </c>
      <c r="Q256" s="24">
        <v>4.4148388230368388E-2</v>
      </c>
      <c r="R256" s="17">
        <v>1.0973179569184113</v>
      </c>
      <c r="S256" s="3">
        <v>0.29702172941567545</v>
      </c>
      <c r="T256" s="23">
        <v>392.3</v>
      </c>
      <c r="U256" s="30">
        <v>144</v>
      </c>
      <c r="V256" s="35">
        <v>2.2536170212765955E-2</v>
      </c>
      <c r="W256" s="17">
        <f t="shared" si="6"/>
        <v>1.2677213595834909</v>
      </c>
      <c r="X256" s="17">
        <f t="shared" si="7"/>
        <v>0.51041666666666663</v>
      </c>
      <c r="Y256" s="34">
        <v>1.1880869176627018</v>
      </c>
      <c r="Z256" s="34">
        <v>0.27978712395237204</v>
      </c>
      <c r="AA256" s="30">
        <v>392.3</v>
      </c>
      <c r="AB256" s="30">
        <v>82.461414706622364</v>
      </c>
      <c r="AC256" s="35">
        <v>4.4148388230368388E-2</v>
      </c>
      <c r="AD256" s="34">
        <v>1.1191484958094882</v>
      </c>
      <c r="AE256" s="34">
        <v>0.29185886340253192</v>
      </c>
      <c r="AF256" s="34">
        <v>0.46182682241819578</v>
      </c>
      <c r="AG256" s="30">
        <v>392.3</v>
      </c>
      <c r="AH256" s="35">
        <v>1.83E-2</v>
      </c>
      <c r="AI256" s="17">
        <v>1.1674354536101277</v>
      </c>
    </row>
    <row r="257" spans="1:35" x14ac:dyDescent="0.3">
      <c r="A257" t="s">
        <v>59</v>
      </c>
      <c r="B257" s="1">
        <v>15.9</v>
      </c>
      <c r="C257" s="1">
        <v>2</v>
      </c>
      <c r="D257" s="4">
        <v>46</v>
      </c>
      <c r="E257" s="3">
        <v>2.8258773978663156</v>
      </c>
      <c r="F257" s="1">
        <v>30</v>
      </c>
      <c r="G257" s="1">
        <v>38</v>
      </c>
      <c r="H257" s="33">
        <v>70.061381209483116</v>
      </c>
      <c r="I257" s="41">
        <v>250</v>
      </c>
      <c r="J257" s="43">
        <v>212</v>
      </c>
      <c r="K257" s="30">
        <v>130</v>
      </c>
      <c r="L257" s="43">
        <v>117.5</v>
      </c>
      <c r="M257" s="3">
        <v>0.2</v>
      </c>
      <c r="N257" s="17">
        <v>0.25195467905569791</v>
      </c>
      <c r="O257" s="23">
        <v>364.33872266038628</v>
      </c>
      <c r="P257" s="23">
        <v>82.461414706622364</v>
      </c>
      <c r="Q257" s="24">
        <v>4.4148388230368388E-2</v>
      </c>
      <c r="R257" s="17">
        <v>1.2597733952784895</v>
      </c>
      <c r="S257" s="3">
        <v>0.26988019523743262</v>
      </c>
      <c r="T257" s="23">
        <v>364.33872266038628</v>
      </c>
      <c r="U257" s="30">
        <v>144</v>
      </c>
      <c r="V257" s="35">
        <v>2.2536170212765955E-2</v>
      </c>
      <c r="W257" s="17">
        <f t="shared" si="6"/>
        <v>1.2677213595834909</v>
      </c>
      <c r="X257" s="17">
        <f t="shared" si="7"/>
        <v>0.51041666666666663</v>
      </c>
      <c r="Y257" s="34">
        <v>1.349400976187163</v>
      </c>
      <c r="Z257" s="34">
        <v>0.25696717920229234</v>
      </c>
      <c r="AA257" s="30">
        <v>364.33872266038628</v>
      </c>
      <c r="AB257" s="30">
        <v>82.461414706622364</v>
      </c>
      <c r="AC257" s="35">
        <v>4.4148388230368388E-2</v>
      </c>
      <c r="AD257" s="34">
        <v>1.2848358960114616</v>
      </c>
      <c r="AE257" s="34">
        <v>0.28407475214082062</v>
      </c>
      <c r="AF257" s="34">
        <v>0.4375207469727258</v>
      </c>
      <c r="AG257" s="30">
        <v>381.83704262269509</v>
      </c>
      <c r="AH257" s="35">
        <v>1.83E-2</v>
      </c>
      <c r="AI257" s="17">
        <v>1.4203737607041029</v>
      </c>
    </row>
    <row r="258" spans="1:35" x14ac:dyDescent="0.3">
      <c r="B258" s="1">
        <v>15.9</v>
      </c>
      <c r="C258" s="1">
        <v>2</v>
      </c>
      <c r="D258" s="4">
        <v>46</v>
      </c>
      <c r="E258" s="3">
        <v>2.8258773978663156</v>
      </c>
      <c r="F258" s="1">
        <v>30</v>
      </c>
      <c r="G258" s="1">
        <v>38</v>
      </c>
      <c r="H258" s="33">
        <v>70.061381209483116</v>
      </c>
      <c r="I258" s="41">
        <v>250</v>
      </c>
      <c r="J258" s="43">
        <v>212</v>
      </c>
      <c r="K258" s="30">
        <v>130</v>
      </c>
      <c r="L258" s="43">
        <v>117.5</v>
      </c>
      <c r="M258" s="3">
        <v>0.3</v>
      </c>
      <c r="N258" s="17">
        <v>0.27432948922960282</v>
      </c>
      <c r="O258" s="23">
        <v>392.3</v>
      </c>
      <c r="P258" s="23">
        <v>82.461414706622364</v>
      </c>
      <c r="Q258" s="24">
        <v>4.4148388230368388E-2</v>
      </c>
      <c r="R258" s="17">
        <v>0.91443163076534273</v>
      </c>
      <c r="S258" s="3">
        <v>0.29702172941567545</v>
      </c>
      <c r="T258" s="23">
        <v>392.3</v>
      </c>
      <c r="U258" s="30">
        <v>144</v>
      </c>
      <c r="V258" s="35">
        <v>2.2536170212765955E-2</v>
      </c>
      <c r="W258" s="17">
        <f t="shared" si="6"/>
        <v>1.2677213595834909</v>
      </c>
      <c r="X258" s="17">
        <f t="shared" si="7"/>
        <v>0.51041666666666663</v>
      </c>
      <c r="Y258" s="34">
        <v>0.99007243138558487</v>
      </c>
      <c r="Z258" s="34">
        <v>0.27978712395237204</v>
      </c>
      <c r="AA258" s="30">
        <v>392.3</v>
      </c>
      <c r="AB258" s="30">
        <v>82.461414706622364</v>
      </c>
      <c r="AC258" s="35">
        <v>4.4148388230368388E-2</v>
      </c>
      <c r="AD258" s="34">
        <v>0.9326237465079068</v>
      </c>
      <c r="AE258" s="34">
        <v>0.29185886340253192</v>
      </c>
      <c r="AF258" s="34">
        <v>0.46182682241819578</v>
      </c>
      <c r="AG258" s="30">
        <v>392.3</v>
      </c>
      <c r="AH258" s="35">
        <v>1.83E-2</v>
      </c>
      <c r="AI258" s="17">
        <v>0.97286287800843974</v>
      </c>
    </row>
    <row r="259" spans="1:35" x14ac:dyDescent="0.3">
      <c r="A259" t="s">
        <v>60</v>
      </c>
      <c r="B259" s="1">
        <v>12.7</v>
      </c>
      <c r="C259" s="1">
        <v>2</v>
      </c>
      <c r="D259" s="4">
        <v>52</v>
      </c>
      <c r="E259" s="3">
        <v>2.9208758709847928</v>
      </c>
      <c r="F259" s="1">
        <v>30</v>
      </c>
      <c r="G259" s="1">
        <v>36.5</v>
      </c>
      <c r="H259" s="33">
        <v>58.075942632487219</v>
      </c>
      <c r="I259" s="41">
        <v>250</v>
      </c>
      <c r="J259" s="43">
        <v>213.5</v>
      </c>
      <c r="K259" s="30">
        <v>128</v>
      </c>
      <c r="L259" s="43">
        <v>100</v>
      </c>
      <c r="M259" s="3">
        <v>0.15</v>
      </c>
      <c r="N259" s="17">
        <v>0.23181080280759936</v>
      </c>
      <c r="O259" s="23">
        <v>317.10269794078823</v>
      </c>
      <c r="P259" s="23">
        <v>129.37333171699146</v>
      </c>
      <c r="Q259" s="24">
        <v>2.6406277928437891E-2</v>
      </c>
      <c r="R259" s="17">
        <v>1.5454053520506625</v>
      </c>
      <c r="S259" s="3">
        <v>0.21302068526037121</v>
      </c>
      <c r="T259" s="23">
        <v>317.10269794078823</v>
      </c>
      <c r="U259" s="30">
        <v>192</v>
      </c>
      <c r="V259" s="35">
        <v>1.6893333333333333E-2</v>
      </c>
      <c r="W259" s="17">
        <f t="shared" si="6"/>
        <v>1.2348413792447381</v>
      </c>
      <c r="X259" s="17">
        <f t="shared" si="7"/>
        <v>0.5901639344262295</v>
      </c>
      <c r="Y259" s="34">
        <v>1.4201379017358082</v>
      </c>
      <c r="Z259" s="34">
        <v>0.22003405864266853</v>
      </c>
      <c r="AA259" s="30">
        <v>317.10269794078823</v>
      </c>
      <c r="AB259" s="30">
        <v>129.37333171699146</v>
      </c>
      <c r="AC259" s="35">
        <v>2.6406277928437891E-2</v>
      </c>
      <c r="AD259" s="34">
        <v>1.4668937242844569</v>
      </c>
      <c r="AE259" s="34">
        <v>0.24661873508292353</v>
      </c>
      <c r="AF259" s="34">
        <v>0.2533316241930651</v>
      </c>
      <c r="AG259" s="30">
        <v>330.52173959353075</v>
      </c>
      <c r="AH259" s="35">
        <v>1.4E-2</v>
      </c>
      <c r="AI259" s="17">
        <v>1.6441249005528236</v>
      </c>
    </row>
    <row r="260" spans="1:35" x14ac:dyDescent="0.3">
      <c r="B260" s="1">
        <v>12.7</v>
      </c>
      <c r="C260" s="1">
        <v>2</v>
      </c>
      <c r="D260" s="4">
        <v>52</v>
      </c>
      <c r="E260" s="3">
        <v>2.9208758709847928</v>
      </c>
      <c r="F260" s="1">
        <v>30</v>
      </c>
      <c r="G260" s="1">
        <v>36.5</v>
      </c>
      <c r="H260" s="33">
        <v>58.075942632487219</v>
      </c>
      <c r="I260" s="41">
        <v>250</v>
      </c>
      <c r="J260" s="43">
        <v>213.5</v>
      </c>
      <c r="K260" s="30">
        <v>128</v>
      </c>
      <c r="L260" s="43">
        <v>100</v>
      </c>
      <c r="M260" s="3">
        <v>0.2</v>
      </c>
      <c r="N260" s="17">
        <v>0.30460035377229411</v>
      </c>
      <c r="O260" s="23">
        <v>392.3</v>
      </c>
      <c r="P260" s="23">
        <v>129.37333171699146</v>
      </c>
      <c r="Q260" s="24">
        <v>2.6406277928437891E-2</v>
      </c>
      <c r="R260" s="17">
        <v>1.5230017688614705</v>
      </c>
      <c r="S260" s="3">
        <v>0.2922790774211681</v>
      </c>
      <c r="T260" s="23">
        <v>392.3</v>
      </c>
      <c r="U260" s="30">
        <v>192</v>
      </c>
      <c r="V260" s="35">
        <v>1.6893333333333333E-2</v>
      </c>
      <c r="W260" s="17">
        <f t="shared" ref="W260:W323" si="8">(I260-H260)/(J260-H260)</f>
        <v>1.2348413792447381</v>
      </c>
      <c r="X260" s="17">
        <f t="shared" ref="X260:X323" si="9">0.5*(1+(I260-K260-L260)/(I260-K260))</f>
        <v>0.5901639344262295</v>
      </c>
      <c r="Y260" s="34">
        <v>1.4613953871058405</v>
      </c>
      <c r="Z260" s="34">
        <v>0.28912566322518846</v>
      </c>
      <c r="AA260" s="30">
        <v>392.3</v>
      </c>
      <c r="AB260" s="30">
        <v>129.37333171699146</v>
      </c>
      <c r="AC260" s="35">
        <v>2.6406277928437891E-2</v>
      </c>
      <c r="AD260" s="34">
        <v>1.4456283161259422</v>
      </c>
      <c r="AE260" s="34">
        <v>0.29271457269954582</v>
      </c>
      <c r="AF260" s="34">
        <v>0.35688308472413011</v>
      </c>
      <c r="AG260" s="30">
        <v>392.3</v>
      </c>
      <c r="AH260" s="35">
        <v>1.4E-2</v>
      </c>
      <c r="AI260" s="17">
        <v>1.463572863497729</v>
      </c>
    </row>
    <row r="261" spans="1:35" x14ac:dyDescent="0.3">
      <c r="A261" t="s">
        <v>61</v>
      </c>
      <c r="B261" s="1">
        <v>12.7</v>
      </c>
      <c r="C261" s="1">
        <v>2</v>
      </c>
      <c r="D261" s="4">
        <v>52</v>
      </c>
      <c r="E261" s="3">
        <v>2.9208758709847928</v>
      </c>
      <c r="F261" s="1">
        <v>30</v>
      </c>
      <c r="G261" s="1">
        <v>36.5</v>
      </c>
      <c r="H261" s="33">
        <v>58.075942632487219</v>
      </c>
      <c r="I261" s="41">
        <v>250</v>
      </c>
      <c r="J261" s="43">
        <v>213.5</v>
      </c>
      <c r="K261" s="30">
        <v>128</v>
      </c>
      <c r="L261" s="43">
        <v>100</v>
      </c>
      <c r="M261" s="3">
        <v>0.15</v>
      </c>
      <c r="N261" s="17">
        <v>0.23377842684639971</v>
      </c>
      <c r="O261" s="23">
        <v>319.13540754297276</v>
      </c>
      <c r="P261" s="23">
        <v>129.37333171699146</v>
      </c>
      <c r="Q261" s="24">
        <v>2.6406277928437891E-2</v>
      </c>
      <c r="R261" s="17">
        <v>1.5585228456426647</v>
      </c>
      <c r="S261" s="3">
        <v>0.21516317296122117</v>
      </c>
      <c r="T261" s="23">
        <v>319.13540754297276</v>
      </c>
      <c r="U261" s="30">
        <v>192</v>
      </c>
      <c r="V261" s="35">
        <v>1.6893333333333333E-2</v>
      </c>
      <c r="W261" s="17">
        <f t="shared" si="8"/>
        <v>1.2348413792447381</v>
      </c>
      <c r="X261" s="17">
        <f t="shared" si="9"/>
        <v>0.5901639344262295</v>
      </c>
      <c r="Y261" s="34">
        <v>1.4344211530748079</v>
      </c>
      <c r="Z261" s="34">
        <v>0.22190172096856739</v>
      </c>
      <c r="AA261" s="30">
        <v>319.13540754297276</v>
      </c>
      <c r="AB261" s="30">
        <v>129.37333171699146</v>
      </c>
      <c r="AC261" s="35">
        <v>2.6406277928437891E-2</v>
      </c>
      <c r="AD261" s="34">
        <v>1.479344806457116</v>
      </c>
      <c r="AE261" s="34">
        <v>0.24819962441037818</v>
      </c>
      <c r="AF261" s="34">
        <v>0.25658987527674482</v>
      </c>
      <c r="AG261" s="30">
        <v>332.64046869348931</v>
      </c>
      <c r="AH261" s="35">
        <v>1.4E-2</v>
      </c>
      <c r="AI261" s="17">
        <v>1.6546641627358547</v>
      </c>
    </row>
    <row r="262" spans="1:35" x14ac:dyDescent="0.3">
      <c r="B262" s="1">
        <v>12.7</v>
      </c>
      <c r="C262" s="1">
        <v>2</v>
      </c>
      <c r="D262" s="4">
        <v>52</v>
      </c>
      <c r="E262" s="3">
        <v>2.9208758709847928</v>
      </c>
      <c r="F262" s="1">
        <v>30</v>
      </c>
      <c r="G262" s="1">
        <v>36.5</v>
      </c>
      <c r="H262" s="33">
        <v>58.075942632487219</v>
      </c>
      <c r="I262" s="41">
        <v>250</v>
      </c>
      <c r="J262" s="43">
        <v>213.5</v>
      </c>
      <c r="K262" s="30">
        <v>128</v>
      </c>
      <c r="L262" s="43">
        <v>100</v>
      </c>
      <c r="M262" s="3">
        <v>0.2</v>
      </c>
      <c r="N262" s="17">
        <v>0.30460035377229411</v>
      </c>
      <c r="O262" s="23">
        <v>392.3</v>
      </c>
      <c r="P262" s="23">
        <v>129.37333171699146</v>
      </c>
      <c r="Q262" s="24">
        <v>2.6406277928437891E-2</v>
      </c>
      <c r="R262" s="17">
        <v>1.5230017688614705</v>
      </c>
      <c r="S262" s="3">
        <v>0.2922790774211681</v>
      </c>
      <c r="T262" s="23">
        <v>392.3</v>
      </c>
      <c r="U262" s="30">
        <v>192</v>
      </c>
      <c r="V262" s="35">
        <v>1.6893333333333333E-2</v>
      </c>
      <c r="W262" s="17">
        <f t="shared" si="8"/>
        <v>1.2348413792447381</v>
      </c>
      <c r="X262" s="17">
        <f t="shared" si="9"/>
        <v>0.5901639344262295</v>
      </c>
      <c r="Y262" s="34">
        <v>1.4613953871058405</v>
      </c>
      <c r="Z262" s="34">
        <v>0.28912566322518846</v>
      </c>
      <c r="AA262" s="30">
        <v>392.3</v>
      </c>
      <c r="AB262" s="30">
        <v>129.37333171699146</v>
      </c>
      <c r="AC262" s="35">
        <v>2.6406277928437891E-2</v>
      </c>
      <c r="AD262" s="34">
        <v>1.4456283161259422</v>
      </c>
      <c r="AE262" s="34">
        <v>0.29271457269954582</v>
      </c>
      <c r="AF262" s="34">
        <v>0.35688308472413011</v>
      </c>
      <c r="AG262" s="30">
        <v>392.3</v>
      </c>
      <c r="AH262" s="35">
        <v>1.4E-2</v>
      </c>
      <c r="AI262" s="17">
        <v>1.463572863497729</v>
      </c>
    </row>
    <row r="263" spans="1:35" x14ac:dyDescent="0.3">
      <c r="A263" t="s">
        <v>62</v>
      </c>
      <c r="B263" s="1">
        <v>15.9</v>
      </c>
      <c r="C263" s="1">
        <v>2</v>
      </c>
      <c r="D263" s="4">
        <v>46</v>
      </c>
      <c r="E263" s="3">
        <v>2.9208758709847928</v>
      </c>
      <c r="F263" s="1">
        <v>30</v>
      </c>
      <c r="G263" s="1">
        <v>38</v>
      </c>
      <c r="H263" s="33">
        <v>69.597967277749476</v>
      </c>
      <c r="I263" s="41">
        <v>250</v>
      </c>
      <c r="J263" s="43">
        <v>212</v>
      </c>
      <c r="K263" s="30">
        <v>130</v>
      </c>
      <c r="L263" s="43">
        <v>117.5</v>
      </c>
      <c r="M263" s="3">
        <v>0.15</v>
      </c>
      <c r="N263" s="17">
        <v>0.1674919062651099</v>
      </c>
      <c r="O263" s="23">
        <v>260.02902224680844</v>
      </c>
      <c r="P263" s="23">
        <v>85.091206688591512</v>
      </c>
      <c r="Q263" s="24">
        <v>4.4034980538332921E-2</v>
      </c>
      <c r="R263" s="17">
        <v>1.116612708434066</v>
      </c>
      <c r="S263" s="3">
        <v>0.16593842049260554</v>
      </c>
      <c r="T263" s="23">
        <v>260.02902224680844</v>
      </c>
      <c r="U263" s="30">
        <v>148</v>
      </c>
      <c r="V263" s="35">
        <v>2.2536170212765955E-2</v>
      </c>
      <c r="W263" s="17">
        <f t="shared" si="8"/>
        <v>1.2668501233694991</v>
      </c>
      <c r="X263" s="17">
        <f t="shared" si="9"/>
        <v>0.51041666666666663</v>
      </c>
      <c r="Y263" s="34">
        <v>1.1062561366173704</v>
      </c>
      <c r="Z263" s="34">
        <v>0.17071425757771175</v>
      </c>
      <c r="AA263" s="30">
        <v>260.02902224680844</v>
      </c>
      <c r="AB263" s="30">
        <v>85.091206688591512</v>
      </c>
      <c r="AC263" s="35">
        <v>4.4034980538332921E-2</v>
      </c>
      <c r="AD263" s="34">
        <v>1.1380950505180785</v>
      </c>
      <c r="AE263" s="34">
        <v>0.20291053724344324</v>
      </c>
      <c r="AF263" s="34">
        <v>0.2159647123648005</v>
      </c>
      <c r="AG263" s="30">
        <v>272.74074473049649</v>
      </c>
      <c r="AH263" s="35">
        <v>1.83E-2</v>
      </c>
      <c r="AI263" s="17">
        <v>1.3527369149562882</v>
      </c>
    </row>
    <row r="264" spans="1:35" x14ac:dyDescent="0.3">
      <c r="B264" s="1">
        <v>15.9</v>
      </c>
      <c r="C264" s="1">
        <v>2</v>
      </c>
      <c r="D264" s="4">
        <v>46</v>
      </c>
      <c r="E264" s="3">
        <v>2.9208758709847928</v>
      </c>
      <c r="F264" s="1">
        <v>30</v>
      </c>
      <c r="G264" s="1">
        <v>38</v>
      </c>
      <c r="H264" s="33">
        <v>69.597967277749476</v>
      </c>
      <c r="I264" s="41">
        <v>250</v>
      </c>
      <c r="J264" s="43">
        <v>212</v>
      </c>
      <c r="K264" s="30">
        <v>130</v>
      </c>
      <c r="L264" s="43">
        <v>117.5</v>
      </c>
      <c r="M264" s="3">
        <v>0.25</v>
      </c>
      <c r="N264" s="17">
        <v>0.251925495788488</v>
      </c>
      <c r="O264" s="23">
        <v>365.37411331090004</v>
      </c>
      <c r="P264" s="23">
        <v>85.091206688591512</v>
      </c>
      <c r="Q264" s="24">
        <v>4.4034980538332921E-2</v>
      </c>
      <c r="R264" s="17">
        <v>1.007701983153952</v>
      </c>
      <c r="S264" s="3">
        <v>0.26816066312683373</v>
      </c>
      <c r="T264" s="23">
        <v>365.37411331090004</v>
      </c>
      <c r="U264" s="30">
        <v>148</v>
      </c>
      <c r="V264" s="35">
        <v>2.2536170212765955E-2</v>
      </c>
      <c r="W264" s="17">
        <f t="shared" si="8"/>
        <v>1.2668501233694991</v>
      </c>
      <c r="X264" s="17">
        <f t="shared" si="9"/>
        <v>0.51041666666666663</v>
      </c>
      <c r="Y264" s="34">
        <v>1.0726426525073349</v>
      </c>
      <c r="Z264" s="34">
        <v>0.25677225208933863</v>
      </c>
      <c r="AA264" s="30">
        <v>365.37411331090004</v>
      </c>
      <c r="AB264" s="30">
        <v>85.091206688591512</v>
      </c>
      <c r="AC264" s="35">
        <v>4.4034980538332921E-2</v>
      </c>
      <c r="AD264" s="34">
        <v>1.0270890083573545</v>
      </c>
      <c r="AE264" s="34">
        <v>0.28511531899847925</v>
      </c>
      <c r="AF264" s="34">
        <v>0.42639754754765979</v>
      </c>
      <c r="AG264" s="30">
        <v>383.23571310849252</v>
      </c>
      <c r="AH264" s="35">
        <v>1.83E-2</v>
      </c>
      <c r="AI264" s="17">
        <v>1.140461275993917</v>
      </c>
    </row>
    <row r="265" spans="1:35" x14ac:dyDescent="0.3">
      <c r="B265" s="1">
        <v>15.9</v>
      </c>
      <c r="C265" s="1">
        <v>2</v>
      </c>
      <c r="D265" s="4">
        <v>46</v>
      </c>
      <c r="E265" s="3">
        <v>2.9208758709847928</v>
      </c>
      <c r="F265" s="1">
        <v>30</v>
      </c>
      <c r="G265" s="1">
        <v>38</v>
      </c>
      <c r="H265" s="33">
        <v>69.597967277749476</v>
      </c>
      <c r="I265" s="41">
        <v>250</v>
      </c>
      <c r="J265" s="43">
        <v>212</v>
      </c>
      <c r="K265" s="30">
        <v>130</v>
      </c>
      <c r="L265" s="43">
        <v>117.5</v>
      </c>
      <c r="M265" s="3">
        <v>0.3</v>
      </c>
      <c r="N265" s="17">
        <v>0.27350646592479266</v>
      </c>
      <c r="O265" s="23">
        <v>392.3</v>
      </c>
      <c r="P265" s="23">
        <v>85.091206688591512</v>
      </c>
      <c r="Q265" s="24">
        <v>4.4034980538332921E-2</v>
      </c>
      <c r="R265" s="17">
        <v>0.91168821974930891</v>
      </c>
      <c r="S265" s="3">
        <v>0.2942883592014458</v>
      </c>
      <c r="T265" s="23">
        <v>392.3</v>
      </c>
      <c r="U265" s="30">
        <v>148</v>
      </c>
      <c r="V265" s="35">
        <v>2.2536170212765955E-2</v>
      </c>
      <c r="W265" s="17">
        <f t="shared" si="8"/>
        <v>1.2668501233694991</v>
      </c>
      <c r="X265" s="17">
        <f t="shared" si="9"/>
        <v>0.51041666666666663</v>
      </c>
      <c r="Y265" s="34">
        <v>0.98096119733815268</v>
      </c>
      <c r="Z265" s="34">
        <v>0.27876841522807938</v>
      </c>
      <c r="AA265" s="30">
        <v>392.3</v>
      </c>
      <c r="AB265" s="30">
        <v>85.091206688591512</v>
      </c>
      <c r="AC265" s="35">
        <v>4.4034980538332921E-2</v>
      </c>
      <c r="AD265" s="34">
        <v>0.9292280507602646</v>
      </c>
      <c r="AE265" s="34">
        <v>0.29185886340253192</v>
      </c>
      <c r="AF265" s="34">
        <v>0.4468063816624937</v>
      </c>
      <c r="AG265" s="30">
        <v>392.3</v>
      </c>
      <c r="AH265" s="35">
        <v>1.83E-2</v>
      </c>
      <c r="AI265" s="17">
        <v>0.97286287800843974</v>
      </c>
    </row>
    <row r="266" spans="1:35" x14ac:dyDescent="0.3">
      <c r="A266" t="s">
        <v>63</v>
      </c>
      <c r="B266" s="1">
        <v>15.9</v>
      </c>
      <c r="C266" s="1">
        <v>2</v>
      </c>
      <c r="D266" s="4">
        <v>46</v>
      </c>
      <c r="E266" s="3">
        <v>2.9208758709847928</v>
      </c>
      <c r="F266" s="1">
        <v>30</v>
      </c>
      <c r="G266" s="1">
        <v>38</v>
      </c>
      <c r="H266" s="33">
        <v>69.597967277749476</v>
      </c>
      <c r="I266" s="41">
        <v>250</v>
      </c>
      <c r="J266" s="43">
        <v>212</v>
      </c>
      <c r="K266" s="30">
        <v>130</v>
      </c>
      <c r="L266" s="43">
        <v>117.5</v>
      </c>
      <c r="M266" s="3">
        <v>0.15</v>
      </c>
      <c r="N266" s="17">
        <v>0.16856068587932993</v>
      </c>
      <c r="O266" s="23">
        <v>261.36250441217675</v>
      </c>
      <c r="P266" s="23">
        <v>85.091206688591512</v>
      </c>
      <c r="Q266" s="24">
        <v>4.4034980538332921E-2</v>
      </c>
      <c r="R266" s="17">
        <v>1.1237379058621997</v>
      </c>
      <c r="S266" s="3">
        <v>0.16723237293101356</v>
      </c>
      <c r="T266" s="23">
        <v>261.36250441217675</v>
      </c>
      <c r="U266" s="30">
        <v>148</v>
      </c>
      <c r="V266" s="35">
        <v>2.2536170212765955E-2</v>
      </c>
      <c r="W266" s="17">
        <f t="shared" si="8"/>
        <v>1.2668501233694991</v>
      </c>
      <c r="X266" s="17">
        <f t="shared" si="9"/>
        <v>0.51041666666666663</v>
      </c>
      <c r="Y266" s="34">
        <v>1.1148824862067572</v>
      </c>
      <c r="Z266" s="34">
        <v>0.17180359928039066</v>
      </c>
      <c r="AA266" s="30">
        <v>261.36250441217675</v>
      </c>
      <c r="AB266" s="30">
        <v>85.091206688591512</v>
      </c>
      <c r="AC266" s="35">
        <v>4.4034980538332921E-2</v>
      </c>
      <c r="AD266" s="34">
        <v>1.1453573285359377</v>
      </c>
      <c r="AE266" s="34">
        <v>0.20395110410110193</v>
      </c>
      <c r="AF266" s="34">
        <v>0.21818541460108287</v>
      </c>
      <c r="AG266" s="30">
        <v>274.13941521629391</v>
      </c>
      <c r="AH266" s="35">
        <v>1.83E-2</v>
      </c>
      <c r="AI266" s="17">
        <v>1.3596740273406795</v>
      </c>
    </row>
    <row r="267" spans="1:35" x14ac:dyDescent="0.3">
      <c r="B267" s="1">
        <v>15.9</v>
      </c>
      <c r="C267" s="1">
        <v>2</v>
      </c>
      <c r="D267" s="4">
        <v>46</v>
      </c>
      <c r="E267" s="3">
        <v>2.9208758709847928</v>
      </c>
      <c r="F267" s="1">
        <v>30</v>
      </c>
      <c r="G267" s="1">
        <v>38</v>
      </c>
      <c r="H267" s="33">
        <v>69.597967277749476</v>
      </c>
      <c r="I267" s="41">
        <v>250</v>
      </c>
      <c r="J267" s="43">
        <v>212</v>
      </c>
      <c r="K267" s="30">
        <v>130</v>
      </c>
      <c r="L267" s="43">
        <v>117.5</v>
      </c>
      <c r="M267" s="3">
        <v>0.25</v>
      </c>
      <c r="N267" s="17">
        <v>0.25299427540270802</v>
      </c>
      <c r="O267" s="23">
        <v>366.70759547626835</v>
      </c>
      <c r="P267" s="23">
        <v>85.091206688591512</v>
      </c>
      <c r="Q267" s="24">
        <v>4.4034980538332921E-2</v>
      </c>
      <c r="R267" s="17">
        <v>1.0119771016108321</v>
      </c>
      <c r="S267" s="3">
        <v>0.26945461556524175</v>
      </c>
      <c r="T267" s="23">
        <v>366.70759547626835</v>
      </c>
      <c r="U267" s="30">
        <v>148</v>
      </c>
      <c r="V267" s="35">
        <v>2.2536170212765955E-2</v>
      </c>
      <c r="W267" s="17">
        <f t="shared" si="8"/>
        <v>1.2668501233694991</v>
      </c>
      <c r="X267" s="17">
        <f t="shared" si="9"/>
        <v>0.51041666666666663</v>
      </c>
      <c r="Y267" s="34">
        <v>1.077818462260967</v>
      </c>
      <c r="Z267" s="34">
        <v>0.25786159379201756</v>
      </c>
      <c r="AA267" s="30">
        <v>366.70759547626835</v>
      </c>
      <c r="AB267" s="30">
        <v>85.091206688591512</v>
      </c>
      <c r="AC267" s="35">
        <v>4.4034980538332921E-2</v>
      </c>
      <c r="AD267" s="34">
        <v>1.0314463751680703</v>
      </c>
      <c r="AE267" s="34">
        <v>0.28615588585613794</v>
      </c>
      <c r="AF267" s="34">
        <v>0.42951561795103321</v>
      </c>
      <c r="AG267" s="30">
        <v>384.63438359428994</v>
      </c>
      <c r="AH267" s="35">
        <v>1.83E-2</v>
      </c>
      <c r="AI267" s="17">
        <v>1.1446235434245517</v>
      </c>
    </row>
    <row r="268" spans="1:35" x14ac:dyDescent="0.3">
      <c r="A268" t="s">
        <v>64</v>
      </c>
      <c r="B268" s="1">
        <v>19.100000000000001</v>
      </c>
      <c r="C268" s="1">
        <v>2</v>
      </c>
      <c r="D268" s="4">
        <v>40</v>
      </c>
      <c r="E268" s="3">
        <v>2.9208758709847928</v>
      </c>
      <c r="F268" s="1">
        <v>30</v>
      </c>
      <c r="G268" s="1">
        <v>39.5</v>
      </c>
      <c r="H268" s="33">
        <v>80.017825486464005</v>
      </c>
      <c r="I268" s="41">
        <v>250</v>
      </c>
      <c r="J268" s="43">
        <v>210.5</v>
      </c>
      <c r="K268" s="30">
        <v>132</v>
      </c>
      <c r="L268" s="43">
        <v>135</v>
      </c>
      <c r="M268" s="3">
        <v>0.15</v>
      </c>
      <c r="N268" s="17">
        <v>0.10386548783744019</v>
      </c>
      <c r="O268" s="23">
        <v>187.02573904138569</v>
      </c>
      <c r="P268" s="23">
        <v>62.084728863716464</v>
      </c>
      <c r="Q268" s="24">
        <v>6.7418833961836511E-2</v>
      </c>
      <c r="R268" s="17">
        <v>0.69243658558293464</v>
      </c>
      <c r="S268" s="3">
        <v>0.10247434514056784</v>
      </c>
      <c r="T268" s="23">
        <v>187.02573904138569</v>
      </c>
      <c r="U268" s="30">
        <v>122</v>
      </c>
      <c r="V268" s="35">
        <v>2.8296296296296295E-2</v>
      </c>
      <c r="W268" s="17">
        <f t="shared" si="8"/>
        <v>1.3027233424585696</v>
      </c>
      <c r="X268" s="17">
        <f t="shared" si="9"/>
        <v>0.42796610169491522</v>
      </c>
      <c r="Y268" s="34">
        <v>0.68316230093711894</v>
      </c>
      <c r="Z268" s="34">
        <v>0.11245220647895145</v>
      </c>
      <c r="AA268" s="30">
        <v>187.02573904138569</v>
      </c>
      <c r="AB268" s="30">
        <v>62.084728863716464</v>
      </c>
      <c r="AC268" s="35">
        <v>6.7418833961836511E-2</v>
      </c>
      <c r="AD268" s="34">
        <v>0.74968137652634304</v>
      </c>
      <c r="AE268" s="34">
        <v>0.14814917423039506</v>
      </c>
      <c r="AF268" s="34">
        <v>0.1355080739737812</v>
      </c>
      <c r="AG268" s="30">
        <v>197.11654992238053</v>
      </c>
      <c r="AH268" s="35">
        <v>2.2700000000000001E-2</v>
      </c>
      <c r="AI268" s="17">
        <v>0.90338715982520801</v>
      </c>
    </row>
    <row r="269" spans="1:35" x14ac:dyDescent="0.3">
      <c r="B269" s="1">
        <v>19.100000000000001</v>
      </c>
      <c r="C269" s="1">
        <v>2</v>
      </c>
      <c r="D269" s="4">
        <v>40</v>
      </c>
      <c r="E269" s="3">
        <v>2.9208758709847928</v>
      </c>
      <c r="F269" s="1">
        <v>30</v>
      </c>
      <c r="G269" s="1">
        <v>39.5</v>
      </c>
      <c r="H269" s="33">
        <v>80.017825486464005</v>
      </c>
      <c r="I269" s="41">
        <v>250</v>
      </c>
      <c r="J269" s="43">
        <v>210.5</v>
      </c>
      <c r="K269" s="30">
        <v>132</v>
      </c>
      <c r="L269" s="43">
        <v>135</v>
      </c>
      <c r="M269" s="3">
        <v>0.2</v>
      </c>
      <c r="N269" s="17">
        <v>0.15521803357180655</v>
      </c>
      <c r="O269" s="23">
        <v>261.07653927096982</v>
      </c>
      <c r="P269" s="23">
        <v>62.084728863716464</v>
      </c>
      <c r="Q269" s="24">
        <v>6.7418833961836511E-2</v>
      </c>
      <c r="R269" s="17">
        <v>0.77609016785903273</v>
      </c>
      <c r="S269" s="3">
        <v>0.16913510332806375</v>
      </c>
      <c r="T269" s="23">
        <v>261.07653927096982</v>
      </c>
      <c r="U269" s="30">
        <v>122</v>
      </c>
      <c r="V269" s="35">
        <v>2.8296296296296295E-2</v>
      </c>
      <c r="W269" s="17">
        <f t="shared" si="8"/>
        <v>1.3027233424585696</v>
      </c>
      <c r="X269" s="17">
        <f t="shared" si="9"/>
        <v>0.42796610169491522</v>
      </c>
      <c r="Y269" s="34">
        <v>0.8456755166403187</v>
      </c>
      <c r="Z269" s="34">
        <v>0.16805014566331994</v>
      </c>
      <c r="AA269" s="30">
        <v>261.07653927096982</v>
      </c>
      <c r="AB269" s="30">
        <v>62.084728863716464</v>
      </c>
      <c r="AC269" s="35">
        <v>6.7418833961836511E-2</v>
      </c>
      <c r="AD269" s="34">
        <v>0.84025072831659964</v>
      </c>
      <c r="AE269" s="34">
        <v>0.20680722291045003</v>
      </c>
      <c r="AF269" s="34">
        <v>0.2640572571894973</v>
      </c>
      <c r="AG269" s="30">
        <v>275.16269659215556</v>
      </c>
      <c r="AH269" s="35">
        <v>2.2700000000000001E-2</v>
      </c>
      <c r="AI269" s="17">
        <v>1.0340361145522501</v>
      </c>
    </row>
    <row r="270" spans="1:35" x14ac:dyDescent="0.3">
      <c r="B270" s="1">
        <v>19.100000000000001</v>
      </c>
      <c r="C270" s="1">
        <v>2</v>
      </c>
      <c r="D270" s="4">
        <v>40</v>
      </c>
      <c r="E270" s="3">
        <v>2.9208758709847928</v>
      </c>
      <c r="F270" s="1">
        <v>30</v>
      </c>
      <c r="G270" s="1">
        <v>39.5</v>
      </c>
      <c r="H270" s="33">
        <v>80.017825486464005</v>
      </c>
      <c r="I270" s="41">
        <v>250</v>
      </c>
      <c r="J270" s="43">
        <v>210.5</v>
      </c>
      <c r="K270" s="30">
        <v>132</v>
      </c>
      <c r="L270" s="43">
        <v>135</v>
      </c>
      <c r="M270" s="3">
        <v>0.3</v>
      </c>
      <c r="N270" s="17">
        <v>0.20722894527712638</v>
      </c>
      <c r="O270" s="23">
        <v>336.07670873426662</v>
      </c>
      <c r="P270" s="23">
        <v>62.084728863716464</v>
      </c>
      <c r="Q270" s="24">
        <v>6.7418833961836511E-2</v>
      </c>
      <c r="R270" s="17">
        <v>0.69076315092375462</v>
      </c>
      <c r="S270" s="3">
        <v>0.23665048662052759</v>
      </c>
      <c r="T270" s="23">
        <v>336.07670873426662</v>
      </c>
      <c r="U270" s="30">
        <v>122</v>
      </c>
      <c r="V270" s="35">
        <v>2.8296296296296295E-2</v>
      </c>
      <c r="W270" s="17">
        <f t="shared" si="8"/>
        <v>1.3027233424585696</v>
      </c>
      <c r="X270" s="17">
        <f t="shared" si="9"/>
        <v>0.42796610169491522</v>
      </c>
      <c r="Y270" s="34">
        <v>0.78883495540175863</v>
      </c>
      <c r="Z270" s="34">
        <v>0.22436087893979573</v>
      </c>
      <c r="AA270" s="30">
        <v>336.07670873426662</v>
      </c>
      <c r="AB270" s="30">
        <v>62.084728863716464</v>
      </c>
      <c r="AC270" s="35">
        <v>6.7418833961836511E-2</v>
      </c>
      <c r="AD270" s="34">
        <v>0.74786959646598583</v>
      </c>
      <c r="AE270" s="34">
        <v>0.26621729785563381</v>
      </c>
      <c r="AF270" s="34">
        <v>0.43756164286888011</v>
      </c>
      <c r="AG270" s="30">
        <v>354.20943488590211</v>
      </c>
      <c r="AH270" s="35">
        <v>2.2700000000000001E-2</v>
      </c>
      <c r="AI270" s="17">
        <v>0.88739099285211276</v>
      </c>
    </row>
    <row r="271" spans="1:35" x14ac:dyDescent="0.3">
      <c r="B271" s="1">
        <v>19.100000000000001</v>
      </c>
      <c r="C271" s="1">
        <v>2</v>
      </c>
      <c r="D271" s="4">
        <v>40</v>
      </c>
      <c r="E271" s="3">
        <v>2.9208758709847928</v>
      </c>
      <c r="F271" s="1">
        <v>30</v>
      </c>
      <c r="G271" s="1">
        <v>39.5</v>
      </c>
      <c r="H271" s="33">
        <v>80.017825486464005</v>
      </c>
      <c r="I271" s="41">
        <v>250</v>
      </c>
      <c r="J271" s="43">
        <v>210.5</v>
      </c>
      <c r="K271" s="30">
        <v>132</v>
      </c>
      <c r="L271" s="43">
        <v>135</v>
      </c>
      <c r="M271" s="3">
        <v>0.33</v>
      </c>
      <c r="N271" s="17">
        <v>0.24621851901716416</v>
      </c>
      <c r="O271" s="23">
        <v>392.3</v>
      </c>
      <c r="P271" s="23">
        <v>62.084728863716464</v>
      </c>
      <c r="Q271" s="24">
        <v>6.7418833961836511E-2</v>
      </c>
      <c r="R271" s="17">
        <v>0.74611672429443676</v>
      </c>
      <c r="S271" s="3">
        <v>0.28726286639158216</v>
      </c>
      <c r="T271" s="23">
        <v>392.3</v>
      </c>
      <c r="U271" s="30">
        <v>122</v>
      </c>
      <c r="V271" s="35">
        <v>2.8296296296296295E-2</v>
      </c>
      <c r="W271" s="17">
        <f t="shared" si="8"/>
        <v>1.3027233424585696</v>
      </c>
      <c r="X271" s="17">
        <f t="shared" si="9"/>
        <v>0.42796610169491522</v>
      </c>
      <c r="Y271" s="34">
        <v>0.87049353451994593</v>
      </c>
      <c r="Z271" s="34">
        <v>0.26657378033783419</v>
      </c>
      <c r="AA271" s="30">
        <v>392.3</v>
      </c>
      <c r="AB271" s="30">
        <v>62.084728863716464</v>
      </c>
      <c r="AC271" s="35">
        <v>6.7418833961836511E-2</v>
      </c>
      <c r="AD271" s="34">
        <v>0.8077993343570733</v>
      </c>
      <c r="AE271" s="34">
        <v>0.29484546616440754</v>
      </c>
      <c r="AF271" s="34">
        <v>0.5367296786008573</v>
      </c>
      <c r="AG271" s="30">
        <v>392.3</v>
      </c>
      <c r="AH271" s="35">
        <v>2.2700000000000001E-2</v>
      </c>
      <c r="AI271" s="17">
        <v>0.89347110958911369</v>
      </c>
    </row>
    <row r="272" spans="1:35" x14ac:dyDescent="0.3">
      <c r="A272" t="s">
        <v>65</v>
      </c>
      <c r="B272" s="1">
        <v>19.100000000000001</v>
      </c>
      <c r="C272" s="1">
        <v>2</v>
      </c>
      <c r="D272" s="4">
        <v>40</v>
      </c>
      <c r="E272" s="3">
        <v>2.9208758709847928</v>
      </c>
      <c r="F272" s="1">
        <v>30</v>
      </c>
      <c r="G272" s="1">
        <v>39.5</v>
      </c>
      <c r="H272" s="33">
        <v>80.017825486464005</v>
      </c>
      <c r="I272" s="41">
        <v>250</v>
      </c>
      <c r="J272" s="43">
        <v>210.5</v>
      </c>
      <c r="K272" s="30">
        <v>132</v>
      </c>
      <c r="L272" s="43">
        <v>135</v>
      </c>
      <c r="M272" s="3">
        <v>0.15</v>
      </c>
      <c r="N272" s="17">
        <v>0.1032071218664868</v>
      </c>
      <c r="O272" s="23">
        <v>186.07636980767307</v>
      </c>
      <c r="P272" s="23">
        <v>62.084728863716464</v>
      </c>
      <c r="Q272" s="24">
        <v>6.7418833961836511E-2</v>
      </c>
      <c r="R272" s="17">
        <v>0.68804747910991204</v>
      </c>
      <c r="S272" s="3">
        <v>0.10161972003559995</v>
      </c>
      <c r="T272" s="23">
        <v>186.07636980767307</v>
      </c>
      <c r="U272" s="30">
        <v>122</v>
      </c>
      <c r="V272" s="35">
        <v>2.8296296296296295E-2</v>
      </c>
      <c r="W272" s="17">
        <f t="shared" si="8"/>
        <v>1.3027233424585696</v>
      </c>
      <c r="X272" s="17">
        <f t="shared" si="9"/>
        <v>0.42796610169491522</v>
      </c>
      <c r="Y272" s="34">
        <v>0.67746480023733302</v>
      </c>
      <c r="Z272" s="34">
        <v>0.11173941238684416</v>
      </c>
      <c r="AA272" s="30">
        <v>186.07636980767307</v>
      </c>
      <c r="AB272" s="30">
        <v>62.084728863716464</v>
      </c>
      <c r="AC272" s="35">
        <v>6.7418833961836511E-2</v>
      </c>
      <c r="AD272" s="34">
        <v>0.74492941591229445</v>
      </c>
      <c r="AE272" s="34">
        <v>0.14739714796526618</v>
      </c>
      <c r="AF272" s="34">
        <v>0.13413584915294852</v>
      </c>
      <c r="AG272" s="30">
        <v>196.11595829840905</v>
      </c>
      <c r="AH272" s="35">
        <v>2.2700000000000001E-2</v>
      </c>
      <c r="AI272" s="17">
        <v>0.89423899435299015</v>
      </c>
    </row>
    <row r="273" spans="1:35" x14ac:dyDescent="0.3">
      <c r="B273" s="1">
        <v>19.100000000000001</v>
      </c>
      <c r="C273" s="1">
        <v>2</v>
      </c>
      <c r="D273" s="4">
        <v>40</v>
      </c>
      <c r="E273" s="3">
        <v>2.9208758709847928</v>
      </c>
      <c r="F273" s="1">
        <v>30</v>
      </c>
      <c r="G273" s="1">
        <v>39.5</v>
      </c>
      <c r="H273" s="33">
        <v>80.017825486464005</v>
      </c>
      <c r="I273" s="41">
        <v>250</v>
      </c>
      <c r="J273" s="43">
        <v>210.5</v>
      </c>
      <c r="K273" s="30">
        <v>132</v>
      </c>
      <c r="L273" s="43">
        <v>135</v>
      </c>
      <c r="M273" s="3">
        <v>0.25</v>
      </c>
      <c r="N273" s="17">
        <v>0.15390130162989973</v>
      </c>
      <c r="O273" s="23">
        <v>259.17780080354459</v>
      </c>
      <c r="P273" s="23">
        <v>62.084728863716464</v>
      </c>
      <c r="Q273" s="24">
        <v>6.7418833961836511E-2</v>
      </c>
      <c r="R273" s="17">
        <v>0.61560520651959894</v>
      </c>
      <c r="S273" s="3">
        <v>0.16742585311812797</v>
      </c>
      <c r="T273" s="23">
        <v>259.17780080354459</v>
      </c>
      <c r="U273" s="30">
        <v>122</v>
      </c>
      <c r="V273" s="35">
        <v>2.8296296296296295E-2</v>
      </c>
      <c r="W273" s="17">
        <f t="shared" si="8"/>
        <v>1.3027233424585696</v>
      </c>
      <c r="X273" s="17">
        <f t="shared" si="9"/>
        <v>0.42796610169491522</v>
      </c>
      <c r="Y273" s="34">
        <v>0.66970341247251186</v>
      </c>
      <c r="Z273" s="34">
        <v>0.16662455747910535</v>
      </c>
      <c r="AA273" s="30">
        <v>259.17780080354459</v>
      </c>
      <c r="AB273" s="30">
        <v>62.084728863716464</v>
      </c>
      <c r="AC273" s="35">
        <v>6.7418833961836511E-2</v>
      </c>
      <c r="AD273" s="34">
        <v>0.66649822991642138</v>
      </c>
      <c r="AE273" s="34">
        <v>0.20530317038019216</v>
      </c>
      <c r="AF273" s="34">
        <v>0.26023039102249323</v>
      </c>
      <c r="AG273" s="30">
        <v>273.16151334421261</v>
      </c>
      <c r="AH273" s="35">
        <v>2.2700000000000001E-2</v>
      </c>
      <c r="AI273" s="17">
        <v>0.82121268152076865</v>
      </c>
    </row>
    <row r="274" spans="1:35" x14ac:dyDescent="0.3">
      <c r="B274" s="1">
        <v>19.100000000000001</v>
      </c>
      <c r="C274" s="1">
        <v>2</v>
      </c>
      <c r="D274" s="4">
        <v>40</v>
      </c>
      <c r="E274" s="3">
        <v>2.9208758709847928</v>
      </c>
      <c r="F274" s="1">
        <v>30</v>
      </c>
      <c r="G274" s="1">
        <v>39.5</v>
      </c>
      <c r="H274" s="33">
        <v>80.017825486464005</v>
      </c>
      <c r="I274" s="41">
        <v>250</v>
      </c>
      <c r="J274" s="43">
        <v>210.5</v>
      </c>
      <c r="K274" s="30">
        <v>132</v>
      </c>
      <c r="L274" s="43">
        <v>135</v>
      </c>
      <c r="M274" s="3">
        <v>0.28000000000000003</v>
      </c>
      <c r="N274" s="17">
        <v>0.20525384736426619</v>
      </c>
      <c r="O274" s="23">
        <v>333.22860103312883</v>
      </c>
      <c r="P274" s="23">
        <v>62.084728863716464</v>
      </c>
      <c r="Q274" s="24">
        <v>6.7418833961836511E-2</v>
      </c>
      <c r="R274" s="17">
        <v>0.73304945487237916</v>
      </c>
      <c r="S274" s="3">
        <v>0.23408661130562394</v>
      </c>
      <c r="T274" s="23">
        <v>333.22860103312883</v>
      </c>
      <c r="U274" s="30">
        <v>122</v>
      </c>
      <c r="V274" s="35">
        <v>2.8296296296296295E-2</v>
      </c>
      <c r="W274" s="17">
        <f t="shared" si="8"/>
        <v>1.3027233424585696</v>
      </c>
      <c r="X274" s="17">
        <f t="shared" si="9"/>
        <v>0.42796610169491522</v>
      </c>
      <c r="Y274" s="34">
        <v>0.83602361180579976</v>
      </c>
      <c r="Z274" s="34">
        <v>0.22222249666347391</v>
      </c>
      <c r="AA274" s="30">
        <v>333.22860103312883</v>
      </c>
      <c r="AB274" s="30">
        <v>62.084728863716464</v>
      </c>
      <c r="AC274" s="35">
        <v>6.7418833961836511E-2</v>
      </c>
      <c r="AD274" s="34">
        <v>0.79365177379812102</v>
      </c>
      <c r="AE274" s="34">
        <v>0.26396121906024711</v>
      </c>
      <c r="AF274" s="34">
        <v>0.43017676883310102</v>
      </c>
      <c r="AG274" s="30">
        <v>351.20766001398766</v>
      </c>
      <c r="AH274" s="35">
        <v>2.2700000000000001E-2</v>
      </c>
      <c r="AI274" s="17">
        <v>0.94271863950088242</v>
      </c>
    </row>
    <row r="275" spans="1:35" x14ac:dyDescent="0.3">
      <c r="A275" t="s">
        <v>66</v>
      </c>
      <c r="B275" s="1">
        <v>15.9</v>
      </c>
      <c r="C275" s="1">
        <v>2</v>
      </c>
      <c r="D275" s="4">
        <v>46</v>
      </c>
      <c r="E275" s="3">
        <v>3.3538794827423906</v>
      </c>
      <c r="F275" s="1">
        <v>30</v>
      </c>
      <c r="G275" s="1">
        <v>38</v>
      </c>
      <c r="H275" s="33">
        <v>67.684138613099122</v>
      </c>
      <c r="I275" s="41">
        <v>250</v>
      </c>
      <c r="J275" s="43">
        <v>212</v>
      </c>
      <c r="K275" s="30">
        <v>129</v>
      </c>
      <c r="L275" s="43">
        <v>117.5</v>
      </c>
      <c r="M275" s="3">
        <v>0.2</v>
      </c>
      <c r="N275" s="17">
        <v>0.24787609391279472</v>
      </c>
      <c r="O275" s="23">
        <v>365.47269151625068</v>
      </c>
      <c r="P275" s="23">
        <v>97.074905867079053</v>
      </c>
      <c r="Q275" s="24">
        <v>4.3572731080932514E-2</v>
      </c>
      <c r="R275" s="17">
        <v>1.2393804695639736</v>
      </c>
      <c r="S275" s="3">
        <v>0.2559318537568821</v>
      </c>
      <c r="T275" s="23">
        <v>365.47269151625068</v>
      </c>
      <c r="U275" s="30">
        <v>169</v>
      </c>
      <c r="V275" s="35">
        <v>2.2536170212765955E-2</v>
      </c>
      <c r="W275" s="17">
        <f t="shared" si="8"/>
        <v>1.263311320286026</v>
      </c>
      <c r="X275" s="17">
        <f t="shared" si="9"/>
        <v>0.51446280991735538</v>
      </c>
      <c r="Y275" s="34">
        <v>1.2796592687844104</v>
      </c>
      <c r="Z275" s="34">
        <v>0.25197930642052585</v>
      </c>
      <c r="AA275" s="30">
        <v>365.47269151625068</v>
      </c>
      <c r="AB275" s="30">
        <v>97.074905867079053</v>
      </c>
      <c r="AC275" s="35">
        <v>4.3572731080932514E-2</v>
      </c>
      <c r="AD275" s="34">
        <v>1.2598965321026292</v>
      </c>
      <c r="AE275" s="34">
        <v>0.28615588585613794</v>
      </c>
      <c r="AF275" s="34">
        <v>0.37406287588439796</v>
      </c>
      <c r="AG275" s="30">
        <v>384.63438359428994</v>
      </c>
      <c r="AH275" s="35">
        <v>1.83E-2</v>
      </c>
      <c r="AI275" s="17">
        <v>1.4307794292806897</v>
      </c>
    </row>
    <row r="276" spans="1:35" x14ac:dyDescent="0.3">
      <c r="B276" s="1">
        <v>15.9</v>
      </c>
      <c r="C276" s="1">
        <v>2</v>
      </c>
      <c r="D276" s="4">
        <v>46</v>
      </c>
      <c r="E276" s="3">
        <v>3.3538794827423906</v>
      </c>
      <c r="F276" s="1">
        <v>30</v>
      </c>
      <c r="G276" s="1">
        <v>38</v>
      </c>
      <c r="H276" s="33">
        <v>67.684138613099122</v>
      </c>
      <c r="I276" s="41">
        <v>250</v>
      </c>
      <c r="J276" s="43">
        <v>212</v>
      </c>
      <c r="K276" s="30">
        <v>129</v>
      </c>
      <c r="L276" s="43">
        <v>117.5</v>
      </c>
      <c r="M276" s="3">
        <v>0.22</v>
      </c>
      <c r="N276" s="17">
        <v>0.26952078089345077</v>
      </c>
      <c r="O276" s="23">
        <v>392.3</v>
      </c>
      <c r="P276" s="23">
        <v>97.074905867079053</v>
      </c>
      <c r="Q276" s="24">
        <v>4.3572731080932514E-2</v>
      </c>
      <c r="R276" s="17">
        <v>1.2250944586065944</v>
      </c>
      <c r="S276" s="3">
        <v>0.28192769917035537</v>
      </c>
      <c r="T276" s="23">
        <v>392.3</v>
      </c>
      <c r="U276" s="30">
        <v>169</v>
      </c>
      <c r="V276" s="35">
        <v>2.2536170212765955E-2</v>
      </c>
      <c r="W276" s="17">
        <f t="shared" si="8"/>
        <v>1.263311320286026</v>
      </c>
      <c r="X276" s="17">
        <f t="shared" si="9"/>
        <v>0.51446280991735538</v>
      </c>
      <c r="Y276" s="34">
        <v>1.2814895416834335</v>
      </c>
      <c r="Z276" s="34">
        <v>0.27398228834178312</v>
      </c>
      <c r="AA276" s="30">
        <v>392.3</v>
      </c>
      <c r="AB276" s="30">
        <v>97.074905867079053</v>
      </c>
      <c r="AC276" s="35">
        <v>4.3572731080932514E-2</v>
      </c>
      <c r="AD276" s="34">
        <v>1.245374037917196</v>
      </c>
      <c r="AE276" s="34">
        <v>0.29185886340253192</v>
      </c>
      <c r="AF276" s="34">
        <v>0.38912131038557102</v>
      </c>
      <c r="AG276" s="30">
        <v>392.3</v>
      </c>
      <c r="AH276" s="35">
        <v>1.83E-2</v>
      </c>
      <c r="AI276" s="17">
        <v>1.326631197284236</v>
      </c>
    </row>
    <row r="277" spans="1:35" x14ac:dyDescent="0.3">
      <c r="A277" t="s">
        <v>67</v>
      </c>
      <c r="B277" s="1">
        <v>15.9</v>
      </c>
      <c r="C277" s="1">
        <v>2</v>
      </c>
      <c r="D277" s="4">
        <v>46</v>
      </c>
      <c r="E277" s="3">
        <v>3.3538794827423906</v>
      </c>
      <c r="F277" s="1">
        <v>30</v>
      </c>
      <c r="G277" s="1">
        <v>38</v>
      </c>
      <c r="H277" s="33">
        <v>67.684138613099122</v>
      </c>
      <c r="I277" s="41">
        <v>250</v>
      </c>
      <c r="J277" s="43">
        <v>212</v>
      </c>
      <c r="K277" s="30">
        <v>129</v>
      </c>
      <c r="L277" s="43">
        <v>117.5</v>
      </c>
      <c r="M277" s="3">
        <v>0.17</v>
      </c>
      <c r="N277" s="17">
        <v>0.24787609391279472</v>
      </c>
      <c r="O277" s="23">
        <v>365.47269151625068</v>
      </c>
      <c r="P277" s="23">
        <v>97.074905867079053</v>
      </c>
      <c r="Q277" s="24">
        <v>4.3572731080932514E-2</v>
      </c>
      <c r="R277" s="17">
        <v>1.4580946700752631</v>
      </c>
      <c r="S277" s="3">
        <v>0.2559318537568821</v>
      </c>
      <c r="T277" s="23">
        <v>365.47269151625068</v>
      </c>
      <c r="U277" s="30">
        <v>169</v>
      </c>
      <c r="V277" s="35">
        <v>2.2536170212765955E-2</v>
      </c>
      <c r="W277" s="17">
        <f t="shared" si="8"/>
        <v>1.263311320286026</v>
      </c>
      <c r="X277" s="17">
        <f t="shared" si="9"/>
        <v>0.51446280991735538</v>
      </c>
      <c r="Y277" s="34">
        <v>1.5054814926875417</v>
      </c>
      <c r="Z277" s="34">
        <v>0.25197930642052585</v>
      </c>
      <c r="AA277" s="30">
        <v>365.47269151625068</v>
      </c>
      <c r="AB277" s="30">
        <v>97.074905867079053</v>
      </c>
      <c r="AC277" s="35">
        <v>4.3572731080932514E-2</v>
      </c>
      <c r="AD277" s="34">
        <v>1.4822312142383873</v>
      </c>
      <c r="AE277" s="34">
        <v>0.28615588585613794</v>
      </c>
      <c r="AF277" s="34">
        <v>0.37406287588439796</v>
      </c>
      <c r="AG277" s="30">
        <v>384.63438359428994</v>
      </c>
      <c r="AH277" s="35">
        <v>1.83E-2</v>
      </c>
      <c r="AI277" s="17">
        <v>1.6832699168008112</v>
      </c>
    </row>
    <row r="278" spans="1:35" x14ac:dyDescent="0.3">
      <c r="B278" s="1">
        <v>15.9</v>
      </c>
      <c r="C278" s="1">
        <v>2</v>
      </c>
      <c r="D278" s="4">
        <v>46</v>
      </c>
      <c r="E278" s="3">
        <v>3.3538794827423906</v>
      </c>
      <c r="F278" s="1">
        <v>30</v>
      </c>
      <c r="G278" s="1">
        <v>38</v>
      </c>
      <c r="H278" s="33">
        <v>67.684138613099122</v>
      </c>
      <c r="I278" s="41">
        <v>250</v>
      </c>
      <c r="J278" s="43">
        <v>212</v>
      </c>
      <c r="K278" s="30">
        <v>129</v>
      </c>
      <c r="L278" s="43">
        <v>117.5</v>
      </c>
      <c r="M278" s="3">
        <v>0.21</v>
      </c>
      <c r="N278" s="17">
        <v>0.26952078089345077</v>
      </c>
      <c r="O278" s="23">
        <v>392.3</v>
      </c>
      <c r="P278" s="23">
        <v>97.074905867079053</v>
      </c>
      <c r="Q278" s="24">
        <v>4.3572731080932514E-2</v>
      </c>
      <c r="R278" s="17">
        <v>1.2834322899688133</v>
      </c>
      <c r="S278" s="3">
        <v>0.28192769917035537</v>
      </c>
      <c r="T278" s="23">
        <v>392.3</v>
      </c>
      <c r="U278" s="30">
        <v>169</v>
      </c>
      <c r="V278" s="35">
        <v>2.2536170212765955E-2</v>
      </c>
      <c r="W278" s="17">
        <f t="shared" si="8"/>
        <v>1.263311320286026</v>
      </c>
      <c r="X278" s="17">
        <f t="shared" si="9"/>
        <v>0.51446280991735538</v>
      </c>
      <c r="Y278" s="34">
        <v>1.3425128531921684</v>
      </c>
      <c r="Z278" s="34">
        <v>0.27398228834178312</v>
      </c>
      <c r="AA278" s="30">
        <v>392.3</v>
      </c>
      <c r="AB278" s="30">
        <v>97.074905867079053</v>
      </c>
      <c r="AC278" s="35">
        <v>4.3572731080932514E-2</v>
      </c>
      <c r="AD278" s="34">
        <v>1.3046775635323007</v>
      </c>
      <c r="AE278" s="34">
        <v>0.29185886340253192</v>
      </c>
      <c r="AF278" s="34">
        <v>0.38912131038557102</v>
      </c>
      <c r="AG278" s="30">
        <v>392.3</v>
      </c>
      <c r="AH278" s="35">
        <v>1.83E-2</v>
      </c>
      <c r="AI278" s="17">
        <v>1.3898041114406283</v>
      </c>
    </row>
    <row r="279" spans="1:35" x14ac:dyDescent="0.3">
      <c r="A279" t="s">
        <v>68</v>
      </c>
      <c r="B279" s="1">
        <v>19.100000000000001</v>
      </c>
      <c r="C279" s="1">
        <v>2</v>
      </c>
      <c r="D279" s="4">
        <v>40</v>
      </c>
      <c r="E279" s="3">
        <v>3.3538794827423906</v>
      </c>
      <c r="F279" s="1">
        <v>30</v>
      </c>
      <c r="G279" s="1">
        <v>39.5</v>
      </c>
      <c r="H279" s="33">
        <v>77.918977712586056</v>
      </c>
      <c r="I279" s="41">
        <v>250</v>
      </c>
      <c r="J279" s="43">
        <v>210.5</v>
      </c>
      <c r="K279" s="30">
        <v>131</v>
      </c>
      <c r="L279" s="43">
        <v>135</v>
      </c>
      <c r="M279" s="3">
        <v>0.17</v>
      </c>
      <c r="N279" s="17">
        <v>0.1250242104051538</v>
      </c>
      <c r="O279" s="23">
        <v>221.31013180149799</v>
      </c>
      <c r="P279" s="23">
        <v>70.464093789656062</v>
      </c>
      <c r="Q279" s="24">
        <v>6.6596536025101183E-2</v>
      </c>
      <c r="R279" s="17">
        <v>0.73543653179502233</v>
      </c>
      <c r="S279" s="3">
        <v>0.12418568445184547</v>
      </c>
      <c r="T279" s="23">
        <v>221.31013180149799</v>
      </c>
      <c r="U279" s="30">
        <v>139</v>
      </c>
      <c r="V279" s="35">
        <v>2.8296296296296295E-2</v>
      </c>
      <c r="W279" s="17">
        <f t="shared" si="8"/>
        <v>1.29793102601344</v>
      </c>
      <c r="X279" s="17">
        <f t="shared" si="9"/>
        <v>0.4327731092436975</v>
      </c>
      <c r="Y279" s="34">
        <v>0.73050402618732624</v>
      </c>
      <c r="Z279" s="34">
        <v>0.13495075566019682</v>
      </c>
      <c r="AA279" s="30">
        <v>221.31013180149799</v>
      </c>
      <c r="AB279" s="30">
        <v>70.464093789656062</v>
      </c>
      <c r="AC279" s="35">
        <v>6.6596536025101183E-2</v>
      </c>
      <c r="AD279" s="34">
        <v>0.79382797447174591</v>
      </c>
      <c r="AE279" s="34">
        <v>0.17597414604016473</v>
      </c>
      <c r="AF279" s="34">
        <v>0.16650607497088082</v>
      </c>
      <c r="AG279" s="30">
        <v>234.13844000932511</v>
      </c>
      <c r="AH279" s="35">
        <v>2.2700000000000001E-2</v>
      </c>
      <c r="AI279" s="17">
        <v>0.97944749982871071</v>
      </c>
    </row>
    <row r="280" spans="1:35" x14ac:dyDescent="0.3">
      <c r="B280" s="1">
        <v>19.100000000000001</v>
      </c>
      <c r="C280" s="1">
        <v>2</v>
      </c>
      <c r="D280" s="4">
        <v>40</v>
      </c>
      <c r="E280" s="3">
        <v>3.3538794827423906</v>
      </c>
      <c r="F280" s="1">
        <v>30</v>
      </c>
      <c r="G280" s="1">
        <v>39.5</v>
      </c>
      <c r="H280" s="33">
        <v>77.918977712586056</v>
      </c>
      <c r="I280" s="41">
        <v>250</v>
      </c>
      <c r="J280" s="43">
        <v>210.5</v>
      </c>
      <c r="K280" s="30">
        <v>131</v>
      </c>
      <c r="L280" s="43">
        <v>135</v>
      </c>
      <c r="M280" s="3">
        <v>0.18</v>
      </c>
      <c r="N280" s="17">
        <v>0.15144280284122463</v>
      </c>
      <c r="O280" s="23">
        <v>259.14092356243782</v>
      </c>
      <c r="P280" s="23">
        <v>70.464093789656062</v>
      </c>
      <c r="Q280" s="24">
        <v>6.6596536025101183E-2</v>
      </c>
      <c r="R280" s="17">
        <v>0.84134890467347023</v>
      </c>
      <c r="S280" s="3">
        <v>0.15819691921097215</v>
      </c>
      <c r="T280" s="23">
        <v>259.14092356243782</v>
      </c>
      <c r="U280" s="30">
        <v>139</v>
      </c>
      <c r="V280" s="35">
        <v>2.8296296296296295E-2</v>
      </c>
      <c r="W280" s="17">
        <f t="shared" si="8"/>
        <v>1.29793102601344</v>
      </c>
      <c r="X280" s="17">
        <f t="shared" si="9"/>
        <v>0.4327731092436975</v>
      </c>
      <c r="Y280" s="34">
        <v>0.87887177339428979</v>
      </c>
      <c r="Z280" s="34">
        <v>0.16346690466184294</v>
      </c>
      <c r="AA280" s="30">
        <v>259.14092356243782</v>
      </c>
      <c r="AB280" s="30">
        <v>70.464093789656062</v>
      </c>
      <c r="AC280" s="35">
        <v>6.6596536025101183E-2</v>
      </c>
      <c r="AD280" s="34">
        <v>0.90814947034357196</v>
      </c>
      <c r="AE280" s="34">
        <v>0.20605519664532107</v>
      </c>
      <c r="AF280" s="34">
        <v>0.228296626570857</v>
      </c>
      <c r="AG280" s="30">
        <v>274.16210496818405</v>
      </c>
      <c r="AH280" s="35">
        <v>2.2700000000000001E-2</v>
      </c>
      <c r="AI280" s="17">
        <v>1.1447510924740061</v>
      </c>
    </row>
    <row r="281" spans="1:35" x14ac:dyDescent="0.3">
      <c r="B281" s="1">
        <v>19.100000000000001</v>
      </c>
      <c r="C281" s="1">
        <v>2</v>
      </c>
      <c r="D281" s="4">
        <v>40</v>
      </c>
      <c r="E281" s="3">
        <v>3.3538794827423906</v>
      </c>
      <c r="F281" s="1">
        <v>30</v>
      </c>
      <c r="G281" s="1">
        <v>39.5</v>
      </c>
      <c r="H281" s="33">
        <v>77.918977712586056</v>
      </c>
      <c r="I281" s="41">
        <v>250</v>
      </c>
      <c r="J281" s="43">
        <v>210.5</v>
      </c>
      <c r="K281" s="30">
        <v>131</v>
      </c>
      <c r="L281" s="43">
        <v>135</v>
      </c>
      <c r="M281" s="3">
        <v>0.2</v>
      </c>
      <c r="N281" s="17">
        <v>0.17720093046639374</v>
      </c>
      <c r="O281" s="23">
        <v>296.0259455293542</v>
      </c>
      <c r="P281" s="23">
        <v>70.464093789656062</v>
      </c>
      <c r="Q281" s="24">
        <v>6.6596536025101183E-2</v>
      </c>
      <c r="R281" s="17">
        <v>0.88600465233196868</v>
      </c>
      <c r="S281" s="3">
        <v>0.19135787310112068</v>
      </c>
      <c r="T281" s="23">
        <v>296.0259455293542</v>
      </c>
      <c r="U281" s="30">
        <v>139</v>
      </c>
      <c r="V281" s="35">
        <v>2.8296296296296295E-2</v>
      </c>
      <c r="W281" s="17">
        <f t="shared" si="8"/>
        <v>1.29793102601344</v>
      </c>
      <c r="X281" s="17">
        <f t="shared" si="9"/>
        <v>0.4327731092436975</v>
      </c>
      <c r="Y281" s="34">
        <v>0.95678936550560334</v>
      </c>
      <c r="Z281" s="34">
        <v>0.19127014993844793</v>
      </c>
      <c r="AA281" s="30">
        <v>296.0259455293542</v>
      </c>
      <c r="AB281" s="30">
        <v>70.464093789656062</v>
      </c>
      <c r="AC281" s="35">
        <v>6.6596536025101183E-2</v>
      </c>
      <c r="AD281" s="34">
        <v>0.95635074969223965</v>
      </c>
      <c r="AE281" s="34">
        <v>0.23538422098534853</v>
      </c>
      <c r="AF281" s="34">
        <v>0.2979113459497082</v>
      </c>
      <c r="AG281" s="30">
        <v>313.18517830307161</v>
      </c>
      <c r="AH281" s="35">
        <v>2.2700000000000001E-2</v>
      </c>
      <c r="AI281" s="17">
        <v>1.1769211049267425</v>
      </c>
    </row>
    <row r="282" spans="1:35" x14ac:dyDescent="0.3">
      <c r="B282" s="1">
        <v>19.100000000000001</v>
      </c>
      <c r="C282" s="1">
        <v>2</v>
      </c>
      <c r="D282" s="4">
        <v>40</v>
      </c>
      <c r="E282" s="3">
        <v>3.3538794827423906</v>
      </c>
      <c r="F282" s="1">
        <v>30</v>
      </c>
      <c r="G282" s="1">
        <v>39.5</v>
      </c>
      <c r="H282" s="33">
        <v>77.918977712586056</v>
      </c>
      <c r="I282" s="41">
        <v>250</v>
      </c>
      <c r="J282" s="43">
        <v>210.5</v>
      </c>
      <c r="K282" s="30">
        <v>131</v>
      </c>
      <c r="L282" s="43">
        <v>135</v>
      </c>
      <c r="M282" s="3">
        <v>0.2</v>
      </c>
      <c r="N282" s="17">
        <v>0.20361952290246452</v>
      </c>
      <c r="O282" s="23">
        <v>333.85673729029395</v>
      </c>
      <c r="P282" s="23">
        <v>70.464093789656062</v>
      </c>
      <c r="Q282" s="24">
        <v>6.6596536025101183E-2</v>
      </c>
      <c r="R282" s="17">
        <v>1.0180976145123226</v>
      </c>
      <c r="S282" s="3">
        <v>0.22536910786024728</v>
      </c>
      <c r="T282" s="23">
        <v>333.85673729029395</v>
      </c>
      <c r="U282" s="30">
        <v>139</v>
      </c>
      <c r="V282" s="35">
        <v>2.8296296296296295E-2</v>
      </c>
      <c r="W282" s="17">
        <f t="shared" si="8"/>
        <v>1.29793102601344</v>
      </c>
      <c r="X282" s="17">
        <f t="shared" si="9"/>
        <v>0.4327731092436975</v>
      </c>
      <c r="Y282" s="34">
        <v>1.1268455393012362</v>
      </c>
      <c r="Z282" s="34">
        <v>0.21978629894009402</v>
      </c>
      <c r="AA282" s="30">
        <v>333.85673729029395</v>
      </c>
      <c r="AB282" s="30">
        <v>70.464093789656062</v>
      </c>
      <c r="AC282" s="35">
        <v>6.6596536025101183E-2</v>
      </c>
      <c r="AD282" s="34">
        <v>1.09893149470047</v>
      </c>
      <c r="AE282" s="34">
        <v>0.26546527159050493</v>
      </c>
      <c r="AF282" s="34">
        <v>0.37892021871660619</v>
      </c>
      <c r="AG282" s="30">
        <v>353.20884326193061</v>
      </c>
      <c r="AH282" s="35">
        <v>2.2700000000000001E-2</v>
      </c>
      <c r="AI282" s="17">
        <v>1.3273263579525245</v>
      </c>
    </row>
    <row r="283" spans="1:35" x14ac:dyDescent="0.3">
      <c r="B283" s="1">
        <v>19.100000000000001</v>
      </c>
      <c r="C283" s="1">
        <v>2</v>
      </c>
      <c r="D283" s="4">
        <v>40</v>
      </c>
      <c r="E283" s="3">
        <v>3.3538794827423906</v>
      </c>
      <c r="F283" s="1">
        <v>30</v>
      </c>
      <c r="G283" s="1">
        <v>39.5</v>
      </c>
      <c r="H283" s="33">
        <v>77.918977712586056</v>
      </c>
      <c r="I283" s="41">
        <v>250</v>
      </c>
      <c r="J283" s="43">
        <v>210.5</v>
      </c>
      <c r="K283" s="30">
        <v>131</v>
      </c>
      <c r="L283" s="43">
        <v>135</v>
      </c>
      <c r="M283" s="3">
        <v>0.25</v>
      </c>
      <c r="N283" s="17">
        <v>0.22871718571673189</v>
      </c>
      <c r="O283" s="23">
        <v>369.79598946318686</v>
      </c>
      <c r="P283" s="23">
        <v>70.464093789656062</v>
      </c>
      <c r="Q283" s="24">
        <v>6.6596536025101183E-2</v>
      </c>
      <c r="R283" s="17">
        <v>0.91486874286692754</v>
      </c>
      <c r="S283" s="3">
        <v>0.25767978088141763</v>
      </c>
      <c r="T283" s="23">
        <v>369.79598946318686</v>
      </c>
      <c r="U283" s="30">
        <v>139</v>
      </c>
      <c r="V283" s="35">
        <v>2.8296296296296295E-2</v>
      </c>
      <c r="W283" s="17">
        <f t="shared" si="8"/>
        <v>1.29793102601344</v>
      </c>
      <c r="X283" s="17">
        <f t="shared" si="9"/>
        <v>0.4327731092436975</v>
      </c>
      <c r="Y283" s="34">
        <v>1.0307191235256705</v>
      </c>
      <c r="Z283" s="34">
        <v>0.24687664049165789</v>
      </c>
      <c r="AA283" s="30">
        <v>369.79598946318686</v>
      </c>
      <c r="AB283" s="30">
        <v>70.464093789656062</v>
      </c>
      <c r="AC283" s="35">
        <v>6.6596536025101183E-2</v>
      </c>
      <c r="AD283" s="34">
        <v>0.98750656196663156</v>
      </c>
      <c r="AE283" s="34">
        <v>0.29404226966540348</v>
      </c>
      <c r="AF283" s="34">
        <v>0.46489179720255736</v>
      </c>
      <c r="AG283" s="30">
        <v>391.23132497284666</v>
      </c>
      <c r="AH283" s="35">
        <v>2.2700000000000001E-2</v>
      </c>
      <c r="AI283" s="17">
        <v>1.1761690786616139</v>
      </c>
    </row>
    <row r="284" spans="1:35" x14ac:dyDescent="0.3">
      <c r="B284" s="1">
        <v>19.100000000000001</v>
      </c>
      <c r="C284" s="1">
        <v>2</v>
      </c>
      <c r="D284" s="4">
        <v>40</v>
      </c>
      <c r="E284" s="3">
        <v>3.3538794827423906</v>
      </c>
      <c r="F284" s="1">
        <v>30</v>
      </c>
      <c r="G284" s="1">
        <v>39.5</v>
      </c>
      <c r="H284" s="33">
        <v>77.918977712586056</v>
      </c>
      <c r="I284" s="41">
        <v>250</v>
      </c>
      <c r="J284" s="43">
        <v>210.5</v>
      </c>
      <c r="K284" s="30">
        <v>131</v>
      </c>
      <c r="L284" s="43">
        <v>135</v>
      </c>
      <c r="M284" s="3">
        <v>0.27</v>
      </c>
      <c r="N284" s="17">
        <v>0.24443253966189971</v>
      </c>
      <c r="O284" s="23">
        <v>392.3</v>
      </c>
      <c r="P284" s="23">
        <v>70.464093789656062</v>
      </c>
      <c r="Q284" s="24">
        <v>6.6596536025101183E-2</v>
      </c>
      <c r="R284" s="17">
        <v>0.90530570245148034</v>
      </c>
      <c r="S284" s="3">
        <v>0.27791169117888265</v>
      </c>
      <c r="T284" s="23">
        <v>392.3</v>
      </c>
      <c r="U284" s="30">
        <v>139</v>
      </c>
      <c r="V284" s="35">
        <v>2.8296296296296295E-2</v>
      </c>
      <c r="W284" s="17">
        <f t="shared" si="8"/>
        <v>1.29793102601344</v>
      </c>
      <c r="X284" s="17">
        <f t="shared" si="9"/>
        <v>0.4327731092436975</v>
      </c>
      <c r="Y284" s="34">
        <v>1.0293025599217875</v>
      </c>
      <c r="Z284" s="34">
        <v>0.26383974614531641</v>
      </c>
      <c r="AA284" s="30">
        <v>392.3</v>
      </c>
      <c r="AB284" s="30">
        <v>70.464093789656062</v>
      </c>
      <c r="AC284" s="35">
        <v>6.6596536025101183E-2</v>
      </c>
      <c r="AD284" s="34">
        <v>0.97718424498265333</v>
      </c>
      <c r="AE284" s="34">
        <v>0.29484546616440754</v>
      </c>
      <c r="AF284" s="34">
        <v>0.46743503323046587</v>
      </c>
      <c r="AG284" s="30">
        <v>392.3</v>
      </c>
      <c r="AH284" s="35">
        <v>2.2700000000000001E-2</v>
      </c>
      <c r="AI284" s="17">
        <v>1.0920202450533611</v>
      </c>
    </row>
    <row r="285" spans="1:35" x14ac:dyDescent="0.3">
      <c r="A285" t="s">
        <v>69</v>
      </c>
      <c r="B285" s="1">
        <v>19.100000000000001</v>
      </c>
      <c r="C285" s="1">
        <v>2</v>
      </c>
      <c r="D285" s="4">
        <v>40</v>
      </c>
      <c r="E285" s="3">
        <v>3.3538794827423906</v>
      </c>
      <c r="F285" s="1">
        <v>30</v>
      </c>
      <c r="G285" s="1">
        <v>39.5</v>
      </c>
      <c r="H285" s="33">
        <v>77.918977712586056</v>
      </c>
      <c r="I285" s="41">
        <v>250</v>
      </c>
      <c r="J285" s="43">
        <v>210.5</v>
      </c>
      <c r="K285" s="30">
        <v>131</v>
      </c>
      <c r="L285" s="43">
        <v>135</v>
      </c>
      <c r="M285" s="3">
        <v>0.18</v>
      </c>
      <c r="N285" s="17">
        <v>0.17720093046639374</v>
      </c>
      <c r="O285" s="23">
        <v>296.0259455293542</v>
      </c>
      <c r="P285" s="23">
        <v>70.464093789656062</v>
      </c>
      <c r="Q285" s="24">
        <v>6.6596536025101183E-2</v>
      </c>
      <c r="R285" s="17">
        <v>0.98444961370218742</v>
      </c>
      <c r="S285" s="3">
        <v>0.19135787310112068</v>
      </c>
      <c r="T285" s="23">
        <v>296.0259455293542</v>
      </c>
      <c r="U285" s="30">
        <v>139</v>
      </c>
      <c r="V285" s="35">
        <v>2.8296296296296295E-2</v>
      </c>
      <c r="W285" s="17">
        <f t="shared" si="8"/>
        <v>1.29793102601344</v>
      </c>
      <c r="X285" s="17">
        <f t="shared" si="9"/>
        <v>0.4327731092436975</v>
      </c>
      <c r="Y285" s="34">
        <v>1.0630992950062261</v>
      </c>
      <c r="Z285" s="34">
        <v>0.19127014993844793</v>
      </c>
      <c r="AA285" s="30">
        <v>296.0259455293542</v>
      </c>
      <c r="AB285" s="30">
        <v>70.464093789656062</v>
      </c>
      <c r="AC285" s="35">
        <v>6.6596536025101183E-2</v>
      </c>
      <c r="AD285" s="34">
        <v>1.0626119441024886</v>
      </c>
      <c r="AE285" s="34">
        <v>0.23538422098534853</v>
      </c>
      <c r="AF285" s="34">
        <v>0.2979113459497082</v>
      </c>
      <c r="AG285" s="30">
        <v>313.18517830307161</v>
      </c>
      <c r="AH285" s="35">
        <v>2.2700000000000001E-2</v>
      </c>
      <c r="AI285" s="17">
        <v>1.3076901165852697</v>
      </c>
    </row>
    <row r="286" spans="1:35" x14ac:dyDescent="0.3">
      <c r="B286" s="1">
        <v>19.100000000000001</v>
      </c>
      <c r="C286" s="1">
        <v>2</v>
      </c>
      <c r="D286" s="4">
        <v>40</v>
      </c>
      <c r="E286" s="3">
        <v>3.3538794827423906</v>
      </c>
      <c r="F286" s="1">
        <v>30</v>
      </c>
      <c r="G286" s="1">
        <v>39.5</v>
      </c>
      <c r="H286" s="33">
        <v>77.918977712586056</v>
      </c>
      <c r="I286" s="41">
        <v>250</v>
      </c>
      <c r="J286" s="43">
        <v>210.5</v>
      </c>
      <c r="K286" s="30">
        <v>131</v>
      </c>
      <c r="L286" s="43">
        <v>135</v>
      </c>
      <c r="M286" s="3">
        <v>0.19</v>
      </c>
      <c r="N286" s="17">
        <v>0.20229859328066102</v>
      </c>
      <c r="O286" s="23">
        <v>331.965197702247</v>
      </c>
      <c r="P286" s="23">
        <v>70.464093789656062</v>
      </c>
      <c r="Q286" s="24">
        <v>6.6596536025101183E-2</v>
      </c>
      <c r="R286" s="17">
        <v>1.0647294383192685</v>
      </c>
      <c r="S286" s="3">
        <v>0.22366854612229098</v>
      </c>
      <c r="T286" s="23">
        <v>331.965197702247</v>
      </c>
      <c r="U286" s="30">
        <v>139</v>
      </c>
      <c r="V286" s="35">
        <v>2.8296296296296295E-2</v>
      </c>
      <c r="W286" s="17">
        <f t="shared" si="8"/>
        <v>1.29793102601344</v>
      </c>
      <c r="X286" s="17">
        <f t="shared" si="9"/>
        <v>0.4327731092436975</v>
      </c>
      <c r="Y286" s="34">
        <v>1.1772028743278473</v>
      </c>
      <c r="Z286" s="34">
        <v>0.21836049149001174</v>
      </c>
      <c r="AA286" s="30">
        <v>331.965197702247</v>
      </c>
      <c r="AB286" s="30">
        <v>70.464093789656062</v>
      </c>
      <c r="AC286" s="35">
        <v>6.6596536025101183E-2</v>
      </c>
      <c r="AD286" s="34">
        <v>1.1492657446842722</v>
      </c>
      <c r="AE286" s="34">
        <v>0.26396121906024711</v>
      </c>
      <c r="AF286" s="34">
        <v>0.37463866868448187</v>
      </c>
      <c r="AG286" s="30">
        <v>351.20766001398766</v>
      </c>
      <c r="AH286" s="35">
        <v>2.2700000000000001E-2</v>
      </c>
      <c r="AI286" s="17">
        <v>1.3892695740013006</v>
      </c>
    </row>
    <row r="287" spans="1:35" x14ac:dyDescent="0.3">
      <c r="B287" s="1">
        <v>19.100000000000001</v>
      </c>
      <c r="C287" s="1">
        <v>2</v>
      </c>
      <c r="D287" s="4">
        <v>40</v>
      </c>
      <c r="E287" s="3">
        <v>3.3538794827423906</v>
      </c>
      <c r="F287" s="1">
        <v>30</v>
      </c>
      <c r="G287" s="1">
        <v>39.5</v>
      </c>
      <c r="H287" s="33">
        <v>77.918977712586056</v>
      </c>
      <c r="I287" s="41">
        <v>250</v>
      </c>
      <c r="J287" s="43">
        <v>210.5</v>
      </c>
      <c r="K287" s="30">
        <v>131</v>
      </c>
      <c r="L287" s="43">
        <v>135</v>
      </c>
      <c r="M287" s="3">
        <v>0.21</v>
      </c>
      <c r="N287" s="17">
        <v>0.22871718571673189</v>
      </c>
      <c r="O287" s="23">
        <v>369.79598946318686</v>
      </c>
      <c r="P287" s="23">
        <v>70.464093789656062</v>
      </c>
      <c r="Q287" s="24">
        <v>6.6596536025101183E-2</v>
      </c>
      <c r="R287" s="17">
        <v>1.0891294557939615</v>
      </c>
      <c r="S287" s="3">
        <v>0.25767978088141763</v>
      </c>
      <c r="T287" s="23">
        <v>369.79598946318686</v>
      </c>
      <c r="U287" s="30">
        <v>139</v>
      </c>
      <c r="V287" s="35">
        <v>2.8296296296296295E-2</v>
      </c>
      <c r="W287" s="17">
        <f t="shared" si="8"/>
        <v>1.29793102601344</v>
      </c>
      <c r="X287" s="17">
        <f t="shared" si="9"/>
        <v>0.4327731092436975</v>
      </c>
      <c r="Y287" s="34">
        <v>1.2270465756257982</v>
      </c>
      <c r="Z287" s="34">
        <v>0.24687664049165789</v>
      </c>
      <c r="AA287" s="30">
        <v>369.79598946318686</v>
      </c>
      <c r="AB287" s="30">
        <v>70.464093789656062</v>
      </c>
      <c r="AC287" s="35">
        <v>6.6596536025101183E-2</v>
      </c>
      <c r="AD287" s="34">
        <v>1.1756030499602756</v>
      </c>
      <c r="AE287" s="34">
        <v>0.29404226966540348</v>
      </c>
      <c r="AF287" s="34">
        <v>0.46489179720255736</v>
      </c>
      <c r="AG287" s="30">
        <v>391.23132497284666</v>
      </c>
      <c r="AH287" s="35">
        <v>2.2700000000000001E-2</v>
      </c>
      <c r="AI287" s="17">
        <v>1.400201284120969</v>
      </c>
    </row>
    <row r="288" spans="1:35" x14ac:dyDescent="0.3">
      <c r="B288" s="1">
        <v>19.100000000000001</v>
      </c>
      <c r="C288" s="1">
        <v>2</v>
      </c>
      <c r="D288" s="4">
        <v>40</v>
      </c>
      <c r="E288" s="3">
        <v>3.3538794827423906</v>
      </c>
      <c r="F288" s="1">
        <v>30</v>
      </c>
      <c r="G288" s="1">
        <v>39.5</v>
      </c>
      <c r="H288" s="33">
        <v>77.918977712586056</v>
      </c>
      <c r="I288" s="41">
        <v>250</v>
      </c>
      <c r="J288" s="43">
        <v>210.5</v>
      </c>
      <c r="K288" s="30">
        <v>131</v>
      </c>
      <c r="L288" s="43">
        <v>135</v>
      </c>
      <c r="M288" s="3">
        <v>0.26</v>
      </c>
      <c r="N288" s="17">
        <v>0.24443253966189971</v>
      </c>
      <c r="O288" s="23">
        <v>392.3</v>
      </c>
      <c r="P288" s="23">
        <v>70.464093789656062</v>
      </c>
      <c r="Q288" s="24">
        <v>6.6596536025101183E-2</v>
      </c>
      <c r="R288" s="17">
        <v>0.94012515254576812</v>
      </c>
      <c r="S288" s="3">
        <v>0.27791169117888265</v>
      </c>
      <c r="T288" s="23">
        <v>392.3</v>
      </c>
      <c r="U288" s="30">
        <v>139</v>
      </c>
      <c r="V288" s="35">
        <v>2.8296296296296295E-2</v>
      </c>
      <c r="W288" s="17">
        <f t="shared" si="8"/>
        <v>1.29793102601344</v>
      </c>
      <c r="X288" s="17">
        <f t="shared" si="9"/>
        <v>0.4327731092436975</v>
      </c>
      <c r="Y288" s="34">
        <v>1.0688911199187794</v>
      </c>
      <c r="Z288" s="34">
        <v>0.26383974614531641</v>
      </c>
      <c r="AA288" s="30">
        <v>392.3</v>
      </c>
      <c r="AB288" s="30">
        <v>70.464093789656062</v>
      </c>
      <c r="AC288" s="35">
        <v>6.6596536025101183E-2</v>
      </c>
      <c r="AD288" s="34">
        <v>1.0147682544050631</v>
      </c>
      <c r="AE288" s="34">
        <v>0.29484546616440754</v>
      </c>
      <c r="AF288" s="34">
        <v>0.46743503323046587</v>
      </c>
      <c r="AG288" s="30">
        <v>392.3</v>
      </c>
      <c r="AH288" s="35">
        <v>2.2700000000000001E-2</v>
      </c>
      <c r="AI288" s="17">
        <v>1.1340210237092598</v>
      </c>
    </row>
    <row r="289" spans="1:35" x14ac:dyDescent="0.3">
      <c r="A289" t="s">
        <v>70</v>
      </c>
      <c r="B289" s="1">
        <v>19.100000000000001</v>
      </c>
      <c r="C289" s="1">
        <v>2</v>
      </c>
      <c r="D289" s="4">
        <v>69.8</v>
      </c>
      <c r="E289" s="3">
        <v>2.900328825179082</v>
      </c>
      <c r="F289" s="1">
        <v>31.8</v>
      </c>
      <c r="G289" s="1">
        <v>41.4</v>
      </c>
      <c r="H289" s="33">
        <v>105.95189967799172</v>
      </c>
      <c r="I289" s="41">
        <v>381</v>
      </c>
      <c r="J289" s="43">
        <v>339.6</v>
      </c>
      <c r="K289" s="30">
        <v>198</v>
      </c>
      <c r="L289" s="43">
        <v>136.9</v>
      </c>
      <c r="M289" s="3">
        <v>0.17</v>
      </c>
      <c r="N289" s="17">
        <v>0.14461264441165139</v>
      </c>
      <c r="O289" s="23">
        <v>203.02249313738358</v>
      </c>
      <c r="P289" s="23">
        <v>90.040564758390971</v>
      </c>
      <c r="Q289" s="24">
        <v>4.0651443689720533E-2</v>
      </c>
      <c r="R289" s="17">
        <v>0.85066261418618461</v>
      </c>
      <c r="S289" s="3">
        <v>0.13127422971881045</v>
      </c>
      <c r="T289" s="23">
        <v>203.02249313738358</v>
      </c>
      <c r="U289" s="30">
        <v>125</v>
      </c>
      <c r="V289" s="35">
        <v>2.7224500516690342E-2</v>
      </c>
      <c r="W289" s="17">
        <f t="shared" si="8"/>
        <v>1.1771895424912229</v>
      </c>
      <c r="X289" s="17">
        <f t="shared" si="9"/>
        <v>0.62595628415300542</v>
      </c>
      <c r="Y289" s="34">
        <v>0.7722013512871202</v>
      </c>
      <c r="Z289" s="34">
        <v>0.14005391579115489</v>
      </c>
      <c r="AA289" s="30">
        <v>203.02249313738358</v>
      </c>
      <c r="AB289" s="30">
        <v>90.040564758390971</v>
      </c>
      <c r="AC289" s="35">
        <v>4.0651443689720533E-2</v>
      </c>
      <c r="AD289" s="34">
        <v>0.82384656347738161</v>
      </c>
      <c r="AE289" s="34">
        <v>0.17419711219545997</v>
      </c>
      <c r="AF289" s="34">
        <v>0.15865517662423131</v>
      </c>
      <c r="AG289" s="30">
        <v>212.537072996576</v>
      </c>
      <c r="AH289" s="35">
        <v>2.0400000000000001E-2</v>
      </c>
      <c r="AI289" s="17">
        <v>0.9332657448484194</v>
      </c>
    </row>
    <row r="290" spans="1:35" x14ac:dyDescent="0.3">
      <c r="B290" s="1">
        <v>19.100000000000001</v>
      </c>
      <c r="C290" s="1">
        <v>2</v>
      </c>
      <c r="D290" s="4">
        <v>69.8</v>
      </c>
      <c r="E290" s="3">
        <v>2.900328825179082</v>
      </c>
      <c r="F290" s="1">
        <v>31.8</v>
      </c>
      <c r="G290" s="1">
        <v>41.4</v>
      </c>
      <c r="H290" s="33">
        <v>105.95189967799172</v>
      </c>
      <c r="I290" s="41">
        <v>381</v>
      </c>
      <c r="J290" s="43">
        <v>339.6</v>
      </c>
      <c r="K290" s="30">
        <v>198</v>
      </c>
      <c r="L290" s="43">
        <v>136.9</v>
      </c>
      <c r="M290" s="3">
        <v>0.23</v>
      </c>
      <c r="N290" s="17">
        <v>0.18486953137924766</v>
      </c>
      <c r="O290" s="23">
        <v>244.50020678910712</v>
      </c>
      <c r="P290" s="23">
        <v>90.040564758390971</v>
      </c>
      <c r="Q290" s="24">
        <v>4.0651443689720533E-2</v>
      </c>
      <c r="R290" s="17">
        <v>0.80378057121412028</v>
      </c>
      <c r="S290" s="3">
        <v>0.1738509762122431</v>
      </c>
      <c r="T290" s="23">
        <v>244.50020678910712</v>
      </c>
      <c r="U290" s="30">
        <v>125</v>
      </c>
      <c r="V290" s="35">
        <v>2.7224500516690342E-2</v>
      </c>
      <c r="W290" s="17">
        <f t="shared" si="8"/>
        <v>1.1771895424912229</v>
      </c>
      <c r="X290" s="17">
        <f t="shared" si="9"/>
        <v>0.62595628415300542</v>
      </c>
      <c r="Y290" s="34">
        <v>0.75587380961844819</v>
      </c>
      <c r="Z290" s="34">
        <v>0.17904175589540172</v>
      </c>
      <c r="AA290" s="30">
        <v>244.50020678910712</v>
      </c>
      <c r="AB290" s="30">
        <v>90.040564758390971</v>
      </c>
      <c r="AC290" s="35">
        <v>4.0651443689720533E-2</v>
      </c>
      <c r="AD290" s="34">
        <v>0.77844241693652916</v>
      </c>
      <c r="AE290" s="34">
        <v>0.2097857695257152</v>
      </c>
      <c r="AF290" s="34">
        <v>0.2301041201959021</v>
      </c>
      <c r="AG290" s="30">
        <v>255.95862554426355</v>
      </c>
      <c r="AH290" s="35">
        <v>2.0400000000000001E-2</v>
      </c>
      <c r="AI290" s="17">
        <v>0.91211204141615299</v>
      </c>
    </row>
    <row r="291" spans="1:35" x14ac:dyDescent="0.3">
      <c r="B291" s="1">
        <v>19.100000000000001</v>
      </c>
      <c r="C291" s="1">
        <v>2</v>
      </c>
      <c r="D291" s="4">
        <v>69.8</v>
      </c>
      <c r="E291" s="3">
        <v>2.900328825179082</v>
      </c>
      <c r="F291" s="1">
        <v>31.8</v>
      </c>
      <c r="G291" s="1">
        <v>41.4</v>
      </c>
      <c r="H291" s="33">
        <v>105.95189967799172</v>
      </c>
      <c r="I291" s="41">
        <v>381</v>
      </c>
      <c r="J291" s="43">
        <v>339.6</v>
      </c>
      <c r="K291" s="30">
        <v>198</v>
      </c>
      <c r="L291" s="43">
        <v>136.9</v>
      </c>
      <c r="M291" s="3">
        <v>0.27</v>
      </c>
      <c r="N291" s="17">
        <v>0.21524806786224143</v>
      </c>
      <c r="O291" s="23">
        <v>275.8</v>
      </c>
      <c r="P291" s="23">
        <v>90.040564758390971</v>
      </c>
      <c r="Q291" s="24">
        <v>4.0651443689720533E-2</v>
      </c>
      <c r="R291" s="17">
        <v>0.79721506615644966</v>
      </c>
      <c r="S291" s="3">
        <v>0.20598011843128813</v>
      </c>
      <c r="T291" s="23">
        <v>275.8</v>
      </c>
      <c r="U291" s="30">
        <v>125</v>
      </c>
      <c r="V291" s="35">
        <v>2.7224500516690342E-2</v>
      </c>
      <c r="W291" s="17">
        <f t="shared" si="8"/>
        <v>1.1771895424912229</v>
      </c>
      <c r="X291" s="17">
        <f t="shared" si="9"/>
        <v>0.62595628415300542</v>
      </c>
      <c r="Y291" s="34">
        <v>0.76288932752328931</v>
      </c>
      <c r="Z291" s="34">
        <v>0.20846264787727148</v>
      </c>
      <c r="AA291" s="30">
        <v>275.8</v>
      </c>
      <c r="AB291" s="30">
        <v>90.040564758390971</v>
      </c>
      <c r="AC291" s="35">
        <v>4.0651443689720533E-2</v>
      </c>
      <c r="AD291" s="34">
        <v>0.77208388102693137</v>
      </c>
      <c r="AE291" s="34">
        <v>0.22604792126916062</v>
      </c>
      <c r="AF291" s="34">
        <v>0.26716119659943144</v>
      </c>
      <c r="AG291" s="30">
        <v>275.8</v>
      </c>
      <c r="AH291" s="35">
        <v>2.0400000000000001E-2</v>
      </c>
      <c r="AI291" s="17">
        <v>0.83721452321911338</v>
      </c>
    </row>
    <row r="292" spans="1:35" x14ac:dyDescent="0.3">
      <c r="A292" t="s">
        <v>71</v>
      </c>
      <c r="B292" s="1">
        <v>19.100000000000001</v>
      </c>
      <c r="C292" s="1">
        <v>2</v>
      </c>
      <c r="D292" s="4">
        <v>69.8</v>
      </c>
      <c r="E292" s="3">
        <v>2.8466918957142089</v>
      </c>
      <c r="F292" s="1">
        <v>31.8</v>
      </c>
      <c r="G292" s="1">
        <v>41.4</v>
      </c>
      <c r="H292" s="33">
        <v>106.35551323610362</v>
      </c>
      <c r="I292" s="41">
        <v>381</v>
      </c>
      <c r="J292" s="43">
        <v>339.6</v>
      </c>
      <c r="K292" s="30">
        <v>198</v>
      </c>
      <c r="L292" s="43">
        <v>136.9</v>
      </c>
      <c r="M292" s="3">
        <v>0.16</v>
      </c>
      <c r="N292" s="17">
        <v>0.21596411355973397</v>
      </c>
      <c r="O292" s="23">
        <v>275.8</v>
      </c>
      <c r="P292" s="23">
        <v>88.444703371293997</v>
      </c>
      <c r="Q292" s="24">
        <v>4.0711184462321949E-2</v>
      </c>
      <c r="R292" s="17">
        <v>1.3497757097483372</v>
      </c>
      <c r="S292" s="3">
        <v>0.2073256998865792</v>
      </c>
      <c r="T292" s="23">
        <v>275.8</v>
      </c>
      <c r="U292" s="30">
        <v>123</v>
      </c>
      <c r="V292" s="35">
        <v>2.7224500516690342E-2</v>
      </c>
      <c r="W292" s="17">
        <f t="shared" si="8"/>
        <v>1.177496156819807</v>
      </c>
      <c r="X292" s="17">
        <f t="shared" si="9"/>
        <v>0.62595628415300542</v>
      </c>
      <c r="Y292" s="34">
        <v>1.2957856242911199</v>
      </c>
      <c r="Z292" s="34">
        <v>0.20923215334782894</v>
      </c>
      <c r="AA292" s="30">
        <v>275.8</v>
      </c>
      <c r="AB292" s="30">
        <v>88.444703371293997</v>
      </c>
      <c r="AC292" s="35">
        <v>4.0711184462321949E-2</v>
      </c>
      <c r="AD292" s="34">
        <v>1.3077009584239307</v>
      </c>
      <c r="AE292" s="34">
        <v>0.22604792126916062</v>
      </c>
      <c r="AF292" s="34">
        <v>0.27219500664375995</v>
      </c>
      <c r="AG292" s="30">
        <v>276</v>
      </c>
      <c r="AH292" s="35">
        <v>2.0400000000000001E-2</v>
      </c>
      <c r="AI292" s="17">
        <v>1.412799507932254</v>
      </c>
    </row>
    <row r="293" spans="1:35" x14ac:dyDescent="0.3">
      <c r="A293" t="s">
        <v>72</v>
      </c>
      <c r="B293" s="1">
        <v>19.100000000000001</v>
      </c>
      <c r="C293" s="1">
        <v>2</v>
      </c>
      <c r="D293" s="4">
        <v>69.8</v>
      </c>
      <c r="E293" s="3">
        <v>2.711321473488328</v>
      </c>
      <c r="F293" s="1">
        <v>38.200000000000003</v>
      </c>
      <c r="G293" s="1">
        <v>47.7</v>
      </c>
      <c r="H293" s="33">
        <v>106.22541601162594</v>
      </c>
      <c r="I293" s="41">
        <v>381</v>
      </c>
      <c r="J293" s="43">
        <v>333.3</v>
      </c>
      <c r="K293" s="30">
        <v>198</v>
      </c>
      <c r="L293" s="43">
        <v>143.19999999999999</v>
      </c>
      <c r="M293" s="3">
        <v>0.16</v>
      </c>
      <c r="N293" s="17">
        <v>0.20566966214226395</v>
      </c>
      <c r="O293" s="23">
        <v>249.74588434606099</v>
      </c>
      <c r="P293" s="23">
        <v>84.705385292096409</v>
      </c>
      <c r="Q293" s="24">
        <v>4.0691908981937738E-2</v>
      </c>
      <c r="R293" s="17">
        <v>1.2854353883891496</v>
      </c>
      <c r="S293" s="3">
        <v>0.20527623907736606</v>
      </c>
      <c r="T293" s="23">
        <v>249.74588434606099</v>
      </c>
      <c r="U293" s="30">
        <v>122</v>
      </c>
      <c r="V293" s="35">
        <v>2.6026774586137627E-2</v>
      </c>
      <c r="W293" s="17">
        <f t="shared" si="8"/>
        <v>1.2100631394416301</v>
      </c>
      <c r="X293" s="17">
        <f t="shared" si="9"/>
        <v>0.60874316939890716</v>
      </c>
      <c r="Y293" s="34">
        <v>1.2829764942335378</v>
      </c>
      <c r="Z293" s="34">
        <v>0.20854527065130204</v>
      </c>
      <c r="AA293" s="30">
        <v>249.74588434606099</v>
      </c>
      <c r="AB293" s="30">
        <v>84.705385292096409</v>
      </c>
      <c r="AC293" s="35">
        <v>4.0691908981937738E-2</v>
      </c>
      <c r="AD293" s="34">
        <v>1.3034079415706377</v>
      </c>
      <c r="AE293" s="34">
        <v>0.22003184339839554</v>
      </c>
      <c r="AF293" s="34">
        <v>0.25612342439380853</v>
      </c>
      <c r="AG293" s="30">
        <v>261.09533306287773</v>
      </c>
      <c r="AH293" s="35">
        <v>1.9699999999999999E-2</v>
      </c>
      <c r="AI293" s="17">
        <v>1.3751990212399721</v>
      </c>
    </row>
    <row r="294" spans="1:35" x14ac:dyDescent="0.3">
      <c r="B294" s="1">
        <v>19.100000000000001</v>
      </c>
      <c r="C294" s="1">
        <v>2</v>
      </c>
      <c r="D294" s="4">
        <v>69.8</v>
      </c>
      <c r="E294" s="3">
        <v>2.711321473488328</v>
      </c>
      <c r="F294" s="1">
        <v>38.200000000000003</v>
      </c>
      <c r="G294" s="1">
        <v>47.7</v>
      </c>
      <c r="H294" s="33">
        <v>106.22541601162594</v>
      </c>
      <c r="I294" s="41">
        <v>381</v>
      </c>
      <c r="J294" s="43">
        <v>333.3</v>
      </c>
      <c r="K294" s="30">
        <v>198</v>
      </c>
      <c r="L294" s="43">
        <v>143.19999999999999</v>
      </c>
      <c r="M294" s="3">
        <v>0.2</v>
      </c>
      <c r="N294" s="17">
        <v>0.23260747479731661</v>
      </c>
      <c r="O294" s="23">
        <v>275.8</v>
      </c>
      <c r="P294" s="23">
        <v>84.705385292096409</v>
      </c>
      <c r="Q294" s="24">
        <v>4.0691908981937738E-2</v>
      </c>
      <c r="R294" s="17">
        <v>1.1630373739865829</v>
      </c>
      <c r="S294" s="3">
        <v>0.23559597544973324</v>
      </c>
      <c r="T294" s="23">
        <v>275.8</v>
      </c>
      <c r="U294" s="30">
        <v>122</v>
      </c>
      <c r="V294" s="35">
        <v>2.6026774586137627E-2</v>
      </c>
      <c r="W294" s="17">
        <f t="shared" si="8"/>
        <v>1.2100631394416301</v>
      </c>
      <c r="X294" s="17">
        <f t="shared" si="9"/>
        <v>0.60874316939890716</v>
      </c>
      <c r="Y294" s="34">
        <v>1.177979877248666</v>
      </c>
      <c r="Z294" s="34">
        <v>0.23585971932782179</v>
      </c>
      <c r="AA294" s="30">
        <v>275.8</v>
      </c>
      <c r="AB294" s="30">
        <v>84.705385292096409</v>
      </c>
      <c r="AC294" s="35">
        <v>4.0691908981937738E-2</v>
      </c>
      <c r="AD294" s="34">
        <v>1.179298596639109</v>
      </c>
      <c r="AE294" s="34">
        <v>0.23242384954718137</v>
      </c>
      <c r="AF294" s="34">
        <v>0.28578511513419119</v>
      </c>
      <c r="AG294" s="30">
        <v>275.8</v>
      </c>
      <c r="AH294" s="35">
        <v>1.9699999999999999E-2</v>
      </c>
      <c r="AI294" s="17">
        <v>1.1621192477359068</v>
      </c>
    </row>
    <row r="295" spans="1:35" x14ac:dyDescent="0.3">
      <c r="A295" t="s">
        <v>73</v>
      </c>
      <c r="B295" s="1">
        <v>22.2</v>
      </c>
      <c r="C295" s="1">
        <v>2</v>
      </c>
      <c r="D295" s="4">
        <v>63.6</v>
      </c>
      <c r="E295" s="3">
        <v>2.6879866270061714</v>
      </c>
      <c r="F295" s="1">
        <v>12.8</v>
      </c>
      <c r="G295" s="1">
        <v>23.9</v>
      </c>
      <c r="H295" s="33">
        <v>125.50102741476127</v>
      </c>
      <c r="I295" s="41">
        <v>381</v>
      </c>
      <c r="J295" s="43">
        <v>357.1</v>
      </c>
      <c r="K295" s="30">
        <v>202</v>
      </c>
      <c r="L295" s="43">
        <v>83.65</v>
      </c>
      <c r="M295" s="3">
        <v>0.17</v>
      </c>
      <c r="N295" s="17">
        <v>0.11852355379079779</v>
      </c>
      <c r="O295" s="23">
        <v>271.28943756037444</v>
      </c>
      <c r="P295" s="23">
        <v>49.620389096039695</v>
      </c>
      <c r="Q295" s="24">
        <v>8.499983527163707E-2</v>
      </c>
      <c r="R295" s="17">
        <v>0.69719737523998693</v>
      </c>
      <c r="S295" s="3">
        <v>0.11891617173496463</v>
      </c>
      <c r="T295" s="23">
        <v>271.28943756037444</v>
      </c>
      <c r="U295" s="30">
        <v>62</v>
      </c>
      <c r="V295" s="35">
        <v>6.0714168051169345E-2</v>
      </c>
      <c r="W295" s="17">
        <f t="shared" si="8"/>
        <v>1.1031956218683299</v>
      </c>
      <c r="X295" s="17">
        <f t="shared" si="9"/>
        <v>0.76634078212290502</v>
      </c>
      <c r="Y295" s="34">
        <v>0.69950689255861542</v>
      </c>
      <c r="Z295" s="34">
        <v>0.10617106683213375</v>
      </c>
      <c r="AA295" s="30">
        <v>271.28943756037444</v>
      </c>
      <c r="AB295" s="30">
        <v>49.620389096039695</v>
      </c>
      <c r="AC295" s="35">
        <v>8.499983527163707E-2</v>
      </c>
      <c r="AD295" s="34">
        <v>0.62453568724784547</v>
      </c>
      <c r="AE295" s="34">
        <v>0.21217855953956466</v>
      </c>
      <c r="AF295" s="34">
        <v>0.33505270024467732</v>
      </c>
      <c r="AG295" s="30">
        <v>276</v>
      </c>
      <c r="AH295" s="35">
        <v>2.6700000000000002E-2</v>
      </c>
      <c r="AI295" s="17">
        <v>1.248109173762145</v>
      </c>
    </row>
    <row r="296" spans="1:35" x14ac:dyDescent="0.3">
      <c r="A296" t="s">
        <v>74</v>
      </c>
      <c r="B296" s="1">
        <v>22.2</v>
      </c>
      <c r="C296" s="1">
        <v>2</v>
      </c>
      <c r="D296" s="4">
        <v>63.6</v>
      </c>
      <c r="E296" s="3">
        <v>2.3846015710371389</v>
      </c>
      <c r="F296" s="1">
        <v>38</v>
      </c>
      <c r="G296" s="1">
        <v>49.1</v>
      </c>
      <c r="H296" s="33">
        <v>122.85693329470558</v>
      </c>
      <c r="I296" s="41">
        <v>381</v>
      </c>
      <c r="J296" s="43">
        <v>331.9</v>
      </c>
      <c r="K296" s="30">
        <v>201</v>
      </c>
      <c r="L296" s="43">
        <v>160.1</v>
      </c>
      <c r="M296" s="3">
        <v>0.15</v>
      </c>
      <c r="N296" s="17">
        <v>0.1450175722566254</v>
      </c>
      <c r="O296" s="23">
        <v>195.11352598003063</v>
      </c>
      <c r="P296" s="23">
        <v>57.352569731032418</v>
      </c>
      <c r="Q296" s="24">
        <v>5.9022388890402282E-2</v>
      </c>
      <c r="R296" s="17">
        <v>0.96678381504416933</v>
      </c>
      <c r="S296" s="3">
        <v>0.15491892408988267</v>
      </c>
      <c r="T296" s="23">
        <v>195.11352598003063</v>
      </c>
      <c r="U296" s="30">
        <v>92</v>
      </c>
      <c r="V296" s="35">
        <v>3.1722299547035072E-2</v>
      </c>
      <c r="W296" s="17">
        <f t="shared" si="8"/>
        <v>1.2348798301415107</v>
      </c>
      <c r="X296" s="17">
        <f t="shared" si="9"/>
        <v>0.55527777777777776</v>
      </c>
      <c r="Y296" s="34">
        <v>1.0327928272658846</v>
      </c>
      <c r="Z296" s="34">
        <v>0.15519138254447976</v>
      </c>
      <c r="AA296" s="30">
        <v>195.11352598003063</v>
      </c>
      <c r="AB296" s="30">
        <v>57.352569731032418</v>
      </c>
      <c r="AC296" s="35">
        <v>5.9022388890402282E-2</v>
      </c>
      <c r="AD296" s="34">
        <v>1.0346092169631984</v>
      </c>
      <c r="AE296" s="34">
        <v>0.17299427540945575</v>
      </c>
      <c r="AF296" s="34">
        <v>0.20681414500293502</v>
      </c>
      <c r="AG296" s="30">
        <v>204.09021403145189</v>
      </c>
      <c r="AH296" s="35">
        <v>2.3599999999999999E-2</v>
      </c>
      <c r="AI296" s="17">
        <v>1.1532951693963718</v>
      </c>
    </row>
    <row r="297" spans="1:35" x14ac:dyDescent="0.3">
      <c r="B297" s="1">
        <v>22.2</v>
      </c>
      <c r="C297" s="1">
        <v>2</v>
      </c>
      <c r="D297" s="4">
        <v>63.6</v>
      </c>
      <c r="E297" s="3">
        <v>2.3846015710371389</v>
      </c>
      <c r="F297" s="1">
        <v>38</v>
      </c>
      <c r="G297" s="1">
        <v>49.1</v>
      </c>
      <c r="H297" s="33">
        <v>122.85693329470558</v>
      </c>
      <c r="I297" s="41">
        <v>381</v>
      </c>
      <c r="J297" s="43">
        <v>331.9</v>
      </c>
      <c r="K297" s="30">
        <v>201</v>
      </c>
      <c r="L297" s="43">
        <v>160.1</v>
      </c>
      <c r="M297" s="3">
        <v>0.19</v>
      </c>
      <c r="N297" s="17">
        <v>0.1737441522764038</v>
      </c>
      <c r="O297" s="23">
        <v>226.947036463892</v>
      </c>
      <c r="P297" s="23">
        <v>57.352569731032418</v>
      </c>
      <c r="Q297" s="24">
        <v>5.9022388890402282E-2</v>
      </c>
      <c r="R297" s="17">
        <v>0.91444290671791473</v>
      </c>
      <c r="S297" s="3">
        <v>0.19018496513522073</v>
      </c>
      <c r="T297" s="23">
        <v>226.947036463892</v>
      </c>
      <c r="U297" s="30">
        <v>92</v>
      </c>
      <c r="V297" s="35">
        <v>3.1722299547035072E-2</v>
      </c>
      <c r="W297" s="17">
        <f t="shared" si="8"/>
        <v>1.2348798301415107</v>
      </c>
      <c r="X297" s="17">
        <f t="shared" si="9"/>
        <v>0.55527777777777776</v>
      </c>
      <c r="Y297" s="34">
        <v>1.000973500711688</v>
      </c>
      <c r="Z297" s="34">
        <v>0.18593329609103182</v>
      </c>
      <c r="AA297" s="30">
        <v>226.947036463892</v>
      </c>
      <c r="AB297" s="30">
        <v>57.352569731032418</v>
      </c>
      <c r="AC297" s="35">
        <v>5.9022388890402282E-2</v>
      </c>
      <c r="AD297" s="34">
        <v>0.97859629521595692</v>
      </c>
      <c r="AE297" s="34">
        <v>0.20121894641693144</v>
      </c>
      <c r="AF297" s="34">
        <v>0.27980438494334509</v>
      </c>
      <c r="AG297" s="30">
        <v>237.38830515758272</v>
      </c>
      <c r="AH297" s="35">
        <v>2.3599999999999999E-2</v>
      </c>
      <c r="AI297" s="17">
        <v>1.0590470864049024</v>
      </c>
    </row>
    <row r="298" spans="1:35" x14ac:dyDescent="0.3">
      <c r="B298" s="1">
        <v>22.2</v>
      </c>
      <c r="C298" s="1">
        <v>2</v>
      </c>
      <c r="D298" s="4">
        <v>63.6</v>
      </c>
      <c r="E298" s="3">
        <v>2.3846015710371389</v>
      </c>
      <c r="F298" s="1">
        <v>38</v>
      </c>
      <c r="G298" s="1">
        <v>49.1</v>
      </c>
      <c r="H298" s="33">
        <v>122.85693329470558</v>
      </c>
      <c r="I298" s="41">
        <v>381</v>
      </c>
      <c r="J298" s="43">
        <v>331.9</v>
      </c>
      <c r="K298" s="30">
        <v>201</v>
      </c>
      <c r="L298" s="43">
        <v>160.1</v>
      </c>
      <c r="M298" s="3">
        <v>0.22</v>
      </c>
      <c r="N298" s="17">
        <v>0.20439500081425352</v>
      </c>
      <c r="O298" s="23">
        <v>260.91293520983021</v>
      </c>
      <c r="P298" s="23">
        <v>57.352569731032418</v>
      </c>
      <c r="Q298" s="24">
        <v>5.9022388890402282E-2</v>
      </c>
      <c r="R298" s="17">
        <v>0.92906818551933412</v>
      </c>
      <c r="S298" s="3">
        <v>0.22781332471948096</v>
      </c>
      <c r="T298" s="23">
        <v>260.91293520983021</v>
      </c>
      <c r="U298" s="30">
        <v>92</v>
      </c>
      <c r="V298" s="35">
        <v>3.1722299547035072E-2</v>
      </c>
      <c r="W298" s="17">
        <f t="shared" si="8"/>
        <v>1.2348798301415107</v>
      </c>
      <c r="X298" s="17">
        <f t="shared" si="9"/>
        <v>0.55527777777777776</v>
      </c>
      <c r="Y298" s="34">
        <v>1.0355151123612771</v>
      </c>
      <c r="Z298" s="34">
        <v>0.2187344765737165</v>
      </c>
      <c r="AA298" s="30">
        <v>260.91293520983021</v>
      </c>
      <c r="AB298" s="30">
        <v>57.352569731032418</v>
      </c>
      <c r="AC298" s="35">
        <v>5.9022388890402282E-2</v>
      </c>
      <c r="AD298" s="34">
        <v>0.99424762078962048</v>
      </c>
      <c r="AE298" s="34">
        <v>0.23133426524308956</v>
      </c>
      <c r="AF298" s="34">
        <v>0.36982537419117079</v>
      </c>
      <c r="AG298" s="30">
        <v>272.91689042613365</v>
      </c>
      <c r="AH298" s="35">
        <v>2.3599999999999999E-2</v>
      </c>
      <c r="AI298" s="17">
        <v>1.0515193874685889</v>
      </c>
    </row>
    <row r="299" spans="1:35" x14ac:dyDescent="0.3">
      <c r="B299" s="1">
        <v>22.2</v>
      </c>
      <c r="C299" s="1">
        <v>2</v>
      </c>
      <c r="D299" s="4">
        <v>63.6</v>
      </c>
      <c r="E299" s="3">
        <v>2.3846015710371389</v>
      </c>
      <c r="F299" s="1">
        <v>38</v>
      </c>
      <c r="G299" s="1">
        <v>49.1</v>
      </c>
      <c r="H299" s="33">
        <v>122.85693329470558</v>
      </c>
      <c r="I299" s="41">
        <v>381</v>
      </c>
      <c r="J299" s="43">
        <v>331.9</v>
      </c>
      <c r="K299" s="30">
        <v>201</v>
      </c>
      <c r="L299" s="43">
        <v>160.1</v>
      </c>
      <c r="M299" s="3">
        <v>0.27</v>
      </c>
      <c r="N299" s="17">
        <v>0.21782909750840371</v>
      </c>
      <c r="O299" s="23">
        <v>275.8</v>
      </c>
      <c r="P299" s="23">
        <v>57.352569731032418</v>
      </c>
      <c r="Q299" s="24">
        <v>5.9022388890402282E-2</v>
      </c>
      <c r="R299" s="17">
        <v>0.80677443521630998</v>
      </c>
      <c r="S299" s="3">
        <v>0.24430562575555104</v>
      </c>
      <c r="T299" s="23">
        <v>275.8</v>
      </c>
      <c r="U299" s="30">
        <v>92</v>
      </c>
      <c r="V299" s="35">
        <v>3.1722299547035072E-2</v>
      </c>
      <c r="W299" s="17">
        <f t="shared" si="8"/>
        <v>1.2348798301415107</v>
      </c>
      <c r="X299" s="17">
        <f t="shared" si="9"/>
        <v>0.55527777777777776</v>
      </c>
      <c r="Y299" s="34">
        <v>0.90483565094648521</v>
      </c>
      <c r="Z299" s="34">
        <v>0.2331110518173842</v>
      </c>
      <c r="AA299" s="30">
        <v>275.8</v>
      </c>
      <c r="AB299" s="30">
        <v>57.352569731032418</v>
      </c>
      <c r="AC299" s="35">
        <v>5.9022388890402282E-2</v>
      </c>
      <c r="AD299" s="34">
        <v>0.86337426599031175</v>
      </c>
      <c r="AE299" s="34">
        <v>0.23377809359627175</v>
      </c>
      <c r="AF299" s="34">
        <v>0.37768035907495145</v>
      </c>
      <c r="AG299" s="30">
        <v>275.8</v>
      </c>
      <c r="AH299" s="35">
        <v>2.3599999999999999E-2</v>
      </c>
      <c r="AI299" s="17">
        <v>0.86584479109730272</v>
      </c>
    </row>
    <row r="300" spans="1:35" x14ac:dyDescent="0.3">
      <c r="A300" t="s">
        <v>75</v>
      </c>
      <c r="B300" s="1">
        <v>22.2</v>
      </c>
      <c r="C300" s="1">
        <v>2</v>
      </c>
      <c r="D300" s="4">
        <v>63.6</v>
      </c>
      <c r="E300" s="3">
        <v>2.8648423476200775</v>
      </c>
      <c r="F300" s="1">
        <v>38</v>
      </c>
      <c r="G300" s="1">
        <v>49.1</v>
      </c>
      <c r="H300" s="33">
        <v>118.55113780231501</v>
      </c>
      <c r="I300" s="41">
        <v>381</v>
      </c>
      <c r="J300" s="43">
        <v>331.9</v>
      </c>
      <c r="K300" s="30">
        <v>200</v>
      </c>
      <c r="L300" s="43">
        <v>160.1</v>
      </c>
      <c r="M300" s="3">
        <v>0.17</v>
      </c>
      <c r="N300" s="17">
        <v>0.19942076017549812</v>
      </c>
      <c r="O300" s="23">
        <v>259.63215176616467</v>
      </c>
      <c r="P300" s="23">
        <v>67.927421545383382</v>
      </c>
      <c r="Q300" s="24">
        <v>5.8054054206432525E-2</v>
      </c>
      <c r="R300" s="17">
        <v>1.1730632951499889</v>
      </c>
      <c r="S300" s="3">
        <v>0.21486544798031237</v>
      </c>
      <c r="T300" s="23">
        <v>259.63215176616467</v>
      </c>
      <c r="U300" s="30">
        <v>109</v>
      </c>
      <c r="V300" s="35">
        <v>3.1722299547035072E-2</v>
      </c>
      <c r="W300" s="17">
        <f t="shared" si="8"/>
        <v>1.2301394977888604</v>
      </c>
      <c r="X300" s="17">
        <f t="shared" si="9"/>
        <v>0.55773480662983421</v>
      </c>
      <c r="Y300" s="34">
        <v>1.2639143998841904</v>
      </c>
      <c r="Z300" s="34">
        <v>0.21253747415537397</v>
      </c>
      <c r="AA300" s="30">
        <v>259.63215176616467</v>
      </c>
      <c r="AB300" s="30">
        <v>67.927421545383382</v>
      </c>
      <c r="AC300" s="35">
        <v>5.8054054206432525E-2</v>
      </c>
      <c r="AD300" s="34">
        <v>1.250220436208082</v>
      </c>
      <c r="AE300" s="34">
        <v>0.23133426524308956</v>
      </c>
      <c r="AF300" s="34">
        <v>0.30783061030854858</v>
      </c>
      <c r="AG300" s="30">
        <v>273</v>
      </c>
      <c r="AH300" s="35">
        <v>2.3599999999999999E-2</v>
      </c>
      <c r="AI300" s="17">
        <v>1.3607897955475856</v>
      </c>
    </row>
    <row r="301" spans="1:35" x14ac:dyDescent="0.3">
      <c r="B301" s="1">
        <v>22.2</v>
      </c>
      <c r="C301" s="1">
        <v>2</v>
      </c>
      <c r="D301" s="4">
        <v>63.6</v>
      </c>
      <c r="E301" s="3">
        <v>2.8648423476200775</v>
      </c>
      <c r="F301" s="1">
        <v>38</v>
      </c>
      <c r="G301" s="1">
        <v>49.1</v>
      </c>
      <c r="H301" s="33">
        <v>118.55113780231501</v>
      </c>
      <c r="I301" s="41">
        <v>381</v>
      </c>
      <c r="J301" s="43">
        <v>331.9</v>
      </c>
      <c r="K301" s="30">
        <v>200</v>
      </c>
      <c r="L301" s="43">
        <v>160.1</v>
      </c>
      <c r="M301" s="3">
        <v>0.2</v>
      </c>
      <c r="N301" s="17">
        <v>0.2141515165011062</v>
      </c>
      <c r="O301" s="23">
        <v>275.8</v>
      </c>
      <c r="P301" s="23">
        <v>67.927421545383382</v>
      </c>
      <c r="Q301" s="24">
        <v>5.8054054206432525E-2</v>
      </c>
      <c r="R301" s="17">
        <v>1.0707575825055309</v>
      </c>
      <c r="S301" s="3">
        <v>0.23274471188871693</v>
      </c>
      <c r="T301" s="23">
        <v>275.8</v>
      </c>
      <c r="U301" s="30">
        <v>109</v>
      </c>
      <c r="V301" s="35">
        <v>3.1722299547035072E-2</v>
      </c>
      <c r="W301" s="17">
        <f t="shared" si="8"/>
        <v>1.2301394977888604</v>
      </c>
      <c r="X301" s="17">
        <f t="shared" si="9"/>
        <v>0.55773480662983421</v>
      </c>
      <c r="Y301" s="34">
        <v>1.1637235594435846</v>
      </c>
      <c r="Z301" s="34">
        <v>0.228237132200443</v>
      </c>
      <c r="AA301" s="30">
        <v>275.8</v>
      </c>
      <c r="AB301" s="30">
        <v>67.927421545383382</v>
      </c>
      <c r="AC301" s="35">
        <v>5.8054054206432525E-2</v>
      </c>
      <c r="AD301" s="34">
        <v>1.1411856610022149</v>
      </c>
      <c r="AE301" s="34">
        <v>0.23377809359627175</v>
      </c>
      <c r="AF301" s="34">
        <v>0.31436884418724592</v>
      </c>
      <c r="AG301" s="30">
        <v>276</v>
      </c>
      <c r="AH301" s="35">
        <v>2.3599999999999999E-2</v>
      </c>
      <c r="AI301" s="17">
        <v>1.1688904679813588</v>
      </c>
    </row>
    <row r="302" spans="1:35" x14ac:dyDescent="0.3">
      <c r="A302" t="s">
        <v>76</v>
      </c>
      <c r="B302" s="1">
        <v>22.2</v>
      </c>
      <c r="C302" s="1">
        <v>2</v>
      </c>
      <c r="D302" s="4">
        <v>63.6</v>
      </c>
      <c r="E302" s="3">
        <v>2.8336917902498859</v>
      </c>
      <c r="F302" s="1">
        <v>38</v>
      </c>
      <c r="G302" s="1">
        <v>49.1</v>
      </c>
      <c r="H302" s="33">
        <v>118.80489327201617</v>
      </c>
      <c r="I302" s="41">
        <v>381</v>
      </c>
      <c r="J302" s="43">
        <v>331.9</v>
      </c>
      <c r="K302" s="30">
        <v>200</v>
      </c>
      <c r="L302" s="43">
        <v>160.1</v>
      </c>
      <c r="M302" s="3">
        <v>0.15</v>
      </c>
      <c r="N302" s="17">
        <v>0.14011095074442681</v>
      </c>
      <c r="O302" s="23">
        <v>194.21192690601001</v>
      </c>
      <c r="P302" s="23">
        <v>67.242360991510594</v>
      </c>
      <c r="Q302" s="24">
        <v>5.8110239594394375E-2</v>
      </c>
      <c r="R302" s="17">
        <v>0.9340730049628454</v>
      </c>
      <c r="S302" s="3">
        <v>0.14325409277470821</v>
      </c>
      <c r="T302" s="23">
        <v>194.21192690601001</v>
      </c>
      <c r="U302" s="30">
        <v>108</v>
      </c>
      <c r="V302" s="35">
        <v>3.1722299547035072E-2</v>
      </c>
      <c r="W302" s="17">
        <f t="shared" si="8"/>
        <v>1.2304135498647382</v>
      </c>
      <c r="X302" s="17">
        <f t="shared" si="9"/>
        <v>0.55773480662983421</v>
      </c>
      <c r="Y302" s="34">
        <v>0.95502728516472146</v>
      </c>
      <c r="Z302" s="34">
        <v>0.14936247187861187</v>
      </c>
      <c r="AA302" s="30">
        <v>194.21192690601001</v>
      </c>
      <c r="AB302" s="30">
        <v>67.242360991510594</v>
      </c>
      <c r="AC302" s="35">
        <v>5.8110239594394375E-2</v>
      </c>
      <c r="AD302" s="34">
        <v>0.99574981252407924</v>
      </c>
      <c r="AE302" s="34">
        <v>0.17299427540945575</v>
      </c>
      <c r="AF302" s="34">
        <v>0.17403774707736014</v>
      </c>
      <c r="AG302" s="30">
        <v>204.09021403145189</v>
      </c>
      <c r="AH302" s="35">
        <v>2.3599999999999999E-2</v>
      </c>
      <c r="AI302" s="17">
        <v>1.1532951693963718</v>
      </c>
    </row>
    <row r="303" spans="1:35" x14ac:dyDescent="0.3">
      <c r="B303" s="1">
        <v>22.2</v>
      </c>
      <c r="C303" s="1">
        <v>2</v>
      </c>
      <c r="D303" s="4">
        <v>63.6</v>
      </c>
      <c r="E303" s="3">
        <v>2.8336917902498859</v>
      </c>
      <c r="F303" s="1">
        <v>38</v>
      </c>
      <c r="G303" s="1">
        <v>49.1</v>
      </c>
      <c r="H303" s="33">
        <v>118.80489327201617</v>
      </c>
      <c r="I303" s="41">
        <v>381</v>
      </c>
      <c r="J303" s="43">
        <v>331.9</v>
      </c>
      <c r="K303" s="30">
        <v>200</v>
      </c>
      <c r="L303" s="43">
        <v>160.1</v>
      </c>
      <c r="M303" s="3">
        <v>0.18</v>
      </c>
      <c r="N303" s="17">
        <v>0.16896461868897453</v>
      </c>
      <c r="O303" s="23">
        <v>225.89833808739655</v>
      </c>
      <c r="P303" s="23">
        <v>67.242360991510594</v>
      </c>
      <c r="Q303" s="24">
        <v>5.8110239594394375E-2</v>
      </c>
      <c r="R303" s="17">
        <v>0.93869232604985853</v>
      </c>
      <c r="S303" s="3">
        <v>0.17829828568184311</v>
      </c>
      <c r="T303" s="23">
        <v>225.89833808739655</v>
      </c>
      <c r="U303" s="30">
        <v>108</v>
      </c>
      <c r="V303" s="35">
        <v>3.1722299547035072E-2</v>
      </c>
      <c r="W303" s="17">
        <f t="shared" si="8"/>
        <v>1.2304135498647382</v>
      </c>
      <c r="X303" s="17">
        <f t="shared" si="9"/>
        <v>0.55773480662983421</v>
      </c>
      <c r="Y303" s="34">
        <v>0.99054603156579513</v>
      </c>
      <c r="Z303" s="34">
        <v>0.18012134649950753</v>
      </c>
      <c r="AA303" s="30">
        <v>225.89833808739655</v>
      </c>
      <c r="AB303" s="30">
        <v>67.242360991510594</v>
      </c>
      <c r="AC303" s="35">
        <v>5.8110239594394375E-2</v>
      </c>
      <c r="AD303" s="34">
        <v>1.0006741472194864</v>
      </c>
      <c r="AE303" s="34">
        <v>0.20121894641693144</v>
      </c>
      <c r="AF303" s="34">
        <v>0.23546032007247436</v>
      </c>
      <c r="AG303" s="30">
        <v>237.38830515758272</v>
      </c>
      <c r="AH303" s="35">
        <v>2.3599999999999999E-2</v>
      </c>
      <c r="AI303" s="17">
        <v>1.1178830356496192</v>
      </c>
    </row>
    <row r="304" spans="1:35" x14ac:dyDescent="0.3">
      <c r="B304" s="1">
        <v>22.2</v>
      </c>
      <c r="C304" s="1">
        <v>2</v>
      </c>
      <c r="D304" s="4">
        <v>63.6</v>
      </c>
      <c r="E304" s="3">
        <v>2.8336917902498859</v>
      </c>
      <c r="F304" s="1">
        <v>38</v>
      </c>
      <c r="G304" s="1">
        <v>49.1</v>
      </c>
      <c r="H304" s="33">
        <v>118.80489327201617</v>
      </c>
      <c r="I304" s="41">
        <v>381</v>
      </c>
      <c r="J304" s="43">
        <v>331.9</v>
      </c>
      <c r="K304" s="30">
        <v>200</v>
      </c>
      <c r="L304" s="43">
        <v>160.1</v>
      </c>
      <c r="M304" s="3">
        <v>0.22</v>
      </c>
      <c r="N304" s="17">
        <v>0.19975106821832439</v>
      </c>
      <c r="O304" s="23">
        <v>259.70728398906732</v>
      </c>
      <c r="P304" s="23">
        <v>67.242360991510594</v>
      </c>
      <c r="Q304" s="24">
        <v>5.8110239594394375E-2</v>
      </c>
      <c r="R304" s="17">
        <v>0.90795940099238359</v>
      </c>
      <c r="S304" s="3">
        <v>0.21568993648706353</v>
      </c>
      <c r="T304" s="23">
        <v>259.70728398906732</v>
      </c>
      <c r="U304" s="30">
        <v>108</v>
      </c>
      <c r="V304" s="35">
        <v>3.1722299547035072E-2</v>
      </c>
      <c r="W304" s="17">
        <f t="shared" si="8"/>
        <v>1.2304135498647382</v>
      </c>
      <c r="X304" s="17">
        <f t="shared" si="9"/>
        <v>0.55773480662983421</v>
      </c>
      <c r="Y304" s="34">
        <v>0.98040880221392512</v>
      </c>
      <c r="Z304" s="34">
        <v>0.21294062420505641</v>
      </c>
      <c r="AA304" s="30">
        <v>259.70728398906732</v>
      </c>
      <c r="AB304" s="30">
        <v>67.242360991510594</v>
      </c>
      <c r="AC304" s="35">
        <v>5.8110239594394375E-2</v>
      </c>
      <c r="AD304" s="34">
        <v>0.96791192820480187</v>
      </c>
      <c r="AE304" s="34">
        <v>0.23133426524308956</v>
      </c>
      <c r="AF304" s="34">
        <v>0.31121456869093567</v>
      </c>
      <c r="AG304" s="30">
        <v>272.91689042613365</v>
      </c>
      <c r="AH304" s="35">
        <v>2.3599999999999999E-2</v>
      </c>
      <c r="AI304" s="17">
        <v>1.0515193874685889</v>
      </c>
    </row>
    <row r="305" spans="1:35" x14ac:dyDescent="0.3">
      <c r="B305" s="1">
        <v>22.2</v>
      </c>
      <c r="C305" s="1">
        <v>2</v>
      </c>
      <c r="D305" s="4">
        <v>63.6</v>
      </c>
      <c r="E305" s="3">
        <v>2.8336917902498859</v>
      </c>
      <c r="F305" s="1">
        <v>38</v>
      </c>
      <c r="G305" s="1">
        <v>49.1</v>
      </c>
      <c r="H305" s="33">
        <v>118.80489327201617</v>
      </c>
      <c r="I305" s="41">
        <v>381</v>
      </c>
      <c r="J305" s="43">
        <v>331.9</v>
      </c>
      <c r="K305" s="30">
        <v>200</v>
      </c>
      <c r="L305" s="43">
        <v>160.1</v>
      </c>
      <c r="M305" s="3">
        <v>0.25</v>
      </c>
      <c r="N305" s="17">
        <v>0.21440510655189621</v>
      </c>
      <c r="O305" s="23">
        <v>275.8</v>
      </c>
      <c r="P305" s="23">
        <v>67.242360991510594</v>
      </c>
      <c r="Q305" s="24">
        <v>5.8110239594394375E-2</v>
      </c>
      <c r="R305" s="17">
        <v>0.85762042620758483</v>
      </c>
      <c r="S305" s="3">
        <v>0.23348798376539165</v>
      </c>
      <c r="T305" s="23">
        <v>275.8</v>
      </c>
      <c r="U305" s="30">
        <v>108</v>
      </c>
      <c r="V305" s="35">
        <v>3.1722299547035072E-2</v>
      </c>
      <c r="W305" s="17">
        <f t="shared" si="8"/>
        <v>1.2304135498647382</v>
      </c>
      <c r="X305" s="17">
        <f t="shared" si="9"/>
        <v>0.55773480662983421</v>
      </c>
      <c r="Y305" s="34">
        <v>0.9339519350615666</v>
      </c>
      <c r="Z305" s="34">
        <v>0.22856226817276237</v>
      </c>
      <c r="AA305" s="30">
        <v>275.8</v>
      </c>
      <c r="AB305" s="30">
        <v>67.242360991510594</v>
      </c>
      <c r="AC305" s="35">
        <v>5.8110239594394375E-2</v>
      </c>
      <c r="AD305" s="34">
        <v>0.91424907269104949</v>
      </c>
      <c r="AE305" s="34">
        <v>0.23377809359627175</v>
      </c>
      <c r="AF305" s="34">
        <v>0.31782467687517285</v>
      </c>
      <c r="AG305" s="30">
        <v>275.8</v>
      </c>
      <c r="AH305" s="35">
        <v>2.3599999999999999E-2</v>
      </c>
      <c r="AI305" s="17">
        <v>0.93511237438508699</v>
      </c>
    </row>
    <row r="306" spans="1:35" x14ac:dyDescent="0.3">
      <c r="A306" t="s">
        <v>77</v>
      </c>
      <c r="B306" s="1">
        <v>22.2</v>
      </c>
      <c r="C306" s="1">
        <v>2</v>
      </c>
      <c r="D306" s="4">
        <v>63.6</v>
      </c>
      <c r="E306" s="3">
        <v>2.7563734268389184</v>
      </c>
      <c r="F306" s="1">
        <v>38</v>
      </c>
      <c r="G306" s="1">
        <v>49.1</v>
      </c>
      <c r="H306" s="33">
        <v>119.44859227094086</v>
      </c>
      <c r="I306" s="41">
        <v>381</v>
      </c>
      <c r="J306" s="43">
        <v>331.9</v>
      </c>
      <c r="K306" s="30">
        <v>200</v>
      </c>
      <c r="L306" s="43">
        <v>160.1</v>
      </c>
      <c r="M306" s="3">
        <v>0.2</v>
      </c>
      <c r="N306" s="17">
        <v>0.14096818536099046</v>
      </c>
      <c r="O306" s="23">
        <v>194.35459603250266</v>
      </c>
      <c r="P306" s="23">
        <v>65.541526492969297</v>
      </c>
      <c r="Q306" s="24">
        <v>5.8253253556272706E-2</v>
      </c>
      <c r="R306" s="17">
        <v>0.70484092680495225</v>
      </c>
      <c r="S306" s="3">
        <v>0.14523639043966624</v>
      </c>
      <c r="T306" s="23">
        <v>194.35459603250266</v>
      </c>
      <c r="U306" s="30">
        <v>105</v>
      </c>
      <c r="V306" s="35">
        <v>3.1722299547035072E-2</v>
      </c>
      <c r="W306" s="17">
        <f t="shared" si="8"/>
        <v>1.2311116717222115</v>
      </c>
      <c r="X306" s="17">
        <f t="shared" si="9"/>
        <v>0.55773480662983421</v>
      </c>
      <c r="Y306" s="34">
        <v>0.72618195219833115</v>
      </c>
      <c r="Z306" s="34">
        <v>0.15036800039665213</v>
      </c>
      <c r="AA306" s="30">
        <v>194.35459603250266</v>
      </c>
      <c r="AB306" s="30">
        <v>65.541526492969297</v>
      </c>
      <c r="AC306" s="35">
        <v>5.8253253556272706E-2</v>
      </c>
      <c r="AD306" s="34">
        <v>0.75184000198326062</v>
      </c>
      <c r="AE306" s="34">
        <v>0.17299427540945575</v>
      </c>
      <c r="AF306" s="34">
        <v>0.17891963776921221</v>
      </c>
      <c r="AG306" s="30">
        <v>204.09021403145189</v>
      </c>
      <c r="AH306" s="35">
        <v>2.3599999999999999E-2</v>
      </c>
      <c r="AI306" s="17">
        <v>0.86497137704727867</v>
      </c>
    </row>
    <row r="307" spans="1:35" x14ac:dyDescent="0.3">
      <c r="B307" s="1">
        <v>22.2</v>
      </c>
      <c r="C307" s="1">
        <v>2</v>
      </c>
      <c r="D307" s="4">
        <v>63.6</v>
      </c>
      <c r="E307" s="3">
        <v>2.7563734268389184</v>
      </c>
      <c r="F307" s="1">
        <v>38</v>
      </c>
      <c r="G307" s="1">
        <v>49.1</v>
      </c>
      <c r="H307" s="33">
        <v>119.44859227094086</v>
      </c>
      <c r="I307" s="41">
        <v>381</v>
      </c>
      <c r="J307" s="43">
        <v>331.9</v>
      </c>
      <c r="K307" s="30">
        <v>200</v>
      </c>
      <c r="L307" s="43">
        <v>160.1</v>
      </c>
      <c r="M307" s="3">
        <v>0.25</v>
      </c>
      <c r="N307" s="17">
        <v>0.16980174289977454</v>
      </c>
      <c r="O307" s="23">
        <v>226.06428422203666</v>
      </c>
      <c r="P307" s="23">
        <v>65.541526492969297</v>
      </c>
      <c r="Q307" s="24">
        <v>5.8253253556272706E-2</v>
      </c>
      <c r="R307" s="17">
        <v>0.67920697159909815</v>
      </c>
      <c r="S307" s="3">
        <v>0.18031567133788304</v>
      </c>
      <c r="T307" s="23">
        <v>226.06428422203666</v>
      </c>
      <c r="U307" s="30">
        <v>105</v>
      </c>
      <c r="V307" s="35">
        <v>3.1722299547035072E-2</v>
      </c>
      <c r="W307" s="17">
        <f t="shared" si="8"/>
        <v>1.2311116717222115</v>
      </c>
      <c r="X307" s="17">
        <f t="shared" si="9"/>
        <v>0.55773480662983421</v>
      </c>
      <c r="Y307" s="34">
        <v>0.72126268535153215</v>
      </c>
      <c r="Z307" s="34">
        <v>0.18112419109546893</v>
      </c>
      <c r="AA307" s="30">
        <v>226.06428422203666</v>
      </c>
      <c r="AB307" s="30">
        <v>65.541526492969297</v>
      </c>
      <c r="AC307" s="35">
        <v>5.8253253556272706E-2</v>
      </c>
      <c r="AD307" s="34">
        <v>0.72449676438187571</v>
      </c>
      <c r="AE307" s="34">
        <v>0.20121894641693144</v>
      </c>
      <c r="AF307" s="34">
        <v>0.24206516048305135</v>
      </c>
      <c r="AG307" s="30">
        <v>237.38830515758272</v>
      </c>
      <c r="AH307" s="35">
        <v>2.3599999999999999E-2</v>
      </c>
      <c r="AI307" s="17">
        <v>0.80487578566772577</v>
      </c>
    </row>
    <row r="308" spans="1:35" x14ac:dyDescent="0.3">
      <c r="B308" s="1">
        <v>22.2</v>
      </c>
      <c r="C308" s="1">
        <v>2</v>
      </c>
      <c r="D308" s="4">
        <v>63.6</v>
      </c>
      <c r="E308" s="3">
        <v>2.7563734268389184</v>
      </c>
      <c r="F308" s="1">
        <v>38</v>
      </c>
      <c r="G308" s="1">
        <v>49.1</v>
      </c>
      <c r="H308" s="33">
        <v>119.44859227094086</v>
      </c>
      <c r="I308" s="41">
        <v>381</v>
      </c>
      <c r="J308" s="43">
        <v>331.9</v>
      </c>
      <c r="K308" s="30">
        <v>200</v>
      </c>
      <c r="L308" s="43">
        <v>160.1</v>
      </c>
      <c r="M308" s="3">
        <v>0.3</v>
      </c>
      <c r="N308" s="17">
        <v>0.20056673491484081</v>
      </c>
      <c r="O308" s="23">
        <v>259.8980663572811</v>
      </c>
      <c r="P308" s="23">
        <v>65.541526492969297</v>
      </c>
      <c r="Q308" s="24">
        <v>5.8253253556272706E-2</v>
      </c>
      <c r="R308" s="17">
        <v>0.66855578304946939</v>
      </c>
      <c r="S308" s="3">
        <v>0.21774476052593253</v>
      </c>
      <c r="T308" s="23">
        <v>259.8980663572811</v>
      </c>
      <c r="U308" s="30">
        <v>105</v>
      </c>
      <c r="V308" s="35">
        <v>3.1722299547035072E-2</v>
      </c>
      <c r="W308" s="17">
        <f t="shared" si="8"/>
        <v>1.2311116717222115</v>
      </c>
      <c r="X308" s="17">
        <f t="shared" si="9"/>
        <v>0.55773480662983421</v>
      </c>
      <c r="Y308" s="34">
        <v>0.72581586841977508</v>
      </c>
      <c r="Z308" s="34">
        <v>0.21394060509468493</v>
      </c>
      <c r="AA308" s="30">
        <v>259.8980663572811</v>
      </c>
      <c r="AB308" s="30">
        <v>65.541526492969297</v>
      </c>
      <c r="AC308" s="35">
        <v>5.8253253556272706E-2</v>
      </c>
      <c r="AD308" s="34">
        <v>0.71313535031561648</v>
      </c>
      <c r="AE308" s="34">
        <v>0.23133426524308956</v>
      </c>
      <c r="AF308" s="34">
        <v>0.31994437318205965</v>
      </c>
      <c r="AG308" s="30">
        <v>272.91689042613365</v>
      </c>
      <c r="AH308" s="35">
        <v>2.3599999999999999E-2</v>
      </c>
      <c r="AI308" s="17">
        <v>0.77111421747696518</v>
      </c>
    </row>
    <row r="309" spans="1:35" x14ac:dyDescent="0.3">
      <c r="B309" s="1">
        <v>22.2</v>
      </c>
      <c r="C309" s="1">
        <v>2</v>
      </c>
      <c r="D309" s="4">
        <v>63.6</v>
      </c>
      <c r="E309" s="3">
        <v>2.7563734268389184</v>
      </c>
      <c r="F309" s="1">
        <v>38</v>
      </c>
      <c r="G309" s="1">
        <v>49.1</v>
      </c>
      <c r="H309" s="33">
        <v>119.44859227094086</v>
      </c>
      <c r="I309" s="41">
        <v>381</v>
      </c>
      <c r="J309" s="43">
        <v>331.9</v>
      </c>
      <c r="K309" s="30">
        <v>200</v>
      </c>
      <c r="L309" s="43">
        <v>160.1</v>
      </c>
      <c r="M309" s="3">
        <v>0.35</v>
      </c>
      <c r="N309" s="17">
        <v>0.21502633211821529</v>
      </c>
      <c r="O309" s="23">
        <v>275.8</v>
      </c>
      <c r="P309" s="23">
        <v>65.541526492969297</v>
      </c>
      <c r="Q309" s="24">
        <v>5.8253253556272706E-2</v>
      </c>
      <c r="R309" s="17">
        <v>0.61436094890918658</v>
      </c>
      <c r="S309" s="3">
        <v>0.23533649443840463</v>
      </c>
      <c r="T309" s="23">
        <v>275.8</v>
      </c>
      <c r="U309" s="30">
        <v>105</v>
      </c>
      <c r="V309" s="35">
        <v>3.1722299547035072E-2</v>
      </c>
      <c r="W309" s="17">
        <f t="shared" si="8"/>
        <v>1.2311116717222115</v>
      </c>
      <c r="X309" s="17">
        <f t="shared" si="9"/>
        <v>0.55773480662983421</v>
      </c>
      <c r="Y309" s="34">
        <v>0.6723899841097275</v>
      </c>
      <c r="Z309" s="34">
        <v>0.22936437402839582</v>
      </c>
      <c r="AA309" s="30">
        <v>275.8</v>
      </c>
      <c r="AB309" s="30">
        <v>65.541526492969297</v>
      </c>
      <c r="AC309" s="35">
        <v>5.8253253556272706E-2</v>
      </c>
      <c r="AD309" s="34">
        <v>0.65532678293827384</v>
      </c>
      <c r="AE309" s="34">
        <v>0.23377809359627175</v>
      </c>
      <c r="AF309" s="34">
        <v>0.32673989991002467</v>
      </c>
      <c r="AG309" s="30">
        <v>275.8</v>
      </c>
      <c r="AH309" s="35">
        <v>2.3599999999999999E-2</v>
      </c>
      <c r="AI309" s="17">
        <v>0.66793741027506215</v>
      </c>
    </row>
    <row r="310" spans="1:35" x14ac:dyDescent="0.3">
      <c r="A310" t="s">
        <v>78</v>
      </c>
      <c r="B310" s="1">
        <v>28.7</v>
      </c>
      <c r="C310" s="1">
        <v>2</v>
      </c>
      <c r="D310" s="4">
        <v>50.6</v>
      </c>
      <c r="E310" s="3">
        <v>2.7748174021560659</v>
      </c>
      <c r="F310" s="1">
        <v>22.2</v>
      </c>
      <c r="G310" s="1">
        <v>36.6</v>
      </c>
      <c r="H310" s="33">
        <v>148.01498573118474</v>
      </c>
      <c r="I310" s="41">
        <v>381</v>
      </c>
      <c r="J310" s="43">
        <v>344.4</v>
      </c>
      <c r="K310" s="30">
        <v>208</v>
      </c>
      <c r="L310" s="43">
        <v>128.1</v>
      </c>
      <c r="M310" s="3">
        <v>0.17</v>
      </c>
      <c r="N310" s="17">
        <v>0.12216947076824558</v>
      </c>
      <c r="O310" s="23">
        <v>234.11581828988642</v>
      </c>
      <c r="P310" s="23">
        <v>43.744036041213654</v>
      </c>
      <c r="Q310" s="24">
        <v>0.10899285032170623</v>
      </c>
      <c r="R310" s="17">
        <v>0.71864394569556223</v>
      </c>
      <c r="S310" s="3">
        <v>0.13483786949689372</v>
      </c>
      <c r="T310" s="23">
        <v>234.11581828988642</v>
      </c>
      <c r="U310" s="30">
        <v>60</v>
      </c>
      <c r="V310" s="35">
        <v>6.6077805848039489E-2</v>
      </c>
      <c r="W310" s="17">
        <f t="shared" si="8"/>
        <v>1.1863685991330342</v>
      </c>
      <c r="X310" s="17">
        <f t="shared" si="9"/>
        <v>0.62976878612716769</v>
      </c>
      <c r="Y310" s="34">
        <v>0.7931639382170218</v>
      </c>
      <c r="Z310" s="34">
        <v>0.12497565870308193</v>
      </c>
      <c r="AA310" s="30">
        <v>234.11581828988642</v>
      </c>
      <c r="AB310" s="30">
        <v>43.744036041213654</v>
      </c>
      <c r="AC310" s="35">
        <v>0.10899285032170623</v>
      </c>
      <c r="AD310" s="34">
        <v>0.73515093354754069</v>
      </c>
      <c r="AE310" s="34">
        <v>0.20638869069728805</v>
      </c>
      <c r="AF310" s="34">
        <v>0.33708607017123565</v>
      </c>
      <c r="AG310" s="30">
        <v>247.19933346627857</v>
      </c>
      <c r="AH310" s="35">
        <v>3.3700000000000001E-2</v>
      </c>
      <c r="AI310" s="17">
        <v>1.2140511217487531</v>
      </c>
    </row>
    <row r="311" spans="1:35" x14ac:dyDescent="0.3">
      <c r="B311" s="1">
        <v>28.7</v>
      </c>
      <c r="C311" s="1">
        <v>2</v>
      </c>
      <c r="D311" s="4">
        <v>50.6</v>
      </c>
      <c r="E311" s="3">
        <v>2.7748174021560659</v>
      </c>
      <c r="F311" s="1">
        <v>22.2</v>
      </c>
      <c r="G311" s="1">
        <v>36.6</v>
      </c>
      <c r="H311" s="33">
        <v>148.01498573118474</v>
      </c>
      <c r="I311" s="41">
        <v>381</v>
      </c>
      <c r="J311" s="43">
        <v>344.4</v>
      </c>
      <c r="K311" s="30">
        <v>208</v>
      </c>
      <c r="L311" s="43">
        <v>128.1</v>
      </c>
      <c r="M311" s="3">
        <v>0.2</v>
      </c>
      <c r="N311" s="17">
        <v>0.14610826012853861</v>
      </c>
      <c r="O311" s="23">
        <v>274.84728475140628</v>
      </c>
      <c r="P311" s="23">
        <v>43.744036041213654</v>
      </c>
      <c r="Q311" s="24">
        <v>0.10899285032170623</v>
      </c>
      <c r="R311" s="17">
        <v>0.73054130064269307</v>
      </c>
      <c r="S311" s="3">
        <v>0.16258315804542578</v>
      </c>
      <c r="T311" s="23">
        <v>274.84728475140628</v>
      </c>
      <c r="U311" s="30">
        <v>60</v>
      </c>
      <c r="V311" s="35">
        <v>6.6077805848039489E-2</v>
      </c>
      <c r="W311" s="17">
        <f t="shared" si="8"/>
        <v>1.1863685991330342</v>
      </c>
      <c r="X311" s="17">
        <f t="shared" si="9"/>
        <v>0.62976878612716769</v>
      </c>
      <c r="Y311" s="34">
        <v>0.8129157902271289</v>
      </c>
      <c r="Z311" s="34">
        <v>0.14946431327483095</v>
      </c>
      <c r="AA311" s="30">
        <v>274.84728475140628</v>
      </c>
      <c r="AB311" s="30">
        <v>43.744036041213654</v>
      </c>
      <c r="AC311" s="35">
        <v>0.10899285032170623</v>
      </c>
      <c r="AD311" s="34">
        <v>0.7473215663741547</v>
      </c>
      <c r="AE311" s="34">
        <v>0.23026761478738778</v>
      </c>
      <c r="AF311" s="34">
        <v>0.41959928439326599</v>
      </c>
      <c r="AG311" s="30">
        <v>275.8</v>
      </c>
      <c r="AH311" s="35">
        <v>3.3700000000000001E-2</v>
      </c>
      <c r="AI311" s="17">
        <v>1.1513380739369388</v>
      </c>
    </row>
    <row r="312" spans="1:35" x14ac:dyDescent="0.3">
      <c r="A312" t="s">
        <v>79</v>
      </c>
      <c r="B312" s="1">
        <v>28.7</v>
      </c>
      <c r="C312" s="1">
        <v>2</v>
      </c>
      <c r="D312" s="4">
        <v>50.6</v>
      </c>
      <c r="E312" s="3">
        <v>2.8017146470593879</v>
      </c>
      <c r="F312" s="1">
        <v>38.200000000000003</v>
      </c>
      <c r="G312" s="1">
        <v>52.5</v>
      </c>
      <c r="H312" s="33">
        <v>143.36625380284787</v>
      </c>
      <c r="I312" s="41">
        <v>381</v>
      </c>
      <c r="J312" s="43">
        <v>328.5</v>
      </c>
      <c r="K312" s="30">
        <v>206</v>
      </c>
      <c r="L312" s="43">
        <v>183.75</v>
      </c>
      <c r="M312" s="3">
        <v>0.17</v>
      </c>
      <c r="N312" s="17">
        <v>0.11532192168156596</v>
      </c>
      <c r="O312" s="23">
        <v>179.49560032260422</v>
      </c>
      <c r="P312" s="23">
        <v>44.592124795873644</v>
      </c>
      <c r="Q312" s="24">
        <v>0.10686066770303645</v>
      </c>
      <c r="R312" s="17">
        <v>0.67836424518568206</v>
      </c>
      <c r="S312" s="3">
        <v>0.13588745970060442</v>
      </c>
      <c r="T312" s="23">
        <v>179.49560032260422</v>
      </c>
      <c r="U312" s="30">
        <v>79</v>
      </c>
      <c r="V312" s="35">
        <v>4.6065670362633239E-2</v>
      </c>
      <c r="W312" s="17">
        <f t="shared" si="8"/>
        <v>1.2835787698267167</v>
      </c>
      <c r="X312" s="17">
        <f t="shared" si="9"/>
        <v>0.47499999999999998</v>
      </c>
      <c r="Y312" s="34">
        <v>0.79933799823884955</v>
      </c>
      <c r="Z312" s="34">
        <v>0.13405833916930074</v>
      </c>
      <c r="AA312" s="30">
        <v>179.49560032260422</v>
      </c>
      <c r="AB312" s="30">
        <v>44.592124795873644</v>
      </c>
      <c r="AC312" s="35">
        <v>0.10686066770303645</v>
      </c>
      <c r="AD312" s="34">
        <v>0.78857846570176904</v>
      </c>
      <c r="AE312" s="34">
        <v>0.16565003896528258</v>
      </c>
      <c r="AF312" s="34">
        <v>0.19653619230075234</v>
      </c>
      <c r="AG312" s="30">
        <v>189.66749432781745</v>
      </c>
      <c r="AH312" s="35">
        <v>3.1699999999999999E-2</v>
      </c>
      <c r="AI312" s="17">
        <v>0.97441199391342681</v>
      </c>
    </row>
    <row r="313" spans="1:35" x14ac:dyDescent="0.3">
      <c r="B313" s="1">
        <v>28.7</v>
      </c>
      <c r="C313" s="1">
        <v>2</v>
      </c>
      <c r="D313" s="4">
        <v>50.6</v>
      </c>
      <c r="E313" s="3">
        <v>2.8017146470593879</v>
      </c>
      <c r="F313" s="1">
        <v>38.200000000000003</v>
      </c>
      <c r="G313" s="1">
        <v>52.5</v>
      </c>
      <c r="H313" s="33">
        <v>143.36625380284787</v>
      </c>
      <c r="I313" s="41">
        <v>381</v>
      </c>
      <c r="J313" s="43">
        <v>328.5</v>
      </c>
      <c r="K313" s="30">
        <v>206</v>
      </c>
      <c r="L313" s="43">
        <v>183.75</v>
      </c>
      <c r="M313" s="3">
        <v>0.2</v>
      </c>
      <c r="N313" s="17">
        <v>0.14042401091851497</v>
      </c>
      <c r="O313" s="23">
        <v>212.74254265148761</v>
      </c>
      <c r="P313" s="23">
        <v>44.592124795873644</v>
      </c>
      <c r="Q313" s="24">
        <v>0.10686066770303645</v>
      </c>
      <c r="R313" s="17">
        <v>0.70212005459257487</v>
      </c>
      <c r="S313" s="3">
        <v>0.17011889417865081</v>
      </c>
      <c r="T313" s="23">
        <v>212.74254265148761</v>
      </c>
      <c r="U313" s="30">
        <v>79</v>
      </c>
      <c r="V313" s="35">
        <v>4.6065670362633239E-2</v>
      </c>
      <c r="W313" s="17">
        <f t="shared" si="8"/>
        <v>1.2835787698267167</v>
      </c>
      <c r="X313" s="17">
        <f t="shared" si="9"/>
        <v>0.47499999999999998</v>
      </c>
      <c r="Y313" s="34">
        <v>0.85059447089325402</v>
      </c>
      <c r="Z313" s="34">
        <v>0.16323877896527475</v>
      </c>
      <c r="AA313" s="30">
        <v>212.74254265148761</v>
      </c>
      <c r="AB313" s="30">
        <v>44.592124795873644</v>
      </c>
      <c r="AC313" s="35">
        <v>0.10686066770303645</v>
      </c>
      <c r="AD313" s="34">
        <v>0.81619389482637372</v>
      </c>
      <c r="AE313" s="34">
        <v>0.19633244723800777</v>
      </c>
      <c r="AF313" s="34">
        <v>0.27608550946880678</v>
      </c>
      <c r="AG313" s="30">
        <v>224.7985183431546</v>
      </c>
      <c r="AH313" s="35">
        <v>3.1699999999999999E-2</v>
      </c>
      <c r="AI313" s="17">
        <v>0.98166223619003878</v>
      </c>
    </row>
    <row r="314" spans="1:35" x14ac:dyDescent="0.3">
      <c r="B314" s="1">
        <v>28.7</v>
      </c>
      <c r="C314" s="1">
        <v>2</v>
      </c>
      <c r="D314" s="4">
        <v>50.6</v>
      </c>
      <c r="E314" s="3">
        <v>2.8017146470593879</v>
      </c>
      <c r="F314" s="1">
        <v>38.200000000000003</v>
      </c>
      <c r="G314" s="1">
        <v>52.5</v>
      </c>
      <c r="H314" s="33">
        <v>143.36625380284787</v>
      </c>
      <c r="I314" s="41">
        <v>381</v>
      </c>
      <c r="J314" s="43">
        <v>328.5</v>
      </c>
      <c r="K314" s="30">
        <v>206</v>
      </c>
      <c r="L314" s="43">
        <v>183.75</v>
      </c>
      <c r="M314" s="3">
        <v>0.25</v>
      </c>
      <c r="N314" s="17">
        <v>0.16495397276544804</v>
      </c>
      <c r="O314" s="23">
        <v>245.23171991304602</v>
      </c>
      <c r="P314" s="23">
        <v>44.592124795873644</v>
      </c>
      <c r="Q314" s="24">
        <v>0.10686066770303645</v>
      </c>
      <c r="R314" s="17">
        <v>0.65981589106179217</v>
      </c>
      <c r="S314" s="3">
        <v>0.20357012502186989</v>
      </c>
      <c r="T314" s="23">
        <v>245.23171991304602</v>
      </c>
      <c r="U314" s="30">
        <v>79</v>
      </c>
      <c r="V314" s="35">
        <v>4.6065670362633239E-2</v>
      </c>
      <c r="W314" s="17">
        <f t="shared" si="8"/>
        <v>1.2835787698267167</v>
      </c>
      <c r="X314" s="17">
        <f t="shared" si="9"/>
        <v>0.47499999999999998</v>
      </c>
      <c r="Y314" s="34">
        <v>0.81428050008747954</v>
      </c>
      <c r="Z314" s="34">
        <v>0.19175413751233761</v>
      </c>
      <c r="AA314" s="30">
        <v>245.23171991304602</v>
      </c>
      <c r="AB314" s="30">
        <v>44.592124795873644</v>
      </c>
      <c r="AC314" s="35">
        <v>0.10686066770303645</v>
      </c>
      <c r="AD314" s="34">
        <v>0.76701655004935043</v>
      </c>
      <c r="AE314" s="34">
        <v>0.22631554136206686</v>
      </c>
      <c r="AF314" s="34">
        <v>0.36684973527969084</v>
      </c>
      <c r="AG314" s="30">
        <v>259.12883525842716</v>
      </c>
      <c r="AH314" s="35">
        <v>3.1699999999999999E-2</v>
      </c>
      <c r="AI314" s="17">
        <v>0.90526216544826743</v>
      </c>
    </row>
    <row r="315" spans="1:35" x14ac:dyDescent="0.3">
      <c r="B315" s="1">
        <v>28.7</v>
      </c>
      <c r="C315" s="1">
        <v>2</v>
      </c>
      <c r="D315" s="4">
        <v>50.6</v>
      </c>
      <c r="E315" s="3">
        <v>2.8017146470593879</v>
      </c>
      <c r="F315" s="1">
        <v>38.200000000000003</v>
      </c>
      <c r="G315" s="1">
        <v>52.5</v>
      </c>
      <c r="H315" s="33">
        <v>143.36625380284787</v>
      </c>
      <c r="I315" s="41">
        <v>381</v>
      </c>
      <c r="J315" s="43">
        <v>328.5</v>
      </c>
      <c r="K315" s="30">
        <v>206</v>
      </c>
      <c r="L315" s="43">
        <v>183.75</v>
      </c>
      <c r="M315" s="3">
        <v>0.28999999999999998</v>
      </c>
      <c r="N315" s="17">
        <v>0.18803361981907052</v>
      </c>
      <c r="O315" s="23">
        <v>275.8</v>
      </c>
      <c r="P315" s="23">
        <v>44.592124795873644</v>
      </c>
      <c r="Q315" s="24">
        <v>0.10686066770303645</v>
      </c>
      <c r="R315" s="17">
        <v>0.64839179247955359</v>
      </c>
      <c r="S315" s="3">
        <v>0.23504357802551876</v>
      </c>
      <c r="T315" s="23">
        <v>275.8</v>
      </c>
      <c r="U315" s="30">
        <v>79</v>
      </c>
      <c r="V315" s="35">
        <v>4.6065670362633239E-2</v>
      </c>
      <c r="W315" s="17">
        <f t="shared" si="8"/>
        <v>1.2835787698267167</v>
      </c>
      <c r="X315" s="17">
        <f t="shared" si="9"/>
        <v>0.47499999999999998</v>
      </c>
      <c r="Y315" s="34">
        <v>0.81049509663971986</v>
      </c>
      <c r="Z315" s="34">
        <v>0.21858354780577408</v>
      </c>
      <c r="AA315" s="30">
        <v>275.8</v>
      </c>
      <c r="AB315" s="30">
        <v>44.592124795873644</v>
      </c>
      <c r="AC315" s="35">
        <v>0.10686066770303645</v>
      </c>
      <c r="AD315" s="34">
        <v>0.75373637174404862</v>
      </c>
      <c r="AE315" s="34">
        <v>0.24087564876911222</v>
      </c>
      <c r="AF315" s="34">
        <v>0.41557101380352907</v>
      </c>
      <c r="AG315" s="30">
        <v>275.8</v>
      </c>
      <c r="AH315" s="35">
        <v>3.1699999999999999E-2</v>
      </c>
      <c r="AI315" s="17">
        <v>0.83060568541073188</v>
      </c>
    </row>
    <row r="316" spans="1:35" x14ac:dyDescent="0.3">
      <c r="A316" t="s">
        <v>80</v>
      </c>
      <c r="B316" s="1">
        <v>28.7</v>
      </c>
      <c r="C316" s="1">
        <v>2</v>
      </c>
      <c r="D316" s="4">
        <v>50.6</v>
      </c>
      <c r="E316" s="3">
        <v>2.7153116457984496</v>
      </c>
      <c r="F316" s="1">
        <v>38.200000000000003</v>
      </c>
      <c r="G316" s="1">
        <v>52.5</v>
      </c>
      <c r="H316" s="33">
        <v>144.17675602863136</v>
      </c>
      <c r="I316" s="41">
        <v>381</v>
      </c>
      <c r="J316" s="43">
        <v>328.5</v>
      </c>
      <c r="K316" s="30">
        <v>206</v>
      </c>
      <c r="L316" s="43">
        <v>183.75</v>
      </c>
      <c r="M316" s="3">
        <v>0.17</v>
      </c>
      <c r="N316" s="17">
        <v>0.14087586174074962</v>
      </c>
      <c r="O316" s="23">
        <v>212.94749158826474</v>
      </c>
      <c r="P316" s="23">
        <v>43.411365898323631</v>
      </c>
      <c r="Q316" s="24">
        <v>0.1072263869101954</v>
      </c>
      <c r="R316" s="17">
        <v>0.82868153965146829</v>
      </c>
      <c r="S316" s="3">
        <v>0.17172528363860692</v>
      </c>
      <c r="T316" s="23">
        <v>212.94749158826474</v>
      </c>
      <c r="U316" s="30">
        <v>77</v>
      </c>
      <c r="V316" s="35">
        <v>4.6065670362633239E-2</v>
      </c>
      <c r="W316" s="17">
        <f t="shared" si="8"/>
        <v>1.2848257163277517</v>
      </c>
      <c r="X316" s="17">
        <f t="shared" si="9"/>
        <v>0.47499999999999998</v>
      </c>
      <c r="Y316" s="34">
        <v>1.0101487272859231</v>
      </c>
      <c r="Z316" s="34">
        <v>0.16389493709976841</v>
      </c>
      <c r="AA316" s="30">
        <v>212.94749158826474</v>
      </c>
      <c r="AB316" s="30">
        <v>43.411365898323631</v>
      </c>
      <c r="AC316" s="35">
        <v>0.1072263869101954</v>
      </c>
      <c r="AD316" s="34">
        <v>0.96408786529275525</v>
      </c>
      <c r="AE316" s="34">
        <v>0.19633244723800777</v>
      </c>
      <c r="AF316" s="34">
        <v>0.28487073184269951</v>
      </c>
      <c r="AG316" s="30">
        <v>225</v>
      </c>
      <c r="AH316" s="35">
        <v>3.1699999999999999E-2</v>
      </c>
      <c r="AI316" s="17">
        <v>1.1548967484588692</v>
      </c>
    </row>
    <row r="317" spans="1:35" x14ac:dyDescent="0.3">
      <c r="A317" t="s">
        <v>81</v>
      </c>
      <c r="B317" s="1">
        <v>28.7</v>
      </c>
      <c r="C317" s="1">
        <v>2</v>
      </c>
      <c r="D317" s="4">
        <v>50.6</v>
      </c>
      <c r="E317" s="3">
        <v>2.8017146470593879</v>
      </c>
      <c r="F317" s="1">
        <v>38.200000000000003</v>
      </c>
      <c r="G317" s="1">
        <v>52.5</v>
      </c>
      <c r="H317" s="33">
        <v>143.36625380284787</v>
      </c>
      <c r="I317" s="41">
        <v>381</v>
      </c>
      <c r="J317" s="43">
        <v>328.5</v>
      </c>
      <c r="K317" s="30">
        <v>206</v>
      </c>
      <c r="L317" s="43">
        <v>183.75</v>
      </c>
      <c r="M317" s="3">
        <v>0.15</v>
      </c>
      <c r="N317" s="17">
        <v>0.11532192168156596</v>
      </c>
      <c r="O317" s="23">
        <v>179.49560032260422</v>
      </c>
      <c r="P317" s="23">
        <v>44.592124795873644</v>
      </c>
      <c r="Q317" s="24">
        <v>0.10686066770303645</v>
      </c>
      <c r="R317" s="17">
        <v>0.76881281121043976</v>
      </c>
      <c r="S317" s="3">
        <v>0.13588745970060442</v>
      </c>
      <c r="T317" s="23">
        <v>179.49560032260422</v>
      </c>
      <c r="U317" s="30">
        <v>79</v>
      </c>
      <c r="V317" s="35">
        <v>4.6065670362633239E-2</v>
      </c>
      <c r="W317" s="17">
        <f t="shared" si="8"/>
        <v>1.2835787698267167</v>
      </c>
      <c r="X317" s="17">
        <f t="shared" si="9"/>
        <v>0.47499999999999998</v>
      </c>
      <c r="Y317" s="34">
        <v>0.90591639800402957</v>
      </c>
      <c r="Z317" s="34">
        <v>0.13405833916930074</v>
      </c>
      <c r="AA317" s="30">
        <v>179.49560032260422</v>
      </c>
      <c r="AB317" s="30">
        <v>44.592124795873644</v>
      </c>
      <c r="AC317" s="35">
        <v>0.10686066770303645</v>
      </c>
      <c r="AD317" s="34">
        <v>0.89372226112867159</v>
      </c>
      <c r="AE317" s="34">
        <v>0.16565003896528258</v>
      </c>
      <c r="AF317" s="34">
        <v>0.19653619230075234</v>
      </c>
      <c r="AG317" s="30">
        <v>189.66749432781745</v>
      </c>
      <c r="AH317" s="35">
        <v>3.1699999999999999E-2</v>
      </c>
      <c r="AI317" s="17">
        <v>1.1043335931018838</v>
      </c>
    </row>
    <row r="318" spans="1:35" x14ac:dyDescent="0.3">
      <c r="B318" s="1">
        <v>28.7</v>
      </c>
      <c r="C318" s="1">
        <v>2</v>
      </c>
      <c r="D318" s="4">
        <v>50.6</v>
      </c>
      <c r="E318" s="3">
        <v>2.8017146470593879</v>
      </c>
      <c r="F318" s="1">
        <v>38.200000000000003</v>
      </c>
      <c r="G318" s="1">
        <v>52.5</v>
      </c>
      <c r="H318" s="33">
        <v>143.36625380284787</v>
      </c>
      <c r="I318" s="41">
        <v>381</v>
      </c>
      <c r="J318" s="43">
        <v>328.5</v>
      </c>
      <c r="K318" s="30">
        <v>206</v>
      </c>
      <c r="L318" s="43">
        <v>183.75</v>
      </c>
      <c r="M318" s="3">
        <v>0.16</v>
      </c>
      <c r="N318" s="17">
        <v>0.14042401091851497</v>
      </c>
      <c r="O318" s="23">
        <v>212.74254265148761</v>
      </c>
      <c r="P318" s="23">
        <v>44.592124795873644</v>
      </c>
      <c r="Q318" s="24">
        <v>0.10686066770303645</v>
      </c>
      <c r="R318" s="17">
        <v>0.87765006824071856</v>
      </c>
      <c r="S318" s="3">
        <v>0.17011889417865081</v>
      </c>
      <c r="T318" s="23">
        <v>212.74254265148761</v>
      </c>
      <c r="U318" s="30">
        <v>79</v>
      </c>
      <c r="V318" s="35">
        <v>4.6065670362633239E-2</v>
      </c>
      <c r="W318" s="17">
        <f t="shared" si="8"/>
        <v>1.2835787698267167</v>
      </c>
      <c r="X318" s="17">
        <f t="shared" si="9"/>
        <v>0.47499999999999998</v>
      </c>
      <c r="Y318" s="34">
        <v>1.0632430886165676</v>
      </c>
      <c r="Z318" s="34">
        <v>0.16323877896527475</v>
      </c>
      <c r="AA318" s="30">
        <v>212.74254265148761</v>
      </c>
      <c r="AB318" s="30">
        <v>44.592124795873644</v>
      </c>
      <c r="AC318" s="35">
        <v>0.10686066770303645</v>
      </c>
      <c r="AD318" s="34">
        <v>1.0202423685329671</v>
      </c>
      <c r="AE318" s="34">
        <v>0.19633244723800777</v>
      </c>
      <c r="AF318" s="34">
        <v>0.27608550946880678</v>
      </c>
      <c r="AG318" s="30">
        <v>224.7985183431546</v>
      </c>
      <c r="AH318" s="35">
        <v>3.1699999999999999E-2</v>
      </c>
      <c r="AI318" s="17">
        <v>1.2270777952375485</v>
      </c>
    </row>
    <row r="319" spans="1:35" x14ac:dyDescent="0.3">
      <c r="B319" s="1">
        <v>28.7</v>
      </c>
      <c r="C319" s="1">
        <v>2</v>
      </c>
      <c r="D319" s="4">
        <v>50.6</v>
      </c>
      <c r="E319" s="3">
        <v>2.8017146470593879</v>
      </c>
      <c r="F319" s="1">
        <v>38.200000000000003</v>
      </c>
      <c r="G319" s="1">
        <v>52.5</v>
      </c>
      <c r="H319" s="33">
        <v>143.36625380284787</v>
      </c>
      <c r="I319" s="41">
        <v>381</v>
      </c>
      <c r="J319" s="43">
        <v>328.5</v>
      </c>
      <c r="K319" s="30">
        <v>206</v>
      </c>
      <c r="L319" s="43">
        <v>183.75</v>
      </c>
      <c r="M319" s="3">
        <v>0.22</v>
      </c>
      <c r="N319" s="17">
        <v>0.16495397276544804</v>
      </c>
      <c r="O319" s="23">
        <v>245.23171991304602</v>
      </c>
      <c r="P319" s="23">
        <v>44.592124795873644</v>
      </c>
      <c r="Q319" s="24">
        <v>0.10686066770303645</v>
      </c>
      <c r="R319" s="17">
        <v>0.7497907852974911</v>
      </c>
      <c r="S319" s="3">
        <v>0.20357012502186989</v>
      </c>
      <c r="T319" s="23">
        <v>245.23171991304602</v>
      </c>
      <c r="U319" s="30">
        <v>79</v>
      </c>
      <c r="V319" s="35">
        <v>4.6065670362633239E-2</v>
      </c>
      <c r="W319" s="17">
        <f t="shared" si="8"/>
        <v>1.2835787698267167</v>
      </c>
      <c r="X319" s="17">
        <f t="shared" si="9"/>
        <v>0.47499999999999998</v>
      </c>
      <c r="Y319" s="34">
        <v>0.92531875009940856</v>
      </c>
      <c r="Z319" s="34">
        <v>0.19175413751233761</v>
      </c>
      <c r="AA319" s="30">
        <v>245.23171991304602</v>
      </c>
      <c r="AB319" s="30">
        <v>44.592124795873644</v>
      </c>
      <c r="AC319" s="35">
        <v>0.10686066770303645</v>
      </c>
      <c r="AD319" s="34">
        <v>0.87160971596517089</v>
      </c>
      <c r="AE319" s="34">
        <v>0.22631554136206686</v>
      </c>
      <c r="AF319" s="34">
        <v>0.36684973527969084</v>
      </c>
      <c r="AG319" s="30">
        <v>259.12883525842716</v>
      </c>
      <c r="AH319" s="35">
        <v>3.1699999999999999E-2</v>
      </c>
      <c r="AI319" s="17">
        <v>1.0287070061912129</v>
      </c>
    </row>
    <row r="320" spans="1:35" x14ac:dyDescent="0.3">
      <c r="B320" s="1">
        <v>28.7</v>
      </c>
      <c r="C320" s="1">
        <v>2</v>
      </c>
      <c r="D320" s="4">
        <v>50.6</v>
      </c>
      <c r="E320" s="3">
        <v>2.8017146470593879</v>
      </c>
      <c r="F320" s="1">
        <v>38.200000000000003</v>
      </c>
      <c r="G320" s="1">
        <v>52.5</v>
      </c>
      <c r="H320" s="33">
        <v>143.36625380284787</v>
      </c>
      <c r="I320" s="41">
        <v>381</v>
      </c>
      <c r="J320" s="43">
        <v>328.5</v>
      </c>
      <c r="K320" s="30">
        <v>206</v>
      </c>
      <c r="L320" s="43">
        <v>183.75</v>
      </c>
      <c r="M320" s="3">
        <v>0.26</v>
      </c>
      <c r="N320" s="17">
        <v>0.18803361981907052</v>
      </c>
      <c r="O320" s="23">
        <v>275.8</v>
      </c>
      <c r="P320" s="23">
        <v>44.592124795873644</v>
      </c>
      <c r="Q320" s="24">
        <v>0.10686066770303645</v>
      </c>
      <c r="R320" s="17">
        <v>0.72320623007334817</v>
      </c>
      <c r="S320" s="3">
        <v>0.23504357802551876</v>
      </c>
      <c r="T320" s="23">
        <v>275.8</v>
      </c>
      <c r="U320" s="30">
        <v>79</v>
      </c>
      <c r="V320" s="35">
        <v>4.6065670362633239E-2</v>
      </c>
      <c r="W320" s="17">
        <f t="shared" si="8"/>
        <v>1.2835787698267167</v>
      </c>
      <c r="X320" s="17">
        <f t="shared" si="9"/>
        <v>0.47499999999999998</v>
      </c>
      <c r="Y320" s="34">
        <v>0.90401376163661062</v>
      </c>
      <c r="Z320" s="34">
        <v>0.21858354780577408</v>
      </c>
      <c r="AA320" s="30">
        <v>275.8</v>
      </c>
      <c r="AB320" s="30">
        <v>44.592124795873644</v>
      </c>
      <c r="AC320" s="35">
        <v>0.10686066770303645</v>
      </c>
      <c r="AD320" s="34">
        <v>0.84070595309913099</v>
      </c>
      <c r="AE320" s="34">
        <v>0.24087564876911222</v>
      </c>
      <c r="AF320" s="34">
        <v>0.41557101380352907</v>
      </c>
      <c r="AG320" s="30">
        <v>275.8</v>
      </c>
      <c r="AH320" s="35">
        <v>3.1699999999999999E-2</v>
      </c>
      <c r="AI320" s="17">
        <v>0.92644480295812393</v>
      </c>
    </row>
    <row r="321" spans="1:35" x14ac:dyDescent="0.3">
      <c r="A321" t="s">
        <v>82</v>
      </c>
      <c r="B321" s="1">
        <v>28.7</v>
      </c>
      <c r="C321" s="1">
        <v>2</v>
      </c>
      <c r="D321" s="4">
        <v>50.6</v>
      </c>
      <c r="E321" s="3">
        <v>2.524448068103379</v>
      </c>
      <c r="F321" s="1">
        <v>38.200000000000003</v>
      </c>
      <c r="G321" s="1">
        <v>52.5</v>
      </c>
      <c r="H321" s="33">
        <v>146.07134676739989</v>
      </c>
      <c r="I321" s="41">
        <v>381</v>
      </c>
      <c r="J321" s="43">
        <v>328.5</v>
      </c>
      <c r="K321" s="30">
        <v>207</v>
      </c>
      <c r="L321" s="43">
        <v>183.75</v>
      </c>
      <c r="M321" s="3">
        <v>0.17</v>
      </c>
      <c r="N321" s="17">
        <v>0.14185912001048881</v>
      </c>
      <c r="O321" s="23">
        <v>213.42811414487335</v>
      </c>
      <c r="P321" s="23">
        <v>40.795707998733043</v>
      </c>
      <c r="Q321" s="24">
        <v>0.10809111803939714</v>
      </c>
      <c r="R321" s="17">
        <v>0.83446541182640466</v>
      </c>
      <c r="S321" s="3">
        <v>0.17532460989147633</v>
      </c>
      <c r="T321" s="23">
        <v>213.42811414487335</v>
      </c>
      <c r="U321" s="30">
        <v>72</v>
      </c>
      <c r="V321" s="35">
        <v>4.6065670362633239E-2</v>
      </c>
      <c r="W321" s="17">
        <f t="shared" si="8"/>
        <v>1.2877837393946086</v>
      </c>
      <c r="X321" s="17">
        <f t="shared" si="9"/>
        <v>0.47198275862068967</v>
      </c>
      <c r="Y321" s="34">
        <v>1.031321234655743</v>
      </c>
      <c r="Z321" s="34">
        <v>0.16534871114949398</v>
      </c>
      <c r="AA321" s="30">
        <v>213.42811414487335</v>
      </c>
      <c r="AB321" s="30">
        <v>40.795707998733043</v>
      </c>
      <c r="AC321" s="35">
        <v>0.10809111803939714</v>
      </c>
      <c r="AD321" s="34">
        <v>0.97263947734996448</v>
      </c>
      <c r="AE321" s="34">
        <v>0.19633244723800777</v>
      </c>
      <c r="AF321" s="34">
        <v>0.30640868611757599</v>
      </c>
      <c r="AG321" s="30">
        <v>224.7985183431546</v>
      </c>
      <c r="AH321" s="35">
        <v>3.1699999999999999E-2</v>
      </c>
      <c r="AI321" s="17">
        <v>1.1548967484588692</v>
      </c>
    </row>
    <row r="322" spans="1:35" x14ac:dyDescent="0.3">
      <c r="B322" s="1">
        <v>28.7</v>
      </c>
      <c r="C322" s="1">
        <v>2</v>
      </c>
      <c r="D322" s="4">
        <v>50.6</v>
      </c>
      <c r="E322" s="3">
        <v>2.524448068103379</v>
      </c>
      <c r="F322" s="1">
        <v>38.200000000000003</v>
      </c>
      <c r="G322" s="1">
        <v>52.5</v>
      </c>
      <c r="H322" s="33">
        <v>146.07134676739989</v>
      </c>
      <c r="I322" s="41">
        <v>381</v>
      </c>
      <c r="J322" s="43">
        <v>328.5</v>
      </c>
      <c r="K322" s="30">
        <v>207</v>
      </c>
      <c r="L322" s="43">
        <v>183.75</v>
      </c>
      <c r="M322" s="3">
        <v>0.2</v>
      </c>
      <c r="N322" s="17">
        <v>0.16632972890339826</v>
      </c>
      <c r="O322" s="23">
        <v>246.02198910110286</v>
      </c>
      <c r="P322" s="23">
        <v>40.795707998733043</v>
      </c>
      <c r="Q322" s="24">
        <v>0.10809111803939714</v>
      </c>
      <c r="R322" s="17">
        <v>0.83164864451699128</v>
      </c>
      <c r="S322" s="3">
        <v>0.20892297403140542</v>
      </c>
      <c r="T322" s="23">
        <v>246.02198910110286</v>
      </c>
      <c r="U322" s="30">
        <v>72</v>
      </c>
      <c r="V322" s="35">
        <v>4.6065670362633239E-2</v>
      </c>
      <c r="W322" s="17">
        <f t="shared" si="8"/>
        <v>1.2877837393946086</v>
      </c>
      <c r="X322" s="17">
        <f t="shared" si="9"/>
        <v>0.47198275862068967</v>
      </c>
      <c r="Y322" s="34">
        <v>1.044614870157027</v>
      </c>
      <c r="Z322" s="34">
        <v>0.19387125972576283</v>
      </c>
      <c r="AA322" s="30">
        <v>246.02198910110286</v>
      </c>
      <c r="AB322" s="30">
        <v>40.795707998733043</v>
      </c>
      <c r="AC322" s="35">
        <v>0.10809111803939714</v>
      </c>
      <c r="AD322" s="34">
        <v>0.96935629862881412</v>
      </c>
      <c r="AE322" s="34">
        <v>0.22631554136206686</v>
      </c>
      <c r="AF322" s="34">
        <v>0.40714177866814372</v>
      </c>
      <c r="AG322" s="30">
        <v>259.12883525842716</v>
      </c>
      <c r="AH322" s="35">
        <v>3.1699999999999999E-2</v>
      </c>
      <c r="AI322" s="17">
        <v>1.1315777068103343</v>
      </c>
    </row>
    <row r="323" spans="1:35" x14ac:dyDescent="0.3">
      <c r="B323" s="1">
        <v>28.7</v>
      </c>
      <c r="C323" s="1">
        <v>2</v>
      </c>
      <c r="D323" s="4">
        <v>50.6</v>
      </c>
      <c r="E323" s="3">
        <v>2.524448068103379</v>
      </c>
      <c r="F323" s="1">
        <v>38.200000000000003</v>
      </c>
      <c r="G323" s="1">
        <v>52.5</v>
      </c>
      <c r="H323" s="33">
        <v>146.07134676739989</v>
      </c>
      <c r="I323" s="41">
        <v>381</v>
      </c>
      <c r="J323" s="43">
        <v>328.5</v>
      </c>
      <c r="K323" s="30">
        <v>207</v>
      </c>
      <c r="L323" s="43">
        <v>183.75</v>
      </c>
      <c r="M323" s="3">
        <v>0.24</v>
      </c>
      <c r="N323" s="17">
        <v>0.18868626243291151</v>
      </c>
      <c r="O323" s="23">
        <v>275.8</v>
      </c>
      <c r="P323" s="23">
        <v>40.795707998733043</v>
      </c>
      <c r="Q323" s="24">
        <v>0.10809111803939714</v>
      </c>
      <c r="R323" s="17">
        <v>0.78619276013713135</v>
      </c>
      <c r="S323" s="3">
        <v>0.23961869385261392</v>
      </c>
      <c r="T323" s="23">
        <v>275.8</v>
      </c>
      <c r="U323" s="30">
        <v>72</v>
      </c>
      <c r="V323" s="35">
        <v>4.6065670362633239E-2</v>
      </c>
      <c r="W323" s="17">
        <f t="shared" si="8"/>
        <v>1.2877837393946086</v>
      </c>
      <c r="X323" s="17">
        <f t="shared" si="9"/>
        <v>0.47198275862068967</v>
      </c>
      <c r="Y323" s="34">
        <v>0.99841122438589136</v>
      </c>
      <c r="Z323" s="34">
        <v>0.21992967602358099</v>
      </c>
      <c r="AA323" s="30">
        <v>275.8</v>
      </c>
      <c r="AB323" s="30">
        <v>40.795707998733043</v>
      </c>
      <c r="AC323" s="35">
        <v>0.10809111803939714</v>
      </c>
      <c r="AD323" s="34">
        <v>0.91637365009825411</v>
      </c>
      <c r="AE323" s="34">
        <v>0.24087564876911222</v>
      </c>
      <c r="AF323" s="34">
        <v>0.46121423965018032</v>
      </c>
      <c r="AG323" s="30">
        <v>275.8</v>
      </c>
      <c r="AH323" s="35">
        <v>3.1699999999999999E-2</v>
      </c>
      <c r="AI323" s="17">
        <v>1.0036485365379677</v>
      </c>
    </row>
    <row r="324" spans="1:35" x14ac:dyDescent="0.3">
      <c r="A324" t="s">
        <v>83</v>
      </c>
      <c r="B324" s="1">
        <v>32.299999999999997</v>
      </c>
      <c r="C324" s="1">
        <v>1</v>
      </c>
      <c r="D324" s="4">
        <v>60</v>
      </c>
      <c r="E324" s="3">
        <v>2.5382184533279259</v>
      </c>
      <c r="F324" s="1">
        <v>38.299999999999997</v>
      </c>
      <c r="G324" s="1">
        <v>54.4</v>
      </c>
      <c r="H324" s="33">
        <v>122.83883123921107</v>
      </c>
      <c r="I324" s="41">
        <v>381</v>
      </c>
      <c r="J324" s="43">
        <v>326.60000000000002</v>
      </c>
      <c r="K324" s="30">
        <v>201</v>
      </c>
      <c r="L324" s="43">
        <v>190.4</v>
      </c>
      <c r="M324" s="3">
        <v>0.17</v>
      </c>
      <c r="N324" s="17">
        <v>0.14970058886743554</v>
      </c>
      <c r="O324" s="23">
        <v>170.80329915468195</v>
      </c>
      <c r="P324" s="23">
        <v>58.132703956962601</v>
      </c>
      <c r="Q324" s="24">
        <v>6.2449543908879294E-2</v>
      </c>
      <c r="R324" s="17">
        <v>0.88059169922020897</v>
      </c>
      <c r="S324" s="3">
        <v>0.14301625345901725</v>
      </c>
      <c r="T324" s="23">
        <v>170.80329915468195</v>
      </c>
      <c r="U324" s="30">
        <v>107</v>
      </c>
      <c r="V324" s="35">
        <v>2.8224872626215838E-2</v>
      </c>
      <c r="W324" s="17">
        <f t="shared" ref="W324:W343" si="10">(I324-H324)/(J324-H324)</f>
        <v>1.2669792302961531</v>
      </c>
      <c r="X324" s="17">
        <f t="shared" ref="X324:X343" si="11">0.5*(1+(I324-K324-L324)/(I324-K324))</f>
        <v>0.47111111111111109</v>
      </c>
      <c r="Y324" s="34">
        <v>0.84127207917068969</v>
      </c>
      <c r="Z324" s="34">
        <v>0.14825670019601386</v>
      </c>
      <c r="AA324" s="30">
        <v>170.80329915468195</v>
      </c>
      <c r="AB324" s="30">
        <v>58.132703956962601</v>
      </c>
      <c r="AC324" s="35">
        <v>6.2449543908879294E-2</v>
      </c>
      <c r="AD324" s="34">
        <v>0.87209823644714035</v>
      </c>
      <c r="AE324" s="34">
        <v>0.22847111041694371</v>
      </c>
      <c r="AF324" s="34">
        <v>0.21773757789137557</v>
      </c>
      <c r="AG324" s="30">
        <v>179.11442665492356</v>
      </c>
      <c r="AH324" s="35">
        <v>2.2599999999999999E-2</v>
      </c>
      <c r="AI324" s="17">
        <v>1.2808092817139738</v>
      </c>
    </row>
    <row r="325" spans="1:35" x14ac:dyDescent="0.3">
      <c r="B325" s="1">
        <v>32.299999999999997</v>
      </c>
      <c r="C325" s="1">
        <v>1</v>
      </c>
      <c r="D325" s="4">
        <v>60</v>
      </c>
      <c r="E325" s="3">
        <v>2.5382184533279259</v>
      </c>
      <c r="F325" s="1">
        <v>38.299999999999997</v>
      </c>
      <c r="G325" s="1">
        <v>54.4</v>
      </c>
      <c r="H325" s="33">
        <v>122.83883123921107</v>
      </c>
      <c r="I325" s="41">
        <v>381</v>
      </c>
      <c r="J325" s="43">
        <v>326.60000000000002</v>
      </c>
      <c r="K325" s="30">
        <v>201</v>
      </c>
      <c r="L325" s="43">
        <v>190.4</v>
      </c>
      <c r="M325" s="3">
        <v>0.23</v>
      </c>
      <c r="N325" s="17">
        <v>0.1931367068969474</v>
      </c>
      <c r="O325" s="23">
        <v>210.24200084790894</v>
      </c>
      <c r="P325" s="23">
        <v>58.132703956962601</v>
      </c>
      <c r="Q325" s="24">
        <v>6.2449543908879294E-2</v>
      </c>
      <c r="R325" s="17">
        <v>0.83972481259542342</v>
      </c>
      <c r="S325" s="3">
        <v>0.19605062531885634</v>
      </c>
      <c r="T325" s="23">
        <v>210.24200084790894</v>
      </c>
      <c r="U325" s="30">
        <v>107</v>
      </c>
      <c r="V325" s="35">
        <v>2.8224872626215838E-2</v>
      </c>
      <c r="W325" s="17">
        <f t="shared" si="10"/>
        <v>1.2669792302961531</v>
      </c>
      <c r="X325" s="17">
        <f t="shared" si="11"/>
        <v>0.47111111111111109</v>
      </c>
      <c r="Y325" s="34">
        <v>0.85239402312546231</v>
      </c>
      <c r="Z325" s="34">
        <v>0.19127386918044958</v>
      </c>
      <c r="AA325" s="30">
        <v>210.24200084790894</v>
      </c>
      <c r="AB325" s="30">
        <v>58.132703956962601</v>
      </c>
      <c r="AC325" s="35">
        <v>6.2449543908879294E-2</v>
      </c>
      <c r="AD325" s="34">
        <v>0.83162551817586772</v>
      </c>
      <c r="AE325" s="34">
        <v>0.28122538398102775</v>
      </c>
      <c r="AF325" s="34">
        <v>0.32989811911981998</v>
      </c>
      <c r="AG325" s="30">
        <v>220.4721783889789</v>
      </c>
      <c r="AH325" s="35">
        <v>2.2599999999999999E-2</v>
      </c>
      <c r="AI325" s="17">
        <v>1.222719060787077</v>
      </c>
    </row>
    <row r="326" spans="1:35" x14ac:dyDescent="0.3">
      <c r="B326" s="1">
        <v>32.299999999999997</v>
      </c>
      <c r="C326" s="1">
        <v>1</v>
      </c>
      <c r="D326" s="4">
        <v>60</v>
      </c>
      <c r="E326" s="3">
        <v>2.5382184533279259</v>
      </c>
      <c r="F326" s="1">
        <v>38.299999999999997</v>
      </c>
      <c r="G326" s="1">
        <v>54.4</v>
      </c>
      <c r="H326" s="33">
        <v>122.83883123921107</v>
      </c>
      <c r="I326" s="41">
        <v>381</v>
      </c>
      <c r="J326" s="43">
        <v>326.60000000000002</v>
      </c>
      <c r="K326" s="30">
        <v>201</v>
      </c>
      <c r="L326" s="43">
        <v>190.4</v>
      </c>
      <c r="M326" s="3">
        <v>0.27</v>
      </c>
      <c r="N326" s="17">
        <v>0.23156717563681278</v>
      </c>
      <c r="O326" s="23">
        <v>245.13572204860782</v>
      </c>
      <c r="P326" s="23">
        <v>58.132703956962601</v>
      </c>
      <c r="Q326" s="24">
        <v>6.2449543908879294E-2</v>
      </c>
      <c r="R326" s="17">
        <v>0.85765620606226955</v>
      </c>
      <c r="S326" s="3">
        <v>0.2429732294178959</v>
      </c>
      <c r="T326" s="23">
        <v>245.13572204860782</v>
      </c>
      <c r="U326" s="30">
        <v>107</v>
      </c>
      <c r="V326" s="35">
        <v>2.8224872626215838E-2</v>
      </c>
      <c r="W326" s="17">
        <f t="shared" si="10"/>
        <v>1.2669792302961531</v>
      </c>
      <c r="X326" s="17">
        <f t="shared" si="11"/>
        <v>0.47111111111111109</v>
      </c>
      <c r="Y326" s="34">
        <v>0.89990084969591067</v>
      </c>
      <c r="Z326" s="34">
        <v>0.22933366924846324</v>
      </c>
      <c r="AA326" s="30">
        <v>245.13572204860782</v>
      </c>
      <c r="AB326" s="30">
        <v>58.132703956962601</v>
      </c>
      <c r="AC326" s="35">
        <v>6.2449543908879294E-2</v>
      </c>
      <c r="AD326" s="34">
        <v>0.84938396017949347</v>
      </c>
      <c r="AE326" s="34">
        <v>0.32790016877006856</v>
      </c>
      <c r="AF326" s="34">
        <v>0.44849136211894347</v>
      </c>
      <c r="AG326" s="30">
        <v>257.06379516483446</v>
      </c>
      <c r="AH326" s="35">
        <v>2.2599999999999999E-2</v>
      </c>
      <c r="AI326" s="17">
        <v>1.2144450695187723</v>
      </c>
    </row>
    <row r="327" spans="1:35" x14ac:dyDescent="0.3">
      <c r="B327" s="1">
        <v>32.299999999999997</v>
      </c>
      <c r="C327" s="1">
        <v>1</v>
      </c>
      <c r="D327" s="4">
        <v>60</v>
      </c>
      <c r="E327" s="3">
        <v>2.5382184533279259</v>
      </c>
      <c r="F327" s="1">
        <v>38.299999999999997</v>
      </c>
      <c r="G327" s="1">
        <v>54.4</v>
      </c>
      <c r="H327" s="33">
        <v>122.83883123921107</v>
      </c>
      <c r="I327" s="41">
        <v>381</v>
      </c>
      <c r="J327" s="43">
        <v>326.60000000000002</v>
      </c>
      <c r="K327" s="30">
        <v>201</v>
      </c>
      <c r="L327" s="43">
        <v>190.4</v>
      </c>
      <c r="M327" s="3">
        <v>0.31</v>
      </c>
      <c r="N327" s="17">
        <v>0.25901751045100241</v>
      </c>
      <c r="O327" s="23">
        <v>270.05980862053565</v>
      </c>
      <c r="P327" s="23">
        <v>58.132703956962601</v>
      </c>
      <c r="Q327" s="24">
        <v>6.2449543908879294E-2</v>
      </c>
      <c r="R327" s="17">
        <v>0.83554035629355616</v>
      </c>
      <c r="S327" s="3">
        <v>0.27648937520292433</v>
      </c>
      <c r="T327" s="23">
        <v>270.05980862053565</v>
      </c>
      <c r="U327" s="30">
        <v>107</v>
      </c>
      <c r="V327" s="35">
        <v>2.8224872626215838E-2</v>
      </c>
      <c r="W327" s="17">
        <f t="shared" si="10"/>
        <v>1.2669792302961531</v>
      </c>
      <c r="X327" s="17">
        <f t="shared" si="11"/>
        <v>0.47111111111111109</v>
      </c>
      <c r="Y327" s="34">
        <v>0.89190121033201397</v>
      </c>
      <c r="Z327" s="34">
        <v>0.25651924072561588</v>
      </c>
      <c r="AA327" s="30">
        <v>270.05980862053565</v>
      </c>
      <c r="AB327" s="30">
        <v>58.132703956962601</v>
      </c>
      <c r="AC327" s="35">
        <v>6.2449543908879294E-2</v>
      </c>
      <c r="AD327" s="34">
        <v>0.82748142169553507</v>
      </c>
      <c r="AE327" s="34">
        <v>0.35179931304132606</v>
      </c>
      <c r="AF327" s="34">
        <v>0.51625084647407782</v>
      </c>
      <c r="AG327" s="30">
        <v>275.8</v>
      </c>
      <c r="AH327" s="35">
        <v>2.2599999999999999E-2</v>
      </c>
      <c r="AI327" s="17">
        <v>1.134836493681697</v>
      </c>
    </row>
    <row r="328" spans="1:35" x14ac:dyDescent="0.3">
      <c r="B328" s="1">
        <v>32.299999999999997</v>
      </c>
      <c r="C328" s="1">
        <v>1</v>
      </c>
      <c r="D328" s="4">
        <v>60</v>
      </c>
      <c r="E328" s="3">
        <v>2.5382184533279259</v>
      </c>
      <c r="F328" s="1">
        <v>38.299999999999997</v>
      </c>
      <c r="G328" s="1">
        <v>54.4</v>
      </c>
      <c r="H328" s="33">
        <v>122.83883123921107</v>
      </c>
      <c r="I328" s="41">
        <v>381</v>
      </c>
      <c r="J328" s="43">
        <v>326.60000000000002</v>
      </c>
      <c r="K328" s="30">
        <v>201</v>
      </c>
      <c r="L328" s="43">
        <v>190.4</v>
      </c>
      <c r="M328" s="3">
        <v>0.35</v>
      </c>
      <c r="N328" s="17">
        <v>0.26533951446142395</v>
      </c>
      <c r="O328" s="23">
        <v>275.8</v>
      </c>
      <c r="P328" s="23">
        <v>58.132703956962601</v>
      </c>
      <c r="Q328" s="24">
        <v>6.2449543908879294E-2</v>
      </c>
      <c r="R328" s="17">
        <v>0.75811289846121133</v>
      </c>
      <c r="S328" s="3">
        <v>0.28420837788544506</v>
      </c>
      <c r="T328" s="23">
        <v>275.8</v>
      </c>
      <c r="U328" s="30">
        <v>107</v>
      </c>
      <c r="V328" s="35">
        <v>2.8224872626215838E-2</v>
      </c>
      <c r="W328" s="17">
        <f t="shared" si="10"/>
        <v>1.2669792302961531</v>
      </c>
      <c r="X328" s="17">
        <f t="shared" si="11"/>
        <v>0.47111111111111109</v>
      </c>
      <c r="Y328" s="34">
        <v>0.8120239368155574</v>
      </c>
      <c r="Z328" s="34">
        <v>0.26278026788858222</v>
      </c>
      <c r="AA328" s="30">
        <v>275.8</v>
      </c>
      <c r="AB328" s="30">
        <v>58.132703956962601</v>
      </c>
      <c r="AC328" s="35">
        <v>6.2449543908879294E-2</v>
      </c>
      <c r="AD328" s="34">
        <v>0.7508007653959492</v>
      </c>
      <c r="AE328" s="34">
        <v>0.35179931304132606</v>
      </c>
      <c r="AF328" s="34">
        <v>0.51625084647407782</v>
      </c>
      <c r="AG328" s="30">
        <v>275.8</v>
      </c>
      <c r="AH328" s="35">
        <v>2.2599999999999999E-2</v>
      </c>
      <c r="AI328" s="17">
        <v>1.0051408944037887</v>
      </c>
    </row>
    <row r="329" spans="1:35" x14ac:dyDescent="0.3">
      <c r="A329" t="s">
        <v>84</v>
      </c>
      <c r="B329" s="1">
        <v>32.299999999999997</v>
      </c>
      <c r="C329" s="1">
        <v>1</v>
      </c>
      <c r="D329" s="4">
        <v>60</v>
      </c>
      <c r="E329" s="3">
        <v>2.8108695189494299</v>
      </c>
      <c r="F329" s="1">
        <v>38.299999999999997</v>
      </c>
      <c r="G329" s="1">
        <v>54.4</v>
      </c>
      <c r="H329" s="33">
        <v>120.44611657620311</v>
      </c>
      <c r="I329" s="41">
        <v>381</v>
      </c>
      <c r="J329" s="43">
        <v>326.60000000000002</v>
      </c>
      <c r="K329" s="30">
        <v>200</v>
      </c>
      <c r="L329" s="43">
        <v>190.4</v>
      </c>
      <c r="M329" s="3">
        <v>0.19</v>
      </c>
      <c r="N329" s="17">
        <v>0.1462902442091783</v>
      </c>
      <c r="O329" s="23">
        <v>170.32772841920183</v>
      </c>
      <c r="P329" s="23">
        <v>63.831146787425304</v>
      </c>
      <c r="Q329" s="24">
        <v>6.1876058158272039E-2</v>
      </c>
      <c r="R329" s="17">
        <v>0.76994865373251731</v>
      </c>
      <c r="S329" s="3">
        <v>0.13376906376903119</v>
      </c>
      <c r="T329" s="23">
        <v>170.32772841920183</v>
      </c>
      <c r="U329" s="30">
        <v>118</v>
      </c>
      <c r="V329" s="35">
        <v>2.8224872626215838E-2</v>
      </c>
      <c r="W329" s="17">
        <f t="shared" si="10"/>
        <v>1.2638805493087326</v>
      </c>
      <c r="X329" s="17">
        <f t="shared" si="11"/>
        <v>0.47403314917127071</v>
      </c>
      <c r="Y329" s="34">
        <v>0.70404770404753259</v>
      </c>
      <c r="Z329" s="34">
        <v>0.14454665868466784</v>
      </c>
      <c r="AA329" s="30">
        <v>170.32772841920183</v>
      </c>
      <c r="AB329" s="30">
        <v>63.831146787425304</v>
      </c>
      <c r="AC329" s="35">
        <v>6.1876058158272039E-2</v>
      </c>
      <c r="AD329" s="34">
        <v>0.76077188781404126</v>
      </c>
      <c r="AE329" s="34">
        <v>0.22847111041694371</v>
      </c>
      <c r="AF329" s="34">
        <v>0.19661728673673062</v>
      </c>
      <c r="AG329" s="30">
        <v>179.11442665492356</v>
      </c>
      <c r="AH329" s="35">
        <v>2.2599999999999999E-2</v>
      </c>
      <c r="AI329" s="17">
        <v>1.0348278249301612</v>
      </c>
    </row>
    <row r="330" spans="1:35" x14ac:dyDescent="0.3">
      <c r="B330" s="1">
        <v>32.299999999999997</v>
      </c>
      <c r="C330" s="1">
        <v>1</v>
      </c>
      <c r="D330" s="4">
        <v>60</v>
      </c>
      <c r="E330" s="3">
        <v>2.8108695189494299</v>
      </c>
      <c r="F330" s="1">
        <v>38.299999999999997</v>
      </c>
      <c r="G330" s="1">
        <v>54.4</v>
      </c>
      <c r="H330" s="33">
        <v>120.44611657620311</v>
      </c>
      <c r="I330" s="41">
        <v>381</v>
      </c>
      <c r="J330" s="43">
        <v>326.60000000000002</v>
      </c>
      <c r="K330" s="30">
        <v>200</v>
      </c>
      <c r="L330" s="43">
        <v>190.4</v>
      </c>
      <c r="M330" s="3">
        <v>0.24</v>
      </c>
      <c r="N330" s="17">
        <v>0.18986727219110969</v>
      </c>
      <c r="O330" s="23">
        <v>209.6566202172836</v>
      </c>
      <c r="P330" s="23">
        <v>63.831146787425304</v>
      </c>
      <c r="Q330" s="24">
        <v>6.1876058158272039E-2</v>
      </c>
      <c r="R330" s="17">
        <v>0.79111363412962377</v>
      </c>
      <c r="S330" s="3">
        <v>0.18662608236496789</v>
      </c>
      <c r="T330" s="23">
        <v>209.6566202172836</v>
      </c>
      <c r="U330" s="30">
        <v>118</v>
      </c>
      <c r="V330" s="35">
        <v>2.8224872626215838E-2</v>
      </c>
      <c r="W330" s="17">
        <f t="shared" si="10"/>
        <v>1.2638805493087326</v>
      </c>
      <c r="X330" s="17">
        <f t="shared" si="11"/>
        <v>0.47403314917127071</v>
      </c>
      <c r="Y330" s="34">
        <v>0.77760867652069954</v>
      </c>
      <c r="Z330" s="34">
        <v>0.18760430633743774</v>
      </c>
      <c r="AA330" s="30">
        <v>209.6566202172836</v>
      </c>
      <c r="AB330" s="30">
        <v>63.831146787425304</v>
      </c>
      <c r="AC330" s="35">
        <v>6.1876058158272039E-2</v>
      </c>
      <c r="AD330" s="34">
        <v>0.78168460973932397</v>
      </c>
      <c r="AE330" s="34">
        <v>0.28122538398102775</v>
      </c>
      <c r="AF330" s="34">
        <v>0.29789838625489262</v>
      </c>
      <c r="AG330" s="30">
        <v>220.4721783889789</v>
      </c>
      <c r="AH330" s="35">
        <v>2.2599999999999999E-2</v>
      </c>
      <c r="AI330" s="17">
        <v>1.1717724332542823</v>
      </c>
    </row>
    <row r="331" spans="1:35" x14ac:dyDescent="0.3">
      <c r="B331" s="1">
        <v>32.299999999999997</v>
      </c>
      <c r="C331" s="1">
        <v>1</v>
      </c>
      <c r="D331" s="4">
        <v>60</v>
      </c>
      <c r="E331" s="3">
        <v>2.8108695189494299</v>
      </c>
      <c r="F331" s="1">
        <v>38.299999999999997</v>
      </c>
      <c r="G331" s="1">
        <v>54.4</v>
      </c>
      <c r="H331" s="33">
        <v>120.44611657620311</v>
      </c>
      <c r="I331" s="41">
        <v>381</v>
      </c>
      <c r="J331" s="43">
        <v>326.60000000000002</v>
      </c>
      <c r="K331" s="30">
        <v>200</v>
      </c>
      <c r="L331" s="43">
        <v>190.4</v>
      </c>
      <c r="M331" s="3">
        <v>0.28999999999999998</v>
      </c>
      <c r="N331" s="17">
        <v>0.22842241218999326</v>
      </c>
      <c r="O331" s="23">
        <v>244.45318619476859</v>
      </c>
      <c r="P331" s="23">
        <v>63.831146787425304</v>
      </c>
      <c r="Q331" s="24">
        <v>6.1876058158272039E-2</v>
      </c>
      <c r="R331" s="17">
        <v>0.78766349031032168</v>
      </c>
      <c r="S331" s="3">
        <v>0.23339177168033196</v>
      </c>
      <c r="T331" s="23">
        <v>244.45318619476859</v>
      </c>
      <c r="U331" s="30">
        <v>118</v>
      </c>
      <c r="V331" s="35">
        <v>2.8224872626215838E-2</v>
      </c>
      <c r="W331" s="17">
        <f t="shared" si="10"/>
        <v>1.2638805493087326</v>
      </c>
      <c r="X331" s="17">
        <f t="shared" si="11"/>
        <v>0.47403314917127071</v>
      </c>
      <c r="Y331" s="34">
        <v>0.8047992126907999</v>
      </c>
      <c r="Z331" s="34">
        <v>0.22569992024583641</v>
      </c>
      <c r="AA331" s="30">
        <v>244.45318619476859</v>
      </c>
      <c r="AB331" s="30">
        <v>63.831146787425304</v>
      </c>
      <c r="AC331" s="35">
        <v>6.1876058158272039E-2</v>
      </c>
      <c r="AD331" s="34">
        <v>0.77827558705460831</v>
      </c>
      <c r="AE331" s="34">
        <v>0.32790016877006856</v>
      </c>
      <c r="AF331" s="34">
        <v>0.40498822297306353</v>
      </c>
      <c r="AG331" s="30">
        <v>257.06379516483446</v>
      </c>
      <c r="AH331" s="35">
        <v>2.2599999999999999E-2</v>
      </c>
      <c r="AI331" s="17">
        <v>1.1306902371381675</v>
      </c>
    </row>
    <row r="332" spans="1:35" x14ac:dyDescent="0.3">
      <c r="B332" s="1">
        <v>32.299999999999997</v>
      </c>
      <c r="C332" s="1">
        <v>1</v>
      </c>
      <c r="D332" s="4">
        <v>60</v>
      </c>
      <c r="E332" s="3">
        <v>2.8108695189494299</v>
      </c>
      <c r="F332" s="1">
        <v>38.299999999999997</v>
      </c>
      <c r="G332" s="1">
        <v>54.4</v>
      </c>
      <c r="H332" s="33">
        <v>120.44611657620311</v>
      </c>
      <c r="I332" s="41">
        <v>381</v>
      </c>
      <c r="J332" s="43">
        <v>326.60000000000002</v>
      </c>
      <c r="K332" s="30">
        <v>200</v>
      </c>
      <c r="L332" s="43">
        <v>190.4</v>
      </c>
      <c r="M332" s="3">
        <v>0.36</v>
      </c>
      <c r="N332" s="17">
        <v>0.2559617979034815</v>
      </c>
      <c r="O332" s="23">
        <v>269.30787617868646</v>
      </c>
      <c r="P332" s="23">
        <v>63.831146787425304</v>
      </c>
      <c r="Q332" s="24">
        <v>6.1876058158272039E-2</v>
      </c>
      <c r="R332" s="17">
        <v>0.71100499417633756</v>
      </c>
      <c r="S332" s="3">
        <v>0.26679583547702057</v>
      </c>
      <c r="T332" s="23">
        <v>269.30787617868646</v>
      </c>
      <c r="U332" s="30">
        <v>118</v>
      </c>
      <c r="V332" s="35">
        <v>2.8224872626215838E-2</v>
      </c>
      <c r="W332" s="17">
        <f t="shared" si="10"/>
        <v>1.2638805493087326</v>
      </c>
      <c r="X332" s="17">
        <f t="shared" si="11"/>
        <v>0.47403314917127071</v>
      </c>
      <c r="Y332" s="34">
        <v>0.74109954299172387</v>
      </c>
      <c r="Z332" s="34">
        <v>0.25291107303754973</v>
      </c>
      <c r="AA332" s="30">
        <v>269.30787617868646</v>
      </c>
      <c r="AB332" s="30">
        <v>63.831146787425304</v>
      </c>
      <c r="AC332" s="35">
        <v>6.1876058158272039E-2</v>
      </c>
      <c r="AD332" s="34">
        <v>0.70253075843763813</v>
      </c>
      <c r="AE332" s="34">
        <v>0.35179931304132606</v>
      </c>
      <c r="AF332" s="34">
        <v>0.46617511635915998</v>
      </c>
      <c r="AG332" s="30">
        <v>275.8</v>
      </c>
      <c r="AH332" s="35">
        <v>2.2599999999999999E-2</v>
      </c>
      <c r="AI332" s="17">
        <v>0.97722031400368348</v>
      </c>
    </row>
    <row r="333" spans="1:35" x14ac:dyDescent="0.3">
      <c r="B333" s="1">
        <v>32.299999999999997</v>
      </c>
      <c r="C333" s="1">
        <v>1</v>
      </c>
      <c r="D333" s="4">
        <v>60</v>
      </c>
      <c r="E333" s="3">
        <v>2.8108695189494299</v>
      </c>
      <c r="F333" s="1">
        <v>38.299999999999997</v>
      </c>
      <c r="G333" s="1">
        <v>54.4</v>
      </c>
      <c r="H333" s="33">
        <v>120.44611657620311</v>
      </c>
      <c r="I333" s="41">
        <v>381</v>
      </c>
      <c r="J333" s="43">
        <v>326.60000000000002</v>
      </c>
      <c r="K333" s="30">
        <v>200</v>
      </c>
      <c r="L333" s="43">
        <v>190.4</v>
      </c>
      <c r="M333" s="3">
        <v>0.42</v>
      </c>
      <c r="N333" s="17">
        <v>0.26315517276072437</v>
      </c>
      <c r="O333" s="23">
        <v>275.8</v>
      </c>
      <c r="P333" s="23">
        <v>63.831146787425304</v>
      </c>
      <c r="Q333" s="24">
        <v>6.1876058158272039E-2</v>
      </c>
      <c r="R333" s="17">
        <v>0.62655993514458186</v>
      </c>
      <c r="S333" s="3">
        <v>0.27552108284254723</v>
      </c>
      <c r="T333" s="23">
        <v>275.8</v>
      </c>
      <c r="U333" s="30">
        <v>118</v>
      </c>
      <c r="V333" s="35">
        <v>2.8224872626215838E-2</v>
      </c>
      <c r="W333" s="17">
        <f t="shared" si="10"/>
        <v>1.2638805493087326</v>
      </c>
      <c r="X333" s="17">
        <f t="shared" si="11"/>
        <v>0.47403314917127071</v>
      </c>
      <c r="Y333" s="34">
        <v>0.65600257819654106</v>
      </c>
      <c r="Z333" s="34">
        <v>0.26001871241501895</v>
      </c>
      <c r="AA333" s="30">
        <v>275.8</v>
      </c>
      <c r="AB333" s="30">
        <v>63.831146787425304</v>
      </c>
      <c r="AC333" s="35">
        <v>6.1876058158272039E-2</v>
      </c>
      <c r="AD333" s="34">
        <v>0.61909217241671177</v>
      </c>
      <c r="AE333" s="34">
        <v>0.35179931304132606</v>
      </c>
      <c r="AF333" s="34">
        <v>0.46617511635915998</v>
      </c>
      <c r="AG333" s="30">
        <v>275.8</v>
      </c>
      <c r="AH333" s="35">
        <v>2.2599999999999999E-2</v>
      </c>
      <c r="AI333" s="17">
        <v>0.83761741200315731</v>
      </c>
    </row>
    <row r="334" spans="1:35" x14ac:dyDescent="0.3">
      <c r="A334" t="s">
        <v>85</v>
      </c>
      <c r="B334" s="1">
        <v>28.7</v>
      </c>
      <c r="C334" s="1">
        <v>2</v>
      </c>
      <c r="D334" s="4">
        <v>50.6</v>
      </c>
      <c r="E334" s="3">
        <v>2.5765786179080412</v>
      </c>
      <c r="F334" s="1">
        <v>38</v>
      </c>
      <c r="G334" s="1">
        <v>52.3</v>
      </c>
      <c r="H334" s="33">
        <v>196.9266161393364</v>
      </c>
      <c r="I334" s="41">
        <v>584.20000000000005</v>
      </c>
      <c r="J334" s="43">
        <v>531.90000000000009</v>
      </c>
      <c r="K334" s="30">
        <v>311</v>
      </c>
      <c r="L334" s="43">
        <v>183.05</v>
      </c>
      <c r="M334" s="3">
        <v>0.18</v>
      </c>
      <c r="N334" s="17">
        <v>0.14727937002686645</v>
      </c>
      <c r="O334" s="23">
        <v>183.23030547751344</v>
      </c>
      <c r="P334" s="23">
        <v>56.914849504467107</v>
      </c>
      <c r="Q334" s="24">
        <v>6.5570477718494391E-2</v>
      </c>
      <c r="R334" s="17">
        <v>0.8182187223714803</v>
      </c>
      <c r="S334" s="3">
        <v>0.14859881244269194</v>
      </c>
      <c r="T334" s="23">
        <v>183.23030547751344</v>
      </c>
      <c r="U334" s="30">
        <v>73</v>
      </c>
      <c r="V334" s="35">
        <v>4.6241829713924383E-2</v>
      </c>
      <c r="W334" s="17">
        <f t="shared" si="10"/>
        <v>1.1561318078386633</v>
      </c>
      <c r="X334" s="17">
        <f t="shared" si="11"/>
        <v>0.66498901903367502</v>
      </c>
      <c r="Y334" s="34">
        <v>0.8255489580149552</v>
      </c>
      <c r="Z334" s="34">
        <v>0.15177118672558929</v>
      </c>
      <c r="AA334" s="30">
        <v>183.23030547751344</v>
      </c>
      <c r="AB334" s="30">
        <v>56.914849504467107</v>
      </c>
      <c r="AC334" s="35">
        <v>6.5570477718494391E-2</v>
      </c>
      <c r="AD334" s="34">
        <v>0.84317325958660716</v>
      </c>
      <c r="AE334" s="34">
        <v>0.16772641499721716</v>
      </c>
      <c r="AF334" s="34">
        <v>0.21934168126914827</v>
      </c>
      <c r="AG334" s="30">
        <v>192.15069998643199</v>
      </c>
      <c r="AH334" s="35">
        <v>3.1699999999999999E-2</v>
      </c>
      <c r="AI334" s="17">
        <v>0.93181341665120643</v>
      </c>
    </row>
    <row r="335" spans="1:35" x14ac:dyDescent="0.3">
      <c r="B335" s="1">
        <v>28.7</v>
      </c>
      <c r="C335" s="1">
        <v>2</v>
      </c>
      <c r="D335" s="4">
        <v>50.6</v>
      </c>
      <c r="E335" s="3">
        <v>2.5765786179080412</v>
      </c>
      <c r="F335" s="1">
        <v>38</v>
      </c>
      <c r="G335" s="1">
        <v>52.3</v>
      </c>
      <c r="H335" s="33">
        <v>196.9266161393364</v>
      </c>
      <c r="I335" s="41">
        <v>584.20000000000005</v>
      </c>
      <c r="J335" s="43">
        <v>531.90000000000009</v>
      </c>
      <c r="K335" s="30">
        <v>311</v>
      </c>
      <c r="L335" s="43">
        <v>183.05</v>
      </c>
      <c r="M335" s="3">
        <v>0.22</v>
      </c>
      <c r="N335" s="17">
        <v>0.18349626769646762</v>
      </c>
      <c r="O335" s="23">
        <v>219.890332297519</v>
      </c>
      <c r="P335" s="23">
        <v>56.914849504467107</v>
      </c>
      <c r="Q335" s="24">
        <v>6.5570477718494391E-2</v>
      </c>
      <c r="R335" s="17">
        <v>0.8340739440748528</v>
      </c>
      <c r="S335" s="3">
        <v>0.18772668752404406</v>
      </c>
      <c r="T335" s="23">
        <v>219.890332297519</v>
      </c>
      <c r="U335" s="30">
        <v>73</v>
      </c>
      <c r="V335" s="35">
        <v>4.6241829713924383E-2</v>
      </c>
      <c r="W335" s="17">
        <f t="shared" si="10"/>
        <v>1.1561318078386633</v>
      </c>
      <c r="X335" s="17">
        <f t="shared" si="11"/>
        <v>0.66498901903367502</v>
      </c>
      <c r="Y335" s="34">
        <v>0.85330312510929118</v>
      </c>
      <c r="Z335" s="34">
        <v>0.18909264958784833</v>
      </c>
      <c r="AA335" s="30">
        <v>219.890332297519</v>
      </c>
      <c r="AB335" s="30">
        <v>56.914849504467107</v>
      </c>
      <c r="AC335" s="35">
        <v>6.5570477718494391E-2</v>
      </c>
      <c r="AD335" s="34">
        <v>0.85951204358112876</v>
      </c>
      <c r="AE335" s="34">
        <v>0.2012844820221939</v>
      </c>
      <c r="AF335" s="34">
        <v>0.315892145780101</v>
      </c>
      <c r="AG335" s="30">
        <v>230.59548561633929</v>
      </c>
      <c r="AH335" s="35">
        <v>3.1699999999999999E-2</v>
      </c>
      <c r="AI335" s="17">
        <v>0.91492946373724504</v>
      </c>
    </row>
    <row r="336" spans="1:35" x14ac:dyDescent="0.3">
      <c r="B336" s="1">
        <v>28.7</v>
      </c>
      <c r="C336" s="1">
        <v>2</v>
      </c>
      <c r="D336" s="4">
        <v>50.6</v>
      </c>
      <c r="E336" s="3">
        <v>2.5765786179080412</v>
      </c>
      <c r="F336" s="1">
        <v>38</v>
      </c>
      <c r="G336" s="1">
        <v>52.3</v>
      </c>
      <c r="H336" s="33">
        <v>196.9266161393364</v>
      </c>
      <c r="I336" s="41">
        <v>584.20000000000005</v>
      </c>
      <c r="J336" s="43">
        <v>531.90000000000009</v>
      </c>
      <c r="K336" s="30">
        <v>311</v>
      </c>
      <c r="L336" s="43">
        <v>183.05</v>
      </c>
      <c r="M336" s="3">
        <v>0.27</v>
      </c>
      <c r="N336" s="17">
        <v>0.2114350173273028</v>
      </c>
      <c r="O336" s="23">
        <v>248.170924415809</v>
      </c>
      <c r="P336" s="23">
        <v>56.914849504467107</v>
      </c>
      <c r="Q336" s="24">
        <v>6.5570477718494391E-2</v>
      </c>
      <c r="R336" s="17">
        <v>0.78309265676778805</v>
      </c>
      <c r="S336" s="3">
        <v>0.21791104830108718</v>
      </c>
      <c r="T336" s="23">
        <v>248.170924415809</v>
      </c>
      <c r="U336" s="30">
        <v>73</v>
      </c>
      <c r="V336" s="35">
        <v>4.6241829713924383E-2</v>
      </c>
      <c r="W336" s="17">
        <f t="shared" si="10"/>
        <v>1.1561318078386633</v>
      </c>
      <c r="X336" s="17">
        <f t="shared" si="11"/>
        <v>0.66498901903367502</v>
      </c>
      <c r="Y336" s="34">
        <v>0.80707795667069315</v>
      </c>
      <c r="Z336" s="34">
        <v>0.21788349236730525</v>
      </c>
      <c r="AA336" s="30">
        <v>248.170924415809</v>
      </c>
      <c r="AB336" s="30">
        <v>56.914849504467107</v>
      </c>
      <c r="AC336" s="35">
        <v>6.5570477718494391E-2</v>
      </c>
      <c r="AD336" s="34">
        <v>0.80697589765668609</v>
      </c>
      <c r="AE336" s="34">
        <v>0.22717213372717598</v>
      </c>
      <c r="AF336" s="34">
        <v>0.40237255763655966</v>
      </c>
      <c r="AG336" s="30">
        <v>260.25289167369635</v>
      </c>
      <c r="AH336" s="35">
        <v>3.1699999999999999E-2</v>
      </c>
      <c r="AI336" s="17">
        <v>0.84137827306361468</v>
      </c>
    </row>
    <row r="337" spans="1:35" x14ac:dyDescent="0.3">
      <c r="B337" s="1">
        <v>28.7</v>
      </c>
      <c r="C337" s="1">
        <v>2</v>
      </c>
      <c r="D337" s="4">
        <v>50.6</v>
      </c>
      <c r="E337" s="3">
        <v>2.5765786179080412</v>
      </c>
      <c r="F337" s="1">
        <v>38</v>
      </c>
      <c r="G337" s="1">
        <v>52.3</v>
      </c>
      <c r="H337" s="33">
        <v>196.9266161393364</v>
      </c>
      <c r="I337" s="41">
        <v>584.20000000000005</v>
      </c>
      <c r="J337" s="43">
        <v>531.90000000000009</v>
      </c>
      <c r="K337" s="30">
        <v>311</v>
      </c>
      <c r="L337" s="43">
        <v>183.05</v>
      </c>
      <c r="M337" s="3">
        <v>0.32</v>
      </c>
      <c r="N337" s="17">
        <v>0.23873012564927132</v>
      </c>
      <c r="O337" s="23">
        <v>275.8</v>
      </c>
      <c r="P337" s="23">
        <v>56.914849504467107</v>
      </c>
      <c r="Q337" s="24">
        <v>6.5570477718494391E-2</v>
      </c>
      <c r="R337" s="17">
        <v>0.74603164265397282</v>
      </c>
      <c r="S337" s="3">
        <v>0.24740003431245361</v>
      </c>
      <c r="T337" s="23">
        <v>275.8</v>
      </c>
      <c r="U337" s="30">
        <v>73</v>
      </c>
      <c r="V337" s="35">
        <v>4.6241829713924383E-2</v>
      </c>
      <c r="W337" s="17">
        <f t="shared" si="10"/>
        <v>1.1561318078386633</v>
      </c>
      <c r="X337" s="17">
        <f t="shared" si="11"/>
        <v>0.66498901903367502</v>
      </c>
      <c r="Y337" s="34">
        <v>0.77312510722641747</v>
      </c>
      <c r="Z337" s="34">
        <v>0.24601106366987791</v>
      </c>
      <c r="AA337" s="30">
        <v>275.8</v>
      </c>
      <c r="AB337" s="30">
        <v>56.914849504467107</v>
      </c>
      <c r="AC337" s="35">
        <v>6.5570477718494391E-2</v>
      </c>
      <c r="AD337" s="34">
        <v>0.76878457396836841</v>
      </c>
      <c r="AE337" s="34">
        <v>0.24074304834434068</v>
      </c>
      <c r="AF337" s="34">
        <v>0.45188273634436449</v>
      </c>
      <c r="AG337" s="30">
        <v>275.8</v>
      </c>
      <c r="AH337" s="35">
        <v>3.1699999999999999E-2</v>
      </c>
      <c r="AI337" s="17">
        <v>0.75232202607606458</v>
      </c>
    </row>
    <row r="338" spans="1:35" x14ac:dyDescent="0.3">
      <c r="A338" t="s">
        <v>86</v>
      </c>
      <c r="B338" s="1">
        <v>28.7</v>
      </c>
      <c r="C338" s="1">
        <v>2</v>
      </c>
      <c r="D338" s="4">
        <v>50.6</v>
      </c>
      <c r="E338" s="3">
        <v>2.5765786179080412</v>
      </c>
      <c r="F338" s="1">
        <v>38</v>
      </c>
      <c r="G338" s="1">
        <v>52.3</v>
      </c>
      <c r="H338" s="33">
        <v>196.9266161393364</v>
      </c>
      <c r="I338" s="41">
        <v>584.20000000000005</v>
      </c>
      <c r="J338" s="43">
        <v>531.90000000000009</v>
      </c>
      <c r="K338" s="30">
        <v>311</v>
      </c>
      <c r="L338" s="43">
        <v>183.05</v>
      </c>
      <c r="M338" s="3">
        <v>0.16</v>
      </c>
      <c r="N338" s="17">
        <v>0.18349626769646762</v>
      </c>
      <c r="O338" s="23">
        <v>219.890332297519</v>
      </c>
      <c r="P338" s="23">
        <v>56.914849504467107</v>
      </c>
      <c r="Q338" s="24">
        <v>6.5570477718494391E-2</v>
      </c>
      <c r="R338" s="17">
        <v>1.1468516731029226</v>
      </c>
      <c r="S338" s="3">
        <v>0.18772668752404406</v>
      </c>
      <c r="T338" s="23">
        <v>219.890332297519</v>
      </c>
      <c r="U338" s="30">
        <v>73</v>
      </c>
      <c r="V338" s="35">
        <v>4.6241829713924383E-2</v>
      </c>
      <c r="W338" s="17">
        <f t="shared" si="10"/>
        <v>1.1561318078386633</v>
      </c>
      <c r="X338" s="17">
        <f t="shared" si="11"/>
        <v>0.66498901903367502</v>
      </c>
      <c r="Y338" s="34">
        <v>1.1732917970252754</v>
      </c>
      <c r="Z338" s="34">
        <v>0.18909264958784833</v>
      </c>
      <c r="AA338" s="30">
        <v>219.890332297519</v>
      </c>
      <c r="AB338" s="30">
        <v>56.914849504467107</v>
      </c>
      <c r="AC338" s="35">
        <v>6.5570477718494391E-2</v>
      </c>
      <c r="AD338" s="34">
        <v>1.181829059924052</v>
      </c>
      <c r="AE338" s="34">
        <v>0.2012844820221939</v>
      </c>
      <c r="AF338" s="34">
        <v>0.315892145780101</v>
      </c>
      <c r="AG338" s="30">
        <v>230.59548561633929</v>
      </c>
      <c r="AH338" s="35">
        <v>3.1699999999999999E-2</v>
      </c>
      <c r="AI338" s="17">
        <v>1.2580280126387118</v>
      </c>
    </row>
    <row r="339" spans="1:35" x14ac:dyDescent="0.3">
      <c r="B339" s="1">
        <v>28.7</v>
      </c>
      <c r="C339" s="1">
        <v>2</v>
      </c>
      <c r="D339" s="4">
        <v>50.6</v>
      </c>
      <c r="E339" s="3">
        <v>2.5765786179080412</v>
      </c>
      <c r="F339" s="1">
        <v>38</v>
      </c>
      <c r="G339" s="1">
        <v>52.3</v>
      </c>
      <c r="H339" s="33">
        <v>196.9266161393364</v>
      </c>
      <c r="I339" s="41">
        <v>584.20000000000005</v>
      </c>
      <c r="J339" s="43">
        <v>531.90000000000009</v>
      </c>
      <c r="K339" s="30">
        <v>311</v>
      </c>
      <c r="L339" s="43">
        <v>183.05</v>
      </c>
      <c r="M339" s="3">
        <v>0.19</v>
      </c>
      <c r="N339" s="17">
        <v>0.2114350173273028</v>
      </c>
      <c r="O339" s="23">
        <v>248.170924415809</v>
      </c>
      <c r="P339" s="23">
        <v>56.914849504467107</v>
      </c>
      <c r="Q339" s="24">
        <v>6.5570477718494391E-2</v>
      </c>
      <c r="R339" s="17">
        <v>1.1128158806700148</v>
      </c>
      <c r="S339" s="3">
        <v>0.21791104830108718</v>
      </c>
      <c r="T339" s="23">
        <v>248.170924415809</v>
      </c>
      <c r="U339" s="30">
        <v>73</v>
      </c>
      <c r="V339" s="35">
        <v>4.6241829713924383E-2</v>
      </c>
      <c r="W339" s="17">
        <f t="shared" si="10"/>
        <v>1.1561318078386633</v>
      </c>
      <c r="X339" s="17">
        <f t="shared" si="11"/>
        <v>0.66498901903367502</v>
      </c>
      <c r="Y339" s="34">
        <v>1.1469002542162483</v>
      </c>
      <c r="Z339" s="34">
        <v>0.21788349236730525</v>
      </c>
      <c r="AA339" s="30">
        <v>248.170924415809</v>
      </c>
      <c r="AB339" s="30">
        <v>56.914849504467107</v>
      </c>
      <c r="AC339" s="35">
        <v>6.5570477718494391E-2</v>
      </c>
      <c r="AD339" s="34">
        <v>1.1467552229858171</v>
      </c>
      <c r="AE339" s="34">
        <v>0.22717213372717598</v>
      </c>
      <c r="AF339" s="34">
        <v>0.40237255763655966</v>
      </c>
      <c r="AG339" s="30">
        <v>260.25289167369635</v>
      </c>
      <c r="AH339" s="35">
        <v>3.1699999999999999E-2</v>
      </c>
      <c r="AI339" s="17">
        <v>1.1956428090903999</v>
      </c>
    </row>
    <row r="340" spans="1:35" x14ac:dyDescent="0.3">
      <c r="B340" s="1">
        <v>28.7</v>
      </c>
      <c r="C340" s="1">
        <v>2</v>
      </c>
      <c r="D340" s="4">
        <v>50.6</v>
      </c>
      <c r="E340" s="3">
        <v>2.5765786179080412</v>
      </c>
      <c r="F340" s="1">
        <v>38</v>
      </c>
      <c r="G340" s="1">
        <v>52.3</v>
      </c>
      <c r="H340" s="33">
        <v>196.9266161393364</v>
      </c>
      <c r="I340" s="41">
        <v>584.20000000000005</v>
      </c>
      <c r="J340" s="43">
        <v>531.90000000000009</v>
      </c>
      <c r="K340" s="30">
        <v>311</v>
      </c>
      <c r="L340" s="43">
        <v>183.05</v>
      </c>
      <c r="M340" s="3">
        <v>0.22</v>
      </c>
      <c r="N340" s="17">
        <v>0.23873012564927132</v>
      </c>
      <c r="O340" s="23">
        <v>275.8</v>
      </c>
      <c r="P340" s="23">
        <v>56.914849504467107</v>
      </c>
      <c r="Q340" s="24">
        <v>6.5570477718494391E-2</v>
      </c>
      <c r="R340" s="17">
        <v>1.0851369347694151</v>
      </c>
      <c r="S340" s="3">
        <v>0.24740003431245361</v>
      </c>
      <c r="T340" s="23">
        <v>275.8</v>
      </c>
      <c r="U340" s="30">
        <v>73</v>
      </c>
      <c r="V340" s="35">
        <v>4.6241829713924383E-2</v>
      </c>
      <c r="W340" s="17">
        <f t="shared" si="10"/>
        <v>1.1561318078386633</v>
      </c>
      <c r="X340" s="17">
        <f t="shared" si="11"/>
        <v>0.66498901903367502</v>
      </c>
      <c r="Y340" s="34">
        <v>1.1245456105111529</v>
      </c>
      <c r="Z340" s="34">
        <v>0.24601106366987791</v>
      </c>
      <c r="AA340" s="30">
        <v>275.8</v>
      </c>
      <c r="AB340" s="30">
        <v>56.914849504467107</v>
      </c>
      <c r="AC340" s="35">
        <v>6.5570477718494391E-2</v>
      </c>
      <c r="AD340" s="34">
        <v>1.1182321075903541</v>
      </c>
      <c r="AE340" s="34">
        <v>0.24074304834434068</v>
      </c>
      <c r="AF340" s="34">
        <v>0.45188273634436449</v>
      </c>
      <c r="AG340" s="30">
        <v>275.8</v>
      </c>
      <c r="AH340" s="35">
        <v>3.1699999999999999E-2</v>
      </c>
      <c r="AI340" s="17">
        <v>1.0942865833833668</v>
      </c>
    </row>
    <row r="341" spans="1:35" x14ac:dyDescent="0.3">
      <c r="A341" t="s">
        <v>87</v>
      </c>
      <c r="B341" s="1">
        <v>35.799999999999997</v>
      </c>
      <c r="C341" s="1">
        <v>2</v>
      </c>
      <c r="D341" s="4">
        <v>36.4</v>
      </c>
      <c r="E341" s="3">
        <v>2.5478355335404417</v>
      </c>
      <c r="F341" s="1">
        <v>38</v>
      </c>
      <c r="G341" s="1">
        <v>55.9</v>
      </c>
      <c r="H341" s="33">
        <v>231.96707915484524</v>
      </c>
      <c r="I341" s="41">
        <v>584.20000000000005</v>
      </c>
      <c r="J341" s="43">
        <v>528.30000000000007</v>
      </c>
      <c r="K341" s="30">
        <v>320</v>
      </c>
      <c r="L341" s="43">
        <v>195.65</v>
      </c>
      <c r="M341" s="3">
        <v>0.17</v>
      </c>
      <c r="N341" s="17">
        <v>0.13153374465321868</v>
      </c>
      <c r="O341" s="23">
        <v>184.08648071345613</v>
      </c>
      <c r="P341" s="23">
        <v>40.18030487594767</v>
      </c>
      <c r="Q341" s="24">
        <v>0.1124434908513556</v>
      </c>
      <c r="R341" s="17">
        <v>0.77372790972481575</v>
      </c>
      <c r="S341" s="3">
        <v>0.15062208841314156</v>
      </c>
      <c r="T341" s="23">
        <v>184.08648071345613</v>
      </c>
      <c r="U341" s="30">
        <v>55</v>
      </c>
      <c r="V341" s="35">
        <v>6.7478148415705638E-2</v>
      </c>
      <c r="W341" s="17">
        <f t="shared" si="10"/>
        <v>1.1886391827157463</v>
      </c>
      <c r="X341" s="17">
        <f t="shared" si="11"/>
        <v>0.62973126419379266</v>
      </c>
      <c r="Y341" s="34">
        <v>0.88601228478318561</v>
      </c>
      <c r="Z341" s="34">
        <v>0.14664007916519406</v>
      </c>
      <c r="AA341" s="30">
        <v>184.08648071345613</v>
      </c>
      <c r="AB341" s="30">
        <v>40.18030487594767</v>
      </c>
      <c r="AC341" s="35">
        <v>0.1124434908513556</v>
      </c>
      <c r="AD341" s="34">
        <v>0.86258870097172968</v>
      </c>
      <c r="AE341" s="34">
        <v>0.17675156906293271</v>
      </c>
      <c r="AF341" s="34">
        <v>0.28174342772628114</v>
      </c>
      <c r="AG341" s="30">
        <v>194</v>
      </c>
      <c r="AH341" s="35">
        <v>4.07E-2</v>
      </c>
      <c r="AI341" s="17">
        <v>1.0397151121348982</v>
      </c>
    </row>
    <row r="342" spans="1:35" x14ac:dyDescent="0.3">
      <c r="A342" t="s">
        <v>88</v>
      </c>
      <c r="B342" s="1">
        <v>35.799999999999997</v>
      </c>
      <c r="C342" s="1">
        <v>2</v>
      </c>
      <c r="D342" s="4">
        <v>36.4</v>
      </c>
      <c r="E342" s="3">
        <v>2.7563734268389184</v>
      </c>
      <c r="F342" s="1">
        <v>38</v>
      </c>
      <c r="G342" s="1">
        <v>55.9</v>
      </c>
      <c r="H342" s="33">
        <v>228.69980068753716</v>
      </c>
      <c r="I342" s="41">
        <v>584.20000000000005</v>
      </c>
      <c r="J342" s="43">
        <v>528.30000000000007</v>
      </c>
      <c r="K342" s="30">
        <v>319</v>
      </c>
      <c r="L342" s="43">
        <v>195.65</v>
      </c>
      <c r="M342" s="3">
        <v>0.19</v>
      </c>
      <c r="N342" s="17">
        <v>9.7514649841521764E-2</v>
      </c>
      <c r="O342" s="23">
        <v>143.79287698695691</v>
      </c>
      <c r="P342" s="23">
        <v>42.965248228539323</v>
      </c>
      <c r="Q342" s="24">
        <v>0.11141006190487932</v>
      </c>
      <c r="R342" s="17">
        <v>0.51323499916590398</v>
      </c>
      <c r="S342" s="3">
        <v>0.10806100229525109</v>
      </c>
      <c r="T342" s="23">
        <v>143.79287698695691</v>
      </c>
      <c r="U342" s="30">
        <v>59</v>
      </c>
      <c r="V342" s="35">
        <v>6.7478148415705638E-2</v>
      </c>
      <c r="W342" s="17">
        <f t="shared" si="10"/>
        <v>1.186581985353421</v>
      </c>
      <c r="X342" s="17">
        <f t="shared" si="11"/>
        <v>0.63112745098039225</v>
      </c>
      <c r="Y342" s="34">
        <v>0.56874211734342683</v>
      </c>
      <c r="Z342" s="34">
        <v>0.1084705614279344</v>
      </c>
      <c r="AA342" s="30">
        <v>143.79287698695691</v>
      </c>
      <c r="AB342" s="30">
        <v>42.965248228539323</v>
      </c>
      <c r="AC342" s="35">
        <v>0.11141006190487932</v>
      </c>
      <c r="AD342" s="34">
        <v>0.57089769172597049</v>
      </c>
      <c r="AE342" s="34">
        <v>0.13839687856725483</v>
      </c>
      <c r="AF342" s="34">
        <v>0.15966626432159536</v>
      </c>
      <c r="AG342" s="30">
        <v>151.82200833201821</v>
      </c>
      <c r="AH342" s="35">
        <v>4.07E-2</v>
      </c>
      <c r="AI342" s="17">
        <v>0.72840462403818329</v>
      </c>
    </row>
    <row r="343" spans="1:35" x14ac:dyDescent="0.3">
      <c r="B343" s="1">
        <v>35.799999999999997</v>
      </c>
      <c r="C343" s="1">
        <v>2</v>
      </c>
      <c r="D343" s="4">
        <v>36.4</v>
      </c>
      <c r="E343" s="3">
        <v>2.7563734268389184</v>
      </c>
      <c r="F343" s="1">
        <v>38</v>
      </c>
      <c r="G343" s="1">
        <v>55.9</v>
      </c>
      <c r="H343" s="33">
        <v>228.69980068753716</v>
      </c>
      <c r="I343" s="41">
        <v>584.20000000000005</v>
      </c>
      <c r="J343" s="43">
        <v>528.30000000000007</v>
      </c>
      <c r="K343" s="33">
        <v>319</v>
      </c>
      <c r="L343" s="32">
        <v>195.65</v>
      </c>
      <c r="M343" s="3">
        <v>0.25</v>
      </c>
      <c r="N343" s="17">
        <v>0.13044276684576409</v>
      </c>
      <c r="O343" s="23">
        <v>183.6429902945176</v>
      </c>
      <c r="P343" s="23">
        <v>42.965248228539323</v>
      </c>
      <c r="Q343" s="24">
        <v>0.11141006190487932</v>
      </c>
      <c r="R343" s="17">
        <v>0.52177106738305634</v>
      </c>
      <c r="S343" s="3">
        <v>0.14780512821168459</v>
      </c>
      <c r="T343" s="23">
        <v>183.6429902945176</v>
      </c>
      <c r="U343" s="30">
        <v>59</v>
      </c>
      <c r="V343" s="42">
        <v>6.7478148415705638E-2</v>
      </c>
      <c r="W343" s="17">
        <f t="shared" si="10"/>
        <v>1.186581985353421</v>
      </c>
      <c r="X343" s="17">
        <f t="shared" si="11"/>
        <v>0.63112745098039225</v>
      </c>
      <c r="Y343" s="34">
        <v>0.59122051284673838</v>
      </c>
      <c r="Z343" s="34">
        <v>0.14509819988040862</v>
      </c>
      <c r="AA343" s="30">
        <v>183.6429902945176</v>
      </c>
      <c r="AB343" s="30">
        <v>42.965248228539323</v>
      </c>
      <c r="AC343" s="35">
        <v>0.11141006190487932</v>
      </c>
      <c r="AD343" s="34">
        <v>0.58039279952163447</v>
      </c>
      <c r="AE343" s="34">
        <v>0.17675156906293271</v>
      </c>
      <c r="AF343" s="34">
        <v>0.26042767264874395</v>
      </c>
      <c r="AG343" s="30">
        <v>193.89727910611322</v>
      </c>
      <c r="AH343" s="35">
        <v>4.07E-2</v>
      </c>
      <c r="AI343" s="17">
        <v>0.70700627625173085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Dataset com TS variável MC2010</vt:lpstr>
      <vt:lpstr>Dataset sem TS MC2010</vt:lpstr>
      <vt:lpstr>Dataset com TS variável MC2020</vt:lpstr>
      <vt:lpstr>Dataset sem TS MC2020</vt:lpstr>
      <vt:lpstr>Modelos normativos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Lima Araujo</dc:creator>
  <cp:lastModifiedBy>Daniel Lima Araujo</cp:lastModifiedBy>
  <dcterms:created xsi:type="dcterms:W3CDTF">2025-09-13T23:04:03Z</dcterms:created>
  <dcterms:modified xsi:type="dcterms:W3CDTF">2025-11-26T20:31:40Z</dcterms:modified>
</cp:coreProperties>
</file>